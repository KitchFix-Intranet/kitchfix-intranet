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- 2023 (Nov 22) - C" sheetId="1" r:id="rId5"/>
    <sheet state="visible" name="Projected Numbers - 2023" sheetId="2" r:id="rId6"/>
    <sheet state="visible" name="Actuals - 2023" sheetId="3" r:id="rId7"/>
    <sheet state="visible" name="Clicker Count - 2023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tc={115fa007-00f8-45d8-a3df-c2f65de4ff3e}</author>
  </authors>
  <commentList>
    <comment authorId="0" xr:uid="{115fa007-00f8-45d8-a3df-c2f65de4ff3e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forget to add the fountain and drink service numbers each week.
</t>
      </text>
    </comment>
  </commentList>
</comments>
</file>

<file path=xl/sharedStrings.xml><?xml version="1.0" encoding="utf-8"?>
<sst xmlns="http://schemas.openxmlformats.org/spreadsheetml/2006/main" count="3350" uniqueCount="58">
  <si>
    <t>Cincinnati Reds @ Goodyear, AZ</t>
  </si>
  <si>
    <t xml:space="preserve">Major League </t>
  </si>
  <si>
    <t>Minor League</t>
  </si>
  <si>
    <t>Other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</si>
  <si>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</si>
  <si>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</si>
  <si>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</si>
  <si>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</si>
  <si>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</si>
  <si>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</si>
  <si>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</si>
  <si>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</si>
  <si>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</si>
  <si>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Pre-Game Snack</t>
  </si>
  <si>
    <t>Blank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</si>
  <si>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</si>
  <si>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</si>
  <si>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</si>
  <si>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</si>
  <si>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</si>
  <si>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</si>
  <si>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</si>
  <si>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</si>
  <si>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Rehab</t>
  </si>
  <si>
    <t>Wed</t>
  </si>
  <si>
    <t>Coffee Service (tax-free)</t>
  </si>
  <si>
    <t>Fountain Bev (tax-free)</t>
  </si>
  <si>
    <t>Continental Plus</t>
  </si>
  <si>
    <t>Thurs</t>
  </si>
  <si>
    <t>Fri</t>
  </si>
  <si>
    <t>Sat</t>
  </si>
  <si>
    <t>Sun</t>
  </si>
  <si>
    <t>Week 2</t>
  </si>
  <si>
    <t>Week 3</t>
  </si>
  <si>
    <t>Week 4</t>
  </si>
  <si>
    <t>ACL</t>
  </si>
  <si>
    <t>Rehab YR</t>
  </si>
  <si>
    <t>Price Per Head</t>
  </si>
  <si>
    <t>Projected Sum</t>
  </si>
  <si>
    <t>MLB Meal Count</t>
  </si>
  <si>
    <t>MiLB Meal Count</t>
  </si>
  <si>
    <t>MiLB Rehab Meal Count</t>
  </si>
  <si>
    <t>Snack Count</t>
  </si>
  <si>
    <t>Total Meal Count</t>
  </si>
  <si>
    <t>Total Items Served Count</t>
  </si>
  <si>
    <t>Service Fee Allocation</t>
  </si>
  <si>
    <t>Weekly per-head billable rates:</t>
  </si>
  <si>
    <t>MLB</t>
  </si>
  <si>
    <t>MiLB</t>
  </si>
  <si>
    <t>Snack</t>
  </si>
  <si>
    <t>Actual billed</t>
  </si>
  <si>
    <t>Actual: Billed minus fountain + coffee</t>
  </si>
  <si>
    <t>Projected: Billed minus fountain + coffee</t>
  </si>
  <si>
    <t xml:space="preserve">Error on 3/12/2023 Invoice. </t>
  </si>
  <si>
    <t>Should have been charged, but was NOT</t>
  </si>
  <si>
    <t>Credit on 1/29/2023 Invoce</t>
  </si>
  <si>
    <t xml:space="preserve">Credit back from 2022 </t>
  </si>
  <si>
    <t>Adjusted Actual: Billed minus fountain + coffee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</si>
</sst>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0"/>
  </numFmts>
  <fonts count="14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6.0"/>
      <color theme="0"/>
      <name val="Arial"/>
    </font>
    <font>
      <sz val="12.0"/>
      <color theme="1"/>
      <name val="Arial"/>
    </font>
    <font>
      <sz val="10.0"/>
      <color theme="1"/>
      <name val="Arial"/>
    </font>
    <font>
      <b/>
      <sz val="16.0"/>
      <color rgb="FF000000"/>
      <name val="Arial"/>
    </font>
    <font>
      <b/>
      <sz val="16.0"/>
      <color rgb="FFFFFFFF"/>
      <name val="Arial"/>
    </font>
    <font>
      <b/>
      <sz val="12.0"/>
      <color rgb="FF000000"/>
      <name val="Arial"/>
    </font>
    <font>
      <sz val="10.0"/>
      <color rgb="FF000000"/>
      <name val="Arial"/>
    </font>
    <font>
      <color theme="1"/>
      <name val="Arial"/>
    </font>
    <font>
      <color rgb="FF000000"/>
      <name val="Arial"/>
    </font>
    <font>
      <sz val="11.0"/>
      <color theme="1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0" xfId="0" applyAlignment="1" applyBorder="1" applyFont="1">
      <alignment textRotation="90"/>
    </xf>
    <xf borderId="7" fillId="0" fontId="4" numFmtId="164" xfId="0" applyAlignment="1" applyBorder="1" applyFont="1" applyNumberFormat="1">
      <alignment readingOrder="0" textRotation="90"/>
    </xf>
    <xf borderId="7" fillId="0" fontId="1" numFmtId="164" xfId="0" applyAlignment="1" applyBorder="1" applyFont="1" applyNumberFormat="1">
      <alignment textRotation="90"/>
    </xf>
    <xf borderId="7" fillId="0" fontId="1" numFmtId="164" xfId="0" applyAlignment="1" applyBorder="1" applyFont="1" applyNumberFormat="1">
      <alignment readingOrder="0" textRotation="90"/>
    </xf>
    <xf borderId="7" fillId="0" fontId="4" numFmtId="164" xfId="0" applyAlignment="1" applyBorder="1" applyFont="1" applyNumberFormat="1">
      <alignment textRotation="90"/>
    </xf>
    <xf borderId="7" fillId="5" fontId="3" numFmtId="0" xfId="0" applyAlignment="1" applyBorder="1" applyFill="1" applyFont="1">
      <alignment shrinkToFit="0" textRotation="90" wrapText="1"/>
    </xf>
    <xf borderId="8" fillId="0" fontId="5" numFmtId="0" xfId="0" applyAlignment="1" applyBorder="1" applyFont="1">
      <alignment horizontal="right" readingOrder="0"/>
    </xf>
    <xf borderId="8" fillId="0" fontId="5" numFmtId="14" xfId="0" applyAlignment="1" applyBorder="1" applyFont="1" applyNumberFormat="1">
      <alignment readingOrder="0"/>
    </xf>
    <xf borderId="8" fillId="0" fontId="5" numFmtId="0" xfId="0" applyBorder="1" applyFont="1"/>
    <xf borderId="8" fillId="0" fontId="5" numFmtId="0" xfId="0" applyAlignment="1" applyBorder="1" applyFont="1">
      <alignment readingOrder="0"/>
    </xf>
    <xf borderId="9" fillId="0" fontId="5" numFmtId="0" xfId="0" applyBorder="1" applyFont="1"/>
    <xf borderId="10" fillId="0" fontId="5" numFmtId="0" xfId="0" applyBorder="1" applyFont="1"/>
    <xf borderId="0" fillId="0" fontId="5" numFmtId="0" xfId="0" applyFont="1"/>
    <xf borderId="10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1" fillId="0" fontId="2" numFmtId="0" xfId="0" applyBorder="1" applyFont="1"/>
    <xf borderId="12" fillId="0" fontId="5" numFmtId="165" xfId="0" applyBorder="1" applyFont="1" applyNumberFormat="1"/>
    <xf borderId="10" fillId="6" fontId="5" numFmtId="0" xfId="0" applyAlignment="1" applyBorder="1" applyFill="1" applyFont="1">
      <alignment readingOrder="0"/>
    </xf>
    <xf borderId="0" fillId="6" fontId="5" numFmtId="0" xfId="0" applyAlignment="1" applyFill="1" applyFont="1">
      <alignment readingOrder="0"/>
    </xf>
    <xf borderId="9" fillId="0" fontId="5" numFmtId="165" xfId="0" applyBorder="1" applyFont="1" applyNumberFormat="1"/>
    <xf borderId="13" fillId="0" fontId="5" numFmtId="0" xfId="0" applyAlignment="1" applyBorder="1" applyFont="1">
      <alignment horizontal="right" readingOrder="0"/>
    </xf>
    <xf borderId="1" fillId="4" fontId="6" numFmtId="0" xfId="0" applyAlignment="1" applyBorder="1" applyFill="1" applyFont="1">
      <alignment horizontal="center"/>
    </xf>
    <xf borderId="13" fillId="0" fontId="5" numFmtId="14" xfId="0" applyBorder="1" applyFont="1" applyNumberFormat="1"/>
    <xf borderId="13" fillId="0" fontId="5" numFmtId="0" xfId="0" applyBorder="1" applyFont="1"/>
    <xf borderId="13" fillId="0" fontId="5" numFmtId="0" xfId="0" applyAlignment="1" applyBorder="1" applyFont="1">
      <alignment readingOrder="0"/>
    </xf>
    <xf borderId="11" fillId="0" fontId="5" numFmtId="0" xfId="0" applyBorder="1" applyFont="1"/>
    <xf borderId="1" fillId="2" fontId="7" numFmtId="0" xfId="0" applyAlignment="1" applyBorder="1" applyFill="1" applyFont="1">
      <alignment horizontal="center" readingOrder="0"/>
    </xf>
    <xf borderId="10" fillId="0" fontId="5" numFmtId="165" xfId="0" applyBorder="1" applyFont="1" applyNumberFormat="1"/>
    <xf borderId="11" fillId="0" fontId="5" numFmtId="165" xfId="0" applyBorder="1" applyFont="1" applyNumberFormat="1"/>
    <xf borderId="7" fillId="0" fontId="8" numFmtId="164" xfId="0" applyAlignment="1" applyBorder="1" applyFont="1" applyNumberFormat="1">
      <alignment textRotation="90"/>
    </xf>
    <xf borderId="8" fillId="0" fontId="1" numFmtId="164" xfId="0" applyAlignment="1" applyBorder="1" applyFont="1" applyNumberFormat="1">
      <alignment readingOrder="0" textRotation="90"/>
    </xf>
    <xf borderId="8" fillId="0" fontId="4" numFmtId="164" xfId="0" applyAlignment="1" applyBorder="1" applyFont="1" applyNumberFormat="1">
      <alignment readingOrder="0" textRotation="90"/>
    </xf>
    <xf borderId="10" fillId="7" fontId="5" numFmtId="0" xfId="0" applyAlignment="1" applyBorder="1" applyFill="1" applyFont="1">
      <alignment readingOrder="0"/>
    </xf>
    <xf borderId="0" fillId="7" fontId="5" numFmtId="0" xfId="0" applyAlignment="1" applyFill="1" applyFont="1">
      <alignment readingOrder="0"/>
    </xf>
    <xf borderId="12" fillId="7" fontId="9" numFmtId="0" xfId="0" applyAlignment="1" applyBorder="1" applyFill="1" applyFont="1">
      <alignment readingOrder="0"/>
    </xf>
    <xf borderId="14" fillId="0" fontId="2" numFmtId="0" xfId="0" applyBorder="1" applyFont="1"/>
    <xf borderId="15" fillId="0" fontId="5" numFmtId="0" xfId="0" applyAlignment="1" applyBorder="1" applyFont="1">
      <alignment horizontal="right" readingOrder="0"/>
    </xf>
    <xf borderId="14" fillId="7" fontId="5" numFmtId="0" xfId="0" applyAlignment="1" applyBorder="1" applyFill="1" applyFont="1">
      <alignment readingOrder="0"/>
    </xf>
    <xf borderId="15" fillId="0" fontId="5" numFmtId="14" xfId="0" applyBorder="1" applyFont="1" applyNumberFormat="1"/>
    <xf borderId="15" fillId="0" fontId="5" numFmtId="0" xfId="0" applyBorder="1" applyFont="1"/>
    <xf borderId="15" fillId="0" fontId="5" numFmtId="0" xfId="0" applyAlignment="1" applyBorder="1" applyFont="1">
      <alignment readingOrder="0"/>
    </xf>
    <xf borderId="16" fillId="0" fontId="5" numFmtId="0" xfId="0" applyBorder="1" applyFont="1"/>
    <xf borderId="17" fillId="0" fontId="5" numFmtId="0" xfId="0" applyBorder="1" applyFont="1"/>
    <xf borderId="9" fillId="0" fontId="2" numFmtId="0" xfId="0" applyBorder="1" applyFont="1"/>
    <xf borderId="18" fillId="0" fontId="2" numFmtId="0" xfId="0" applyBorder="1" applyFont="1"/>
    <xf borderId="18" fillId="0" fontId="5" numFmtId="0" xfId="0" applyBorder="1" applyFont="1"/>
    <xf borderId="17" fillId="0" fontId="5" numFmtId="0" xfId="0" applyAlignment="1" applyBorder="1" applyFont="1">
      <alignment readingOrder="0"/>
    </xf>
    <xf borderId="18" fillId="0" fontId="5" numFmtId="0" xfId="0" applyAlignment="1" applyBorder="1" applyFont="1">
      <alignment readingOrder="0"/>
    </xf>
    <xf borderId="16" fillId="0" fontId="2" numFmtId="0" xfId="0" applyBorder="1" applyFont="1"/>
    <xf borderId="17" fillId="0" fontId="5" numFmtId="165" xfId="0" applyBorder="1" applyFont="1" applyNumberFormat="1"/>
    <xf borderId="0" fillId="6" fontId="5" numFmtId="0" xfId="0" applyFill="1" applyFont="1"/>
    <xf borderId="16" fillId="0" fontId="5" numFmtId="165" xfId="0" applyBorder="1" applyFont="1" applyNumberFormat="1"/>
    <xf borderId="8" fillId="0" fontId="5" numFmtId="14" xfId="0" applyBorder="1" applyFont="1" applyNumberFormat="1"/>
    <xf borderId="10" fillId="6" fontId="5" numFmtId="0" xfId="0" applyBorder="1" applyFill="1" applyFont="1"/>
    <xf borderId="10" fillId="7" fontId="9" numFmtId="0" xfId="0" applyAlignment="1" applyBorder="1" applyFill="1" applyFont="1">
      <alignment readingOrder="0"/>
    </xf>
    <xf borderId="0" fillId="7" fontId="5" numFmtId="0" xfId="0" applyAlignment="1" applyFill="1" applyFont="1">
      <alignment readingOrder="0"/>
    </xf>
    <xf borderId="10" fillId="7" fontId="5" numFmtId="0" xfId="0" applyAlignment="1" applyBorder="1" applyFill="1" applyFont="1">
      <alignment readingOrder="0"/>
    </xf>
    <xf borderId="17" fillId="6" fontId="5" numFmtId="0" xfId="0" applyAlignment="1" applyBorder="1" applyFill="1" applyFont="1">
      <alignment readingOrder="0"/>
    </xf>
    <xf borderId="18" fillId="6" fontId="5" numFmtId="0" xfId="0" applyAlignment="1" applyBorder="1" applyFill="1" applyFont="1">
      <alignment readingOrder="0"/>
    </xf>
    <xf borderId="17" fillId="7" fontId="5" numFmtId="0" xfId="0" applyAlignment="1" applyBorder="1" applyFill="1" applyFont="1">
      <alignment readingOrder="0"/>
    </xf>
    <xf borderId="18" fillId="7" fontId="5" numFmtId="0" xfId="0" applyAlignment="1" applyBorder="1" applyFill="1" applyFont="1">
      <alignment readingOrder="0"/>
    </xf>
    <xf borderId="17" fillId="7" fontId="9" numFmtId="0" xfId="0" applyAlignment="1" applyBorder="1" applyFill="1" applyFont="1">
      <alignment readingOrder="0"/>
    </xf>
    <xf borderId="18" fillId="7" fontId="5" numFmtId="0" xfId="0" applyAlignment="1" applyBorder="1" applyFill="1" applyFont="1">
      <alignment readingOrder="0"/>
    </xf>
    <xf borderId="17" fillId="7" fontId="5" numFmtId="0" xfId="0" applyAlignment="1" applyBorder="1" applyFill="1" applyFont="1">
      <alignment readingOrder="0"/>
    </xf>
    <xf borderId="8" fillId="0" fontId="9" numFmtId="0" xfId="0" applyAlignment="1" applyBorder="1" applyFont="1">
      <alignment horizontal="right" readingOrder="0"/>
    </xf>
    <xf borderId="8" fillId="0" fontId="9" numFmtId="14" xfId="0" applyBorder="1" applyFont="1" applyNumberFormat="1"/>
    <xf borderId="8" fillId="0" fontId="9" numFmtId="0" xfId="0" applyBorder="1" applyFont="1"/>
    <xf borderId="9" fillId="0" fontId="9" numFmtId="0" xfId="0" applyBorder="1" applyFont="1"/>
    <xf borderId="0" fillId="7" fontId="9" numFmtId="0" xfId="0" applyAlignment="1" applyFill="1" applyFont="1">
      <alignment readingOrder="0"/>
    </xf>
    <xf borderId="0" fillId="7" fontId="5" numFmtId="0" xfId="0" applyFill="1" applyFont="1"/>
    <xf borderId="10" fillId="7" fontId="5" numFmtId="165" xfId="0" applyBorder="1" applyFill="1" applyFont="1" applyNumberFormat="1"/>
    <xf borderId="0" fillId="8" fontId="5" numFmtId="0" xfId="0" applyFill="1" applyFont="1"/>
    <xf borderId="10" fillId="8" fontId="5" numFmtId="165" xfId="0" applyBorder="1" applyFill="1" applyFont="1" applyNumberFormat="1"/>
    <xf borderId="9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1" fillId="0" fontId="5" numFmtId="0" xfId="0" applyAlignment="1" applyBorder="1" applyFont="1">
      <alignment readingOrder="0"/>
    </xf>
    <xf borderId="16" fillId="0" fontId="5" numFmtId="0" xfId="0" applyAlignment="1" applyBorder="1" applyFont="1">
      <alignment readingOrder="0"/>
    </xf>
    <xf borderId="18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7" fillId="7" fontId="5" numFmtId="0" xfId="0" applyBorder="1" applyFill="1" applyFont="1"/>
    <xf borderId="18" fillId="7" fontId="5" numFmtId="0" xfId="0" applyBorder="1" applyFill="1" applyFont="1"/>
    <xf borderId="12" fillId="7" fontId="5" numFmtId="165" xfId="0" applyBorder="1" applyFill="1" applyFont="1" applyNumberFormat="1"/>
    <xf borderId="17" fillId="7" fontId="5" numFmtId="165" xfId="0" applyBorder="1" applyFill="1" applyFont="1" applyNumberFormat="1"/>
    <xf borderId="10" fillId="8" fontId="5" numFmtId="0" xfId="0" applyAlignment="1" applyBorder="1" applyFill="1" applyFont="1">
      <alignment readingOrder="0"/>
    </xf>
    <xf borderId="0" fillId="8" fontId="5" numFmtId="0" xfId="0" applyAlignment="1" applyFill="1" applyFont="1">
      <alignment readingOrder="0"/>
    </xf>
    <xf borderId="12" fillId="8" fontId="9" numFmtId="0" xfId="0" applyAlignment="1" applyBorder="1" applyFill="1" applyFont="1">
      <alignment readingOrder="0"/>
    </xf>
    <xf borderId="14" fillId="8" fontId="5" numFmtId="0" xfId="0" applyAlignment="1" applyBorder="1" applyFill="1" applyFont="1">
      <alignment readingOrder="0"/>
    </xf>
    <xf borderId="10" fillId="8" fontId="9" numFmtId="0" xfId="0" applyAlignment="1" applyBorder="1" applyFill="1" applyFont="1">
      <alignment readingOrder="0"/>
    </xf>
    <xf borderId="16" fillId="0" fontId="5" numFmtId="0" xfId="0" applyAlignment="1" applyBorder="1" applyFont="1">
      <alignment readingOrder="0"/>
    </xf>
    <xf borderId="17" fillId="8" fontId="5" numFmtId="0" xfId="0" applyAlignment="1" applyBorder="1" applyFill="1" applyFont="1">
      <alignment readingOrder="0"/>
    </xf>
    <xf borderId="18" fillId="8" fontId="5" numFmtId="0" xfId="0" applyAlignment="1" applyBorder="1" applyFill="1" applyFont="1">
      <alignment readingOrder="0"/>
    </xf>
    <xf borderId="17" fillId="8" fontId="9" numFmtId="0" xfId="0" applyAlignment="1" applyBorder="1" applyFill="1" applyFont="1">
      <alignment readingOrder="0"/>
    </xf>
    <xf borderId="10" fillId="6" fontId="5" numFmtId="165" xfId="0" applyBorder="1" applyFill="1" applyFont="1" applyNumberFormat="1"/>
    <xf borderId="0" fillId="0" fontId="4" numFmtId="14" xfId="0" applyAlignment="1" applyFont="1" applyNumberFormat="1">
      <alignment horizontal="right"/>
    </xf>
    <xf borderId="0" fillId="0" fontId="4" numFmtId="14" xfId="0" applyFont="1" applyNumberFormat="1"/>
    <xf borderId="0" fillId="0" fontId="10" numFmtId="0" xfId="0" applyFont="1"/>
    <xf borderId="0" fillId="0" fontId="4" numFmtId="166" xfId="0" applyFont="1" applyNumberFormat="1"/>
    <xf borderId="0" fillId="0" fontId="4" numFmtId="3" xfId="0" applyFont="1" applyNumberFormat="1"/>
    <xf borderId="0" fillId="0" fontId="10" numFmtId="166" xfId="0" applyFont="1" applyNumberFormat="1"/>
    <xf borderId="0" fillId="0" fontId="10" numFmtId="166" xfId="0" applyAlignment="1" applyFont="1" applyNumberFormat="1">
      <alignment readingOrder="0"/>
    </xf>
    <xf borderId="12" fillId="9" fontId="10" numFmtId="0" xfId="0" applyBorder="1" applyFill="1" applyFont="1"/>
    <xf borderId="14" fillId="9" fontId="10" numFmtId="0" xfId="0" applyBorder="1" applyFill="1" applyFont="1"/>
    <xf borderId="14" fillId="9" fontId="5" numFmtId="0" xfId="0" applyBorder="1" applyFill="1" applyFont="1"/>
    <xf borderId="14" fillId="9" fontId="5" numFmtId="0" xfId="0" applyAlignment="1" applyBorder="1" applyFill="1" applyFont="1">
      <alignment horizontal="right"/>
    </xf>
    <xf borderId="14" fillId="9" fontId="5" numFmtId="0" xfId="0" applyAlignment="1" applyBorder="1" applyFill="1" applyFont="1">
      <alignment readingOrder="0"/>
    </xf>
    <xf borderId="9" fillId="9" fontId="5" numFmtId="0" xfId="0" applyAlignment="1" applyBorder="1" applyFill="1" applyFont="1">
      <alignment readingOrder="0"/>
    </xf>
    <xf borderId="10" fillId="9" fontId="10" numFmtId="0" xfId="0" applyBorder="1" applyFill="1" applyFont="1"/>
    <xf borderId="0" fillId="9" fontId="10" numFmtId="0" xfId="0" applyFill="1" applyFont="1"/>
    <xf borderId="0" fillId="9" fontId="5" numFmtId="0" xfId="0" applyFill="1" applyFont="1"/>
    <xf borderId="0" fillId="9" fontId="5" numFmtId="0" xfId="0" applyAlignment="1" applyFill="1" applyFont="1">
      <alignment horizontal="right" readingOrder="0"/>
    </xf>
    <xf borderId="0" fillId="9" fontId="5" numFmtId="164" xfId="0" applyFill="1" applyFont="1" applyNumberFormat="1"/>
    <xf borderId="11" fillId="9" fontId="5" numFmtId="166" xfId="0" applyBorder="1" applyFill="1" applyFont="1" applyNumberFormat="1"/>
    <xf borderId="0" fillId="0" fontId="10" numFmtId="0" xfId="0" applyAlignment="1" applyFont="1">
      <alignment horizontal="right"/>
    </xf>
    <xf borderId="0" fillId="9" fontId="5" numFmtId="0" xfId="0" applyAlignment="1" applyFill="1" applyFont="1">
      <alignment horizontal="right"/>
    </xf>
    <xf borderId="11" fillId="9" fontId="5" numFmtId="0" xfId="0" applyBorder="1" applyFill="1" applyFont="1"/>
    <xf borderId="0" fillId="9" fontId="5" numFmtId="0" xfId="0" applyAlignment="1" applyFill="1" applyFont="1">
      <alignment readingOrder="0"/>
    </xf>
    <xf borderId="0" fillId="9" fontId="5" numFmtId="10" xfId="0" applyAlignment="1" applyFill="1" applyFont="1" applyNumberFormat="1">
      <alignment readingOrder="0"/>
    </xf>
    <xf borderId="11" fillId="9" fontId="10" numFmtId="0" xfId="0" applyBorder="1" applyFill="1" applyFont="1"/>
    <xf borderId="0" fillId="9" fontId="5" numFmtId="0" xfId="0" applyAlignment="1" applyFill="1" applyFont="1">
      <alignment horizontal="left" readingOrder="0"/>
    </xf>
    <xf borderId="0" fillId="9" fontId="5" numFmtId="166" xfId="0" applyFill="1" applyFont="1" applyNumberFormat="1"/>
    <xf borderId="0" fillId="9" fontId="9" numFmtId="166" xfId="0" applyFill="1" applyFont="1" applyNumberFormat="1"/>
    <xf borderId="17" fillId="9" fontId="10" numFmtId="0" xfId="0" applyBorder="1" applyFill="1" applyFont="1"/>
    <xf borderId="18" fillId="9" fontId="10" numFmtId="0" xfId="0" applyBorder="1" applyFill="1" applyFont="1"/>
    <xf borderId="18" fillId="9" fontId="5" numFmtId="0" xfId="0" applyAlignment="1" applyBorder="1" applyFill="1" applyFont="1">
      <alignment horizontal="left" readingOrder="0"/>
    </xf>
    <xf borderId="18" fillId="9" fontId="5" numFmtId="166" xfId="0" applyBorder="1" applyFill="1" applyFont="1" applyNumberFormat="1"/>
    <xf borderId="16" fillId="9" fontId="5" numFmtId="166" xfId="0" applyBorder="1" applyFill="1" applyFont="1" applyNumberFormat="1"/>
    <xf borderId="0" fillId="6" fontId="10" numFmtId="0" xfId="0" applyFill="1" applyFont="1"/>
    <xf borderId="0" fillId="6" fontId="10" numFmtId="166" xfId="0" applyFill="1" applyFont="1" applyNumberFormat="1"/>
    <xf borderId="0" fillId="6" fontId="10" numFmtId="166" xfId="0" applyAlignment="1" applyFill="1" applyFont="1" applyNumberFormat="1">
      <alignment readingOrder="0"/>
    </xf>
    <xf borderId="0" fillId="6" fontId="5" numFmtId="0" xfId="0" applyFill="1" applyFont="1"/>
    <xf borderId="0" fillId="6" fontId="5" numFmtId="0" xfId="0" applyAlignment="1" applyFill="1" applyFont="1">
      <alignment horizontal="right"/>
    </xf>
    <xf borderId="0" fillId="6" fontId="5" numFmtId="0" xfId="0" applyAlignment="1" applyFill="1" applyFont="1">
      <alignment horizontal="right" readingOrder="0"/>
    </xf>
    <xf borderId="0" fillId="6" fontId="5" numFmtId="166" xfId="0" applyFill="1" applyFont="1" applyNumberFormat="1"/>
    <xf borderId="0" fillId="6" fontId="5" numFmtId="10" xfId="0" applyAlignment="1" applyFill="1" applyFont="1" applyNumberFormat="1">
      <alignment readingOrder="0"/>
    </xf>
    <xf borderId="0" fillId="6" fontId="5" numFmtId="0" xfId="0" applyAlignment="1" applyFill="1" applyFont="1">
      <alignment horizontal="left" readingOrder="0"/>
    </xf>
    <xf borderId="0" fillId="6" fontId="9" numFmtId="166" xfId="0" applyFill="1" applyFont="1" applyNumberFormat="1"/>
    <xf borderId="12" fillId="6" fontId="9" numFmtId="0" xfId="0" applyAlignment="1" applyBorder="1" applyFill="1" applyFont="1">
      <alignment readingOrder="0"/>
    </xf>
    <xf borderId="14" fillId="6" fontId="5" numFmtId="0" xfId="0" applyAlignment="1" applyBorder="1" applyFill="1" applyFont="1">
      <alignment readingOrder="0"/>
    </xf>
    <xf borderId="10" fillId="6" fontId="9" numFmtId="0" xfId="0" applyAlignment="1" applyBorder="1" applyFill="1" applyFont="1">
      <alignment readingOrder="0"/>
    </xf>
    <xf borderId="0" fillId="6" fontId="5" numFmtId="0" xfId="0" applyAlignment="1" applyFill="1" applyFont="1">
      <alignment readingOrder="0"/>
    </xf>
    <xf borderId="17" fillId="6" fontId="9" numFmtId="0" xfId="0" applyAlignment="1" applyBorder="1" applyFill="1" applyFont="1">
      <alignment readingOrder="0"/>
    </xf>
    <xf borderId="18" fillId="6" fontId="5" numFmtId="0" xfId="0" applyAlignment="1" applyBorder="1" applyFill="1" applyFont="1">
      <alignment readingOrder="0"/>
    </xf>
    <xf borderId="0" fillId="6" fontId="11" numFmtId="0" xfId="0" applyFill="1" applyFont="1"/>
    <xf borderId="0" fillId="6" fontId="10" numFmtId="166" xfId="0" applyAlignment="1" applyFill="1" applyFont="1" applyNumberFormat="1">
      <alignment horizontal="right"/>
    </xf>
    <xf borderId="0" fillId="6" fontId="12" numFmtId="49" xfId="0" applyAlignment="1" applyFill="1" applyFont="1" applyNumberFormat="1">
      <alignment readingOrder="0"/>
    </xf>
    <xf borderId="0" fillId="6" fontId="5" numFmtId="166" xfId="0" applyAlignment="1" applyFill="1" applyFont="1" applyNumberFormat="1">
      <alignment horizontal="right"/>
    </xf>
    <xf borderId="0" fillId="6" fontId="5" numFmtId="166" xfId="0" applyAlignment="1" applyFill="1" applyFont="1" applyNumberFormat="1">
      <alignment horizontal="right" readingOrder="0"/>
    </xf>
    <xf borderId="0" fillId="0" fontId="13" numFmtId="0" xfId="0" applyAlignment="1" applyFont="1">
      <alignment readingOrder="0"/>
    </xf>
    <xf borderId="0" fillId="0" fontId="11" numFmtId="0" xfId="0" applyFont="1"/>
    <xf borderId="0" fillId="6" fontId="5" numFmtId="166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leted account" id="{74e338fc-dad0-45b0-bec3-1b4c3cadfcd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3-01-16T21:35:56.00" personId="{74e338fc-dad0-45b0-bec3-1b4c3cadfcd0}" id="{115fa007-00f8-45d8-a3df-c2f65de4ff3e}" done="1">
    <x18tc:text xml:space="preserve">Don't forget to add the fountain and drink service numbers each week.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11" width="3.67"/>
    <col customWidth="1" min="12" max="12" width="6.56"/>
    <col customWidth="1" min="13" max="13" width="5.0"/>
    <col customWidth="1" min="14" max="22" width="3.67"/>
    <col customWidth="1" min="23" max="23" width="3.0"/>
    <col customWidth="1" min="24" max="35" width="3.67"/>
    <col customWidth="1" min="36" max="36" width="12.0"/>
    <col customWidth="1" min="37" max="37" width="10.44"/>
    <col customWidth="1" min="38" max="38" width="11.56"/>
    <col customWidth="1" min="39" max="39" width="11.44"/>
    <col customWidth="1" min="40" max="40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5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6" t="s">
        <v>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7" t="s">
        <v>4</v>
      </c>
      <c r="AK1" s="8"/>
      <c r="AL1" s="8"/>
      <c r="AM1" s="8"/>
      <c r="AN1" s="9"/>
    </row>
    <row r="2" ht="130.5" customHeight="1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2" t="s">
        <v>10</v>
      </c>
      <c r="G2" s="13">
        <v>25.54</v>
      </c>
      <c r="H2" s="14" t="s">
        <v>11</v>
      </c>
      <c r="I2" s="13">
        <v>25.54</v>
      </c>
      <c r="J2" s="14" t="s">
        <v>12</v>
      </c>
      <c r="K2" s="13">
        <v>25.54</v>
      </c>
      <c r="L2" s="14" t="s">
        <v>10</v>
      </c>
      <c r="M2" s="13">
        <v>16.22</v>
      </c>
      <c r="N2" s="14" t="s">
        <v>11</v>
      </c>
      <c r="O2" s="13">
        <v>16.22</v>
      </c>
      <c r="P2" s="14" t="s">
        <v>12</v>
      </c>
      <c r="Q2" s="13">
        <v>16.22</v>
      </c>
      <c r="R2" s="15" t="s">
        <v>13</v>
      </c>
      <c r="S2" s="13">
        <v>6.44</v>
      </c>
      <c r="T2" s="16" t="s">
        <v>14</v>
      </c>
      <c r="U2" s="16">
        <v>0.0</v>
      </c>
      <c r="V2" s="16" t="s">
        <v>14</v>
      </c>
      <c r="W2" s="16">
        <v>0.0</v>
      </c>
      <c r="X2" s="16" t="s">
        <v>14</v>
      </c>
      <c r="Y2" s="16">
        <v>0.0</v>
      </c>
      <c r="Z2" s="16" t="s">
        <v>14</v>
      </c>
      <c r="AA2" s="16">
        <v>0.0</v>
      </c>
      <c r="AB2" s="16" t="s">
        <v>14</v>
      </c>
      <c r="AC2" s="16">
        <v>0.0</v>
      </c>
      <c r="AD2" s="16" t="s">
        <v>14</v>
      </c>
      <c r="AE2" s="16">
        <v>0.0</v>
      </c>
      <c r="AF2" s="16" t="s">
        <v>14</v>
      </c>
      <c r="AG2" s="16">
        <v>0.0</v>
      </c>
      <c r="AH2" s="16" t="s">
        <v>14</v>
      </c>
      <c r="AI2" s="16">
        <v>0.0</v>
      </c>
      <c r="AJ2" s="17" t="s">
        <v>15</v>
      </c>
      <c r="AK2" s="17" t="s">
        <v>16</v>
      </c>
      <c r="AL2" s="17" t="s">
        <v>17</v>
      </c>
      <c r="AM2" s="17" t="s">
        <v>18</v>
      </c>
      <c r="AN2" s="17" t="s">
        <v>19</v>
      </c>
    </row>
    <row r="3" ht="15.75" customHeight="1">
      <c r="A3" s="18" t="s">
        <v>20</v>
      </c>
      <c r="B3" s="19">
        <v>44563.0</v>
      </c>
      <c r="C3" s="20">
        <v>1.0</v>
      </c>
      <c r="D3" s="21" t="s">
        <v>21</v>
      </c>
      <c r="E3" s="22"/>
      <c r="F3" s="23"/>
      <c r="H3" s="24"/>
      <c r="J3" s="24"/>
      <c r="L3" s="25">
        <v>0.0</v>
      </c>
      <c r="N3" s="26">
        <v>0.0</v>
      </c>
      <c r="P3" s="24"/>
      <c r="R3" s="26">
        <v>0.0</v>
      </c>
      <c r="T3" s="24"/>
      <c r="V3" s="24"/>
      <c r="W3" s="27"/>
      <c r="X3" s="23"/>
      <c r="Z3" s="24"/>
      <c r="AB3" s="24"/>
      <c r="AD3" s="24"/>
      <c r="AF3" s="24"/>
      <c r="AH3" s="24"/>
      <c r="AI3" s="27"/>
      <c r="AJ3" s="28">
        <f t="shared" ref="AJ3:AJ359" si="1">(F3*G$2)+(H3*I$2)+(J3*K$2)+(L3*M$2)+(N3*O$2)+(P3*Q$2)+(R3*S$2)+(T3*U$2)+(V3*W$2)+(X3*Y$2)+(Z3*AA$2)+(AB3*AC$2)+(AD3*AE$2)+(AF3*AG$2)+(AH3*AI$2)</f>
        <v>0</v>
      </c>
      <c r="AK3" s="20">
        <f t="shared" ref="AK3:AK359" si="2">sum(F3,H3,J3,L3,N3,P3)</f>
        <v>0</v>
      </c>
      <c r="AL3" s="20">
        <f t="shared" ref="AL3:AL359" si="3">R3</f>
        <v>0</v>
      </c>
      <c r="AM3" s="20">
        <f t="shared" ref="AM3:AM359" si="4">sum(F3:AI3)</f>
        <v>0</v>
      </c>
      <c r="AN3" s="31" t="str">
        <f t="shared" ref="AN3:AN359" si="5">iferror(AJ3/AM3,"")</f>
        <v/>
      </c>
    </row>
    <row r="4" ht="15.75" customHeight="1">
      <c r="A4" s="32" t="s">
        <v>22</v>
      </c>
      <c r="B4" s="34">
        <f t="shared" ref="B4:B359" si="6">B3+1</f>
        <v>44564</v>
      </c>
      <c r="C4" s="35">
        <v>1.0</v>
      </c>
      <c r="D4" s="36" t="s">
        <v>21</v>
      </c>
      <c r="E4" s="37"/>
      <c r="F4" s="23"/>
      <c r="H4" s="24"/>
      <c r="J4" s="24"/>
      <c r="L4" s="25">
        <v>0.0</v>
      </c>
      <c r="N4" s="26">
        <v>0.0</v>
      </c>
      <c r="P4" s="24"/>
      <c r="R4" s="26">
        <v>0.0</v>
      </c>
      <c r="T4" s="24"/>
      <c r="V4" s="24"/>
      <c r="W4" s="27"/>
      <c r="X4" s="23"/>
      <c r="Z4" s="24"/>
      <c r="AB4" s="24"/>
      <c r="AD4" s="24"/>
      <c r="AF4" s="24"/>
      <c r="AH4" s="24"/>
      <c r="AI4" s="27"/>
      <c r="AJ4" s="39">
        <f t="shared" si="1"/>
        <v>0</v>
      </c>
      <c r="AK4" s="35">
        <f t="shared" si="2"/>
        <v>0</v>
      </c>
      <c r="AL4" s="35">
        <f t="shared" si="3"/>
        <v>0</v>
      </c>
      <c r="AM4" s="35">
        <f t="shared" si="4"/>
        <v>0</v>
      </c>
      <c r="AN4" s="40" t="str">
        <f t="shared" si="5"/>
        <v/>
      </c>
    </row>
    <row r="5" ht="15.75" customHeight="1">
      <c r="A5" s="32" t="s">
        <v>24</v>
      </c>
      <c r="B5" s="34">
        <f t="shared" si="6"/>
        <v>44565</v>
      </c>
      <c r="C5" s="35">
        <v>1.0</v>
      </c>
      <c r="D5" s="36" t="s">
        <v>21</v>
      </c>
      <c r="E5" s="37"/>
      <c r="F5" s="23"/>
      <c r="H5" s="24"/>
      <c r="J5" s="24"/>
      <c r="L5" s="25">
        <v>0.0</v>
      </c>
      <c r="N5" s="26">
        <v>0.0</v>
      </c>
      <c r="P5" s="24"/>
      <c r="R5" s="26">
        <v>0.0</v>
      </c>
      <c r="T5" s="24"/>
      <c r="V5" s="24"/>
      <c r="W5" s="27"/>
      <c r="X5" s="23"/>
      <c r="Z5" s="24"/>
      <c r="AB5" s="24"/>
      <c r="AD5" s="24"/>
      <c r="AF5" s="24"/>
      <c r="AH5" s="24"/>
      <c r="AI5" s="27"/>
      <c r="AJ5" s="39">
        <f t="shared" si="1"/>
        <v>0</v>
      </c>
      <c r="AK5" s="35">
        <f t="shared" si="2"/>
        <v>0</v>
      </c>
      <c r="AL5" s="35">
        <f t="shared" si="3"/>
        <v>0</v>
      </c>
      <c r="AM5" s="35">
        <f t="shared" si="4"/>
        <v>0</v>
      </c>
      <c r="AN5" s="40" t="str">
        <f t="shared" si="5"/>
        <v/>
      </c>
    </row>
    <row r="6" ht="15.75" customHeight="1">
      <c r="A6" s="32" t="s">
        <v>28</v>
      </c>
      <c r="B6" s="34">
        <f t="shared" si="6"/>
        <v>44566</v>
      </c>
      <c r="C6" s="35">
        <v>1.0</v>
      </c>
      <c r="D6" s="36" t="s">
        <v>21</v>
      </c>
      <c r="E6" s="37"/>
      <c r="F6" s="23"/>
      <c r="H6" s="24"/>
      <c r="J6" s="24"/>
      <c r="L6" s="25">
        <v>0.0</v>
      </c>
      <c r="N6" s="26">
        <v>0.0</v>
      </c>
      <c r="P6" s="24"/>
      <c r="R6" s="26">
        <v>0.0</v>
      </c>
      <c r="T6" s="24"/>
      <c r="V6" s="24"/>
      <c r="W6" s="27"/>
      <c r="X6" s="23"/>
      <c r="Z6" s="24"/>
      <c r="AB6" s="24"/>
      <c r="AD6" s="24"/>
      <c r="AF6" s="24"/>
      <c r="AH6" s="24"/>
      <c r="AI6" s="27"/>
      <c r="AJ6" s="39">
        <f t="shared" si="1"/>
        <v>0</v>
      </c>
      <c r="AK6" s="35">
        <f t="shared" si="2"/>
        <v>0</v>
      </c>
      <c r="AL6" s="35">
        <f t="shared" si="3"/>
        <v>0</v>
      </c>
      <c r="AM6" s="35">
        <f t="shared" si="4"/>
        <v>0</v>
      </c>
      <c r="AN6" s="40" t="str">
        <f t="shared" si="5"/>
        <v/>
      </c>
    </row>
    <row r="7" ht="15.75" customHeight="1">
      <c r="A7" s="32" t="s">
        <v>29</v>
      </c>
      <c r="B7" s="34">
        <f t="shared" si="6"/>
        <v>44567</v>
      </c>
      <c r="C7" s="35">
        <v>1.0</v>
      </c>
      <c r="D7" s="36" t="s">
        <v>21</v>
      </c>
      <c r="E7" s="37"/>
      <c r="F7" s="23"/>
      <c r="H7" s="24"/>
      <c r="J7" s="24"/>
      <c r="L7" s="25">
        <v>0.0</v>
      </c>
      <c r="N7" s="26">
        <v>0.0</v>
      </c>
      <c r="P7" s="24"/>
      <c r="R7" s="26">
        <v>0.0</v>
      </c>
      <c r="T7" s="24"/>
      <c r="V7" s="24"/>
      <c r="W7" s="27"/>
      <c r="X7" s="23"/>
      <c r="Z7" s="24"/>
      <c r="AB7" s="24"/>
      <c r="AD7" s="24"/>
      <c r="AF7" s="24"/>
      <c r="AH7" s="24"/>
      <c r="AI7" s="27"/>
      <c r="AJ7" s="39">
        <f t="shared" si="1"/>
        <v>0</v>
      </c>
      <c r="AK7" s="35">
        <f t="shared" si="2"/>
        <v>0</v>
      </c>
      <c r="AL7" s="35">
        <f t="shared" si="3"/>
        <v>0</v>
      </c>
      <c r="AM7" s="35">
        <f t="shared" si="4"/>
        <v>0</v>
      </c>
      <c r="AN7" s="40" t="str">
        <f t="shared" si="5"/>
        <v/>
      </c>
    </row>
    <row r="8" ht="15.75" customHeight="1">
      <c r="A8" s="32" t="s">
        <v>30</v>
      </c>
      <c r="B8" s="34">
        <f t="shared" si="6"/>
        <v>44568</v>
      </c>
      <c r="C8" s="35">
        <v>1.0</v>
      </c>
      <c r="D8" s="36" t="s">
        <v>21</v>
      </c>
      <c r="E8" s="37"/>
      <c r="F8" s="23"/>
      <c r="H8" s="24"/>
      <c r="J8" s="24"/>
      <c r="L8" s="25">
        <v>0.0</v>
      </c>
      <c r="N8" s="26">
        <v>0.0</v>
      </c>
      <c r="P8" s="24"/>
      <c r="R8" s="26">
        <v>0.0</v>
      </c>
      <c r="T8" s="24"/>
      <c r="V8" s="24"/>
      <c r="W8" s="27"/>
      <c r="X8" s="23"/>
      <c r="Z8" s="24"/>
      <c r="AB8" s="24"/>
      <c r="AD8" s="24"/>
      <c r="AF8" s="24"/>
      <c r="AH8" s="24"/>
      <c r="AI8" s="27"/>
      <c r="AJ8" s="39">
        <f t="shared" si="1"/>
        <v>0</v>
      </c>
      <c r="AK8" s="35">
        <f t="shared" si="2"/>
        <v>0</v>
      </c>
      <c r="AL8" s="35">
        <f t="shared" si="3"/>
        <v>0</v>
      </c>
      <c r="AM8" s="35">
        <f t="shared" si="4"/>
        <v>0</v>
      </c>
      <c r="AN8" s="40" t="str">
        <f t="shared" si="5"/>
        <v/>
      </c>
    </row>
    <row r="9" ht="15.75" customHeight="1">
      <c r="A9" s="48" t="s">
        <v>31</v>
      </c>
      <c r="B9" s="50">
        <f t="shared" si="6"/>
        <v>44569</v>
      </c>
      <c r="C9" s="51">
        <v>1.0</v>
      </c>
      <c r="D9" s="52" t="s">
        <v>21</v>
      </c>
      <c r="E9" s="53"/>
      <c r="F9" s="54"/>
      <c r="G9" s="56"/>
      <c r="H9" s="57"/>
      <c r="I9" s="56"/>
      <c r="J9" s="57"/>
      <c r="K9" s="56"/>
      <c r="L9" s="58">
        <v>0.0</v>
      </c>
      <c r="M9" s="56"/>
      <c r="N9" s="59">
        <v>0.0</v>
      </c>
      <c r="O9" s="56"/>
      <c r="P9" s="57"/>
      <c r="Q9" s="56"/>
      <c r="R9" s="59">
        <v>0.0</v>
      </c>
      <c r="S9" s="56"/>
      <c r="T9" s="57"/>
      <c r="U9" s="56"/>
      <c r="V9" s="57"/>
      <c r="W9" s="60"/>
      <c r="X9" s="54"/>
      <c r="Y9" s="56"/>
      <c r="Z9" s="57"/>
      <c r="AA9" s="56"/>
      <c r="AB9" s="57"/>
      <c r="AC9" s="56"/>
      <c r="AD9" s="57"/>
      <c r="AE9" s="56"/>
      <c r="AF9" s="57"/>
      <c r="AG9" s="56"/>
      <c r="AH9" s="57"/>
      <c r="AI9" s="60"/>
      <c r="AJ9" s="61">
        <f t="shared" si="1"/>
        <v>0</v>
      </c>
      <c r="AK9" s="51">
        <f t="shared" si="2"/>
        <v>0</v>
      </c>
      <c r="AL9" s="51">
        <f t="shared" si="3"/>
        <v>0</v>
      </c>
      <c r="AM9" s="51">
        <f t="shared" si="4"/>
        <v>0</v>
      </c>
      <c r="AN9" s="63" t="str">
        <f t="shared" si="5"/>
        <v/>
      </c>
    </row>
    <row r="10" ht="15.75" customHeight="1">
      <c r="A10" s="18" t="s">
        <v>20</v>
      </c>
      <c r="B10" s="64">
        <f t="shared" si="6"/>
        <v>44570</v>
      </c>
      <c r="C10" s="20">
        <v>1.0</v>
      </c>
      <c r="D10" s="20" t="s">
        <v>32</v>
      </c>
      <c r="E10" s="22"/>
      <c r="F10" s="23"/>
      <c r="H10" s="24"/>
      <c r="J10" s="24"/>
      <c r="L10" s="29">
        <v>43.0</v>
      </c>
      <c r="N10" s="30">
        <v>43.0</v>
      </c>
      <c r="P10" s="24"/>
      <c r="R10" s="26">
        <v>0.0</v>
      </c>
      <c r="T10" s="24"/>
      <c r="V10" s="24"/>
      <c r="W10" s="27"/>
      <c r="X10" s="23"/>
      <c r="Z10" s="24"/>
      <c r="AB10" s="24"/>
      <c r="AD10" s="24"/>
      <c r="AF10" s="24"/>
      <c r="AH10" s="24"/>
      <c r="AI10" s="27"/>
      <c r="AJ10" s="28">
        <f t="shared" si="1"/>
        <v>1394.92</v>
      </c>
      <c r="AK10" s="20">
        <f t="shared" si="2"/>
        <v>86</v>
      </c>
      <c r="AL10" s="20">
        <f t="shared" si="3"/>
        <v>0</v>
      </c>
      <c r="AM10" s="20">
        <f t="shared" si="4"/>
        <v>86</v>
      </c>
      <c r="AN10" s="31">
        <f t="shared" si="5"/>
        <v>16.22</v>
      </c>
    </row>
    <row r="11" ht="15.75" customHeight="1">
      <c r="A11" s="32" t="s">
        <v>22</v>
      </c>
      <c r="B11" s="34">
        <f t="shared" si="6"/>
        <v>44571</v>
      </c>
      <c r="C11" s="35">
        <v>1.0</v>
      </c>
      <c r="D11" s="35" t="s">
        <v>32</v>
      </c>
      <c r="E11" s="37"/>
      <c r="F11" s="23"/>
      <c r="H11" s="24"/>
      <c r="J11" s="24"/>
      <c r="L11" s="29">
        <v>43.0</v>
      </c>
      <c r="N11" s="30">
        <v>43.0</v>
      </c>
      <c r="P11" s="24"/>
      <c r="R11" s="26">
        <v>0.0</v>
      </c>
      <c r="T11" s="24"/>
      <c r="V11" s="24"/>
      <c r="W11" s="27"/>
      <c r="X11" s="23"/>
      <c r="Z11" s="24"/>
      <c r="AB11" s="24"/>
      <c r="AD11" s="24"/>
      <c r="AF11" s="24"/>
      <c r="AH11" s="24"/>
      <c r="AI11" s="27"/>
      <c r="AJ11" s="39">
        <f t="shared" si="1"/>
        <v>1394.92</v>
      </c>
      <c r="AK11" s="35">
        <f t="shared" si="2"/>
        <v>86</v>
      </c>
      <c r="AL11" s="35">
        <f t="shared" si="3"/>
        <v>0</v>
      </c>
      <c r="AM11" s="35">
        <f t="shared" si="4"/>
        <v>86</v>
      </c>
      <c r="AN11" s="40">
        <f t="shared" si="5"/>
        <v>16.22</v>
      </c>
    </row>
    <row r="12" ht="15.75" customHeight="1">
      <c r="A12" s="32" t="s">
        <v>24</v>
      </c>
      <c r="B12" s="34">
        <f t="shared" si="6"/>
        <v>44572</v>
      </c>
      <c r="C12" s="35">
        <v>1.0</v>
      </c>
      <c r="D12" s="35" t="s">
        <v>32</v>
      </c>
      <c r="E12" s="37"/>
      <c r="F12" s="23"/>
      <c r="H12" s="24"/>
      <c r="J12" s="24"/>
      <c r="L12" s="29">
        <v>43.0</v>
      </c>
      <c r="N12" s="30">
        <v>43.0</v>
      </c>
      <c r="P12" s="24"/>
      <c r="R12" s="26">
        <v>0.0</v>
      </c>
      <c r="T12" s="24"/>
      <c r="V12" s="24"/>
      <c r="W12" s="27"/>
      <c r="X12" s="23"/>
      <c r="Z12" s="24"/>
      <c r="AB12" s="24"/>
      <c r="AD12" s="24"/>
      <c r="AF12" s="24"/>
      <c r="AH12" s="24"/>
      <c r="AI12" s="27"/>
      <c r="AJ12" s="39">
        <f t="shared" si="1"/>
        <v>1394.92</v>
      </c>
      <c r="AK12" s="35">
        <f t="shared" si="2"/>
        <v>86</v>
      </c>
      <c r="AL12" s="35">
        <f t="shared" si="3"/>
        <v>0</v>
      </c>
      <c r="AM12" s="35">
        <f t="shared" si="4"/>
        <v>86</v>
      </c>
      <c r="AN12" s="40">
        <f t="shared" si="5"/>
        <v>16.22</v>
      </c>
    </row>
    <row r="13" ht="15.75" customHeight="1">
      <c r="A13" s="32" t="s">
        <v>28</v>
      </c>
      <c r="B13" s="34">
        <f t="shared" si="6"/>
        <v>44573</v>
      </c>
      <c r="C13" s="35">
        <v>1.0</v>
      </c>
      <c r="D13" s="35" t="s">
        <v>32</v>
      </c>
      <c r="E13" s="37"/>
      <c r="F13" s="23"/>
      <c r="H13" s="24"/>
      <c r="J13" s="24"/>
      <c r="L13" s="29">
        <v>43.0</v>
      </c>
      <c r="N13" s="30">
        <v>43.0</v>
      </c>
      <c r="P13" s="24"/>
      <c r="R13" s="26">
        <v>0.0</v>
      </c>
      <c r="T13" s="24"/>
      <c r="V13" s="24"/>
      <c r="W13" s="27"/>
      <c r="X13" s="23"/>
      <c r="Z13" s="24"/>
      <c r="AB13" s="24"/>
      <c r="AD13" s="24"/>
      <c r="AF13" s="24"/>
      <c r="AH13" s="24"/>
      <c r="AI13" s="27"/>
      <c r="AJ13" s="39">
        <f t="shared" si="1"/>
        <v>1394.92</v>
      </c>
      <c r="AK13" s="35">
        <f t="shared" si="2"/>
        <v>86</v>
      </c>
      <c r="AL13" s="35">
        <f t="shared" si="3"/>
        <v>0</v>
      </c>
      <c r="AM13" s="35">
        <f t="shared" si="4"/>
        <v>86</v>
      </c>
      <c r="AN13" s="40">
        <f t="shared" si="5"/>
        <v>16.22</v>
      </c>
    </row>
    <row r="14" ht="15.75" customHeight="1">
      <c r="A14" s="32" t="s">
        <v>29</v>
      </c>
      <c r="B14" s="34">
        <f t="shared" si="6"/>
        <v>44574</v>
      </c>
      <c r="C14" s="35">
        <v>1.0</v>
      </c>
      <c r="D14" s="35" t="s">
        <v>32</v>
      </c>
      <c r="E14" s="37"/>
      <c r="F14" s="23"/>
      <c r="H14" s="24"/>
      <c r="J14" s="24"/>
      <c r="L14" s="29">
        <v>43.0</v>
      </c>
      <c r="N14" s="30">
        <v>43.0</v>
      </c>
      <c r="P14" s="24"/>
      <c r="R14" s="26">
        <v>0.0</v>
      </c>
      <c r="T14" s="24"/>
      <c r="V14" s="24"/>
      <c r="W14" s="27"/>
      <c r="X14" s="23"/>
      <c r="Z14" s="24"/>
      <c r="AB14" s="24"/>
      <c r="AD14" s="24"/>
      <c r="AF14" s="24"/>
      <c r="AH14" s="24"/>
      <c r="AI14" s="27"/>
      <c r="AJ14" s="39">
        <f t="shared" si="1"/>
        <v>1394.92</v>
      </c>
      <c r="AK14" s="35">
        <f t="shared" si="2"/>
        <v>86</v>
      </c>
      <c r="AL14" s="35">
        <f t="shared" si="3"/>
        <v>0</v>
      </c>
      <c r="AM14" s="35">
        <f t="shared" si="4"/>
        <v>86</v>
      </c>
      <c r="AN14" s="40">
        <f t="shared" si="5"/>
        <v>16.22</v>
      </c>
    </row>
    <row r="15" ht="15.75" customHeight="1">
      <c r="A15" s="32" t="s">
        <v>30</v>
      </c>
      <c r="B15" s="34">
        <f t="shared" si="6"/>
        <v>44575</v>
      </c>
      <c r="C15" s="35">
        <v>1.0</v>
      </c>
      <c r="D15" s="35" t="s">
        <v>32</v>
      </c>
      <c r="E15" s="37"/>
      <c r="F15" s="23"/>
      <c r="H15" s="24"/>
      <c r="J15" s="24"/>
      <c r="L15" s="29">
        <v>43.0</v>
      </c>
      <c r="N15" s="30">
        <v>43.0</v>
      </c>
      <c r="P15" s="24"/>
      <c r="R15" s="26">
        <v>0.0</v>
      </c>
      <c r="T15" s="24"/>
      <c r="V15" s="24"/>
      <c r="W15" s="27"/>
      <c r="X15" s="23"/>
      <c r="Z15" s="24"/>
      <c r="AB15" s="24"/>
      <c r="AD15" s="24"/>
      <c r="AF15" s="24"/>
      <c r="AH15" s="24"/>
      <c r="AI15" s="27"/>
      <c r="AJ15" s="39">
        <f t="shared" si="1"/>
        <v>1394.92</v>
      </c>
      <c r="AK15" s="35">
        <f t="shared" si="2"/>
        <v>86</v>
      </c>
      <c r="AL15" s="35">
        <f t="shared" si="3"/>
        <v>0</v>
      </c>
      <c r="AM15" s="35">
        <f t="shared" si="4"/>
        <v>86</v>
      </c>
      <c r="AN15" s="40">
        <f t="shared" si="5"/>
        <v>16.22</v>
      </c>
    </row>
    <row r="16" ht="15.75" customHeight="1">
      <c r="A16" s="48" t="s">
        <v>31</v>
      </c>
      <c r="B16" s="50">
        <f t="shared" si="6"/>
        <v>44576</v>
      </c>
      <c r="C16" s="51">
        <v>1.0</v>
      </c>
      <c r="D16" s="51" t="s">
        <v>32</v>
      </c>
      <c r="E16" s="53"/>
      <c r="F16" s="54"/>
      <c r="G16" s="56"/>
      <c r="H16" s="57"/>
      <c r="I16" s="56"/>
      <c r="J16" s="57"/>
      <c r="K16" s="56"/>
      <c r="L16" s="69">
        <v>43.0</v>
      </c>
      <c r="M16" s="56"/>
      <c r="N16" s="70">
        <v>43.0</v>
      </c>
      <c r="O16" s="56"/>
      <c r="P16" s="57"/>
      <c r="Q16" s="56"/>
      <c r="R16" s="59">
        <v>0.0</v>
      </c>
      <c r="S16" s="56"/>
      <c r="T16" s="57"/>
      <c r="U16" s="56"/>
      <c r="V16" s="57"/>
      <c r="W16" s="60"/>
      <c r="X16" s="54"/>
      <c r="Y16" s="56"/>
      <c r="Z16" s="57"/>
      <c r="AA16" s="56"/>
      <c r="AB16" s="57"/>
      <c r="AC16" s="56"/>
      <c r="AD16" s="57"/>
      <c r="AE16" s="56"/>
      <c r="AF16" s="57"/>
      <c r="AG16" s="56"/>
      <c r="AH16" s="57"/>
      <c r="AI16" s="60"/>
      <c r="AJ16" s="61">
        <f t="shared" si="1"/>
        <v>1394.92</v>
      </c>
      <c r="AK16" s="51">
        <f t="shared" si="2"/>
        <v>86</v>
      </c>
      <c r="AL16" s="51">
        <f t="shared" si="3"/>
        <v>0</v>
      </c>
      <c r="AM16" s="51">
        <f t="shared" si="4"/>
        <v>86</v>
      </c>
      <c r="AN16" s="63">
        <f t="shared" si="5"/>
        <v>16.22</v>
      </c>
    </row>
    <row r="17" ht="15.75" customHeight="1">
      <c r="A17" s="18" t="s">
        <v>20</v>
      </c>
      <c r="B17" s="64">
        <f t="shared" si="6"/>
        <v>44577</v>
      </c>
      <c r="C17" s="20">
        <v>1.0</v>
      </c>
      <c r="D17" s="20" t="s">
        <v>33</v>
      </c>
      <c r="E17" s="22"/>
      <c r="F17" s="23"/>
      <c r="H17" s="24"/>
      <c r="J17" s="24"/>
      <c r="L17" s="29">
        <v>43.0</v>
      </c>
      <c r="N17" s="30">
        <v>43.0</v>
      </c>
      <c r="P17" s="24"/>
      <c r="R17" s="26">
        <v>0.0</v>
      </c>
      <c r="T17" s="24"/>
      <c r="V17" s="24"/>
      <c r="W17" s="27"/>
      <c r="X17" s="23"/>
      <c r="Z17" s="24"/>
      <c r="AB17" s="24"/>
      <c r="AD17" s="24"/>
      <c r="AF17" s="24"/>
      <c r="AH17" s="24"/>
      <c r="AI17" s="27"/>
      <c r="AJ17" s="28">
        <f t="shared" si="1"/>
        <v>1394.92</v>
      </c>
      <c r="AK17" s="20">
        <f t="shared" si="2"/>
        <v>86</v>
      </c>
      <c r="AL17" s="20">
        <f t="shared" si="3"/>
        <v>0</v>
      </c>
      <c r="AM17" s="20">
        <f t="shared" si="4"/>
        <v>86</v>
      </c>
      <c r="AN17" s="31">
        <f t="shared" si="5"/>
        <v>16.22</v>
      </c>
    </row>
    <row r="18" ht="15.75" customHeight="1">
      <c r="A18" s="32" t="s">
        <v>22</v>
      </c>
      <c r="B18" s="34">
        <f t="shared" si="6"/>
        <v>44578</v>
      </c>
      <c r="C18" s="35">
        <v>1.0</v>
      </c>
      <c r="D18" s="35" t="s">
        <v>33</v>
      </c>
      <c r="E18" s="37"/>
      <c r="F18" s="23"/>
      <c r="H18" s="24"/>
      <c r="J18" s="24"/>
      <c r="L18" s="29">
        <v>43.0</v>
      </c>
      <c r="N18" s="30">
        <v>43.0</v>
      </c>
      <c r="P18" s="24"/>
      <c r="R18" s="26">
        <v>0.0</v>
      </c>
      <c r="T18" s="24"/>
      <c r="V18" s="24"/>
      <c r="W18" s="27"/>
      <c r="X18" s="23"/>
      <c r="Z18" s="24"/>
      <c r="AB18" s="24"/>
      <c r="AD18" s="24"/>
      <c r="AF18" s="24"/>
      <c r="AH18" s="24"/>
      <c r="AI18" s="27"/>
      <c r="AJ18" s="39">
        <f t="shared" si="1"/>
        <v>1394.92</v>
      </c>
      <c r="AK18" s="35">
        <f t="shared" si="2"/>
        <v>86</v>
      </c>
      <c r="AL18" s="35">
        <f t="shared" si="3"/>
        <v>0</v>
      </c>
      <c r="AM18" s="35">
        <f t="shared" si="4"/>
        <v>86</v>
      </c>
      <c r="AN18" s="40">
        <f t="shared" si="5"/>
        <v>16.22</v>
      </c>
    </row>
    <row r="19" ht="15.75" customHeight="1">
      <c r="A19" s="32" t="s">
        <v>24</v>
      </c>
      <c r="B19" s="34">
        <f t="shared" si="6"/>
        <v>44579</v>
      </c>
      <c r="C19" s="35">
        <v>1.0</v>
      </c>
      <c r="D19" s="35" t="s">
        <v>33</v>
      </c>
      <c r="E19" s="37"/>
      <c r="F19" s="23"/>
      <c r="H19" s="24"/>
      <c r="J19" s="24"/>
      <c r="L19" s="29">
        <v>43.0</v>
      </c>
      <c r="N19" s="30">
        <v>43.0</v>
      </c>
      <c r="P19" s="24"/>
      <c r="R19" s="26">
        <v>0.0</v>
      </c>
      <c r="T19" s="24"/>
      <c r="V19" s="24"/>
      <c r="W19" s="27"/>
      <c r="X19" s="23"/>
      <c r="Z19" s="24"/>
      <c r="AB19" s="24"/>
      <c r="AD19" s="24"/>
      <c r="AF19" s="24"/>
      <c r="AH19" s="24"/>
      <c r="AI19" s="27"/>
      <c r="AJ19" s="39">
        <f t="shared" si="1"/>
        <v>1394.92</v>
      </c>
      <c r="AK19" s="35">
        <f t="shared" si="2"/>
        <v>86</v>
      </c>
      <c r="AL19" s="35">
        <f t="shared" si="3"/>
        <v>0</v>
      </c>
      <c r="AM19" s="35">
        <f t="shared" si="4"/>
        <v>86</v>
      </c>
      <c r="AN19" s="40">
        <f t="shared" si="5"/>
        <v>16.22</v>
      </c>
    </row>
    <row r="20" ht="15.75" customHeight="1">
      <c r="A20" s="32" t="s">
        <v>28</v>
      </c>
      <c r="B20" s="34">
        <f t="shared" si="6"/>
        <v>44580</v>
      </c>
      <c r="C20" s="35">
        <v>1.0</v>
      </c>
      <c r="D20" s="35" t="s">
        <v>33</v>
      </c>
      <c r="E20" s="37"/>
      <c r="F20" s="23"/>
      <c r="H20" s="24"/>
      <c r="J20" s="24"/>
      <c r="L20" s="29">
        <v>43.0</v>
      </c>
      <c r="N20" s="30">
        <v>43.0</v>
      </c>
      <c r="P20" s="24"/>
      <c r="R20" s="26">
        <v>0.0</v>
      </c>
      <c r="T20" s="24"/>
      <c r="V20" s="24"/>
      <c r="W20" s="27"/>
      <c r="X20" s="23"/>
      <c r="Z20" s="24"/>
      <c r="AB20" s="24"/>
      <c r="AD20" s="24"/>
      <c r="AF20" s="24"/>
      <c r="AH20" s="24"/>
      <c r="AI20" s="27"/>
      <c r="AJ20" s="39">
        <f t="shared" si="1"/>
        <v>1394.92</v>
      </c>
      <c r="AK20" s="35">
        <f t="shared" si="2"/>
        <v>86</v>
      </c>
      <c r="AL20" s="35">
        <f t="shared" si="3"/>
        <v>0</v>
      </c>
      <c r="AM20" s="35">
        <f t="shared" si="4"/>
        <v>86</v>
      </c>
      <c r="AN20" s="40">
        <f t="shared" si="5"/>
        <v>16.22</v>
      </c>
    </row>
    <row r="21" ht="15.75" customHeight="1">
      <c r="A21" s="32" t="s">
        <v>29</v>
      </c>
      <c r="B21" s="34">
        <f t="shared" si="6"/>
        <v>44581</v>
      </c>
      <c r="C21" s="35">
        <v>1.0</v>
      </c>
      <c r="D21" s="35" t="s">
        <v>33</v>
      </c>
      <c r="E21" s="37"/>
      <c r="F21" s="23"/>
      <c r="H21" s="24"/>
      <c r="J21" s="24"/>
      <c r="L21" s="29">
        <v>43.0</v>
      </c>
      <c r="N21" s="30">
        <v>43.0</v>
      </c>
      <c r="P21" s="24"/>
      <c r="R21" s="26">
        <v>0.0</v>
      </c>
      <c r="T21" s="24"/>
      <c r="V21" s="24"/>
      <c r="W21" s="27"/>
      <c r="X21" s="23"/>
      <c r="Z21" s="24"/>
      <c r="AB21" s="24"/>
      <c r="AD21" s="24"/>
      <c r="AF21" s="24"/>
      <c r="AH21" s="24"/>
      <c r="AI21" s="27"/>
      <c r="AJ21" s="39">
        <f t="shared" si="1"/>
        <v>1394.92</v>
      </c>
      <c r="AK21" s="35">
        <f t="shared" si="2"/>
        <v>86</v>
      </c>
      <c r="AL21" s="35">
        <f t="shared" si="3"/>
        <v>0</v>
      </c>
      <c r="AM21" s="35">
        <f t="shared" si="4"/>
        <v>86</v>
      </c>
      <c r="AN21" s="40">
        <f t="shared" si="5"/>
        <v>16.22</v>
      </c>
    </row>
    <row r="22" ht="15.75" customHeight="1">
      <c r="A22" s="32" t="s">
        <v>30</v>
      </c>
      <c r="B22" s="34">
        <f t="shared" si="6"/>
        <v>44582</v>
      </c>
      <c r="C22" s="35">
        <v>1.0</v>
      </c>
      <c r="D22" s="35" t="s">
        <v>33</v>
      </c>
      <c r="E22" s="37"/>
      <c r="F22" s="23"/>
      <c r="H22" s="24"/>
      <c r="J22" s="24"/>
      <c r="L22" s="29">
        <v>43.0</v>
      </c>
      <c r="N22" s="30">
        <v>43.0</v>
      </c>
      <c r="P22" s="24"/>
      <c r="R22" s="26">
        <v>0.0</v>
      </c>
      <c r="T22" s="24"/>
      <c r="V22" s="24"/>
      <c r="W22" s="27"/>
      <c r="X22" s="23"/>
      <c r="Z22" s="24"/>
      <c r="AB22" s="24"/>
      <c r="AD22" s="24"/>
      <c r="AF22" s="24"/>
      <c r="AH22" s="24"/>
      <c r="AI22" s="27"/>
      <c r="AJ22" s="39">
        <f t="shared" si="1"/>
        <v>1394.92</v>
      </c>
      <c r="AK22" s="35">
        <f t="shared" si="2"/>
        <v>86</v>
      </c>
      <c r="AL22" s="35">
        <f t="shared" si="3"/>
        <v>0</v>
      </c>
      <c r="AM22" s="35">
        <f t="shared" si="4"/>
        <v>86</v>
      </c>
      <c r="AN22" s="40">
        <f t="shared" si="5"/>
        <v>16.22</v>
      </c>
    </row>
    <row r="23" ht="15.75" customHeight="1">
      <c r="A23" s="48" t="s">
        <v>31</v>
      </c>
      <c r="B23" s="50">
        <f t="shared" si="6"/>
        <v>44583</v>
      </c>
      <c r="C23" s="51">
        <v>1.0</v>
      </c>
      <c r="D23" s="51" t="s">
        <v>33</v>
      </c>
      <c r="E23" s="53"/>
      <c r="F23" s="54"/>
      <c r="G23" s="56"/>
      <c r="H23" s="57"/>
      <c r="I23" s="56"/>
      <c r="J23" s="57"/>
      <c r="K23" s="56"/>
      <c r="L23" s="69">
        <v>43.0</v>
      </c>
      <c r="M23" s="56"/>
      <c r="N23" s="70">
        <v>43.0</v>
      </c>
      <c r="O23" s="56"/>
      <c r="P23" s="57"/>
      <c r="Q23" s="56"/>
      <c r="R23" s="59">
        <v>0.0</v>
      </c>
      <c r="S23" s="56"/>
      <c r="T23" s="57"/>
      <c r="U23" s="56"/>
      <c r="V23" s="57"/>
      <c r="W23" s="60"/>
      <c r="X23" s="54"/>
      <c r="Y23" s="56"/>
      <c r="Z23" s="57"/>
      <c r="AA23" s="56"/>
      <c r="AB23" s="57"/>
      <c r="AC23" s="56"/>
      <c r="AD23" s="57"/>
      <c r="AE23" s="56"/>
      <c r="AF23" s="57"/>
      <c r="AG23" s="56"/>
      <c r="AH23" s="57"/>
      <c r="AI23" s="60"/>
      <c r="AJ23" s="61">
        <f t="shared" si="1"/>
        <v>1394.92</v>
      </c>
      <c r="AK23" s="51">
        <f t="shared" si="2"/>
        <v>86</v>
      </c>
      <c r="AL23" s="51">
        <f t="shared" si="3"/>
        <v>0</v>
      </c>
      <c r="AM23" s="51">
        <f t="shared" si="4"/>
        <v>86</v>
      </c>
      <c r="AN23" s="63">
        <f t="shared" si="5"/>
        <v>16.22</v>
      </c>
    </row>
    <row r="24" ht="15.75" customHeight="1">
      <c r="A24" s="18" t="s">
        <v>20</v>
      </c>
      <c r="B24" s="64">
        <f t="shared" si="6"/>
        <v>44584</v>
      </c>
      <c r="C24" s="20">
        <v>1.0</v>
      </c>
      <c r="D24" s="20" t="s">
        <v>34</v>
      </c>
      <c r="E24" s="22"/>
      <c r="F24" s="23"/>
      <c r="H24" s="24"/>
      <c r="J24" s="24"/>
      <c r="L24" s="25">
        <v>78.0</v>
      </c>
      <c r="N24" s="26">
        <v>78.0</v>
      </c>
      <c r="P24" s="24"/>
      <c r="R24" s="26">
        <v>0.0</v>
      </c>
      <c r="T24" s="24"/>
      <c r="V24" s="24"/>
      <c r="W24" s="27"/>
      <c r="X24" s="23"/>
      <c r="Z24" s="24"/>
      <c r="AB24" s="24"/>
      <c r="AD24" s="24"/>
      <c r="AF24" s="24"/>
      <c r="AH24" s="24"/>
      <c r="AI24" s="27"/>
      <c r="AJ24" s="28">
        <f t="shared" si="1"/>
        <v>2530.32</v>
      </c>
      <c r="AK24" s="20">
        <f t="shared" si="2"/>
        <v>156</v>
      </c>
      <c r="AL24" s="20">
        <f t="shared" si="3"/>
        <v>0</v>
      </c>
      <c r="AM24" s="20">
        <f t="shared" si="4"/>
        <v>156</v>
      </c>
      <c r="AN24" s="31">
        <f t="shared" si="5"/>
        <v>16.22</v>
      </c>
    </row>
    <row r="25" ht="15.75" customHeight="1">
      <c r="A25" s="32" t="s">
        <v>22</v>
      </c>
      <c r="B25" s="34">
        <f t="shared" si="6"/>
        <v>44585</v>
      </c>
      <c r="C25" s="35">
        <v>1.0</v>
      </c>
      <c r="D25" s="35" t="s">
        <v>34</v>
      </c>
      <c r="E25" s="37"/>
      <c r="F25" s="23"/>
      <c r="H25" s="24"/>
      <c r="J25" s="24"/>
      <c r="L25" s="25">
        <v>78.0</v>
      </c>
      <c r="N25" s="26">
        <v>78.0</v>
      </c>
      <c r="P25" s="24"/>
      <c r="R25" s="26">
        <v>0.0</v>
      </c>
      <c r="T25" s="24"/>
      <c r="V25" s="24"/>
      <c r="W25" s="27"/>
      <c r="X25" s="23"/>
      <c r="Z25" s="24"/>
      <c r="AB25" s="24"/>
      <c r="AD25" s="24"/>
      <c r="AF25" s="24"/>
      <c r="AH25" s="24"/>
      <c r="AI25" s="27"/>
      <c r="AJ25" s="39">
        <f t="shared" si="1"/>
        <v>2530.32</v>
      </c>
      <c r="AK25" s="35">
        <f t="shared" si="2"/>
        <v>156</v>
      </c>
      <c r="AL25" s="35">
        <f t="shared" si="3"/>
        <v>0</v>
      </c>
      <c r="AM25" s="35">
        <f t="shared" si="4"/>
        <v>156</v>
      </c>
      <c r="AN25" s="40">
        <f t="shared" si="5"/>
        <v>16.22</v>
      </c>
    </row>
    <row r="26" ht="15.75" customHeight="1">
      <c r="A26" s="32" t="s">
        <v>24</v>
      </c>
      <c r="B26" s="34">
        <f t="shared" si="6"/>
        <v>44586</v>
      </c>
      <c r="C26" s="35">
        <v>1.0</v>
      </c>
      <c r="D26" s="35" t="s">
        <v>34</v>
      </c>
      <c r="E26" s="37"/>
      <c r="F26" s="23"/>
      <c r="H26" s="24"/>
      <c r="J26" s="24"/>
      <c r="L26" s="25">
        <v>78.0</v>
      </c>
      <c r="N26" s="26">
        <v>78.0</v>
      </c>
      <c r="P26" s="24"/>
      <c r="R26" s="26">
        <v>0.0</v>
      </c>
      <c r="T26" s="24"/>
      <c r="V26" s="24"/>
      <c r="W26" s="27"/>
      <c r="X26" s="23"/>
      <c r="Z26" s="24"/>
      <c r="AB26" s="24"/>
      <c r="AD26" s="24"/>
      <c r="AF26" s="24"/>
      <c r="AH26" s="24"/>
      <c r="AI26" s="27"/>
      <c r="AJ26" s="39">
        <f t="shared" si="1"/>
        <v>2530.32</v>
      </c>
      <c r="AK26" s="35">
        <f t="shared" si="2"/>
        <v>156</v>
      </c>
      <c r="AL26" s="35">
        <f t="shared" si="3"/>
        <v>0</v>
      </c>
      <c r="AM26" s="35">
        <f t="shared" si="4"/>
        <v>156</v>
      </c>
      <c r="AN26" s="40">
        <f t="shared" si="5"/>
        <v>16.22</v>
      </c>
    </row>
    <row r="27" ht="15.75" customHeight="1">
      <c r="A27" s="32" t="s">
        <v>28</v>
      </c>
      <c r="B27" s="34">
        <f t="shared" si="6"/>
        <v>44587</v>
      </c>
      <c r="C27" s="35">
        <v>1.0</v>
      </c>
      <c r="D27" s="35" t="s">
        <v>34</v>
      </c>
      <c r="E27" s="37"/>
      <c r="F27" s="23"/>
      <c r="H27" s="24"/>
      <c r="J27" s="24"/>
      <c r="L27" s="25">
        <v>78.0</v>
      </c>
      <c r="N27" s="26">
        <v>78.0</v>
      </c>
      <c r="P27" s="24"/>
      <c r="R27" s="26">
        <v>0.0</v>
      </c>
      <c r="T27" s="24"/>
      <c r="V27" s="24"/>
      <c r="W27" s="27"/>
      <c r="X27" s="23"/>
      <c r="Z27" s="24"/>
      <c r="AB27" s="24"/>
      <c r="AD27" s="24"/>
      <c r="AF27" s="24"/>
      <c r="AH27" s="24"/>
      <c r="AI27" s="27"/>
      <c r="AJ27" s="39">
        <f t="shared" si="1"/>
        <v>2530.32</v>
      </c>
      <c r="AK27" s="35">
        <f t="shared" si="2"/>
        <v>156</v>
      </c>
      <c r="AL27" s="35">
        <f t="shared" si="3"/>
        <v>0</v>
      </c>
      <c r="AM27" s="35">
        <f t="shared" si="4"/>
        <v>156</v>
      </c>
      <c r="AN27" s="40">
        <f t="shared" si="5"/>
        <v>16.22</v>
      </c>
    </row>
    <row r="28" ht="15.75" customHeight="1">
      <c r="A28" s="32" t="s">
        <v>29</v>
      </c>
      <c r="B28" s="34">
        <f t="shared" si="6"/>
        <v>44588</v>
      </c>
      <c r="C28" s="35">
        <v>1.0</v>
      </c>
      <c r="D28" s="35" t="s">
        <v>34</v>
      </c>
      <c r="E28" s="37"/>
      <c r="F28" s="23"/>
      <c r="H28" s="24"/>
      <c r="J28" s="24"/>
      <c r="L28" s="25">
        <v>78.0</v>
      </c>
      <c r="N28" s="26">
        <v>78.0</v>
      </c>
      <c r="P28" s="24"/>
      <c r="R28" s="26">
        <v>0.0</v>
      </c>
      <c r="T28" s="24"/>
      <c r="V28" s="24"/>
      <c r="W28" s="27"/>
      <c r="X28" s="23"/>
      <c r="Z28" s="24"/>
      <c r="AB28" s="24"/>
      <c r="AD28" s="24"/>
      <c r="AF28" s="24"/>
      <c r="AH28" s="24"/>
      <c r="AI28" s="27"/>
      <c r="AJ28" s="39">
        <f t="shared" si="1"/>
        <v>2530.32</v>
      </c>
      <c r="AK28" s="35">
        <f t="shared" si="2"/>
        <v>156</v>
      </c>
      <c r="AL28" s="35">
        <f t="shared" si="3"/>
        <v>0</v>
      </c>
      <c r="AM28" s="35">
        <f t="shared" si="4"/>
        <v>156</v>
      </c>
      <c r="AN28" s="40">
        <f t="shared" si="5"/>
        <v>16.22</v>
      </c>
    </row>
    <row r="29" ht="15.75" customHeight="1">
      <c r="A29" s="32" t="s">
        <v>30</v>
      </c>
      <c r="B29" s="34">
        <f t="shared" si="6"/>
        <v>44589</v>
      </c>
      <c r="C29" s="35">
        <v>1.0</v>
      </c>
      <c r="D29" s="35" t="s">
        <v>34</v>
      </c>
      <c r="E29" s="37"/>
      <c r="F29" s="23"/>
      <c r="H29" s="24"/>
      <c r="J29" s="24"/>
      <c r="L29" s="25">
        <v>78.0</v>
      </c>
      <c r="N29" s="26">
        <v>78.0</v>
      </c>
      <c r="P29" s="24"/>
      <c r="R29" s="26">
        <v>0.0</v>
      </c>
      <c r="T29" s="24"/>
      <c r="V29" s="24"/>
      <c r="W29" s="27"/>
      <c r="X29" s="23"/>
      <c r="Z29" s="24"/>
      <c r="AB29" s="24"/>
      <c r="AD29" s="24"/>
      <c r="AF29" s="24"/>
      <c r="AH29" s="24"/>
      <c r="AI29" s="27"/>
      <c r="AJ29" s="39">
        <f t="shared" si="1"/>
        <v>2530.32</v>
      </c>
      <c r="AK29" s="35">
        <f t="shared" si="2"/>
        <v>156</v>
      </c>
      <c r="AL29" s="35">
        <f t="shared" si="3"/>
        <v>0</v>
      </c>
      <c r="AM29" s="35">
        <f t="shared" si="4"/>
        <v>156</v>
      </c>
      <c r="AN29" s="40">
        <f t="shared" si="5"/>
        <v>16.22</v>
      </c>
    </row>
    <row r="30" ht="15.75" customHeight="1">
      <c r="A30" s="48" t="s">
        <v>31</v>
      </c>
      <c r="B30" s="50">
        <f t="shared" si="6"/>
        <v>44590</v>
      </c>
      <c r="C30" s="51">
        <v>1.0</v>
      </c>
      <c r="D30" s="51" t="s">
        <v>34</v>
      </c>
      <c r="E30" s="53"/>
      <c r="F30" s="54"/>
      <c r="G30" s="56"/>
      <c r="H30" s="57"/>
      <c r="I30" s="56"/>
      <c r="J30" s="57"/>
      <c r="K30" s="56"/>
      <c r="L30" s="58">
        <v>78.0</v>
      </c>
      <c r="M30" s="56"/>
      <c r="N30" s="59">
        <v>78.0</v>
      </c>
      <c r="O30" s="56"/>
      <c r="P30" s="57"/>
      <c r="Q30" s="56"/>
      <c r="R30" s="59">
        <v>0.0</v>
      </c>
      <c r="S30" s="56"/>
      <c r="T30" s="57"/>
      <c r="U30" s="56"/>
      <c r="V30" s="57"/>
      <c r="W30" s="60"/>
      <c r="X30" s="54"/>
      <c r="Y30" s="56"/>
      <c r="Z30" s="57"/>
      <c r="AA30" s="56"/>
      <c r="AB30" s="57"/>
      <c r="AC30" s="56"/>
      <c r="AD30" s="57"/>
      <c r="AE30" s="56"/>
      <c r="AF30" s="57"/>
      <c r="AG30" s="56"/>
      <c r="AH30" s="57"/>
      <c r="AI30" s="60"/>
      <c r="AJ30" s="61">
        <f t="shared" si="1"/>
        <v>2530.32</v>
      </c>
      <c r="AK30" s="51">
        <f t="shared" si="2"/>
        <v>156</v>
      </c>
      <c r="AL30" s="51">
        <f t="shared" si="3"/>
        <v>0</v>
      </c>
      <c r="AM30" s="51">
        <f t="shared" si="4"/>
        <v>156</v>
      </c>
      <c r="AN30" s="63">
        <f t="shared" si="5"/>
        <v>16.22</v>
      </c>
    </row>
    <row r="31" ht="15.75" customHeight="1">
      <c r="A31" s="18" t="s">
        <v>20</v>
      </c>
      <c r="B31" s="64">
        <f t="shared" si="6"/>
        <v>44591</v>
      </c>
      <c r="C31" s="20">
        <v>2.0</v>
      </c>
      <c r="D31" s="20" t="s">
        <v>21</v>
      </c>
      <c r="E31" s="22"/>
      <c r="F31" s="23"/>
      <c r="H31" s="24"/>
      <c r="J31" s="24"/>
      <c r="L31" s="25">
        <v>78.0</v>
      </c>
      <c r="N31" s="26">
        <v>78.0</v>
      </c>
      <c r="P31" s="24"/>
      <c r="R31" s="26">
        <v>0.0</v>
      </c>
      <c r="T31" s="24"/>
      <c r="V31" s="24"/>
      <c r="W31" s="27"/>
      <c r="X31" s="23"/>
      <c r="Z31" s="24"/>
      <c r="AB31" s="24"/>
      <c r="AD31" s="24"/>
      <c r="AF31" s="24"/>
      <c r="AH31" s="24"/>
      <c r="AI31" s="27"/>
      <c r="AJ31" s="28">
        <f t="shared" si="1"/>
        <v>2530.32</v>
      </c>
      <c r="AK31" s="20">
        <f t="shared" si="2"/>
        <v>156</v>
      </c>
      <c r="AL31" s="20">
        <f t="shared" si="3"/>
        <v>0</v>
      </c>
      <c r="AM31" s="20">
        <f t="shared" si="4"/>
        <v>156</v>
      </c>
      <c r="AN31" s="31">
        <f t="shared" si="5"/>
        <v>16.22</v>
      </c>
    </row>
    <row r="32" ht="15.75" customHeight="1">
      <c r="A32" s="32" t="s">
        <v>22</v>
      </c>
      <c r="B32" s="34">
        <f t="shared" si="6"/>
        <v>44592</v>
      </c>
      <c r="C32" s="35">
        <v>2.0</v>
      </c>
      <c r="D32" s="35" t="s">
        <v>21</v>
      </c>
      <c r="E32" s="37"/>
      <c r="F32" s="23"/>
      <c r="H32" s="24"/>
      <c r="J32" s="24"/>
      <c r="L32" s="25">
        <v>78.0</v>
      </c>
      <c r="N32" s="26">
        <v>78.0</v>
      </c>
      <c r="P32" s="24"/>
      <c r="R32" s="26">
        <v>0.0</v>
      </c>
      <c r="T32" s="24"/>
      <c r="V32" s="24"/>
      <c r="W32" s="27"/>
      <c r="X32" s="23"/>
      <c r="Z32" s="24"/>
      <c r="AB32" s="24"/>
      <c r="AD32" s="24"/>
      <c r="AF32" s="24"/>
      <c r="AH32" s="24"/>
      <c r="AI32" s="27"/>
      <c r="AJ32" s="39">
        <f t="shared" si="1"/>
        <v>2530.32</v>
      </c>
      <c r="AK32" s="35">
        <f t="shared" si="2"/>
        <v>156</v>
      </c>
      <c r="AL32" s="35">
        <f t="shared" si="3"/>
        <v>0</v>
      </c>
      <c r="AM32" s="35">
        <f t="shared" si="4"/>
        <v>156</v>
      </c>
      <c r="AN32" s="40">
        <f t="shared" si="5"/>
        <v>16.22</v>
      </c>
    </row>
    <row r="33" ht="15.75" customHeight="1">
      <c r="A33" s="32" t="s">
        <v>24</v>
      </c>
      <c r="B33" s="34">
        <f t="shared" si="6"/>
        <v>44593</v>
      </c>
      <c r="C33" s="35">
        <v>2.0</v>
      </c>
      <c r="D33" s="35" t="s">
        <v>21</v>
      </c>
      <c r="E33" s="37"/>
      <c r="F33" s="23"/>
      <c r="H33" s="24"/>
      <c r="J33" s="24"/>
      <c r="L33" s="25">
        <v>78.0</v>
      </c>
      <c r="N33" s="26">
        <v>78.0</v>
      </c>
      <c r="P33" s="24"/>
      <c r="R33" s="26">
        <v>0.0</v>
      </c>
      <c r="T33" s="24"/>
      <c r="V33" s="24"/>
      <c r="W33" s="27"/>
      <c r="X33" s="23"/>
      <c r="Z33" s="24"/>
      <c r="AB33" s="24"/>
      <c r="AD33" s="24"/>
      <c r="AF33" s="24"/>
      <c r="AH33" s="24"/>
      <c r="AI33" s="27"/>
      <c r="AJ33" s="39">
        <f t="shared" si="1"/>
        <v>2530.32</v>
      </c>
      <c r="AK33" s="35">
        <f t="shared" si="2"/>
        <v>156</v>
      </c>
      <c r="AL33" s="35">
        <f t="shared" si="3"/>
        <v>0</v>
      </c>
      <c r="AM33" s="35">
        <f t="shared" si="4"/>
        <v>156</v>
      </c>
      <c r="AN33" s="40">
        <f t="shared" si="5"/>
        <v>16.22</v>
      </c>
    </row>
    <row r="34" ht="15.75" customHeight="1">
      <c r="A34" s="32" t="s">
        <v>28</v>
      </c>
      <c r="B34" s="34">
        <f t="shared" si="6"/>
        <v>44594</v>
      </c>
      <c r="C34" s="35">
        <v>2.0</v>
      </c>
      <c r="D34" s="35" t="s">
        <v>21</v>
      </c>
      <c r="E34" s="37"/>
      <c r="F34" s="23"/>
      <c r="H34" s="24"/>
      <c r="J34" s="24"/>
      <c r="L34" s="25">
        <v>78.0</v>
      </c>
      <c r="N34" s="26">
        <v>78.0</v>
      </c>
      <c r="P34" s="24"/>
      <c r="R34" s="26">
        <v>0.0</v>
      </c>
      <c r="T34" s="24"/>
      <c r="V34" s="24"/>
      <c r="W34" s="27"/>
      <c r="X34" s="23"/>
      <c r="Z34" s="24"/>
      <c r="AB34" s="24"/>
      <c r="AD34" s="24"/>
      <c r="AF34" s="24"/>
      <c r="AH34" s="24"/>
      <c r="AI34" s="27"/>
      <c r="AJ34" s="39">
        <f t="shared" si="1"/>
        <v>2530.32</v>
      </c>
      <c r="AK34" s="35">
        <f t="shared" si="2"/>
        <v>156</v>
      </c>
      <c r="AL34" s="35">
        <f t="shared" si="3"/>
        <v>0</v>
      </c>
      <c r="AM34" s="35">
        <f t="shared" si="4"/>
        <v>156</v>
      </c>
      <c r="AN34" s="40">
        <f t="shared" si="5"/>
        <v>16.22</v>
      </c>
    </row>
    <row r="35" ht="15.75" customHeight="1">
      <c r="A35" s="32" t="s">
        <v>29</v>
      </c>
      <c r="B35" s="34">
        <f t="shared" si="6"/>
        <v>44595</v>
      </c>
      <c r="C35" s="35">
        <v>2.0</v>
      </c>
      <c r="D35" s="35" t="s">
        <v>21</v>
      </c>
      <c r="E35" s="37"/>
      <c r="F35" s="23"/>
      <c r="H35" s="24"/>
      <c r="J35" s="24"/>
      <c r="L35" s="25">
        <v>78.0</v>
      </c>
      <c r="N35" s="26">
        <v>78.0</v>
      </c>
      <c r="P35" s="24"/>
      <c r="R35" s="26">
        <v>0.0</v>
      </c>
      <c r="T35" s="24"/>
      <c r="V35" s="24"/>
      <c r="W35" s="27"/>
      <c r="X35" s="23"/>
      <c r="Z35" s="24"/>
      <c r="AB35" s="24"/>
      <c r="AD35" s="24"/>
      <c r="AF35" s="24"/>
      <c r="AH35" s="24"/>
      <c r="AI35" s="27"/>
      <c r="AJ35" s="39">
        <f t="shared" si="1"/>
        <v>2530.32</v>
      </c>
      <c r="AK35" s="35">
        <f t="shared" si="2"/>
        <v>156</v>
      </c>
      <c r="AL35" s="35">
        <f t="shared" si="3"/>
        <v>0</v>
      </c>
      <c r="AM35" s="35">
        <f t="shared" si="4"/>
        <v>156</v>
      </c>
      <c r="AN35" s="40">
        <f t="shared" si="5"/>
        <v>16.22</v>
      </c>
    </row>
    <row r="36" ht="15.75" customHeight="1">
      <c r="A36" s="32" t="s">
        <v>30</v>
      </c>
      <c r="B36" s="34">
        <f t="shared" si="6"/>
        <v>44596</v>
      </c>
      <c r="C36" s="35">
        <v>2.0</v>
      </c>
      <c r="D36" s="35" t="s">
        <v>21</v>
      </c>
      <c r="E36" s="37"/>
      <c r="F36" s="23"/>
      <c r="H36" s="24"/>
      <c r="J36" s="24"/>
      <c r="L36" s="25">
        <v>78.0</v>
      </c>
      <c r="N36" s="26">
        <v>78.0</v>
      </c>
      <c r="P36" s="24"/>
      <c r="R36" s="26">
        <v>0.0</v>
      </c>
      <c r="T36" s="24"/>
      <c r="V36" s="24"/>
      <c r="W36" s="27"/>
      <c r="X36" s="23"/>
      <c r="Z36" s="24"/>
      <c r="AB36" s="24"/>
      <c r="AD36" s="24"/>
      <c r="AF36" s="24"/>
      <c r="AH36" s="24"/>
      <c r="AI36" s="27"/>
      <c r="AJ36" s="39">
        <f t="shared" si="1"/>
        <v>2530.32</v>
      </c>
      <c r="AK36" s="35">
        <f t="shared" si="2"/>
        <v>156</v>
      </c>
      <c r="AL36" s="35">
        <f t="shared" si="3"/>
        <v>0</v>
      </c>
      <c r="AM36" s="35">
        <f t="shared" si="4"/>
        <v>156</v>
      </c>
      <c r="AN36" s="40">
        <f t="shared" si="5"/>
        <v>16.22</v>
      </c>
    </row>
    <row r="37" ht="15.75" customHeight="1">
      <c r="A37" s="48" t="s">
        <v>31</v>
      </c>
      <c r="B37" s="50">
        <f t="shared" si="6"/>
        <v>44597</v>
      </c>
      <c r="C37" s="51">
        <v>2.0</v>
      </c>
      <c r="D37" s="51" t="s">
        <v>21</v>
      </c>
      <c r="E37" s="53"/>
      <c r="F37" s="54"/>
      <c r="G37" s="56"/>
      <c r="H37" s="57"/>
      <c r="I37" s="56"/>
      <c r="J37" s="57"/>
      <c r="K37" s="56"/>
      <c r="L37" s="58">
        <v>78.0</v>
      </c>
      <c r="M37" s="56"/>
      <c r="N37" s="59">
        <v>78.0</v>
      </c>
      <c r="O37" s="56"/>
      <c r="P37" s="57"/>
      <c r="Q37" s="56"/>
      <c r="R37" s="59">
        <v>0.0</v>
      </c>
      <c r="S37" s="56"/>
      <c r="T37" s="57"/>
      <c r="U37" s="56"/>
      <c r="V37" s="57"/>
      <c r="W37" s="60"/>
      <c r="X37" s="54"/>
      <c r="Y37" s="56"/>
      <c r="Z37" s="57"/>
      <c r="AA37" s="56"/>
      <c r="AB37" s="57"/>
      <c r="AC37" s="56"/>
      <c r="AD37" s="57"/>
      <c r="AE37" s="56"/>
      <c r="AF37" s="57"/>
      <c r="AG37" s="56"/>
      <c r="AH37" s="57"/>
      <c r="AI37" s="60"/>
      <c r="AJ37" s="61">
        <f t="shared" si="1"/>
        <v>2530.32</v>
      </c>
      <c r="AK37" s="51">
        <f t="shared" si="2"/>
        <v>156</v>
      </c>
      <c r="AL37" s="51">
        <f t="shared" si="3"/>
        <v>0</v>
      </c>
      <c r="AM37" s="51">
        <f t="shared" si="4"/>
        <v>156</v>
      </c>
      <c r="AN37" s="63">
        <f t="shared" si="5"/>
        <v>16.22</v>
      </c>
    </row>
    <row r="38" ht="15.75" customHeight="1">
      <c r="A38" s="18" t="s">
        <v>20</v>
      </c>
      <c r="B38" s="64">
        <f t="shared" si="6"/>
        <v>44598</v>
      </c>
      <c r="C38" s="20">
        <v>2.0</v>
      </c>
      <c r="D38" s="20" t="s">
        <v>32</v>
      </c>
      <c r="E38" s="22"/>
      <c r="F38" s="23"/>
      <c r="H38" s="24"/>
      <c r="J38" s="24"/>
      <c r="L38" s="25">
        <v>78.0</v>
      </c>
      <c r="N38" s="26">
        <v>78.0</v>
      </c>
      <c r="P38" s="24"/>
      <c r="R38" s="26">
        <v>0.0</v>
      </c>
      <c r="T38" s="24"/>
      <c r="V38" s="24"/>
      <c r="W38" s="27"/>
      <c r="X38" s="23"/>
      <c r="Z38" s="24"/>
      <c r="AB38" s="24"/>
      <c r="AD38" s="24"/>
      <c r="AF38" s="24"/>
      <c r="AH38" s="24"/>
      <c r="AI38" s="27"/>
      <c r="AJ38" s="28">
        <f t="shared" si="1"/>
        <v>2530.32</v>
      </c>
      <c r="AK38" s="20">
        <f t="shared" si="2"/>
        <v>156</v>
      </c>
      <c r="AL38" s="20">
        <f t="shared" si="3"/>
        <v>0</v>
      </c>
      <c r="AM38" s="20">
        <f t="shared" si="4"/>
        <v>156</v>
      </c>
      <c r="AN38" s="31">
        <f t="shared" si="5"/>
        <v>16.22</v>
      </c>
    </row>
    <row r="39" ht="15.75" customHeight="1">
      <c r="A39" s="32" t="s">
        <v>22</v>
      </c>
      <c r="B39" s="34">
        <f t="shared" si="6"/>
        <v>44599</v>
      </c>
      <c r="C39" s="35">
        <v>2.0</v>
      </c>
      <c r="D39" s="35" t="s">
        <v>32</v>
      </c>
      <c r="E39" s="37"/>
      <c r="F39" s="23"/>
      <c r="H39" s="24"/>
      <c r="J39" s="24"/>
      <c r="L39" s="25">
        <v>78.0</v>
      </c>
      <c r="N39" s="26">
        <v>78.0</v>
      </c>
      <c r="P39" s="24"/>
      <c r="R39" s="26">
        <v>0.0</v>
      </c>
      <c r="T39" s="24"/>
      <c r="V39" s="24"/>
      <c r="W39" s="27"/>
      <c r="X39" s="23"/>
      <c r="Z39" s="24"/>
      <c r="AB39" s="24"/>
      <c r="AD39" s="24"/>
      <c r="AF39" s="24"/>
      <c r="AH39" s="24"/>
      <c r="AI39" s="27"/>
      <c r="AJ39" s="39">
        <f t="shared" si="1"/>
        <v>2530.32</v>
      </c>
      <c r="AK39" s="35">
        <f t="shared" si="2"/>
        <v>156</v>
      </c>
      <c r="AL39" s="35">
        <f t="shared" si="3"/>
        <v>0</v>
      </c>
      <c r="AM39" s="35">
        <f t="shared" si="4"/>
        <v>156</v>
      </c>
      <c r="AN39" s="40">
        <f t="shared" si="5"/>
        <v>16.22</v>
      </c>
    </row>
    <row r="40" ht="15.75" customHeight="1">
      <c r="A40" s="32" t="s">
        <v>24</v>
      </c>
      <c r="B40" s="34">
        <f t="shared" si="6"/>
        <v>44600</v>
      </c>
      <c r="C40" s="35">
        <v>2.0</v>
      </c>
      <c r="D40" s="35" t="s">
        <v>32</v>
      </c>
      <c r="E40" s="37"/>
      <c r="F40" s="23"/>
      <c r="H40" s="24"/>
      <c r="J40" s="24"/>
      <c r="L40" s="25">
        <v>78.0</v>
      </c>
      <c r="N40" s="26">
        <v>78.0</v>
      </c>
      <c r="P40" s="24"/>
      <c r="R40" s="26">
        <v>0.0</v>
      </c>
      <c r="T40" s="24"/>
      <c r="V40" s="24"/>
      <c r="W40" s="27"/>
      <c r="X40" s="23"/>
      <c r="Z40" s="24"/>
      <c r="AB40" s="24"/>
      <c r="AD40" s="24"/>
      <c r="AF40" s="24"/>
      <c r="AH40" s="24"/>
      <c r="AI40" s="27"/>
      <c r="AJ40" s="39">
        <f t="shared" si="1"/>
        <v>2530.32</v>
      </c>
      <c r="AK40" s="35">
        <f t="shared" si="2"/>
        <v>156</v>
      </c>
      <c r="AL40" s="35">
        <f t="shared" si="3"/>
        <v>0</v>
      </c>
      <c r="AM40" s="35">
        <f t="shared" si="4"/>
        <v>156</v>
      </c>
      <c r="AN40" s="40">
        <f t="shared" si="5"/>
        <v>16.22</v>
      </c>
    </row>
    <row r="41" ht="15.75" customHeight="1">
      <c r="A41" s="32" t="s">
        <v>28</v>
      </c>
      <c r="B41" s="34">
        <f t="shared" si="6"/>
        <v>44601</v>
      </c>
      <c r="C41" s="35">
        <v>2.0</v>
      </c>
      <c r="D41" s="35" t="s">
        <v>32</v>
      </c>
      <c r="E41" s="37"/>
      <c r="F41" s="23"/>
      <c r="H41" s="24"/>
      <c r="J41" s="24"/>
      <c r="L41" s="25">
        <v>78.0</v>
      </c>
      <c r="N41" s="26">
        <v>78.0</v>
      </c>
      <c r="P41" s="24"/>
      <c r="R41" s="26">
        <v>0.0</v>
      </c>
      <c r="T41" s="24"/>
      <c r="V41" s="24"/>
      <c r="W41" s="27"/>
      <c r="X41" s="23"/>
      <c r="Z41" s="24"/>
      <c r="AB41" s="24"/>
      <c r="AD41" s="24"/>
      <c r="AF41" s="24"/>
      <c r="AH41" s="24"/>
      <c r="AI41" s="27"/>
      <c r="AJ41" s="39">
        <f t="shared" si="1"/>
        <v>2530.32</v>
      </c>
      <c r="AK41" s="35">
        <f t="shared" si="2"/>
        <v>156</v>
      </c>
      <c r="AL41" s="35">
        <f t="shared" si="3"/>
        <v>0</v>
      </c>
      <c r="AM41" s="35">
        <f t="shared" si="4"/>
        <v>156</v>
      </c>
      <c r="AN41" s="40">
        <f t="shared" si="5"/>
        <v>16.22</v>
      </c>
    </row>
    <row r="42" ht="15.75" customHeight="1">
      <c r="A42" s="32" t="s">
        <v>29</v>
      </c>
      <c r="B42" s="34">
        <f t="shared" si="6"/>
        <v>44602</v>
      </c>
      <c r="C42" s="35">
        <v>2.0</v>
      </c>
      <c r="D42" s="35" t="s">
        <v>32</v>
      </c>
      <c r="E42" s="37"/>
      <c r="F42" s="23"/>
      <c r="H42" s="24"/>
      <c r="J42" s="24"/>
      <c r="L42" s="25">
        <v>78.0</v>
      </c>
      <c r="N42" s="26">
        <v>78.0</v>
      </c>
      <c r="P42" s="24"/>
      <c r="R42" s="26">
        <v>0.0</v>
      </c>
      <c r="T42" s="24"/>
      <c r="V42" s="24"/>
      <c r="W42" s="27"/>
      <c r="X42" s="23"/>
      <c r="Z42" s="24"/>
      <c r="AB42" s="24"/>
      <c r="AD42" s="24"/>
      <c r="AF42" s="24"/>
      <c r="AH42" s="24"/>
      <c r="AI42" s="27"/>
      <c r="AJ42" s="39">
        <f t="shared" si="1"/>
        <v>2530.32</v>
      </c>
      <c r="AK42" s="35">
        <f t="shared" si="2"/>
        <v>156</v>
      </c>
      <c r="AL42" s="35">
        <f t="shared" si="3"/>
        <v>0</v>
      </c>
      <c r="AM42" s="35">
        <f t="shared" si="4"/>
        <v>156</v>
      </c>
      <c r="AN42" s="40">
        <f t="shared" si="5"/>
        <v>16.22</v>
      </c>
    </row>
    <row r="43" ht="15.75" customHeight="1">
      <c r="A43" s="32" t="s">
        <v>30</v>
      </c>
      <c r="B43" s="34">
        <f t="shared" si="6"/>
        <v>44603</v>
      </c>
      <c r="C43" s="35">
        <v>2.0</v>
      </c>
      <c r="D43" s="35" t="s">
        <v>32</v>
      </c>
      <c r="E43" s="37"/>
      <c r="F43" s="23"/>
      <c r="H43" s="24"/>
      <c r="J43" s="24"/>
      <c r="L43" s="25">
        <v>78.0</v>
      </c>
      <c r="N43" s="26">
        <v>78.0</v>
      </c>
      <c r="P43" s="24"/>
      <c r="R43" s="26">
        <v>0.0</v>
      </c>
      <c r="T43" s="24"/>
      <c r="V43" s="24"/>
      <c r="W43" s="27"/>
      <c r="X43" s="23"/>
      <c r="Z43" s="24"/>
      <c r="AB43" s="24"/>
      <c r="AD43" s="24"/>
      <c r="AF43" s="24"/>
      <c r="AH43" s="24"/>
      <c r="AI43" s="27"/>
      <c r="AJ43" s="39">
        <f t="shared" si="1"/>
        <v>2530.32</v>
      </c>
      <c r="AK43" s="35">
        <f t="shared" si="2"/>
        <v>156</v>
      </c>
      <c r="AL43" s="35">
        <f t="shared" si="3"/>
        <v>0</v>
      </c>
      <c r="AM43" s="35">
        <f t="shared" si="4"/>
        <v>156</v>
      </c>
      <c r="AN43" s="40">
        <f t="shared" si="5"/>
        <v>16.22</v>
      </c>
    </row>
    <row r="44" ht="15.75" customHeight="1">
      <c r="A44" s="48" t="s">
        <v>31</v>
      </c>
      <c r="B44" s="50">
        <f t="shared" si="6"/>
        <v>44604</v>
      </c>
      <c r="C44" s="51">
        <v>2.0</v>
      </c>
      <c r="D44" s="51" t="s">
        <v>32</v>
      </c>
      <c r="E44" s="53"/>
      <c r="F44" s="54"/>
      <c r="G44" s="56"/>
      <c r="H44" s="57"/>
      <c r="I44" s="56"/>
      <c r="J44" s="57"/>
      <c r="K44" s="56"/>
      <c r="L44" s="58">
        <v>78.0</v>
      </c>
      <c r="M44" s="56"/>
      <c r="N44" s="59">
        <v>78.0</v>
      </c>
      <c r="O44" s="56"/>
      <c r="P44" s="57"/>
      <c r="Q44" s="56"/>
      <c r="R44" s="59">
        <v>0.0</v>
      </c>
      <c r="S44" s="56"/>
      <c r="T44" s="57"/>
      <c r="U44" s="56"/>
      <c r="V44" s="57"/>
      <c r="W44" s="60"/>
      <c r="X44" s="54"/>
      <c r="Y44" s="56"/>
      <c r="Z44" s="57"/>
      <c r="AA44" s="56"/>
      <c r="AB44" s="57"/>
      <c r="AC44" s="56"/>
      <c r="AD44" s="57"/>
      <c r="AE44" s="56"/>
      <c r="AF44" s="57"/>
      <c r="AG44" s="56"/>
      <c r="AH44" s="57"/>
      <c r="AI44" s="60"/>
      <c r="AJ44" s="61">
        <f t="shared" si="1"/>
        <v>2530.32</v>
      </c>
      <c r="AK44" s="51">
        <f t="shared" si="2"/>
        <v>156</v>
      </c>
      <c r="AL44" s="51">
        <f t="shared" si="3"/>
        <v>0</v>
      </c>
      <c r="AM44" s="51">
        <f t="shared" si="4"/>
        <v>156</v>
      </c>
      <c r="AN44" s="63">
        <f t="shared" si="5"/>
        <v>16.22</v>
      </c>
    </row>
    <row r="45" ht="15.75" customHeight="1">
      <c r="A45" s="18" t="s">
        <v>20</v>
      </c>
      <c r="B45" s="64">
        <f t="shared" si="6"/>
        <v>44605</v>
      </c>
      <c r="C45" s="20">
        <v>2.0</v>
      </c>
      <c r="D45" s="20" t="s">
        <v>33</v>
      </c>
      <c r="E45" s="22"/>
      <c r="F45" s="25">
        <v>0.0</v>
      </c>
      <c r="H45" s="26">
        <v>0.0</v>
      </c>
      <c r="J45" s="24"/>
      <c r="L45" s="25">
        <v>88.0</v>
      </c>
      <c r="N45" s="26">
        <v>88.0</v>
      </c>
      <c r="P45" s="24"/>
      <c r="R45" s="26">
        <v>0.0</v>
      </c>
      <c r="T45" s="24"/>
      <c r="V45" s="24"/>
      <c r="W45" s="27"/>
      <c r="X45" s="23"/>
      <c r="Z45" s="24"/>
      <c r="AB45" s="24"/>
      <c r="AD45" s="24"/>
      <c r="AF45" s="24"/>
      <c r="AH45" s="24"/>
      <c r="AI45" s="27"/>
      <c r="AJ45" s="28">
        <f t="shared" si="1"/>
        <v>2854.72</v>
      </c>
      <c r="AK45" s="20">
        <f t="shared" si="2"/>
        <v>176</v>
      </c>
      <c r="AL45" s="20">
        <f t="shared" si="3"/>
        <v>0</v>
      </c>
      <c r="AM45" s="20">
        <f t="shared" si="4"/>
        <v>176</v>
      </c>
      <c r="AN45" s="31">
        <f t="shared" si="5"/>
        <v>16.22</v>
      </c>
    </row>
    <row r="46" ht="15.75" customHeight="1">
      <c r="A46" s="32" t="s">
        <v>22</v>
      </c>
      <c r="B46" s="34">
        <f t="shared" si="6"/>
        <v>44606</v>
      </c>
      <c r="C46" s="35">
        <v>2.0</v>
      </c>
      <c r="D46" s="35" t="s">
        <v>33</v>
      </c>
      <c r="E46" s="37"/>
      <c r="F46" s="25">
        <v>0.0</v>
      </c>
      <c r="H46" s="26">
        <v>0.0</v>
      </c>
      <c r="J46" s="24"/>
      <c r="L46" s="25">
        <v>88.0</v>
      </c>
      <c r="N46" s="26">
        <v>88.0</v>
      </c>
      <c r="P46" s="24"/>
      <c r="R46" s="26">
        <v>0.0</v>
      </c>
      <c r="T46" s="24"/>
      <c r="V46" s="24"/>
      <c r="W46" s="27"/>
      <c r="X46" s="23"/>
      <c r="Z46" s="24"/>
      <c r="AB46" s="24"/>
      <c r="AD46" s="24"/>
      <c r="AF46" s="24"/>
      <c r="AH46" s="24"/>
      <c r="AI46" s="27"/>
      <c r="AJ46" s="39">
        <f t="shared" si="1"/>
        <v>2854.72</v>
      </c>
      <c r="AK46" s="35">
        <f t="shared" si="2"/>
        <v>176</v>
      </c>
      <c r="AL46" s="35">
        <f t="shared" si="3"/>
        <v>0</v>
      </c>
      <c r="AM46" s="35">
        <f t="shared" si="4"/>
        <v>176</v>
      </c>
      <c r="AN46" s="40">
        <f t="shared" si="5"/>
        <v>16.22</v>
      </c>
    </row>
    <row r="47" ht="15.75" customHeight="1">
      <c r="A47" s="32" t="s">
        <v>24</v>
      </c>
      <c r="B47" s="34">
        <f t="shared" si="6"/>
        <v>44607</v>
      </c>
      <c r="C47" s="35">
        <v>2.0</v>
      </c>
      <c r="D47" s="35" t="s">
        <v>33</v>
      </c>
      <c r="E47" s="37"/>
      <c r="F47" s="25">
        <v>89.0</v>
      </c>
      <c r="H47" s="26">
        <v>89.0</v>
      </c>
      <c r="J47" s="24"/>
      <c r="L47" s="25">
        <v>88.0</v>
      </c>
      <c r="N47" s="26">
        <v>88.0</v>
      </c>
      <c r="P47" s="24"/>
      <c r="R47" s="26">
        <v>0.0</v>
      </c>
      <c r="T47" s="24"/>
      <c r="V47" s="24"/>
      <c r="W47" s="27"/>
      <c r="X47" s="23"/>
      <c r="Z47" s="24"/>
      <c r="AB47" s="24"/>
      <c r="AD47" s="24"/>
      <c r="AF47" s="24"/>
      <c r="AH47" s="24"/>
      <c r="AI47" s="27"/>
      <c r="AJ47" s="39">
        <f t="shared" si="1"/>
        <v>7400.84</v>
      </c>
      <c r="AK47" s="35">
        <f t="shared" si="2"/>
        <v>354</v>
      </c>
      <c r="AL47" s="35">
        <f t="shared" si="3"/>
        <v>0</v>
      </c>
      <c r="AM47" s="35">
        <f t="shared" si="4"/>
        <v>354</v>
      </c>
      <c r="AN47" s="40">
        <f t="shared" si="5"/>
        <v>20.90632768</v>
      </c>
    </row>
    <row r="48" ht="15.75" customHeight="1">
      <c r="A48" s="32" t="s">
        <v>28</v>
      </c>
      <c r="B48" s="34">
        <f t="shared" si="6"/>
        <v>44608</v>
      </c>
      <c r="C48" s="35">
        <v>2.0</v>
      </c>
      <c r="D48" s="35" t="s">
        <v>33</v>
      </c>
      <c r="E48" s="37"/>
      <c r="F48" s="25">
        <v>89.0</v>
      </c>
      <c r="H48" s="26">
        <v>89.0</v>
      </c>
      <c r="J48" s="24"/>
      <c r="L48" s="25">
        <v>88.0</v>
      </c>
      <c r="N48" s="26">
        <v>88.0</v>
      </c>
      <c r="P48" s="24"/>
      <c r="R48" s="26">
        <v>0.0</v>
      </c>
      <c r="T48" s="24"/>
      <c r="V48" s="24"/>
      <c r="W48" s="27"/>
      <c r="X48" s="23"/>
      <c r="Z48" s="24"/>
      <c r="AB48" s="24"/>
      <c r="AD48" s="24"/>
      <c r="AF48" s="24"/>
      <c r="AH48" s="24"/>
      <c r="AI48" s="27"/>
      <c r="AJ48" s="39">
        <f t="shared" si="1"/>
        <v>7400.84</v>
      </c>
      <c r="AK48" s="35">
        <f t="shared" si="2"/>
        <v>354</v>
      </c>
      <c r="AL48" s="35">
        <f t="shared" si="3"/>
        <v>0</v>
      </c>
      <c r="AM48" s="35">
        <f t="shared" si="4"/>
        <v>354</v>
      </c>
      <c r="AN48" s="40">
        <f t="shared" si="5"/>
        <v>20.90632768</v>
      </c>
    </row>
    <row r="49" ht="15.75" customHeight="1">
      <c r="A49" s="32" t="s">
        <v>29</v>
      </c>
      <c r="B49" s="34">
        <f t="shared" si="6"/>
        <v>44609</v>
      </c>
      <c r="C49" s="35">
        <v>2.0</v>
      </c>
      <c r="D49" s="35" t="s">
        <v>33</v>
      </c>
      <c r="E49" s="37"/>
      <c r="F49" s="25">
        <v>89.0</v>
      </c>
      <c r="H49" s="26">
        <v>89.0</v>
      </c>
      <c r="J49" s="24"/>
      <c r="L49" s="25">
        <v>88.0</v>
      </c>
      <c r="N49" s="26">
        <v>88.0</v>
      </c>
      <c r="P49" s="24"/>
      <c r="R49" s="26">
        <v>0.0</v>
      </c>
      <c r="T49" s="24"/>
      <c r="V49" s="24"/>
      <c r="W49" s="27"/>
      <c r="X49" s="23"/>
      <c r="Z49" s="24"/>
      <c r="AB49" s="24"/>
      <c r="AD49" s="24"/>
      <c r="AF49" s="24"/>
      <c r="AH49" s="24"/>
      <c r="AI49" s="27"/>
      <c r="AJ49" s="39">
        <f t="shared" si="1"/>
        <v>7400.84</v>
      </c>
      <c r="AK49" s="35">
        <f t="shared" si="2"/>
        <v>354</v>
      </c>
      <c r="AL49" s="35">
        <f t="shared" si="3"/>
        <v>0</v>
      </c>
      <c r="AM49" s="35">
        <f t="shared" si="4"/>
        <v>354</v>
      </c>
      <c r="AN49" s="40">
        <f t="shared" si="5"/>
        <v>20.90632768</v>
      </c>
    </row>
    <row r="50" ht="15.75" customHeight="1">
      <c r="A50" s="32" t="s">
        <v>30</v>
      </c>
      <c r="B50" s="34">
        <f t="shared" si="6"/>
        <v>44610</v>
      </c>
      <c r="C50" s="35">
        <v>2.0</v>
      </c>
      <c r="D50" s="35" t="s">
        <v>33</v>
      </c>
      <c r="E50" s="37"/>
      <c r="F50" s="25">
        <v>89.0</v>
      </c>
      <c r="H50" s="26">
        <v>89.0</v>
      </c>
      <c r="J50" s="24"/>
      <c r="L50" s="25">
        <v>88.0</v>
      </c>
      <c r="N50" s="26">
        <v>88.0</v>
      </c>
      <c r="P50" s="24"/>
      <c r="R50" s="26">
        <v>0.0</v>
      </c>
      <c r="T50" s="24"/>
      <c r="V50" s="24"/>
      <c r="W50" s="27"/>
      <c r="X50" s="23"/>
      <c r="Z50" s="24"/>
      <c r="AB50" s="24"/>
      <c r="AD50" s="24"/>
      <c r="AF50" s="24"/>
      <c r="AH50" s="24"/>
      <c r="AI50" s="27"/>
      <c r="AJ50" s="39">
        <f t="shared" si="1"/>
        <v>7400.84</v>
      </c>
      <c r="AK50" s="35">
        <f t="shared" si="2"/>
        <v>354</v>
      </c>
      <c r="AL50" s="35">
        <f t="shared" si="3"/>
        <v>0</v>
      </c>
      <c r="AM50" s="35">
        <f t="shared" si="4"/>
        <v>354</v>
      </c>
      <c r="AN50" s="40">
        <f t="shared" si="5"/>
        <v>20.90632768</v>
      </c>
    </row>
    <row r="51" ht="15.75" customHeight="1">
      <c r="A51" s="48" t="s">
        <v>31</v>
      </c>
      <c r="B51" s="50">
        <f t="shared" si="6"/>
        <v>44611</v>
      </c>
      <c r="C51" s="51">
        <v>2.0</v>
      </c>
      <c r="D51" s="51" t="s">
        <v>33</v>
      </c>
      <c r="E51" s="53"/>
      <c r="F51" s="58">
        <v>89.0</v>
      </c>
      <c r="G51" s="56"/>
      <c r="H51" s="59">
        <v>89.0</v>
      </c>
      <c r="I51" s="56"/>
      <c r="J51" s="57"/>
      <c r="K51" s="56"/>
      <c r="L51" s="58">
        <v>88.0</v>
      </c>
      <c r="M51" s="56"/>
      <c r="N51" s="59">
        <v>88.0</v>
      </c>
      <c r="O51" s="56"/>
      <c r="P51" s="57"/>
      <c r="Q51" s="56"/>
      <c r="R51" s="59">
        <v>0.0</v>
      </c>
      <c r="S51" s="56"/>
      <c r="T51" s="57"/>
      <c r="U51" s="56"/>
      <c r="V51" s="57"/>
      <c r="W51" s="60"/>
      <c r="X51" s="54"/>
      <c r="Y51" s="56"/>
      <c r="Z51" s="57"/>
      <c r="AA51" s="56"/>
      <c r="AB51" s="57"/>
      <c r="AC51" s="56"/>
      <c r="AD51" s="57"/>
      <c r="AE51" s="56"/>
      <c r="AF51" s="57"/>
      <c r="AG51" s="56"/>
      <c r="AH51" s="57"/>
      <c r="AI51" s="60"/>
      <c r="AJ51" s="61">
        <f t="shared" si="1"/>
        <v>7400.84</v>
      </c>
      <c r="AK51" s="51">
        <f t="shared" si="2"/>
        <v>354</v>
      </c>
      <c r="AL51" s="51">
        <f t="shared" si="3"/>
        <v>0</v>
      </c>
      <c r="AM51" s="51">
        <f t="shared" si="4"/>
        <v>354</v>
      </c>
      <c r="AN51" s="63">
        <f t="shared" si="5"/>
        <v>20.90632768</v>
      </c>
    </row>
    <row r="52" ht="15.75" customHeight="1">
      <c r="A52" s="18" t="s">
        <v>20</v>
      </c>
      <c r="B52" s="64">
        <f t="shared" si="6"/>
        <v>44612</v>
      </c>
      <c r="C52" s="20">
        <v>2.0</v>
      </c>
      <c r="D52" s="20" t="s">
        <v>34</v>
      </c>
      <c r="E52" s="22"/>
      <c r="F52" s="25">
        <v>89.0</v>
      </c>
      <c r="H52" s="26">
        <v>89.0</v>
      </c>
      <c r="J52" s="24"/>
      <c r="L52" s="25">
        <v>88.0</v>
      </c>
      <c r="N52" s="26">
        <v>88.0</v>
      </c>
      <c r="P52" s="24"/>
      <c r="R52" s="26">
        <v>0.0</v>
      </c>
      <c r="T52" s="24"/>
      <c r="V52" s="24"/>
      <c r="W52" s="27"/>
      <c r="X52" s="23"/>
      <c r="Z52" s="24"/>
      <c r="AB52" s="24"/>
      <c r="AD52" s="24"/>
      <c r="AF52" s="24"/>
      <c r="AH52" s="24"/>
      <c r="AI52" s="27"/>
      <c r="AJ52" s="28">
        <f t="shared" si="1"/>
        <v>7400.84</v>
      </c>
      <c r="AK52" s="20">
        <f t="shared" si="2"/>
        <v>354</v>
      </c>
      <c r="AL52" s="20">
        <f t="shared" si="3"/>
        <v>0</v>
      </c>
      <c r="AM52" s="20">
        <f t="shared" si="4"/>
        <v>354</v>
      </c>
      <c r="AN52" s="31">
        <f t="shared" si="5"/>
        <v>20.90632768</v>
      </c>
    </row>
    <row r="53" ht="15.75" customHeight="1">
      <c r="A53" s="32" t="s">
        <v>22</v>
      </c>
      <c r="B53" s="34">
        <f t="shared" si="6"/>
        <v>44613</v>
      </c>
      <c r="C53" s="35">
        <v>2.0</v>
      </c>
      <c r="D53" s="35" t="s">
        <v>34</v>
      </c>
      <c r="E53" s="37"/>
      <c r="F53" s="25">
        <v>115.0</v>
      </c>
      <c r="H53" s="26">
        <v>115.0</v>
      </c>
      <c r="J53" s="24"/>
      <c r="L53" s="25">
        <v>88.0</v>
      </c>
      <c r="N53" s="26">
        <v>88.0</v>
      </c>
      <c r="P53" s="24"/>
      <c r="R53" s="26">
        <v>0.0</v>
      </c>
      <c r="T53" s="24"/>
      <c r="V53" s="24"/>
      <c r="W53" s="27"/>
      <c r="X53" s="23"/>
      <c r="Z53" s="24"/>
      <c r="AB53" s="24"/>
      <c r="AD53" s="24"/>
      <c r="AF53" s="24"/>
      <c r="AH53" s="24"/>
      <c r="AI53" s="27"/>
      <c r="AJ53" s="39">
        <f t="shared" si="1"/>
        <v>8728.92</v>
      </c>
      <c r="AK53" s="35">
        <f t="shared" si="2"/>
        <v>406</v>
      </c>
      <c r="AL53" s="35">
        <f t="shared" si="3"/>
        <v>0</v>
      </c>
      <c r="AM53" s="35">
        <f t="shared" si="4"/>
        <v>406</v>
      </c>
      <c r="AN53" s="40">
        <f t="shared" si="5"/>
        <v>21.49980296</v>
      </c>
    </row>
    <row r="54" ht="15.75" customHeight="1">
      <c r="A54" s="32" t="s">
        <v>24</v>
      </c>
      <c r="B54" s="34">
        <f t="shared" si="6"/>
        <v>44614</v>
      </c>
      <c r="C54" s="35">
        <v>2.0</v>
      </c>
      <c r="D54" s="35" t="s">
        <v>34</v>
      </c>
      <c r="E54" s="37"/>
      <c r="F54" s="25">
        <v>115.0</v>
      </c>
      <c r="H54" s="26">
        <v>115.0</v>
      </c>
      <c r="J54" s="24"/>
      <c r="L54" s="25">
        <v>88.0</v>
      </c>
      <c r="N54" s="26">
        <v>88.0</v>
      </c>
      <c r="P54" s="24"/>
      <c r="R54" s="26">
        <v>0.0</v>
      </c>
      <c r="T54" s="24"/>
      <c r="V54" s="24"/>
      <c r="W54" s="27"/>
      <c r="X54" s="23"/>
      <c r="Z54" s="24"/>
      <c r="AB54" s="24"/>
      <c r="AD54" s="24"/>
      <c r="AF54" s="24"/>
      <c r="AH54" s="24"/>
      <c r="AI54" s="27"/>
      <c r="AJ54" s="39">
        <f t="shared" si="1"/>
        <v>8728.92</v>
      </c>
      <c r="AK54" s="35">
        <f t="shared" si="2"/>
        <v>406</v>
      </c>
      <c r="AL54" s="35">
        <f t="shared" si="3"/>
        <v>0</v>
      </c>
      <c r="AM54" s="35">
        <f t="shared" si="4"/>
        <v>406</v>
      </c>
      <c r="AN54" s="40">
        <f t="shared" si="5"/>
        <v>21.49980296</v>
      </c>
    </row>
    <row r="55" ht="15.75" customHeight="1">
      <c r="A55" s="32" t="s">
        <v>28</v>
      </c>
      <c r="B55" s="34">
        <f t="shared" si="6"/>
        <v>44615</v>
      </c>
      <c r="C55" s="35">
        <v>2.0</v>
      </c>
      <c r="D55" s="35" t="s">
        <v>34</v>
      </c>
      <c r="E55" s="37"/>
      <c r="F55" s="25">
        <v>115.0</v>
      </c>
      <c r="H55" s="26">
        <v>115.0</v>
      </c>
      <c r="J55" s="24"/>
      <c r="L55" s="25">
        <v>88.0</v>
      </c>
      <c r="N55" s="26">
        <v>88.0</v>
      </c>
      <c r="P55" s="24"/>
      <c r="R55" s="26">
        <v>0.0</v>
      </c>
      <c r="T55" s="24"/>
      <c r="V55" s="24"/>
      <c r="W55" s="27"/>
      <c r="X55" s="23"/>
      <c r="Z55" s="24"/>
      <c r="AB55" s="24"/>
      <c r="AD55" s="24"/>
      <c r="AF55" s="24"/>
      <c r="AH55" s="24"/>
      <c r="AI55" s="27"/>
      <c r="AJ55" s="39">
        <f t="shared" si="1"/>
        <v>8728.92</v>
      </c>
      <c r="AK55" s="35">
        <f t="shared" si="2"/>
        <v>406</v>
      </c>
      <c r="AL55" s="35">
        <f t="shared" si="3"/>
        <v>0</v>
      </c>
      <c r="AM55" s="35">
        <f t="shared" si="4"/>
        <v>406</v>
      </c>
      <c r="AN55" s="40">
        <f t="shared" si="5"/>
        <v>21.49980296</v>
      </c>
    </row>
    <row r="56" ht="15.75" customHeight="1">
      <c r="A56" s="32" t="s">
        <v>29</v>
      </c>
      <c r="B56" s="34">
        <f t="shared" si="6"/>
        <v>44616</v>
      </c>
      <c r="C56" s="35">
        <v>2.0</v>
      </c>
      <c r="D56" s="35" t="s">
        <v>34</v>
      </c>
      <c r="E56" s="37"/>
      <c r="F56" s="25">
        <v>115.0</v>
      </c>
      <c r="H56" s="26">
        <v>115.0</v>
      </c>
      <c r="J56" s="24"/>
      <c r="L56" s="25">
        <v>88.0</v>
      </c>
      <c r="N56" s="26">
        <v>88.0</v>
      </c>
      <c r="P56" s="24"/>
      <c r="R56" s="26">
        <v>0.0</v>
      </c>
      <c r="T56" s="24"/>
      <c r="V56" s="24"/>
      <c r="W56" s="27"/>
      <c r="X56" s="23"/>
      <c r="Z56" s="24"/>
      <c r="AB56" s="24"/>
      <c r="AD56" s="24"/>
      <c r="AF56" s="24"/>
      <c r="AH56" s="24"/>
      <c r="AI56" s="27"/>
      <c r="AJ56" s="39">
        <f t="shared" si="1"/>
        <v>8728.92</v>
      </c>
      <c r="AK56" s="35">
        <f t="shared" si="2"/>
        <v>406</v>
      </c>
      <c r="AL56" s="35">
        <f t="shared" si="3"/>
        <v>0</v>
      </c>
      <c r="AM56" s="35">
        <f t="shared" si="4"/>
        <v>406</v>
      </c>
      <c r="AN56" s="40">
        <f t="shared" si="5"/>
        <v>21.49980296</v>
      </c>
    </row>
    <row r="57" ht="15.75" customHeight="1">
      <c r="A57" s="32" t="s">
        <v>30</v>
      </c>
      <c r="B57" s="34">
        <f t="shared" si="6"/>
        <v>44617</v>
      </c>
      <c r="C57" s="35">
        <v>2.0</v>
      </c>
      <c r="D57" s="35" t="s">
        <v>34</v>
      </c>
      <c r="E57" s="37"/>
      <c r="F57" s="25">
        <v>115.0</v>
      </c>
      <c r="H57" s="26">
        <v>115.0</v>
      </c>
      <c r="J57" s="24"/>
      <c r="L57" s="25">
        <v>88.0</v>
      </c>
      <c r="N57" s="26">
        <v>88.0</v>
      </c>
      <c r="P57" s="24"/>
      <c r="R57" s="26">
        <v>0.0</v>
      </c>
      <c r="T57" s="24"/>
      <c r="V57" s="24"/>
      <c r="W57" s="27"/>
      <c r="X57" s="23"/>
      <c r="Z57" s="24"/>
      <c r="AB57" s="24"/>
      <c r="AD57" s="24"/>
      <c r="AF57" s="24"/>
      <c r="AH57" s="24"/>
      <c r="AI57" s="27"/>
      <c r="AJ57" s="39">
        <f t="shared" si="1"/>
        <v>8728.92</v>
      </c>
      <c r="AK57" s="35">
        <f t="shared" si="2"/>
        <v>406</v>
      </c>
      <c r="AL57" s="35">
        <f t="shared" si="3"/>
        <v>0</v>
      </c>
      <c r="AM57" s="35">
        <f t="shared" si="4"/>
        <v>406</v>
      </c>
      <c r="AN57" s="40">
        <f t="shared" si="5"/>
        <v>21.49980296</v>
      </c>
    </row>
    <row r="58" ht="15.75" customHeight="1">
      <c r="A58" s="48" t="s">
        <v>31</v>
      </c>
      <c r="B58" s="50">
        <f t="shared" si="6"/>
        <v>44618</v>
      </c>
      <c r="C58" s="51">
        <v>2.0</v>
      </c>
      <c r="D58" s="51" t="s">
        <v>34</v>
      </c>
      <c r="E58" s="53"/>
      <c r="F58" s="58">
        <v>115.0</v>
      </c>
      <c r="G58" s="56"/>
      <c r="H58" s="59">
        <v>115.0</v>
      </c>
      <c r="I58" s="56"/>
      <c r="J58" s="57"/>
      <c r="K58" s="56"/>
      <c r="L58" s="58">
        <v>88.0</v>
      </c>
      <c r="M58" s="56"/>
      <c r="N58" s="59">
        <v>88.0</v>
      </c>
      <c r="O58" s="56"/>
      <c r="P58" s="57"/>
      <c r="Q58" s="56"/>
      <c r="R58" s="59">
        <v>0.0</v>
      </c>
      <c r="S58" s="56"/>
      <c r="T58" s="57"/>
      <c r="U58" s="56"/>
      <c r="V58" s="57"/>
      <c r="W58" s="60"/>
      <c r="X58" s="54"/>
      <c r="Y58" s="56"/>
      <c r="Z58" s="57"/>
      <c r="AA58" s="56"/>
      <c r="AB58" s="57"/>
      <c r="AC58" s="56"/>
      <c r="AD58" s="57"/>
      <c r="AE58" s="56"/>
      <c r="AF58" s="57"/>
      <c r="AG58" s="56"/>
      <c r="AH58" s="57"/>
      <c r="AI58" s="60"/>
      <c r="AJ58" s="61">
        <f t="shared" si="1"/>
        <v>8728.92</v>
      </c>
      <c r="AK58" s="51">
        <f t="shared" si="2"/>
        <v>406</v>
      </c>
      <c r="AL58" s="51">
        <f t="shared" si="3"/>
        <v>0</v>
      </c>
      <c r="AM58" s="51">
        <f t="shared" si="4"/>
        <v>406</v>
      </c>
      <c r="AN58" s="63">
        <f t="shared" si="5"/>
        <v>21.49980296</v>
      </c>
    </row>
    <row r="59" ht="15.75" customHeight="1">
      <c r="A59" s="18" t="s">
        <v>20</v>
      </c>
      <c r="B59" s="64">
        <f t="shared" si="6"/>
        <v>44619</v>
      </c>
      <c r="C59" s="20">
        <v>3.0</v>
      </c>
      <c r="D59" s="20" t="s">
        <v>21</v>
      </c>
      <c r="E59" s="22"/>
      <c r="F59" s="25">
        <v>115.0</v>
      </c>
      <c r="H59" s="26">
        <v>115.0</v>
      </c>
      <c r="J59" s="24"/>
      <c r="L59" s="25">
        <v>88.0</v>
      </c>
      <c r="N59" s="26">
        <v>88.0</v>
      </c>
      <c r="P59" s="24"/>
      <c r="R59" s="26">
        <v>0.0</v>
      </c>
      <c r="T59" s="24"/>
      <c r="V59" s="24"/>
      <c r="W59" s="27"/>
      <c r="X59" s="23"/>
      <c r="Z59" s="24"/>
      <c r="AB59" s="24"/>
      <c r="AD59" s="24"/>
      <c r="AF59" s="24"/>
      <c r="AH59" s="24"/>
      <c r="AI59" s="27"/>
      <c r="AJ59" s="28">
        <f t="shared" si="1"/>
        <v>8728.92</v>
      </c>
      <c r="AK59" s="20">
        <f t="shared" si="2"/>
        <v>406</v>
      </c>
      <c r="AL59" s="20">
        <f t="shared" si="3"/>
        <v>0</v>
      </c>
      <c r="AM59" s="20">
        <f t="shared" si="4"/>
        <v>406</v>
      </c>
      <c r="AN59" s="31">
        <f t="shared" si="5"/>
        <v>21.49980296</v>
      </c>
    </row>
    <row r="60" ht="15.75" customHeight="1">
      <c r="A60" s="32" t="s">
        <v>22</v>
      </c>
      <c r="B60" s="34">
        <f t="shared" si="6"/>
        <v>44620</v>
      </c>
      <c r="C60" s="35">
        <v>3.0</v>
      </c>
      <c r="D60" s="35" t="s">
        <v>21</v>
      </c>
      <c r="E60" s="37"/>
      <c r="F60" s="25">
        <v>115.0</v>
      </c>
      <c r="H60" s="26">
        <v>115.0</v>
      </c>
      <c r="J60" s="24"/>
      <c r="L60" s="25">
        <v>88.0</v>
      </c>
      <c r="N60" s="26">
        <v>88.0</v>
      </c>
      <c r="P60" s="24"/>
      <c r="R60" s="26">
        <v>0.0</v>
      </c>
      <c r="T60" s="24"/>
      <c r="V60" s="24"/>
      <c r="W60" s="27"/>
      <c r="X60" s="23"/>
      <c r="Z60" s="24"/>
      <c r="AB60" s="24"/>
      <c r="AD60" s="24"/>
      <c r="AF60" s="24"/>
      <c r="AH60" s="24"/>
      <c r="AI60" s="27"/>
      <c r="AJ60" s="39">
        <f t="shared" si="1"/>
        <v>8728.92</v>
      </c>
      <c r="AK60" s="35">
        <f t="shared" si="2"/>
        <v>406</v>
      </c>
      <c r="AL60" s="35">
        <f t="shared" si="3"/>
        <v>0</v>
      </c>
      <c r="AM60" s="35">
        <f t="shared" si="4"/>
        <v>406</v>
      </c>
      <c r="AN60" s="40">
        <f t="shared" si="5"/>
        <v>21.49980296</v>
      </c>
    </row>
    <row r="61" ht="15.75" customHeight="1">
      <c r="A61" s="32" t="s">
        <v>24</v>
      </c>
      <c r="B61" s="34">
        <f t="shared" si="6"/>
        <v>44621</v>
      </c>
      <c r="C61" s="35">
        <v>3.0</v>
      </c>
      <c r="D61" s="35" t="s">
        <v>21</v>
      </c>
      <c r="E61" s="37"/>
      <c r="F61" s="25">
        <v>115.0</v>
      </c>
      <c r="H61" s="26">
        <v>115.0</v>
      </c>
      <c r="J61" s="24"/>
      <c r="L61" s="25">
        <v>240.0</v>
      </c>
      <c r="N61" s="26">
        <v>240.0</v>
      </c>
      <c r="P61" s="24"/>
      <c r="R61" s="26">
        <v>0.0</v>
      </c>
      <c r="T61" s="24"/>
      <c r="V61" s="24"/>
      <c r="W61" s="27"/>
      <c r="X61" s="23"/>
      <c r="Z61" s="24"/>
      <c r="AB61" s="24"/>
      <c r="AD61" s="24"/>
      <c r="AF61" s="24"/>
      <c r="AH61" s="24"/>
      <c r="AI61" s="27"/>
      <c r="AJ61" s="39">
        <f t="shared" si="1"/>
        <v>13659.8</v>
      </c>
      <c r="AK61" s="35">
        <f t="shared" si="2"/>
        <v>710</v>
      </c>
      <c r="AL61" s="35">
        <f t="shared" si="3"/>
        <v>0</v>
      </c>
      <c r="AM61" s="35">
        <f t="shared" si="4"/>
        <v>710</v>
      </c>
      <c r="AN61" s="40">
        <f t="shared" si="5"/>
        <v>19.23915493</v>
      </c>
    </row>
    <row r="62" ht="15.75" customHeight="1">
      <c r="A62" s="32" t="s">
        <v>28</v>
      </c>
      <c r="B62" s="34">
        <f t="shared" si="6"/>
        <v>44622</v>
      </c>
      <c r="C62" s="35">
        <v>3.0</v>
      </c>
      <c r="D62" s="35" t="s">
        <v>21</v>
      </c>
      <c r="E62" s="37"/>
      <c r="F62" s="25">
        <v>115.0</v>
      </c>
      <c r="H62" s="26">
        <v>115.0</v>
      </c>
      <c r="J62" s="24"/>
      <c r="L62" s="25">
        <v>240.0</v>
      </c>
      <c r="N62" s="26">
        <v>240.0</v>
      </c>
      <c r="P62" s="24"/>
      <c r="R62" s="26">
        <v>0.0</v>
      </c>
      <c r="T62" s="24"/>
      <c r="V62" s="24"/>
      <c r="W62" s="27"/>
      <c r="X62" s="23"/>
      <c r="Z62" s="24"/>
      <c r="AB62" s="24"/>
      <c r="AD62" s="24"/>
      <c r="AF62" s="24"/>
      <c r="AH62" s="24"/>
      <c r="AI62" s="27"/>
      <c r="AJ62" s="39">
        <f t="shared" si="1"/>
        <v>13659.8</v>
      </c>
      <c r="AK62" s="35">
        <f t="shared" si="2"/>
        <v>710</v>
      </c>
      <c r="AL62" s="35">
        <f t="shared" si="3"/>
        <v>0</v>
      </c>
      <c r="AM62" s="35">
        <f t="shared" si="4"/>
        <v>710</v>
      </c>
      <c r="AN62" s="40">
        <f t="shared" si="5"/>
        <v>19.23915493</v>
      </c>
    </row>
    <row r="63" ht="15.75" customHeight="1">
      <c r="A63" s="32" t="s">
        <v>29</v>
      </c>
      <c r="B63" s="34">
        <f t="shared" si="6"/>
        <v>44623</v>
      </c>
      <c r="C63" s="35">
        <v>3.0</v>
      </c>
      <c r="D63" s="35" t="s">
        <v>21</v>
      </c>
      <c r="E63" s="37"/>
      <c r="F63" s="25">
        <v>115.0</v>
      </c>
      <c r="H63" s="26">
        <v>115.0</v>
      </c>
      <c r="J63" s="24"/>
      <c r="L63" s="25">
        <v>240.0</v>
      </c>
      <c r="N63" s="26">
        <v>240.0</v>
      </c>
      <c r="P63" s="24"/>
      <c r="R63" s="26">
        <v>0.0</v>
      </c>
      <c r="T63" s="24"/>
      <c r="V63" s="24"/>
      <c r="W63" s="27"/>
      <c r="X63" s="23"/>
      <c r="Z63" s="24"/>
      <c r="AB63" s="24"/>
      <c r="AD63" s="24"/>
      <c r="AF63" s="24"/>
      <c r="AH63" s="24"/>
      <c r="AI63" s="27"/>
      <c r="AJ63" s="39">
        <f t="shared" si="1"/>
        <v>13659.8</v>
      </c>
      <c r="AK63" s="35">
        <f t="shared" si="2"/>
        <v>710</v>
      </c>
      <c r="AL63" s="35">
        <f t="shared" si="3"/>
        <v>0</v>
      </c>
      <c r="AM63" s="35">
        <f t="shared" si="4"/>
        <v>710</v>
      </c>
      <c r="AN63" s="40">
        <f t="shared" si="5"/>
        <v>19.23915493</v>
      </c>
    </row>
    <row r="64" ht="15.75" customHeight="1">
      <c r="A64" s="32" t="s">
        <v>30</v>
      </c>
      <c r="B64" s="34">
        <f t="shared" si="6"/>
        <v>44624</v>
      </c>
      <c r="C64" s="35">
        <v>3.0</v>
      </c>
      <c r="D64" s="35" t="s">
        <v>21</v>
      </c>
      <c r="E64" s="37"/>
      <c r="F64" s="25">
        <v>115.0</v>
      </c>
      <c r="H64" s="26">
        <v>115.0</v>
      </c>
      <c r="J64" s="24"/>
      <c r="L64" s="25">
        <v>240.0</v>
      </c>
      <c r="N64" s="26">
        <v>240.0</v>
      </c>
      <c r="P64" s="24"/>
      <c r="R64" s="26">
        <v>0.0</v>
      </c>
      <c r="T64" s="24"/>
      <c r="V64" s="24"/>
      <c r="W64" s="27"/>
      <c r="X64" s="23"/>
      <c r="Z64" s="24"/>
      <c r="AB64" s="24"/>
      <c r="AD64" s="24"/>
      <c r="AF64" s="24"/>
      <c r="AH64" s="24"/>
      <c r="AI64" s="27"/>
      <c r="AJ64" s="39">
        <f t="shared" si="1"/>
        <v>13659.8</v>
      </c>
      <c r="AK64" s="35">
        <f t="shared" si="2"/>
        <v>710</v>
      </c>
      <c r="AL64" s="35">
        <f t="shared" si="3"/>
        <v>0</v>
      </c>
      <c r="AM64" s="35">
        <f t="shared" si="4"/>
        <v>710</v>
      </c>
      <c r="AN64" s="40">
        <f t="shared" si="5"/>
        <v>19.23915493</v>
      </c>
    </row>
    <row r="65" ht="15.75" customHeight="1">
      <c r="A65" s="48" t="s">
        <v>31</v>
      </c>
      <c r="B65" s="50">
        <f t="shared" si="6"/>
        <v>44625</v>
      </c>
      <c r="C65" s="51">
        <v>3.0</v>
      </c>
      <c r="D65" s="51" t="s">
        <v>21</v>
      </c>
      <c r="E65" s="53"/>
      <c r="F65" s="58">
        <v>115.0</v>
      </c>
      <c r="G65" s="56"/>
      <c r="H65" s="59">
        <v>115.0</v>
      </c>
      <c r="I65" s="56"/>
      <c r="J65" s="57"/>
      <c r="K65" s="56"/>
      <c r="L65" s="58">
        <v>240.0</v>
      </c>
      <c r="M65" s="56"/>
      <c r="N65" s="59">
        <v>240.0</v>
      </c>
      <c r="O65" s="56"/>
      <c r="P65" s="57"/>
      <c r="Q65" s="56"/>
      <c r="R65" s="59">
        <v>0.0</v>
      </c>
      <c r="S65" s="56"/>
      <c r="T65" s="57"/>
      <c r="U65" s="56"/>
      <c r="V65" s="57"/>
      <c r="W65" s="60"/>
      <c r="X65" s="54"/>
      <c r="Y65" s="56"/>
      <c r="Z65" s="57"/>
      <c r="AA65" s="56"/>
      <c r="AB65" s="57"/>
      <c r="AC65" s="56"/>
      <c r="AD65" s="57"/>
      <c r="AE65" s="56"/>
      <c r="AF65" s="57"/>
      <c r="AG65" s="56"/>
      <c r="AH65" s="57"/>
      <c r="AI65" s="60"/>
      <c r="AJ65" s="61">
        <f t="shared" si="1"/>
        <v>13659.8</v>
      </c>
      <c r="AK65" s="51">
        <f t="shared" si="2"/>
        <v>710</v>
      </c>
      <c r="AL65" s="51">
        <f t="shared" si="3"/>
        <v>0</v>
      </c>
      <c r="AM65" s="51">
        <f t="shared" si="4"/>
        <v>710</v>
      </c>
      <c r="AN65" s="63">
        <f t="shared" si="5"/>
        <v>19.23915493</v>
      </c>
    </row>
    <row r="66" ht="15.75" customHeight="1">
      <c r="A66" s="18" t="s">
        <v>20</v>
      </c>
      <c r="B66" s="64">
        <f t="shared" si="6"/>
        <v>44626</v>
      </c>
      <c r="C66" s="20">
        <v>3.0</v>
      </c>
      <c r="D66" s="20" t="s">
        <v>32</v>
      </c>
      <c r="E66" s="22"/>
      <c r="F66" s="25">
        <v>115.0</v>
      </c>
      <c r="H66" s="26">
        <v>115.0</v>
      </c>
      <c r="J66" s="24"/>
      <c r="L66" s="25">
        <v>240.0</v>
      </c>
      <c r="N66" s="26">
        <v>240.0</v>
      </c>
      <c r="P66" s="24"/>
      <c r="R66" s="26">
        <v>0.0</v>
      </c>
      <c r="T66" s="24"/>
      <c r="V66" s="24"/>
      <c r="W66" s="27"/>
      <c r="X66" s="23"/>
      <c r="Z66" s="24"/>
      <c r="AB66" s="24"/>
      <c r="AD66" s="24"/>
      <c r="AF66" s="24"/>
      <c r="AH66" s="24"/>
      <c r="AI66" s="27"/>
      <c r="AJ66" s="28">
        <f t="shared" si="1"/>
        <v>13659.8</v>
      </c>
      <c r="AK66" s="20">
        <f t="shared" si="2"/>
        <v>710</v>
      </c>
      <c r="AL66" s="20">
        <f t="shared" si="3"/>
        <v>0</v>
      </c>
      <c r="AM66" s="20">
        <f t="shared" si="4"/>
        <v>710</v>
      </c>
      <c r="AN66" s="31">
        <f t="shared" si="5"/>
        <v>19.23915493</v>
      </c>
    </row>
    <row r="67" ht="15.75" customHeight="1">
      <c r="A67" s="32" t="s">
        <v>22</v>
      </c>
      <c r="B67" s="34">
        <f t="shared" si="6"/>
        <v>44627</v>
      </c>
      <c r="C67" s="35">
        <v>3.0</v>
      </c>
      <c r="D67" s="35" t="s">
        <v>32</v>
      </c>
      <c r="E67" s="37"/>
      <c r="F67" s="25">
        <v>115.0</v>
      </c>
      <c r="H67" s="26">
        <v>115.0</v>
      </c>
      <c r="J67" s="24"/>
      <c r="L67" s="25">
        <v>240.0</v>
      </c>
      <c r="N67" s="26">
        <v>240.0</v>
      </c>
      <c r="P67" s="24"/>
      <c r="R67" s="26">
        <v>0.0</v>
      </c>
      <c r="T67" s="24"/>
      <c r="V67" s="24"/>
      <c r="W67" s="27"/>
      <c r="X67" s="23"/>
      <c r="Z67" s="24"/>
      <c r="AB67" s="24"/>
      <c r="AD67" s="24"/>
      <c r="AF67" s="24"/>
      <c r="AH67" s="24"/>
      <c r="AI67" s="27"/>
      <c r="AJ67" s="39">
        <f t="shared" si="1"/>
        <v>13659.8</v>
      </c>
      <c r="AK67" s="35">
        <f t="shared" si="2"/>
        <v>710</v>
      </c>
      <c r="AL67" s="35">
        <f t="shared" si="3"/>
        <v>0</v>
      </c>
      <c r="AM67" s="35">
        <f t="shared" si="4"/>
        <v>710</v>
      </c>
      <c r="AN67" s="40">
        <f t="shared" si="5"/>
        <v>19.23915493</v>
      </c>
    </row>
    <row r="68" ht="15.75" customHeight="1">
      <c r="A68" s="32" t="s">
        <v>24</v>
      </c>
      <c r="B68" s="34">
        <f t="shared" si="6"/>
        <v>44628</v>
      </c>
      <c r="C68" s="35">
        <v>3.0</v>
      </c>
      <c r="D68" s="35" t="s">
        <v>32</v>
      </c>
      <c r="E68" s="37"/>
      <c r="F68" s="25">
        <v>115.0</v>
      </c>
      <c r="H68" s="26">
        <v>115.0</v>
      </c>
      <c r="J68" s="24"/>
      <c r="L68" s="25">
        <v>240.0</v>
      </c>
      <c r="N68" s="26">
        <v>240.0</v>
      </c>
      <c r="P68" s="24"/>
      <c r="R68" s="26">
        <v>0.0</v>
      </c>
      <c r="T68" s="24"/>
      <c r="V68" s="24"/>
      <c r="W68" s="27"/>
      <c r="X68" s="23"/>
      <c r="Z68" s="24"/>
      <c r="AB68" s="24"/>
      <c r="AD68" s="24"/>
      <c r="AF68" s="24"/>
      <c r="AH68" s="24"/>
      <c r="AI68" s="27"/>
      <c r="AJ68" s="39">
        <f t="shared" si="1"/>
        <v>13659.8</v>
      </c>
      <c r="AK68" s="35">
        <f t="shared" si="2"/>
        <v>710</v>
      </c>
      <c r="AL68" s="35">
        <f t="shared" si="3"/>
        <v>0</v>
      </c>
      <c r="AM68" s="35">
        <f t="shared" si="4"/>
        <v>710</v>
      </c>
      <c r="AN68" s="40">
        <f t="shared" si="5"/>
        <v>19.23915493</v>
      </c>
    </row>
    <row r="69" ht="15.75" customHeight="1">
      <c r="A69" s="32" t="s">
        <v>28</v>
      </c>
      <c r="B69" s="34">
        <f t="shared" si="6"/>
        <v>44629</v>
      </c>
      <c r="C69" s="35">
        <v>3.0</v>
      </c>
      <c r="D69" s="35" t="s">
        <v>32</v>
      </c>
      <c r="E69" s="37"/>
      <c r="F69" s="25">
        <v>0.0</v>
      </c>
      <c r="H69" s="26">
        <v>0.0</v>
      </c>
      <c r="J69" s="24"/>
      <c r="L69" s="25">
        <v>240.0</v>
      </c>
      <c r="N69" s="26">
        <v>240.0</v>
      </c>
      <c r="P69" s="24"/>
      <c r="R69" s="26">
        <v>0.0</v>
      </c>
      <c r="T69" s="24"/>
      <c r="V69" s="24"/>
      <c r="W69" s="27"/>
      <c r="X69" s="23"/>
      <c r="Z69" s="24"/>
      <c r="AB69" s="24"/>
      <c r="AD69" s="24"/>
      <c r="AF69" s="24"/>
      <c r="AH69" s="24"/>
      <c r="AI69" s="27"/>
      <c r="AJ69" s="39">
        <f t="shared" si="1"/>
        <v>7785.6</v>
      </c>
      <c r="AK69" s="35">
        <f t="shared" si="2"/>
        <v>480</v>
      </c>
      <c r="AL69" s="35">
        <f t="shared" si="3"/>
        <v>0</v>
      </c>
      <c r="AM69" s="35">
        <f t="shared" si="4"/>
        <v>480</v>
      </c>
      <c r="AN69" s="40">
        <f t="shared" si="5"/>
        <v>16.22</v>
      </c>
    </row>
    <row r="70" ht="15.75" customHeight="1">
      <c r="A70" s="32" t="s">
        <v>29</v>
      </c>
      <c r="B70" s="34">
        <f t="shared" si="6"/>
        <v>44630</v>
      </c>
      <c r="C70" s="35">
        <v>3.0</v>
      </c>
      <c r="D70" s="35" t="s">
        <v>32</v>
      </c>
      <c r="E70" s="37"/>
      <c r="F70" s="25">
        <v>115.0</v>
      </c>
      <c r="H70" s="26">
        <v>115.0</v>
      </c>
      <c r="J70" s="24"/>
      <c r="L70" s="25">
        <v>240.0</v>
      </c>
      <c r="N70" s="26">
        <v>240.0</v>
      </c>
      <c r="P70" s="24"/>
      <c r="R70" s="26">
        <v>0.0</v>
      </c>
      <c r="T70" s="24"/>
      <c r="V70" s="24"/>
      <c r="W70" s="27"/>
      <c r="X70" s="23"/>
      <c r="Z70" s="24"/>
      <c r="AB70" s="24"/>
      <c r="AD70" s="24"/>
      <c r="AF70" s="24"/>
      <c r="AH70" s="24"/>
      <c r="AI70" s="27"/>
      <c r="AJ70" s="39">
        <f t="shared" si="1"/>
        <v>13659.8</v>
      </c>
      <c r="AK70" s="35">
        <f t="shared" si="2"/>
        <v>710</v>
      </c>
      <c r="AL70" s="35">
        <f t="shared" si="3"/>
        <v>0</v>
      </c>
      <c r="AM70" s="35">
        <f t="shared" si="4"/>
        <v>710</v>
      </c>
      <c r="AN70" s="40">
        <f t="shared" si="5"/>
        <v>19.23915493</v>
      </c>
    </row>
    <row r="71" ht="15.75" customHeight="1">
      <c r="A71" s="32" t="s">
        <v>30</v>
      </c>
      <c r="B71" s="34">
        <f t="shared" si="6"/>
        <v>44631</v>
      </c>
      <c r="C71" s="35">
        <v>3.0</v>
      </c>
      <c r="D71" s="35" t="s">
        <v>32</v>
      </c>
      <c r="E71" s="37"/>
      <c r="F71" s="25">
        <v>115.0</v>
      </c>
      <c r="H71" s="26">
        <v>115.0</v>
      </c>
      <c r="J71" s="24"/>
      <c r="L71" s="25">
        <v>240.0</v>
      </c>
      <c r="N71" s="26">
        <v>240.0</v>
      </c>
      <c r="P71" s="24"/>
      <c r="R71" s="26">
        <v>0.0</v>
      </c>
      <c r="T71" s="24"/>
      <c r="V71" s="24"/>
      <c r="W71" s="27"/>
      <c r="X71" s="23"/>
      <c r="Z71" s="24"/>
      <c r="AB71" s="24"/>
      <c r="AD71" s="24"/>
      <c r="AF71" s="24"/>
      <c r="AH71" s="24"/>
      <c r="AI71" s="27"/>
      <c r="AJ71" s="39">
        <f t="shared" si="1"/>
        <v>13659.8</v>
      </c>
      <c r="AK71" s="35">
        <f t="shared" si="2"/>
        <v>710</v>
      </c>
      <c r="AL71" s="35">
        <f t="shared" si="3"/>
        <v>0</v>
      </c>
      <c r="AM71" s="35">
        <f t="shared" si="4"/>
        <v>710</v>
      </c>
      <c r="AN71" s="40">
        <f t="shared" si="5"/>
        <v>19.23915493</v>
      </c>
    </row>
    <row r="72" ht="15.75" customHeight="1">
      <c r="A72" s="48" t="s">
        <v>31</v>
      </c>
      <c r="B72" s="50">
        <f t="shared" si="6"/>
        <v>44632</v>
      </c>
      <c r="C72" s="51">
        <v>3.0</v>
      </c>
      <c r="D72" s="51" t="s">
        <v>32</v>
      </c>
      <c r="E72" s="53"/>
      <c r="F72" s="58">
        <v>115.0</v>
      </c>
      <c r="G72" s="56"/>
      <c r="H72" s="59">
        <v>115.0</v>
      </c>
      <c r="I72" s="56"/>
      <c r="J72" s="57"/>
      <c r="K72" s="56"/>
      <c r="L72" s="58">
        <v>240.0</v>
      </c>
      <c r="M72" s="56"/>
      <c r="N72" s="59">
        <v>240.0</v>
      </c>
      <c r="O72" s="56"/>
      <c r="P72" s="57"/>
      <c r="Q72" s="56"/>
      <c r="R72" s="59">
        <v>0.0</v>
      </c>
      <c r="S72" s="56"/>
      <c r="T72" s="57"/>
      <c r="U72" s="56"/>
      <c r="V72" s="57"/>
      <c r="W72" s="60"/>
      <c r="X72" s="54"/>
      <c r="Y72" s="56"/>
      <c r="Z72" s="57"/>
      <c r="AA72" s="56"/>
      <c r="AB72" s="57"/>
      <c r="AC72" s="56"/>
      <c r="AD72" s="57"/>
      <c r="AE72" s="56"/>
      <c r="AF72" s="57"/>
      <c r="AG72" s="56"/>
      <c r="AH72" s="57"/>
      <c r="AI72" s="60"/>
      <c r="AJ72" s="61">
        <f t="shared" si="1"/>
        <v>13659.8</v>
      </c>
      <c r="AK72" s="51">
        <f t="shared" si="2"/>
        <v>710</v>
      </c>
      <c r="AL72" s="51">
        <f t="shared" si="3"/>
        <v>0</v>
      </c>
      <c r="AM72" s="51">
        <f t="shared" si="4"/>
        <v>710</v>
      </c>
      <c r="AN72" s="63">
        <f t="shared" si="5"/>
        <v>19.23915493</v>
      </c>
    </row>
    <row r="73" ht="15.75" customHeight="1">
      <c r="A73" s="18" t="s">
        <v>20</v>
      </c>
      <c r="B73" s="64">
        <f t="shared" si="6"/>
        <v>44633</v>
      </c>
      <c r="C73" s="20">
        <v>3.0</v>
      </c>
      <c r="D73" s="20" t="s">
        <v>33</v>
      </c>
      <c r="E73" s="22"/>
      <c r="F73" s="25">
        <v>115.0</v>
      </c>
      <c r="H73" s="26">
        <v>115.0</v>
      </c>
      <c r="J73" s="24"/>
      <c r="L73" s="25">
        <v>240.0</v>
      </c>
      <c r="N73" s="26">
        <v>240.0</v>
      </c>
      <c r="P73" s="24"/>
      <c r="R73" s="26">
        <v>0.0</v>
      </c>
      <c r="T73" s="24"/>
      <c r="V73" s="24"/>
      <c r="W73" s="27"/>
      <c r="X73" s="23"/>
      <c r="Z73" s="24"/>
      <c r="AB73" s="24"/>
      <c r="AD73" s="24"/>
      <c r="AF73" s="24"/>
      <c r="AH73" s="24"/>
      <c r="AI73" s="27"/>
      <c r="AJ73" s="28">
        <f t="shared" si="1"/>
        <v>13659.8</v>
      </c>
      <c r="AK73" s="20">
        <f t="shared" si="2"/>
        <v>710</v>
      </c>
      <c r="AL73" s="20">
        <f t="shared" si="3"/>
        <v>0</v>
      </c>
      <c r="AM73" s="20">
        <f t="shared" si="4"/>
        <v>710</v>
      </c>
      <c r="AN73" s="31">
        <f t="shared" si="5"/>
        <v>19.23915493</v>
      </c>
    </row>
    <row r="74" ht="15.75" customHeight="1">
      <c r="A74" s="32" t="s">
        <v>22</v>
      </c>
      <c r="B74" s="34">
        <f t="shared" si="6"/>
        <v>44634</v>
      </c>
      <c r="C74" s="35">
        <v>3.0</v>
      </c>
      <c r="D74" s="35" t="s">
        <v>33</v>
      </c>
      <c r="E74" s="37"/>
      <c r="F74" s="25">
        <v>115.0</v>
      </c>
      <c r="H74" s="26">
        <v>115.0</v>
      </c>
      <c r="J74" s="24"/>
      <c r="L74" s="25">
        <v>240.0</v>
      </c>
      <c r="N74" s="26">
        <v>240.0</v>
      </c>
      <c r="P74" s="24"/>
      <c r="R74" s="26">
        <v>0.0</v>
      </c>
      <c r="T74" s="24"/>
      <c r="V74" s="24"/>
      <c r="W74" s="27"/>
      <c r="X74" s="23"/>
      <c r="Z74" s="24"/>
      <c r="AB74" s="24"/>
      <c r="AD74" s="24"/>
      <c r="AF74" s="24"/>
      <c r="AH74" s="24"/>
      <c r="AI74" s="27"/>
      <c r="AJ74" s="39">
        <f t="shared" si="1"/>
        <v>13659.8</v>
      </c>
      <c r="AK74" s="35">
        <f t="shared" si="2"/>
        <v>710</v>
      </c>
      <c r="AL74" s="35">
        <f t="shared" si="3"/>
        <v>0</v>
      </c>
      <c r="AM74" s="35">
        <f t="shared" si="4"/>
        <v>710</v>
      </c>
      <c r="AN74" s="40">
        <f t="shared" si="5"/>
        <v>19.23915493</v>
      </c>
    </row>
    <row r="75" ht="15.75" customHeight="1">
      <c r="A75" s="32" t="s">
        <v>24</v>
      </c>
      <c r="B75" s="34">
        <f t="shared" si="6"/>
        <v>44635</v>
      </c>
      <c r="C75" s="35">
        <v>3.0</v>
      </c>
      <c r="D75" s="35" t="s">
        <v>33</v>
      </c>
      <c r="E75" s="37"/>
      <c r="F75" s="25">
        <v>0.0</v>
      </c>
      <c r="H75" s="26">
        <v>0.0</v>
      </c>
      <c r="J75" s="24"/>
      <c r="L75" s="25">
        <v>240.0</v>
      </c>
      <c r="N75" s="26">
        <v>240.0</v>
      </c>
      <c r="P75" s="24"/>
      <c r="R75" s="26">
        <v>0.0</v>
      </c>
      <c r="T75" s="24"/>
      <c r="V75" s="24"/>
      <c r="W75" s="27"/>
      <c r="X75" s="23"/>
      <c r="Z75" s="24"/>
      <c r="AB75" s="24"/>
      <c r="AD75" s="24"/>
      <c r="AF75" s="24"/>
      <c r="AH75" s="24"/>
      <c r="AI75" s="27"/>
      <c r="AJ75" s="39">
        <f t="shared" si="1"/>
        <v>7785.6</v>
      </c>
      <c r="AK75" s="35">
        <f t="shared" si="2"/>
        <v>480</v>
      </c>
      <c r="AL75" s="35">
        <f t="shared" si="3"/>
        <v>0</v>
      </c>
      <c r="AM75" s="35">
        <f t="shared" si="4"/>
        <v>480</v>
      </c>
      <c r="AN75" s="40">
        <f t="shared" si="5"/>
        <v>16.22</v>
      </c>
    </row>
    <row r="76" ht="15.75" customHeight="1">
      <c r="A76" s="32" t="s">
        <v>28</v>
      </c>
      <c r="B76" s="34">
        <f t="shared" si="6"/>
        <v>44636</v>
      </c>
      <c r="C76" s="35">
        <v>3.0</v>
      </c>
      <c r="D76" s="35" t="s">
        <v>33</v>
      </c>
      <c r="E76" s="37"/>
      <c r="F76" s="25">
        <v>105.0</v>
      </c>
      <c r="H76" s="26">
        <v>105.0</v>
      </c>
      <c r="J76" s="24"/>
      <c r="L76" s="25">
        <v>240.0</v>
      </c>
      <c r="N76" s="26">
        <v>240.0</v>
      </c>
      <c r="P76" s="24"/>
      <c r="R76" s="26">
        <v>0.0</v>
      </c>
      <c r="T76" s="24"/>
      <c r="V76" s="24"/>
      <c r="W76" s="27"/>
      <c r="X76" s="23"/>
      <c r="Z76" s="24"/>
      <c r="AB76" s="24"/>
      <c r="AD76" s="24"/>
      <c r="AF76" s="24"/>
      <c r="AH76" s="24"/>
      <c r="AI76" s="27"/>
      <c r="AJ76" s="39">
        <f t="shared" si="1"/>
        <v>13149</v>
      </c>
      <c r="AK76" s="35">
        <f t="shared" si="2"/>
        <v>690</v>
      </c>
      <c r="AL76" s="35">
        <f t="shared" si="3"/>
        <v>0</v>
      </c>
      <c r="AM76" s="35">
        <f t="shared" si="4"/>
        <v>690</v>
      </c>
      <c r="AN76" s="40">
        <f t="shared" si="5"/>
        <v>19.05652174</v>
      </c>
    </row>
    <row r="77" ht="15.75" customHeight="1">
      <c r="A77" s="32" t="s">
        <v>29</v>
      </c>
      <c r="B77" s="34">
        <f t="shared" si="6"/>
        <v>44637</v>
      </c>
      <c r="C77" s="35">
        <v>3.0</v>
      </c>
      <c r="D77" s="35" t="s">
        <v>33</v>
      </c>
      <c r="E77" s="37"/>
      <c r="F77" s="25">
        <v>105.0</v>
      </c>
      <c r="H77" s="26">
        <v>105.0</v>
      </c>
      <c r="J77" s="24"/>
      <c r="L77" s="25">
        <v>240.0</v>
      </c>
      <c r="N77" s="26">
        <v>240.0</v>
      </c>
      <c r="P77" s="24"/>
      <c r="R77" s="26">
        <v>0.0</v>
      </c>
      <c r="T77" s="24"/>
      <c r="V77" s="24"/>
      <c r="W77" s="27"/>
      <c r="X77" s="23"/>
      <c r="Z77" s="24"/>
      <c r="AB77" s="24"/>
      <c r="AD77" s="24"/>
      <c r="AF77" s="24"/>
      <c r="AH77" s="24"/>
      <c r="AI77" s="27"/>
      <c r="AJ77" s="39">
        <f t="shared" si="1"/>
        <v>13149</v>
      </c>
      <c r="AK77" s="35">
        <f t="shared" si="2"/>
        <v>690</v>
      </c>
      <c r="AL77" s="35">
        <f t="shared" si="3"/>
        <v>0</v>
      </c>
      <c r="AM77" s="35">
        <f t="shared" si="4"/>
        <v>690</v>
      </c>
      <c r="AN77" s="40">
        <f t="shared" si="5"/>
        <v>19.05652174</v>
      </c>
    </row>
    <row r="78" ht="15.75" customHeight="1">
      <c r="A78" s="32" t="s">
        <v>30</v>
      </c>
      <c r="B78" s="34">
        <f t="shared" si="6"/>
        <v>44638</v>
      </c>
      <c r="C78" s="35">
        <v>3.0</v>
      </c>
      <c r="D78" s="35" t="s">
        <v>33</v>
      </c>
      <c r="E78" s="37"/>
      <c r="F78" s="25">
        <v>105.0</v>
      </c>
      <c r="H78" s="26">
        <v>105.0</v>
      </c>
      <c r="J78" s="24"/>
      <c r="L78" s="25">
        <v>240.0</v>
      </c>
      <c r="N78" s="26">
        <v>240.0</v>
      </c>
      <c r="P78" s="24"/>
      <c r="R78" s="26">
        <v>0.0</v>
      </c>
      <c r="T78" s="24"/>
      <c r="V78" s="24"/>
      <c r="W78" s="27"/>
      <c r="X78" s="23"/>
      <c r="Z78" s="24"/>
      <c r="AB78" s="24"/>
      <c r="AD78" s="24"/>
      <c r="AF78" s="24"/>
      <c r="AH78" s="24"/>
      <c r="AI78" s="27"/>
      <c r="AJ78" s="39">
        <f t="shared" si="1"/>
        <v>13149</v>
      </c>
      <c r="AK78" s="35">
        <f t="shared" si="2"/>
        <v>690</v>
      </c>
      <c r="AL78" s="35">
        <f t="shared" si="3"/>
        <v>0</v>
      </c>
      <c r="AM78" s="35">
        <f t="shared" si="4"/>
        <v>690</v>
      </c>
      <c r="AN78" s="40">
        <f t="shared" si="5"/>
        <v>19.05652174</v>
      </c>
    </row>
    <row r="79" ht="15.75" customHeight="1">
      <c r="A79" s="48" t="s">
        <v>31</v>
      </c>
      <c r="B79" s="50">
        <f t="shared" si="6"/>
        <v>44639</v>
      </c>
      <c r="C79" s="51">
        <v>3.0</v>
      </c>
      <c r="D79" s="51" t="s">
        <v>33</v>
      </c>
      <c r="E79" s="53"/>
      <c r="F79" s="58">
        <v>105.0</v>
      </c>
      <c r="G79" s="56"/>
      <c r="H79" s="59">
        <v>105.0</v>
      </c>
      <c r="I79" s="56"/>
      <c r="J79" s="57"/>
      <c r="K79" s="56"/>
      <c r="L79" s="58">
        <v>240.0</v>
      </c>
      <c r="M79" s="56"/>
      <c r="N79" s="59">
        <v>240.0</v>
      </c>
      <c r="O79" s="56"/>
      <c r="P79" s="57"/>
      <c r="Q79" s="56"/>
      <c r="R79" s="59">
        <v>0.0</v>
      </c>
      <c r="S79" s="56"/>
      <c r="T79" s="57"/>
      <c r="U79" s="56"/>
      <c r="V79" s="57"/>
      <c r="W79" s="60"/>
      <c r="X79" s="54"/>
      <c r="Y79" s="56"/>
      <c r="Z79" s="57"/>
      <c r="AA79" s="56"/>
      <c r="AB79" s="57"/>
      <c r="AC79" s="56"/>
      <c r="AD79" s="57"/>
      <c r="AE79" s="56"/>
      <c r="AF79" s="57"/>
      <c r="AG79" s="56"/>
      <c r="AH79" s="57"/>
      <c r="AI79" s="60"/>
      <c r="AJ79" s="61">
        <f t="shared" si="1"/>
        <v>13149</v>
      </c>
      <c r="AK79" s="51">
        <f t="shared" si="2"/>
        <v>690</v>
      </c>
      <c r="AL79" s="51">
        <f t="shared" si="3"/>
        <v>0</v>
      </c>
      <c r="AM79" s="51">
        <f t="shared" si="4"/>
        <v>690</v>
      </c>
      <c r="AN79" s="63">
        <f t="shared" si="5"/>
        <v>19.05652174</v>
      </c>
    </row>
    <row r="80" ht="15.75" customHeight="1">
      <c r="A80" s="18" t="s">
        <v>20</v>
      </c>
      <c r="B80" s="64">
        <f t="shared" si="6"/>
        <v>44640</v>
      </c>
      <c r="C80" s="20">
        <v>3.0</v>
      </c>
      <c r="D80" s="20" t="s">
        <v>34</v>
      </c>
      <c r="E80" s="22"/>
      <c r="F80" s="25">
        <v>105.0</v>
      </c>
      <c r="H80" s="26">
        <v>105.0</v>
      </c>
      <c r="J80" s="24"/>
      <c r="L80" s="25">
        <v>240.0</v>
      </c>
      <c r="N80" s="26">
        <v>240.0</v>
      </c>
      <c r="P80" s="24"/>
      <c r="R80" s="26">
        <v>0.0</v>
      </c>
      <c r="T80" s="24"/>
      <c r="V80" s="24"/>
      <c r="W80" s="27"/>
      <c r="X80" s="23"/>
      <c r="Z80" s="24"/>
      <c r="AB80" s="24"/>
      <c r="AD80" s="24"/>
      <c r="AF80" s="24"/>
      <c r="AH80" s="24"/>
      <c r="AI80" s="27"/>
      <c r="AJ80" s="28">
        <f t="shared" si="1"/>
        <v>13149</v>
      </c>
      <c r="AK80" s="20">
        <f t="shared" si="2"/>
        <v>690</v>
      </c>
      <c r="AL80" s="20">
        <f t="shared" si="3"/>
        <v>0</v>
      </c>
      <c r="AM80" s="20">
        <f t="shared" si="4"/>
        <v>690</v>
      </c>
      <c r="AN80" s="31">
        <f t="shared" si="5"/>
        <v>19.05652174</v>
      </c>
    </row>
    <row r="81" ht="15.75" customHeight="1">
      <c r="A81" s="32" t="s">
        <v>22</v>
      </c>
      <c r="B81" s="34">
        <f t="shared" si="6"/>
        <v>44641</v>
      </c>
      <c r="C81" s="35">
        <v>3.0</v>
      </c>
      <c r="D81" s="35" t="s">
        <v>34</v>
      </c>
      <c r="E81" s="37"/>
      <c r="F81" s="25">
        <v>0.0</v>
      </c>
      <c r="H81" s="26">
        <v>0.0</v>
      </c>
      <c r="J81" s="24"/>
      <c r="L81" s="25">
        <v>240.0</v>
      </c>
      <c r="N81" s="26">
        <v>240.0</v>
      </c>
      <c r="P81" s="24"/>
      <c r="R81" s="26">
        <v>0.0</v>
      </c>
      <c r="T81" s="24"/>
      <c r="V81" s="24"/>
      <c r="W81" s="27"/>
      <c r="X81" s="23"/>
      <c r="Z81" s="24"/>
      <c r="AB81" s="24"/>
      <c r="AD81" s="24"/>
      <c r="AF81" s="24"/>
      <c r="AH81" s="24"/>
      <c r="AI81" s="27"/>
      <c r="AJ81" s="39">
        <f t="shared" si="1"/>
        <v>7785.6</v>
      </c>
      <c r="AK81" s="35">
        <f t="shared" si="2"/>
        <v>480</v>
      </c>
      <c r="AL81" s="35">
        <f t="shared" si="3"/>
        <v>0</v>
      </c>
      <c r="AM81" s="35">
        <f t="shared" si="4"/>
        <v>480</v>
      </c>
      <c r="AN81" s="40">
        <f t="shared" si="5"/>
        <v>16.22</v>
      </c>
    </row>
    <row r="82" ht="15.75" customHeight="1">
      <c r="A82" s="32" t="s">
        <v>24</v>
      </c>
      <c r="B82" s="34">
        <f t="shared" si="6"/>
        <v>44642</v>
      </c>
      <c r="C82" s="35">
        <v>3.0</v>
      </c>
      <c r="D82" s="35" t="s">
        <v>34</v>
      </c>
      <c r="E82" s="37"/>
      <c r="F82" s="25">
        <v>95.0</v>
      </c>
      <c r="H82" s="26">
        <v>95.0</v>
      </c>
      <c r="J82" s="24"/>
      <c r="L82" s="25">
        <v>240.0</v>
      </c>
      <c r="N82" s="26">
        <v>240.0</v>
      </c>
      <c r="P82" s="24"/>
      <c r="R82" s="26">
        <v>0.0</v>
      </c>
      <c r="T82" s="24"/>
      <c r="V82" s="24"/>
      <c r="W82" s="27"/>
      <c r="X82" s="23"/>
      <c r="Z82" s="24"/>
      <c r="AB82" s="24"/>
      <c r="AD82" s="24"/>
      <c r="AF82" s="24"/>
      <c r="AH82" s="24"/>
      <c r="AI82" s="27"/>
      <c r="AJ82" s="39">
        <f t="shared" si="1"/>
        <v>12638.2</v>
      </c>
      <c r="AK82" s="35">
        <f t="shared" si="2"/>
        <v>670</v>
      </c>
      <c r="AL82" s="35">
        <f t="shared" si="3"/>
        <v>0</v>
      </c>
      <c r="AM82" s="35">
        <f t="shared" si="4"/>
        <v>670</v>
      </c>
      <c r="AN82" s="40">
        <f t="shared" si="5"/>
        <v>18.86298507</v>
      </c>
    </row>
    <row r="83" ht="15.75" customHeight="1">
      <c r="A83" s="32" t="s">
        <v>28</v>
      </c>
      <c r="B83" s="34">
        <f t="shared" si="6"/>
        <v>44643</v>
      </c>
      <c r="C83" s="35">
        <v>3.0</v>
      </c>
      <c r="D83" s="35" t="s">
        <v>34</v>
      </c>
      <c r="E83" s="37"/>
      <c r="F83" s="25">
        <v>95.0</v>
      </c>
      <c r="H83" s="26">
        <v>95.0</v>
      </c>
      <c r="J83" s="24"/>
      <c r="L83" s="25">
        <v>240.0</v>
      </c>
      <c r="N83" s="26">
        <v>240.0</v>
      </c>
      <c r="P83" s="24"/>
      <c r="R83" s="26">
        <v>0.0</v>
      </c>
      <c r="T83" s="24"/>
      <c r="V83" s="24"/>
      <c r="W83" s="27"/>
      <c r="X83" s="23"/>
      <c r="Z83" s="24"/>
      <c r="AB83" s="24"/>
      <c r="AD83" s="24"/>
      <c r="AF83" s="24"/>
      <c r="AH83" s="24"/>
      <c r="AI83" s="27"/>
      <c r="AJ83" s="39">
        <f t="shared" si="1"/>
        <v>12638.2</v>
      </c>
      <c r="AK83" s="35">
        <f t="shared" si="2"/>
        <v>670</v>
      </c>
      <c r="AL83" s="35">
        <f t="shared" si="3"/>
        <v>0</v>
      </c>
      <c r="AM83" s="35">
        <f t="shared" si="4"/>
        <v>670</v>
      </c>
      <c r="AN83" s="40">
        <f t="shared" si="5"/>
        <v>18.86298507</v>
      </c>
    </row>
    <row r="84" ht="15.75" customHeight="1">
      <c r="A84" s="32" t="s">
        <v>29</v>
      </c>
      <c r="B84" s="34">
        <f t="shared" si="6"/>
        <v>44644</v>
      </c>
      <c r="C84" s="35">
        <v>3.0</v>
      </c>
      <c r="D84" s="35" t="s">
        <v>34</v>
      </c>
      <c r="E84" s="37"/>
      <c r="F84" s="25">
        <v>95.0</v>
      </c>
      <c r="H84" s="26">
        <v>95.0</v>
      </c>
      <c r="J84" s="24"/>
      <c r="L84" s="25">
        <v>240.0</v>
      </c>
      <c r="N84" s="26">
        <v>240.0</v>
      </c>
      <c r="P84" s="24"/>
      <c r="R84" s="26">
        <v>0.0</v>
      </c>
      <c r="T84" s="24"/>
      <c r="V84" s="24"/>
      <c r="W84" s="27"/>
      <c r="X84" s="23"/>
      <c r="Z84" s="24"/>
      <c r="AB84" s="24"/>
      <c r="AD84" s="24"/>
      <c r="AF84" s="24"/>
      <c r="AH84" s="24"/>
      <c r="AI84" s="27"/>
      <c r="AJ84" s="39">
        <f t="shared" si="1"/>
        <v>12638.2</v>
      </c>
      <c r="AK84" s="35">
        <f t="shared" si="2"/>
        <v>670</v>
      </c>
      <c r="AL84" s="35">
        <f t="shared" si="3"/>
        <v>0</v>
      </c>
      <c r="AM84" s="35">
        <f t="shared" si="4"/>
        <v>670</v>
      </c>
      <c r="AN84" s="40">
        <f t="shared" si="5"/>
        <v>18.86298507</v>
      </c>
    </row>
    <row r="85" ht="15.75" customHeight="1">
      <c r="A85" s="32" t="s">
        <v>30</v>
      </c>
      <c r="B85" s="34">
        <f t="shared" si="6"/>
        <v>44645</v>
      </c>
      <c r="C85" s="35">
        <v>3.0</v>
      </c>
      <c r="D85" s="35" t="s">
        <v>34</v>
      </c>
      <c r="E85" s="37"/>
      <c r="F85" s="25">
        <v>95.0</v>
      </c>
      <c r="H85" s="26">
        <v>95.0</v>
      </c>
      <c r="J85" s="24"/>
      <c r="L85" s="25">
        <v>240.0</v>
      </c>
      <c r="N85" s="26">
        <v>240.0</v>
      </c>
      <c r="P85" s="24"/>
      <c r="R85" s="26">
        <v>0.0</v>
      </c>
      <c r="T85" s="24"/>
      <c r="V85" s="24"/>
      <c r="W85" s="27"/>
      <c r="X85" s="23"/>
      <c r="Z85" s="24"/>
      <c r="AB85" s="24"/>
      <c r="AD85" s="24"/>
      <c r="AF85" s="24"/>
      <c r="AH85" s="24"/>
      <c r="AI85" s="27"/>
      <c r="AJ85" s="39">
        <f t="shared" si="1"/>
        <v>12638.2</v>
      </c>
      <c r="AK85" s="35">
        <f t="shared" si="2"/>
        <v>670</v>
      </c>
      <c r="AL85" s="35">
        <f t="shared" si="3"/>
        <v>0</v>
      </c>
      <c r="AM85" s="35">
        <f t="shared" si="4"/>
        <v>670</v>
      </c>
      <c r="AN85" s="40">
        <f t="shared" si="5"/>
        <v>18.86298507</v>
      </c>
    </row>
    <row r="86" ht="15.75" customHeight="1">
      <c r="A86" s="48" t="s">
        <v>31</v>
      </c>
      <c r="B86" s="50">
        <f t="shared" si="6"/>
        <v>44646</v>
      </c>
      <c r="C86" s="51">
        <v>3.0</v>
      </c>
      <c r="D86" s="51" t="s">
        <v>34</v>
      </c>
      <c r="E86" s="53"/>
      <c r="F86" s="58">
        <v>95.0</v>
      </c>
      <c r="G86" s="56"/>
      <c r="H86" s="59">
        <v>95.0</v>
      </c>
      <c r="I86" s="56"/>
      <c r="J86" s="57"/>
      <c r="K86" s="56"/>
      <c r="L86" s="58">
        <v>240.0</v>
      </c>
      <c r="M86" s="56"/>
      <c r="N86" s="59">
        <v>240.0</v>
      </c>
      <c r="O86" s="56"/>
      <c r="P86" s="57"/>
      <c r="Q86" s="56"/>
      <c r="R86" s="59">
        <v>0.0</v>
      </c>
      <c r="S86" s="56"/>
      <c r="T86" s="57"/>
      <c r="U86" s="56"/>
      <c r="V86" s="57"/>
      <c r="W86" s="60"/>
      <c r="X86" s="54"/>
      <c r="Y86" s="56"/>
      <c r="Z86" s="57"/>
      <c r="AA86" s="56"/>
      <c r="AB86" s="57"/>
      <c r="AC86" s="56"/>
      <c r="AD86" s="57"/>
      <c r="AE86" s="56"/>
      <c r="AF86" s="57"/>
      <c r="AG86" s="56"/>
      <c r="AH86" s="57"/>
      <c r="AI86" s="60"/>
      <c r="AJ86" s="61">
        <f t="shared" si="1"/>
        <v>12638.2</v>
      </c>
      <c r="AK86" s="51">
        <f t="shared" si="2"/>
        <v>670</v>
      </c>
      <c r="AL86" s="51">
        <f t="shared" si="3"/>
        <v>0</v>
      </c>
      <c r="AM86" s="51">
        <f t="shared" si="4"/>
        <v>670</v>
      </c>
      <c r="AN86" s="63">
        <f t="shared" si="5"/>
        <v>18.86298507</v>
      </c>
    </row>
    <row r="87" ht="15.75" customHeight="1">
      <c r="A87" s="18" t="s">
        <v>20</v>
      </c>
      <c r="B87" s="64">
        <f t="shared" si="6"/>
        <v>44647</v>
      </c>
      <c r="C87" s="20">
        <v>4.0</v>
      </c>
      <c r="D87" s="20" t="s">
        <v>21</v>
      </c>
      <c r="E87" s="22"/>
      <c r="F87" s="23"/>
      <c r="H87" s="24"/>
      <c r="J87" s="24"/>
      <c r="L87" s="25">
        <v>240.0</v>
      </c>
      <c r="N87" s="26">
        <v>240.0</v>
      </c>
      <c r="P87" s="24"/>
      <c r="R87" s="26">
        <v>0.0</v>
      </c>
      <c r="T87" s="24"/>
      <c r="V87" s="24"/>
      <c r="W87" s="27"/>
      <c r="X87" s="23"/>
      <c r="Z87" s="24"/>
      <c r="AB87" s="24"/>
      <c r="AD87" s="24"/>
      <c r="AF87" s="24"/>
      <c r="AH87" s="24"/>
      <c r="AI87" s="27"/>
      <c r="AJ87" s="28">
        <f t="shared" si="1"/>
        <v>7785.6</v>
      </c>
      <c r="AK87" s="20">
        <f t="shared" si="2"/>
        <v>480</v>
      </c>
      <c r="AL87" s="20">
        <f t="shared" si="3"/>
        <v>0</v>
      </c>
      <c r="AM87" s="20">
        <f t="shared" si="4"/>
        <v>480</v>
      </c>
      <c r="AN87" s="31">
        <f t="shared" si="5"/>
        <v>16.22</v>
      </c>
    </row>
    <row r="88" ht="15.75" customHeight="1">
      <c r="A88" s="32" t="s">
        <v>22</v>
      </c>
      <c r="B88" s="34">
        <f t="shared" si="6"/>
        <v>44648</v>
      </c>
      <c r="C88" s="35">
        <v>4.0</v>
      </c>
      <c r="D88" s="35" t="s">
        <v>21</v>
      </c>
      <c r="E88" s="37"/>
      <c r="F88" s="23"/>
      <c r="H88" s="24"/>
      <c r="J88" s="24"/>
      <c r="L88" s="25">
        <v>240.0</v>
      </c>
      <c r="N88" s="26">
        <v>240.0</v>
      </c>
      <c r="P88" s="24"/>
      <c r="R88" s="26">
        <v>0.0</v>
      </c>
      <c r="T88" s="24"/>
      <c r="V88" s="24"/>
      <c r="W88" s="27"/>
      <c r="X88" s="23"/>
      <c r="Z88" s="24"/>
      <c r="AB88" s="24"/>
      <c r="AD88" s="24"/>
      <c r="AF88" s="24"/>
      <c r="AH88" s="24"/>
      <c r="AI88" s="27"/>
      <c r="AJ88" s="39">
        <f t="shared" si="1"/>
        <v>7785.6</v>
      </c>
      <c r="AK88" s="35">
        <f t="shared" si="2"/>
        <v>480</v>
      </c>
      <c r="AL88" s="35">
        <f t="shared" si="3"/>
        <v>0</v>
      </c>
      <c r="AM88" s="35">
        <f t="shared" si="4"/>
        <v>480</v>
      </c>
      <c r="AN88" s="40">
        <f t="shared" si="5"/>
        <v>16.22</v>
      </c>
    </row>
    <row r="89" ht="15.75" customHeight="1">
      <c r="A89" s="32" t="s">
        <v>24</v>
      </c>
      <c r="B89" s="34">
        <f t="shared" si="6"/>
        <v>44649</v>
      </c>
      <c r="C89" s="35">
        <v>4.0</v>
      </c>
      <c r="D89" s="35" t="s">
        <v>21</v>
      </c>
      <c r="E89" s="37"/>
      <c r="F89" s="23"/>
      <c r="H89" s="24"/>
      <c r="J89" s="24"/>
      <c r="L89" s="25">
        <v>240.0</v>
      </c>
      <c r="N89" s="26">
        <v>240.0</v>
      </c>
      <c r="P89" s="24"/>
      <c r="R89" s="26">
        <v>0.0</v>
      </c>
      <c r="T89" s="24"/>
      <c r="V89" s="24"/>
      <c r="W89" s="27"/>
      <c r="X89" s="23"/>
      <c r="Z89" s="24"/>
      <c r="AB89" s="24"/>
      <c r="AD89" s="24"/>
      <c r="AF89" s="24"/>
      <c r="AH89" s="24"/>
      <c r="AI89" s="27"/>
      <c r="AJ89" s="39">
        <f t="shared" si="1"/>
        <v>7785.6</v>
      </c>
      <c r="AK89" s="35">
        <f t="shared" si="2"/>
        <v>480</v>
      </c>
      <c r="AL89" s="35">
        <f t="shared" si="3"/>
        <v>0</v>
      </c>
      <c r="AM89" s="35">
        <f t="shared" si="4"/>
        <v>480</v>
      </c>
      <c r="AN89" s="40">
        <f t="shared" si="5"/>
        <v>16.22</v>
      </c>
    </row>
    <row r="90" ht="15.75" customHeight="1">
      <c r="A90" s="32" t="s">
        <v>28</v>
      </c>
      <c r="B90" s="34">
        <f t="shared" si="6"/>
        <v>44650</v>
      </c>
      <c r="C90" s="35">
        <v>4.0</v>
      </c>
      <c r="D90" s="35" t="s">
        <v>21</v>
      </c>
      <c r="E90" s="37"/>
      <c r="F90" s="23"/>
      <c r="H90" s="24"/>
      <c r="J90" s="24"/>
      <c r="L90" s="25">
        <v>240.0</v>
      </c>
      <c r="N90" s="26">
        <v>240.0</v>
      </c>
      <c r="P90" s="24"/>
      <c r="R90" s="26">
        <v>0.0</v>
      </c>
      <c r="T90" s="24"/>
      <c r="V90" s="24"/>
      <c r="W90" s="27"/>
      <c r="X90" s="23"/>
      <c r="Z90" s="24"/>
      <c r="AB90" s="24"/>
      <c r="AD90" s="24"/>
      <c r="AF90" s="24"/>
      <c r="AH90" s="24"/>
      <c r="AI90" s="27"/>
      <c r="AJ90" s="39">
        <f t="shared" si="1"/>
        <v>7785.6</v>
      </c>
      <c r="AK90" s="35">
        <f t="shared" si="2"/>
        <v>480</v>
      </c>
      <c r="AL90" s="35">
        <f t="shared" si="3"/>
        <v>0</v>
      </c>
      <c r="AM90" s="35">
        <f t="shared" si="4"/>
        <v>480</v>
      </c>
      <c r="AN90" s="40">
        <f t="shared" si="5"/>
        <v>16.22</v>
      </c>
    </row>
    <row r="91" ht="15.75" customHeight="1">
      <c r="A91" s="32" t="s">
        <v>29</v>
      </c>
      <c r="B91" s="34">
        <f t="shared" si="6"/>
        <v>44651</v>
      </c>
      <c r="C91" s="35">
        <v>4.0</v>
      </c>
      <c r="D91" s="35" t="s">
        <v>21</v>
      </c>
      <c r="E91" s="37"/>
      <c r="F91" s="23"/>
      <c r="H91" s="24"/>
      <c r="J91" s="24"/>
      <c r="L91" s="25">
        <v>240.0</v>
      </c>
      <c r="N91" s="26">
        <v>240.0</v>
      </c>
      <c r="P91" s="24"/>
      <c r="R91" s="26">
        <v>80.0</v>
      </c>
      <c r="T91" s="24"/>
      <c r="V91" s="24"/>
      <c r="W91" s="27"/>
      <c r="X91" s="23"/>
      <c r="Z91" s="24"/>
      <c r="AB91" s="24"/>
      <c r="AD91" s="24"/>
      <c r="AF91" s="24"/>
      <c r="AH91" s="24"/>
      <c r="AI91" s="27"/>
      <c r="AJ91" s="39">
        <f t="shared" si="1"/>
        <v>8300.8</v>
      </c>
      <c r="AK91" s="35">
        <f t="shared" si="2"/>
        <v>480</v>
      </c>
      <c r="AL91" s="35">
        <f t="shared" si="3"/>
        <v>80</v>
      </c>
      <c r="AM91" s="35">
        <f t="shared" si="4"/>
        <v>560</v>
      </c>
      <c r="AN91" s="40">
        <f t="shared" si="5"/>
        <v>14.82285714</v>
      </c>
    </row>
    <row r="92" ht="15.75" customHeight="1">
      <c r="A92" s="32" t="s">
        <v>30</v>
      </c>
      <c r="B92" s="34">
        <f t="shared" si="6"/>
        <v>44652</v>
      </c>
      <c r="C92" s="35">
        <v>4.0</v>
      </c>
      <c r="D92" s="35" t="s">
        <v>21</v>
      </c>
      <c r="E92" s="37"/>
      <c r="F92" s="23"/>
      <c r="H92" s="24"/>
      <c r="J92" s="24"/>
      <c r="L92" s="25">
        <v>240.0</v>
      </c>
      <c r="N92" s="26">
        <v>240.0</v>
      </c>
      <c r="P92" s="24"/>
      <c r="R92" s="26">
        <v>80.0</v>
      </c>
      <c r="T92" s="24"/>
      <c r="V92" s="24"/>
      <c r="W92" s="27"/>
      <c r="X92" s="23"/>
      <c r="Z92" s="24"/>
      <c r="AB92" s="24"/>
      <c r="AD92" s="24"/>
      <c r="AF92" s="24"/>
      <c r="AH92" s="24"/>
      <c r="AI92" s="27"/>
      <c r="AJ92" s="39">
        <f t="shared" si="1"/>
        <v>8300.8</v>
      </c>
      <c r="AK92" s="35">
        <f t="shared" si="2"/>
        <v>480</v>
      </c>
      <c r="AL92" s="35">
        <f t="shared" si="3"/>
        <v>80</v>
      </c>
      <c r="AM92" s="35">
        <f t="shared" si="4"/>
        <v>560</v>
      </c>
      <c r="AN92" s="40">
        <f t="shared" si="5"/>
        <v>14.82285714</v>
      </c>
    </row>
    <row r="93" ht="15.75" customHeight="1">
      <c r="A93" s="48" t="s">
        <v>31</v>
      </c>
      <c r="B93" s="50">
        <f t="shared" si="6"/>
        <v>44653</v>
      </c>
      <c r="C93" s="51">
        <v>4.0</v>
      </c>
      <c r="D93" s="51" t="s">
        <v>21</v>
      </c>
      <c r="E93" s="53"/>
      <c r="F93" s="54"/>
      <c r="G93" s="56"/>
      <c r="H93" s="57"/>
      <c r="I93" s="56"/>
      <c r="J93" s="57"/>
      <c r="K93" s="56"/>
      <c r="L93" s="58">
        <v>240.0</v>
      </c>
      <c r="M93" s="56"/>
      <c r="N93" s="59">
        <v>240.0</v>
      </c>
      <c r="O93" s="56"/>
      <c r="P93" s="57"/>
      <c r="Q93" s="56"/>
      <c r="R93" s="59"/>
      <c r="S93" s="56"/>
      <c r="T93" s="57"/>
      <c r="U93" s="56"/>
      <c r="V93" s="57"/>
      <c r="W93" s="60"/>
      <c r="X93" s="54"/>
      <c r="Y93" s="56"/>
      <c r="Z93" s="57"/>
      <c r="AA93" s="56"/>
      <c r="AB93" s="57"/>
      <c r="AC93" s="56"/>
      <c r="AD93" s="57"/>
      <c r="AE93" s="56"/>
      <c r="AF93" s="57"/>
      <c r="AG93" s="56"/>
      <c r="AH93" s="57"/>
      <c r="AI93" s="60"/>
      <c r="AJ93" s="61">
        <f t="shared" si="1"/>
        <v>7785.6</v>
      </c>
      <c r="AK93" s="51">
        <f t="shared" si="2"/>
        <v>480</v>
      </c>
      <c r="AL93" s="51" t="str">
        <f t="shared" si="3"/>
        <v/>
      </c>
      <c r="AM93" s="51">
        <f t="shared" si="4"/>
        <v>480</v>
      </c>
      <c r="AN93" s="63">
        <f t="shared" si="5"/>
        <v>16.22</v>
      </c>
    </row>
    <row r="94" ht="15.75" customHeight="1">
      <c r="A94" s="18" t="s">
        <v>20</v>
      </c>
      <c r="B94" s="64">
        <f t="shared" si="6"/>
        <v>44654</v>
      </c>
      <c r="C94" s="20">
        <v>4.0</v>
      </c>
      <c r="D94" s="20" t="s">
        <v>32</v>
      </c>
      <c r="E94" s="22"/>
      <c r="F94" s="23"/>
      <c r="H94" s="24"/>
      <c r="J94" s="24"/>
      <c r="L94" s="25">
        <v>240.0</v>
      </c>
      <c r="N94" s="26">
        <v>240.0</v>
      </c>
      <c r="P94" s="24"/>
      <c r="R94" s="26">
        <v>80.0</v>
      </c>
      <c r="T94" s="24"/>
      <c r="V94" s="24"/>
      <c r="W94" s="27"/>
      <c r="X94" s="23"/>
      <c r="Z94" s="24"/>
      <c r="AB94" s="24"/>
      <c r="AD94" s="24"/>
      <c r="AF94" s="24"/>
      <c r="AH94" s="24"/>
      <c r="AI94" s="27"/>
      <c r="AJ94" s="28">
        <f t="shared" si="1"/>
        <v>8300.8</v>
      </c>
      <c r="AK94" s="20">
        <f t="shared" si="2"/>
        <v>480</v>
      </c>
      <c r="AL94" s="20">
        <f t="shared" si="3"/>
        <v>80</v>
      </c>
      <c r="AM94" s="20">
        <f t="shared" si="4"/>
        <v>560</v>
      </c>
      <c r="AN94" s="31">
        <f t="shared" si="5"/>
        <v>14.82285714</v>
      </c>
    </row>
    <row r="95" ht="15.75" customHeight="1">
      <c r="A95" s="32" t="s">
        <v>22</v>
      </c>
      <c r="B95" s="34">
        <f t="shared" si="6"/>
        <v>44655</v>
      </c>
      <c r="C95" s="35">
        <v>4.0</v>
      </c>
      <c r="D95" s="35" t="s">
        <v>32</v>
      </c>
      <c r="E95" s="37"/>
      <c r="F95" s="23"/>
      <c r="H95" s="24"/>
      <c r="J95" s="24"/>
      <c r="L95" s="25">
        <v>240.0</v>
      </c>
      <c r="N95" s="26">
        <v>240.0</v>
      </c>
      <c r="P95" s="24"/>
      <c r="R95" s="26">
        <v>80.0</v>
      </c>
      <c r="T95" s="24"/>
      <c r="V95" s="24"/>
      <c r="W95" s="27"/>
      <c r="X95" s="23"/>
      <c r="Z95" s="24"/>
      <c r="AB95" s="24"/>
      <c r="AD95" s="24"/>
      <c r="AF95" s="24"/>
      <c r="AH95" s="24"/>
      <c r="AI95" s="27"/>
      <c r="AJ95" s="39">
        <f t="shared" si="1"/>
        <v>8300.8</v>
      </c>
      <c r="AK95" s="35">
        <f t="shared" si="2"/>
        <v>480</v>
      </c>
      <c r="AL95" s="35">
        <f t="shared" si="3"/>
        <v>80</v>
      </c>
      <c r="AM95" s="35">
        <f t="shared" si="4"/>
        <v>560</v>
      </c>
      <c r="AN95" s="40">
        <f t="shared" si="5"/>
        <v>14.82285714</v>
      </c>
    </row>
    <row r="96" ht="15.75" customHeight="1">
      <c r="A96" s="32" t="s">
        <v>24</v>
      </c>
      <c r="B96" s="34">
        <f t="shared" si="6"/>
        <v>44656</v>
      </c>
      <c r="C96" s="35">
        <v>4.0</v>
      </c>
      <c r="D96" s="35" t="s">
        <v>32</v>
      </c>
      <c r="E96" s="37"/>
      <c r="F96" s="23"/>
      <c r="H96" s="24"/>
      <c r="J96" s="24"/>
      <c r="L96" s="25">
        <v>82.0</v>
      </c>
      <c r="N96" s="26">
        <v>82.0</v>
      </c>
      <c r="P96" s="24"/>
      <c r="R96" s="26">
        <v>80.0</v>
      </c>
      <c r="T96" s="24"/>
      <c r="V96" s="24"/>
      <c r="W96" s="27"/>
      <c r="X96" s="23"/>
      <c r="Z96" s="24"/>
      <c r="AB96" s="24"/>
      <c r="AD96" s="24"/>
      <c r="AF96" s="24"/>
      <c r="AH96" s="24"/>
      <c r="AI96" s="27"/>
      <c r="AJ96" s="39">
        <f t="shared" si="1"/>
        <v>3175.28</v>
      </c>
      <c r="AK96" s="35">
        <f t="shared" si="2"/>
        <v>164</v>
      </c>
      <c r="AL96" s="35">
        <f t="shared" si="3"/>
        <v>80</v>
      </c>
      <c r="AM96" s="35">
        <f t="shared" si="4"/>
        <v>244</v>
      </c>
      <c r="AN96" s="40">
        <f t="shared" si="5"/>
        <v>13.01344262</v>
      </c>
    </row>
    <row r="97" ht="15.75" customHeight="1">
      <c r="A97" s="32" t="s">
        <v>28</v>
      </c>
      <c r="B97" s="34">
        <f t="shared" si="6"/>
        <v>44657</v>
      </c>
      <c r="C97" s="35">
        <v>4.0</v>
      </c>
      <c r="D97" s="35" t="s">
        <v>32</v>
      </c>
      <c r="E97" s="37"/>
      <c r="F97" s="23"/>
      <c r="H97" s="24"/>
      <c r="J97" s="24"/>
      <c r="L97" s="25">
        <v>82.0</v>
      </c>
      <c r="N97" s="26">
        <v>82.0</v>
      </c>
      <c r="P97" s="24"/>
      <c r="R97" s="26">
        <v>80.0</v>
      </c>
      <c r="T97" s="24"/>
      <c r="V97" s="24"/>
      <c r="W97" s="27"/>
      <c r="X97" s="23"/>
      <c r="Z97" s="24"/>
      <c r="AB97" s="24"/>
      <c r="AD97" s="24"/>
      <c r="AF97" s="24"/>
      <c r="AH97" s="24"/>
      <c r="AI97" s="27"/>
      <c r="AJ97" s="39">
        <f t="shared" si="1"/>
        <v>3175.28</v>
      </c>
      <c r="AK97" s="35">
        <f t="shared" si="2"/>
        <v>164</v>
      </c>
      <c r="AL97" s="35">
        <f t="shared" si="3"/>
        <v>80</v>
      </c>
      <c r="AM97" s="35">
        <f t="shared" si="4"/>
        <v>244</v>
      </c>
      <c r="AN97" s="40">
        <f t="shared" si="5"/>
        <v>13.01344262</v>
      </c>
    </row>
    <row r="98" ht="15.75" customHeight="1">
      <c r="A98" s="32" t="s">
        <v>29</v>
      </c>
      <c r="B98" s="34">
        <f t="shared" si="6"/>
        <v>44658</v>
      </c>
      <c r="C98" s="35">
        <v>4.0</v>
      </c>
      <c r="D98" s="35" t="s">
        <v>32</v>
      </c>
      <c r="E98" s="37"/>
      <c r="F98" s="23"/>
      <c r="H98" s="24"/>
      <c r="J98" s="24"/>
      <c r="L98" s="25">
        <v>82.0</v>
      </c>
      <c r="N98" s="26">
        <v>82.0</v>
      </c>
      <c r="P98" s="24"/>
      <c r="R98" s="26">
        <v>80.0</v>
      </c>
      <c r="T98" s="24"/>
      <c r="V98" s="24"/>
      <c r="W98" s="27"/>
      <c r="X98" s="23"/>
      <c r="Z98" s="24"/>
      <c r="AB98" s="24"/>
      <c r="AD98" s="24"/>
      <c r="AF98" s="24"/>
      <c r="AH98" s="24"/>
      <c r="AI98" s="27"/>
      <c r="AJ98" s="39">
        <f t="shared" si="1"/>
        <v>3175.28</v>
      </c>
      <c r="AK98" s="35">
        <f t="shared" si="2"/>
        <v>164</v>
      </c>
      <c r="AL98" s="35">
        <f t="shared" si="3"/>
        <v>80</v>
      </c>
      <c r="AM98" s="35">
        <f t="shared" si="4"/>
        <v>244</v>
      </c>
      <c r="AN98" s="40">
        <f t="shared" si="5"/>
        <v>13.01344262</v>
      </c>
    </row>
    <row r="99" ht="15.75" customHeight="1">
      <c r="A99" s="32" t="s">
        <v>30</v>
      </c>
      <c r="B99" s="34">
        <f t="shared" si="6"/>
        <v>44659</v>
      </c>
      <c r="C99" s="35">
        <v>4.0</v>
      </c>
      <c r="D99" s="35" t="s">
        <v>32</v>
      </c>
      <c r="E99" s="37"/>
      <c r="F99" s="23"/>
      <c r="H99" s="24"/>
      <c r="J99" s="24"/>
      <c r="L99" s="25">
        <v>82.0</v>
      </c>
      <c r="N99" s="26">
        <v>82.0</v>
      </c>
      <c r="P99" s="24"/>
      <c r="R99" s="26">
        <v>80.0</v>
      </c>
      <c r="T99" s="24"/>
      <c r="V99" s="24"/>
      <c r="W99" s="27"/>
      <c r="X99" s="23"/>
      <c r="Z99" s="24"/>
      <c r="AB99" s="24"/>
      <c r="AD99" s="24"/>
      <c r="AF99" s="24"/>
      <c r="AH99" s="24"/>
      <c r="AI99" s="27"/>
      <c r="AJ99" s="39">
        <f t="shared" si="1"/>
        <v>3175.28</v>
      </c>
      <c r="AK99" s="35">
        <f t="shared" si="2"/>
        <v>164</v>
      </c>
      <c r="AL99" s="35">
        <f t="shared" si="3"/>
        <v>80</v>
      </c>
      <c r="AM99" s="35">
        <f t="shared" si="4"/>
        <v>244</v>
      </c>
      <c r="AN99" s="40">
        <f t="shared" si="5"/>
        <v>13.01344262</v>
      </c>
    </row>
    <row r="100" ht="15.75" customHeight="1">
      <c r="A100" s="48" t="s">
        <v>31</v>
      </c>
      <c r="B100" s="50">
        <f t="shared" si="6"/>
        <v>44660</v>
      </c>
      <c r="C100" s="51">
        <v>4.0</v>
      </c>
      <c r="D100" s="51" t="s">
        <v>32</v>
      </c>
      <c r="E100" s="53"/>
      <c r="F100" s="54"/>
      <c r="G100" s="56"/>
      <c r="H100" s="57"/>
      <c r="I100" s="56"/>
      <c r="J100" s="57"/>
      <c r="K100" s="56"/>
      <c r="L100" s="58">
        <v>82.0</v>
      </c>
      <c r="M100" s="56"/>
      <c r="N100" s="59">
        <v>82.0</v>
      </c>
      <c r="O100" s="56"/>
      <c r="P100" s="57"/>
      <c r="Q100" s="56"/>
      <c r="R100" s="59"/>
      <c r="S100" s="56"/>
      <c r="T100" s="57"/>
      <c r="U100" s="56"/>
      <c r="V100" s="57"/>
      <c r="W100" s="60"/>
      <c r="X100" s="54"/>
      <c r="Y100" s="56"/>
      <c r="Z100" s="57"/>
      <c r="AA100" s="56"/>
      <c r="AB100" s="57"/>
      <c r="AC100" s="56"/>
      <c r="AD100" s="57"/>
      <c r="AE100" s="56"/>
      <c r="AF100" s="57"/>
      <c r="AG100" s="56"/>
      <c r="AH100" s="57"/>
      <c r="AI100" s="60"/>
      <c r="AJ100" s="61">
        <f t="shared" si="1"/>
        <v>2660.08</v>
      </c>
      <c r="AK100" s="51">
        <f t="shared" si="2"/>
        <v>164</v>
      </c>
      <c r="AL100" s="51" t="str">
        <f t="shared" si="3"/>
        <v/>
      </c>
      <c r="AM100" s="51">
        <f t="shared" si="4"/>
        <v>164</v>
      </c>
      <c r="AN100" s="63">
        <f t="shared" si="5"/>
        <v>16.22</v>
      </c>
    </row>
    <row r="101" ht="15.75" customHeight="1">
      <c r="A101" s="18" t="s">
        <v>20</v>
      </c>
      <c r="B101" s="64">
        <f t="shared" si="6"/>
        <v>44661</v>
      </c>
      <c r="C101" s="20">
        <v>4.0</v>
      </c>
      <c r="D101" s="20" t="s">
        <v>33</v>
      </c>
      <c r="E101" s="22"/>
      <c r="F101" s="23"/>
      <c r="H101" s="24"/>
      <c r="J101" s="24"/>
      <c r="L101" s="25">
        <v>82.0</v>
      </c>
      <c r="N101" s="26">
        <v>82.0</v>
      </c>
      <c r="P101" s="24"/>
      <c r="R101" s="26">
        <v>80.0</v>
      </c>
      <c r="T101" s="24"/>
      <c r="V101" s="24"/>
      <c r="W101" s="27"/>
      <c r="X101" s="23"/>
      <c r="Z101" s="24"/>
      <c r="AB101" s="24"/>
      <c r="AD101" s="24"/>
      <c r="AF101" s="24"/>
      <c r="AH101" s="24"/>
      <c r="AI101" s="27"/>
      <c r="AJ101" s="28">
        <f t="shared" si="1"/>
        <v>3175.28</v>
      </c>
      <c r="AK101" s="20">
        <f t="shared" si="2"/>
        <v>164</v>
      </c>
      <c r="AL101" s="20">
        <f t="shared" si="3"/>
        <v>80</v>
      </c>
      <c r="AM101" s="20">
        <f t="shared" si="4"/>
        <v>244</v>
      </c>
      <c r="AN101" s="31">
        <f t="shared" si="5"/>
        <v>13.01344262</v>
      </c>
    </row>
    <row r="102" ht="15.75" customHeight="1">
      <c r="A102" s="32" t="s">
        <v>22</v>
      </c>
      <c r="B102" s="34">
        <f t="shared" si="6"/>
        <v>44662</v>
      </c>
      <c r="C102" s="35">
        <v>4.0</v>
      </c>
      <c r="D102" s="35" t="s">
        <v>33</v>
      </c>
      <c r="E102" s="37"/>
      <c r="F102" s="23"/>
      <c r="H102" s="24"/>
      <c r="J102" s="24"/>
      <c r="L102" s="25">
        <v>82.0</v>
      </c>
      <c r="N102" s="26">
        <v>82.0</v>
      </c>
      <c r="P102" s="24"/>
      <c r="R102" s="26">
        <v>80.0</v>
      </c>
      <c r="T102" s="24"/>
      <c r="V102" s="24"/>
      <c r="W102" s="27"/>
      <c r="X102" s="23"/>
      <c r="Z102" s="24"/>
      <c r="AB102" s="24"/>
      <c r="AD102" s="24"/>
      <c r="AF102" s="24"/>
      <c r="AH102" s="24"/>
      <c r="AI102" s="27"/>
      <c r="AJ102" s="39">
        <f t="shared" si="1"/>
        <v>3175.28</v>
      </c>
      <c r="AK102" s="35">
        <f t="shared" si="2"/>
        <v>164</v>
      </c>
      <c r="AL102" s="35">
        <f t="shared" si="3"/>
        <v>80</v>
      </c>
      <c r="AM102" s="35">
        <f t="shared" si="4"/>
        <v>244</v>
      </c>
      <c r="AN102" s="40">
        <f t="shared" si="5"/>
        <v>13.01344262</v>
      </c>
    </row>
    <row r="103" ht="15.75" customHeight="1">
      <c r="A103" s="32" t="s">
        <v>24</v>
      </c>
      <c r="B103" s="34">
        <f t="shared" si="6"/>
        <v>44663</v>
      </c>
      <c r="C103" s="35">
        <v>4.0</v>
      </c>
      <c r="D103" s="35" t="s">
        <v>33</v>
      </c>
      <c r="E103" s="37"/>
      <c r="F103" s="23"/>
      <c r="H103" s="24"/>
      <c r="J103" s="24"/>
      <c r="L103" s="25">
        <v>82.0</v>
      </c>
      <c r="N103" s="26">
        <v>82.0</v>
      </c>
      <c r="P103" s="24"/>
      <c r="R103" s="26">
        <v>80.0</v>
      </c>
      <c r="T103" s="24"/>
      <c r="V103" s="24"/>
      <c r="W103" s="27"/>
      <c r="X103" s="23"/>
      <c r="Z103" s="24"/>
      <c r="AB103" s="24"/>
      <c r="AD103" s="24"/>
      <c r="AF103" s="24"/>
      <c r="AH103" s="24"/>
      <c r="AI103" s="27"/>
      <c r="AJ103" s="39">
        <f t="shared" si="1"/>
        <v>3175.28</v>
      </c>
      <c r="AK103" s="35">
        <f t="shared" si="2"/>
        <v>164</v>
      </c>
      <c r="AL103" s="35">
        <f t="shared" si="3"/>
        <v>80</v>
      </c>
      <c r="AM103" s="35">
        <f t="shared" si="4"/>
        <v>244</v>
      </c>
      <c r="AN103" s="40">
        <f t="shared" si="5"/>
        <v>13.01344262</v>
      </c>
    </row>
    <row r="104" ht="15.75" customHeight="1">
      <c r="A104" s="32" t="s">
        <v>28</v>
      </c>
      <c r="B104" s="34">
        <f t="shared" si="6"/>
        <v>44664</v>
      </c>
      <c r="C104" s="35">
        <v>4.0</v>
      </c>
      <c r="D104" s="35" t="s">
        <v>33</v>
      </c>
      <c r="E104" s="37"/>
      <c r="F104" s="23"/>
      <c r="H104" s="24"/>
      <c r="J104" s="24"/>
      <c r="L104" s="25">
        <v>82.0</v>
      </c>
      <c r="N104" s="26">
        <v>82.0</v>
      </c>
      <c r="P104" s="24"/>
      <c r="R104" s="26">
        <v>80.0</v>
      </c>
      <c r="T104" s="24"/>
      <c r="V104" s="24"/>
      <c r="W104" s="27"/>
      <c r="X104" s="23"/>
      <c r="Z104" s="24"/>
      <c r="AB104" s="24"/>
      <c r="AD104" s="24"/>
      <c r="AF104" s="24"/>
      <c r="AH104" s="24"/>
      <c r="AI104" s="27"/>
      <c r="AJ104" s="39">
        <f t="shared" si="1"/>
        <v>3175.28</v>
      </c>
      <c r="AK104" s="35">
        <f t="shared" si="2"/>
        <v>164</v>
      </c>
      <c r="AL104" s="35">
        <f t="shared" si="3"/>
        <v>80</v>
      </c>
      <c r="AM104" s="35">
        <f t="shared" si="4"/>
        <v>244</v>
      </c>
      <c r="AN104" s="40">
        <f t="shared" si="5"/>
        <v>13.01344262</v>
      </c>
    </row>
    <row r="105" ht="15.75" customHeight="1">
      <c r="A105" s="32" t="s">
        <v>29</v>
      </c>
      <c r="B105" s="34">
        <f t="shared" si="6"/>
        <v>44665</v>
      </c>
      <c r="C105" s="35">
        <v>4.0</v>
      </c>
      <c r="D105" s="35" t="s">
        <v>33</v>
      </c>
      <c r="E105" s="37"/>
      <c r="F105" s="23"/>
      <c r="H105" s="24"/>
      <c r="J105" s="24"/>
      <c r="L105" s="25">
        <v>82.0</v>
      </c>
      <c r="N105" s="26">
        <v>82.0</v>
      </c>
      <c r="P105" s="24"/>
      <c r="R105" s="26">
        <v>80.0</v>
      </c>
      <c r="T105" s="24"/>
      <c r="V105" s="24"/>
      <c r="W105" s="27"/>
      <c r="X105" s="23"/>
      <c r="Z105" s="24"/>
      <c r="AB105" s="24"/>
      <c r="AD105" s="24"/>
      <c r="AF105" s="24"/>
      <c r="AH105" s="24"/>
      <c r="AI105" s="27"/>
      <c r="AJ105" s="39">
        <f t="shared" si="1"/>
        <v>3175.28</v>
      </c>
      <c r="AK105" s="35">
        <f t="shared" si="2"/>
        <v>164</v>
      </c>
      <c r="AL105" s="35">
        <f t="shared" si="3"/>
        <v>80</v>
      </c>
      <c r="AM105" s="35">
        <f t="shared" si="4"/>
        <v>244</v>
      </c>
      <c r="AN105" s="40">
        <f t="shared" si="5"/>
        <v>13.01344262</v>
      </c>
    </row>
    <row r="106" ht="15.75" customHeight="1">
      <c r="A106" s="32" t="s">
        <v>30</v>
      </c>
      <c r="B106" s="34">
        <f t="shared" si="6"/>
        <v>44666</v>
      </c>
      <c r="C106" s="35">
        <v>4.0</v>
      </c>
      <c r="D106" s="35" t="s">
        <v>33</v>
      </c>
      <c r="E106" s="37"/>
      <c r="F106" s="23"/>
      <c r="H106" s="24"/>
      <c r="J106" s="24"/>
      <c r="L106" s="25">
        <v>82.0</v>
      </c>
      <c r="N106" s="26">
        <v>82.0</v>
      </c>
      <c r="P106" s="24"/>
      <c r="R106" s="26">
        <v>80.0</v>
      </c>
      <c r="T106" s="24"/>
      <c r="V106" s="24"/>
      <c r="W106" s="27"/>
      <c r="X106" s="23"/>
      <c r="Z106" s="24"/>
      <c r="AB106" s="24"/>
      <c r="AD106" s="24"/>
      <c r="AF106" s="24"/>
      <c r="AH106" s="24"/>
      <c r="AI106" s="27"/>
      <c r="AJ106" s="39">
        <f t="shared" si="1"/>
        <v>3175.28</v>
      </c>
      <c r="AK106" s="35">
        <f t="shared" si="2"/>
        <v>164</v>
      </c>
      <c r="AL106" s="35">
        <f t="shared" si="3"/>
        <v>80</v>
      </c>
      <c r="AM106" s="35">
        <f t="shared" si="4"/>
        <v>244</v>
      </c>
      <c r="AN106" s="40">
        <f t="shared" si="5"/>
        <v>13.01344262</v>
      </c>
    </row>
    <row r="107" ht="15.75" customHeight="1">
      <c r="A107" s="48" t="s">
        <v>31</v>
      </c>
      <c r="B107" s="50">
        <f t="shared" si="6"/>
        <v>44667</v>
      </c>
      <c r="C107" s="51">
        <v>4.0</v>
      </c>
      <c r="D107" s="51" t="s">
        <v>33</v>
      </c>
      <c r="E107" s="53"/>
      <c r="F107" s="54"/>
      <c r="G107" s="56"/>
      <c r="H107" s="57"/>
      <c r="I107" s="56"/>
      <c r="J107" s="57"/>
      <c r="K107" s="56"/>
      <c r="L107" s="58">
        <v>82.0</v>
      </c>
      <c r="M107" s="56"/>
      <c r="N107" s="59">
        <v>82.0</v>
      </c>
      <c r="O107" s="56"/>
      <c r="P107" s="57"/>
      <c r="Q107" s="56"/>
      <c r="R107" s="59"/>
      <c r="S107" s="56"/>
      <c r="T107" s="57"/>
      <c r="U107" s="56"/>
      <c r="V107" s="57"/>
      <c r="W107" s="60"/>
      <c r="X107" s="54"/>
      <c r="Y107" s="56"/>
      <c r="Z107" s="57"/>
      <c r="AA107" s="56"/>
      <c r="AB107" s="57"/>
      <c r="AC107" s="56"/>
      <c r="AD107" s="57"/>
      <c r="AE107" s="56"/>
      <c r="AF107" s="57"/>
      <c r="AG107" s="56"/>
      <c r="AH107" s="57"/>
      <c r="AI107" s="60"/>
      <c r="AJ107" s="61">
        <f t="shared" si="1"/>
        <v>2660.08</v>
      </c>
      <c r="AK107" s="51">
        <f t="shared" si="2"/>
        <v>164</v>
      </c>
      <c r="AL107" s="51" t="str">
        <f t="shared" si="3"/>
        <v/>
      </c>
      <c r="AM107" s="51">
        <f t="shared" si="4"/>
        <v>164</v>
      </c>
      <c r="AN107" s="63">
        <f t="shared" si="5"/>
        <v>16.22</v>
      </c>
    </row>
    <row r="108" ht="15.75" customHeight="1">
      <c r="A108" s="18" t="s">
        <v>20</v>
      </c>
      <c r="B108" s="64">
        <f t="shared" si="6"/>
        <v>44668</v>
      </c>
      <c r="C108" s="20">
        <v>4.0</v>
      </c>
      <c r="D108" s="20" t="s">
        <v>34</v>
      </c>
      <c r="E108" s="22"/>
      <c r="F108" s="23"/>
      <c r="H108" s="24"/>
      <c r="J108" s="24"/>
      <c r="L108" s="25">
        <v>82.0</v>
      </c>
      <c r="N108" s="26">
        <v>82.0</v>
      </c>
      <c r="P108" s="24"/>
      <c r="R108" s="26">
        <v>80.0</v>
      </c>
      <c r="T108" s="24"/>
      <c r="V108" s="24"/>
      <c r="W108" s="27"/>
      <c r="X108" s="23"/>
      <c r="Z108" s="24"/>
      <c r="AB108" s="24"/>
      <c r="AD108" s="24"/>
      <c r="AF108" s="24"/>
      <c r="AH108" s="24"/>
      <c r="AI108" s="27"/>
      <c r="AJ108" s="28">
        <f t="shared" si="1"/>
        <v>3175.28</v>
      </c>
      <c r="AK108" s="20">
        <f t="shared" si="2"/>
        <v>164</v>
      </c>
      <c r="AL108" s="20">
        <f t="shared" si="3"/>
        <v>80</v>
      </c>
      <c r="AM108" s="20">
        <f t="shared" si="4"/>
        <v>244</v>
      </c>
      <c r="AN108" s="31">
        <f t="shared" si="5"/>
        <v>13.01344262</v>
      </c>
    </row>
    <row r="109" ht="15.75" customHeight="1">
      <c r="A109" s="32" t="s">
        <v>22</v>
      </c>
      <c r="B109" s="34">
        <f t="shared" si="6"/>
        <v>44669</v>
      </c>
      <c r="C109" s="35">
        <v>4.0</v>
      </c>
      <c r="D109" s="35" t="s">
        <v>34</v>
      </c>
      <c r="E109" s="37"/>
      <c r="F109" s="23"/>
      <c r="H109" s="24"/>
      <c r="J109" s="24"/>
      <c r="L109" s="25">
        <v>82.0</v>
      </c>
      <c r="N109" s="26">
        <v>82.0</v>
      </c>
      <c r="P109" s="24"/>
      <c r="R109" s="26">
        <v>80.0</v>
      </c>
      <c r="T109" s="24"/>
      <c r="V109" s="24"/>
      <c r="W109" s="27"/>
      <c r="X109" s="23"/>
      <c r="Z109" s="24"/>
      <c r="AB109" s="24"/>
      <c r="AD109" s="24"/>
      <c r="AF109" s="24"/>
      <c r="AH109" s="24"/>
      <c r="AI109" s="27"/>
      <c r="AJ109" s="39">
        <f t="shared" si="1"/>
        <v>3175.28</v>
      </c>
      <c r="AK109" s="35">
        <f t="shared" si="2"/>
        <v>164</v>
      </c>
      <c r="AL109" s="35">
        <f t="shared" si="3"/>
        <v>80</v>
      </c>
      <c r="AM109" s="35">
        <f t="shared" si="4"/>
        <v>244</v>
      </c>
      <c r="AN109" s="40">
        <f t="shared" si="5"/>
        <v>13.01344262</v>
      </c>
    </row>
    <row r="110" ht="15.75" customHeight="1">
      <c r="A110" s="32" t="s">
        <v>24</v>
      </c>
      <c r="B110" s="34">
        <f t="shared" si="6"/>
        <v>44670</v>
      </c>
      <c r="C110" s="35">
        <v>4.0</v>
      </c>
      <c r="D110" s="35" t="s">
        <v>34</v>
      </c>
      <c r="E110" s="37"/>
      <c r="F110" s="23"/>
      <c r="H110" s="24"/>
      <c r="J110" s="24"/>
      <c r="L110" s="25">
        <v>82.0</v>
      </c>
      <c r="N110" s="26">
        <v>82.0</v>
      </c>
      <c r="P110" s="24"/>
      <c r="R110" s="26">
        <v>80.0</v>
      </c>
      <c r="T110" s="24"/>
      <c r="V110" s="24"/>
      <c r="W110" s="27"/>
      <c r="X110" s="23"/>
      <c r="Z110" s="24"/>
      <c r="AB110" s="24"/>
      <c r="AD110" s="24"/>
      <c r="AF110" s="24"/>
      <c r="AH110" s="24"/>
      <c r="AI110" s="27"/>
      <c r="AJ110" s="39">
        <f t="shared" si="1"/>
        <v>3175.28</v>
      </c>
      <c r="AK110" s="35">
        <f t="shared" si="2"/>
        <v>164</v>
      </c>
      <c r="AL110" s="35">
        <f t="shared" si="3"/>
        <v>80</v>
      </c>
      <c r="AM110" s="35">
        <f t="shared" si="4"/>
        <v>244</v>
      </c>
      <c r="AN110" s="40">
        <f t="shared" si="5"/>
        <v>13.01344262</v>
      </c>
    </row>
    <row r="111" ht="15.75" customHeight="1">
      <c r="A111" s="32" t="s">
        <v>28</v>
      </c>
      <c r="B111" s="34">
        <f t="shared" si="6"/>
        <v>44671</v>
      </c>
      <c r="C111" s="35">
        <v>4.0</v>
      </c>
      <c r="D111" s="35" t="s">
        <v>34</v>
      </c>
      <c r="E111" s="37"/>
      <c r="F111" s="23"/>
      <c r="H111" s="24"/>
      <c r="J111" s="24"/>
      <c r="L111" s="25">
        <v>82.0</v>
      </c>
      <c r="N111" s="26">
        <v>82.0</v>
      </c>
      <c r="P111" s="24"/>
      <c r="R111" s="26">
        <v>80.0</v>
      </c>
      <c r="T111" s="24"/>
      <c r="V111" s="24"/>
      <c r="W111" s="27"/>
      <c r="X111" s="23"/>
      <c r="Z111" s="24"/>
      <c r="AB111" s="24"/>
      <c r="AD111" s="24"/>
      <c r="AF111" s="24"/>
      <c r="AH111" s="24"/>
      <c r="AI111" s="27"/>
      <c r="AJ111" s="39">
        <f t="shared" si="1"/>
        <v>3175.28</v>
      </c>
      <c r="AK111" s="35">
        <f t="shared" si="2"/>
        <v>164</v>
      </c>
      <c r="AL111" s="35">
        <f t="shared" si="3"/>
        <v>80</v>
      </c>
      <c r="AM111" s="35">
        <f t="shared" si="4"/>
        <v>244</v>
      </c>
      <c r="AN111" s="40">
        <f t="shared" si="5"/>
        <v>13.01344262</v>
      </c>
    </row>
    <row r="112" ht="15.75" customHeight="1">
      <c r="A112" s="32" t="s">
        <v>29</v>
      </c>
      <c r="B112" s="34">
        <f t="shared" si="6"/>
        <v>44672</v>
      </c>
      <c r="C112" s="35">
        <v>4.0</v>
      </c>
      <c r="D112" s="35" t="s">
        <v>34</v>
      </c>
      <c r="E112" s="37"/>
      <c r="F112" s="23"/>
      <c r="H112" s="24"/>
      <c r="J112" s="24"/>
      <c r="L112" s="25">
        <v>82.0</v>
      </c>
      <c r="N112" s="26">
        <v>82.0</v>
      </c>
      <c r="P112" s="24"/>
      <c r="R112" s="26">
        <v>80.0</v>
      </c>
      <c r="T112" s="24"/>
      <c r="V112" s="24"/>
      <c r="W112" s="27"/>
      <c r="X112" s="23"/>
      <c r="Z112" s="24"/>
      <c r="AB112" s="24"/>
      <c r="AD112" s="24"/>
      <c r="AF112" s="24"/>
      <c r="AH112" s="24"/>
      <c r="AI112" s="27"/>
      <c r="AJ112" s="39">
        <f t="shared" si="1"/>
        <v>3175.28</v>
      </c>
      <c r="AK112" s="35">
        <f t="shared" si="2"/>
        <v>164</v>
      </c>
      <c r="AL112" s="35">
        <f t="shared" si="3"/>
        <v>80</v>
      </c>
      <c r="AM112" s="35">
        <f t="shared" si="4"/>
        <v>244</v>
      </c>
      <c r="AN112" s="40">
        <f t="shared" si="5"/>
        <v>13.01344262</v>
      </c>
    </row>
    <row r="113" ht="15.75" customHeight="1">
      <c r="A113" s="32" t="s">
        <v>30</v>
      </c>
      <c r="B113" s="34">
        <f t="shared" si="6"/>
        <v>44673</v>
      </c>
      <c r="C113" s="35">
        <v>4.0</v>
      </c>
      <c r="D113" s="35" t="s">
        <v>34</v>
      </c>
      <c r="E113" s="37"/>
      <c r="F113" s="23"/>
      <c r="H113" s="24"/>
      <c r="J113" s="24"/>
      <c r="L113" s="25">
        <v>82.0</v>
      </c>
      <c r="N113" s="26">
        <v>82.0</v>
      </c>
      <c r="P113" s="24"/>
      <c r="R113" s="26">
        <v>80.0</v>
      </c>
      <c r="T113" s="24"/>
      <c r="V113" s="24"/>
      <c r="W113" s="27"/>
      <c r="X113" s="23"/>
      <c r="Z113" s="24"/>
      <c r="AB113" s="24"/>
      <c r="AD113" s="24"/>
      <c r="AF113" s="24"/>
      <c r="AH113" s="24"/>
      <c r="AI113" s="27"/>
      <c r="AJ113" s="39">
        <f t="shared" si="1"/>
        <v>3175.28</v>
      </c>
      <c r="AK113" s="35">
        <f t="shared" si="2"/>
        <v>164</v>
      </c>
      <c r="AL113" s="35">
        <f t="shared" si="3"/>
        <v>80</v>
      </c>
      <c r="AM113" s="35">
        <f t="shared" si="4"/>
        <v>244</v>
      </c>
      <c r="AN113" s="40">
        <f t="shared" si="5"/>
        <v>13.01344262</v>
      </c>
    </row>
    <row r="114" ht="15.75" customHeight="1">
      <c r="A114" s="48" t="s">
        <v>31</v>
      </c>
      <c r="B114" s="50">
        <f t="shared" si="6"/>
        <v>44674</v>
      </c>
      <c r="C114" s="51">
        <v>4.0</v>
      </c>
      <c r="D114" s="51" t="s">
        <v>34</v>
      </c>
      <c r="E114" s="53"/>
      <c r="F114" s="54"/>
      <c r="G114" s="56"/>
      <c r="H114" s="57"/>
      <c r="I114" s="56"/>
      <c r="J114" s="57"/>
      <c r="K114" s="56"/>
      <c r="L114" s="58">
        <v>82.0</v>
      </c>
      <c r="M114" s="56"/>
      <c r="N114" s="59">
        <v>82.0</v>
      </c>
      <c r="O114" s="56"/>
      <c r="P114" s="57"/>
      <c r="Q114" s="56"/>
      <c r="R114" s="59"/>
      <c r="S114" s="56"/>
      <c r="T114" s="57"/>
      <c r="U114" s="56"/>
      <c r="V114" s="57"/>
      <c r="W114" s="60"/>
      <c r="X114" s="54"/>
      <c r="Y114" s="56"/>
      <c r="Z114" s="57"/>
      <c r="AA114" s="56"/>
      <c r="AB114" s="57"/>
      <c r="AC114" s="56"/>
      <c r="AD114" s="57"/>
      <c r="AE114" s="56"/>
      <c r="AF114" s="57"/>
      <c r="AG114" s="56"/>
      <c r="AH114" s="57"/>
      <c r="AI114" s="60"/>
      <c r="AJ114" s="61">
        <f t="shared" si="1"/>
        <v>2660.08</v>
      </c>
      <c r="AK114" s="51">
        <f t="shared" si="2"/>
        <v>164</v>
      </c>
      <c r="AL114" s="51" t="str">
        <f t="shared" si="3"/>
        <v/>
      </c>
      <c r="AM114" s="51">
        <f t="shared" si="4"/>
        <v>164</v>
      </c>
      <c r="AN114" s="63">
        <f t="shared" si="5"/>
        <v>16.22</v>
      </c>
    </row>
    <row r="115" ht="15.75" customHeight="1">
      <c r="A115" s="18" t="s">
        <v>20</v>
      </c>
      <c r="B115" s="64">
        <f t="shared" si="6"/>
        <v>44675</v>
      </c>
      <c r="C115" s="20">
        <v>5.0</v>
      </c>
      <c r="D115" s="20" t="s">
        <v>21</v>
      </c>
      <c r="E115" s="22"/>
      <c r="F115" s="23"/>
      <c r="H115" s="24"/>
      <c r="J115" s="24"/>
      <c r="L115" s="25">
        <v>82.0</v>
      </c>
      <c r="N115" s="26">
        <v>82.0</v>
      </c>
      <c r="P115" s="24"/>
      <c r="R115" s="26">
        <v>80.0</v>
      </c>
      <c r="T115" s="24"/>
      <c r="V115" s="24"/>
      <c r="W115" s="27"/>
      <c r="X115" s="23"/>
      <c r="Z115" s="24"/>
      <c r="AB115" s="24"/>
      <c r="AD115" s="24"/>
      <c r="AF115" s="24"/>
      <c r="AH115" s="24"/>
      <c r="AI115" s="27"/>
      <c r="AJ115" s="28">
        <f t="shared" si="1"/>
        <v>3175.28</v>
      </c>
      <c r="AK115" s="20">
        <f t="shared" si="2"/>
        <v>164</v>
      </c>
      <c r="AL115" s="20">
        <f t="shared" si="3"/>
        <v>80</v>
      </c>
      <c r="AM115" s="20">
        <f t="shared" si="4"/>
        <v>244</v>
      </c>
      <c r="AN115" s="31">
        <f t="shared" si="5"/>
        <v>13.01344262</v>
      </c>
    </row>
    <row r="116" ht="15.75" customHeight="1">
      <c r="A116" s="32" t="s">
        <v>22</v>
      </c>
      <c r="B116" s="34">
        <f t="shared" si="6"/>
        <v>44676</v>
      </c>
      <c r="C116" s="35">
        <v>5.0</v>
      </c>
      <c r="D116" s="35" t="s">
        <v>21</v>
      </c>
      <c r="E116" s="37"/>
      <c r="F116" s="23"/>
      <c r="H116" s="24"/>
      <c r="J116" s="24"/>
      <c r="L116" s="25">
        <v>82.0</v>
      </c>
      <c r="N116" s="26">
        <v>82.0</v>
      </c>
      <c r="P116" s="24"/>
      <c r="R116" s="26">
        <v>80.0</v>
      </c>
      <c r="T116" s="24"/>
      <c r="V116" s="24"/>
      <c r="W116" s="27"/>
      <c r="X116" s="23"/>
      <c r="Z116" s="24"/>
      <c r="AB116" s="24"/>
      <c r="AD116" s="24"/>
      <c r="AF116" s="24"/>
      <c r="AH116" s="24"/>
      <c r="AI116" s="27"/>
      <c r="AJ116" s="39">
        <f t="shared" si="1"/>
        <v>3175.28</v>
      </c>
      <c r="AK116" s="35">
        <f t="shared" si="2"/>
        <v>164</v>
      </c>
      <c r="AL116" s="35">
        <f t="shared" si="3"/>
        <v>80</v>
      </c>
      <c r="AM116" s="35">
        <f t="shared" si="4"/>
        <v>244</v>
      </c>
      <c r="AN116" s="40">
        <f t="shared" si="5"/>
        <v>13.01344262</v>
      </c>
    </row>
    <row r="117" ht="15.75" customHeight="1">
      <c r="A117" s="32" t="s">
        <v>24</v>
      </c>
      <c r="B117" s="34">
        <f t="shared" si="6"/>
        <v>44677</v>
      </c>
      <c r="C117" s="35">
        <v>5.0</v>
      </c>
      <c r="D117" s="35" t="s">
        <v>21</v>
      </c>
      <c r="E117" s="37"/>
      <c r="F117" s="23"/>
      <c r="H117" s="24"/>
      <c r="J117" s="24"/>
      <c r="L117" s="25">
        <v>82.0</v>
      </c>
      <c r="N117" s="26">
        <v>82.0</v>
      </c>
      <c r="P117" s="24"/>
      <c r="R117" s="26">
        <v>80.0</v>
      </c>
      <c r="T117" s="24"/>
      <c r="V117" s="24"/>
      <c r="W117" s="27"/>
      <c r="X117" s="23"/>
      <c r="Z117" s="24"/>
      <c r="AB117" s="24"/>
      <c r="AD117" s="24"/>
      <c r="AF117" s="24"/>
      <c r="AH117" s="24"/>
      <c r="AI117" s="27"/>
      <c r="AJ117" s="39">
        <f t="shared" si="1"/>
        <v>3175.28</v>
      </c>
      <c r="AK117" s="35">
        <f t="shared" si="2"/>
        <v>164</v>
      </c>
      <c r="AL117" s="35">
        <f t="shared" si="3"/>
        <v>80</v>
      </c>
      <c r="AM117" s="35">
        <f t="shared" si="4"/>
        <v>244</v>
      </c>
      <c r="AN117" s="40">
        <f t="shared" si="5"/>
        <v>13.01344262</v>
      </c>
    </row>
    <row r="118" ht="15.75" customHeight="1">
      <c r="A118" s="32" t="s">
        <v>28</v>
      </c>
      <c r="B118" s="34">
        <f t="shared" si="6"/>
        <v>44678</v>
      </c>
      <c r="C118" s="35">
        <v>5.0</v>
      </c>
      <c r="D118" s="35" t="s">
        <v>21</v>
      </c>
      <c r="E118" s="37"/>
      <c r="F118" s="23"/>
      <c r="H118" s="24"/>
      <c r="J118" s="24"/>
      <c r="L118" s="25">
        <v>82.0</v>
      </c>
      <c r="N118" s="26">
        <v>82.0</v>
      </c>
      <c r="P118" s="24"/>
      <c r="R118" s="26">
        <v>80.0</v>
      </c>
      <c r="T118" s="24"/>
      <c r="V118" s="24"/>
      <c r="W118" s="27"/>
      <c r="X118" s="23"/>
      <c r="Z118" s="24"/>
      <c r="AB118" s="24"/>
      <c r="AD118" s="24"/>
      <c r="AF118" s="24"/>
      <c r="AH118" s="24"/>
      <c r="AI118" s="27"/>
      <c r="AJ118" s="39">
        <f t="shared" si="1"/>
        <v>3175.28</v>
      </c>
      <c r="AK118" s="35">
        <f t="shared" si="2"/>
        <v>164</v>
      </c>
      <c r="AL118" s="35">
        <f t="shared" si="3"/>
        <v>80</v>
      </c>
      <c r="AM118" s="35">
        <f t="shared" si="4"/>
        <v>244</v>
      </c>
      <c r="AN118" s="40">
        <f t="shared" si="5"/>
        <v>13.01344262</v>
      </c>
    </row>
    <row r="119" ht="15.75" customHeight="1">
      <c r="A119" s="32" t="s">
        <v>29</v>
      </c>
      <c r="B119" s="34">
        <f t="shared" si="6"/>
        <v>44679</v>
      </c>
      <c r="C119" s="35">
        <v>5.0</v>
      </c>
      <c r="D119" s="35" t="s">
        <v>21</v>
      </c>
      <c r="E119" s="37"/>
      <c r="F119" s="23"/>
      <c r="H119" s="24"/>
      <c r="J119" s="24"/>
      <c r="L119" s="25">
        <v>82.0</v>
      </c>
      <c r="N119" s="26">
        <v>82.0</v>
      </c>
      <c r="P119" s="24"/>
      <c r="R119" s="26">
        <v>80.0</v>
      </c>
      <c r="T119" s="24"/>
      <c r="V119" s="24"/>
      <c r="W119" s="27"/>
      <c r="X119" s="23"/>
      <c r="Z119" s="24"/>
      <c r="AB119" s="24"/>
      <c r="AD119" s="24"/>
      <c r="AF119" s="24"/>
      <c r="AH119" s="24"/>
      <c r="AI119" s="27"/>
      <c r="AJ119" s="39">
        <f t="shared" si="1"/>
        <v>3175.28</v>
      </c>
      <c r="AK119" s="35">
        <f t="shared" si="2"/>
        <v>164</v>
      </c>
      <c r="AL119" s="35">
        <f t="shared" si="3"/>
        <v>80</v>
      </c>
      <c r="AM119" s="35">
        <f t="shared" si="4"/>
        <v>244</v>
      </c>
      <c r="AN119" s="40">
        <f t="shared" si="5"/>
        <v>13.01344262</v>
      </c>
    </row>
    <row r="120" ht="15.75" customHeight="1">
      <c r="A120" s="32" t="s">
        <v>30</v>
      </c>
      <c r="B120" s="34">
        <f t="shared" si="6"/>
        <v>44680</v>
      </c>
      <c r="C120" s="35">
        <v>5.0</v>
      </c>
      <c r="D120" s="35" t="s">
        <v>21</v>
      </c>
      <c r="E120" s="37"/>
      <c r="F120" s="23"/>
      <c r="H120" s="24"/>
      <c r="J120" s="24"/>
      <c r="L120" s="25">
        <v>82.0</v>
      </c>
      <c r="N120" s="26">
        <v>82.0</v>
      </c>
      <c r="P120" s="24"/>
      <c r="R120" s="26">
        <v>80.0</v>
      </c>
      <c r="T120" s="24"/>
      <c r="V120" s="24"/>
      <c r="W120" s="27"/>
      <c r="X120" s="23"/>
      <c r="Z120" s="24"/>
      <c r="AB120" s="24"/>
      <c r="AD120" s="24"/>
      <c r="AF120" s="24"/>
      <c r="AH120" s="24"/>
      <c r="AI120" s="27"/>
      <c r="AJ120" s="39">
        <f t="shared" si="1"/>
        <v>3175.28</v>
      </c>
      <c r="AK120" s="35">
        <f t="shared" si="2"/>
        <v>164</v>
      </c>
      <c r="AL120" s="35">
        <f t="shared" si="3"/>
        <v>80</v>
      </c>
      <c r="AM120" s="35">
        <f t="shared" si="4"/>
        <v>244</v>
      </c>
      <c r="AN120" s="40">
        <f t="shared" si="5"/>
        <v>13.01344262</v>
      </c>
    </row>
    <row r="121" ht="15.75" customHeight="1">
      <c r="A121" s="48" t="s">
        <v>31</v>
      </c>
      <c r="B121" s="50">
        <f t="shared" si="6"/>
        <v>44681</v>
      </c>
      <c r="C121" s="51">
        <v>5.0</v>
      </c>
      <c r="D121" s="51" t="s">
        <v>21</v>
      </c>
      <c r="E121" s="53"/>
      <c r="F121" s="54"/>
      <c r="G121" s="56"/>
      <c r="H121" s="57"/>
      <c r="I121" s="56"/>
      <c r="J121" s="57"/>
      <c r="K121" s="56"/>
      <c r="L121" s="58">
        <v>82.0</v>
      </c>
      <c r="M121" s="56"/>
      <c r="N121" s="59">
        <v>82.0</v>
      </c>
      <c r="O121" s="56"/>
      <c r="P121" s="57"/>
      <c r="Q121" s="56"/>
      <c r="R121" s="59"/>
      <c r="S121" s="56"/>
      <c r="T121" s="57"/>
      <c r="U121" s="56"/>
      <c r="V121" s="57"/>
      <c r="W121" s="60"/>
      <c r="X121" s="54"/>
      <c r="Y121" s="56"/>
      <c r="Z121" s="57"/>
      <c r="AA121" s="56"/>
      <c r="AB121" s="57"/>
      <c r="AC121" s="56"/>
      <c r="AD121" s="57"/>
      <c r="AE121" s="56"/>
      <c r="AF121" s="57"/>
      <c r="AG121" s="56"/>
      <c r="AH121" s="57"/>
      <c r="AI121" s="60"/>
      <c r="AJ121" s="61">
        <f t="shared" si="1"/>
        <v>2660.08</v>
      </c>
      <c r="AK121" s="51">
        <f t="shared" si="2"/>
        <v>164</v>
      </c>
      <c r="AL121" s="51" t="str">
        <f t="shared" si="3"/>
        <v/>
      </c>
      <c r="AM121" s="51">
        <f t="shared" si="4"/>
        <v>164</v>
      </c>
      <c r="AN121" s="63">
        <f t="shared" si="5"/>
        <v>16.22</v>
      </c>
    </row>
    <row r="122" ht="15.75" customHeight="1">
      <c r="A122" s="18" t="s">
        <v>20</v>
      </c>
      <c r="B122" s="64">
        <f t="shared" si="6"/>
        <v>44682</v>
      </c>
      <c r="C122" s="20">
        <v>5.0</v>
      </c>
      <c r="D122" s="20" t="s">
        <v>32</v>
      </c>
      <c r="E122" s="22"/>
      <c r="F122" s="23"/>
      <c r="H122" s="24"/>
      <c r="J122" s="24"/>
      <c r="L122" s="25">
        <v>82.0</v>
      </c>
      <c r="N122" s="26">
        <v>82.0</v>
      </c>
      <c r="P122" s="24"/>
      <c r="R122" s="26">
        <v>80.0</v>
      </c>
      <c r="T122" s="24"/>
      <c r="V122" s="24"/>
      <c r="W122" s="27"/>
      <c r="X122" s="23"/>
      <c r="Z122" s="24"/>
      <c r="AB122" s="24"/>
      <c r="AD122" s="24"/>
      <c r="AF122" s="24"/>
      <c r="AH122" s="24"/>
      <c r="AI122" s="27"/>
      <c r="AJ122" s="28">
        <f t="shared" si="1"/>
        <v>3175.28</v>
      </c>
      <c r="AK122" s="20">
        <f t="shared" si="2"/>
        <v>164</v>
      </c>
      <c r="AL122" s="20">
        <f t="shared" si="3"/>
        <v>80</v>
      </c>
      <c r="AM122" s="20">
        <f t="shared" si="4"/>
        <v>244</v>
      </c>
      <c r="AN122" s="31">
        <f t="shared" si="5"/>
        <v>13.01344262</v>
      </c>
    </row>
    <row r="123" ht="15.75" customHeight="1">
      <c r="A123" s="32" t="s">
        <v>22</v>
      </c>
      <c r="B123" s="34">
        <f t="shared" si="6"/>
        <v>44683</v>
      </c>
      <c r="C123" s="35">
        <v>5.0</v>
      </c>
      <c r="D123" s="35" t="s">
        <v>32</v>
      </c>
      <c r="E123" s="37"/>
      <c r="F123" s="23"/>
      <c r="H123" s="24"/>
      <c r="J123" s="24"/>
      <c r="L123" s="25">
        <v>82.0</v>
      </c>
      <c r="N123" s="26">
        <v>82.0</v>
      </c>
      <c r="P123" s="24"/>
      <c r="R123" s="26">
        <v>80.0</v>
      </c>
      <c r="T123" s="24"/>
      <c r="V123" s="24"/>
      <c r="W123" s="27"/>
      <c r="X123" s="23"/>
      <c r="Z123" s="24"/>
      <c r="AB123" s="24"/>
      <c r="AD123" s="24"/>
      <c r="AF123" s="24"/>
      <c r="AH123" s="24"/>
      <c r="AI123" s="27"/>
      <c r="AJ123" s="39">
        <f t="shared" si="1"/>
        <v>3175.28</v>
      </c>
      <c r="AK123" s="35">
        <f t="shared" si="2"/>
        <v>164</v>
      </c>
      <c r="AL123" s="35">
        <f t="shared" si="3"/>
        <v>80</v>
      </c>
      <c r="AM123" s="35">
        <f t="shared" si="4"/>
        <v>244</v>
      </c>
      <c r="AN123" s="40">
        <f t="shared" si="5"/>
        <v>13.01344262</v>
      </c>
    </row>
    <row r="124" ht="15.75" customHeight="1">
      <c r="A124" s="32" t="s">
        <v>24</v>
      </c>
      <c r="B124" s="34">
        <f t="shared" si="6"/>
        <v>44684</v>
      </c>
      <c r="C124" s="35">
        <v>5.0</v>
      </c>
      <c r="D124" s="35" t="s">
        <v>32</v>
      </c>
      <c r="E124" s="37"/>
      <c r="F124" s="23"/>
      <c r="H124" s="24"/>
      <c r="J124" s="24"/>
      <c r="L124" s="25">
        <v>82.0</v>
      </c>
      <c r="N124" s="26">
        <v>82.0</v>
      </c>
      <c r="P124" s="24"/>
      <c r="R124" s="26">
        <v>80.0</v>
      </c>
      <c r="T124" s="24"/>
      <c r="V124" s="24"/>
      <c r="W124" s="27"/>
      <c r="X124" s="23"/>
      <c r="Z124" s="24"/>
      <c r="AB124" s="24"/>
      <c r="AD124" s="24"/>
      <c r="AF124" s="24"/>
      <c r="AH124" s="24"/>
      <c r="AI124" s="27"/>
      <c r="AJ124" s="39">
        <f t="shared" si="1"/>
        <v>3175.28</v>
      </c>
      <c r="AK124" s="35">
        <f t="shared" si="2"/>
        <v>164</v>
      </c>
      <c r="AL124" s="35">
        <f t="shared" si="3"/>
        <v>80</v>
      </c>
      <c r="AM124" s="35">
        <f t="shared" si="4"/>
        <v>244</v>
      </c>
      <c r="AN124" s="40">
        <f t="shared" si="5"/>
        <v>13.01344262</v>
      </c>
    </row>
    <row r="125" ht="15.75" customHeight="1">
      <c r="A125" s="32" t="s">
        <v>28</v>
      </c>
      <c r="B125" s="34">
        <f t="shared" si="6"/>
        <v>44685</v>
      </c>
      <c r="C125" s="35">
        <v>5.0</v>
      </c>
      <c r="D125" s="35" t="s">
        <v>32</v>
      </c>
      <c r="E125" s="37"/>
      <c r="F125" s="23"/>
      <c r="H125" s="24"/>
      <c r="J125" s="24"/>
      <c r="L125" s="25">
        <v>82.0</v>
      </c>
      <c r="N125" s="26">
        <v>82.0</v>
      </c>
      <c r="P125" s="24"/>
      <c r="R125" s="26">
        <v>80.0</v>
      </c>
      <c r="T125" s="24"/>
      <c r="V125" s="24"/>
      <c r="W125" s="27"/>
      <c r="X125" s="23"/>
      <c r="Z125" s="24"/>
      <c r="AB125" s="24"/>
      <c r="AD125" s="24"/>
      <c r="AF125" s="24"/>
      <c r="AH125" s="24"/>
      <c r="AI125" s="27"/>
      <c r="AJ125" s="39">
        <f t="shared" si="1"/>
        <v>3175.28</v>
      </c>
      <c r="AK125" s="35">
        <f t="shared" si="2"/>
        <v>164</v>
      </c>
      <c r="AL125" s="35">
        <f t="shared" si="3"/>
        <v>80</v>
      </c>
      <c r="AM125" s="35">
        <f t="shared" si="4"/>
        <v>244</v>
      </c>
      <c r="AN125" s="40">
        <f t="shared" si="5"/>
        <v>13.01344262</v>
      </c>
    </row>
    <row r="126" ht="15.75" customHeight="1">
      <c r="A126" s="32" t="s">
        <v>29</v>
      </c>
      <c r="B126" s="34">
        <f t="shared" si="6"/>
        <v>44686</v>
      </c>
      <c r="C126" s="35">
        <v>5.0</v>
      </c>
      <c r="D126" s="35" t="s">
        <v>32</v>
      </c>
      <c r="E126" s="37"/>
      <c r="F126" s="23"/>
      <c r="H126" s="24"/>
      <c r="J126" s="24"/>
      <c r="L126" s="25">
        <v>82.0</v>
      </c>
      <c r="N126" s="26">
        <v>82.0</v>
      </c>
      <c r="P126" s="24"/>
      <c r="R126" s="26">
        <v>80.0</v>
      </c>
      <c r="T126" s="24"/>
      <c r="V126" s="24"/>
      <c r="W126" s="27"/>
      <c r="X126" s="23"/>
      <c r="Z126" s="24"/>
      <c r="AB126" s="24"/>
      <c r="AD126" s="24"/>
      <c r="AF126" s="24"/>
      <c r="AH126" s="24"/>
      <c r="AI126" s="27"/>
      <c r="AJ126" s="39">
        <f t="shared" si="1"/>
        <v>3175.28</v>
      </c>
      <c r="AK126" s="35">
        <f t="shared" si="2"/>
        <v>164</v>
      </c>
      <c r="AL126" s="35">
        <f t="shared" si="3"/>
        <v>80</v>
      </c>
      <c r="AM126" s="35">
        <f t="shared" si="4"/>
        <v>244</v>
      </c>
      <c r="AN126" s="40">
        <f t="shared" si="5"/>
        <v>13.01344262</v>
      </c>
    </row>
    <row r="127" ht="15.75" customHeight="1">
      <c r="A127" s="32" t="s">
        <v>30</v>
      </c>
      <c r="B127" s="34">
        <f t="shared" si="6"/>
        <v>44687</v>
      </c>
      <c r="C127" s="35">
        <v>5.0</v>
      </c>
      <c r="D127" s="35" t="s">
        <v>32</v>
      </c>
      <c r="E127" s="37"/>
      <c r="F127" s="23"/>
      <c r="H127" s="24"/>
      <c r="J127" s="24"/>
      <c r="L127" s="25">
        <v>82.0</v>
      </c>
      <c r="N127" s="26">
        <v>82.0</v>
      </c>
      <c r="P127" s="24"/>
      <c r="R127" s="26">
        <v>80.0</v>
      </c>
      <c r="T127" s="24"/>
      <c r="V127" s="24"/>
      <c r="W127" s="27"/>
      <c r="X127" s="23"/>
      <c r="Z127" s="24"/>
      <c r="AB127" s="24"/>
      <c r="AD127" s="24"/>
      <c r="AF127" s="24"/>
      <c r="AH127" s="24"/>
      <c r="AI127" s="27"/>
      <c r="AJ127" s="39">
        <f t="shared" si="1"/>
        <v>3175.28</v>
      </c>
      <c r="AK127" s="35">
        <f t="shared" si="2"/>
        <v>164</v>
      </c>
      <c r="AL127" s="35">
        <f t="shared" si="3"/>
        <v>80</v>
      </c>
      <c r="AM127" s="35">
        <f t="shared" si="4"/>
        <v>244</v>
      </c>
      <c r="AN127" s="40">
        <f t="shared" si="5"/>
        <v>13.01344262</v>
      </c>
    </row>
    <row r="128" ht="15.75" customHeight="1">
      <c r="A128" s="48" t="s">
        <v>31</v>
      </c>
      <c r="B128" s="50">
        <f t="shared" si="6"/>
        <v>44688</v>
      </c>
      <c r="C128" s="51">
        <v>5.0</v>
      </c>
      <c r="D128" s="51" t="s">
        <v>32</v>
      </c>
      <c r="E128" s="53"/>
      <c r="F128" s="54"/>
      <c r="G128" s="56"/>
      <c r="H128" s="57"/>
      <c r="I128" s="56"/>
      <c r="J128" s="57"/>
      <c r="K128" s="56"/>
      <c r="L128" s="58">
        <v>82.0</v>
      </c>
      <c r="M128" s="56"/>
      <c r="N128" s="59">
        <v>82.0</v>
      </c>
      <c r="O128" s="56"/>
      <c r="P128" s="57"/>
      <c r="Q128" s="56"/>
      <c r="R128" s="59"/>
      <c r="S128" s="56"/>
      <c r="T128" s="57"/>
      <c r="U128" s="56"/>
      <c r="V128" s="57"/>
      <c r="W128" s="60"/>
      <c r="X128" s="54"/>
      <c r="Y128" s="56"/>
      <c r="Z128" s="57"/>
      <c r="AA128" s="56"/>
      <c r="AB128" s="57"/>
      <c r="AC128" s="56"/>
      <c r="AD128" s="57"/>
      <c r="AE128" s="56"/>
      <c r="AF128" s="57"/>
      <c r="AG128" s="56"/>
      <c r="AH128" s="57"/>
      <c r="AI128" s="60"/>
      <c r="AJ128" s="61">
        <f t="shared" si="1"/>
        <v>2660.08</v>
      </c>
      <c r="AK128" s="51">
        <f t="shared" si="2"/>
        <v>164</v>
      </c>
      <c r="AL128" s="51" t="str">
        <f t="shared" si="3"/>
        <v/>
      </c>
      <c r="AM128" s="51">
        <f t="shared" si="4"/>
        <v>164</v>
      </c>
      <c r="AN128" s="63">
        <f t="shared" si="5"/>
        <v>16.22</v>
      </c>
    </row>
    <row r="129" ht="15.75" customHeight="1">
      <c r="A129" s="18" t="s">
        <v>20</v>
      </c>
      <c r="B129" s="64">
        <f t="shared" si="6"/>
        <v>44689</v>
      </c>
      <c r="C129" s="20">
        <v>5.0</v>
      </c>
      <c r="D129" s="20" t="s">
        <v>33</v>
      </c>
      <c r="E129" s="22"/>
      <c r="F129" s="23"/>
      <c r="H129" s="24"/>
      <c r="J129" s="24"/>
      <c r="L129" s="25">
        <v>82.0</v>
      </c>
      <c r="N129" s="26">
        <v>82.0</v>
      </c>
      <c r="P129" s="24"/>
      <c r="R129" s="26">
        <v>80.0</v>
      </c>
      <c r="T129" s="24"/>
      <c r="V129" s="24"/>
      <c r="W129" s="27"/>
      <c r="X129" s="23"/>
      <c r="Z129" s="24"/>
      <c r="AB129" s="24"/>
      <c r="AD129" s="24"/>
      <c r="AF129" s="24"/>
      <c r="AH129" s="24"/>
      <c r="AI129" s="27"/>
      <c r="AJ129" s="28">
        <f t="shared" si="1"/>
        <v>3175.28</v>
      </c>
      <c r="AK129" s="20">
        <f t="shared" si="2"/>
        <v>164</v>
      </c>
      <c r="AL129" s="20">
        <f t="shared" si="3"/>
        <v>80</v>
      </c>
      <c r="AM129" s="20">
        <f t="shared" si="4"/>
        <v>244</v>
      </c>
      <c r="AN129" s="31">
        <f t="shared" si="5"/>
        <v>13.01344262</v>
      </c>
    </row>
    <row r="130" ht="15.75" customHeight="1">
      <c r="A130" s="32" t="s">
        <v>22</v>
      </c>
      <c r="B130" s="34">
        <f t="shared" si="6"/>
        <v>44690</v>
      </c>
      <c r="C130" s="35">
        <v>5.0</v>
      </c>
      <c r="D130" s="35" t="s">
        <v>33</v>
      </c>
      <c r="E130" s="37"/>
      <c r="F130" s="23"/>
      <c r="H130" s="24"/>
      <c r="J130" s="24"/>
      <c r="L130" s="25">
        <v>82.0</v>
      </c>
      <c r="N130" s="26">
        <v>82.0</v>
      </c>
      <c r="P130" s="24"/>
      <c r="R130" s="26">
        <v>80.0</v>
      </c>
      <c r="T130" s="24"/>
      <c r="V130" s="24"/>
      <c r="W130" s="27"/>
      <c r="X130" s="23"/>
      <c r="Z130" s="24"/>
      <c r="AB130" s="24"/>
      <c r="AD130" s="24"/>
      <c r="AF130" s="24"/>
      <c r="AH130" s="24"/>
      <c r="AI130" s="27"/>
      <c r="AJ130" s="39">
        <f t="shared" si="1"/>
        <v>3175.28</v>
      </c>
      <c r="AK130" s="35">
        <f t="shared" si="2"/>
        <v>164</v>
      </c>
      <c r="AL130" s="35">
        <f t="shared" si="3"/>
        <v>80</v>
      </c>
      <c r="AM130" s="35">
        <f t="shared" si="4"/>
        <v>244</v>
      </c>
      <c r="AN130" s="40">
        <f t="shared" si="5"/>
        <v>13.01344262</v>
      </c>
    </row>
    <row r="131" ht="15.75" customHeight="1">
      <c r="A131" s="32" t="s">
        <v>24</v>
      </c>
      <c r="B131" s="34">
        <f t="shared" si="6"/>
        <v>44691</v>
      </c>
      <c r="C131" s="35">
        <v>5.0</v>
      </c>
      <c r="D131" s="35" t="s">
        <v>33</v>
      </c>
      <c r="E131" s="37"/>
      <c r="F131" s="23"/>
      <c r="H131" s="24"/>
      <c r="J131" s="24"/>
      <c r="L131" s="25">
        <v>82.0</v>
      </c>
      <c r="N131" s="26">
        <v>82.0</v>
      </c>
      <c r="P131" s="24"/>
      <c r="R131" s="26">
        <v>80.0</v>
      </c>
      <c r="T131" s="24"/>
      <c r="V131" s="24"/>
      <c r="W131" s="27"/>
      <c r="X131" s="23"/>
      <c r="Z131" s="24"/>
      <c r="AB131" s="24"/>
      <c r="AD131" s="24"/>
      <c r="AF131" s="24"/>
      <c r="AH131" s="24"/>
      <c r="AI131" s="27"/>
      <c r="AJ131" s="39">
        <f t="shared" si="1"/>
        <v>3175.28</v>
      </c>
      <c r="AK131" s="35">
        <f t="shared" si="2"/>
        <v>164</v>
      </c>
      <c r="AL131" s="35">
        <f t="shared" si="3"/>
        <v>80</v>
      </c>
      <c r="AM131" s="35">
        <f t="shared" si="4"/>
        <v>244</v>
      </c>
      <c r="AN131" s="40">
        <f t="shared" si="5"/>
        <v>13.01344262</v>
      </c>
    </row>
    <row r="132" ht="15.75" customHeight="1">
      <c r="A132" s="32" t="s">
        <v>28</v>
      </c>
      <c r="B132" s="34">
        <f t="shared" si="6"/>
        <v>44692</v>
      </c>
      <c r="C132" s="35">
        <v>5.0</v>
      </c>
      <c r="D132" s="35" t="s">
        <v>33</v>
      </c>
      <c r="E132" s="37"/>
      <c r="F132" s="23"/>
      <c r="H132" s="24"/>
      <c r="J132" s="24"/>
      <c r="L132" s="25">
        <v>82.0</v>
      </c>
      <c r="N132" s="26">
        <v>82.0</v>
      </c>
      <c r="P132" s="24"/>
      <c r="R132" s="26">
        <v>80.0</v>
      </c>
      <c r="T132" s="24"/>
      <c r="V132" s="24"/>
      <c r="W132" s="27"/>
      <c r="X132" s="23"/>
      <c r="Z132" s="24"/>
      <c r="AB132" s="24"/>
      <c r="AD132" s="24"/>
      <c r="AF132" s="24"/>
      <c r="AH132" s="24"/>
      <c r="AI132" s="27"/>
      <c r="AJ132" s="39">
        <f t="shared" si="1"/>
        <v>3175.28</v>
      </c>
      <c r="AK132" s="35">
        <f t="shared" si="2"/>
        <v>164</v>
      </c>
      <c r="AL132" s="35">
        <f t="shared" si="3"/>
        <v>80</v>
      </c>
      <c r="AM132" s="35">
        <f t="shared" si="4"/>
        <v>244</v>
      </c>
      <c r="AN132" s="40">
        <f t="shared" si="5"/>
        <v>13.01344262</v>
      </c>
    </row>
    <row r="133" ht="15.75" customHeight="1">
      <c r="A133" s="32" t="s">
        <v>29</v>
      </c>
      <c r="B133" s="34">
        <f t="shared" si="6"/>
        <v>44693</v>
      </c>
      <c r="C133" s="35">
        <v>5.0</v>
      </c>
      <c r="D133" s="35" t="s">
        <v>33</v>
      </c>
      <c r="E133" s="37"/>
      <c r="F133" s="23"/>
      <c r="H133" s="24"/>
      <c r="J133" s="24"/>
      <c r="L133" s="25">
        <v>82.0</v>
      </c>
      <c r="N133" s="26">
        <v>82.0</v>
      </c>
      <c r="P133" s="24"/>
      <c r="R133" s="26">
        <v>80.0</v>
      </c>
      <c r="T133" s="24"/>
      <c r="V133" s="24"/>
      <c r="W133" s="27"/>
      <c r="X133" s="23"/>
      <c r="Z133" s="24"/>
      <c r="AB133" s="24"/>
      <c r="AD133" s="24"/>
      <c r="AF133" s="24"/>
      <c r="AH133" s="24"/>
      <c r="AI133" s="27"/>
      <c r="AJ133" s="39">
        <f t="shared" si="1"/>
        <v>3175.28</v>
      </c>
      <c r="AK133" s="35">
        <f t="shared" si="2"/>
        <v>164</v>
      </c>
      <c r="AL133" s="35">
        <f t="shared" si="3"/>
        <v>80</v>
      </c>
      <c r="AM133" s="35">
        <f t="shared" si="4"/>
        <v>244</v>
      </c>
      <c r="AN133" s="40">
        <f t="shared" si="5"/>
        <v>13.01344262</v>
      </c>
    </row>
    <row r="134" ht="15.75" customHeight="1">
      <c r="A134" s="32" t="s">
        <v>30</v>
      </c>
      <c r="B134" s="34">
        <f t="shared" si="6"/>
        <v>44694</v>
      </c>
      <c r="C134" s="35">
        <v>5.0</v>
      </c>
      <c r="D134" s="35" t="s">
        <v>33</v>
      </c>
      <c r="E134" s="37"/>
      <c r="F134" s="23"/>
      <c r="H134" s="24"/>
      <c r="J134" s="24"/>
      <c r="L134" s="25">
        <v>82.0</v>
      </c>
      <c r="N134" s="26">
        <v>82.0</v>
      </c>
      <c r="P134" s="24"/>
      <c r="R134" s="26">
        <v>80.0</v>
      </c>
      <c r="T134" s="24"/>
      <c r="V134" s="24"/>
      <c r="W134" s="27"/>
      <c r="X134" s="23"/>
      <c r="Z134" s="24"/>
      <c r="AB134" s="24"/>
      <c r="AD134" s="24"/>
      <c r="AF134" s="24"/>
      <c r="AH134" s="24"/>
      <c r="AI134" s="27"/>
      <c r="AJ134" s="39">
        <f t="shared" si="1"/>
        <v>3175.28</v>
      </c>
      <c r="AK134" s="35">
        <f t="shared" si="2"/>
        <v>164</v>
      </c>
      <c r="AL134" s="35">
        <f t="shared" si="3"/>
        <v>80</v>
      </c>
      <c r="AM134" s="35">
        <f t="shared" si="4"/>
        <v>244</v>
      </c>
      <c r="AN134" s="40">
        <f t="shared" si="5"/>
        <v>13.01344262</v>
      </c>
    </row>
    <row r="135" ht="15.75" customHeight="1">
      <c r="A135" s="48" t="s">
        <v>31</v>
      </c>
      <c r="B135" s="50">
        <f t="shared" si="6"/>
        <v>44695</v>
      </c>
      <c r="C135" s="51">
        <v>5.0</v>
      </c>
      <c r="D135" s="51" t="s">
        <v>33</v>
      </c>
      <c r="E135" s="53"/>
      <c r="F135" s="54"/>
      <c r="G135" s="56"/>
      <c r="H135" s="57"/>
      <c r="I135" s="56"/>
      <c r="J135" s="57"/>
      <c r="K135" s="56"/>
      <c r="L135" s="58">
        <v>82.0</v>
      </c>
      <c r="M135" s="56"/>
      <c r="N135" s="59">
        <v>82.0</v>
      </c>
      <c r="O135" s="56"/>
      <c r="P135" s="57"/>
      <c r="Q135" s="56"/>
      <c r="R135" s="59"/>
      <c r="S135" s="56"/>
      <c r="T135" s="57"/>
      <c r="U135" s="56"/>
      <c r="V135" s="57"/>
      <c r="W135" s="60"/>
      <c r="X135" s="54"/>
      <c r="Y135" s="56"/>
      <c r="Z135" s="57"/>
      <c r="AA135" s="56"/>
      <c r="AB135" s="57"/>
      <c r="AC135" s="56"/>
      <c r="AD135" s="57"/>
      <c r="AE135" s="56"/>
      <c r="AF135" s="57"/>
      <c r="AG135" s="56"/>
      <c r="AH135" s="57"/>
      <c r="AI135" s="60"/>
      <c r="AJ135" s="61">
        <f t="shared" si="1"/>
        <v>2660.08</v>
      </c>
      <c r="AK135" s="51">
        <f t="shared" si="2"/>
        <v>164</v>
      </c>
      <c r="AL135" s="51" t="str">
        <f t="shared" si="3"/>
        <v/>
      </c>
      <c r="AM135" s="51">
        <f t="shared" si="4"/>
        <v>164</v>
      </c>
      <c r="AN135" s="63">
        <f t="shared" si="5"/>
        <v>16.22</v>
      </c>
    </row>
    <row r="136" ht="15.75" customHeight="1">
      <c r="A136" s="18" t="s">
        <v>20</v>
      </c>
      <c r="B136" s="64">
        <f t="shared" si="6"/>
        <v>44696</v>
      </c>
      <c r="C136" s="20">
        <v>5.0</v>
      </c>
      <c r="D136" s="20" t="s">
        <v>34</v>
      </c>
      <c r="E136" s="22"/>
      <c r="F136" s="23"/>
      <c r="H136" s="24"/>
      <c r="J136" s="24"/>
      <c r="L136" s="25">
        <v>82.0</v>
      </c>
      <c r="N136" s="26">
        <v>82.0</v>
      </c>
      <c r="P136" s="24"/>
      <c r="R136" s="26">
        <v>80.0</v>
      </c>
      <c r="T136" s="24"/>
      <c r="V136" s="24"/>
      <c r="W136" s="27"/>
      <c r="X136" s="23"/>
      <c r="Z136" s="24"/>
      <c r="AB136" s="24"/>
      <c r="AD136" s="24"/>
      <c r="AF136" s="24"/>
      <c r="AH136" s="24"/>
      <c r="AI136" s="27"/>
      <c r="AJ136" s="28">
        <f t="shared" si="1"/>
        <v>3175.28</v>
      </c>
      <c r="AK136" s="20">
        <f t="shared" si="2"/>
        <v>164</v>
      </c>
      <c r="AL136" s="20">
        <f t="shared" si="3"/>
        <v>80</v>
      </c>
      <c r="AM136" s="20">
        <f t="shared" si="4"/>
        <v>244</v>
      </c>
      <c r="AN136" s="31">
        <f t="shared" si="5"/>
        <v>13.01344262</v>
      </c>
    </row>
    <row r="137" ht="15.75" customHeight="1">
      <c r="A137" s="32" t="s">
        <v>22</v>
      </c>
      <c r="B137" s="34">
        <f t="shared" si="6"/>
        <v>44697</v>
      </c>
      <c r="C137" s="35">
        <v>5.0</v>
      </c>
      <c r="D137" s="35" t="s">
        <v>34</v>
      </c>
      <c r="E137" s="37"/>
      <c r="F137" s="23"/>
      <c r="H137" s="24"/>
      <c r="J137" s="24"/>
      <c r="L137" s="25">
        <v>82.0</v>
      </c>
      <c r="N137" s="26">
        <v>82.0</v>
      </c>
      <c r="P137" s="24"/>
      <c r="R137" s="26">
        <v>80.0</v>
      </c>
      <c r="T137" s="24"/>
      <c r="V137" s="24"/>
      <c r="W137" s="27"/>
      <c r="X137" s="23"/>
      <c r="Z137" s="24"/>
      <c r="AB137" s="24"/>
      <c r="AD137" s="24"/>
      <c r="AF137" s="24"/>
      <c r="AH137" s="24"/>
      <c r="AI137" s="27"/>
      <c r="AJ137" s="39">
        <f t="shared" si="1"/>
        <v>3175.28</v>
      </c>
      <c r="AK137" s="35">
        <f t="shared" si="2"/>
        <v>164</v>
      </c>
      <c r="AL137" s="35">
        <f t="shared" si="3"/>
        <v>80</v>
      </c>
      <c r="AM137" s="35">
        <f t="shared" si="4"/>
        <v>244</v>
      </c>
      <c r="AN137" s="40">
        <f t="shared" si="5"/>
        <v>13.01344262</v>
      </c>
    </row>
    <row r="138" ht="15.75" customHeight="1">
      <c r="A138" s="32" t="s">
        <v>24</v>
      </c>
      <c r="B138" s="34">
        <f t="shared" si="6"/>
        <v>44698</v>
      </c>
      <c r="C138" s="35">
        <v>5.0</v>
      </c>
      <c r="D138" s="35" t="s">
        <v>34</v>
      </c>
      <c r="E138" s="37"/>
      <c r="F138" s="23"/>
      <c r="H138" s="24"/>
      <c r="J138" s="24"/>
      <c r="L138" s="25">
        <v>82.0</v>
      </c>
      <c r="N138" s="26">
        <v>82.0</v>
      </c>
      <c r="P138" s="24"/>
      <c r="R138" s="26">
        <v>80.0</v>
      </c>
      <c r="T138" s="24"/>
      <c r="V138" s="24"/>
      <c r="W138" s="27"/>
      <c r="X138" s="23"/>
      <c r="Z138" s="24"/>
      <c r="AB138" s="24"/>
      <c r="AD138" s="24"/>
      <c r="AF138" s="24"/>
      <c r="AH138" s="24"/>
      <c r="AI138" s="27"/>
      <c r="AJ138" s="39">
        <f t="shared" si="1"/>
        <v>3175.28</v>
      </c>
      <c r="AK138" s="35">
        <f t="shared" si="2"/>
        <v>164</v>
      </c>
      <c r="AL138" s="35">
        <f t="shared" si="3"/>
        <v>80</v>
      </c>
      <c r="AM138" s="35">
        <f t="shared" si="4"/>
        <v>244</v>
      </c>
      <c r="AN138" s="40">
        <f t="shared" si="5"/>
        <v>13.01344262</v>
      </c>
    </row>
    <row r="139" ht="15.75" customHeight="1">
      <c r="A139" s="32" t="s">
        <v>28</v>
      </c>
      <c r="B139" s="34">
        <f t="shared" si="6"/>
        <v>44699</v>
      </c>
      <c r="C139" s="35">
        <v>5.0</v>
      </c>
      <c r="D139" s="35" t="s">
        <v>34</v>
      </c>
      <c r="E139" s="37"/>
      <c r="F139" s="23"/>
      <c r="H139" s="24"/>
      <c r="J139" s="24"/>
      <c r="L139" s="25">
        <v>82.0</v>
      </c>
      <c r="N139" s="26">
        <v>82.0</v>
      </c>
      <c r="P139" s="24"/>
      <c r="R139" s="26">
        <v>80.0</v>
      </c>
      <c r="T139" s="24"/>
      <c r="V139" s="24"/>
      <c r="W139" s="27"/>
      <c r="X139" s="23"/>
      <c r="Z139" s="24"/>
      <c r="AB139" s="24"/>
      <c r="AD139" s="24"/>
      <c r="AF139" s="24"/>
      <c r="AH139" s="24"/>
      <c r="AI139" s="27"/>
      <c r="AJ139" s="39">
        <f t="shared" si="1"/>
        <v>3175.28</v>
      </c>
      <c r="AK139" s="35">
        <f t="shared" si="2"/>
        <v>164</v>
      </c>
      <c r="AL139" s="35">
        <f t="shared" si="3"/>
        <v>80</v>
      </c>
      <c r="AM139" s="35">
        <f t="shared" si="4"/>
        <v>244</v>
      </c>
      <c r="AN139" s="40">
        <f t="shared" si="5"/>
        <v>13.01344262</v>
      </c>
    </row>
    <row r="140" ht="15.75" customHeight="1">
      <c r="A140" s="32" t="s">
        <v>29</v>
      </c>
      <c r="B140" s="34">
        <f t="shared" si="6"/>
        <v>44700</v>
      </c>
      <c r="C140" s="35">
        <v>5.0</v>
      </c>
      <c r="D140" s="35" t="s">
        <v>34</v>
      </c>
      <c r="E140" s="37"/>
      <c r="F140" s="23"/>
      <c r="H140" s="24"/>
      <c r="J140" s="24"/>
      <c r="L140" s="25">
        <v>82.0</v>
      </c>
      <c r="N140" s="26">
        <v>82.0</v>
      </c>
      <c r="P140" s="24"/>
      <c r="R140" s="26">
        <v>80.0</v>
      </c>
      <c r="T140" s="24"/>
      <c r="V140" s="24"/>
      <c r="W140" s="27"/>
      <c r="X140" s="23"/>
      <c r="Z140" s="24"/>
      <c r="AB140" s="24"/>
      <c r="AD140" s="24"/>
      <c r="AF140" s="24"/>
      <c r="AH140" s="24"/>
      <c r="AI140" s="27"/>
      <c r="AJ140" s="39">
        <f t="shared" si="1"/>
        <v>3175.28</v>
      </c>
      <c r="AK140" s="35">
        <f t="shared" si="2"/>
        <v>164</v>
      </c>
      <c r="AL140" s="35">
        <f t="shared" si="3"/>
        <v>80</v>
      </c>
      <c r="AM140" s="35">
        <f t="shared" si="4"/>
        <v>244</v>
      </c>
      <c r="AN140" s="40">
        <f t="shared" si="5"/>
        <v>13.01344262</v>
      </c>
    </row>
    <row r="141" ht="15.75" customHeight="1">
      <c r="A141" s="32" t="s">
        <v>30</v>
      </c>
      <c r="B141" s="34">
        <f t="shared" si="6"/>
        <v>44701</v>
      </c>
      <c r="C141" s="35">
        <v>5.0</v>
      </c>
      <c r="D141" s="35" t="s">
        <v>34</v>
      </c>
      <c r="E141" s="37"/>
      <c r="F141" s="23"/>
      <c r="H141" s="24"/>
      <c r="J141" s="24"/>
      <c r="L141" s="25">
        <v>82.0</v>
      </c>
      <c r="N141" s="26">
        <v>82.0</v>
      </c>
      <c r="P141" s="24"/>
      <c r="R141" s="26">
        <v>80.0</v>
      </c>
      <c r="T141" s="24"/>
      <c r="V141" s="24"/>
      <c r="W141" s="27"/>
      <c r="X141" s="23"/>
      <c r="Z141" s="24"/>
      <c r="AB141" s="24"/>
      <c r="AD141" s="24"/>
      <c r="AF141" s="24"/>
      <c r="AH141" s="24"/>
      <c r="AI141" s="27"/>
      <c r="AJ141" s="39">
        <f t="shared" si="1"/>
        <v>3175.28</v>
      </c>
      <c r="AK141" s="35">
        <f t="shared" si="2"/>
        <v>164</v>
      </c>
      <c r="AL141" s="35">
        <f t="shared" si="3"/>
        <v>80</v>
      </c>
      <c r="AM141" s="35">
        <f t="shared" si="4"/>
        <v>244</v>
      </c>
      <c r="AN141" s="40">
        <f t="shared" si="5"/>
        <v>13.01344262</v>
      </c>
    </row>
    <row r="142" ht="15.75" customHeight="1">
      <c r="A142" s="48" t="s">
        <v>31</v>
      </c>
      <c r="B142" s="50">
        <f t="shared" si="6"/>
        <v>44702</v>
      </c>
      <c r="C142" s="51">
        <v>5.0</v>
      </c>
      <c r="D142" s="51" t="s">
        <v>34</v>
      </c>
      <c r="E142" s="53"/>
      <c r="F142" s="54"/>
      <c r="G142" s="56"/>
      <c r="H142" s="57"/>
      <c r="I142" s="56"/>
      <c r="J142" s="57"/>
      <c r="K142" s="56"/>
      <c r="L142" s="58">
        <v>82.0</v>
      </c>
      <c r="M142" s="56"/>
      <c r="N142" s="59">
        <v>82.0</v>
      </c>
      <c r="O142" s="56"/>
      <c r="P142" s="57"/>
      <c r="Q142" s="56"/>
      <c r="R142" s="59"/>
      <c r="S142" s="56"/>
      <c r="T142" s="57"/>
      <c r="U142" s="56"/>
      <c r="V142" s="57"/>
      <c r="W142" s="60"/>
      <c r="X142" s="54"/>
      <c r="Y142" s="56"/>
      <c r="Z142" s="57"/>
      <c r="AA142" s="56"/>
      <c r="AB142" s="57"/>
      <c r="AC142" s="56"/>
      <c r="AD142" s="57"/>
      <c r="AE142" s="56"/>
      <c r="AF142" s="57"/>
      <c r="AG142" s="56"/>
      <c r="AH142" s="57"/>
      <c r="AI142" s="60"/>
      <c r="AJ142" s="61">
        <f t="shared" si="1"/>
        <v>2660.08</v>
      </c>
      <c r="AK142" s="51">
        <f t="shared" si="2"/>
        <v>164</v>
      </c>
      <c r="AL142" s="51" t="str">
        <f t="shared" si="3"/>
        <v/>
      </c>
      <c r="AM142" s="51">
        <f t="shared" si="4"/>
        <v>164</v>
      </c>
      <c r="AN142" s="63">
        <f t="shared" si="5"/>
        <v>16.22</v>
      </c>
    </row>
    <row r="143" ht="15.75" customHeight="1">
      <c r="A143" s="18" t="s">
        <v>20</v>
      </c>
      <c r="B143" s="64">
        <f t="shared" si="6"/>
        <v>44703</v>
      </c>
      <c r="C143" s="20">
        <v>6.0</v>
      </c>
      <c r="D143" s="20" t="s">
        <v>21</v>
      </c>
      <c r="E143" s="22"/>
      <c r="F143" s="23"/>
      <c r="H143" s="24"/>
      <c r="J143" s="24"/>
      <c r="L143" s="25">
        <v>82.0</v>
      </c>
      <c r="N143" s="26">
        <v>82.0</v>
      </c>
      <c r="P143" s="24"/>
      <c r="R143" s="26">
        <v>80.0</v>
      </c>
      <c r="T143" s="24"/>
      <c r="V143" s="24"/>
      <c r="W143" s="27"/>
      <c r="X143" s="23"/>
      <c r="Z143" s="24"/>
      <c r="AB143" s="24"/>
      <c r="AD143" s="24"/>
      <c r="AF143" s="24"/>
      <c r="AH143" s="24"/>
      <c r="AI143" s="27"/>
      <c r="AJ143" s="28">
        <f t="shared" si="1"/>
        <v>3175.28</v>
      </c>
      <c r="AK143" s="20">
        <f t="shared" si="2"/>
        <v>164</v>
      </c>
      <c r="AL143" s="20">
        <f t="shared" si="3"/>
        <v>80</v>
      </c>
      <c r="AM143" s="20">
        <f t="shared" si="4"/>
        <v>244</v>
      </c>
      <c r="AN143" s="31">
        <f t="shared" si="5"/>
        <v>13.01344262</v>
      </c>
    </row>
    <row r="144" ht="15.75" customHeight="1">
      <c r="A144" s="32" t="s">
        <v>22</v>
      </c>
      <c r="B144" s="34">
        <f t="shared" si="6"/>
        <v>44704</v>
      </c>
      <c r="C144" s="35">
        <v>6.0</v>
      </c>
      <c r="D144" s="35" t="s">
        <v>21</v>
      </c>
      <c r="E144" s="37"/>
      <c r="F144" s="23"/>
      <c r="H144" s="24"/>
      <c r="J144" s="24"/>
      <c r="L144" s="25">
        <v>82.0</v>
      </c>
      <c r="N144" s="26">
        <v>82.0</v>
      </c>
      <c r="P144" s="24"/>
      <c r="R144" s="26">
        <v>80.0</v>
      </c>
      <c r="T144" s="24"/>
      <c r="V144" s="24"/>
      <c r="W144" s="27"/>
      <c r="X144" s="23"/>
      <c r="Z144" s="24"/>
      <c r="AB144" s="24"/>
      <c r="AD144" s="24"/>
      <c r="AF144" s="24"/>
      <c r="AH144" s="24"/>
      <c r="AI144" s="27"/>
      <c r="AJ144" s="39">
        <f t="shared" si="1"/>
        <v>3175.28</v>
      </c>
      <c r="AK144" s="35">
        <f t="shared" si="2"/>
        <v>164</v>
      </c>
      <c r="AL144" s="35">
        <f t="shared" si="3"/>
        <v>80</v>
      </c>
      <c r="AM144" s="35">
        <f t="shared" si="4"/>
        <v>244</v>
      </c>
      <c r="AN144" s="40">
        <f t="shared" si="5"/>
        <v>13.01344262</v>
      </c>
    </row>
    <row r="145" ht="15.75" customHeight="1">
      <c r="A145" s="32" t="s">
        <v>24</v>
      </c>
      <c r="B145" s="34">
        <f t="shared" si="6"/>
        <v>44705</v>
      </c>
      <c r="C145" s="35">
        <v>6.0</v>
      </c>
      <c r="D145" s="35" t="s">
        <v>21</v>
      </c>
      <c r="E145" s="37"/>
      <c r="F145" s="23"/>
      <c r="H145" s="24"/>
      <c r="J145" s="24"/>
      <c r="L145" s="25">
        <v>82.0</v>
      </c>
      <c r="N145" s="26">
        <v>82.0</v>
      </c>
      <c r="P145" s="24"/>
      <c r="R145" s="26">
        <v>80.0</v>
      </c>
      <c r="T145" s="24"/>
      <c r="V145" s="24"/>
      <c r="W145" s="27"/>
      <c r="X145" s="23"/>
      <c r="Z145" s="24"/>
      <c r="AB145" s="24"/>
      <c r="AD145" s="24"/>
      <c r="AF145" s="24"/>
      <c r="AH145" s="24"/>
      <c r="AI145" s="27"/>
      <c r="AJ145" s="39">
        <f t="shared" si="1"/>
        <v>3175.28</v>
      </c>
      <c r="AK145" s="35">
        <f t="shared" si="2"/>
        <v>164</v>
      </c>
      <c r="AL145" s="35">
        <f t="shared" si="3"/>
        <v>80</v>
      </c>
      <c r="AM145" s="35">
        <f t="shared" si="4"/>
        <v>244</v>
      </c>
      <c r="AN145" s="40">
        <f t="shared" si="5"/>
        <v>13.01344262</v>
      </c>
    </row>
    <row r="146" ht="15.75" customHeight="1">
      <c r="A146" s="32" t="s">
        <v>28</v>
      </c>
      <c r="B146" s="34">
        <f t="shared" si="6"/>
        <v>44706</v>
      </c>
      <c r="C146" s="35">
        <v>6.0</v>
      </c>
      <c r="D146" s="35" t="s">
        <v>21</v>
      </c>
      <c r="E146" s="37"/>
      <c r="F146" s="23"/>
      <c r="H146" s="24"/>
      <c r="J146" s="24"/>
      <c r="L146" s="25">
        <v>82.0</v>
      </c>
      <c r="N146" s="26">
        <v>82.0</v>
      </c>
      <c r="P146" s="24"/>
      <c r="R146" s="26">
        <v>80.0</v>
      </c>
      <c r="T146" s="24"/>
      <c r="V146" s="24"/>
      <c r="W146" s="27"/>
      <c r="X146" s="23"/>
      <c r="Z146" s="24"/>
      <c r="AB146" s="24"/>
      <c r="AD146" s="24"/>
      <c r="AF146" s="24"/>
      <c r="AH146" s="24"/>
      <c r="AI146" s="27"/>
      <c r="AJ146" s="39">
        <f t="shared" si="1"/>
        <v>3175.28</v>
      </c>
      <c r="AK146" s="35">
        <f t="shared" si="2"/>
        <v>164</v>
      </c>
      <c r="AL146" s="35">
        <f t="shared" si="3"/>
        <v>80</v>
      </c>
      <c r="AM146" s="35">
        <f t="shared" si="4"/>
        <v>244</v>
      </c>
      <c r="AN146" s="40">
        <f t="shared" si="5"/>
        <v>13.01344262</v>
      </c>
    </row>
    <row r="147" ht="15.75" customHeight="1">
      <c r="A147" s="32" t="s">
        <v>29</v>
      </c>
      <c r="B147" s="34">
        <f t="shared" si="6"/>
        <v>44707</v>
      </c>
      <c r="C147" s="35">
        <v>6.0</v>
      </c>
      <c r="D147" s="35" t="s">
        <v>21</v>
      </c>
      <c r="E147" s="37"/>
      <c r="F147" s="23"/>
      <c r="H147" s="24"/>
      <c r="J147" s="24"/>
      <c r="L147" s="25">
        <v>82.0</v>
      </c>
      <c r="N147" s="26">
        <v>82.0</v>
      </c>
      <c r="P147" s="24"/>
      <c r="R147" s="26">
        <v>80.0</v>
      </c>
      <c r="T147" s="24"/>
      <c r="V147" s="24"/>
      <c r="W147" s="27"/>
      <c r="X147" s="23"/>
      <c r="Z147" s="24"/>
      <c r="AB147" s="24"/>
      <c r="AD147" s="24"/>
      <c r="AF147" s="24"/>
      <c r="AH147" s="24"/>
      <c r="AI147" s="27"/>
      <c r="AJ147" s="39">
        <f t="shared" si="1"/>
        <v>3175.28</v>
      </c>
      <c r="AK147" s="35">
        <f t="shared" si="2"/>
        <v>164</v>
      </c>
      <c r="AL147" s="35">
        <f t="shared" si="3"/>
        <v>80</v>
      </c>
      <c r="AM147" s="35">
        <f t="shared" si="4"/>
        <v>244</v>
      </c>
      <c r="AN147" s="40">
        <f t="shared" si="5"/>
        <v>13.01344262</v>
      </c>
    </row>
    <row r="148" ht="15.75" customHeight="1">
      <c r="A148" s="32" t="s">
        <v>30</v>
      </c>
      <c r="B148" s="34">
        <f t="shared" si="6"/>
        <v>44708</v>
      </c>
      <c r="C148" s="35">
        <v>6.0</v>
      </c>
      <c r="D148" s="35" t="s">
        <v>21</v>
      </c>
      <c r="E148" s="37"/>
      <c r="F148" s="23"/>
      <c r="H148" s="24"/>
      <c r="J148" s="24"/>
      <c r="L148" s="25">
        <v>82.0</v>
      </c>
      <c r="N148" s="26">
        <v>82.0</v>
      </c>
      <c r="P148" s="24"/>
      <c r="R148" s="26">
        <v>80.0</v>
      </c>
      <c r="T148" s="24"/>
      <c r="V148" s="24"/>
      <c r="W148" s="27"/>
      <c r="X148" s="23"/>
      <c r="Z148" s="24"/>
      <c r="AB148" s="24"/>
      <c r="AD148" s="24"/>
      <c r="AF148" s="24"/>
      <c r="AH148" s="24"/>
      <c r="AI148" s="27"/>
      <c r="AJ148" s="39">
        <f t="shared" si="1"/>
        <v>3175.28</v>
      </c>
      <c r="AK148" s="35">
        <f t="shared" si="2"/>
        <v>164</v>
      </c>
      <c r="AL148" s="35">
        <f t="shared" si="3"/>
        <v>80</v>
      </c>
      <c r="AM148" s="35">
        <f t="shared" si="4"/>
        <v>244</v>
      </c>
      <c r="AN148" s="40">
        <f t="shared" si="5"/>
        <v>13.01344262</v>
      </c>
    </row>
    <row r="149" ht="15.75" customHeight="1">
      <c r="A149" s="48" t="s">
        <v>31</v>
      </c>
      <c r="B149" s="50">
        <f t="shared" si="6"/>
        <v>44709</v>
      </c>
      <c r="C149" s="51">
        <v>6.0</v>
      </c>
      <c r="D149" s="51" t="s">
        <v>21</v>
      </c>
      <c r="E149" s="53"/>
      <c r="F149" s="54"/>
      <c r="G149" s="56"/>
      <c r="H149" s="57"/>
      <c r="I149" s="56"/>
      <c r="J149" s="57"/>
      <c r="K149" s="56"/>
      <c r="L149" s="58">
        <v>82.0</v>
      </c>
      <c r="M149" s="56"/>
      <c r="N149" s="59">
        <v>82.0</v>
      </c>
      <c r="O149" s="56"/>
      <c r="P149" s="57"/>
      <c r="Q149" s="56"/>
      <c r="R149" s="59"/>
      <c r="S149" s="56"/>
      <c r="T149" s="57"/>
      <c r="U149" s="56"/>
      <c r="V149" s="57"/>
      <c r="W149" s="60"/>
      <c r="X149" s="54"/>
      <c r="Y149" s="56"/>
      <c r="Z149" s="57"/>
      <c r="AA149" s="56"/>
      <c r="AB149" s="57"/>
      <c r="AC149" s="56"/>
      <c r="AD149" s="57"/>
      <c r="AE149" s="56"/>
      <c r="AF149" s="57"/>
      <c r="AG149" s="56"/>
      <c r="AH149" s="57"/>
      <c r="AI149" s="60"/>
      <c r="AJ149" s="61">
        <f t="shared" si="1"/>
        <v>2660.08</v>
      </c>
      <c r="AK149" s="51">
        <f t="shared" si="2"/>
        <v>164</v>
      </c>
      <c r="AL149" s="51" t="str">
        <f t="shared" si="3"/>
        <v/>
      </c>
      <c r="AM149" s="51">
        <f t="shared" si="4"/>
        <v>164</v>
      </c>
      <c r="AN149" s="63">
        <f t="shared" si="5"/>
        <v>16.22</v>
      </c>
    </row>
    <row r="150" ht="15.75" customHeight="1">
      <c r="A150" s="18" t="s">
        <v>20</v>
      </c>
      <c r="B150" s="64">
        <f t="shared" si="6"/>
        <v>44710</v>
      </c>
      <c r="C150" s="20">
        <v>6.0</v>
      </c>
      <c r="D150" s="20" t="s">
        <v>32</v>
      </c>
      <c r="E150" s="22"/>
      <c r="F150" s="23"/>
      <c r="H150" s="24"/>
      <c r="J150" s="24"/>
      <c r="L150" s="25">
        <v>82.0</v>
      </c>
      <c r="N150" s="26">
        <v>82.0</v>
      </c>
      <c r="P150" s="24"/>
      <c r="R150" s="26">
        <v>80.0</v>
      </c>
      <c r="T150" s="24"/>
      <c r="V150" s="24"/>
      <c r="W150" s="27"/>
      <c r="X150" s="23"/>
      <c r="Z150" s="24"/>
      <c r="AB150" s="24"/>
      <c r="AD150" s="24"/>
      <c r="AF150" s="24"/>
      <c r="AH150" s="24"/>
      <c r="AI150" s="27"/>
      <c r="AJ150" s="28">
        <f t="shared" si="1"/>
        <v>3175.28</v>
      </c>
      <c r="AK150" s="20">
        <f t="shared" si="2"/>
        <v>164</v>
      </c>
      <c r="AL150" s="20">
        <f t="shared" si="3"/>
        <v>80</v>
      </c>
      <c r="AM150" s="20">
        <f t="shared" si="4"/>
        <v>244</v>
      </c>
      <c r="AN150" s="31">
        <f t="shared" si="5"/>
        <v>13.01344262</v>
      </c>
    </row>
    <row r="151" ht="15.75" customHeight="1">
      <c r="A151" s="32" t="s">
        <v>22</v>
      </c>
      <c r="B151" s="34">
        <f t="shared" si="6"/>
        <v>44711</v>
      </c>
      <c r="C151" s="35">
        <v>6.0</v>
      </c>
      <c r="D151" s="35" t="s">
        <v>32</v>
      </c>
      <c r="E151" s="37"/>
      <c r="F151" s="23"/>
      <c r="H151" s="24"/>
      <c r="J151" s="24"/>
      <c r="L151" s="25">
        <v>82.0</v>
      </c>
      <c r="N151" s="26">
        <v>82.0</v>
      </c>
      <c r="P151" s="24"/>
      <c r="R151" s="26">
        <v>80.0</v>
      </c>
      <c r="T151" s="24"/>
      <c r="V151" s="24"/>
      <c r="W151" s="27"/>
      <c r="X151" s="23"/>
      <c r="Z151" s="24"/>
      <c r="AB151" s="24"/>
      <c r="AD151" s="24"/>
      <c r="AF151" s="24"/>
      <c r="AH151" s="24"/>
      <c r="AI151" s="27"/>
      <c r="AJ151" s="39">
        <f t="shared" si="1"/>
        <v>3175.28</v>
      </c>
      <c r="AK151" s="35">
        <f t="shared" si="2"/>
        <v>164</v>
      </c>
      <c r="AL151" s="35">
        <f t="shared" si="3"/>
        <v>80</v>
      </c>
      <c r="AM151" s="35">
        <f t="shared" si="4"/>
        <v>244</v>
      </c>
      <c r="AN151" s="40">
        <f t="shared" si="5"/>
        <v>13.01344262</v>
      </c>
    </row>
    <row r="152" ht="15.75" customHeight="1">
      <c r="A152" s="32" t="s">
        <v>24</v>
      </c>
      <c r="B152" s="34">
        <f t="shared" si="6"/>
        <v>44712</v>
      </c>
      <c r="C152" s="35">
        <v>6.0</v>
      </c>
      <c r="D152" s="35" t="s">
        <v>32</v>
      </c>
      <c r="E152" s="37"/>
      <c r="F152" s="23"/>
      <c r="H152" s="24"/>
      <c r="J152" s="24"/>
      <c r="L152" s="25">
        <v>82.0</v>
      </c>
      <c r="N152" s="26">
        <v>82.0</v>
      </c>
      <c r="P152" s="24"/>
      <c r="R152" s="26">
        <v>80.0</v>
      </c>
      <c r="T152" s="24"/>
      <c r="V152" s="24"/>
      <c r="W152" s="27"/>
      <c r="X152" s="23"/>
      <c r="Z152" s="24"/>
      <c r="AB152" s="24"/>
      <c r="AD152" s="24"/>
      <c r="AF152" s="24"/>
      <c r="AH152" s="24"/>
      <c r="AI152" s="27"/>
      <c r="AJ152" s="39">
        <f t="shared" si="1"/>
        <v>3175.28</v>
      </c>
      <c r="AK152" s="35">
        <f t="shared" si="2"/>
        <v>164</v>
      </c>
      <c r="AL152" s="35">
        <f t="shared" si="3"/>
        <v>80</v>
      </c>
      <c r="AM152" s="35">
        <f t="shared" si="4"/>
        <v>244</v>
      </c>
      <c r="AN152" s="40">
        <f t="shared" si="5"/>
        <v>13.01344262</v>
      </c>
    </row>
    <row r="153" ht="15.75" customHeight="1">
      <c r="A153" s="32" t="s">
        <v>28</v>
      </c>
      <c r="B153" s="34">
        <f t="shared" si="6"/>
        <v>44713</v>
      </c>
      <c r="C153" s="35">
        <v>6.0</v>
      </c>
      <c r="D153" s="35" t="s">
        <v>32</v>
      </c>
      <c r="E153" s="37"/>
      <c r="F153" s="23"/>
      <c r="H153" s="24"/>
      <c r="J153" s="24"/>
      <c r="L153" s="25">
        <v>82.0</v>
      </c>
      <c r="N153" s="26">
        <v>82.0</v>
      </c>
      <c r="P153" s="24"/>
      <c r="R153" s="26">
        <v>80.0</v>
      </c>
      <c r="T153" s="24"/>
      <c r="V153" s="24"/>
      <c r="W153" s="27"/>
      <c r="X153" s="23"/>
      <c r="Z153" s="24"/>
      <c r="AB153" s="24"/>
      <c r="AD153" s="24"/>
      <c r="AF153" s="24"/>
      <c r="AH153" s="24"/>
      <c r="AI153" s="27"/>
      <c r="AJ153" s="39">
        <f t="shared" si="1"/>
        <v>3175.28</v>
      </c>
      <c r="AK153" s="35">
        <f t="shared" si="2"/>
        <v>164</v>
      </c>
      <c r="AL153" s="35">
        <f t="shared" si="3"/>
        <v>80</v>
      </c>
      <c r="AM153" s="35">
        <f t="shared" si="4"/>
        <v>244</v>
      </c>
      <c r="AN153" s="40">
        <f t="shared" si="5"/>
        <v>13.01344262</v>
      </c>
    </row>
    <row r="154" ht="15.75" customHeight="1">
      <c r="A154" s="32" t="s">
        <v>29</v>
      </c>
      <c r="B154" s="34">
        <f t="shared" si="6"/>
        <v>44714</v>
      </c>
      <c r="C154" s="35">
        <v>6.0</v>
      </c>
      <c r="D154" s="35" t="s">
        <v>32</v>
      </c>
      <c r="E154" s="37"/>
      <c r="F154" s="23"/>
      <c r="H154" s="24"/>
      <c r="J154" s="24"/>
      <c r="L154" s="25">
        <v>82.0</v>
      </c>
      <c r="N154" s="26">
        <v>82.0</v>
      </c>
      <c r="P154" s="24"/>
      <c r="R154" s="26">
        <v>80.0</v>
      </c>
      <c r="T154" s="24"/>
      <c r="V154" s="24"/>
      <c r="W154" s="27"/>
      <c r="X154" s="23"/>
      <c r="Z154" s="24"/>
      <c r="AB154" s="24"/>
      <c r="AD154" s="24"/>
      <c r="AF154" s="24"/>
      <c r="AH154" s="24"/>
      <c r="AI154" s="27"/>
      <c r="AJ154" s="39">
        <f t="shared" si="1"/>
        <v>3175.28</v>
      </c>
      <c r="AK154" s="35">
        <f t="shared" si="2"/>
        <v>164</v>
      </c>
      <c r="AL154" s="35">
        <f t="shared" si="3"/>
        <v>80</v>
      </c>
      <c r="AM154" s="35">
        <f t="shared" si="4"/>
        <v>244</v>
      </c>
      <c r="AN154" s="40">
        <f t="shared" si="5"/>
        <v>13.01344262</v>
      </c>
    </row>
    <row r="155" ht="15.75" customHeight="1">
      <c r="A155" s="32" t="s">
        <v>30</v>
      </c>
      <c r="B155" s="34">
        <f t="shared" si="6"/>
        <v>44715</v>
      </c>
      <c r="C155" s="35">
        <v>6.0</v>
      </c>
      <c r="D155" s="35" t="s">
        <v>32</v>
      </c>
      <c r="E155" s="37"/>
      <c r="F155" s="23"/>
      <c r="H155" s="24"/>
      <c r="J155" s="24"/>
      <c r="L155" s="25">
        <v>82.0</v>
      </c>
      <c r="N155" s="26">
        <v>82.0</v>
      </c>
      <c r="P155" s="24"/>
      <c r="R155" s="26">
        <v>80.0</v>
      </c>
      <c r="T155" s="24"/>
      <c r="V155" s="24"/>
      <c r="W155" s="27"/>
      <c r="X155" s="23"/>
      <c r="Z155" s="24"/>
      <c r="AB155" s="24"/>
      <c r="AD155" s="24"/>
      <c r="AF155" s="24"/>
      <c r="AH155" s="24"/>
      <c r="AI155" s="27"/>
      <c r="AJ155" s="39">
        <f t="shared" si="1"/>
        <v>3175.28</v>
      </c>
      <c r="AK155" s="35">
        <f t="shared" si="2"/>
        <v>164</v>
      </c>
      <c r="AL155" s="35">
        <f t="shared" si="3"/>
        <v>80</v>
      </c>
      <c r="AM155" s="35">
        <f t="shared" si="4"/>
        <v>244</v>
      </c>
      <c r="AN155" s="40">
        <f t="shared" si="5"/>
        <v>13.01344262</v>
      </c>
    </row>
    <row r="156" ht="15.75" customHeight="1">
      <c r="A156" s="48" t="s">
        <v>31</v>
      </c>
      <c r="B156" s="50">
        <f t="shared" si="6"/>
        <v>44716</v>
      </c>
      <c r="C156" s="51">
        <v>6.0</v>
      </c>
      <c r="D156" s="51" t="s">
        <v>32</v>
      </c>
      <c r="E156" s="53"/>
      <c r="F156" s="54"/>
      <c r="G156" s="56"/>
      <c r="H156" s="57"/>
      <c r="I156" s="56"/>
      <c r="J156" s="57"/>
      <c r="K156" s="56"/>
      <c r="L156" s="58">
        <v>82.0</v>
      </c>
      <c r="M156" s="56"/>
      <c r="N156" s="59">
        <v>82.0</v>
      </c>
      <c r="O156" s="56"/>
      <c r="P156" s="57"/>
      <c r="Q156" s="56"/>
      <c r="R156" s="59"/>
      <c r="S156" s="56"/>
      <c r="T156" s="57"/>
      <c r="U156" s="56"/>
      <c r="V156" s="57"/>
      <c r="W156" s="60"/>
      <c r="X156" s="54"/>
      <c r="Y156" s="56"/>
      <c r="Z156" s="57"/>
      <c r="AA156" s="56"/>
      <c r="AB156" s="57"/>
      <c r="AC156" s="56"/>
      <c r="AD156" s="57"/>
      <c r="AE156" s="56"/>
      <c r="AF156" s="57"/>
      <c r="AG156" s="56"/>
      <c r="AH156" s="57"/>
      <c r="AI156" s="60"/>
      <c r="AJ156" s="61">
        <f t="shared" si="1"/>
        <v>2660.08</v>
      </c>
      <c r="AK156" s="51">
        <f t="shared" si="2"/>
        <v>164</v>
      </c>
      <c r="AL156" s="51" t="str">
        <f t="shared" si="3"/>
        <v/>
      </c>
      <c r="AM156" s="51">
        <f t="shared" si="4"/>
        <v>164</v>
      </c>
      <c r="AN156" s="63">
        <f t="shared" si="5"/>
        <v>16.22</v>
      </c>
    </row>
    <row r="157" ht="15.75" customHeight="1">
      <c r="A157" s="18" t="s">
        <v>20</v>
      </c>
      <c r="B157" s="64">
        <f t="shared" si="6"/>
        <v>44717</v>
      </c>
      <c r="C157" s="20">
        <v>6.0</v>
      </c>
      <c r="D157" s="20" t="s">
        <v>33</v>
      </c>
      <c r="E157" s="85" t="s">
        <v>35</v>
      </c>
      <c r="F157" s="23"/>
      <c r="H157" s="24"/>
      <c r="J157" s="24"/>
      <c r="L157" s="25">
        <v>82.0</v>
      </c>
      <c r="N157" s="26">
        <v>82.0</v>
      </c>
      <c r="P157" s="86"/>
      <c r="R157" s="26">
        <v>80.0</v>
      </c>
      <c r="T157" s="24"/>
      <c r="V157" s="24"/>
      <c r="W157" s="27"/>
      <c r="X157" s="23"/>
      <c r="Z157" s="24"/>
      <c r="AB157" s="24"/>
      <c r="AD157" s="24"/>
      <c r="AF157" s="24"/>
      <c r="AH157" s="24"/>
      <c r="AI157" s="27"/>
      <c r="AJ157" s="28">
        <f t="shared" si="1"/>
        <v>3175.28</v>
      </c>
      <c r="AK157" s="20">
        <f t="shared" si="2"/>
        <v>164</v>
      </c>
      <c r="AL157" s="20">
        <f t="shared" si="3"/>
        <v>80</v>
      </c>
      <c r="AM157" s="20">
        <f t="shared" si="4"/>
        <v>244</v>
      </c>
      <c r="AN157" s="31">
        <f t="shared" si="5"/>
        <v>13.01344262</v>
      </c>
    </row>
    <row r="158" ht="15.75" customHeight="1">
      <c r="A158" s="32" t="s">
        <v>22</v>
      </c>
      <c r="B158" s="34">
        <f t="shared" si="6"/>
        <v>44718</v>
      </c>
      <c r="C158" s="35">
        <v>6.0</v>
      </c>
      <c r="D158" s="35" t="s">
        <v>33</v>
      </c>
      <c r="E158" s="87" t="s">
        <v>35</v>
      </c>
      <c r="F158" s="23"/>
      <c r="H158" s="24"/>
      <c r="J158" s="24"/>
      <c r="L158" s="25">
        <v>69.0</v>
      </c>
      <c r="N158" s="26">
        <v>69.0</v>
      </c>
      <c r="P158" s="86"/>
      <c r="R158" s="26">
        <v>80.0</v>
      </c>
      <c r="T158" s="24"/>
      <c r="V158" s="24"/>
      <c r="W158" s="27"/>
      <c r="X158" s="23"/>
      <c r="Z158" s="24"/>
      <c r="AB158" s="24"/>
      <c r="AD158" s="24"/>
      <c r="AF158" s="24"/>
      <c r="AH158" s="24"/>
      <c r="AI158" s="27"/>
      <c r="AJ158" s="39">
        <f t="shared" si="1"/>
        <v>2753.56</v>
      </c>
      <c r="AK158" s="35">
        <f t="shared" si="2"/>
        <v>138</v>
      </c>
      <c r="AL158" s="35">
        <f t="shared" si="3"/>
        <v>80</v>
      </c>
      <c r="AM158" s="35">
        <f t="shared" si="4"/>
        <v>218</v>
      </c>
      <c r="AN158" s="40">
        <f t="shared" si="5"/>
        <v>12.63100917</v>
      </c>
    </row>
    <row r="159" ht="15.75" customHeight="1">
      <c r="A159" s="32" t="s">
        <v>24</v>
      </c>
      <c r="B159" s="34">
        <f t="shared" si="6"/>
        <v>44719</v>
      </c>
      <c r="C159" s="35">
        <v>6.0</v>
      </c>
      <c r="D159" s="35" t="s">
        <v>33</v>
      </c>
      <c r="E159" s="87" t="s">
        <v>35</v>
      </c>
      <c r="F159" s="23"/>
      <c r="H159" s="24"/>
      <c r="J159" s="24"/>
      <c r="L159" s="25">
        <v>69.0</v>
      </c>
      <c r="N159" s="26">
        <v>69.0</v>
      </c>
      <c r="P159" s="86"/>
      <c r="R159" s="26">
        <v>80.0</v>
      </c>
      <c r="T159" s="24"/>
      <c r="V159" s="24"/>
      <c r="W159" s="27"/>
      <c r="X159" s="23"/>
      <c r="Z159" s="24"/>
      <c r="AB159" s="24"/>
      <c r="AD159" s="24"/>
      <c r="AF159" s="24"/>
      <c r="AH159" s="24"/>
      <c r="AI159" s="27"/>
      <c r="AJ159" s="39">
        <f t="shared" si="1"/>
        <v>2753.56</v>
      </c>
      <c r="AK159" s="35">
        <f t="shared" si="2"/>
        <v>138</v>
      </c>
      <c r="AL159" s="35">
        <f t="shared" si="3"/>
        <v>80</v>
      </c>
      <c r="AM159" s="35">
        <f t="shared" si="4"/>
        <v>218</v>
      </c>
      <c r="AN159" s="40">
        <f t="shared" si="5"/>
        <v>12.63100917</v>
      </c>
    </row>
    <row r="160" ht="15.75" customHeight="1">
      <c r="A160" s="32" t="s">
        <v>28</v>
      </c>
      <c r="B160" s="34">
        <f t="shared" si="6"/>
        <v>44720</v>
      </c>
      <c r="C160" s="35">
        <v>6.0</v>
      </c>
      <c r="D160" s="35" t="s">
        <v>33</v>
      </c>
      <c r="E160" s="87" t="s">
        <v>35</v>
      </c>
      <c r="F160" s="23"/>
      <c r="H160" s="24"/>
      <c r="J160" s="24"/>
      <c r="L160" s="25">
        <v>69.0</v>
      </c>
      <c r="N160" s="26">
        <v>69.0</v>
      </c>
      <c r="P160" s="86"/>
      <c r="R160" s="26">
        <v>80.0</v>
      </c>
      <c r="T160" s="24"/>
      <c r="V160" s="24"/>
      <c r="W160" s="27"/>
      <c r="X160" s="23"/>
      <c r="Z160" s="24"/>
      <c r="AB160" s="24"/>
      <c r="AD160" s="24"/>
      <c r="AF160" s="24"/>
      <c r="AH160" s="24"/>
      <c r="AI160" s="27"/>
      <c r="AJ160" s="39">
        <f t="shared" si="1"/>
        <v>2753.56</v>
      </c>
      <c r="AK160" s="35">
        <f t="shared" si="2"/>
        <v>138</v>
      </c>
      <c r="AL160" s="35">
        <f t="shared" si="3"/>
        <v>80</v>
      </c>
      <c r="AM160" s="35">
        <f t="shared" si="4"/>
        <v>218</v>
      </c>
      <c r="AN160" s="40">
        <f t="shared" si="5"/>
        <v>12.63100917</v>
      </c>
    </row>
    <row r="161" ht="15.75" customHeight="1">
      <c r="A161" s="32" t="s">
        <v>29</v>
      </c>
      <c r="B161" s="34">
        <f t="shared" si="6"/>
        <v>44721</v>
      </c>
      <c r="C161" s="35">
        <v>6.0</v>
      </c>
      <c r="D161" s="35" t="s">
        <v>33</v>
      </c>
      <c r="E161" s="87" t="s">
        <v>35</v>
      </c>
      <c r="F161" s="23"/>
      <c r="H161" s="24"/>
      <c r="J161" s="24"/>
      <c r="L161" s="25">
        <v>69.0</v>
      </c>
      <c r="N161" s="26">
        <v>69.0</v>
      </c>
      <c r="P161" s="86"/>
      <c r="R161" s="26">
        <v>80.0</v>
      </c>
      <c r="T161" s="24"/>
      <c r="V161" s="24"/>
      <c r="W161" s="27"/>
      <c r="X161" s="23"/>
      <c r="Z161" s="24"/>
      <c r="AB161" s="24"/>
      <c r="AD161" s="24"/>
      <c r="AF161" s="24"/>
      <c r="AH161" s="24"/>
      <c r="AI161" s="27"/>
      <c r="AJ161" s="39">
        <f t="shared" si="1"/>
        <v>2753.56</v>
      </c>
      <c r="AK161" s="35">
        <f t="shared" si="2"/>
        <v>138</v>
      </c>
      <c r="AL161" s="35">
        <f t="shared" si="3"/>
        <v>80</v>
      </c>
      <c r="AM161" s="35">
        <f t="shared" si="4"/>
        <v>218</v>
      </c>
      <c r="AN161" s="40">
        <f t="shared" si="5"/>
        <v>12.63100917</v>
      </c>
    </row>
    <row r="162" ht="15.75" customHeight="1">
      <c r="A162" s="32" t="s">
        <v>30</v>
      </c>
      <c r="B162" s="34">
        <f t="shared" si="6"/>
        <v>44722</v>
      </c>
      <c r="C162" s="35">
        <v>6.0</v>
      </c>
      <c r="D162" s="35" t="s">
        <v>33</v>
      </c>
      <c r="E162" s="87" t="s">
        <v>35</v>
      </c>
      <c r="F162" s="23"/>
      <c r="H162" s="24"/>
      <c r="J162" s="24"/>
      <c r="L162" s="25">
        <v>69.0</v>
      </c>
      <c r="N162" s="26">
        <v>69.0</v>
      </c>
      <c r="P162" s="86"/>
      <c r="R162" s="26">
        <v>80.0</v>
      </c>
      <c r="T162" s="24"/>
      <c r="V162" s="24"/>
      <c r="W162" s="27"/>
      <c r="X162" s="23"/>
      <c r="Z162" s="24"/>
      <c r="AB162" s="24"/>
      <c r="AD162" s="24"/>
      <c r="AF162" s="24"/>
      <c r="AH162" s="24"/>
      <c r="AI162" s="27"/>
      <c r="AJ162" s="39">
        <f t="shared" si="1"/>
        <v>2753.56</v>
      </c>
      <c r="AK162" s="35">
        <f t="shared" si="2"/>
        <v>138</v>
      </c>
      <c r="AL162" s="35">
        <f t="shared" si="3"/>
        <v>80</v>
      </c>
      <c r="AM162" s="35">
        <f t="shared" si="4"/>
        <v>218</v>
      </c>
      <c r="AN162" s="40">
        <f t="shared" si="5"/>
        <v>12.63100917</v>
      </c>
    </row>
    <row r="163" ht="15.75" customHeight="1">
      <c r="A163" s="48" t="s">
        <v>31</v>
      </c>
      <c r="B163" s="50">
        <f t="shared" si="6"/>
        <v>44723</v>
      </c>
      <c r="C163" s="51">
        <v>6.0</v>
      </c>
      <c r="D163" s="51" t="s">
        <v>33</v>
      </c>
      <c r="E163" s="88" t="s">
        <v>35</v>
      </c>
      <c r="F163" s="54"/>
      <c r="G163" s="56"/>
      <c r="H163" s="57"/>
      <c r="I163" s="56"/>
      <c r="J163" s="57"/>
      <c r="K163" s="56"/>
      <c r="L163" s="58">
        <v>69.0</v>
      </c>
      <c r="M163" s="56"/>
      <c r="N163" s="59">
        <v>69.0</v>
      </c>
      <c r="O163" s="56"/>
      <c r="P163" s="89"/>
      <c r="Q163" s="56"/>
      <c r="R163" s="59"/>
      <c r="S163" s="56"/>
      <c r="T163" s="57"/>
      <c r="U163" s="56"/>
      <c r="V163" s="57"/>
      <c r="W163" s="60"/>
      <c r="X163" s="54"/>
      <c r="Y163" s="56"/>
      <c r="Z163" s="57"/>
      <c r="AA163" s="56"/>
      <c r="AB163" s="57"/>
      <c r="AC163" s="56"/>
      <c r="AD163" s="57"/>
      <c r="AE163" s="56"/>
      <c r="AF163" s="57"/>
      <c r="AG163" s="56"/>
      <c r="AH163" s="57"/>
      <c r="AI163" s="60"/>
      <c r="AJ163" s="61">
        <f t="shared" si="1"/>
        <v>2238.36</v>
      </c>
      <c r="AK163" s="51">
        <f t="shared" si="2"/>
        <v>138</v>
      </c>
      <c r="AL163" s="51" t="str">
        <f t="shared" si="3"/>
        <v/>
      </c>
      <c r="AM163" s="51">
        <f t="shared" si="4"/>
        <v>138</v>
      </c>
      <c r="AN163" s="63">
        <f t="shared" si="5"/>
        <v>16.22</v>
      </c>
    </row>
    <row r="164" ht="15.75" customHeight="1">
      <c r="A164" s="18" t="s">
        <v>20</v>
      </c>
      <c r="B164" s="64">
        <f t="shared" si="6"/>
        <v>44724</v>
      </c>
      <c r="C164" s="20">
        <v>6.0</v>
      </c>
      <c r="D164" s="20" t="s">
        <v>34</v>
      </c>
      <c r="E164" s="90" t="s">
        <v>35</v>
      </c>
      <c r="F164" s="23"/>
      <c r="H164" s="24"/>
      <c r="J164" s="24"/>
      <c r="L164" s="25">
        <v>69.0</v>
      </c>
      <c r="N164" s="26">
        <v>69.0</v>
      </c>
      <c r="P164" s="86"/>
      <c r="R164" s="26">
        <v>80.0</v>
      </c>
      <c r="T164" s="24"/>
      <c r="V164" s="24"/>
      <c r="W164" s="27"/>
      <c r="X164" s="23"/>
      <c r="Z164" s="24"/>
      <c r="AB164" s="24"/>
      <c r="AD164" s="24"/>
      <c r="AF164" s="24"/>
      <c r="AH164" s="24"/>
      <c r="AI164" s="27"/>
      <c r="AJ164" s="28">
        <f t="shared" si="1"/>
        <v>2753.56</v>
      </c>
      <c r="AK164" s="20">
        <f t="shared" si="2"/>
        <v>138</v>
      </c>
      <c r="AL164" s="20">
        <f t="shared" si="3"/>
        <v>80</v>
      </c>
      <c r="AM164" s="20">
        <f t="shared" si="4"/>
        <v>218</v>
      </c>
      <c r="AN164" s="31">
        <f t="shared" si="5"/>
        <v>12.63100917</v>
      </c>
    </row>
    <row r="165" ht="15.75" customHeight="1">
      <c r="A165" s="32" t="s">
        <v>22</v>
      </c>
      <c r="B165" s="34">
        <f t="shared" si="6"/>
        <v>44725</v>
      </c>
      <c r="C165" s="35">
        <v>6.0</v>
      </c>
      <c r="D165" s="35" t="s">
        <v>34</v>
      </c>
      <c r="E165" s="87" t="s">
        <v>35</v>
      </c>
      <c r="F165" s="23"/>
      <c r="H165" s="24"/>
      <c r="J165" s="24"/>
      <c r="L165" s="25">
        <v>69.0</v>
      </c>
      <c r="N165" s="26">
        <v>69.0</v>
      </c>
      <c r="P165" s="86"/>
      <c r="R165" s="26">
        <v>80.0</v>
      </c>
      <c r="T165" s="24"/>
      <c r="V165" s="24"/>
      <c r="W165" s="27"/>
      <c r="X165" s="23"/>
      <c r="Z165" s="24"/>
      <c r="AB165" s="24"/>
      <c r="AD165" s="24"/>
      <c r="AF165" s="24"/>
      <c r="AH165" s="24"/>
      <c r="AI165" s="27"/>
      <c r="AJ165" s="39">
        <f t="shared" si="1"/>
        <v>2753.56</v>
      </c>
      <c r="AK165" s="35">
        <f t="shared" si="2"/>
        <v>138</v>
      </c>
      <c r="AL165" s="35">
        <f t="shared" si="3"/>
        <v>80</v>
      </c>
      <c r="AM165" s="35">
        <f t="shared" si="4"/>
        <v>218</v>
      </c>
      <c r="AN165" s="40">
        <f t="shared" si="5"/>
        <v>12.63100917</v>
      </c>
    </row>
    <row r="166" ht="15.75" customHeight="1">
      <c r="A166" s="32" t="s">
        <v>24</v>
      </c>
      <c r="B166" s="34">
        <f t="shared" si="6"/>
        <v>44726</v>
      </c>
      <c r="C166" s="35">
        <v>6.0</v>
      </c>
      <c r="D166" s="35" t="s">
        <v>34</v>
      </c>
      <c r="E166" s="87" t="s">
        <v>35</v>
      </c>
      <c r="F166" s="23"/>
      <c r="H166" s="24"/>
      <c r="J166" s="24"/>
      <c r="L166" s="25">
        <v>69.0</v>
      </c>
      <c r="N166" s="26">
        <v>69.0</v>
      </c>
      <c r="P166" s="86"/>
      <c r="R166" s="26">
        <v>80.0</v>
      </c>
      <c r="T166" s="24"/>
      <c r="V166" s="24"/>
      <c r="W166" s="27"/>
      <c r="X166" s="23"/>
      <c r="Z166" s="24"/>
      <c r="AB166" s="24"/>
      <c r="AD166" s="24"/>
      <c r="AF166" s="24"/>
      <c r="AH166" s="24"/>
      <c r="AI166" s="27"/>
      <c r="AJ166" s="39">
        <f t="shared" si="1"/>
        <v>2753.56</v>
      </c>
      <c r="AK166" s="35">
        <f t="shared" si="2"/>
        <v>138</v>
      </c>
      <c r="AL166" s="35">
        <f t="shared" si="3"/>
        <v>80</v>
      </c>
      <c r="AM166" s="35">
        <f t="shared" si="4"/>
        <v>218</v>
      </c>
      <c r="AN166" s="40">
        <f t="shared" si="5"/>
        <v>12.63100917</v>
      </c>
    </row>
    <row r="167" ht="15.75" customHeight="1">
      <c r="A167" s="32" t="s">
        <v>28</v>
      </c>
      <c r="B167" s="34">
        <f t="shared" si="6"/>
        <v>44727</v>
      </c>
      <c r="C167" s="35">
        <v>6.0</v>
      </c>
      <c r="D167" s="35" t="s">
        <v>34</v>
      </c>
      <c r="E167" s="87" t="s">
        <v>35</v>
      </c>
      <c r="F167" s="23"/>
      <c r="H167" s="24"/>
      <c r="J167" s="24"/>
      <c r="L167" s="25">
        <v>69.0</v>
      </c>
      <c r="N167" s="26">
        <v>69.0</v>
      </c>
      <c r="P167" s="86"/>
      <c r="R167" s="26">
        <v>80.0</v>
      </c>
      <c r="T167" s="24"/>
      <c r="V167" s="24"/>
      <c r="W167" s="27"/>
      <c r="X167" s="23"/>
      <c r="Z167" s="24"/>
      <c r="AB167" s="24"/>
      <c r="AD167" s="24"/>
      <c r="AF167" s="24"/>
      <c r="AH167" s="24"/>
      <c r="AI167" s="27"/>
      <c r="AJ167" s="39">
        <f t="shared" si="1"/>
        <v>2753.56</v>
      </c>
      <c r="AK167" s="35">
        <f t="shared" si="2"/>
        <v>138</v>
      </c>
      <c r="AL167" s="35">
        <f t="shared" si="3"/>
        <v>80</v>
      </c>
      <c r="AM167" s="35">
        <f t="shared" si="4"/>
        <v>218</v>
      </c>
      <c r="AN167" s="40">
        <f t="shared" si="5"/>
        <v>12.63100917</v>
      </c>
    </row>
    <row r="168" ht="15.75" customHeight="1">
      <c r="A168" s="32" t="s">
        <v>29</v>
      </c>
      <c r="B168" s="34">
        <f t="shared" si="6"/>
        <v>44728</v>
      </c>
      <c r="C168" s="35">
        <v>6.0</v>
      </c>
      <c r="D168" s="35" t="s">
        <v>34</v>
      </c>
      <c r="E168" s="87" t="s">
        <v>35</v>
      </c>
      <c r="F168" s="23"/>
      <c r="H168" s="24"/>
      <c r="J168" s="24"/>
      <c r="L168" s="25">
        <v>69.0</v>
      </c>
      <c r="N168" s="26">
        <v>69.0</v>
      </c>
      <c r="P168" s="86"/>
      <c r="R168" s="26">
        <v>80.0</v>
      </c>
      <c r="T168" s="24"/>
      <c r="V168" s="24"/>
      <c r="W168" s="27"/>
      <c r="X168" s="23"/>
      <c r="Z168" s="24"/>
      <c r="AB168" s="24"/>
      <c r="AD168" s="24"/>
      <c r="AF168" s="24"/>
      <c r="AH168" s="24"/>
      <c r="AI168" s="27"/>
      <c r="AJ168" s="39">
        <f t="shared" si="1"/>
        <v>2753.56</v>
      </c>
      <c r="AK168" s="35">
        <f t="shared" si="2"/>
        <v>138</v>
      </c>
      <c r="AL168" s="35">
        <f t="shared" si="3"/>
        <v>80</v>
      </c>
      <c r="AM168" s="35">
        <f t="shared" si="4"/>
        <v>218</v>
      </c>
      <c r="AN168" s="40">
        <f t="shared" si="5"/>
        <v>12.63100917</v>
      </c>
    </row>
    <row r="169" ht="15.75" customHeight="1">
      <c r="A169" s="32" t="s">
        <v>30</v>
      </c>
      <c r="B169" s="34">
        <f t="shared" si="6"/>
        <v>44729</v>
      </c>
      <c r="C169" s="35">
        <v>6.0</v>
      </c>
      <c r="D169" s="35" t="s">
        <v>34</v>
      </c>
      <c r="E169" s="87" t="s">
        <v>35</v>
      </c>
      <c r="F169" s="23"/>
      <c r="H169" s="24"/>
      <c r="J169" s="24"/>
      <c r="L169" s="25">
        <v>69.0</v>
      </c>
      <c r="N169" s="26">
        <v>69.0</v>
      </c>
      <c r="P169" s="86"/>
      <c r="R169" s="26">
        <v>80.0</v>
      </c>
      <c r="T169" s="24"/>
      <c r="V169" s="24"/>
      <c r="W169" s="27"/>
      <c r="X169" s="23"/>
      <c r="Z169" s="24"/>
      <c r="AB169" s="24"/>
      <c r="AD169" s="24"/>
      <c r="AF169" s="24"/>
      <c r="AH169" s="24"/>
      <c r="AI169" s="27"/>
      <c r="AJ169" s="39">
        <f t="shared" si="1"/>
        <v>2753.56</v>
      </c>
      <c r="AK169" s="35">
        <f t="shared" si="2"/>
        <v>138</v>
      </c>
      <c r="AL169" s="35">
        <f t="shared" si="3"/>
        <v>80</v>
      </c>
      <c r="AM169" s="35">
        <f t="shared" si="4"/>
        <v>218</v>
      </c>
      <c r="AN169" s="40">
        <f t="shared" si="5"/>
        <v>12.63100917</v>
      </c>
    </row>
    <row r="170" ht="15.75" customHeight="1">
      <c r="A170" s="48" t="s">
        <v>31</v>
      </c>
      <c r="B170" s="50">
        <f t="shared" si="6"/>
        <v>44730</v>
      </c>
      <c r="C170" s="51">
        <v>6.0</v>
      </c>
      <c r="D170" s="51" t="s">
        <v>34</v>
      </c>
      <c r="E170" s="88" t="s">
        <v>35</v>
      </c>
      <c r="F170" s="54"/>
      <c r="G170" s="56"/>
      <c r="H170" s="57"/>
      <c r="I170" s="56"/>
      <c r="J170" s="57"/>
      <c r="K170" s="56"/>
      <c r="L170" s="58">
        <v>69.0</v>
      </c>
      <c r="M170" s="56"/>
      <c r="N170" s="59">
        <v>69.0</v>
      </c>
      <c r="O170" s="56"/>
      <c r="P170" s="89"/>
      <c r="Q170" s="56"/>
      <c r="R170" s="59"/>
      <c r="S170" s="56"/>
      <c r="T170" s="57"/>
      <c r="U170" s="56"/>
      <c r="V170" s="57"/>
      <c r="W170" s="60"/>
      <c r="X170" s="54"/>
      <c r="Y170" s="56"/>
      <c r="Z170" s="57"/>
      <c r="AA170" s="56"/>
      <c r="AB170" s="57"/>
      <c r="AC170" s="56"/>
      <c r="AD170" s="57"/>
      <c r="AE170" s="56"/>
      <c r="AF170" s="57"/>
      <c r="AG170" s="56"/>
      <c r="AH170" s="57"/>
      <c r="AI170" s="60"/>
      <c r="AJ170" s="61">
        <f t="shared" si="1"/>
        <v>2238.36</v>
      </c>
      <c r="AK170" s="51">
        <f t="shared" si="2"/>
        <v>138</v>
      </c>
      <c r="AL170" s="51" t="str">
        <f t="shared" si="3"/>
        <v/>
      </c>
      <c r="AM170" s="51">
        <f t="shared" si="4"/>
        <v>138</v>
      </c>
      <c r="AN170" s="63">
        <f t="shared" si="5"/>
        <v>16.22</v>
      </c>
    </row>
    <row r="171" ht="15.75" customHeight="1">
      <c r="A171" s="18" t="s">
        <v>20</v>
      </c>
      <c r="B171" s="64">
        <f t="shared" si="6"/>
        <v>44731</v>
      </c>
      <c r="C171" s="20">
        <v>7.0</v>
      </c>
      <c r="D171" s="20" t="s">
        <v>21</v>
      </c>
      <c r="E171" s="90" t="s">
        <v>35</v>
      </c>
      <c r="F171" s="23"/>
      <c r="H171" s="24"/>
      <c r="J171" s="24"/>
      <c r="L171" s="25">
        <v>69.0</v>
      </c>
      <c r="N171" s="26">
        <v>69.0</v>
      </c>
      <c r="P171" s="86"/>
      <c r="R171" s="26">
        <v>80.0</v>
      </c>
      <c r="T171" s="24"/>
      <c r="V171" s="24"/>
      <c r="W171" s="27"/>
      <c r="X171" s="23"/>
      <c r="Z171" s="24"/>
      <c r="AB171" s="24"/>
      <c r="AD171" s="24"/>
      <c r="AF171" s="24"/>
      <c r="AH171" s="24"/>
      <c r="AI171" s="27"/>
      <c r="AJ171" s="28">
        <f t="shared" si="1"/>
        <v>2753.56</v>
      </c>
      <c r="AK171" s="20">
        <f t="shared" si="2"/>
        <v>138</v>
      </c>
      <c r="AL171" s="20">
        <f t="shared" si="3"/>
        <v>80</v>
      </c>
      <c r="AM171" s="20">
        <f t="shared" si="4"/>
        <v>218</v>
      </c>
      <c r="AN171" s="31">
        <f t="shared" si="5"/>
        <v>12.63100917</v>
      </c>
    </row>
    <row r="172" ht="15.75" customHeight="1">
      <c r="A172" s="32" t="s">
        <v>22</v>
      </c>
      <c r="B172" s="34">
        <f t="shared" si="6"/>
        <v>44732</v>
      </c>
      <c r="C172" s="35">
        <v>7.0</v>
      </c>
      <c r="D172" s="35" t="s">
        <v>21</v>
      </c>
      <c r="E172" s="87" t="s">
        <v>35</v>
      </c>
      <c r="F172" s="23"/>
      <c r="H172" s="24"/>
      <c r="J172" s="24"/>
      <c r="L172" s="25">
        <v>69.0</v>
      </c>
      <c r="N172" s="26">
        <v>69.0</v>
      </c>
      <c r="P172" s="86"/>
      <c r="R172" s="26">
        <v>80.0</v>
      </c>
      <c r="T172" s="24"/>
      <c r="V172" s="24"/>
      <c r="W172" s="27"/>
      <c r="X172" s="23"/>
      <c r="Z172" s="24"/>
      <c r="AB172" s="24"/>
      <c r="AD172" s="24"/>
      <c r="AF172" s="24"/>
      <c r="AH172" s="24"/>
      <c r="AI172" s="27"/>
      <c r="AJ172" s="39">
        <f t="shared" si="1"/>
        <v>2753.56</v>
      </c>
      <c r="AK172" s="35">
        <f t="shared" si="2"/>
        <v>138</v>
      </c>
      <c r="AL172" s="35">
        <f t="shared" si="3"/>
        <v>80</v>
      </c>
      <c r="AM172" s="35">
        <f t="shared" si="4"/>
        <v>218</v>
      </c>
      <c r="AN172" s="40">
        <f t="shared" si="5"/>
        <v>12.63100917</v>
      </c>
    </row>
    <row r="173" ht="15.75" customHeight="1">
      <c r="A173" s="32" t="s">
        <v>24</v>
      </c>
      <c r="B173" s="34">
        <f t="shared" si="6"/>
        <v>44733</v>
      </c>
      <c r="C173" s="35">
        <v>7.0</v>
      </c>
      <c r="D173" s="35" t="s">
        <v>21</v>
      </c>
      <c r="E173" s="87" t="s">
        <v>35</v>
      </c>
      <c r="F173" s="23"/>
      <c r="H173" s="24"/>
      <c r="J173" s="24"/>
      <c r="L173" s="25">
        <v>69.0</v>
      </c>
      <c r="N173" s="26">
        <v>69.0</v>
      </c>
      <c r="P173" s="86"/>
      <c r="R173" s="26">
        <v>80.0</v>
      </c>
      <c r="T173" s="24"/>
      <c r="V173" s="24"/>
      <c r="W173" s="27"/>
      <c r="X173" s="23"/>
      <c r="Z173" s="24"/>
      <c r="AB173" s="24"/>
      <c r="AD173" s="24"/>
      <c r="AF173" s="24"/>
      <c r="AH173" s="24"/>
      <c r="AI173" s="27"/>
      <c r="AJ173" s="39">
        <f t="shared" si="1"/>
        <v>2753.56</v>
      </c>
      <c r="AK173" s="35">
        <f t="shared" si="2"/>
        <v>138</v>
      </c>
      <c r="AL173" s="35">
        <f t="shared" si="3"/>
        <v>80</v>
      </c>
      <c r="AM173" s="35">
        <f t="shared" si="4"/>
        <v>218</v>
      </c>
      <c r="AN173" s="40">
        <f t="shared" si="5"/>
        <v>12.63100917</v>
      </c>
    </row>
    <row r="174" ht="15.75" customHeight="1">
      <c r="A174" s="32" t="s">
        <v>28</v>
      </c>
      <c r="B174" s="34">
        <f t="shared" si="6"/>
        <v>44734</v>
      </c>
      <c r="C174" s="35">
        <v>7.0</v>
      </c>
      <c r="D174" s="35" t="s">
        <v>21</v>
      </c>
      <c r="E174" s="87" t="s">
        <v>35</v>
      </c>
      <c r="F174" s="23"/>
      <c r="H174" s="24"/>
      <c r="J174" s="24"/>
      <c r="L174" s="25">
        <v>69.0</v>
      </c>
      <c r="N174" s="26">
        <v>69.0</v>
      </c>
      <c r="P174" s="86"/>
      <c r="R174" s="26">
        <v>80.0</v>
      </c>
      <c r="T174" s="24"/>
      <c r="V174" s="24"/>
      <c r="W174" s="27"/>
      <c r="X174" s="23"/>
      <c r="Z174" s="24"/>
      <c r="AB174" s="24"/>
      <c r="AD174" s="24"/>
      <c r="AF174" s="24"/>
      <c r="AH174" s="24"/>
      <c r="AI174" s="27"/>
      <c r="AJ174" s="39">
        <f t="shared" si="1"/>
        <v>2753.56</v>
      </c>
      <c r="AK174" s="35">
        <f t="shared" si="2"/>
        <v>138</v>
      </c>
      <c r="AL174" s="35">
        <f t="shared" si="3"/>
        <v>80</v>
      </c>
      <c r="AM174" s="35">
        <f t="shared" si="4"/>
        <v>218</v>
      </c>
      <c r="AN174" s="40">
        <f t="shared" si="5"/>
        <v>12.63100917</v>
      </c>
    </row>
    <row r="175" ht="15.75" customHeight="1">
      <c r="A175" s="32" t="s">
        <v>29</v>
      </c>
      <c r="B175" s="34">
        <f t="shared" si="6"/>
        <v>44735</v>
      </c>
      <c r="C175" s="35">
        <v>7.0</v>
      </c>
      <c r="D175" s="35" t="s">
        <v>21</v>
      </c>
      <c r="E175" s="87" t="s">
        <v>35</v>
      </c>
      <c r="F175" s="23"/>
      <c r="H175" s="24"/>
      <c r="J175" s="24"/>
      <c r="L175" s="25">
        <v>69.0</v>
      </c>
      <c r="N175" s="26">
        <v>69.0</v>
      </c>
      <c r="P175" s="86"/>
      <c r="R175" s="26">
        <v>80.0</v>
      </c>
      <c r="T175" s="24"/>
      <c r="V175" s="24"/>
      <c r="W175" s="27"/>
      <c r="X175" s="23"/>
      <c r="Z175" s="24"/>
      <c r="AB175" s="24"/>
      <c r="AD175" s="24"/>
      <c r="AF175" s="24"/>
      <c r="AH175" s="24"/>
      <c r="AI175" s="27"/>
      <c r="AJ175" s="39">
        <f t="shared" si="1"/>
        <v>2753.56</v>
      </c>
      <c r="AK175" s="35">
        <f t="shared" si="2"/>
        <v>138</v>
      </c>
      <c r="AL175" s="35">
        <f t="shared" si="3"/>
        <v>80</v>
      </c>
      <c r="AM175" s="35">
        <f t="shared" si="4"/>
        <v>218</v>
      </c>
      <c r="AN175" s="40">
        <f t="shared" si="5"/>
        <v>12.63100917</v>
      </c>
    </row>
    <row r="176" ht="15.75" customHeight="1">
      <c r="A176" s="32" t="s">
        <v>30</v>
      </c>
      <c r="B176" s="34">
        <f t="shared" si="6"/>
        <v>44736</v>
      </c>
      <c r="C176" s="35">
        <v>7.0</v>
      </c>
      <c r="D176" s="35" t="s">
        <v>21</v>
      </c>
      <c r="E176" s="87" t="s">
        <v>35</v>
      </c>
      <c r="F176" s="23"/>
      <c r="H176" s="24"/>
      <c r="J176" s="24"/>
      <c r="L176" s="25">
        <v>69.0</v>
      </c>
      <c r="N176" s="26">
        <v>69.0</v>
      </c>
      <c r="P176" s="86"/>
      <c r="R176" s="26">
        <v>80.0</v>
      </c>
      <c r="T176" s="24"/>
      <c r="V176" s="24"/>
      <c r="W176" s="27"/>
      <c r="X176" s="23"/>
      <c r="Z176" s="24"/>
      <c r="AB176" s="24"/>
      <c r="AD176" s="24"/>
      <c r="AF176" s="24"/>
      <c r="AH176" s="24"/>
      <c r="AI176" s="27"/>
      <c r="AJ176" s="39">
        <f t="shared" si="1"/>
        <v>2753.56</v>
      </c>
      <c r="AK176" s="35">
        <f t="shared" si="2"/>
        <v>138</v>
      </c>
      <c r="AL176" s="35">
        <f t="shared" si="3"/>
        <v>80</v>
      </c>
      <c r="AM176" s="35">
        <f t="shared" si="4"/>
        <v>218</v>
      </c>
      <c r="AN176" s="40">
        <f t="shared" si="5"/>
        <v>12.63100917</v>
      </c>
    </row>
    <row r="177" ht="15.75" customHeight="1">
      <c r="A177" s="48" t="s">
        <v>31</v>
      </c>
      <c r="B177" s="50">
        <f t="shared" si="6"/>
        <v>44737</v>
      </c>
      <c r="C177" s="51">
        <v>7.0</v>
      </c>
      <c r="D177" s="51" t="s">
        <v>21</v>
      </c>
      <c r="E177" s="88" t="s">
        <v>35</v>
      </c>
      <c r="F177" s="54"/>
      <c r="G177" s="56"/>
      <c r="H177" s="57"/>
      <c r="I177" s="56"/>
      <c r="J177" s="57"/>
      <c r="K177" s="56"/>
      <c r="L177" s="58">
        <v>69.0</v>
      </c>
      <c r="M177" s="56"/>
      <c r="N177" s="59">
        <v>69.0</v>
      </c>
      <c r="O177" s="56"/>
      <c r="P177" s="89"/>
      <c r="Q177" s="56"/>
      <c r="R177" s="59"/>
      <c r="S177" s="56"/>
      <c r="T177" s="57"/>
      <c r="U177" s="56"/>
      <c r="V177" s="57"/>
      <c r="W177" s="60"/>
      <c r="X177" s="54"/>
      <c r="Y177" s="56"/>
      <c r="Z177" s="57"/>
      <c r="AA177" s="56"/>
      <c r="AB177" s="57"/>
      <c r="AC177" s="56"/>
      <c r="AD177" s="57"/>
      <c r="AE177" s="56"/>
      <c r="AF177" s="57"/>
      <c r="AG177" s="56"/>
      <c r="AH177" s="57"/>
      <c r="AI177" s="60"/>
      <c r="AJ177" s="61">
        <f t="shared" si="1"/>
        <v>2238.36</v>
      </c>
      <c r="AK177" s="51">
        <f t="shared" si="2"/>
        <v>138</v>
      </c>
      <c r="AL177" s="51" t="str">
        <f t="shared" si="3"/>
        <v/>
      </c>
      <c r="AM177" s="51">
        <f t="shared" si="4"/>
        <v>138</v>
      </c>
      <c r="AN177" s="63">
        <f t="shared" si="5"/>
        <v>16.22</v>
      </c>
    </row>
    <row r="178" ht="15.75" customHeight="1">
      <c r="A178" s="18" t="s">
        <v>20</v>
      </c>
      <c r="B178" s="64">
        <f t="shared" si="6"/>
        <v>44738</v>
      </c>
      <c r="C178" s="20">
        <v>7.0</v>
      </c>
      <c r="D178" s="20" t="s">
        <v>32</v>
      </c>
      <c r="E178" s="90" t="s">
        <v>35</v>
      </c>
      <c r="F178" s="23"/>
      <c r="H178" s="24"/>
      <c r="J178" s="24"/>
      <c r="L178" s="25">
        <v>69.0</v>
      </c>
      <c r="N178" s="26">
        <v>69.0</v>
      </c>
      <c r="P178" s="86"/>
      <c r="R178" s="26">
        <v>80.0</v>
      </c>
      <c r="T178" s="24"/>
      <c r="V178" s="24"/>
      <c r="W178" s="27"/>
      <c r="X178" s="23"/>
      <c r="Z178" s="24"/>
      <c r="AB178" s="24"/>
      <c r="AD178" s="24"/>
      <c r="AF178" s="24"/>
      <c r="AH178" s="24"/>
      <c r="AI178" s="27"/>
      <c r="AJ178" s="28">
        <f t="shared" si="1"/>
        <v>2753.56</v>
      </c>
      <c r="AK178" s="20">
        <f t="shared" si="2"/>
        <v>138</v>
      </c>
      <c r="AL178" s="20">
        <f t="shared" si="3"/>
        <v>80</v>
      </c>
      <c r="AM178" s="20">
        <f t="shared" si="4"/>
        <v>218</v>
      </c>
      <c r="AN178" s="31">
        <f t="shared" si="5"/>
        <v>12.63100917</v>
      </c>
    </row>
    <row r="179" ht="15.75" customHeight="1">
      <c r="A179" s="32" t="s">
        <v>22</v>
      </c>
      <c r="B179" s="34">
        <f t="shared" si="6"/>
        <v>44739</v>
      </c>
      <c r="C179" s="35">
        <v>7.0</v>
      </c>
      <c r="D179" s="35" t="s">
        <v>32</v>
      </c>
      <c r="E179" s="87" t="s">
        <v>35</v>
      </c>
      <c r="F179" s="23"/>
      <c r="H179" s="24"/>
      <c r="J179" s="24"/>
      <c r="L179" s="25">
        <v>69.0</v>
      </c>
      <c r="N179" s="26">
        <v>69.0</v>
      </c>
      <c r="P179" s="86"/>
      <c r="R179" s="26">
        <v>80.0</v>
      </c>
      <c r="T179" s="24"/>
      <c r="V179" s="24"/>
      <c r="W179" s="27"/>
      <c r="X179" s="23"/>
      <c r="Z179" s="24"/>
      <c r="AB179" s="24"/>
      <c r="AD179" s="24"/>
      <c r="AF179" s="24"/>
      <c r="AH179" s="24"/>
      <c r="AI179" s="27"/>
      <c r="AJ179" s="39">
        <f t="shared" si="1"/>
        <v>2753.56</v>
      </c>
      <c r="AK179" s="35">
        <f t="shared" si="2"/>
        <v>138</v>
      </c>
      <c r="AL179" s="35">
        <f t="shared" si="3"/>
        <v>80</v>
      </c>
      <c r="AM179" s="35">
        <f t="shared" si="4"/>
        <v>218</v>
      </c>
      <c r="AN179" s="40">
        <f t="shared" si="5"/>
        <v>12.63100917</v>
      </c>
    </row>
    <row r="180" ht="15.75" customHeight="1">
      <c r="A180" s="32" t="s">
        <v>24</v>
      </c>
      <c r="B180" s="34">
        <f t="shared" si="6"/>
        <v>44740</v>
      </c>
      <c r="C180" s="35">
        <v>7.0</v>
      </c>
      <c r="D180" s="35" t="s">
        <v>32</v>
      </c>
      <c r="E180" s="87" t="s">
        <v>35</v>
      </c>
      <c r="F180" s="23"/>
      <c r="H180" s="24"/>
      <c r="J180" s="24"/>
      <c r="L180" s="25">
        <v>69.0</v>
      </c>
      <c r="N180" s="26">
        <v>69.0</v>
      </c>
      <c r="P180" s="86"/>
      <c r="R180" s="26">
        <v>80.0</v>
      </c>
      <c r="T180" s="24"/>
      <c r="V180" s="24"/>
      <c r="W180" s="27"/>
      <c r="X180" s="23"/>
      <c r="Z180" s="24"/>
      <c r="AB180" s="24"/>
      <c r="AD180" s="24"/>
      <c r="AF180" s="24"/>
      <c r="AH180" s="24"/>
      <c r="AI180" s="27"/>
      <c r="AJ180" s="39">
        <f t="shared" si="1"/>
        <v>2753.56</v>
      </c>
      <c r="AK180" s="35">
        <f t="shared" si="2"/>
        <v>138</v>
      </c>
      <c r="AL180" s="35">
        <f t="shared" si="3"/>
        <v>80</v>
      </c>
      <c r="AM180" s="35">
        <f t="shared" si="4"/>
        <v>218</v>
      </c>
      <c r="AN180" s="40">
        <f t="shared" si="5"/>
        <v>12.63100917</v>
      </c>
    </row>
    <row r="181" ht="15.75" customHeight="1">
      <c r="A181" s="32" t="s">
        <v>28</v>
      </c>
      <c r="B181" s="34">
        <f t="shared" si="6"/>
        <v>44741</v>
      </c>
      <c r="C181" s="35">
        <v>7.0</v>
      </c>
      <c r="D181" s="35" t="s">
        <v>32</v>
      </c>
      <c r="E181" s="87" t="s">
        <v>35</v>
      </c>
      <c r="F181" s="23"/>
      <c r="H181" s="24"/>
      <c r="J181" s="24"/>
      <c r="L181" s="25">
        <v>69.0</v>
      </c>
      <c r="N181" s="26">
        <v>69.0</v>
      </c>
      <c r="P181" s="86"/>
      <c r="R181" s="26">
        <v>80.0</v>
      </c>
      <c r="T181" s="24"/>
      <c r="V181" s="24"/>
      <c r="W181" s="27"/>
      <c r="X181" s="23"/>
      <c r="Z181" s="24"/>
      <c r="AB181" s="24"/>
      <c r="AD181" s="24"/>
      <c r="AF181" s="24"/>
      <c r="AH181" s="24"/>
      <c r="AI181" s="27"/>
      <c r="AJ181" s="39">
        <f t="shared" si="1"/>
        <v>2753.56</v>
      </c>
      <c r="AK181" s="35">
        <f t="shared" si="2"/>
        <v>138</v>
      </c>
      <c r="AL181" s="35">
        <f t="shared" si="3"/>
        <v>80</v>
      </c>
      <c r="AM181" s="35">
        <f t="shared" si="4"/>
        <v>218</v>
      </c>
      <c r="AN181" s="40">
        <f t="shared" si="5"/>
        <v>12.63100917</v>
      </c>
    </row>
    <row r="182" ht="15.75" customHeight="1">
      <c r="A182" s="32" t="s">
        <v>29</v>
      </c>
      <c r="B182" s="34">
        <f t="shared" si="6"/>
        <v>44742</v>
      </c>
      <c r="C182" s="35">
        <v>7.0</v>
      </c>
      <c r="D182" s="35" t="s">
        <v>32</v>
      </c>
      <c r="E182" s="87" t="s">
        <v>35</v>
      </c>
      <c r="F182" s="23"/>
      <c r="H182" s="24"/>
      <c r="J182" s="24"/>
      <c r="L182" s="25">
        <v>69.0</v>
      </c>
      <c r="N182" s="26">
        <v>69.0</v>
      </c>
      <c r="P182" s="86"/>
      <c r="R182" s="26">
        <v>80.0</v>
      </c>
      <c r="T182" s="24"/>
      <c r="V182" s="24"/>
      <c r="W182" s="27"/>
      <c r="X182" s="23"/>
      <c r="Z182" s="24"/>
      <c r="AB182" s="24"/>
      <c r="AD182" s="24"/>
      <c r="AF182" s="24"/>
      <c r="AH182" s="24"/>
      <c r="AI182" s="27"/>
      <c r="AJ182" s="39">
        <f t="shared" si="1"/>
        <v>2753.56</v>
      </c>
      <c r="AK182" s="35">
        <f t="shared" si="2"/>
        <v>138</v>
      </c>
      <c r="AL182" s="35">
        <f t="shared" si="3"/>
        <v>80</v>
      </c>
      <c r="AM182" s="35">
        <f t="shared" si="4"/>
        <v>218</v>
      </c>
      <c r="AN182" s="40">
        <f t="shared" si="5"/>
        <v>12.63100917</v>
      </c>
    </row>
    <row r="183" ht="15.75" customHeight="1">
      <c r="A183" s="32" t="s">
        <v>30</v>
      </c>
      <c r="B183" s="34">
        <f t="shared" si="6"/>
        <v>44743</v>
      </c>
      <c r="C183" s="35">
        <v>7.0</v>
      </c>
      <c r="D183" s="35" t="s">
        <v>32</v>
      </c>
      <c r="E183" s="87" t="s">
        <v>35</v>
      </c>
      <c r="F183" s="23"/>
      <c r="H183" s="24"/>
      <c r="J183" s="24"/>
      <c r="L183" s="25">
        <v>69.0</v>
      </c>
      <c r="N183" s="26">
        <v>69.0</v>
      </c>
      <c r="P183" s="86"/>
      <c r="R183" s="26">
        <v>80.0</v>
      </c>
      <c r="T183" s="24"/>
      <c r="V183" s="24"/>
      <c r="W183" s="27"/>
      <c r="X183" s="23"/>
      <c r="Z183" s="24"/>
      <c r="AB183" s="24"/>
      <c r="AD183" s="24"/>
      <c r="AF183" s="24"/>
      <c r="AH183" s="24"/>
      <c r="AI183" s="27"/>
      <c r="AJ183" s="39">
        <f t="shared" si="1"/>
        <v>2753.56</v>
      </c>
      <c r="AK183" s="35">
        <f t="shared" si="2"/>
        <v>138</v>
      </c>
      <c r="AL183" s="35">
        <f t="shared" si="3"/>
        <v>80</v>
      </c>
      <c r="AM183" s="35">
        <f t="shared" si="4"/>
        <v>218</v>
      </c>
      <c r="AN183" s="40">
        <f t="shared" si="5"/>
        <v>12.63100917</v>
      </c>
    </row>
    <row r="184" ht="15.75" customHeight="1">
      <c r="A184" s="48" t="s">
        <v>31</v>
      </c>
      <c r="B184" s="50">
        <f t="shared" si="6"/>
        <v>44744</v>
      </c>
      <c r="C184" s="51">
        <v>7.0</v>
      </c>
      <c r="D184" s="51" t="s">
        <v>32</v>
      </c>
      <c r="E184" s="88" t="s">
        <v>35</v>
      </c>
      <c r="F184" s="54"/>
      <c r="G184" s="56"/>
      <c r="H184" s="57"/>
      <c r="I184" s="56"/>
      <c r="J184" s="57"/>
      <c r="K184" s="56"/>
      <c r="L184" s="58">
        <v>69.0</v>
      </c>
      <c r="M184" s="56"/>
      <c r="N184" s="59">
        <v>69.0</v>
      </c>
      <c r="O184" s="56"/>
      <c r="P184" s="89"/>
      <c r="Q184" s="56"/>
      <c r="R184" s="59"/>
      <c r="S184" s="56"/>
      <c r="T184" s="57"/>
      <c r="U184" s="56"/>
      <c r="V184" s="57"/>
      <c r="W184" s="60"/>
      <c r="X184" s="54"/>
      <c r="Y184" s="56"/>
      <c r="Z184" s="57"/>
      <c r="AA184" s="56"/>
      <c r="AB184" s="57"/>
      <c r="AC184" s="56"/>
      <c r="AD184" s="57"/>
      <c r="AE184" s="56"/>
      <c r="AF184" s="57"/>
      <c r="AG184" s="56"/>
      <c r="AH184" s="57"/>
      <c r="AI184" s="60"/>
      <c r="AJ184" s="61">
        <f t="shared" si="1"/>
        <v>2238.36</v>
      </c>
      <c r="AK184" s="51">
        <f t="shared" si="2"/>
        <v>138</v>
      </c>
      <c r="AL184" s="51" t="str">
        <f t="shared" si="3"/>
        <v/>
      </c>
      <c r="AM184" s="51">
        <f t="shared" si="4"/>
        <v>138</v>
      </c>
      <c r="AN184" s="63">
        <f t="shared" si="5"/>
        <v>16.22</v>
      </c>
    </row>
    <row r="185" ht="15.75" customHeight="1">
      <c r="A185" s="18" t="s">
        <v>20</v>
      </c>
      <c r="B185" s="64">
        <f t="shared" si="6"/>
        <v>44745</v>
      </c>
      <c r="C185" s="20">
        <v>7.0</v>
      </c>
      <c r="D185" s="20" t="s">
        <v>33</v>
      </c>
      <c r="E185" s="90" t="s">
        <v>35</v>
      </c>
      <c r="F185" s="23"/>
      <c r="H185" s="24"/>
      <c r="J185" s="24"/>
      <c r="L185" s="25">
        <v>69.0</v>
      </c>
      <c r="N185" s="26">
        <v>69.0</v>
      </c>
      <c r="P185" s="86"/>
      <c r="R185" s="26">
        <v>80.0</v>
      </c>
      <c r="T185" s="24"/>
      <c r="V185" s="24"/>
      <c r="W185" s="27"/>
      <c r="X185" s="23"/>
      <c r="Z185" s="24"/>
      <c r="AB185" s="24"/>
      <c r="AD185" s="24"/>
      <c r="AF185" s="24"/>
      <c r="AH185" s="24"/>
      <c r="AI185" s="27"/>
      <c r="AJ185" s="28">
        <f t="shared" si="1"/>
        <v>2753.56</v>
      </c>
      <c r="AK185" s="20">
        <f t="shared" si="2"/>
        <v>138</v>
      </c>
      <c r="AL185" s="20">
        <f t="shared" si="3"/>
        <v>80</v>
      </c>
      <c r="AM185" s="20">
        <f t="shared" si="4"/>
        <v>218</v>
      </c>
      <c r="AN185" s="31">
        <f t="shared" si="5"/>
        <v>12.63100917</v>
      </c>
    </row>
    <row r="186" ht="15.75" customHeight="1">
      <c r="A186" s="32" t="s">
        <v>22</v>
      </c>
      <c r="B186" s="34">
        <f t="shared" si="6"/>
        <v>44746</v>
      </c>
      <c r="C186" s="35">
        <v>7.0</v>
      </c>
      <c r="D186" s="35" t="s">
        <v>33</v>
      </c>
      <c r="E186" s="87" t="s">
        <v>35</v>
      </c>
      <c r="F186" s="23"/>
      <c r="H186" s="24"/>
      <c r="J186" s="24"/>
      <c r="L186" s="25">
        <v>69.0</v>
      </c>
      <c r="N186" s="26">
        <v>69.0</v>
      </c>
      <c r="P186" s="86"/>
      <c r="R186" s="26">
        <v>80.0</v>
      </c>
      <c r="T186" s="24"/>
      <c r="V186" s="24"/>
      <c r="W186" s="27"/>
      <c r="X186" s="23"/>
      <c r="Z186" s="24"/>
      <c r="AB186" s="24"/>
      <c r="AD186" s="24"/>
      <c r="AF186" s="24"/>
      <c r="AH186" s="24"/>
      <c r="AI186" s="27"/>
      <c r="AJ186" s="39">
        <f t="shared" si="1"/>
        <v>2753.56</v>
      </c>
      <c r="AK186" s="35">
        <f t="shared" si="2"/>
        <v>138</v>
      </c>
      <c r="AL186" s="35">
        <f t="shared" si="3"/>
        <v>80</v>
      </c>
      <c r="AM186" s="35">
        <f t="shared" si="4"/>
        <v>218</v>
      </c>
      <c r="AN186" s="40">
        <f t="shared" si="5"/>
        <v>12.63100917</v>
      </c>
    </row>
    <row r="187" ht="15.75" customHeight="1">
      <c r="A187" s="32" t="s">
        <v>24</v>
      </c>
      <c r="B187" s="34">
        <f t="shared" si="6"/>
        <v>44747</v>
      </c>
      <c r="C187" s="35">
        <v>7.0</v>
      </c>
      <c r="D187" s="35" t="s">
        <v>33</v>
      </c>
      <c r="E187" s="87" t="s">
        <v>35</v>
      </c>
      <c r="F187" s="23"/>
      <c r="H187" s="24"/>
      <c r="J187" s="24"/>
      <c r="L187" s="25">
        <v>69.0</v>
      </c>
      <c r="N187" s="26">
        <v>69.0</v>
      </c>
      <c r="P187" s="86"/>
      <c r="R187" s="26">
        <v>80.0</v>
      </c>
      <c r="T187" s="24"/>
      <c r="V187" s="24"/>
      <c r="W187" s="27"/>
      <c r="X187" s="23"/>
      <c r="Z187" s="24"/>
      <c r="AB187" s="24"/>
      <c r="AD187" s="24"/>
      <c r="AF187" s="24"/>
      <c r="AH187" s="24"/>
      <c r="AI187" s="27"/>
      <c r="AJ187" s="39">
        <f t="shared" si="1"/>
        <v>2753.56</v>
      </c>
      <c r="AK187" s="35">
        <f t="shared" si="2"/>
        <v>138</v>
      </c>
      <c r="AL187" s="35">
        <f t="shared" si="3"/>
        <v>80</v>
      </c>
      <c r="AM187" s="35">
        <f t="shared" si="4"/>
        <v>218</v>
      </c>
      <c r="AN187" s="40">
        <f t="shared" si="5"/>
        <v>12.63100917</v>
      </c>
    </row>
    <row r="188" ht="15.75" customHeight="1">
      <c r="A188" s="32" t="s">
        <v>28</v>
      </c>
      <c r="B188" s="34">
        <f t="shared" si="6"/>
        <v>44748</v>
      </c>
      <c r="C188" s="35">
        <v>7.0</v>
      </c>
      <c r="D188" s="35" t="s">
        <v>33</v>
      </c>
      <c r="E188" s="87" t="s">
        <v>35</v>
      </c>
      <c r="F188" s="23"/>
      <c r="H188" s="24"/>
      <c r="J188" s="24"/>
      <c r="L188" s="25">
        <v>69.0</v>
      </c>
      <c r="N188" s="26">
        <v>69.0</v>
      </c>
      <c r="P188" s="86"/>
      <c r="R188" s="26">
        <v>80.0</v>
      </c>
      <c r="T188" s="24"/>
      <c r="V188" s="24"/>
      <c r="W188" s="27"/>
      <c r="X188" s="23"/>
      <c r="Z188" s="24"/>
      <c r="AB188" s="24"/>
      <c r="AD188" s="24"/>
      <c r="AF188" s="24"/>
      <c r="AH188" s="24"/>
      <c r="AI188" s="27"/>
      <c r="AJ188" s="39">
        <f t="shared" si="1"/>
        <v>2753.56</v>
      </c>
      <c r="AK188" s="35">
        <f t="shared" si="2"/>
        <v>138</v>
      </c>
      <c r="AL188" s="35">
        <f t="shared" si="3"/>
        <v>80</v>
      </c>
      <c r="AM188" s="35">
        <f t="shared" si="4"/>
        <v>218</v>
      </c>
      <c r="AN188" s="40">
        <f t="shared" si="5"/>
        <v>12.63100917</v>
      </c>
    </row>
    <row r="189" ht="15.75" customHeight="1">
      <c r="A189" s="32" t="s">
        <v>29</v>
      </c>
      <c r="B189" s="34">
        <f t="shared" si="6"/>
        <v>44749</v>
      </c>
      <c r="C189" s="35">
        <v>7.0</v>
      </c>
      <c r="D189" s="35" t="s">
        <v>33</v>
      </c>
      <c r="E189" s="87" t="s">
        <v>35</v>
      </c>
      <c r="F189" s="23"/>
      <c r="H189" s="24"/>
      <c r="J189" s="24"/>
      <c r="L189" s="25">
        <v>69.0</v>
      </c>
      <c r="N189" s="26">
        <v>69.0</v>
      </c>
      <c r="P189" s="86"/>
      <c r="R189" s="26">
        <v>80.0</v>
      </c>
      <c r="T189" s="24"/>
      <c r="V189" s="24"/>
      <c r="W189" s="27"/>
      <c r="X189" s="23"/>
      <c r="Z189" s="24"/>
      <c r="AB189" s="24"/>
      <c r="AD189" s="24"/>
      <c r="AF189" s="24"/>
      <c r="AH189" s="24"/>
      <c r="AI189" s="27"/>
      <c r="AJ189" s="39">
        <f t="shared" si="1"/>
        <v>2753.56</v>
      </c>
      <c r="AK189" s="35">
        <f t="shared" si="2"/>
        <v>138</v>
      </c>
      <c r="AL189" s="35">
        <f t="shared" si="3"/>
        <v>80</v>
      </c>
      <c r="AM189" s="35">
        <f t="shared" si="4"/>
        <v>218</v>
      </c>
      <c r="AN189" s="40">
        <f t="shared" si="5"/>
        <v>12.63100917</v>
      </c>
    </row>
    <row r="190" ht="15.75" customHeight="1">
      <c r="A190" s="32" t="s">
        <v>30</v>
      </c>
      <c r="B190" s="34">
        <f t="shared" si="6"/>
        <v>44750</v>
      </c>
      <c r="C190" s="35">
        <v>7.0</v>
      </c>
      <c r="D190" s="35" t="s">
        <v>33</v>
      </c>
      <c r="E190" s="87" t="s">
        <v>35</v>
      </c>
      <c r="F190" s="23"/>
      <c r="H190" s="24"/>
      <c r="J190" s="24"/>
      <c r="L190" s="25">
        <v>69.0</v>
      </c>
      <c r="N190" s="26">
        <v>69.0</v>
      </c>
      <c r="P190" s="86"/>
      <c r="R190" s="26">
        <v>80.0</v>
      </c>
      <c r="T190" s="24"/>
      <c r="V190" s="24"/>
      <c r="W190" s="27"/>
      <c r="X190" s="23"/>
      <c r="Z190" s="24"/>
      <c r="AB190" s="24"/>
      <c r="AD190" s="24"/>
      <c r="AF190" s="24"/>
      <c r="AH190" s="24"/>
      <c r="AI190" s="27"/>
      <c r="AJ190" s="39">
        <f t="shared" si="1"/>
        <v>2753.56</v>
      </c>
      <c r="AK190" s="35">
        <f t="shared" si="2"/>
        <v>138</v>
      </c>
      <c r="AL190" s="35">
        <f t="shared" si="3"/>
        <v>80</v>
      </c>
      <c r="AM190" s="35">
        <f t="shared" si="4"/>
        <v>218</v>
      </c>
      <c r="AN190" s="40">
        <f t="shared" si="5"/>
        <v>12.63100917</v>
      </c>
    </row>
    <row r="191" ht="15.75" customHeight="1">
      <c r="A191" s="48" t="s">
        <v>31</v>
      </c>
      <c r="B191" s="50">
        <f t="shared" si="6"/>
        <v>44751</v>
      </c>
      <c r="C191" s="51">
        <v>7.0</v>
      </c>
      <c r="D191" s="51" t="s">
        <v>33</v>
      </c>
      <c r="E191" s="88" t="s">
        <v>35</v>
      </c>
      <c r="F191" s="54"/>
      <c r="G191" s="56"/>
      <c r="H191" s="57"/>
      <c r="I191" s="56"/>
      <c r="J191" s="57"/>
      <c r="K191" s="56"/>
      <c r="L191" s="58">
        <v>69.0</v>
      </c>
      <c r="M191" s="56"/>
      <c r="N191" s="59">
        <v>69.0</v>
      </c>
      <c r="O191" s="56"/>
      <c r="P191" s="89"/>
      <c r="Q191" s="56"/>
      <c r="R191" s="59"/>
      <c r="S191" s="56"/>
      <c r="T191" s="57"/>
      <c r="U191" s="56"/>
      <c r="V191" s="57"/>
      <c r="W191" s="60"/>
      <c r="X191" s="54"/>
      <c r="Y191" s="56"/>
      <c r="Z191" s="57"/>
      <c r="AA191" s="56"/>
      <c r="AB191" s="57"/>
      <c r="AC191" s="56"/>
      <c r="AD191" s="57"/>
      <c r="AE191" s="56"/>
      <c r="AF191" s="57"/>
      <c r="AG191" s="56"/>
      <c r="AH191" s="57"/>
      <c r="AI191" s="60"/>
      <c r="AJ191" s="61">
        <f t="shared" si="1"/>
        <v>2238.36</v>
      </c>
      <c r="AK191" s="51">
        <f t="shared" si="2"/>
        <v>138</v>
      </c>
      <c r="AL191" s="51" t="str">
        <f t="shared" si="3"/>
        <v/>
      </c>
      <c r="AM191" s="51">
        <f t="shared" si="4"/>
        <v>138</v>
      </c>
      <c r="AN191" s="63">
        <f t="shared" si="5"/>
        <v>16.22</v>
      </c>
    </row>
    <row r="192" ht="15.75" customHeight="1">
      <c r="A192" s="18" t="s">
        <v>20</v>
      </c>
      <c r="B192" s="64">
        <f t="shared" si="6"/>
        <v>44752</v>
      </c>
      <c r="C192" s="20">
        <v>7.0</v>
      </c>
      <c r="D192" s="20" t="s">
        <v>34</v>
      </c>
      <c r="E192" s="90" t="s">
        <v>35</v>
      </c>
      <c r="F192" s="23"/>
      <c r="H192" s="24"/>
      <c r="J192" s="24"/>
      <c r="L192" s="25">
        <v>69.0</v>
      </c>
      <c r="N192" s="26">
        <v>69.0</v>
      </c>
      <c r="P192" s="86"/>
      <c r="R192" s="26">
        <v>80.0</v>
      </c>
      <c r="T192" s="24"/>
      <c r="V192" s="24"/>
      <c r="W192" s="27"/>
      <c r="X192" s="23"/>
      <c r="Z192" s="24"/>
      <c r="AB192" s="24"/>
      <c r="AD192" s="24"/>
      <c r="AF192" s="24"/>
      <c r="AH192" s="24"/>
      <c r="AI192" s="27"/>
      <c r="AJ192" s="28">
        <f t="shared" si="1"/>
        <v>2753.56</v>
      </c>
      <c r="AK192" s="20">
        <f t="shared" si="2"/>
        <v>138</v>
      </c>
      <c r="AL192" s="20">
        <f t="shared" si="3"/>
        <v>80</v>
      </c>
      <c r="AM192" s="20">
        <f t="shared" si="4"/>
        <v>218</v>
      </c>
      <c r="AN192" s="31">
        <f t="shared" si="5"/>
        <v>12.63100917</v>
      </c>
    </row>
    <row r="193" ht="15.75" customHeight="1">
      <c r="A193" s="32" t="s">
        <v>22</v>
      </c>
      <c r="B193" s="34">
        <f t="shared" si="6"/>
        <v>44753</v>
      </c>
      <c r="C193" s="35">
        <v>7.0</v>
      </c>
      <c r="D193" s="35" t="s">
        <v>34</v>
      </c>
      <c r="E193" s="87" t="s">
        <v>35</v>
      </c>
      <c r="F193" s="23"/>
      <c r="H193" s="24"/>
      <c r="J193" s="24"/>
      <c r="L193" s="25">
        <v>69.0</v>
      </c>
      <c r="N193" s="26">
        <v>69.0</v>
      </c>
      <c r="P193" s="86"/>
      <c r="R193" s="26">
        <v>80.0</v>
      </c>
      <c r="T193" s="24"/>
      <c r="V193" s="24"/>
      <c r="W193" s="27"/>
      <c r="X193" s="23"/>
      <c r="Z193" s="24"/>
      <c r="AB193" s="24"/>
      <c r="AD193" s="24"/>
      <c r="AF193" s="24"/>
      <c r="AH193" s="24"/>
      <c r="AI193" s="27"/>
      <c r="AJ193" s="39">
        <f t="shared" si="1"/>
        <v>2753.56</v>
      </c>
      <c r="AK193" s="35">
        <f t="shared" si="2"/>
        <v>138</v>
      </c>
      <c r="AL193" s="35">
        <f t="shared" si="3"/>
        <v>80</v>
      </c>
      <c r="AM193" s="35">
        <f t="shared" si="4"/>
        <v>218</v>
      </c>
      <c r="AN193" s="40">
        <f t="shared" si="5"/>
        <v>12.63100917</v>
      </c>
    </row>
    <row r="194" ht="15.75" customHeight="1">
      <c r="A194" s="32" t="s">
        <v>24</v>
      </c>
      <c r="B194" s="34">
        <f t="shared" si="6"/>
        <v>44754</v>
      </c>
      <c r="C194" s="35">
        <v>7.0</v>
      </c>
      <c r="D194" s="35" t="s">
        <v>34</v>
      </c>
      <c r="E194" s="87" t="s">
        <v>35</v>
      </c>
      <c r="F194" s="23"/>
      <c r="H194" s="24"/>
      <c r="J194" s="24"/>
      <c r="L194" s="25">
        <v>69.0</v>
      </c>
      <c r="N194" s="26">
        <v>69.0</v>
      </c>
      <c r="P194" s="86"/>
      <c r="R194" s="26">
        <v>80.0</v>
      </c>
      <c r="T194" s="24"/>
      <c r="V194" s="24"/>
      <c r="W194" s="27"/>
      <c r="X194" s="23"/>
      <c r="Z194" s="24"/>
      <c r="AB194" s="24"/>
      <c r="AD194" s="24"/>
      <c r="AF194" s="24"/>
      <c r="AH194" s="24"/>
      <c r="AI194" s="27"/>
      <c r="AJ194" s="39">
        <f t="shared" si="1"/>
        <v>2753.56</v>
      </c>
      <c r="AK194" s="35">
        <f t="shared" si="2"/>
        <v>138</v>
      </c>
      <c r="AL194" s="35">
        <f t="shared" si="3"/>
        <v>80</v>
      </c>
      <c r="AM194" s="35">
        <f t="shared" si="4"/>
        <v>218</v>
      </c>
      <c r="AN194" s="40">
        <f t="shared" si="5"/>
        <v>12.63100917</v>
      </c>
    </row>
    <row r="195" ht="15.75" customHeight="1">
      <c r="A195" s="32" t="s">
        <v>28</v>
      </c>
      <c r="B195" s="34">
        <f t="shared" si="6"/>
        <v>44755</v>
      </c>
      <c r="C195" s="35">
        <v>7.0</v>
      </c>
      <c r="D195" s="35" t="s">
        <v>34</v>
      </c>
      <c r="E195" s="87" t="s">
        <v>35</v>
      </c>
      <c r="F195" s="23"/>
      <c r="H195" s="24"/>
      <c r="J195" s="24"/>
      <c r="L195" s="25">
        <v>69.0</v>
      </c>
      <c r="N195" s="26">
        <v>69.0</v>
      </c>
      <c r="P195" s="86"/>
      <c r="R195" s="26">
        <v>80.0</v>
      </c>
      <c r="T195" s="24"/>
      <c r="V195" s="24"/>
      <c r="W195" s="27"/>
      <c r="X195" s="23"/>
      <c r="Z195" s="24"/>
      <c r="AB195" s="24"/>
      <c r="AD195" s="24"/>
      <c r="AF195" s="24"/>
      <c r="AH195" s="24"/>
      <c r="AI195" s="27"/>
      <c r="AJ195" s="39">
        <f t="shared" si="1"/>
        <v>2753.56</v>
      </c>
      <c r="AK195" s="35">
        <f t="shared" si="2"/>
        <v>138</v>
      </c>
      <c r="AL195" s="35">
        <f t="shared" si="3"/>
        <v>80</v>
      </c>
      <c r="AM195" s="35">
        <f t="shared" si="4"/>
        <v>218</v>
      </c>
      <c r="AN195" s="40">
        <f t="shared" si="5"/>
        <v>12.63100917</v>
      </c>
    </row>
    <row r="196" ht="15.75" customHeight="1">
      <c r="A196" s="32" t="s">
        <v>29</v>
      </c>
      <c r="B196" s="34">
        <f t="shared" si="6"/>
        <v>44756</v>
      </c>
      <c r="C196" s="35">
        <v>7.0</v>
      </c>
      <c r="D196" s="35" t="s">
        <v>34</v>
      </c>
      <c r="E196" s="87" t="s">
        <v>35</v>
      </c>
      <c r="F196" s="23"/>
      <c r="H196" s="24"/>
      <c r="J196" s="24"/>
      <c r="L196" s="25">
        <v>69.0</v>
      </c>
      <c r="N196" s="26">
        <v>69.0</v>
      </c>
      <c r="P196" s="86"/>
      <c r="R196" s="26">
        <v>95.0</v>
      </c>
      <c r="T196" s="24"/>
      <c r="V196" s="24"/>
      <c r="W196" s="27"/>
      <c r="X196" s="23"/>
      <c r="Z196" s="24"/>
      <c r="AB196" s="24"/>
      <c r="AD196" s="24"/>
      <c r="AF196" s="24"/>
      <c r="AH196" s="24"/>
      <c r="AI196" s="27"/>
      <c r="AJ196" s="39">
        <f t="shared" si="1"/>
        <v>2850.16</v>
      </c>
      <c r="AK196" s="35">
        <f t="shared" si="2"/>
        <v>138</v>
      </c>
      <c r="AL196" s="35">
        <f t="shared" si="3"/>
        <v>95</v>
      </c>
      <c r="AM196" s="35">
        <f t="shared" si="4"/>
        <v>233</v>
      </c>
      <c r="AN196" s="40">
        <f t="shared" si="5"/>
        <v>12.23244635</v>
      </c>
    </row>
    <row r="197" ht="15.75" customHeight="1">
      <c r="A197" s="32" t="s">
        <v>30</v>
      </c>
      <c r="B197" s="34">
        <f t="shared" si="6"/>
        <v>44757</v>
      </c>
      <c r="C197" s="35">
        <v>7.0</v>
      </c>
      <c r="D197" s="35" t="s">
        <v>34</v>
      </c>
      <c r="E197" s="87" t="s">
        <v>35</v>
      </c>
      <c r="F197" s="23"/>
      <c r="H197" s="24"/>
      <c r="J197" s="24"/>
      <c r="L197" s="25">
        <v>69.0</v>
      </c>
      <c r="N197" s="26">
        <v>69.0</v>
      </c>
      <c r="P197" s="86"/>
      <c r="R197" s="26">
        <v>95.0</v>
      </c>
      <c r="T197" s="24"/>
      <c r="V197" s="24"/>
      <c r="W197" s="27"/>
      <c r="X197" s="23"/>
      <c r="Z197" s="24"/>
      <c r="AB197" s="24"/>
      <c r="AD197" s="24"/>
      <c r="AF197" s="24"/>
      <c r="AH197" s="24"/>
      <c r="AI197" s="27"/>
      <c r="AJ197" s="39">
        <f t="shared" si="1"/>
        <v>2850.16</v>
      </c>
      <c r="AK197" s="35">
        <f t="shared" si="2"/>
        <v>138</v>
      </c>
      <c r="AL197" s="35">
        <f t="shared" si="3"/>
        <v>95</v>
      </c>
      <c r="AM197" s="35">
        <f t="shared" si="4"/>
        <v>233</v>
      </c>
      <c r="AN197" s="40">
        <f t="shared" si="5"/>
        <v>12.23244635</v>
      </c>
    </row>
    <row r="198" ht="15.75" customHeight="1">
      <c r="A198" s="48" t="s">
        <v>31</v>
      </c>
      <c r="B198" s="50">
        <f t="shared" si="6"/>
        <v>44758</v>
      </c>
      <c r="C198" s="51">
        <v>7.0</v>
      </c>
      <c r="D198" s="51" t="s">
        <v>34</v>
      </c>
      <c r="E198" s="88" t="s">
        <v>35</v>
      </c>
      <c r="F198" s="54"/>
      <c r="G198" s="56"/>
      <c r="H198" s="57"/>
      <c r="I198" s="56"/>
      <c r="J198" s="57"/>
      <c r="K198" s="56"/>
      <c r="L198" s="58">
        <v>69.0</v>
      </c>
      <c r="M198" s="56"/>
      <c r="N198" s="59">
        <v>69.0</v>
      </c>
      <c r="O198" s="56"/>
      <c r="P198" s="89"/>
      <c r="Q198" s="56"/>
      <c r="R198" s="59"/>
      <c r="S198" s="56"/>
      <c r="T198" s="57"/>
      <c r="U198" s="56"/>
      <c r="V198" s="57"/>
      <c r="W198" s="60"/>
      <c r="X198" s="54"/>
      <c r="Y198" s="56"/>
      <c r="Z198" s="57"/>
      <c r="AA198" s="56"/>
      <c r="AB198" s="57"/>
      <c r="AC198" s="56"/>
      <c r="AD198" s="57"/>
      <c r="AE198" s="56"/>
      <c r="AF198" s="57"/>
      <c r="AG198" s="56"/>
      <c r="AH198" s="57"/>
      <c r="AI198" s="60"/>
      <c r="AJ198" s="61">
        <f t="shared" si="1"/>
        <v>2238.36</v>
      </c>
      <c r="AK198" s="51">
        <f t="shared" si="2"/>
        <v>138</v>
      </c>
      <c r="AL198" s="51" t="str">
        <f t="shared" si="3"/>
        <v/>
      </c>
      <c r="AM198" s="51">
        <f t="shared" si="4"/>
        <v>138</v>
      </c>
      <c r="AN198" s="63">
        <f t="shared" si="5"/>
        <v>16.22</v>
      </c>
    </row>
    <row r="199" ht="15.75" customHeight="1">
      <c r="A199" s="18" t="s">
        <v>20</v>
      </c>
      <c r="B199" s="64">
        <f t="shared" si="6"/>
        <v>44759</v>
      </c>
      <c r="C199" s="20">
        <v>8.0</v>
      </c>
      <c r="D199" s="20" t="s">
        <v>21</v>
      </c>
      <c r="E199" s="90" t="s">
        <v>35</v>
      </c>
      <c r="F199" s="23"/>
      <c r="H199" s="24"/>
      <c r="J199" s="24"/>
      <c r="L199" s="25">
        <v>69.0</v>
      </c>
      <c r="N199" s="26">
        <v>69.0</v>
      </c>
      <c r="P199" s="86"/>
      <c r="R199" s="26">
        <v>95.0</v>
      </c>
      <c r="T199" s="24"/>
      <c r="V199" s="24"/>
      <c r="W199" s="27"/>
      <c r="X199" s="23"/>
      <c r="Z199" s="24"/>
      <c r="AB199" s="24"/>
      <c r="AD199" s="24"/>
      <c r="AF199" s="24"/>
      <c r="AH199" s="24"/>
      <c r="AI199" s="27"/>
      <c r="AJ199" s="28">
        <f t="shared" si="1"/>
        <v>2850.16</v>
      </c>
      <c r="AK199" s="20">
        <f t="shared" si="2"/>
        <v>138</v>
      </c>
      <c r="AL199" s="20">
        <f t="shared" si="3"/>
        <v>95</v>
      </c>
      <c r="AM199" s="20">
        <f t="shared" si="4"/>
        <v>233</v>
      </c>
      <c r="AN199" s="31">
        <f t="shared" si="5"/>
        <v>12.23244635</v>
      </c>
    </row>
    <row r="200" ht="15.75" customHeight="1">
      <c r="A200" s="32" t="s">
        <v>22</v>
      </c>
      <c r="B200" s="34">
        <f t="shared" si="6"/>
        <v>44760</v>
      </c>
      <c r="C200" s="35">
        <v>8.0</v>
      </c>
      <c r="D200" s="35" t="s">
        <v>21</v>
      </c>
      <c r="E200" s="87" t="s">
        <v>35</v>
      </c>
      <c r="F200" s="23"/>
      <c r="H200" s="24"/>
      <c r="J200" s="24"/>
      <c r="L200" s="25">
        <v>69.0</v>
      </c>
      <c r="N200" s="26">
        <v>69.0</v>
      </c>
      <c r="P200" s="86"/>
      <c r="R200" s="26">
        <v>95.0</v>
      </c>
      <c r="T200" s="24"/>
      <c r="V200" s="24"/>
      <c r="W200" s="27"/>
      <c r="X200" s="23"/>
      <c r="Z200" s="24"/>
      <c r="AB200" s="24"/>
      <c r="AD200" s="24"/>
      <c r="AF200" s="24"/>
      <c r="AH200" s="24"/>
      <c r="AI200" s="27"/>
      <c r="AJ200" s="39">
        <f t="shared" si="1"/>
        <v>2850.16</v>
      </c>
      <c r="AK200" s="35">
        <f t="shared" si="2"/>
        <v>138</v>
      </c>
      <c r="AL200" s="35">
        <f t="shared" si="3"/>
        <v>95</v>
      </c>
      <c r="AM200" s="35">
        <f t="shared" si="4"/>
        <v>233</v>
      </c>
      <c r="AN200" s="40">
        <f t="shared" si="5"/>
        <v>12.23244635</v>
      </c>
    </row>
    <row r="201" ht="15.75" customHeight="1">
      <c r="A201" s="32" t="s">
        <v>24</v>
      </c>
      <c r="B201" s="34">
        <f t="shared" si="6"/>
        <v>44761</v>
      </c>
      <c r="C201" s="35">
        <v>8.0</v>
      </c>
      <c r="D201" s="35" t="s">
        <v>21</v>
      </c>
      <c r="E201" s="87" t="s">
        <v>35</v>
      </c>
      <c r="F201" s="23"/>
      <c r="H201" s="24"/>
      <c r="J201" s="24"/>
      <c r="L201" s="25">
        <v>69.0</v>
      </c>
      <c r="N201" s="26">
        <v>69.0</v>
      </c>
      <c r="P201" s="86"/>
      <c r="R201" s="26">
        <v>95.0</v>
      </c>
      <c r="T201" s="24"/>
      <c r="V201" s="24"/>
      <c r="W201" s="27"/>
      <c r="X201" s="23"/>
      <c r="Z201" s="24"/>
      <c r="AB201" s="24"/>
      <c r="AD201" s="24"/>
      <c r="AF201" s="24"/>
      <c r="AH201" s="24"/>
      <c r="AI201" s="27"/>
      <c r="AJ201" s="39">
        <f t="shared" si="1"/>
        <v>2850.16</v>
      </c>
      <c r="AK201" s="35">
        <f t="shared" si="2"/>
        <v>138</v>
      </c>
      <c r="AL201" s="35">
        <f t="shared" si="3"/>
        <v>95</v>
      </c>
      <c r="AM201" s="35">
        <f t="shared" si="4"/>
        <v>233</v>
      </c>
      <c r="AN201" s="40">
        <f t="shared" si="5"/>
        <v>12.23244635</v>
      </c>
    </row>
    <row r="202" ht="15.75" customHeight="1">
      <c r="A202" s="32" t="s">
        <v>28</v>
      </c>
      <c r="B202" s="34">
        <f t="shared" si="6"/>
        <v>44762</v>
      </c>
      <c r="C202" s="35">
        <v>8.0</v>
      </c>
      <c r="D202" s="35" t="s">
        <v>21</v>
      </c>
      <c r="E202" s="87" t="s">
        <v>35</v>
      </c>
      <c r="F202" s="23"/>
      <c r="H202" s="24"/>
      <c r="J202" s="24"/>
      <c r="L202" s="25">
        <v>69.0</v>
      </c>
      <c r="N202" s="26">
        <v>69.0</v>
      </c>
      <c r="P202" s="86"/>
      <c r="R202" s="26">
        <v>95.0</v>
      </c>
      <c r="T202" s="24"/>
      <c r="V202" s="24"/>
      <c r="W202" s="27"/>
      <c r="X202" s="23"/>
      <c r="Z202" s="24"/>
      <c r="AB202" s="24"/>
      <c r="AD202" s="24"/>
      <c r="AF202" s="24"/>
      <c r="AH202" s="24"/>
      <c r="AI202" s="27"/>
      <c r="AJ202" s="39">
        <f t="shared" si="1"/>
        <v>2850.16</v>
      </c>
      <c r="AK202" s="35">
        <f t="shared" si="2"/>
        <v>138</v>
      </c>
      <c r="AL202" s="35">
        <f t="shared" si="3"/>
        <v>95</v>
      </c>
      <c r="AM202" s="35">
        <f t="shared" si="4"/>
        <v>233</v>
      </c>
      <c r="AN202" s="40">
        <f t="shared" si="5"/>
        <v>12.23244635</v>
      </c>
    </row>
    <row r="203" ht="15.75" customHeight="1">
      <c r="A203" s="32" t="s">
        <v>29</v>
      </c>
      <c r="B203" s="34">
        <f t="shared" si="6"/>
        <v>44763</v>
      </c>
      <c r="C203" s="35">
        <v>8.0</v>
      </c>
      <c r="D203" s="35" t="s">
        <v>21</v>
      </c>
      <c r="E203" s="87" t="s">
        <v>35</v>
      </c>
      <c r="F203" s="23"/>
      <c r="H203" s="24"/>
      <c r="J203" s="24"/>
      <c r="L203" s="25">
        <v>69.0</v>
      </c>
      <c r="N203" s="26">
        <v>69.0</v>
      </c>
      <c r="P203" s="86"/>
      <c r="R203" s="26">
        <v>95.0</v>
      </c>
      <c r="T203" s="24"/>
      <c r="V203" s="24"/>
      <c r="W203" s="27"/>
      <c r="X203" s="23"/>
      <c r="Z203" s="24"/>
      <c r="AB203" s="24"/>
      <c r="AD203" s="24"/>
      <c r="AF203" s="24"/>
      <c r="AH203" s="24"/>
      <c r="AI203" s="27"/>
      <c r="AJ203" s="39">
        <f t="shared" si="1"/>
        <v>2850.16</v>
      </c>
      <c r="AK203" s="35">
        <f t="shared" si="2"/>
        <v>138</v>
      </c>
      <c r="AL203" s="35">
        <f t="shared" si="3"/>
        <v>95</v>
      </c>
      <c r="AM203" s="35">
        <f t="shared" si="4"/>
        <v>233</v>
      </c>
      <c r="AN203" s="40">
        <f t="shared" si="5"/>
        <v>12.23244635</v>
      </c>
    </row>
    <row r="204" ht="15.75" customHeight="1">
      <c r="A204" s="32" t="s">
        <v>30</v>
      </c>
      <c r="B204" s="34">
        <f t="shared" si="6"/>
        <v>44764</v>
      </c>
      <c r="C204" s="35">
        <v>8.0</v>
      </c>
      <c r="D204" s="35" t="s">
        <v>21</v>
      </c>
      <c r="E204" s="87" t="s">
        <v>35</v>
      </c>
      <c r="F204" s="23"/>
      <c r="H204" s="24"/>
      <c r="J204" s="24"/>
      <c r="L204" s="25">
        <v>69.0</v>
      </c>
      <c r="N204" s="26">
        <v>69.0</v>
      </c>
      <c r="P204" s="86"/>
      <c r="R204" s="26">
        <v>95.0</v>
      </c>
      <c r="T204" s="24"/>
      <c r="V204" s="24"/>
      <c r="W204" s="27"/>
      <c r="X204" s="23"/>
      <c r="Z204" s="24"/>
      <c r="AB204" s="24"/>
      <c r="AD204" s="24"/>
      <c r="AF204" s="24"/>
      <c r="AH204" s="24"/>
      <c r="AI204" s="27"/>
      <c r="AJ204" s="39">
        <f t="shared" si="1"/>
        <v>2850.16</v>
      </c>
      <c r="AK204" s="35">
        <f t="shared" si="2"/>
        <v>138</v>
      </c>
      <c r="AL204" s="35">
        <f t="shared" si="3"/>
        <v>95</v>
      </c>
      <c r="AM204" s="35">
        <f t="shared" si="4"/>
        <v>233</v>
      </c>
      <c r="AN204" s="40">
        <f t="shared" si="5"/>
        <v>12.23244635</v>
      </c>
    </row>
    <row r="205" ht="15.75" customHeight="1">
      <c r="A205" s="48" t="s">
        <v>31</v>
      </c>
      <c r="B205" s="50">
        <f t="shared" si="6"/>
        <v>44765</v>
      </c>
      <c r="C205" s="51">
        <v>8.0</v>
      </c>
      <c r="D205" s="51" t="s">
        <v>21</v>
      </c>
      <c r="E205" s="88" t="s">
        <v>35</v>
      </c>
      <c r="F205" s="54"/>
      <c r="G205" s="56"/>
      <c r="H205" s="57"/>
      <c r="I205" s="56"/>
      <c r="J205" s="57"/>
      <c r="K205" s="56"/>
      <c r="L205" s="58">
        <v>69.0</v>
      </c>
      <c r="M205" s="56"/>
      <c r="N205" s="59">
        <v>69.0</v>
      </c>
      <c r="O205" s="56"/>
      <c r="P205" s="89"/>
      <c r="Q205" s="56"/>
      <c r="R205" s="59"/>
      <c r="S205" s="56"/>
      <c r="T205" s="57"/>
      <c r="U205" s="56"/>
      <c r="V205" s="57"/>
      <c r="W205" s="60"/>
      <c r="X205" s="54"/>
      <c r="Y205" s="56"/>
      <c r="Z205" s="57"/>
      <c r="AA205" s="56"/>
      <c r="AB205" s="57"/>
      <c r="AC205" s="56"/>
      <c r="AD205" s="57"/>
      <c r="AE205" s="56"/>
      <c r="AF205" s="57"/>
      <c r="AG205" s="56"/>
      <c r="AH205" s="57"/>
      <c r="AI205" s="60"/>
      <c r="AJ205" s="61">
        <f t="shared" si="1"/>
        <v>2238.36</v>
      </c>
      <c r="AK205" s="51">
        <f t="shared" si="2"/>
        <v>138</v>
      </c>
      <c r="AL205" s="51" t="str">
        <f t="shared" si="3"/>
        <v/>
      </c>
      <c r="AM205" s="51">
        <f t="shared" si="4"/>
        <v>138</v>
      </c>
      <c r="AN205" s="63">
        <f t="shared" si="5"/>
        <v>16.22</v>
      </c>
    </row>
    <row r="206" ht="15.75" customHeight="1">
      <c r="A206" s="18" t="s">
        <v>20</v>
      </c>
      <c r="B206" s="64">
        <f t="shared" si="6"/>
        <v>44766</v>
      </c>
      <c r="C206" s="20">
        <v>8.0</v>
      </c>
      <c r="D206" s="20" t="s">
        <v>32</v>
      </c>
      <c r="E206" s="90" t="s">
        <v>35</v>
      </c>
      <c r="F206" s="23"/>
      <c r="H206" s="24"/>
      <c r="J206" s="24"/>
      <c r="L206" s="25">
        <v>69.0</v>
      </c>
      <c r="N206" s="26">
        <v>69.0</v>
      </c>
      <c r="P206" s="86"/>
      <c r="R206" s="26">
        <v>95.0</v>
      </c>
      <c r="T206" s="24"/>
      <c r="V206" s="24"/>
      <c r="W206" s="27"/>
      <c r="X206" s="23"/>
      <c r="Z206" s="24"/>
      <c r="AB206" s="24"/>
      <c r="AD206" s="24"/>
      <c r="AF206" s="24"/>
      <c r="AH206" s="24"/>
      <c r="AI206" s="27"/>
      <c r="AJ206" s="28">
        <f t="shared" si="1"/>
        <v>2850.16</v>
      </c>
      <c r="AK206" s="20">
        <f t="shared" si="2"/>
        <v>138</v>
      </c>
      <c r="AL206" s="20">
        <f t="shared" si="3"/>
        <v>95</v>
      </c>
      <c r="AM206" s="20">
        <f t="shared" si="4"/>
        <v>233</v>
      </c>
      <c r="AN206" s="31">
        <f t="shared" si="5"/>
        <v>12.23244635</v>
      </c>
    </row>
    <row r="207" ht="15.75" customHeight="1">
      <c r="A207" s="32" t="s">
        <v>22</v>
      </c>
      <c r="B207" s="34">
        <f t="shared" si="6"/>
        <v>44767</v>
      </c>
      <c r="C207" s="35">
        <v>8.0</v>
      </c>
      <c r="D207" s="35" t="s">
        <v>32</v>
      </c>
      <c r="E207" s="87" t="s">
        <v>35</v>
      </c>
      <c r="F207" s="23"/>
      <c r="H207" s="24"/>
      <c r="J207" s="24"/>
      <c r="L207" s="25">
        <v>69.0</v>
      </c>
      <c r="N207" s="26">
        <v>69.0</v>
      </c>
      <c r="P207" s="86"/>
      <c r="R207" s="26">
        <v>95.0</v>
      </c>
      <c r="T207" s="24"/>
      <c r="V207" s="24"/>
      <c r="W207" s="27"/>
      <c r="X207" s="23"/>
      <c r="Z207" s="24"/>
      <c r="AB207" s="24"/>
      <c r="AD207" s="24"/>
      <c r="AF207" s="24"/>
      <c r="AH207" s="24"/>
      <c r="AI207" s="27"/>
      <c r="AJ207" s="39">
        <f t="shared" si="1"/>
        <v>2850.16</v>
      </c>
      <c r="AK207" s="35">
        <f t="shared" si="2"/>
        <v>138</v>
      </c>
      <c r="AL207" s="35">
        <f t="shared" si="3"/>
        <v>95</v>
      </c>
      <c r="AM207" s="35">
        <f t="shared" si="4"/>
        <v>233</v>
      </c>
      <c r="AN207" s="40">
        <f t="shared" si="5"/>
        <v>12.23244635</v>
      </c>
    </row>
    <row r="208" ht="15.75" customHeight="1">
      <c r="A208" s="32" t="s">
        <v>24</v>
      </c>
      <c r="B208" s="34">
        <f t="shared" si="6"/>
        <v>44768</v>
      </c>
      <c r="C208" s="35">
        <v>8.0</v>
      </c>
      <c r="D208" s="35" t="s">
        <v>32</v>
      </c>
      <c r="E208" s="87" t="s">
        <v>35</v>
      </c>
      <c r="F208" s="23"/>
      <c r="H208" s="24"/>
      <c r="J208" s="24"/>
      <c r="L208" s="25">
        <v>69.0</v>
      </c>
      <c r="N208" s="26">
        <v>69.0</v>
      </c>
      <c r="P208" s="86"/>
      <c r="R208" s="26">
        <v>95.0</v>
      </c>
      <c r="T208" s="24"/>
      <c r="V208" s="24"/>
      <c r="W208" s="27"/>
      <c r="X208" s="23"/>
      <c r="Z208" s="24"/>
      <c r="AB208" s="24"/>
      <c r="AD208" s="24"/>
      <c r="AF208" s="24"/>
      <c r="AH208" s="24"/>
      <c r="AI208" s="27"/>
      <c r="AJ208" s="39">
        <f t="shared" si="1"/>
        <v>2850.16</v>
      </c>
      <c r="AK208" s="35">
        <f t="shared" si="2"/>
        <v>138</v>
      </c>
      <c r="AL208" s="35">
        <f t="shared" si="3"/>
        <v>95</v>
      </c>
      <c r="AM208" s="35">
        <f t="shared" si="4"/>
        <v>233</v>
      </c>
      <c r="AN208" s="40">
        <f t="shared" si="5"/>
        <v>12.23244635</v>
      </c>
    </row>
    <row r="209" ht="15.75" customHeight="1">
      <c r="A209" s="32" t="s">
        <v>28</v>
      </c>
      <c r="B209" s="34">
        <f t="shared" si="6"/>
        <v>44769</v>
      </c>
      <c r="C209" s="35">
        <v>8.0</v>
      </c>
      <c r="D209" s="35" t="s">
        <v>32</v>
      </c>
      <c r="E209" s="87" t="s">
        <v>35</v>
      </c>
      <c r="F209" s="23"/>
      <c r="H209" s="24"/>
      <c r="J209" s="24"/>
      <c r="L209" s="25">
        <v>69.0</v>
      </c>
      <c r="N209" s="26">
        <v>69.0</v>
      </c>
      <c r="P209" s="86"/>
      <c r="R209" s="26">
        <v>95.0</v>
      </c>
      <c r="T209" s="24"/>
      <c r="V209" s="24"/>
      <c r="W209" s="27"/>
      <c r="X209" s="23"/>
      <c r="Z209" s="24"/>
      <c r="AB209" s="24"/>
      <c r="AD209" s="24"/>
      <c r="AF209" s="24"/>
      <c r="AH209" s="24"/>
      <c r="AI209" s="27"/>
      <c r="AJ209" s="39">
        <f t="shared" si="1"/>
        <v>2850.16</v>
      </c>
      <c r="AK209" s="35">
        <f t="shared" si="2"/>
        <v>138</v>
      </c>
      <c r="AL209" s="35">
        <f t="shared" si="3"/>
        <v>95</v>
      </c>
      <c r="AM209" s="35">
        <f t="shared" si="4"/>
        <v>233</v>
      </c>
      <c r="AN209" s="40">
        <f t="shared" si="5"/>
        <v>12.23244635</v>
      </c>
    </row>
    <row r="210" ht="15.75" customHeight="1">
      <c r="A210" s="32" t="s">
        <v>29</v>
      </c>
      <c r="B210" s="34">
        <f t="shared" si="6"/>
        <v>44770</v>
      </c>
      <c r="C210" s="35">
        <v>8.0</v>
      </c>
      <c r="D210" s="35" t="s">
        <v>32</v>
      </c>
      <c r="E210" s="87" t="s">
        <v>35</v>
      </c>
      <c r="F210" s="23"/>
      <c r="H210" s="24"/>
      <c r="J210" s="24"/>
      <c r="L210" s="25">
        <v>69.0</v>
      </c>
      <c r="N210" s="26">
        <v>69.0</v>
      </c>
      <c r="P210" s="86"/>
      <c r="R210" s="26">
        <v>95.0</v>
      </c>
      <c r="T210" s="24"/>
      <c r="V210" s="24"/>
      <c r="W210" s="27"/>
      <c r="X210" s="23"/>
      <c r="Z210" s="24"/>
      <c r="AB210" s="24"/>
      <c r="AD210" s="24"/>
      <c r="AF210" s="24"/>
      <c r="AH210" s="24"/>
      <c r="AI210" s="27"/>
      <c r="AJ210" s="39">
        <f t="shared" si="1"/>
        <v>2850.16</v>
      </c>
      <c r="AK210" s="35">
        <f t="shared" si="2"/>
        <v>138</v>
      </c>
      <c r="AL210" s="35">
        <f t="shared" si="3"/>
        <v>95</v>
      </c>
      <c r="AM210" s="35">
        <f t="shared" si="4"/>
        <v>233</v>
      </c>
      <c r="AN210" s="40">
        <f t="shared" si="5"/>
        <v>12.23244635</v>
      </c>
    </row>
    <row r="211" ht="15.75" customHeight="1">
      <c r="A211" s="32" t="s">
        <v>30</v>
      </c>
      <c r="B211" s="34">
        <f t="shared" si="6"/>
        <v>44771</v>
      </c>
      <c r="C211" s="35">
        <v>8.0</v>
      </c>
      <c r="D211" s="35" t="s">
        <v>32</v>
      </c>
      <c r="E211" s="87" t="s">
        <v>35</v>
      </c>
      <c r="F211" s="23"/>
      <c r="H211" s="24"/>
      <c r="J211" s="24"/>
      <c r="L211" s="25">
        <v>69.0</v>
      </c>
      <c r="N211" s="26">
        <v>69.0</v>
      </c>
      <c r="P211" s="86"/>
      <c r="R211" s="26">
        <v>80.0</v>
      </c>
      <c r="T211" s="24"/>
      <c r="V211" s="24"/>
      <c r="W211" s="27"/>
      <c r="X211" s="23"/>
      <c r="Z211" s="24"/>
      <c r="AB211" s="24"/>
      <c r="AD211" s="24"/>
      <c r="AF211" s="24"/>
      <c r="AH211" s="24"/>
      <c r="AI211" s="27"/>
      <c r="AJ211" s="39">
        <f t="shared" si="1"/>
        <v>2753.56</v>
      </c>
      <c r="AK211" s="35">
        <f t="shared" si="2"/>
        <v>138</v>
      </c>
      <c r="AL211" s="35">
        <f t="shared" si="3"/>
        <v>80</v>
      </c>
      <c r="AM211" s="35">
        <f t="shared" si="4"/>
        <v>218</v>
      </c>
      <c r="AN211" s="40">
        <f t="shared" si="5"/>
        <v>12.63100917</v>
      </c>
    </row>
    <row r="212" ht="15.75" customHeight="1">
      <c r="A212" s="48" t="s">
        <v>31</v>
      </c>
      <c r="B212" s="50">
        <f t="shared" si="6"/>
        <v>44772</v>
      </c>
      <c r="C212" s="51">
        <v>8.0</v>
      </c>
      <c r="D212" s="51" t="s">
        <v>32</v>
      </c>
      <c r="E212" s="88" t="s">
        <v>35</v>
      </c>
      <c r="F212" s="54"/>
      <c r="G212" s="56"/>
      <c r="H212" s="57"/>
      <c r="I212" s="56"/>
      <c r="J212" s="57"/>
      <c r="K212" s="56"/>
      <c r="L212" s="58">
        <v>69.0</v>
      </c>
      <c r="M212" s="56"/>
      <c r="N212" s="59">
        <v>69.0</v>
      </c>
      <c r="O212" s="56"/>
      <c r="P212" s="89"/>
      <c r="Q212" s="56"/>
      <c r="R212" s="59"/>
      <c r="S212" s="56"/>
      <c r="T212" s="57"/>
      <c r="U212" s="56"/>
      <c r="V212" s="57"/>
      <c r="W212" s="60"/>
      <c r="X212" s="54"/>
      <c r="Y212" s="56"/>
      <c r="Z212" s="57"/>
      <c r="AA212" s="56"/>
      <c r="AB212" s="57"/>
      <c r="AC212" s="56"/>
      <c r="AD212" s="57"/>
      <c r="AE212" s="56"/>
      <c r="AF212" s="57"/>
      <c r="AG212" s="56"/>
      <c r="AH212" s="57"/>
      <c r="AI212" s="60"/>
      <c r="AJ212" s="61">
        <f t="shared" si="1"/>
        <v>2238.36</v>
      </c>
      <c r="AK212" s="51">
        <f t="shared" si="2"/>
        <v>138</v>
      </c>
      <c r="AL212" s="51" t="str">
        <f t="shared" si="3"/>
        <v/>
      </c>
      <c r="AM212" s="51">
        <f t="shared" si="4"/>
        <v>138</v>
      </c>
      <c r="AN212" s="63">
        <f t="shared" si="5"/>
        <v>16.22</v>
      </c>
    </row>
    <row r="213" ht="15.75" customHeight="1">
      <c r="A213" s="18" t="s">
        <v>20</v>
      </c>
      <c r="B213" s="64">
        <f t="shared" si="6"/>
        <v>44773</v>
      </c>
      <c r="C213" s="20">
        <v>8.0</v>
      </c>
      <c r="D213" s="20" t="s">
        <v>33</v>
      </c>
      <c r="E213" s="90" t="s">
        <v>35</v>
      </c>
      <c r="F213" s="23"/>
      <c r="H213" s="24"/>
      <c r="J213" s="24"/>
      <c r="L213" s="25">
        <v>69.0</v>
      </c>
      <c r="N213" s="26">
        <v>69.0</v>
      </c>
      <c r="P213" s="86"/>
      <c r="R213" s="26">
        <v>80.0</v>
      </c>
      <c r="T213" s="24"/>
      <c r="V213" s="24"/>
      <c r="W213" s="27"/>
      <c r="X213" s="23"/>
      <c r="Z213" s="24"/>
      <c r="AB213" s="24"/>
      <c r="AD213" s="24"/>
      <c r="AF213" s="24"/>
      <c r="AH213" s="24"/>
      <c r="AI213" s="27"/>
      <c r="AJ213" s="28">
        <f t="shared" si="1"/>
        <v>2753.56</v>
      </c>
      <c r="AK213" s="20">
        <f t="shared" si="2"/>
        <v>138</v>
      </c>
      <c r="AL213" s="20">
        <f t="shared" si="3"/>
        <v>80</v>
      </c>
      <c r="AM213" s="20">
        <f t="shared" si="4"/>
        <v>218</v>
      </c>
      <c r="AN213" s="31">
        <f t="shared" si="5"/>
        <v>12.63100917</v>
      </c>
    </row>
    <row r="214" ht="15.75" customHeight="1">
      <c r="A214" s="32" t="s">
        <v>22</v>
      </c>
      <c r="B214" s="34">
        <f t="shared" si="6"/>
        <v>44774</v>
      </c>
      <c r="C214" s="35">
        <v>8.0</v>
      </c>
      <c r="D214" s="35" t="s">
        <v>33</v>
      </c>
      <c r="E214" s="87" t="s">
        <v>35</v>
      </c>
      <c r="F214" s="23"/>
      <c r="H214" s="24"/>
      <c r="J214" s="24"/>
      <c r="L214" s="25">
        <v>69.0</v>
      </c>
      <c r="N214" s="26">
        <v>69.0</v>
      </c>
      <c r="P214" s="86"/>
      <c r="R214" s="26">
        <v>80.0</v>
      </c>
      <c r="T214" s="24"/>
      <c r="V214" s="24"/>
      <c r="W214" s="27"/>
      <c r="X214" s="23"/>
      <c r="Z214" s="24"/>
      <c r="AB214" s="24"/>
      <c r="AD214" s="24"/>
      <c r="AF214" s="24"/>
      <c r="AH214" s="24"/>
      <c r="AI214" s="27"/>
      <c r="AJ214" s="39">
        <f t="shared" si="1"/>
        <v>2753.56</v>
      </c>
      <c r="AK214" s="35">
        <f t="shared" si="2"/>
        <v>138</v>
      </c>
      <c r="AL214" s="35">
        <f t="shared" si="3"/>
        <v>80</v>
      </c>
      <c r="AM214" s="35">
        <f t="shared" si="4"/>
        <v>218</v>
      </c>
      <c r="AN214" s="40">
        <f t="shared" si="5"/>
        <v>12.63100917</v>
      </c>
    </row>
    <row r="215" ht="15.75" customHeight="1">
      <c r="A215" s="32" t="s">
        <v>24</v>
      </c>
      <c r="B215" s="34">
        <f t="shared" si="6"/>
        <v>44775</v>
      </c>
      <c r="C215" s="35">
        <v>8.0</v>
      </c>
      <c r="D215" s="35" t="s">
        <v>33</v>
      </c>
      <c r="E215" s="87" t="s">
        <v>35</v>
      </c>
      <c r="F215" s="23"/>
      <c r="H215" s="24"/>
      <c r="J215" s="24"/>
      <c r="L215" s="25">
        <v>69.0</v>
      </c>
      <c r="N215" s="26">
        <v>69.0</v>
      </c>
      <c r="P215" s="86"/>
      <c r="R215" s="26">
        <v>80.0</v>
      </c>
      <c r="T215" s="24"/>
      <c r="V215" s="24"/>
      <c r="W215" s="27"/>
      <c r="X215" s="23"/>
      <c r="Z215" s="24"/>
      <c r="AB215" s="24"/>
      <c r="AD215" s="24"/>
      <c r="AF215" s="24"/>
      <c r="AH215" s="24"/>
      <c r="AI215" s="27"/>
      <c r="AJ215" s="39">
        <f t="shared" si="1"/>
        <v>2753.56</v>
      </c>
      <c r="AK215" s="35">
        <f t="shared" si="2"/>
        <v>138</v>
      </c>
      <c r="AL215" s="35">
        <f t="shared" si="3"/>
        <v>80</v>
      </c>
      <c r="AM215" s="35">
        <f t="shared" si="4"/>
        <v>218</v>
      </c>
      <c r="AN215" s="40">
        <f t="shared" si="5"/>
        <v>12.63100917</v>
      </c>
    </row>
    <row r="216" ht="15.75" customHeight="1">
      <c r="A216" s="32" t="s">
        <v>28</v>
      </c>
      <c r="B216" s="34">
        <f t="shared" si="6"/>
        <v>44776</v>
      </c>
      <c r="C216" s="35">
        <v>8.0</v>
      </c>
      <c r="D216" s="35" t="s">
        <v>33</v>
      </c>
      <c r="E216" s="87" t="s">
        <v>35</v>
      </c>
      <c r="F216" s="23"/>
      <c r="H216" s="24"/>
      <c r="J216" s="24"/>
      <c r="L216" s="25">
        <v>69.0</v>
      </c>
      <c r="N216" s="26">
        <v>69.0</v>
      </c>
      <c r="P216" s="86"/>
      <c r="R216" s="26">
        <v>80.0</v>
      </c>
      <c r="T216" s="24"/>
      <c r="V216" s="24"/>
      <c r="W216" s="27"/>
      <c r="X216" s="23"/>
      <c r="Z216" s="24"/>
      <c r="AB216" s="24"/>
      <c r="AD216" s="24"/>
      <c r="AF216" s="24"/>
      <c r="AH216" s="24"/>
      <c r="AI216" s="27"/>
      <c r="AJ216" s="39">
        <f t="shared" si="1"/>
        <v>2753.56</v>
      </c>
      <c r="AK216" s="35">
        <f t="shared" si="2"/>
        <v>138</v>
      </c>
      <c r="AL216" s="35">
        <f t="shared" si="3"/>
        <v>80</v>
      </c>
      <c r="AM216" s="35">
        <f t="shared" si="4"/>
        <v>218</v>
      </c>
      <c r="AN216" s="40">
        <f t="shared" si="5"/>
        <v>12.63100917</v>
      </c>
    </row>
    <row r="217" ht="15.75" customHeight="1">
      <c r="A217" s="32" t="s">
        <v>29</v>
      </c>
      <c r="B217" s="34">
        <f t="shared" si="6"/>
        <v>44777</v>
      </c>
      <c r="C217" s="35">
        <v>8.0</v>
      </c>
      <c r="D217" s="35" t="s">
        <v>33</v>
      </c>
      <c r="E217" s="87" t="s">
        <v>35</v>
      </c>
      <c r="F217" s="23"/>
      <c r="H217" s="24"/>
      <c r="J217" s="24"/>
      <c r="L217" s="25">
        <v>69.0</v>
      </c>
      <c r="N217" s="26">
        <v>69.0</v>
      </c>
      <c r="P217" s="86"/>
      <c r="R217" s="26">
        <v>80.0</v>
      </c>
      <c r="T217" s="24"/>
      <c r="V217" s="24"/>
      <c r="W217" s="27"/>
      <c r="X217" s="23"/>
      <c r="Z217" s="24"/>
      <c r="AB217" s="24"/>
      <c r="AD217" s="24"/>
      <c r="AF217" s="24"/>
      <c r="AH217" s="24"/>
      <c r="AI217" s="27"/>
      <c r="AJ217" s="39">
        <f t="shared" si="1"/>
        <v>2753.56</v>
      </c>
      <c r="AK217" s="35">
        <f t="shared" si="2"/>
        <v>138</v>
      </c>
      <c r="AL217" s="35">
        <f t="shared" si="3"/>
        <v>80</v>
      </c>
      <c r="AM217" s="35">
        <f t="shared" si="4"/>
        <v>218</v>
      </c>
      <c r="AN217" s="40">
        <f t="shared" si="5"/>
        <v>12.63100917</v>
      </c>
    </row>
    <row r="218" ht="15.75" customHeight="1">
      <c r="A218" s="32" t="s">
        <v>30</v>
      </c>
      <c r="B218" s="34">
        <f t="shared" si="6"/>
        <v>44778</v>
      </c>
      <c r="C218" s="35">
        <v>8.0</v>
      </c>
      <c r="D218" s="35" t="s">
        <v>33</v>
      </c>
      <c r="E218" s="87" t="s">
        <v>35</v>
      </c>
      <c r="F218" s="23"/>
      <c r="H218" s="24"/>
      <c r="J218" s="24"/>
      <c r="L218" s="25">
        <v>69.0</v>
      </c>
      <c r="N218" s="26">
        <v>69.0</v>
      </c>
      <c r="P218" s="86"/>
      <c r="R218" s="26">
        <v>80.0</v>
      </c>
      <c r="T218" s="24"/>
      <c r="V218" s="24"/>
      <c r="W218" s="27"/>
      <c r="X218" s="23"/>
      <c r="Z218" s="24"/>
      <c r="AB218" s="24"/>
      <c r="AD218" s="24"/>
      <c r="AF218" s="24"/>
      <c r="AH218" s="24"/>
      <c r="AI218" s="27"/>
      <c r="AJ218" s="39">
        <f t="shared" si="1"/>
        <v>2753.56</v>
      </c>
      <c r="AK218" s="35">
        <f t="shared" si="2"/>
        <v>138</v>
      </c>
      <c r="AL218" s="35">
        <f t="shared" si="3"/>
        <v>80</v>
      </c>
      <c r="AM218" s="35">
        <f t="shared" si="4"/>
        <v>218</v>
      </c>
      <c r="AN218" s="40">
        <f t="shared" si="5"/>
        <v>12.63100917</v>
      </c>
    </row>
    <row r="219" ht="15.75" customHeight="1">
      <c r="A219" s="48" t="s">
        <v>31</v>
      </c>
      <c r="B219" s="50">
        <f t="shared" si="6"/>
        <v>44779</v>
      </c>
      <c r="C219" s="51">
        <v>8.0</v>
      </c>
      <c r="D219" s="51" t="s">
        <v>33</v>
      </c>
      <c r="E219" s="88" t="s">
        <v>35</v>
      </c>
      <c r="F219" s="54"/>
      <c r="G219" s="56"/>
      <c r="H219" s="57"/>
      <c r="I219" s="56"/>
      <c r="J219" s="57"/>
      <c r="K219" s="56"/>
      <c r="L219" s="58">
        <v>69.0</v>
      </c>
      <c r="M219" s="56"/>
      <c r="N219" s="59">
        <v>69.0</v>
      </c>
      <c r="O219" s="56"/>
      <c r="P219" s="89"/>
      <c r="Q219" s="56"/>
      <c r="R219" s="59"/>
      <c r="S219" s="56"/>
      <c r="T219" s="57"/>
      <c r="U219" s="56"/>
      <c r="V219" s="57"/>
      <c r="W219" s="60"/>
      <c r="X219" s="54"/>
      <c r="Y219" s="56"/>
      <c r="Z219" s="57"/>
      <c r="AA219" s="56"/>
      <c r="AB219" s="57"/>
      <c r="AC219" s="56"/>
      <c r="AD219" s="57"/>
      <c r="AE219" s="56"/>
      <c r="AF219" s="57"/>
      <c r="AG219" s="56"/>
      <c r="AH219" s="57"/>
      <c r="AI219" s="60"/>
      <c r="AJ219" s="61">
        <f t="shared" si="1"/>
        <v>2238.36</v>
      </c>
      <c r="AK219" s="51">
        <f t="shared" si="2"/>
        <v>138</v>
      </c>
      <c r="AL219" s="51" t="str">
        <f t="shared" si="3"/>
        <v/>
      </c>
      <c r="AM219" s="51">
        <f t="shared" si="4"/>
        <v>138</v>
      </c>
      <c r="AN219" s="63">
        <f t="shared" si="5"/>
        <v>16.22</v>
      </c>
    </row>
    <row r="220" ht="15.75" customHeight="1">
      <c r="A220" s="18" t="s">
        <v>20</v>
      </c>
      <c r="B220" s="64">
        <f t="shared" si="6"/>
        <v>44780</v>
      </c>
      <c r="C220" s="20">
        <v>8.0</v>
      </c>
      <c r="D220" s="20" t="s">
        <v>34</v>
      </c>
      <c r="E220" s="90" t="s">
        <v>35</v>
      </c>
      <c r="F220" s="23"/>
      <c r="H220" s="24"/>
      <c r="J220" s="24"/>
      <c r="L220" s="25">
        <v>69.0</v>
      </c>
      <c r="N220" s="26">
        <v>69.0</v>
      </c>
      <c r="P220" s="86"/>
      <c r="R220" s="26">
        <v>80.0</v>
      </c>
      <c r="T220" s="24"/>
      <c r="V220" s="24"/>
      <c r="W220" s="27"/>
      <c r="X220" s="23"/>
      <c r="Z220" s="24"/>
      <c r="AB220" s="24"/>
      <c r="AD220" s="24"/>
      <c r="AF220" s="24"/>
      <c r="AH220" s="24"/>
      <c r="AI220" s="27"/>
      <c r="AJ220" s="28">
        <f t="shared" si="1"/>
        <v>2753.56</v>
      </c>
      <c r="AK220" s="20">
        <f t="shared" si="2"/>
        <v>138</v>
      </c>
      <c r="AL220" s="20">
        <f t="shared" si="3"/>
        <v>80</v>
      </c>
      <c r="AM220" s="20">
        <f t="shared" si="4"/>
        <v>218</v>
      </c>
      <c r="AN220" s="31">
        <f t="shared" si="5"/>
        <v>12.63100917</v>
      </c>
    </row>
    <row r="221" ht="15.75" customHeight="1">
      <c r="A221" s="32" t="s">
        <v>22</v>
      </c>
      <c r="B221" s="34">
        <f t="shared" si="6"/>
        <v>44781</v>
      </c>
      <c r="C221" s="35">
        <v>8.0</v>
      </c>
      <c r="D221" s="35" t="s">
        <v>34</v>
      </c>
      <c r="E221" s="87" t="s">
        <v>35</v>
      </c>
      <c r="F221" s="23"/>
      <c r="H221" s="24"/>
      <c r="J221" s="24"/>
      <c r="L221" s="25">
        <v>69.0</v>
      </c>
      <c r="N221" s="26">
        <v>69.0</v>
      </c>
      <c r="P221" s="86"/>
      <c r="R221" s="26">
        <v>80.0</v>
      </c>
      <c r="T221" s="24"/>
      <c r="V221" s="24"/>
      <c r="W221" s="27"/>
      <c r="X221" s="23"/>
      <c r="Z221" s="24"/>
      <c r="AB221" s="24"/>
      <c r="AD221" s="24"/>
      <c r="AF221" s="24"/>
      <c r="AH221" s="24"/>
      <c r="AI221" s="27"/>
      <c r="AJ221" s="39">
        <f t="shared" si="1"/>
        <v>2753.56</v>
      </c>
      <c r="AK221" s="35">
        <f t="shared" si="2"/>
        <v>138</v>
      </c>
      <c r="AL221" s="35">
        <f t="shared" si="3"/>
        <v>80</v>
      </c>
      <c r="AM221" s="35">
        <f t="shared" si="4"/>
        <v>218</v>
      </c>
      <c r="AN221" s="40">
        <f t="shared" si="5"/>
        <v>12.63100917</v>
      </c>
    </row>
    <row r="222" ht="15.75" customHeight="1">
      <c r="A222" s="32" t="s">
        <v>24</v>
      </c>
      <c r="B222" s="34">
        <f t="shared" si="6"/>
        <v>44782</v>
      </c>
      <c r="C222" s="35">
        <v>8.0</v>
      </c>
      <c r="D222" s="35" t="s">
        <v>34</v>
      </c>
      <c r="E222" s="87" t="s">
        <v>35</v>
      </c>
      <c r="F222" s="23"/>
      <c r="H222" s="24"/>
      <c r="J222" s="24"/>
      <c r="L222" s="25">
        <v>69.0</v>
      </c>
      <c r="N222" s="26">
        <v>69.0</v>
      </c>
      <c r="P222" s="86"/>
      <c r="R222" s="26">
        <v>80.0</v>
      </c>
      <c r="T222" s="24"/>
      <c r="V222" s="24"/>
      <c r="W222" s="27"/>
      <c r="X222" s="23"/>
      <c r="Z222" s="24"/>
      <c r="AB222" s="24"/>
      <c r="AD222" s="24"/>
      <c r="AF222" s="24"/>
      <c r="AH222" s="24"/>
      <c r="AI222" s="27"/>
      <c r="AJ222" s="39">
        <f t="shared" si="1"/>
        <v>2753.56</v>
      </c>
      <c r="AK222" s="35">
        <f t="shared" si="2"/>
        <v>138</v>
      </c>
      <c r="AL222" s="35">
        <f t="shared" si="3"/>
        <v>80</v>
      </c>
      <c r="AM222" s="35">
        <f t="shared" si="4"/>
        <v>218</v>
      </c>
      <c r="AN222" s="40">
        <f t="shared" si="5"/>
        <v>12.63100917</v>
      </c>
    </row>
    <row r="223" ht="15.75" customHeight="1">
      <c r="A223" s="32" t="s">
        <v>28</v>
      </c>
      <c r="B223" s="34">
        <f t="shared" si="6"/>
        <v>44783</v>
      </c>
      <c r="C223" s="35">
        <v>8.0</v>
      </c>
      <c r="D223" s="35" t="s">
        <v>34</v>
      </c>
      <c r="E223" s="87" t="s">
        <v>35</v>
      </c>
      <c r="F223" s="23"/>
      <c r="H223" s="24"/>
      <c r="J223" s="24"/>
      <c r="L223" s="25">
        <v>69.0</v>
      </c>
      <c r="N223" s="26">
        <v>69.0</v>
      </c>
      <c r="P223" s="86"/>
      <c r="R223" s="26">
        <v>80.0</v>
      </c>
      <c r="T223" s="24"/>
      <c r="V223" s="24"/>
      <c r="W223" s="27"/>
      <c r="X223" s="23"/>
      <c r="Z223" s="24"/>
      <c r="AB223" s="24"/>
      <c r="AD223" s="24"/>
      <c r="AF223" s="24"/>
      <c r="AH223" s="24"/>
      <c r="AI223" s="27"/>
      <c r="AJ223" s="39">
        <f t="shared" si="1"/>
        <v>2753.56</v>
      </c>
      <c r="AK223" s="35">
        <f t="shared" si="2"/>
        <v>138</v>
      </c>
      <c r="AL223" s="35">
        <f t="shared" si="3"/>
        <v>80</v>
      </c>
      <c r="AM223" s="35">
        <f t="shared" si="4"/>
        <v>218</v>
      </c>
      <c r="AN223" s="40">
        <f t="shared" si="5"/>
        <v>12.63100917</v>
      </c>
    </row>
    <row r="224" ht="15.75" customHeight="1">
      <c r="A224" s="32" t="s">
        <v>29</v>
      </c>
      <c r="B224" s="34">
        <f t="shared" si="6"/>
        <v>44784</v>
      </c>
      <c r="C224" s="35">
        <v>8.0</v>
      </c>
      <c r="D224" s="35" t="s">
        <v>34</v>
      </c>
      <c r="E224" s="87" t="s">
        <v>35</v>
      </c>
      <c r="F224" s="23"/>
      <c r="H224" s="24"/>
      <c r="J224" s="24"/>
      <c r="L224" s="25">
        <v>69.0</v>
      </c>
      <c r="N224" s="26">
        <v>69.0</v>
      </c>
      <c r="P224" s="86"/>
      <c r="R224" s="26">
        <v>80.0</v>
      </c>
      <c r="T224" s="24"/>
      <c r="V224" s="24"/>
      <c r="W224" s="27"/>
      <c r="X224" s="23"/>
      <c r="Z224" s="24"/>
      <c r="AB224" s="24"/>
      <c r="AD224" s="24"/>
      <c r="AF224" s="24"/>
      <c r="AH224" s="24"/>
      <c r="AI224" s="27"/>
      <c r="AJ224" s="39">
        <f t="shared" si="1"/>
        <v>2753.56</v>
      </c>
      <c r="AK224" s="35">
        <f t="shared" si="2"/>
        <v>138</v>
      </c>
      <c r="AL224" s="35">
        <f t="shared" si="3"/>
        <v>80</v>
      </c>
      <c r="AM224" s="35">
        <f t="shared" si="4"/>
        <v>218</v>
      </c>
      <c r="AN224" s="40">
        <f t="shared" si="5"/>
        <v>12.63100917</v>
      </c>
    </row>
    <row r="225" ht="15.75" customHeight="1">
      <c r="A225" s="32" t="s">
        <v>30</v>
      </c>
      <c r="B225" s="34">
        <f t="shared" si="6"/>
        <v>44785</v>
      </c>
      <c r="C225" s="35">
        <v>8.0</v>
      </c>
      <c r="D225" s="35" t="s">
        <v>34</v>
      </c>
      <c r="E225" s="87" t="s">
        <v>35</v>
      </c>
      <c r="F225" s="23"/>
      <c r="H225" s="24"/>
      <c r="J225" s="24"/>
      <c r="L225" s="25">
        <v>69.0</v>
      </c>
      <c r="N225" s="26">
        <v>69.0</v>
      </c>
      <c r="P225" s="86"/>
      <c r="R225" s="26">
        <v>80.0</v>
      </c>
      <c r="T225" s="24"/>
      <c r="V225" s="24"/>
      <c r="W225" s="27"/>
      <c r="X225" s="23"/>
      <c r="Z225" s="24"/>
      <c r="AB225" s="24"/>
      <c r="AD225" s="24"/>
      <c r="AF225" s="24"/>
      <c r="AH225" s="24"/>
      <c r="AI225" s="27"/>
      <c r="AJ225" s="39">
        <f t="shared" si="1"/>
        <v>2753.56</v>
      </c>
      <c r="AK225" s="35">
        <f t="shared" si="2"/>
        <v>138</v>
      </c>
      <c r="AL225" s="35">
        <f t="shared" si="3"/>
        <v>80</v>
      </c>
      <c r="AM225" s="35">
        <f t="shared" si="4"/>
        <v>218</v>
      </c>
      <c r="AN225" s="40">
        <f t="shared" si="5"/>
        <v>12.63100917</v>
      </c>
    </row>
    <row r="226" ht="15.75" customHeight="1">
      <c r="A226" s="48" t="s">
        <v>31</v>
      </c>
      <c r="B226" s="50">
        <f t="shared" si="6"/>
        <v>44786</v>
      </c>
      <c r="C226" s="51">
        <v>8.0</v>
      </c>
      <c r="D226" s="51" t="s">
        <v>34</v>
      </c>
      <c r="E226" s="88" t="s">
        <v>35</v>
      </c>
      <c r="F226" s="54"/>
      <c r="G226" s="56"/>
      <c r="H226" s="57"/>
      <c r="I226" s="56"/>
      <c r="J226" s="57"/>
      <c r="K226" s="56"/>
      <c r="L226" s="58">
        <v>69.0</v>
      </c>
      <c r="M226" s="56"/>
      <c r="N226" s="59">
        <v>69.0</v>
      </c>
      <c r="O226" s="56"/>
      <c r="P226" s="89"/>
      <c r="Q226" s="56"/>
      <c r="R226" s="59"/>
      <c r="S226" s="56"/>
      <c r="T226" s="57"/>
      <c r="U226" s="56"/>
      <c r="V226" s="57"/>
      <c r="W226" s="60"/>
      <c r="X226" s="54"/>
      <c r="Y226" s="56"/>
      <c r="Z226" s="57"/>
      <c r="AA226" s="56"/>
      <c r="AB226" s="57"/>
      <c r="AC226" s="56"/>
      <c r="AD226" s="57"/>
      <c r="AE226" s="56"/>
      <c r="AF226" s="57"/>
      <c r="AG226" s="56"/>
      <c r="AH226" s="57"/>
      <c r="AI226" s="60"/>
      <c r="AJ226" s="61">
        <f t="shared" si="1"/>
        <v>2238.36</v>
      </c>
      <c r="AK226" s="51">
        <f t="shared" si="2"/>
        <v>138</v>
      </c>
      <c r="AL226" s="51" t="str">
        <f t="shared" si="3"/>
        <v/>
      </c>
      <c r="AM226" s="51">
        <f t="shared" si="4"/>
        <v>138</v>
      </c>
      <c r="AN226" s="63">
        <f t="shared" si="5"/>
        <v>16.22</v>
      </c>
    </row>
    <row r="227" ht="15.75" customHeight="1">
      <c r="A227" s="18" t="s">
        <v>20</v>
      </c>
      <c r="B227" s="64">
        <f t="shared" si="6"/>
        <v>44787</v>
      </c>
      <c r="C227" s="20">
        <v>9.0</v>
      </c>
      <c r="D227" s="20" t="s">
        <v>21</v>
      </c>
      <c r="E227" s="90" t="s">
        <v>35</v>
      </c>
      <c r="F227" s="23"/>
      <c r="H227" s="24"/>
      <c r="J227" s="24"/>
      <c r="L227" s="25">
        <v>69.0</v>
      </c>
      <c r="N227" s="26">
        <v>69.0</v>
      </c>
      <c r="P227" s="86"/>
      <c r="R227" s="26">
        <v>80.0</v>
      </c>
      <c r="T227" s="24"/>
      <c r="V227" s="24"/>
      <c r="W227" s="27"/>
      <c r="X227" s="23"/>
      <c r="Z227" s="24"/>
      <c r="AB227" s="24"/>
      <c r="AD227" s="24"/>
      <c r="AF227" s="24"/>
      <c r="AH227" s="24"/>
      <c r="AI227" s="27"/>
      <c r="AJ227" s="28">
        <f t="shared" si="1"/>
        <v>2753.56</v>
      </c>
      <c r="AK227" s="20">
        <f t="shared" si="2"/>
        <v>138</v>
      </c>
      <c r="AL227" s="20">
        <f t="shared" si="3"/>
        <v>80</v>
      </c>
      <c r="AM227" s="20">
        <f t="shared" si="4"/>
        <v>218</v>
      </c>
      <c r="AN227" s="31">
        <f t="shared" si="5"/>
        <v>12.63100917</v>
      </c>
    </row>
    <row r="228" ht="15.75" customHeight="1">
      <c r="A228" s="32" t="s">
        <v>22</v>
      </c>
      <c r="B228" s="34">
        <f t="shared" si="6"/>
        <v>44788</v>
      </c>
      <c r="C228" s="35">
        <v>9.0</v>
      </c>
      <c r="D228" s="35" t="s">
        <v>21</v>
      </c>
      <c r="E228" s="87" t="s">
        <v>35</v>
      </c>
      <c r="F228" s="23"/>
      <c r="H228" s="24"/>
      <c r="J228" s="24"/>
      <c r="L228" s="25">
        <v>69.0</v>
      </c>
      <c r="N228" s="26">
        <v>69.0</v>
      </c>
      <c r="P228" s="86"/>
      <c r="R228" s="26">
        <v>80.0</v>
      </c>
      <c r="T228" s="24"/>
      <c r="V228" s="24"/>
      <c r="W228" s="27"/>
      <c r="X228" s="23"/>
      <c r="Z228" s="24"/>
      <c r="AB228" s="24"/>
      <c r="AD228" s="24"/>
      <c r="AF228" s="24"/>
      <c r="AH228" s="24"/>
      <c r="AI228" s="27"/>
      <c r="AJ228" s="39">
        <f t="shared" si="1"/>
        <v>2753.56</v>
      </c>
      <c r="AK228" s="35">
        <f t="shared" si="2"/>
        <v>138</v>
      </c>
      <c r="AL228" s="35">
        <f t="shared" si="3"/>
        <v>80</v>
      </c>
      <c r="AM228" s="35">
        <f t="shared" si="4"/>
        <v>218</v>
      </c>
      <c r="AN228" s="40">
        <f t="shared" si="5"/>
        <v>12.63100917</v>
      </c>
    </row>
    <row r="229" ht="15.75" customHeight="1">
      <c r="A229" s="32" t="s">
        <v>24</v>
      </c>
      <c r="B229" s="34">
        <f t="shared" si="6"/>
        <v>44789</v>
      </c>
      <c r="C229" s="35">
        <v>9.0</v>
      </c>
      <c r="D229" s="35" t="s">
        <v>21</v>
      </c>
      <c r="E229" s="87" t="s">
        <v>35</v>
      </c>
      <c r="F229" s="23"/>
      <c r="H229" s="24"/>
      <c r="J229" s="24"/>
      <c r="L229" s="25">
        <v>69.0</v>
      </c>
      <c r="N229" s="26">
        <v>69.0</v>
      </c>
      <c r="P229" s="86"/>
      <c r="R229" s="26">
        <v>80.0</v>
      </c>
      <c r="T229" s="24"/>
      <c r="V229" s="24"/>
      <c r="W229" s="27"/>
      <c r="X229" s="23"/>
      <c r="Z229" s="24"/>
      <c r="AB229" s="24"/>
      <c r="AD229" s="24"/>
      <c r="AF229" s="24"/>
      <c r="AH229" s="24"/>
      <c r="AI229" s="27"/>
      <c r="AJ229" s="39">
        <f t="shared" si="1"/>
        <v>2753.56</v>
      </c>
      <c r="AK229" s="35">
        <f t="shared" si="2"/>
        <v>138</v>
      </c>
      <c r="AL229" s="35">
        <f t="shared" si="3"/>
        <v>80</v>
      </c>
      <c r="AM229" s="35">
        <f t="shared" si="4"/>
        <v>218</v>
      </c>
      <c r="AN229" s="40">
        <f t="shared" si="5"/>
        <v>12.63100917</v>
      </c>
    </row>
    <row r="230" ht="15.75" customHeight="1">
      <c r="A230" s="32" t="s">
        <v>28</v>
      </c>
      <c r="B230" s="34">
        <f t="shared" si="6"/>
        <v>44790</v>
      </c>
      <c r="C230" s="35">
        <v>9.0</v>
      </c>
      <c r="D230" s="35" t="s">
        <v>21</v>
      </c>
      <c r="E230" s="87" t="s">
        <v>35</v>
      </c>
      <c r="F230" s="23"/>
      <c r="H230" s="24"/>
      <c r="J230" s="24"/>
      <c r="L230" s="25">
        <v>69.0</v>
      </c>
      <c r="N230" s="26">
        <v>69.0</v>
      </c>
      <c r="P230" s="86"/>
      <c r="R230" s="26">
        <v>80.0</v>
      </c>
      <c r="T230" s="24"/>
      <c r="V230" s="24"/>
      <c r="W230" s="27"/>
      <c r="X230" s="23"/>
      <c r="Z230" s="24"/>
      <c r="AB230" s="24"/>
      <c r="AD230" s="24"/>
      <c r="AF230" s="24"/>
      <c r="AH230" s="24"/>
      <c r="AI230" s="27"/>
      <c r="AJ230" s="39">
        <f t="shared" si="1"/>
        <v>2753.56</v>
      </c>
      <c r="AK230" s="35">
        <f t="shared" si="2"/>
        <v>138</v>
      </c>
      <c r="AL230" s="35">
        <f t="shared" si="3"/>
        <v>80</v>
      </c>
      <c r="AM230" s="35">
        <f t="shared" si="4"/>
        <v>218</v>
      </c>
      <c r="AN230" s="40">
        <f t="shared" si="5"/>
        <v>12.63100917</v>
      </c>
    </row>
    <row r="231" ht="15.75" customHeight="1">
      <c r="A231" s="32" t="s">
        <v>29</v>
      </c>
      <c r="B231" s="34">
        <f t="shared" si="6"/>
        <v>44791</v>
      </c>
      <c r="C231" s="35">
        <v>9.0</v>
      </c>
      <c r="D231" s="35" t="s">
        <v>21</v>
      </c>
      <c r="E231" s="87" t="s">
        <v>35</v>
      </c>
      <c r="F231" s="23"/>
      <c r="H231" s="24"/>
      <c r="J231" s="24"/>
      <c r="L231" s="25">
        <v>69.0</v>
      </c>
      <c r="N231" s="26">
        <v>69.0</v>
      </c>
      <c r="P231" s="86"/>
      <c r="R231" s="26">
        <v>80.0</v>
      </c>
      <c r="T231" s="24"/>
      <c r="V231" s="24"/>
      <c r="W231" s="27"/>
      <c r="X231" s="23"/>
      <c r="Z231" s="24"/>
      <c r="AB231" s="24"/>
      <c r="AD231" s="24"/>
      <c r="AF231" s="24"/>
      <c r="AH231" s="24"/>
      <c r="AI231" s="27"/>
      <c r="AJ231" s="39">
        <f t="shared" si="1"/>
        <v>2753.56</v>
      </c>
      <c r="AK231" s="35">
        <f t="shared" si="2"/>
        <v>138</v>
      </c>
      <c r="AL231" s="35">
        <f t="shared" si="3"/>
        <v>80</v>
      </c>
      <c r="AM231" s="35">
        <f t="shared" si="4"/>
        <v>218</v>
      </c>
      <c r="AN231" s="40">
        <f t="shared" si="5"/>
        <v>12.63100917</v>
      </c>
    </row>
    <row r="232" ht="15.75" customHeight="1">
      <c r="A232" s="32" t="s">
        <v>30</v>
      </c>
      <c r="B232" s="34">
        <f t="shared" si="6"/>
        <v>44792</v>
      </c>
      <c r="C232" s="35">
        <v>9.0</v>
      </c>
      <c r="D232" s="35" t="s">
        <v>21</v>
      </c>
      <c r="E232" s="87" t="s">
        <v>35</v>
      </c>
      <c r="F232" s="23"/>
      <c r="H232" s="24"/>
      <c r="J232" s="24"/>
      <c r="L232" s="25">
        <v>69.0</v>
      </c>
      <c r="N232" s="26">
        <v>69.0</v>
      </c>
      <c r="P232" s="86"/>
      <c r="R232" s="26">
        <v>80.0</v>
      </c>
      <c r="T232" s="24"/>
      <c r="V232" s="24"/>
      <c r="W232" s="27"/>
      <c r="X232" s="23"/>
      <c r="Z232" s="24"/>
      <c r="AB232" s="24"/>
      <c r="AD232" s="24"/>
      <c r="AF232" s="24"/>
      <c r="AH232" s="24"/>
      <c r="AI232" s="27"/>
      <c r="AJ232" s="39">
        <f t="shared" si="1"/>
        <v>2753.56</v>
      </c>
      <c r="AK232" s="35">
        <f t="shared" si="2"/>
        <v>138</v>
      </c>
      <c r="AL232" s="35">
        <f t="shared" si="3"/>
        <v>80</v>
      </c>
      <c r="AM232" s="35">
        <f t="shared" si="4"/>
        <v>218</v>
      </c>
      <c r="AN232" s="40">
        <f t="shared" si="5"/>
        <v>12.63100917</v>
      </c>
    </row>
    <row r="233" ht="15.75" customHeight="1">
      <c r="A233" s="48" t="s">
        <v>31</v>
      </c>
      <c r="B233" s="50">
        <f t="shared" si="6"/>
        <v>44793</v>
      </c>
      <c r="C233" s="51">
        <v>9.0</v>
      </c>
      <c r="D233" s="51" t="s">
        <v>21</v>
      </c>
      <c r="E233" s="88" t="s">
        <v>35</v>
      </c>
      <c r="F233" s="54"/>
      <c r="G233" s="56"/>
      <c r="H233" s="57"/>
      <c r="I233" s="56"/>
      <c r="J233" s="57"/>
      <c r="K233" s="56"/>
      <c r="L233" s="58">
        <v>69.0</v>
      </c>
      <c r="M233" s="56"/>
      <c r="N233" s="59">
        <v>69.0</v>
      </c>
      <c r="O233" s="56"/>
      <c r="P233" s="89"/>
      <c r="Q233" s="56"/>
      <c r="R233" s="59"/>
      <c r="S233" s="56"/>
      <c r="T233" s="57"/>
      <c r="U233" s="56"/>
      <c r="V233" s="57"/>
      <c r="W233" s="60"/>
      <c r="X233" s="54"/>
      <c r="Y233" s="56"/>
      <c r="Z233" s="57"/>
      <c r="AA233" s="56"/>
      <c r="AB233" s="57"/>
      <c r="AC233" s="56"/>
      <c r="AD233" s="57"/>
      <c r="AE233" s="56"/>
      <c r="AF233" s="57"/>
      <c r="AG233" s="56"/>
      <c r="AH233" s="57"/>
      <c r="AI233" s="60"/>
      <c r="AJ233" s="61">
        <f t="shared" si="1"/>
        <v>2238.36</v>
      </c>
      <c r="AK233" s="51">
        <f t="shared" si="2"/>
        <v>138</v>
      </c>
      <c r="AL233" s="51" t="str">
        <f t="shared" si="3"/>
        <v/>
      </c>
      <c r="AM233" s="51">
        <f t="shared" si="4"/>
        <v>138</v>
      </c>
      <c r="AN233" s="63">
        <f t="shared" si="5"/>
        <v>16.22</v>
      </c>
    </row>
    <row r="234" ht="15.75" customHeight="1">
      <c r="A234" s="18" t="s">
        <v>20</v>
      </c>
      <c r="B234" s="64">
        <f t="shared" si="6"/>
        <v>44794</v>
      </c>
      <c r="C234" s="20">
        <v>9.0</v>
      </c>
      <c r="D234" s="20" t="s">
        <v>32</v>
      </c>
      <c r="E234" s="90" t="s">
        <v>35</v>
      </c>
      <c r="F234" s="23"/>
      <c r="H234" s="24"/>
      <c r="J234" s="24"/>
      <c r="L234" s="25">
        <v>69.0</v>
      </c>
      <c r="N234" s="26">
        <v>69.0</v>
      </c>
      <c r="P234" s="86"/>
      <c r="R234" s="26">
        <v>80.0</v>
      </c>
      <c r="T234" s="24"/>
      <c r="V234" s="24"/>
      <c r="W234" s="27"/>
      <c r="X234" s="23"/>
      <c r="Z234" s="24"/>
      <c r="AB234" s="24"/>
      <c r="AD234" s="24"/>
      <c r="AF234" s="24"/>
      <c r="AH234" s="24"/>
      <c r="AI234" s="27"/>
      <c r="AJ234" s="28">
        <f t="shared" si="1"/>
        <v>2753.56</v>
      </c>
      <c r="AK234" s="20">
        <f t="shared" si="2"/>
        <v>138</v>
      </c>
      <c r="AL234" s="20">
        <f t="shared" si="3"/>
        <v>80</v>
      </c>
      <c r="AM234" s="20">
        <f t="shared" si="4"/>
        <v>218</v>
      </c>
      <c r="AN234" s="31">
        <f t="shared" si="5"/>
        <v>12.63100917</v>
      </c>
    </row>
    <row r="235" ht="15.75" customHeight="1">
      <c r="A235" s="32" t="s">
        <v>22</v>
      </c>
      <c r="B235" s="34">
        <f t="shared" si="6"/>
        <v>44795</v>
      </c>
      <c r="C235" s="35">
        <v>9.0</v>
      </c>
      <c r="D235" s="35" t="s">
        <v>32</v>
      </c>
      <c r="E235" s="87" t="s">
        <v>35</v>
      </c>
      <c r="F235" s="23"/>
      <c r="H235" s="24"/>
      <c r="J235" s="24"/>
      <c r="L235" s="25">
        <v>69.0</v>
      </c>
      <c r="N235" s="26">
        <v>69.0</v>
      </c>
      <c r="P235" s="86"/>
      <c r="R235" s="26">
        <v>80.0</v>
      </c>
      <c r="T235" s="24"/>
      <c r="V235" s="24"/>
      <c r="W235" s="27"/>
      <c r="X235" s="23"/>
      <c r="Z235" s="24"/>
      <c r="AB235" s="24"/>
      <c r="AD235" s="24"/>
      <c r="AF235" s="24"/>
      <c r="AH235" s="24"/>
      <c r="AI235" s="27"/>
      <c r="AJ235" s="39">
        <f t="shared" si="1"/>
        <v>2753.56</v>
      </c>
      <c r="AK235" s="35">
        <f t="shared" si="2"/>
        <v>138</v>
      </c>
      <c r="AL235" s="35">
        <f t="shared" si="3"/>
        <v>80</v>
      </c>
      <c r="AM235" s="35">
        <f t="shared" si="4"/>
        <v>218</v>
      </c>
      <c r="AN235" s="40">
        <f t="shared" si="5"/>
        <v>12.63100917</v>
      </c>
    </row>
    <row r="236" ht="15.75" customHeight="1">
      <c r="A236" s="32" t="s">
        <v>24</v>
      </c>
      <c r="B236" s="34">
        <f t="shared" si="6"/>
        <v>44796</v>
      </c>
      <c r="C236" s="35">
        <v>9.0</v>
      </c>
      <c r="D236" s="35" t="s">
        <v>32</v>
      </c>
      <c r="E236" s="87" t="s">
        <v>35</v>
      </c>
      <c r="F236" s="23"/>
      <c r="H236" s="24"/>
      <c r="J236" s="24"/>
      <c r="L236" s="25">
        <v>69.0</v>
      </c>
      <c r="N236" s="26">
        <v>69.0</v>
      </c>
      <c r="P236" s="86"/>
      <c r="R236" s="26">
        <v>80.0</v>
      </c>
      <c r="T236" s="24"/>
      <c r="V236" s="24"/>
      <c r="W236" s="27"/>
      <c r="X236" s="23"/>
      <c r="Z236" s="24"/>
      <c r="AB236" s="24"/>
      <c r="AD236" s="24"/>
      <c r="AF236" s="24"/>
      <c r="AH236" s="24"/>
      <c r="AI236" s="27"/>
      <c r="AJ236" s="39">
        <f t="shared" si="1"/>
        <v>2753.56</v>
      </c>
      <c r="AK236" s="35">
        <f t="shared" si="2"/>
        <v>138</v>
      </c>
      <c r="AL236" s="35">
        <f t="shared" si="3"/>
        <v>80</v>
      </c>
      <c r="AM236" s="35">
        <f t="shared" si="4"/>
        <v>218</v>
      </c>
      <c r="AN236" s="40">
        <f t="shared" si="5"/>
        <v>12.63100917</v>
      </c>
    </row>
    <row r="237" ht="15.75" customHeight="1">
      <c r="A237" s="32" t="s">
        <v>28</v>
      </c>
      <c r="B237" s="34">
        <f t="shared" si="6"/>
        <v>44797</v>
      </c>
      <c r="C237" s="35">
        <v>9.0</v>
      </c>
      <c r="D237" s="35" t="s">
        <v>32</v>
      </c>
      <c r="E237" s="87" t="s">
        <v>35</v>
      </c>
      <c r="F237" s="23"/>
      <c r="H237" s="24"/>
      <c r="J237" s="24"/>
      <c r="L237" s="25">
        <v>73.0</v>
      </c>
      <c r="N237" s="26">
        <v>73.0</v>
      </c>
      <c r="P237" s="86"/>
      <c r="R237" s="26">
        <v>80.0</v>
      </c>
      <c r="T237" s="24"/>
      <c r="V237" s="24"/>
      <c r="W237" s="27"/>
      <c r="X237" s="23"/>
      <c r="Z237" s="24"/>
      <c r="AB237" s="24"/>
      <c r="AD237" s="24"/>
      <c r="AF237" s="24"/>
      <c r="AH237" s="24"/>
      <c r="AI237" s="27"/>
      <c r="AJ237" s="39">
        <f t="shared" si="1"/>
        <v>2883.32</v>
      </c>
      <c r="AK237" s="35">
        <f t="shared" si="2"/>
        <v>146</v>
      </c>
      <c r="AL237" s="35">
        <f t="shared" si="3"/>
        <v>80</v>
      </c>
      <c r="AM237" s="35">
        <f t="shared" si="4"/>
        <v>226</v>
      </c>
      <c r="AN237" s="40">
        <f t="shared" si="5"/>
        <v>12.7580531</v>
      </c>
    </row>
    <row r="238" ht="15.75" customHeight="1">
      <c r="A238" s="32" t="s">
        <v>29</v>
      </c>
      <c r="B238" s="34">
        <f t="shared" si="6"/>
        <v>44798</v>
      </c>
      <c r="C238" s="35">
        <v>9.0</v>
      </c>
      <c r="D238" s="35" t="s">
        <v>32</v>
      </c>
      <c r="E238" s="87" t="s">
        <v>35</v>
      </c>
      <c r="F238" s="23"/>
      <c r="H238" s="24"/>
      <c r="J238" s="24"/>
      <c r="L238" s="25">
        <v>73.0</v>
      </c>
      <c r="N238" s="26">
        <v>73.0</v>
      </c>
      <c r="P238" s="86"/>
      <c r="R238" s="26">
        <v>80.0</v>
      </c>
      <c r="T238" s="24"/>
      <c r="V238" s="24"/>
      <c r="W238" s="27"/>
      <c r="X238" s="23"/>
      <c r="Z238" s="24"/>
      <c r="AB238" s="24"/>
      <c r="AD238" s="24"/>
      <c r="AF238" s="24"/>
      <c r="AH238" s="24"/>
      <c r="AI238" s="27"/>
      <c r="AJ238" s="39">
        <f t="shared" si="1"/>
        <v>2883.32</v>
      </c>
      <c r="AK238" s="35">
        <f t="shared" si="2"/>
        <v>146</v>
      </c>
      <c r="AL238" s="35">
        <f t="shared" si="3"/>
        <v>80</v>
      </c>
      <c r="AM238" s="35">
        <f t="shared" si="4"/>
        <v>226</v>
      </c>
      <c r="AN238" s="40">
        <f t="shared" si="5"/>
        <v>12.7580531</v>
      </c>
    </row>
    <row r="239" ht="15.75" customHeight="1">
      <c r="A239" s="32" t="s">
        <v>30</v>
      </c>
      <c r="B239" s="34">
        <f t="shared" si="6"/>
        <v>44799</v>
      </c>
      <c r="C239" s="35">
        <v>9.0</v>
      </c>
      <c r="D239" s="35" t="s">
        <v>32</v>
      </c>
      <c r="E239" s="87" t="s">
        <v>35</v>
      </c>
      <c r="F239" s="23"/>
      <c r="H239" s="24"/>
      <c r="J239" s="24"/>
      <c r="L239" s="25">
        <v>73.0</v>
      </c>
      <c r="N239" s="26">
        <v>73.0</v>
      </c>
      <c r="P239" s="86"/>
      <c r="R239" s="26">
        <v>80.0</v>
      </c>
      <c r="T239" s="24"/>
      <c r="V239" s="24"/>
      <c r="W239" s="27"/>
      <c r="X239" s="23"/>
      <c r="Z239" s="24"/>
      <c r="AB239" s="24"/>
      <c r="AD239" s="24"/>
      <c r="AF239" s="24"/>
      <c r="AH239" s="24"/>
      <c r="AI239" s="27"/>
      <c r="AJ239" s="39">
        <f t="shared" si="1"/>
        <v>2883.32</v>
      </c>
      <c r="AK239" s="35">
        <f t="shared" si="2"/>
        <v>146</v>
      </c>
      <c r="AL239" s="35">
        <f t="shared" si="3"/>
        <v>80</v>
      </c>
      <c r="AM239" s="35">
        <f t="shared" si="4"/>
        <v>226</v>
      </c>
      <c r="AN239" s="40">
        <f t="shared" si="5"/>
        <v>12.7580531</v>
      </c>
    </row>
    <row r="240" ht="15.75" customHeight="1">
      <c r="A240" s="48" t="s">
        <v>31</v>
      </c>
      <c r="B240" s="50">
        <f t="shared" si="6"/>
        <v>44800</v>
      </c>
      <c r="C240" s="51">
        <v>9.0</v>
      </c>
      <c r="D240" s="51" t="s">
        <v>32</v>
      </c>
      <c r="E240" s="88" t="s">
        <v>35</v>
      </c>
      <c r="F240" s="54"/>
      <c r="G240" s="56"/>
      <c r="H240" s="57"/>
      <c r="I240" s="56"/>
      <c r="J240" s="57"/>
      <c r="K240" s="56"/>
      <c r="L240" s="58">
        <v>73.0</v>
      </c>
      <c r="M240" s="56"/>
      <c r="N240" s="59">
        <v>73.0</v>
      </c>
      <c r="O240" s="56"/>
      <c r="P240" s="89"/>
      <c r="Q240" s="56"/>
      <c r="R240" s="59"/>
      <c r="S240" s="56"/>
      <c r="T240" s="57"/>
      <c r="U240" s="56"/>
      <c r="V240" s="57"/>
      <c r="W240" s="60"/>
      <c r="X240" s="54"/>
      <c r="Y240" s="56"/>
      <c r="Z240" s="57"/>
      <c r="AA240" s="56"/>
      <c r="AB240" s="57"/>
      <c r="AC240" s="56"/>
      <c r="AD240" s="57"/>
      <c r="AE240" s="56"/>
      <c r="AF240" s="57"/>
      <c r="AG240" s="56"/>
      <c r="AH240" s="57"/>
      <c r="AI240" s="60"/>
      <c r="AJ240" s="61">
        <f t="shared" si="1"/>
        <v>2368.12</v>
      </c>
      <c r="AK240" s="51">
        <f t="shared" si="2"/>
        <v>146</v>
      </c>
      <c r="AL240" s="51" t="str">
        <f t="shared" si="3"/>
        <v/>
      </c>
      <c r="AM240" s="51">
        <f t="shared" si="4"/>
        <v>146</v>
      </c>
      <c r="AN240" s="63">
        <f t="shared" si="5"/>
        <v>16.22</v>
      </c>
    </row>
    <row r="241" ht="15.75" customHeight="1">
      <c r="A241" s="18" t="s">
        <v>20</v>
      </c>
      <c r="B241" s="64">
        <f t="shared" si="6"/>
        <v>44801</v>
      </c>
      <c r="C241" s="20">
        <v>9.0</v>
      </c>
      <c r="D241" s="20" t="s">
        <v>33</v>
      </c>
      <c r="E241" s="22"/>
      <c r="F241" s="23"/>
      <c r="H241" s="24"/>
      <c r="J241" s="24"/>
      <c r="L241" s="25">
        <v>73.0</v>
      </c>
      <c r="N241" s="26">
        <v>73.0</v>
      </c>
      <c r="P241" s="24"/>
      <c r="R241" s="26">
        <v>80.0</v>
      </c>
      <c r="T241" s="24"/>
      <c r="V241" s="24"/>
      <c r="W241" s="27"/>
      <c r="X241" s="23"/>
      <c r="Z241" s="24"/>
      <c r="AB241" s="24"/>
      <c r="AD241" s="24"/>
      <c r="AF241" s="24"/>
      <c r="AH241" s="24"/>
      <c r="AI241" s="27"/>
      <c r="AJ241" s="28">
        <f t="shared" si="1"/>
        <v>2883.32</v>
      </c>
      <c r="AK241" s="20">
        <f t="shared" si="2"/>
        <v>146</v>
      </c>
      <c r="AL241" s="20">
        <f t="shared" si="3"/>
        <v>80</v>
      </c>
      <c r="AM241" s="20">
        <f t="shared" si="4"/>
        <v>226</v>
      </c>
      <c r="AN241" s="31">
        <f t="shared" si="5"/>
        <v>12.7580531</v>
      </c>
    </row>
    <row r="242" ht="15.75" customHeight="1">
      <c r="A242" s="32" t="s">
        <v>22</v>
      </c>
      <c r="B242" s="34">
        <f t="shared" si="6"/>
        <v>44802</v>
      </c>
      <c r="C242" s="35">
        <v>9.0</v>
      </c>
      <c r="D242" s="35" t="s">
        <v>33</v>
      </c>
      <c r="E242" s="37"/>
      <c r="F242" s="23"/>
      <c r="H242" s="24"/>
      <c r="J242" s="24"/>
      <c r="L242" s="25">
        <v>73.0</v>
      </c>
      <c r="N242" s="26">
        <v>73.0</v>
      </c>
      <c r="P242" s="24"/>
      <c r="R242" s="26">
        <v>80.0</v>
      </c>
      <c r="T242" s="24"/>
      <c r="V242" s="24"/>
      <c r="W242" s="27"/>
      <c r="X242" s="23"/>
      <c r="Z242" s="24"/>
      <c r="AB242" s="24"/>
      <c r="AD242" s="24"/>
      <c r="AF242" s="24"/>
      <c r="AH242" s="24"/>
      <c r="AI242" s="27"/>
      <c r="AJ242" s="39">
        <f t="shared" si="1"/>
        <v>2883.32</v>
      </c>
      <c r="AK242" s="35">
        <f t="shared" si="2"/>
        <v>146</v>
      </c>
      <c r="AL242" s="35">
        <f t="shared" si="3"/>
        <v>80</v>
      </c>
      <c r="AM242" s="35">
        <f t="shared" si="4"/>
        <v>226</v>
      </c>
      <c r="AN242" s="40">
        <f t="shared" si="5"/>
        <v>12.7580531</v>
      </c>
    </row>
    <row r="243" ht="15.75" customHeight="1">
      <c r="A243" s="32" t="s">
        <v>24</v>
      </c>
      <c r="B243" s="34">
        <f t="shared" si="6"/>
        <v>44803</v>
      </c>
      <c r="C243" s="35">
        <v>9.0</v>
      </c>
      <c r="D243" s="35" t="s">
        <v>33</v>
      </c>
      <c r="E243" s="37"/>
      <c r="F243" s="23"/>
      <c r="H243" s="24"/>
      <c r="J243" s="24"/>
      <c r="L243" s="25">
        <v>73.0</v>
      </c>
      <c r="N243" s="26">
        <v>73.0</v>
      </c>
      <c r="P243" s="24"/>
      <c r="R243" s="26">
        <v>80.0</v>
      </c>
      <c r="T243" s="24"/>
      <c r="V243" s="24"/>
      <c r="W243" s="27"/>
      <c r="X243" s="23"/>
      <c r="Z243" s="24"/>
      <c r="AB243" s="24"/>
      <c r="AD243" s="24"/>
      <c r="AF243" s="24"/>
      <c r="AH243" s="24"/>
      <c r="AI243" s="27"/>
      <c r="AJ243" s="39">
        <f t="shared" si="1"/>
        <v>2883.32</v>
      </c>
      <c r="AK243" s="35">
        <f t="shared" si="2"/>
        <v>146</v>
      </c>
      <c r="AL243" s="35">
        <f t="shared" si="3"/>
        <v>80</v>
      </c>
      <c r="AM243" s="35">
        <f t="shared" si="4"/>
        <v>226</v>
      </c>
      <c r="AN243" s="40">
        <f t="shared" si="5"/>
        <v>12.7580531</v>
      </c>
    </row>
    <row r="244" ht="15.75" customHeight="1">
      <c r="A244" s="32" t="s">
        <v>28</v>
      </c>
      <c r="B244" s="34">
        <f t="shared" si="6"/>
        <v>44804</v>
      </c>
      <c r="C244" s="35">
        <v>9.0</v>
      </c>
      <c r="D244" s="35" t="s">
        <v>33</v>
      </c>
      <c r="E244" s="37"/>
      <c r="F244" s="23"/>
      <c r="H244" s="24"/>
      <c r="J244" s="24"/>
      <c r="L244" s="25">
        <v>73.0</v>
      </c>
      <c r="N244" s="26">
        <v>73.0</v>
      </c>
      <c r="P244" s="24"/>
      <c r="R244" s="26">
        <v>80.0</v>
      </c>
      <c r="T244" s="24"/>
      <c r="V244" s="24"/>
      <c r="W244" s="27"/>
      <c r="X244" s="23"/>
      <c r="Z244" s="24"/>
      <c r="AB244" s="24"/>
      <c r="AD244" s="24"/>
      <c r="AF244" s="24"/>
      <c r="AH244" s="24"/>
      <c r="AI244" s="27"/>
      <c r="AJ244" s="39">
        <f t="shared" si="1"/>
        <v>2883.32</v>
      </c>
      <c r="AK244" s="35">
        <f t="shared" si="2"/>
        <v>146</v>
      </c>
      <c r="AL244" s="35">
        <f t="shared" si="3"/>
        <v>80</v>
      </c>
      <c r="AM244" s="35">
        <f t="shared" si="4"/>
        <v>226</v>
      </c>
      <c r="AN244" s="40">
        <f t="shared" si="5"/>
        <v>12.7580531</v>
      </c>
    </row>
    <row r="245" ht="15.75" customHeight="1">
      <c r="A245" s="32" t="s">
        <v>29</v>
      </c>
      <c r="B245" s="34">
        <f t="shared" si="6"/>
        <v>44805</v>
      </c>
      <c r="C245" s="35">
        <v>9.0</v>
      </c>
      <c r="D245" s="35" t="s">
        <v>33</v>
      </c>
      <c r="E245" s="37"/>
      <c r="F245" s="23"/>
      <c r="H245" s="24"/>
      <c r="J245" s="24"/>
      <c r="L245" s="25">
        <v>73.0</v>
      </c>
      <c r="N245" s="26">
        <v>73.0</v>
      </c>
      <c r="P245" s="24"/>
      <c r="R245" s="26">
        <v>80.0</v>
      </c>
      <c r="T245" s="24"/>
      <c r="V245" s="24"/>
      <c r="W245" s="27"/>
      <c r="X245" s="23"/>
      <c r="Z245" s="24"/>
      <c r="AB245" s="24"/>
      <c r="AD245" s="24"/>
      <c r="AF245" s="24"/>
      <c r="AH245" s="24"/>
      <c r="AI245" s="27"/>
      <c r="AJ245" s="39">
        <f t="shared" si="1"/>
        <v>2883.32</v>
      </c>
      <c r="AK245" s="35">
        <f t="shared" si="2"/>
        <v>146</v>
      </c>
      <c r="AL245" s="35">
        <f t="shared" si="3"/>
        <v>80</v>
      </c>
      <c r="AM245" s="35">
        <f t="shared" si="4"/>
        <v>226</v>
      </c>
      <c r="AN245" s="40">
        <f t="shared" si="5"/>
        <v>12.7580531</v>
      </c>
    </row>
    <row r="246" ht="15.75" customHeight="1">
      <c r="A246" s="32" t="s">
        <v>30</v>
      </c>
      <c r="B246" s="34">
        <f t="shared" si="6"/>
        <v>44806</v>
      </c>
      <c r="C246" s="35">
        <v>9.0</v>
      </c>
      <c r="D246" s="35" t="s">
        <v>33</v>
      </c>
      <c r="E246" s="37"/>
      <c r="F246" s="23"/>
      <c r="H246" s="24"/>
      <c r="J246" s="24"/>
      <c r="L246" s="25">
        <v>73.0</v>
      </c>
      <c r="N246" s="26">
        <v>73.0</v>
      </c>
      <c r="P246" s="24"/>
      <c r="R246" s="26">
        <v>80.0</v>
      </c>
      <c r="T246" s="24"/>
      <c r="V246" s="24"/>
      <c r="W246" s="27"/>
      <c r="X246" s="23"/>
      <c r="Z246" s="24"/>
      <c r="AB246" s="24"/>
      <c r="AD246" s="24"/>
      <c r="AF246" s="24"/>
      <c r="AH246" s="24"/>
      <c r="AI246" s="27"/>
      <c r="AJ246" s="39">
        <f t="shared" si="1"/>
        <v>2883.32</v>
      </c>
      <c r="AK246" s="35">
        <f t="shared" si="2"/>
        <v>146</v>
      </c>
      <c r="AL246" s="35">
        <f t="shared" si="3"/>
        <v>80</v>
      </c>
      <c r="AM246" s="35">
        <f t="shared" si="4"/>
        <v>226</v>
      </c>
      <c r="AN246" s="40">
        <f t="shared" si="5"/>
        <v>12.7580531</v>
      </c>
    </row>
    <row r="247" ht="15.75" customHeight="1">
      <c r="A247" s="48" t="s">
        <v>31</v>
      </c>
      <c r="B247" s="50">
        <f t="shared" si="6"/>
        <v>44807</v>
      </c>
      <c r="C247" s="51">
        <v>9.0</v>
      </c>
      <c r="D247" s="51" t="s">
        <v>33</v>
      </c>
      <c r="E247" s="53"/>
      <c r="F247" s="54"/>
      <c r="G247" s="56"/>
      <c r="H247" s="57"/>
      <c r="I247" s="56"/>
      <c r="J247" s="57"/>
      <c r="K247" s="56"/>
      <c r="L247" s="58">
        <v>73.0</v>
      </c>
      <c r="M247" s="56"/>
      <c r="N247" s="59">
        <v>73.0</v>
      </c>
      <c r="O247" s="56"/>
      <c r="P247" s="57"/>
      <c r="Q247" s="56"/>
      <c r="R247" s="59"/>
      <c r="S247" s="56"/>
      <c r="T247" s="57"/>
      <c r="U247" s="56"/>
      <c r="V247" s="57"/>
      <c r="W247" s="60"/>
      <c r="X247" s="54"/>
      <c r="Y247" s="56"/>
      <c r="Z247" s="57"/>
      <c r="AA247" s="56"/>
      <c r="AB247" s="57"/>
      <c r="AC247" s="56"/>
      <c r="AD247" s="57"/>
      <c r="AE247" s="56"/>
      <c r="AF247" s="57"/>
      <c r="AG247" s="56"/>
      <c r="AH247" s="57"/>
      <c r="AI247" s="60"/>
      <c r="AJ247" s="61">
        <f t="shared" si="1"/>
        <v>2368.12</v>
      </c>
      <c r="AK247" s="51">
        <f t="shared" si="2"/>
        <v>146</v>
      </c>
      <c r="AL247" s="51" t="str">
        <f t="shared" si="3"/>
        <v/>
      </c>
      <c r="AM247" s="51">
        <f t="shared" si="4"/>
        <v>146</v>
      </c>
      <c r="AN247" s="63">
        <f t="shared" si="5"/>
        <v>16.22</v>
      </c>
    </row>
    <row r="248" ht="15.75" customHeight="1">
      <c r="A248" s="18" t="s">
        <v>20</v>
      </c>
      <c r="B248" s="64">
        <f t="shared" si="6"/>
        <v>44808</v>
      </c>
      <c r="C248" s="20">
        <v>9.0</v>
      </c>
      <c r="D248" s="20" t="s">
        <v>34</v>
      </c>
      <c r="E248" s="22"/>
      <c r="F248" s="23"/>
      <c r="H248" s="24"/>
      <c r="J248" s="24"/>
      <c r="L248" s="25">
        <v>73.0</v>
      </c>
      <c r="N248" s="26">
        <v>73.0</v>
      </c>
      <c r="P248" s="24"/>
      <c r="R248" s="26">
        <v>80.0</v>
      </c>
      <c r="T248" s="24"/>
      <c r="V248" s="24"/>
      <c r="W248" s="27"/>
      <c r="X248" s="23"/>
      <c r="Z248" s="24"/>
      <c r="AB248" s="24"/>
      <c r="AD248" s="24"/>
      <c r="AF248" s="24"/>
      <c r="AH248" s="24"/>
      <c r="AI248" s="27"/>
      <c r="AJ248" s="28">
        <f t="shared" si="1"/>
        <v>2883.32</v>
      </c>
      <c r="AK248" s="20">
        <f t="shared" si="2"/>
        <v>146</v>
      </c>
      <c r="AL248" s="20">
        <f t="shared" si="3"/>
        <v>80</v>
      </c>
      <c r="AM248" s="20">
        <f t="shared" si="4"/>
        <v>226</v>
      </c>
      <c r="AN248" s="31">
        <f t="shared" si="5"/>
        <v>12.7580531</v>
      </c>
    </row>
    <row r="249" ht="15.75" customHeight="1">
      <c r="A249" s="32" t="s">
        <v>22</v>
      </c>
      <c r="B249" s="34">
        <f t="shared" si="6"/>
        <v>44809</v>
      </c>
      <c r="C249" s="35">
        <v>9.0</v>
      </c>
      <c r="D249" s="35" t="s">
        <v>34</v>
      </c>
      <c r="E249" s="37"/>
      <c r="F249" s="23"/>
      <c r="H249" s="24"/>
      <c r="J249" s="24"/>
      <c r="L249" s="25">
        <v>73.0</v>
      </c>
      <c r="N249" s="26">
        <v>73.0</v>
      </c>
      <c r="P249" s="24"/>
      <c r="R249" s="26">
        <v>80.0</v>
      </c>
      <c r="T249" s="24"/>
      <c r="V249" s="24"/>
      <c r="W249" s="27"/>
      <c r="X249" s="23"/>
      <c r="Z249" s="24"/>
      <c r="AB249" s="24"/>
      <c r="AD249" s="24"/>
      <c r="AF249" s="24"/>
      <c r="AH249" s="24"/>
      <c r="AI249" s="27"/>
      <c r="AJ249" s="39">
        <f t="shared" si="1"/>
        <v>2883.32</v>
      </c>
      <c r="AK249" s="35">
        <f t="shared" si="2"/>
        <v>146</v>
      </c>
      <c r="AL249" s="35">
        <f t="shared" si="3"/>
        <v>80</v>
      </c>
      <c r="AM249" s="35">
        <f t="shared" si="4"/>
        <v>226</v>
      </c>
      <c r="AN249" s="40">
        <f t="shared" si="5"/>
        <v>12.7580531</v>
      </c>
    </row>
    <row r="250" ht="15.75" customHeight="1">
      <c r="A250" s="32" t="s">
        <v>24</v>
      </c>
      <c r="B250" s="34">
        <f t="shared" si="6"/>
        <v>44810</v>
      </c>
      <c r="C250" s="35">
        <v>9.0</v>
      </c>
      <c r="D250" s="35" t="s">
        <v>34</v>
      </c>
      <c r="E250" s="37"/>
      <c r="F250" s="23"/>
      <c r="H250" s="24"/>
      <c r="J250" s="24"/>
      <c r="L250" s="25">
        <v>73.0</v>
      </c>
      <c r="N250" s="26">
        <v>73.0</v>
      </c>
      <c r="P250" s="24"/>
      <c r="R250" s="26">
        <v>80.0</v>
      </c>
      <c r="T250" s="24"/>
      <c r="V250" s="24"/>
      <c r="W250" s="27"/>
      <c r="X250" s="23"/>
      <c r="Z250" s="24"/>
      <c r="AB250" s="24"/>
      <c r="AD250" s="24"/>
      <c r="AF250" s="24"/>
      <c r="AH250" s="24"/>
      <c r="AI250" s="27"/>
      <c r="AJ250" s="39">
        <f t="shared" si="1"/>
        <v>2883.32</v>
      </c>
      <c r="AK250" s="35">
        <f t="shared" si="2"/>
        <v>146</v>
      </c>
      <c r="AL250" s="35">
        <f t="shared" si="3"/>
        <v>80</v>
      </c>
      <c r="AM250" s="35">
        <f t="shared" si="4"/>
        <v>226</v>
      </c>
      <c r="AN250" s="40">
        <f t="shared" si="5"/>
        <v>12.7580531</v>
      </c>
    </row>
    <row r="251" ht="15.75" customHeight="1">
      <c r="A251" s="32" t="s">
        <v>28</v>
      </c>
      <c r="B251" s="34">
        <f t="shared" si="6"/>
        <v>44811</v>
      </c>
      <c r="C251" s="35">
        <v>9.0</v>
      </c>
      <c r="D251" s="35" t="s">
        <v>34</v>
      </c>
      <c r="E251" s="37"/>
      <c r="F251" s="23"/>
      <c r="H251" s="24"/>
      <c r="J251" s="24"/>
      <c r="L251" s="25">
        <v>73.0</v>
      </c>
      <c r="N251" s="26">
        <v>73.0</v>
      </c>
      <c r="P251" s="24"/>
      <c r="R251" s="26">
        <v>80.0</v>
      </c>
      <c r="T251" s="24"/>
      <c r="V251" s="24"/>
      <c r="W251" s="27"/>
      <c r="X251" s="23"/>
      <c r="Z251" s="24"/>
      <c r="AB251" s="24"/>
      <c r="AD251" s="24"/>
      <c r="AF251" s="24"/>
      <c r="AH251" s="24"/>
      <c r="AI251" s="27"/>
      <c r="AJ251" s="39">
        <f t="shared" si="1"/>
        <v>2883.32</v>
      </c>
      <c r="AK251" s="35">
        <f t="shared" si="2"/>
        <v>146</v>
      </c>
      <c r="AL251" s="35">
        <f t="shared" si="3"/>
        <v>80</v>
      </c>
      <c r="AM251" s="35">
        <f t="shared" si="4"/>
        <v>226</v>
      </c>
      <c r="AN251" s="40">
        <f t="shared" si="5"/>
        <v>12.7580531</v>
      </c>
    </row>
    <row r="252" ht="15.75" customHeight="1">
      <c r="A252" s="32" t="s">
        <v>29</v>
      </c>
      <c r="B252" s="34">
        <f t="shared" si="6"/>
        <v>44812</v>
      </c>
      <c r="C252" s="35">
        <v>9.0</v>
      </c>
      <c r="D252" s="35" t="s">
        <v>34</v>
      </c>
      <c r="E252" s="37"/>
      <c r="F252" s="23"/>
      <c r="H252" s="24"/>
      <c r="J252" s="24"/>
      <c r="L252" s="25">
        <v>73.0</v>
      </c>
      <c r="N252" s="26">
        <v>73.0</v>
      </c>
      <c r="P252" s="24"/>
      <c r="R252" s="26">
        <v>80.0</v>
      </c>
      <c r="T252" s="24"/>
      <c r="V252" s="24"/>
      <c r="W252" s="27"/>
      <c r="X252" s="23"/>
      <c r="Z252" s="24"/>
      <c r="AB252" s="24"/>
      <c r="AD252" s="24"/>
      <c r="AF252" s="24"/>
      <c r="AH252" s="24"/>
      <c r="AI252" s="27"/>
      <c r="AJ252" s="39">
        <f t="shared" si="1"/>
        <v>2883.32</v>
      </c>
      <c r="AK252" s="35">
        <f t="shared" si="2"/>
        <v>146</v>
      </c>
      <c r="AL252" s="35">
        <f t="shared" si="3"/>
        <v>80</v>
      </c>
      <c r="AM252" s="35">
        <f t="shared" si="4"/>
        <v>226</v>
      </c>
      <c r="AN252" s="40">
        <f t="shared" si="5"/>
        <v>12.7580531</v>
      </c>
    </row>
    <row r="253" ht="15.75" customHeight="1">
      <c r="A253" s="32" t="s">
        <v>30</v>
      </c>
      <c r="B253" s="34">
        <f t="shared" si="6"/>
        <v>44813</v>
      </c>
      <c r="C253" s="35">
        <v>9.0</v>
      </c>
      <c r="D253" s="35" t="s">
        <v>34</v>
      </c>
      <c r="E253" s="37"/>
      <c r="F253" s="23"/>
      <c r="H253" s="24"/>
      <c r="J253" s="24"/>
      <c r="L253" s="25">
        <v>73.0</v>
      </c>
      <c r="N253" s="26">
        <v>73.0</v>
      </c>
      <c r="P253" s="24"/>
      <c r="R253" s="26">
        <v>80.0</v>
      </c>
      <c r="T253" s="24"/>
      <c r="V253" s="24"/>
      <c r="W253" s="27"/>
      <c r="X253" s="23"/>
      <c r="Z253" s="24"/>
      <c r="AB253" s="24"/>
      <c r="AD253" s="24"/>
      <c r="AF253" s="24"/>
      <c r="AH253" s="24"/>
      <c r="AI253" s="27"/>
      <c r="AJ253" s="39">
        <f t="shared" si="1"/>
        <v>2883.32</v>
      </c>
      <c r="AK253" s="35">
        <f t="shared" si="2"/>
        <v>146</v>
      </c>
      <c r="AL253" s="35">
        <f t="shared" si="3"/>
        <v>80</v>
      </c>
      <c r="AM253" s="35">
        <f t="shared" si="4"/>
        <v>226</v>
      </c>
      <c r="AN253" s="40">
        <f t="shared" si="5"/>
        <v>12.7580531</v>
      </c>
    </row>
    <row r="254" ht="15.75" customHeight="1">
      <c r="A254" s="48" t="s">
        <v>31</v>
      </c>
      <c r="B254" s="50">
        <f t="shared" si="6"/>
        <v>44814</v>
      </c>
      <c r="C254" s="51">
        <v>9.0</v>
      </c>
      <c r="D254" s="51" t="s">
        <v>34</v>
      </c>
      <c r="E254" s="53"/>
      <c r="F254" s="54"/>
      <c r="G254" s="56"/>
      <c r="H254" s="57"/>
      <c r="I254" s="56"/>
      <c r="J254" s="57"/>
      <c r="K254" s="56"/>
      <c r="L254" s="58">
        <v>73.0</v>
      </c>
      <c r="M254" s="56"/>
      <c r="N254" s="59">
        <v>73.0</v>
      </c>
      <c r="O254" s="56"/>
      <c r="P254" s="57"/>
      <c r="Q254" s="56"/>
      <c r="R254" s="59"/>
      <c r="S254" s="56"/>
      <c r="T254" s="57"/>
      <c r="U254" s="56"/>
      <c r="V254" s="57"/>
      <c r="W254" s="60"/>
      <c r="X254" s="54"/>
      <c r="Y254" s="56"/>
      <c r="Z254" s="57"/>
      <c r="AA254" s="56"/>
      <c r="AB254" s="57"/>
      <c r="AC254" s="56"/>
      <c r="AD254" s="57"/>
      <c r="AE254" s="56"/>
      <c r="AF254" s="57"/>
      <c r="AG254" s="56"/>
      <c r="AH254" s="57"/>
      <c r="AI254" s="60"/>
      <c r="AJ254" s="61">
        <f t="shared" si="1"/>
        <v>2368.12</v>
      </c>
      <c r="AK254" s="51">
        <f t="shared" si="2"/>
        <v>146</v>
      </c>
      <c r="AL254" s="51" t="str">
        <f t="shared" si="3"/>
        <v/>
      </c>
      <c r="AM254" s="51">
        <f t="shared" si="4"/>
        <v>146</v>
      </c>
      <c r="AN254" s="63">
        <f t="shared" si="5"/>
        <v>16.22</v>
      </c>
    </row>
    <row r="255" ht="15.75" customHeight="1">
      <c r="A255" s="18" t="s">
        <v>20</v>
      </c>
      <c r="B255" s="64">
        <f t="shared" si="6"/>
        <v>44815</v>
      </c>
      <c r="C255" s="20">
        <v>10.0</v>
      </c>
      <c r="D255" s="20" t="s">
        <v>21</v>
      </c>
      <c r="E255" s="22"/>
      <c r="F255" s="23"/>
      <c r="H255" s="24"/>
      <c r="J255" s="24"/>
      <c r="L255" s="25">
        <v>73.0</v>
      </c>
      <c r="N255" s="26">
        <v>73.0</v>
      </c>
      <c r="P255" s="24"/>
      <c r="R255" s="26">
        <v>80.0</v>
      </c>
      <c r="T255" s="24"/>
      <c r="V255" s="24"/>
      <c r="W255" s="27"/>
      <c r="X255" s="23"/>
      <c r="Z255" s="24"/>
      <c r="AB255" s="24"/>
      <c r="AD255" s="24"/>
      <c r="AF255" s="24"/>
      <c r="AH255" s="24"/>
      <c r="AI255" s="27"/>
      <c r="AJ255" s="28">
        <f t="shared" si="1"/>
        <v>2883.32</v>
      </c>
      <c r="AK255" s="20">
        <f t="shared" si="2"/>
        <v>146</v>
      </c>
      <c r="AL255" s="20">
        <f t="shared" si="3"/>
        <v>80</v>
      </c>
      <c r="AM255" s="20">
        <f t="shared" si="4"/>
        <v>226</v>
      </c>
      <c r="AN255" s="31">
        <f t="shared" si="5"/>
        <v>12.7580531</v>
      </c>
    </row>
    <row r="256" ht="15.75" customHeight="1">
      <c r="A256" s="32" t="s">
        <v>22</v>
      </c>
      <c r="B256" s="34">
        <f t="shared" si="6"/>
        <v>44816</v>
      </c>
      <c r="C256" s="35">
        <v>10.0</v>
      </c>
      <c r="D256" s="35" t="s">
        <v>21</v>
      </c>
      <c r="E256" s="37"/>
      <c r="F256" s="23"/>
      <c r="H256" s="24"/>
      <c r="J256" s="24"/>
      <c r="L256" s="25">
        <v>73.0</v>
      </c>
      <c r="N256" s="26">
        <v>73.0</v>
      </c>
      <c r="P256" s="24"/>
      <c r="R256" s="26">
        <v>80.0</v>
      </c>
      <c r="T256" s="24"/>
      <c r="V256" s="24"/>
      <c r="W256" s="27"/>
      <c r="X256" s="23"/>
      <c r="Z256" s="24"/>
      <c r="AB256" s="24"/>
      <c r="AD256" s="24"/>
      <c r="AF256" s="24"/>
      <c r="AH256" s="24"/>
      <c r="AI256" s="27"/>
      <c r="AJ256" s="39">
        <f t="shared" si="1"/>
        <v>2883.32</v>
      </c>
      <c r="AK256" s="35">
        <f t="shared" si="2"/>
        <v>146</v>
      </c>
      <c r="AL256" s="35">
        <f t="shared" si="3"/>
        <v>80</v>
      </c>
      <c r="AM256" s="35">
        <f t="shared" si="4"/>
        <v>226</v>
      </c>
      <c r="AN256" s="40">
        <f t="shared" si="5"/>
        <v>12.7580531</v>
      </c>
    </row>
    <row r="257" ht="15.75" customHeight="1">
      <c r="A257" s="32" t="s">
        <v>24</v>
      </c>
      <c r="B257" s="34">
        <f t="shared" si="6"/>
        <v>44817</v>
      </c>
      <c r="C257" s="35">
        <v>10.0</v>
      </c>
      <c r="D257" s="35" t="s">
        <v>21</v>
      </c>
      <c r="E257" s="37"/>
      <c r="F257" s="23"/>
      <c r="H257" s="24"/>
      <c r="J257" s="24"/>
      <c r="L257" s="25">
        <v>73.0</v>
      </c>
      <c r="N257" s="26">
        <v>73.0</v>
      </c>
      <c r="P257" s="24"/>
      <c r="R257" s="26">
        <v>80.0</v>
      </c>
      <c r="T257" s="24"/>
      <c r="V257" s="24"/>
      <c r="W257" s="27"/>
      <c r="X257" s="23"/>
      <c r="Z257" s="24"/>
      <c r="AB257" s="24"/>
      <c r="AD257" s="24"/>
      <c r="AF257" s="24"/>
      <c r="AH257" s="24"/>
      <c r="AI257" s="27"/>
      <c r="AJ257" s="39">
        <f t="shared" si="1"/>
        <v>2883.32</v>
      </c>
      <c r="AK257" s="35">
        <f t="shared" si="2"/>
        <v>146</v>
      </c>
      <c r="AL257" s="35">
        <f t="shared" si="3"/>
        <v>80</v>
      </c>
      <c r="AM257" s="35">
        <f t="shared" si="4"/>
        <v>226</v>
      </c>
      <c r="AN257" s="40">
        <f t="shared" si="5"/>
        <v>12.7580531</v>
      </c>
    </row>
    <row r="258" ht="15.75" customHeight="1">
      <c r="A258" s="32" t="s">
        <v>28</v>
      </c>
      <c r="B258" s="34">
        <f t="shared" si="6"/>
        <v>44818</v>
      </c>
      <c r="C258" s="35">
        <v>10.0</v>
      </c>
      <c r="D258" s="35" t="s">
        <v>21</v>
      </c>
      <c r="E258" s="37"/>
      <c r="F258" s="23"/>
      <c r="H258" s="24"/>
      <c r="J258" s="24"/>
      <c r="L258" s="25">
        <v>73.0</v>
      </c>
      <c r="N258" s="26">
        <v>73.0</v>
      </c>
      <c r="P258" s="24"/>
      <c r="R258" s="26">
        <v>80.0</v>
      </c>
      <c r="T258" s="24"/>
      <c r="V258" s="24"/>
      <c r="W258" s="27"/>
      <c r="X258" s="23"/>
      <c r="Z258" s="24"/>
      <c r="AB258" s="24"/>
      <c r="AD258" s="24"/>
      <c r="AF258" s="24"/>
      <c r="AH258" s="24"/>
      <c r="AI258" s="27"/>
      <c r="AJ258" s="39">
        <f t="shared" si="1"/>
        <v>2883.32</v>
      </c>
      <c r="AK258" s="35">
        <f t="shared" si="2"/>
        <v>146</v>
      </c>
      <c r="AL258" s="35">
        <f t="shared" si="3"/>
        <v>80</v>
      </c>
      <c r="AM258" s="35">
        <f t="shared" si="4"/>
        <v>226</v>
      </c>
      <c r="AN258" s="40">
        <f t="shared" si="5"/>
        <v>12.7580531</v>
      </c>
    </row>
    <row r="259" ht="15.75" customHeight="1">
      <c r="A259" s="32" t="s">
        <v>29</v>
      </c>
      <c r="B259" s="34">
        <f t="shared" si="6"/>
        <v>44819</v>
      </c>
      <c r="C259" s="35">
        <v>10.0</v>
      </c>
      <c r="D259" s="35" t="s">
        <v>21</v>
      </c>
      <c r="E259" s="37"/>
      <c r="F259" s="23"/>
      <c r="H259" s="24"/>
      <c r="J259" s="24"/>
      <c r="L259" s="25">
        <v>73.0</v>
      </c>
      <c r="N259" s="26">
        <v>73.0</v>
      </c>
      <c r="P259" s="24"/>
      <c r="R259" s="26">
        <v>80.0</v>
      </c>
      <c r="T259" s="24"/>
      <c r="V259" s="24"/>
      <c r="W259" s="27"/>
      <c r="X259" s="23"/>
      <c r="Z259" s="24"/>
      <c r="AB259" s="24"/>
      <c r="AD259" s="24"/>
      <c r="AF259" s="24"/>
      <c r="AH259" s="24"/>
      <c r="AI259" s="27"/>
      <c r="AJ259" s="39">
        <f t="shared" si="1"/>
        <v>2883.32</v>
      </c>
      <c r="AK259" s="35">
        <f t="shared" si="2"/>
        <v>146</v>
      </c>
      <c r="AL259" s="35">
        <f t="shared" si="3"/>
        <v>80</v>
      </c>
      <c r="AM259" s="35">
        <f t="shared" si="4"/>
        <v>226</v>
      </c>
      <c r="AN259" s="40">
        <f t="shared" si="5"/>
        <v>12.7580531</v>
      </c>
    </row>
    <row r="260" ht="15.75" customHeight="1">
      <c r="A260" s="32" t="s">
        <v>30</v>
      </c>
      <c r="B260" s="34">
        <f t="shared" si="6"/>
        <v>44820</v>
      </c>
      <c r="C260" s="35">
        <v>10.0</v>
      </c>
      <c r="D260" s="35" t="s">
        <v>21</v>
      </c>
      <c r="E260" s="37"/>
      <c r="F260" s="23"/>
      <c r="H260" s="24"/>
      <c r="J260" s="24"/>
      <c r="L260" s="25">
        <v>73.0</v>
      </c>
      <c r="N260" s="26">
        <v>73.0</v>
      </c>
      <c r="P260" s="24"/>
      <c r="R260" s="26">
        <v>80.0</v>
      </c>
      <c r="T260" s="24"/>
      <c r="V260" s="24"/>
      <c r="W260" s="27"/>
      <c r="X260" s="23"/>
      <c r="Z260" s="24"/>
      <c r="AB260" s="24"/>
      <c r="AD260" s="24"/>
      <c r="AF260" s="24"/>
      <c r="AH260" s="24"/>
      <c r="AI260" s="27"/>
      <c r="AJ260" s="39">
        <f t="shared" si="1"/>
        <v>2883.32</v>
      </c>
      <c r="AK260" s="35">
        <f t="shared" si="2"/>
        <v>146</v>
      </c>
      <c r="AL260" s="35">
        <f t="shared" si="3"/>
        <v>80</v>
      </c>
      <c r="AM260" s="35">
        <f t="shared" si="4"/>
        <v>226</v>
      </c>
      <c r="AN260" s="40">
        <f t="shared" si="5"/>
        <v>12.7580531</v>
      </c>
    </row>
    <row r="261" ht="15.75" customHeight="1">
      <c r="A261" s="48" t="s">
        <v>31</v>
      </c>
      <c r="B261" s="50">
        <f t="shared" si="6"/>
        <v>44821</v>
      </c>
      <c r="C261" s="51">
        <v>10.0</v>
      </c>
      <c r="D261" s="51" t="s">
        <v>21</v>
      </c>
      <c r="E261" s="53"/>
      <c r="F261" s="54"/>
      <c r="G261" s="56"/>
      <c r="H261" s="57"/>
      <c r="I261" s="56"/>
      <c r="J261" s="57"/>
      <c r="K261" s="56"/>
      <c r="L261" s="58">
        <v>73.0</v>
      </c>
      <c r="M261" s="56"/>
      <c r="N261" s="59">
        <v>73.0</v>
      </c>
      <c r="O261" s="56"/>
      <c r="P261" s="57"/>
      <c r="Q261" s="56"/>
      <c r="R261" s="59">
        <v>0.0</v>
      </c>
      <c r="S261" s="56"/>
      <c r="T261" s="57"/>
      <c r="U261" s="56"/>
      <c r="V261" s="57"/>
      <c r="W261" s="60"/>
      <c r="X261" s="54"/>
      <c r="Y261" s="56"/>
      <c r="Z261" s="57"/>
      <c r="AA261" s="56"/>
      <c r="AB261" s="57"/>
      <c r="AC261" s="56"/>
      <c r="AD261" s="57"/>
      <c r="AE261" s="56"/>
      <c r="AF261" s="57"/>
      <c r="AG261" s="56"/>
      <c r="AH261" s="57"/>
      <c r="AI261" s="60"/>
      <c r="AJ261" s="61">
        <f t="shared" si="1"/>
        <v>2368.12</v>
      </c>
      <c r="AK261" s="51">
        <f t="shared" si="2"/>
        <v>146</v>
      </c>
      <c r="AL261" s="51">
        <f t="shared" si="3"/>
        <v>0</v>
      </c>
      <c r="AM261" s="51">
        <f t="shared" si="4"/>
        <v>146</v>
      </c>
      <c r="AN261" s="63">
        <f t="shared" si="5"/>
        <v>16.22</v>
      </c>
    </row>
    <row r="262" ht="15.75" customHeight="1">
      <c r="A262" s="18" t="s">
        <v>20</v>
      </c>
      <c r="B262" s="64">
        <f t="shared" si="6"/>
        <v>44822</v>
      </c>
      <c r="C262" s="20">
        <v>10.0</v>
      </c>
      <c r="D262" s="20" t="s">
        <v>32</v>
      </c>
      <c r="E262" s="22"/>
      <c r="F262" s="23"/>
      <c r="H262" s="24"/>
      <c r="J262" s="24"/>
      <c r="L262" s="25">
        <v>73.0</v>
      </c>
      <c r="N262" s="26">
        <v>73.0</v>
      </c>
      <c r="P262" s="24"/>
      <c r="R262" s="26">
        <v>0.0</v>
      </c>
      <c r="T262" s="24"/>
      <c r="V262" s="24"/>
      <c r="W262" s="27"/>
      <c r="X262" s="23"/>
      <c r="Z262" s="24"/>
      <c r="AB262" s="24"/>
      <c r="AD262" s="24"/>
      <c r="AF262" s="24"/>
      <c r="AH262" s="24"/>
      <c r="AI262" s="27"/>
      <c r="AJ262" s="28">
        <f t="shared" si="1"/>
        <v>2368.12</v>
      </c>
      <c r="AK262" s="20">
        <f t="shared" si="2"/>
        <v>146</v>
      </c>
      <c r="AL262" s="20">
        <f t="shared" si="3"/>
        <v>0</v>
      </c>
      <c r="AM262" s="20">
        <f t="shared" si="4"/>
        <v>146</v>
      </c>
      <c r="AN262" s="31">
        <f t="shared" si="5"/>
        <v>16.22</v>
      </c>
    </row>
    <row r="263" ht="15.75" customHeight="1">
      <c r="A263" s="32" t="s">
        <v>22</v>
      </c>
      <c r="B263" s="34">
        <f t="shared" si="6"/>
        <v>44823</v>
      </c>
      <c r="C263" s="35">
        <v>10.0</v>
      </c>
      <c r="D263" s="35" t="s">
        <v>32</v>
      </c>
      <c r="E263" s="37"/>
      <c r="F263" s="23"/>
      <c r="H263" s="24"/>
      <c r="J263" s="24"/>
      <c r="L263" s="25">
        <v>73.0</v>
      </c>
      <c r="N263" s="26">
        <v>73.0</v>
      </c>
      <c r="P263" s="24"/>
      <c r="R263" s="26">
        <v>0.0</v>
      </c>
      <c r="T263" s="24"/>
      <c r="V263" s="24"/>
      <c r="W263" s="27"/>
      <c r="X263" s="23"/>
      <c r="Z263" s="24"/>
      <c r="AB263" s="24"/>
      <c r="AD263" s="24"/>
      <c r="AF263" s="24"/>
      <c r="AH263" s="24"/>
      <c r="AI263" s="27"/>
      <c r="AJ263" s="39">
        <f t="shared" si="1"/>
        <v>2368.12</v>
      </c>
      <c r="AK263" s="35">
        <f t="shared" si="2"/>
        <v>146</v>
      </c>
      <c r="AL263" s="35">
        <f t="shared" si="3"/>
        <v>0</v>
      </c>
      <c r="AM263" s="35">
        <f t="shared" si="4"/>
        <v>146</v>
      </c>
      <c r="AN263" s="40">
        <f t="shared" si="5"/>
        <v>16.22</v>
      </c>
    </row>
    <row r="264" ht="15.75" customHeight="1">
      <c r="A264" s="32" t="s">
        <v>24</v>
      </c>
      <c r="B264" s="34">
        <f t="shared" si="6"/>
        <v>44824</v>
      </c>
      <c r="C264" s="35">
        <v>10.0</v>
      </c>
      <c r="D264" s="35" t="s">
        <v>32</v>
      </c>
      <c r="E264" s="37"/>
      <c r="F264" s="23"/>
      <c r="H264" s="24"/>
      <c r="J264" s="24"/>
      <c r="L264" s="25">
        <v>73.0</v>
      </c>
      <c r="N264" s="26">
        <v>73.0</v>
      </c>
      <c r="P264" s="24"/>
      <c r="R264" s="26">
        <v>0.0</v>
      </c>
      <c r="T264" s="24"/>
      <c r="V264" s="24"/>
      <c r="W264" s="27"/>
      <c r="X264" s="23"/>
      <c r="Z264" s="24"/>
      <c r="AB264" s="24"/>
      <c r="AD264" s="24"/>
      <c r="AF264" s="24"/>
      <c r="AH264" s="24"/>
      <c r="AI264" s="27"/>
      <c r="AJ264" s="39">
        <f t="shared" si="1"/>
        <v>2368.12</v>
      </c>
      <c r="AK264" s="35">
        <f t="shared" si="2"/>
        <v>146</v>
      </c>
      <c r="AL264" s="35">
        <f t="shared" si="3"/>
        <v>0</v>
      </c>
      <c r="AM264" s="35">
        <f t="shared" si="4"/>
        <v>146</v>
      </c>
      <c r="AN264" s="40">
        <f t="shared" si="5"/>
        <v>16.22</v>
      </c>
    </row>
    <row r="265" ht="15.75" customHeight="1">
      <c r="A265" s="32" t="s">
        <v>28</v>
      </c>
      <c r="B265" s="34">
        <f t="shared" si="6"/>
        <v>44825</v>
      </c>
      <c r="C265" s="35">
        <v>10.0</v>
      </c>
      <c r="D265" s="35" t="s">
        <v>32</v>
      </c>
      <c r="E265" s="37"/>
      <c r="F265" s="23"/>
      <c r="H265" s="24"/>
      <c r="J265" s="24"/>
      <c r="L265" s="25">
        <v>73.0</v>
      </c>
      <c r="N265" s="26">
        <v>73.0</v>
      </c>
      <c r="P265" s="24"/>
      <c r="R265" s="26">
        <v>0.0</v>
      </c>
      <c r="T265" s="24"/>
      <c r="V265" s="24"/>
      <c r="W265" s="27"/>
      <c r="X265" s="23"/>
      <c r="Z265" s="24"/>
      <c r="AB265" s="24"/>
      <c r="AD265" s="24"/>
      <c r="AF265" s="24"/>
      <c r="AH265" s="24"/>
      <c r="AI265" s="27"/>
      <c r="AJ265" s="39">
        <f t="shared" si="1"/>
        <v>2368.12</v>
      </c>
      <c r="AK265" s="35">
        <f t="shared" si="2"/>
        <v>146</v>
      </c>
      <c r="AL265" s="35">
        <f t="shared" si="3"/>
        <v>0</v>
      </c>
      <c r="AM265" s="35">
        <f t="shared" si="4"/>
        <v>146</v>
      </c>
      <c r="AN265" s="40">
        <f t="shared" si="5"/>
        <v>16.22</v>
      </c>
    </row>
    <row r="266" ht="15.75" customHeight="1">
      <c r="A266" s="32" t="s">
        <v>29</v>
      </c>
      <c r="B266" s="34">
        <f t="shared" si="6"/>
        <v>44826</v>
      </c>
      <c r="C266" s="35">
        <v>10.0</v>
      </c>
      <c r="D266" s="35" t="s">
        <v>32</v>
      </c>
      <c r="E266" s="37"/>
      <c r="F266" s="23"/>
      <c r="H266" s="24"/>
      <c r="J266" s="24"/>
      <c r="L266" s="25">
        <v>73.0</v>
      </c>
      <c r="N266" s="26">
        <v>73.0</v>
      </c>
      <c r="P266" s="24"/>
      <c r="R266" s="26">
        <v>0.0</v>
      </c>
      <c r="T266" s="24"/>
      <c r="V266" s="24"/>
      <c r="W266" s="27"/>
      <c r="X266" s="23"/>
      <c r="Z266" s="24"/>
      <c r="AB266" s="24"/>
      <c r="AD266" s="24"/>
      <c r="AF266" s="24"/>
      <c r="AH266" s="24"/>
      <c r="AI266" s="27"/>
      <c r="AJ266" s="39">
        <f t="shared" si="1"/>
        <v>2368.12</v>
      </c>
      <c r="AK266" s="35">
        <f t="shared" si="2"/>
        <v>146</v>
      </c>
      <c r="AL266" s="35">
        <f t="shared" si="3"/>
        <v>0</v>
      </c>
      <c r="AM266" s="35">
        <f t="shared" si="4"/>
        <v>146</v>
      </c>
      <c r="AN266" s="40">
        <f t="shared" si="5"/>
        <v>16.22</v>
      </c>
    </row>
    <row r="267" ht="15.75" customHeight="1">
      <c r="A267" s="32" t="s">
        <v>30</v>
      </c>
      <c r="B267" s="34">
        <f t="shared" si="6"/>
        <v>44827</v>
      </c>
      <c r="C267" s="35">
        <v>10.0</v>
      </c>
      <c r="D267" s="35" t="s">
        <v>32</v>
      </c>
      <c r="E267" s="37"/>
      <c r="F267" s="23"/>
      <c r="H267" s="24"/>
      <c r="J267" s="24"/>
      <c r="L267" s="25">
        <v>73.0</v>
      </c>
      <c r="N267" s="26">
        <v>73.0</v>
      </c>
      <c r="P267" s="24"/>
      <c r="R267" s="26">
        <v>0.0</v>
      </c>
      <c r="T267" s="24"/>
      <c r="V267" s="24"/>
      <c r="W267" s="27"/>
      <c r="X267" s="23"/>
      <c r="Z267" s="24"/>
      <c r="AB267" s="24"/>
      <c r="AD267" s="24"/>
      <c r="AF267" s="24"/>
      <c r="AH267" s="24"/>
      <c r="AI267" s="27"/>
      <c r="AJ267" s="39">
        <f t="shared" si="1"/>
        <v>2368.12</v>
      </c>
      <c r="AK267" s="35">
        <f t="shared" si="2"/>
        <v>146</v>
      </c>
      <c r="AL267" s="35">
        <f t="shared" si="3"/>
        <v>0</v>
      </c>
      <c r="AM267" s="35">
        <f t="shared" si="4"/>
        <v>146</v>
      </c>
      <c r="AN267" s="40">
        <f t="shared" si="5"/>
        <v>16.22</v>
      </c>
    </row>
    <row r="268" ht="15.75" customHeight="1">
      <c r="A268" s="48" t="s">
        <v>31</v>
      </c>
      <c r="B268" s="50">
        <f t="shared" si="6"/>
        <v>44828</v>
      </c>
      <c r="C268" s="51">
        <v>10.0</v>
      </c>
      <c r="D268" s="51" t="s">
        <v>32</v>
      </c>
      <c r="E268" s="53"/>
      <c r="F268" s="54"/>
      <c r="G268" s="56"/>
      <c r="H268" s="57"/>
      <c r="I268" s="56"/>
      <c r="J268" s="57"/>
      <c r="K268" s="56"/>
      <c r="L268" s="58">
        <v>73.0</v>
      </c>
      <c r="M268" s="56"/>
      <c r="N268" s="59">
        <v>73.0</v>
      </c>
      <c r="O268" s="56"/>
      <c r="P268" s="57"/>
      <c r="Q268" s="56"/>
      <c r="R268" s="59">
        <v>0.0</v>
      </c>
      <c r="S268" s="56"/>
      <c r="T268" s="57"/>
      <c r="U268" s="56"/>
      <c r="V268" s="57"/>
      <c r="W268" s="60"/>
      <c r="X268" s="54"/>
      <c r="Y268" s="56"/>
      <c r="Z268" s="57"/>
      <c r="AA268" s="56"/>
      <c r="AB268" s="57"/>
      <c r="AC268" s="56"/>
      <c r="AD268" s="57"/>
      <c r="AE268" s="56"/>
      <c r="AF268" s="57"/>
      <c r="AG268" s="56"/>
      <c r="AH268" s="57"/>
      <c r="AI268" s="60"/>
      <c r="AJ268" s="61">
        <f t="shared" si="1"/>
        <v>2368.12</v>
      </c>
      <c r="AK268" s="51">
        <f t="shared" si="2"/>
        <v>146</v>
      </c>
      <c r="AL268" s="51">
        <f t="shared" si="3"/>
        <v>0</v>
      </c>
      <c r="AM268" s="51">
        <f t="shared" si="4"/>
        <v>146</v>
      </c>
      <c r="AN268" s="63">
        <f t="shared" si="5"/>
        <v>16.22</v>
      </c>
    </row>
    <row r="269" ht="15.75" customHeight="1">
      <c r="A269" s="18" t="s">
        <v>20</v>
      </c>
      <c r="B269" s="64">
        <f t="shared" si="6"/>
        <v>44829</v>
      </c>
      <c r="C269" s="20">
        <v>10.0</v>
      </c>
      <c r="D269" s="20" t="s">
        <v>33</v>
      </c>
      <c r="E269" s="22"/>
      <c r="F269" s="23"/>
      <c r="H269" s="24"/>
      <c r="J269" s="24"/>
      <c r="L269" s="25">
        <v>73.0</v>
      </c>
      <c r="N269" s="26">
        <v>73.0</v>
      </c>
      <c r="P269" s="24"/>
      <c r="R269" s="26">
        <v>45.0</v>
      </c>
      <c r="T269" s="24"/>
      <c r="V269" s="24"/>
      <c r="W269" s="27"/>
      <c r="X269" s="23"/>
      <c r="Z269" s="24"/>
      <c r="AB269" s="24"/>
      <c r="AD269" s="24"/>
      <c r="AF269" s="24"/>
      <c r="AH269" s="24"/>
      <c r="AI269" s="27"/>
      <c r="AJ269" s="28">
        <f t="shared" si="1"/>
        <v>2657.92</v>
      </c>
      <c r="AK269" s="20">
        <f t="shared" si="2"/>
        <v>146</v>
      </c>
      <c r="AL269" s="20">
        <f t="shared" si="3"/>
        <v>45</v>
      </c>
      <c r="AM269" s="20">
        <f t="shared" si="4"/>
        <v>191</v>
      </c>
      <c r="AN269" s="31">
        <f t="shared" si="5"/>
        <v>13.91581152</v>
      </c>
    </row>
    <row r="270" ht="15.75" customHeight="1">
      <c r="A270" s="32" t="s">
        <v>22</v>
      </c>
      <c r="B270" s="34">
        <f t="shared" si="6"/>
        <v>44830</v>
      </c>
      <c r="C270" s="35">
        <v>10.0</v>
      </c>
      <c r="D270" s="35" t="s">
        <v>33</v>
      </c>
      <c r="E270" s="37"/>
      <c r="F270" s="23"/>
      <c r="H270" s="24"/>
      <c r="J270" s="24"/>
      <c r="L270" s="25">
        <v>73.0</v>
      </c>
      <c r="N270" s="26">
        <v>73.0</v>
      </c>
      <c r="P270" s="24"/>
      <c r="R270" s="26">
        <v>45.0</v>
      </c>
      <c r="T270" s="24"/>
      <c r="V270" s="24"/>
      <c r="W270" s="27"/>
      <c r="X270" s="23"/>
      <c r="Z270" s="24"/>
      <c r="AB270" s="24"/>
      <c r="AD270" s="24"/>
      <c r="AF270" s="24"/>
      <c r="AH270" s="24"/>
      <c r="AI270" s="27"/>
      <c r="AJ270" s="39">
        <f t="shared" si="1"/>
        <v>2657.92</v>
      </c>
      <c r="AK270" s="35">
        <f t="shared" si="2"/>
        <v>146</v>
      </c>
      <c r="AL270" s="35">
        <f t="shared" si="3"/>
        <v>45</v>
      </c>
      <c r="AM270" s="35">
        <f t="shared" si="4"/>
        <v>191</v>
      </c>
      <c r="AN270" s="40">
        <f t="shared" si="5"/>
        <v>13.91581152</v>
      </c>
    </row>
    <row r="271" ht="15.75" customHeight="1">
      <c r="A271" s="32" t="s">
        <v>24</v>
      </c>
      <c r="B271" s="34">
        <f t="shared" si="6"/>
        <v>44831</v>
      </c>
      <c r="C271" s="35">
        <v>10.0</v>
      </c>
      <c r="D271" s="35" t="s">
        <v>33</v>
      </c>
      <c r="E271" s="37"/>
      <c r="F271" s="23"/>
      <c r="H271" s="24"/>
      <c r="J271" s="24"/>
      <c r="L271" s="25">
        <v>73.0</v>
      </c>
      <c r="N271" s="26">
        <v>73.0</v>
      </c>
      <c r="P271" s="24"/>
      <c r="R271" s="26">
        <v>45.0</v>
      </c>
      <c r="T271" s="24"/>
      <c r="V271" s="24"/>
      <c r="W271" s="27"/>
      <c r="X271" s="23"/>
      <c r="Z271" s="24"/>
      <c r="AB271" s="24"/>
      <c r="AD271" s="24"/>
      <c r="AF271" s="24"/>
      <c r="AH271" s="24"/>
      <c r="AI271" s="27"/>
      <c r="AJ271" s="39">
        <f t="shared" si="1"/>
        <v>2657.92</v>
      </c>
      <c r="AK271" s="35">
        <f t="shared" si="2"/>
        <v>146</v>
      </c>
      <c r="AL271" s="35">
        <f t="shared" si="3"/>
        <v>45</v>
      </c>
      <c r="AM271" s="35">
        <f t="shared" si="4"/>
        <v>191</v>
      </c>
      <c r="AN271" s="40">
        <f t="shared" si="5"/>
        <v>13.91581152</v>
      </c>
    </row>
    <row r="272" ht="15.75" customHeight="1">
      <c r="A272" s="32" t="s">
        <v>28</v>
      </c>
      <c r="B272" s="34">
        <f t="shared" si="6"/>
        <v>44832</v>
      </c>
      <c r="C272" s="35">
        <v>10.0</v>
      </c>
      <c r="D272" s="35" t="s">
        <v>33</v>
      </c>
      <c r="E272" s="37"/>
      <c r="F272" s="23"/>
      <c r="H272" s="24"/>
      <c r="J272" s="24"/>
      <c r="L272" s="25">
        <v>73.0</v>
      </c>
      <c r="N272" s="26">
        <v>73.0</v>
      </c>
      <c r="P272" s="24"/>
      <c r="R272" s="26">
        <v>45.0</v>
      </c>
      <c r="T272" s="24"/>
      <c r="V272" s="24"/>
      <c r="W272" s="27"/>
      <c r="X272" s="23"/>
      <c r="Z272" s="24"/>
      <c r="AB272" s="24"/>
      <c r="AD272" s="24"/>
      <c r="AF272" s="24"/>
      <c r="AH272" s="24"/>
      <c r="AI272" s="27"/>
      <c r="AJ272" s="39">
        <f t="shared" si="1"/>
        <v>2657.92</v>
      </c>
      <c r="AK272" s="35">
        <f t="shared" si="2"/>
        <v>146</v>
      </c>
      <c r="AL272" s="35">
        <f t="shared" si="3"/>
        <v>45</v>
      </c>
      <c r="AM272" s="35">
        <f t="shared" si="4"/>
        <v>191</v>
      </c>
      <c r="AN272" s="40">
        <f t="shared" si="5"/>
        <v>13.91581152</v>
      </c>
    </row>
    <row r="273" ht="15.75" customHeight="1">
      <c r="A273" s="32" t="s">
        <v>29</v>
      </c>
      <c r="B273" s="34">
        <f t="shared" si="6"/>
        <v>44833</v>
      </c>
      <c r="C273" s="35">
        <v>10.0</v>
      </c>
      <c r="D273" s="35" t="s">
        <v>33</v>
      </c>
      <c r="E273" s="37"/>
      <c r="F273" s="23"/>
      <c r="H273" s="24"/>
      <c r="J273" s="24"/>
      <c r="L273" s="25">
        <v>73.0</v>
      </c>
      <c r="N273" s="26">
        <v>73.0</v>
      </c>
      <c r="P273" s="24"/>
      <c r="R273" s="26">
        <v>45.0</v>
      </c>
      <c r="T273" s="24"/>
      <c r="V273" s="24"/>
      <c r="W273" s="27"/>
      <c r="X273" s="23"/>
      <c r="Z273" s="24"/>
      <c r="AB273" s="24"/>
      <c r="AD273" s="24"/>
      <c r="AF273" s="24"/>
      <c r="AH273" s="24"/>
      <c r="AI273" s="27"/>
      <c r="AJ273" s="39">
        <f t="shared" si="1"/>
        <v>2657.92</v>
      </c>
      <c r="AK273" s="35">
        <f t="shared" si="2"/>
        <v>146</v>
      </c>
      <c r="AL273" s="35">
        <f t="shared" si="3"/>
        <v>45</v>
      </c>
      <c r="AM273" s="35">
        <f t="shared" si="4"/>
        <v>191</v>
      </c>
      <c r="AN273" s="40">
        <f t="shared" si="5"/>
        <v>13.91581152</v>
      </c>
    </row>
    <row r="274" ht="15.75" customHeight="1">
      <c r="A274" s="32" t="s">
        <v>30</v>
      </c>
      <c r="B274" s="34">
        <f t="shared" si="6"/>
        <v>44834</v>
      </c>
      <c r="C274" s="35">
        <v>10.0</v>
      </c>
      <c r="D274" s="35" t="s">
        <v>33</v>
      </c>
      <c r="E274" s="37"/>
      <c r="F274" s="23"/>
      <c r="H274" s="24"/>
      <c r="J274" s="24"/>
      <c r="L274" s="25">
        <v>73.0</v>
      </c>
      <c r="N274" s="26">
        <v>73.0</v>
      </c>
      <c r="P274" s="24"/>
      <c r="R274" s="26">
        <v>45.0</v>
      </c>
      <c r="T274" s="24"/>
      <c r="V274" s="24"/>
      <c r="W274" s="27"/>
      <c r="X274" s="23"/>
      <c r="Z274" s="24"/>
      <c r="AB274" s="24"/>
      <c r="AD274" s="24"/>
      <c r="AF274" s="24"/>
      <c r="AH274" s="24"/>
      <c r="AI274" s="27"/>
      <c r="AJ274" s="39">
        <f t="shared" si="1"/>
        <v>2657.92</v>
      </c>
      <c r="AK274" s="35">
        <f t="shared" si="2"/>
        <v>146</v>
      </c>
      <c r="AL274" s="35">
        <f t="shared" si="3"/>
        <v>45</v>
      </c>
      <c r="AM274" s="35">
        <f t="shared" si="4"/>
        <v>191</v>
      </c>
      <c r="AN274" s="40">
        <f t="shared" si="5"/>
        <v>13.91581152</v>
      </c>
    </row>
    <row r="275" ht="15.75" customHeight="1">
      <c r="A275" s="48" t="s">
        <v>31</v>
      </c>
      <c r="B275" s="50">
        <f t="shared" si="6"/>
        <v>44835</v>
      </c>
      <c r="C275" s="51">
        <v>10.0</v>
      </c>
      <c r="D275" s="51" t="s">
        <v>33</v>
      </c>
      <c r="E275" s="53"/>
      <c r="F275" s="54"/>
      <c r="G275" s="56"/>
      <c r="H275" s="57"/>
      <c r="I275" s="56"/>
      <c r="J275" s="57"/>
      <c r="K275" s="56"/>
      <c r="L275" s="58">
        <v>73.0</v>
      </c>
      <c r="M275" s="56"/>
      <c r="N275" s="59">
        <v>73.0</v>
      </c>
      <c r="O275" s="56"/>
      <c r="P275" s="57"/>
      <c r="Q275" s="56"/>
      <c r="R275" s="59"/>
      <c r="S275" s="56"/>
      <c r="T275" s="57"/>
      <c r="U275" s="56"/>
      <c r="V275" s="57"/>
      <c r="W275" s="60"/>
      <c r="X275" s="54"/>
      <c r="Y275" s="56"/>
      <c r="Z275" s="57"/>
      <c r="AA275" s="56"/>
      <c r="AB275" s="57"/>
      <c r="AC275" s="56"/>
      <c r="AD275" s="57"/>
      <c r="AE275" s="56"/>
      <c r="AF275" s="57"/>
      <c r="AG275" s="56"/>
      <c r="AH275" s="57"/>
      <c r="AI275" s="60"/>
      <c r="AJ275" s="61">
        <f t="shared" si="1"/>
        <v>2368.12</v>
      </c>
      <c r="AK275" s="51">
        <f t="shared" si="2"/>
        <v>146</v>
      </c>
      <c r="AL275" s="51" t="str">
        <f t="shared" si="3"/>
        <v/>
      </c>
      <c r="AM275" s="51">
        <f t="shared" si="4"/>
        <v>146</v>
      </c>
      <c r="AN275" s="63">
        <f t="shared" si="5"/>
        <v>16.22</v>
      </c>
    </row>
    <row r="276" ht="15.75" customHeight="1">
      <c r="A276" s="18" t="s">
        <v>20</v>
      </c>
      <c r="B276" s="64">
        <f t="shared" si="6"/>
        <v>44836</v>
      </c>
      <c r="C276" s="20">
        <v>10.0</v>
      </c>
      <c r="D276" s="20" t="s">
        <v>34</v>
      </c>
      <c r="E276" s="22"/>
      <c r="F276" s="23"/>
      <c r="H276" s="24"/>
      <c r="J276" s="24"/>
      <c r="L276" s="25">
        <v>73.0</v>
      </c>
      <c r="N276" s="26">
        <v>73.0</v>
      </c>
      <c r="P276" s="24"/>
      <c r="R276" s="26">
        <v>45.0</v>
      </c>
      <c r="T276" s="24"/>
      <c r="V276" s="24"/>
      <c r="W276" s="27"/>
      <c r="X276" s="23"/>
      <c r="Z276" s="24"/>
      <c r="AB276" s="24"/>
      <c r="AD276" s="24"/>
      <c r="AF276" s="24"/>
      <c r="AH276" s="24"/>
      <c r="AI276" s="27"/>
      <c r="AJ276" s="28">
        <f t="shared" si="1"/>
        <v>2657.92</v>
      </c>
      <c r="AK276" s="20">
        <f t="shared" si="2"/>
        <v>146</v>
      </c>
      <c r="AL276" s="20">
        <f t="shared" si="3"/>
        <v>45</v>
      </c>
      <c r="AM276" s="20">
        <f t="shared" si="4"/>
        <v>191</v>
      </c>
      <c r="AN276" s="31">
        <f t="shared" si="5"/>
        <v>13.91581152</v>
      </c>
    </row>
    <row r="277" ht="15.75" customHeight="1">
      <c r="A277" s="32" t="s">
        <v>22</v>
      </c>
      <c r="B277" s="34">
        <f t="shared" si="6"/>
        <v>44837</v>
      </c>
      <c r="C277" s="35">
        <v>10.0</v>
      </c>
      <c r="D277" s="35" t="s">
        <v>34</v>
      </c>
      <c r="E277" s="37"/>
      <c r="F277" s="23"/>
      <c r="H277" s="24"/>
      <c r="J277" s="24"/>
      <c r="L277" s="25">
        <v>73.0</v>
      </c>
      <c r="N277" s="26">
        <v>73.0</v>
      </c>
      <c r="P277" s="24"/>
      <c r="R277" s="26">
        <v>45.0</v>
      </c>
      <c r="T277" s="24"/>
      <c r="V277" s="24"/>
      <c r="W277" s="27"/>
      <c r="X277" s="23"/>
      <c r="Z277" s="24"/>
      <c r="AB277" s="24"/>
      <c r="AD277" s="24"/>
      <c r="AF277" s="24"/>
      <c r="AH277" s="24"/>
      <c r="AI277" s="27"/>
      <c r="AJ277" s="39">
        <f t="shared" si="1"/>
        <v>2657.92</v>
      </c>
      <c r="AK277" s="35">
        <f t="shared" si="2"/>
        <v>146</v>
      </c>
      <c r="AL277" s="35">
        <f t="shared" si="3"/>
        <v>45</v>
      </c>
      <c r="AM277" s="35">
        <f t="shared" si="4"/>
        <v>191</v>
      </c>
      <c r="AN277" s="40">
        <f t="shared" si="5"/>
        <v>13.91581152</v>
      </c>
    </row>
    <row r="278" ht="15.75" customHeight="1">
      <c r="A278" s="32" t="s">
        <v>24</v>
      </c>
      <c r="B278" s="34">
        <f t="shared" si="6"/>
        <v>44838</v>
      </c>
      <c r="C278" s="35">
        <v>10.0</v>
      </c>
      <c r="D278" s="35" t="s">
        <v>34</v>
      </c>
      <c r="E278" s="37"/>
      <c r="F278" s="23"/>
      <c r="H278" s="24"/>
      <c r="J278" s="24"/>
      <c r="L278" s="25">
        <v>73.0</v>
      </c>
      <c r="N278" s="26">
        <v>73.0</v>
      </c>
      <c r="P278" s="24"/>
      <c r="R278" s="26">
        <v>45.0</v>
      </c>
      <c r="T278" s="24"/>
      <c r="V278" s="24"/>
      <c r="W278" s="27"/>
      <c r="X278" s="23"/>
      <c r="Z278" s="24"/>
      <c r="AB278" s="24"/>
      <c r="AD278" s="24"/>
      <c r="AF278" s="24"/>
      <c r="AH278" s="24"/>
      <c r="AI278" s="27"/>
      <c r="AJ278" s="39">
        <f t="shared" si="1"/>
        <v>2657.92</v>
      </c>
      <c r="AK278" s="35">
        <f t="shared" si="2"/>
        <v>146</v>
      </c>
      <c r="AL278" s="35">
        <f t="shared" si="3"/>
        <v>45</v>
      </c>
      <c r="AM278" s="35">
        <f t="shared" si="4"/>
        <v>191</v>
      </c>
      <c r="AN278" s="40">
        <f t="shared" si="5"/>
        <v>13.91581152</v>
      </c>
    </row>
    <row r="279" ht="15.75" customHeight="1">
      <c r="A279" s="32" t="s">
        <v>28</v>
      </c>
      <c r="B279" s="34">
        <f t="shared" si="6"/>
        <v>44839</v>
      </c>
      <c r="C279" s="35">
        <v>10.0</v>
      </c>
      <c r="D279" s="35" t="s">
        <v>34</v>
      </c>
      <c r="E279" s="37"/>
      <c r="F279" s="23"/>
      <c r="H279" s="24"/>
      <c r="J279" s="24"/>
      <c r="L279" s="25">
        <v>73.0</v>
      </c>
      <c r="N279" s="26">
        <v>73.0</v>
      </c>
      <c r="P279" s="24"/>
      <c r="R279" s="26">
        <v>45.0</v>
      </c>
      <c r="T279" s="24"/>
      <c r="V279" s="24"/>
      <c r="W279" s="27"/>
      <c r="X279" s="23"/>
      <c r="Z279" s="24"/>
      <c r="AB279" s="24"/>
      <c r="AD279" s="24"/>
      <c r="AF279" s="24"/>
      <c r="AH279" s="24"/>
      <c r="AI279" s="27"/>
      <c r="AJ279" s="39">
        <f t="shared" si="1"/>
        <v>2657.92</v>
      </c>
      <c r="AK279" s="35">
        <f t="shared" si="2"/>
        <v>146</v>
      </c>
      <c r="AL279" s="35">
        <f t="shared" si="3"/>
        <v>45</v>
      </c>
      <c r="AM279" s="35">
        <f t="shared" si="4"/>
        <v>191</v>
      </c>
      <c r="AN279" s="40">
        <f t="shared" si="5"/>
        <v>13.91581152</v>
      </c>
    </row>
    <row r="280" ht="15.75" customHeight="1">
      <c r="A280" s="32" t="s">
        <v>29</v>
      </c>
      <c r="B280" s="34">
        <f t="shared" si="6"/>
        <v>44840</v>
      </c>
      <c r="C280" s="35">
        <v>10.0</v>
      </c>
      <c r="D280" s="35" t="s">
        <v>34</v>
      </c>
      <c r="E280" s="37"/>
      <c r="F280" s="23"/>
      <c r="H280" s="24"/>
      <c r="J280" s="24"/>
      <c r="L280" s="25">
        <v>73.0</v>
      </c>
      <c r="N280" s="26">
        <v>73.0</v>
      </c>
      <c r="P280" s="24"/>
      <c r="R280" s="26">
        <v>45.0</v>
      </c>
      <c r="T280" s="24"/>
      <c r="V280" s="24"/>
      <c r="W280" s="27"/>
      <c r="X280" s="23"/>
      <c r="Z280" s="24"/>
      <c r="AB280" s="24"/>
      <c r="AD280" s="24"/>
      <c r="AF280" s="24"/>
      <c r="AH280" s="24"/>
      <c r="AI280" s="27"/>
      <c r="AJ280" s="39">
        <f t="shared" si="1"/>
        <v>2657.92</v>
      </c>
      <c r="AK280" s="35">
        <f t="shared" si="2"/>
        <v>146</v>
      </c>
      <c r="AL280" s="35">
        <f t="shared" si="3"/>
        <v>45</v>
      </c>
      <c r="AM280" s="35">
        <f t="shared" si="4"/>
        <v>191</v>
      </c>
      <c r="AN280" s="40">
        <f t="shared" si="5"/>
        <v>13.91581152</v>
      </c>
    </row>
    <row r="281" ht="15.75" customHeight="1">
      <c r="A281" s="32" t="s">
        <v>30</v>
      </c>
      <c r="B281" s="34">
        <f t="shared" si="6"/>
        <v>44841</v>
      </c>
      <c r="C281" s="35">
        <v>10.0</v>
      </c>
      <c r="D281" s="35" t="s">
        <v>34</v>
      </c>
      <c r="E281" s="37"/>
      <c r="F281" s="23"/>
      <c r="H281" s="24"/>
      <c r="J281" s="24"/>
      <c r="L281" s="25">
        <v>73.0</v>
      </c>
      <c r="N281" s="26">
        <v>73.0</v>
      </c>
      <c r="P281" s="24"/>
      <c r="R281" s="26">
        <v>45.0</v>
      </c>
      <c r="T281" s="24"/>
      <c r="V281" s="24"/>
      <c r="W281" s="27"/>
      <c r="X281" s="23"/>
      <c r="Z281" s="24"/>
      <c r="AB281" s="24"/>
      <c r="AD281" s="24"/>
      <c r="AF281" s="24"/>
      <c r="AH281" s="24"/>
      <c r="AI281" s="27"/>
      <c r="AJ281" s="39">
        <f t="shared" si="1"/>
        <v>2657.92</v>
      </c>
      <c r="AK281" s="35">
        <f t="shared" si="2"/>
        <v>146</v>
      </c>
      <c r="AL281" s="35">
        <f t="shared" si="3"/>
        <v>45</v>
      </c>
      <c r="AM281" s="35">
        <f t="shared" si="4"/>
        <v>191</v>
      </c>
      <c r="AN281" s="40">
        <f t="shared" si="5"/>
        <v>13.91581152</v>
      </c>
    </row>
    <row r="282" ht="15.75" customHeight="1">
      <c r="A282" s="48" t="s">
        <v>31</v>
      </c>
      <c r="B282" s="50">
        <f t="shared" si="6"/>
        <v>44842</v>
      </c>
      <c r="C282" s="51">
        <v>10.0</v>
      </c>
      <c r="D282" s="51" t="s">
        <v>34</v>
      </c>
      <c r="E282" s="53"/>
      <c r="F282" s="54"/>
      <c r="G282" s="56"/>
      <c r="H282" s="57"/>
      <c r="I282" s="56"/>
      <c r="J282" s="57"/>
      <c r="K282" s="56"/>
      <c r="L282" s="58">
        <v>73.0</v>
      </c>
      <c r="M282" s="56"/>
      <c r="N282" s="59">
        <v>73.0</v>
      </c>
      <c r="O282" s="56"/>
      <c r="P282" s="57"/>
      <c r="Q282" s="56"/>
      <c r="R282" s="59"/>
      <c r="S282" s="56"/>
      <c r="T282" s="57"/>
      <c r="U282" s="56"/>
      <c r="V282" s="57"/>
      <c r="W282" s="60"/>
      <c r="X282" s="54"/>
      <c r="Y282" s="56"/>
      <c r="Z282" s="57"/>
      <c r="AA282" s="56"/>
      <c r="AB282" s="57"/>
      <c r="AC282" s="56"/>
      <c r="AD282" s="57"/>
      <c r="AE282" s="56"/>
      <c r="AF282" s="57"/>
      <c r="AG282" s="56"/>
      <c r="AH282" s="57"/>
      <c r="AI282" s="60"/>
      <c r="AJ282" s="61">
        <f t="shared" si="1"/>
        <v>2368.12</v>
      </c>
      <c r="AK282" s="51">
        <f t="shared" si="2"/>
        <v>146</v>
      </c>
      <c r="AL282" s="51" t="str">
        <f t="shared" si="3"/>
        <v/>
      </c>
      <c r="AM282" s="51">
        <f t="shared" si="4"/>
        <v>146</v>
      </c>
      <c r="AN282" s="63">
        <f t="shared" si="5"/>
        <v>16.22</v>
      </c>
    </row>
    <row r="283" ht="15.75" customHeight="1">
      <c r="A283" s="18" t="s">
        <v>20</v>
      </c>
      <c r="B283" s="64">
        <f t="shared" si="6"/>
        <v>44843</v>
      </c>
      <c r="C283" s="20">
        <v>11.0</v>
      </c>
      <c r="D283" s="20" t="s">
        <v>21</v>
      </c>
      <c r="E283" s="22"/>
      <c r="F283" s="23"/>
      <c r="H283" s="24"/>
      <c r="J283" s="24"/>
      <c r="L283" s="25">
        <v>0.0</v>
      </c>
      <c r="N283" s="26">
        <v>0.0</v>
      </c>
      <c r="P283" s="24"/>
      <c r="R283" s="26">
        <v>45.0</v>
      </c>
      <c r="T283" s="24"/>
      <c r="V283" s="24"/>
      <c r="W283" s="27"/>
      <c r="X283" s="23"/>
      <c r="Z283" s="24"/>
      <c r="AB283" s="24"/>
      <c r="AD283" s="24"/>
      <c r="AF283" s="24"/>
      <c r="AH283" s="24"/>
      <c r="AI283" s="27"/>
      <c r="AJ283" s="28">
        <f t="shared" si="1"/>
        <v>289.8</v>
      </c>
      <c r="AK283" s="20">
        <f t="shared" si="2"/>
        <v>0</v>
      </c>
      <c r="AL283" s="20">
        <f t="shared" si="3"/>
        <v>45</v>
      </c>
      <c r="AM283" s="20">
        <f t="shared" si="4"/>
        <v>45</v>
      </c>
      <c r="AN283" s="31">
        <f t="shared" si="5"/>
        <v>6.44</v>
      </c>
    </row>
    <row r="284" ht="15.75" customHeight="1">
      <c r="A284" s="32" t="s">
        <v>22</v>
      </c>
      <c r="B284" s="34">
        <f t="shared" si="6"/>
        <v>44844</v>
      </c>
      <c r="C284" s="35">
        <v>11.0</v>
      </c>
      <c r="D284" s="35" t="s">
        <v>21</v>
      </c>
      <c r="E284" s="37"/>
      <c r="F284" s="23"/>
      <c r="H284" s="24"/>
      <c r="J284" s="24"/>
      <c r="L284" s="25">
        <v>0.0</v>
      </c>
      <c r="N284" s="26">
        <v>0.0</v>
      </c>
      <c r="P284" s="24"/>
      <c r="R284" s="26">
        <v>45.0</v>
      </c>
      <c r="T284" s="24"/>
      <c r="V284" s="24"/>
      <c r="W284" s="27"/>
      <c r="X284" s="23"/>
      <c r="Z284" s="24"/>
      <c r="AB284" s="24"/>
      <c r="AD284" s="24"/>
      <c r="AF284" s="24"/>
      <c r="AH284" s="24"/>
      <c r="AI284" s="27"/>
      <c r="AJ284" s="39">
        <f t="shared" si="1"/>
        <v>289.8</v>
      </c>
      <c r="AK284" s="35">
        <f t="shared" si="2"/>
        <v>0</v>
      </c>
      <c r="AL284" s="35">
        <f t="shared" si="3"/>
        <v>45</v>
      </c>
      <c r="AM284" s="35">
        <f t="shared" si="4"/>
        <v>45</v>
      </c>
      <c r="AN284" s="40">
        <f t="shared" si="5"/>
        <v>6.44</v>
      </c>
    </row>
    <row r="285" ht="15.75" customHeight="1">
      <c r="A285" s="32" t="s">
        <v>24</v>
      </c>
      <c r="B285" s="34">
        <f t="shared" si="6"/>
        <v>44845</v>
      </c>
      <c r="C285" s="35">
        <v>11.0</v>
      </c>
      <c r="D285" s="35" t="s">
        <v>21</v>
      </c>
      <c r="E285" s="37"/>
      <c r="F285" s="23"/>
      <c r="H285" s="24"/>
      <c r="J285" s="24"/>
      <c r="L285" s="25">
        <v>0.0</v>
      </c>
      <c r="N285" s="26">
        <v>0.0</v>
      </c>
      <c r="P285" s="24"/>
      <c r="R285" s="26">
        <v>45.0</v>
      </c>
      <c r="T285" s="24"/>
      <c r="V285" s="24"/>
      <c r="W285" s="27"/>
      <c r="X285" s="23"/>
      <c r="Z285" s="24"/>
      <c r="AB285" s="24"/>
      <c r="AD285" s="24"/>
      <c r="AF285" s="24"/>
      <c r="AH285" s="24"/>
      <c r="AI285" s="27"/>
      <c r="AJ285" s="39">
        <f t="shared" si="1"/>
        <v>289.8</v>
      </c>
      <c r="AK285" s="35">
        <f t="shared" si="2"/>
        <v>0</v>
      </c>
      <c r="AL285" s="35">
        <f t="shared" si="3"/>
        <v>45</v>
      </c>
      <c r="AM285" s="35">
        <f t="shared" si="4"/>
        <v>45</v>
      </c>
      <c r="AN285" s="40">
        <f t="shared" si="5"/>
        <v>6.44</v>
      </c>
    </row>
    <row r="286" ht="15.75" customHeight="1">
      <c r="A286" s="32" t="s">
        <v>28</v>
      </c>
      <c r="B286" s="34">
        <f t="shared" si="6"/>
        <v>44846</v>
      </c>
      <c r="C286" s="35">
        <v>11.0</v>
      </c>
      <c r="D286" s="35" t="s">
        <v>21</v>
      </c>
      <c r="E286" s="37"/>
      <c r="F286" s="23"/>
      <c r="H286" s="24"/>
      <c r="J286" s="24"/>
      <c r="L286" s="25">
        <v>60.0</v>
      </c>
      <c r="N286" s="26">
        <v>60.0</v>
      </c>
      <c r="P286" s="24"/>
      <c r="R286" s="26">
        <v>45.0</v>
      </c>
      <c r="T286" s="24"/>
      <c r="V286" s="24"/>
      <c r="W286" s="27"/>
      <c r="X286" s="23"/>
      <c r="Z286" s="24"/>
      <c r="AB286" s="24"/>
      <c r="AD286" s="24"/>
      <c r="AF286" s="24"/>
      <c r="AH286" s="24"/>
      <c r="AI286" s="27"/>
      <c r="AJ286" s="39">
        <f t="shared" si="1"/>
        <v>2236.2</v>
      </c>
      <c r="AK286" s="35">
        <f t="shared" si="2"/>
        <v>120</v>
      </c>
      <c r="AL286" s="35">
        <f t="shared" si="3"/>
        <v>45</v>
      </c>
      <c r="AM286" s="35">
        <f t="shared" si="4"/>
        <v>165</v>
      </c>
      <c r="AN286" s="40">
        <f t="shared" si="5"/>
        <v>13.55272727</v>
      </c>
    </row>
    <row r="287" ht="15.75" customHeight="1">
      <c r="A287" s="32" t="s">
        <v>29</v>
      </c>
      <c r="B287" s="34">
        <f t="shared" si="6"/>
        <v>44847</v>
      </c>
      <c r="C287" s="35">
        <v>11.0</v>
      </c>
      <c r="D287" s="35" t="s">
        <v>21</v>
      </c>
      <c r="E287" s="37"/>
      <c r="F287" s="23"/>
      <c r="H287" s="24"/>
      <c r="J287" s="24"/>
      <c r="L287" s="25">
        <v>60.0</v>
      </c>
      <c r="N287" s="26">
        <v>60.0</v>
      </c>
      <c r="P287" s="24"/>
      <c r="R287" s="26">
        <v>45.0</v>
      </c>
      <c r="T287" s="24"/>
      <c r="V287" s="24"/>
      <c r="W287" s="27"/>
      <c r="X287" s="23"/>
      <c r="Z287" s="24"/>
      <c r="AB287" s="24"/>
      <c r="AD287" s="24"/>
      <c r="AF287" s="24"/>
      <c r="AH287" s="24"/>
      <c r="AI287" s="27"/>
      <c r="AJ287" s="39">
        <f t="shared" si="1"/>
        <v>2236.2</v>
      </c>
      <c r="AK287" s="35">
        <f t="shared" si="2"/>
        <v>120</v>
      </c>
      <c r="AL287" s="35">
        <f t="shared" si="3"/>
        <v>45</v>
      </c>
      <c r="AM287" s="35">
        <f t="shared" si="4"/>
        <v>165</v>
      </c>
      <c r="AN287" s="40">
        <f t="shared" si="5"/>
        <v>13.55272727</v>
      </c>
    </row>
    <row r="288" ht="15.75" customHeight="1">
      <c r="A288" s="32" t="s">
        <v>30</v>
      </c>
      <c r="B288" s="34">
        <f t="shared" si="6"/>
        <v>44848</v>
      </c>
      <c r="C288" s="35">
        <v>11.0</v>
      </c>
      <c r="D288" s="35" t="s">
        <v>21</v>
      </c>
      <c r="E288" s="37"/>
      <c r="F288" s="23"/>
      <c r="H288" s="24"/>
      <c r="J288" s="24"/>
      <c r="L288" s="25">
        <v>60.0</v>
      </c>
      <c r="N288" s="26">
        <v>60.0</v>
      </c>
      <c r="P288" s="24"/>
      <c r="R288" s="26">
        <v>45.0</v>
      </c>
      <c r="T288" s="24"/>
      <c r="V288" s="24"/>
      <c r="W288" s="27"/>
      <c r="X288" s="23"/>
      <c r="Z288" s="24"/>
      <c r="AB288" s="24"/>
      <c r="AD288" s="24"/>
      <c r="AF288" s="24"/>
      <c r="AH288" s="24"/>
      <c r="AI288" s="27"/>
      <c r="AJ288" s="39">
        <f t="shared" si="1"/>
        <v>2236.2</v>
      </c>
      <c r="AK288" s="35">
        <f t="shared" si="2"/>
        <v>120</v>
      </c>
      <c r="AL288" s="35">
        <f t="shared" si="3"/>
        <v>45</v>
      </c>
      <c r="AM288" s="35">
        <f t="shared" si="4"/>
        <v>165</v>
      </c>
      <c r="AN288" s="40">
        <f t="shared" si="5"/>
        <v>13.55272727</v>
      </c>
    </row>
    <row r="289" ht="15.75" customHeight="1">
      <c r="A289" s="48" t="s">
        <v>31</v>
      </c>
      <c r="B289" s="50">
        <f t="shared" si="6"/>
        <v>44849</v>
      </c>
      <c r="C289" s="51">
        <v>11.0</v>
      </c>
      <c r="D289" s="51" t="s">
        <v>21</v>
      </c>
      <c r="E289" s="53"/>
      <c r="F289" s="54"/>
      <c r="G289" s="56"/>
      <c r="H289" s="57"/>
      <c r="I289" s="56"/>
      <c r="J289" s="57"/>
      <c r="K289" s="56"/>
      <c r="L289" s="58">
        <v>60.0</v>
      </c>
      <c r="M289" s="56"/>
      <c r="N289" s="59">
        <v>60.0</v>
      </c>
      <c r="O289" s="56"/>
      <c r="P289" s="57"/>
      <c r="Q289" s="56"/>
      <c r="R289" s="59"/>
      <c r="S289" s="56"/>
      <c r="T289" s="57"/>
      <c r="U289" s="56"/>
      <c r="V289" s="57"/>
      <c r="W289" s="60"/>
      <c r="X289" s="54"/>
      <c r="Y289" s="56"/>
      <c r="Z289" s="57"/>
      <c r="AA289" s="56"/>
      <c r="AB289" s="57"/>
      <c r="AC289" s="56"/>
      <c r="AD289" s="57"/>
      <c r="AE289" s="56"/>
      <c r="AF289" s="57"/>
      <c r="AG289" s="56"/>
      <c r="AH289" s="57"/>
      <c r="AI289" s="60"/>
      <c r="AJ289" s="61">
        <f t="shared" si="1"/>
        <v>1946.4</v>
      </c>
      <c r="AK289" s="51">
        <f t="shared" si="2"/>
        <v>120</v>
      </c>
      <c r="AL289" s="51" t="str">
        <f t="shared" si="3"/>
        <v/>
      </c>
      <c r="AM289" s="51">
        <f t="shared" si="4"/>
        <v>120</v>
      </c>
      <c r="AN289" s="63">
        <f t="shared" si="5"/>
        <v>16.22</v>
      </c>
    </row>
    <row r="290" ht="15.75" customHeight="1">
      <c r="A290" s="18" t="s">
        <v>20</v>
      </c>
      <c r="B290" s="64">
        <f t="shared" si="6"/>
        <v>44850</v>
      </c>
      <c r="C290" s="20">
        <v>11.0</v>
      </c>
      <c r="D290" s="20" t="s">
        <v>32</v>
      </c>
      <c r="E290" s="22"/>
      <c r="F290" s="23"/>
      <c r="H290" s="24"/>
      <c r="J290" s="24"/>
      <c r="L290" s="25">
        <v>60.0</v>
      </c>
      <c r="N290" s="26">
        <v>60.0</v>
      </c>
      <c r="P290" s="24"/>
      <c r="R290" s="26">
        <v>45.0</v>
      </c>
      <c r="T290" s="24"/>
      <c r="V290" s="24"/>
      <c r="W290" s="27"/>
      <c r="X290" s="23"/>
      <c r="Z290" s="24"/>
      <c r="AB290" s="24"/>
      <c r="AD290" s="24"/>
      <c r="AF290" s="24"/>
      <c r="AH290" s="24"/>
      <c r="AI290" s="27"/>
      <c r="AJ290" s="28">
        <f t="shared" si="1"/>
        <v>2236.2</v>
      </c>
      <c r="AK290" s="20">
        <f t="shared" si="2"/>
        <v>120</v>
      </c>
      <c r="AL290" s="20">
        <f t="shared" si="3"/>
        <v>45</v>
      </c>
      <c r="AM290" s="20">
        <f t="shared" si="4"/>
        <v>165</v>
      </c>
      <c r="AN290" s="31">
        <f t="shared" si="5"/>
        <v>13.55272727</v>
      </c>
    </row>
    <row r="291" ht="15.75" customHeight="1">
      <c r="A291" s="32" t="s">
        <v>22</v>
      </c>
      <c r="B291" s="34">
        <f t="shared" si="6"/>
        <v>44851</v>
      </c>
      <c r="C291" s="35">
        <v>11.0</v>
      </c>
      <c r="D291" s="35" t="s">
        <v>32</v>
      </c>
      <c r="E291" s="37"/>
      <c r="F291" s="23"/>
      <c r="H291" s="24"/>
      <c r="J291" s="24"/>
      <c r="L291" s="25">
        <v>60.0</v>
      </c>
      <c r="N291" s="26">
        <v>60.0</v>
      </c>
      <c r="P291" s="24"/>
      <c r="R291" s="26">
        <v>45.0</v>
      </c>
      <c r="T291" s="24"/>
      <c r="V291" s="24"/>
      <c r="W291" s="27"/>
      <c r="X291" s="23"/>
      <c r="Z291" s="24"/>
      <c r="AB291" s="24"/>
      <c r="AD291" s="24"/>
      <c r="AF291" s="24"/>
      <c r="AH291" s="24"/>
      <c r="AI291" s="27"/>
      <c r="AJ291" s="39">
        <f t="shared" si="1"/>
        <v>2236.2</v>
      </c>
      <c r="AK291" s="35">
        <f t="shared" si="2"/>
        <v>120</v>
      </c>
      <c r="AL291" s="35">
        <f t="shared" si="3"/>
        <v>45</v>
      </c>
      <c r="AM291" s="35">
        <f t="shared" si="4"/>
        <v>165</v>
      </c>
      <c r="AN291" s="40">
        <f t="shared" si="5"/>
        <v>13.55272727</v>
      </c>
    </row>
    <row r="292" ht="15.75" customHeight="1">
      <c r="A292" s="32" t="s">
        <v>24</v>
      </c>
      <c r="B292" s="34">
        <f t="shared" si="6"/>
        <v>44852</v>
      </c>
      <c r="C292" s="35">
        <v>11.0</v>
      </c>
      <c r="D292" s="35" t="s">
        <v>32</v>
      </c>
      <c r="E292" s="37"/>
      <c r="F292" s="23"/>
      <c r="H292" s="24"/>
      <c r="J292" s="24"/>
      <c r="L292" s="25">
        <v>60.0</v>
      </c>
      <c r="N292" s="26">
        <v>60.0</v>
      </c>
      <c r="P292" s="24"/>
      <c r="R292" s="26">
        <v>45.0</v>
      </c>
      <c r="T292" s="24"/>
      <c r="V292" s="24"/>
      <c r="W292" s="27"/>
      <c r="X292" s="23"/>
      <c r="Z292" s="24"/>
      <c r="AB292" s="24"/>
      <c r="AD292" s="24"/>
      <c r="AF292" s="24"/>
      <c r="AH292" s="24"/>
      <c r="AI292" s="27"/>
      <c r="AJ292" s="39">
        <f t="shared" si="1"/>
        <v>2236.2</v>
      </c>
      <c r="AK292" s="35">
        <f t="shared" si="2"/>
        <v>120</v>
      </c>
      <c r="AL292" s="35">
        <f t="shared" si="3"/>
        <v>45</v>
      </c>
      <c r="AM292" s="35">
        <f t="shared" si="4"/>
        <v>165</v>
      </c>
      <c r="AN292" s="40">
        <f t="shared" si="5"/>
        <v>13.55272727</v>
      </c>
    </row>
    <row r="293" ht="15.75" customHeight="1">
      <c r="A293" s="32" t="s">
        <v>28</v>
      </c>
      <c r="B293" s="34">
        <f t="shared" si="6"/>
        <v>44853</v>
      </c>
      <c r="C293" s="35">
        <v>11.0</v>
      </c>
      <c r="D293" s="35" t="s">
        <v>32</v>
      </c>
      <c r="E293" s="37"/>
      <c r="F293" s="23"/>
      <c r="H293" s="24"/>
      <c r="J293" s="24"/>
      <c r="L293" s="25">
        <v>60.0</v>
      </c>
      <c r="N293" s="26">
        <v>60.0</v>
      </c>
      <c r="P293" s="24"/>
      <c r="R293" s="26">
        <v>45.0</v>
      </c>
      <c r="T293" s="24"/>
      <c r="V293" s="24"/>
      <c r="W293" s="27"/>
      <c r="X293" s="23"/>
      <c r="Z293" s="24"/>
      <c r="AB293" s="24"/>
      <c r="AD293" s="24"/>
      <c r="AF293" s="24"/>
      <c r="AH293" s="24"/>
      <c r="AI293" s="27"/>
      <c r="AJ293" s="39">
        <f t="shared" si="1"/>
        <v>2236.2</v>
      </c>
      <c r="AK293" s="35">
        <f t="shared" si="2"/>
        <v>120</v>
      </c>
      <c r="AL293" s="35">
        <f t="shared" si="3"/>
        <v>45</v>
      </c>
      <c r="AM293" s="35">
        <f t="shared" si="4"/>
        <v>165</v>
      </c>
      <c r="AN293" s="40">
        <f t="shared" si="5"/>
        <v>13.55272727</v>
      </c>
    </row>
    <row r="294" ht="15.75" customHeight="1">
      <c r="A294" s="32" t="s">
        <v>29</v>
      </c>
      <c r="B294" s="34">
        <f t="shared" si="6"/>
        <v>44854</v>
      </c>
      <c r="C294" s="35">
        <v>11.0</v>
      </c>
      <c r="D294" s="35" t="s">
        <v>32</v>
      </c>
      <c r="E294" s="37"/>
      <c r="F294" s="23"/>
      <c r="H294" s="24"/>
      <c r="J294" s="24"/>
      <c r="L294" s="25">
        <v>60.0</v>
      </c>
      <c r="N294" s="26">
        <v>60.0</v>
      </c>
      <c r="P294" s="24"/>
      <c r="R294" s="26">
        <v>45.0</v>
      </c>
      <c r="T294" s="24"/>
      <c r="V294" s="24"/>
      <c r="W294" s="27"/>
      <c r="X294" s="23"/>
      <c r="Z294" s="24"/>
      <c r="AB294" s="24"/>
      <c r="AD294" s="24"/>
      <c r="AF294" s="24"/>
      <c r="AH294" s="24"/>
      <c r="AI294" s="27"/>
      <c r="AJ294" s="39">
        <f t="shared" si="1"/>
        <v>2236.2</v>
      </c>
      <c r="AK294" s="35">
        <f t="shared" si="2"/>
        <v>120</v>
      </c>
      <c r="AL294" s="35">
        <f t="shared" si="3"/>
        <v>45</v>
      </c>
      <c r="AM294" s="35">
        <f t="shared" si="4"/>
        <v>165</v>
      </c>
      <c r="AN294" s="40">
        <f t="shared" si="5"/>
        <v>13.55272727</v>
      </c>
    </row>
    <row r="295" ht="15.75" customHeight="1">
      <c r="A295" s="32" t="s">
        <v>30</v>
      </c>
      <c r="B295" s="34">
        <f t="shared" si="6"/>
        <v>44855</v>
      </c>
      <c r="C295" s="35">
        <v>11.0</v>
      </c>
      <c r="D295" s="35" t="s">
        <v>32</v>
      </c>
      <c r="E295" s="37"/>
      <c r="F295" s="23"/>
      <c r="H295" s="24"/>
      <c r="J295" s="24"/>
      <c r="L295" s="25">
        <v>60.0</v>
      </c>
      <c r="N295" s="26">
        <v>60.0</v>
      </c>
      <c r="P295" s="24"/>
      <c r="R295" s="26">
        <v>45.0</v>
      </c>
      <c r="T295" s="24"/>
      <c r="V295" s="24"/>
      <c r="W295" s="27"/>
      <c r="X295" s="23"/>
      <c r="Z295" s="24"/>
      <c r="AB295" s="24"/>
      <c r="AD295" s="24"/>
      <c r="AF295" s="24"/>
      <c r="AH295" s="24"/>
      <c r="AI295" s="27"/>
      <c r="AJ295" s="39">
        <f t="shared" si="1"/>
        <v>2236.2</v>
      </c>
      <c r="AK295" s="35">
        <f t="shared" si="2"/>
        <v>120</v>
      </c>
      <c r="AL295" s="35">
        <f t="shared" si="3"/>
        <v>45</v>
      </c>
      <c r="AM295" s="35">
        <f t="shared" si="4"/>
        <v>165</v>
      </c>
      <c r="AN295" s="40">
        <f t="shared" si="5"/>
        <v>13.55272727</v>
      </c>
    </row>
    <row r="296" ht="15.75" customHeight="1">
      <c r="A296" s="48" t="s">
        <v>31</v>
      </c>
      <c r="B296" s="50">
        <f t="shared" si="6"/>
        <v>44856</v>
      </c>
      <c r="C296" s="51">
        <v>11.0</v>
      </c>
      <c r="D296" s="51" t="s">
        <v>32</v>
      </c>
      <c r="E296" s="53"/>
      <c r="F296" s="54"/>
      <c r="G296" s="56"/>
      <c r="H296" s="57"/>
      <c r="I296" s="56"/>
      <c r="J296" s="57"/>
      <c r="K296" s="56"/>
      <c r="L296" s="58">
        <v>60.0</v>
      </c>
      <c r="M296" s="56"/>
      <c r="N296" s="59">
        <v>60.0</v>
      </c>
      <c r="O296" s="56"/>
      <c r="P296" s="57"/>
      <c r="Q296" s="56"/>
      <c r="R296" s="59"/>
      <c r="S296" s="56"/>
      <c r="T296" s="57"/>
      <c r="U296" s="56"/>
      <c r="V296" s="57"/>
      <c r="W296" s="60"/>
      <c r="X296" s="54"/>
      <c r="Y296" s="56"/>
      <c r="Z296" s="57"/>
      <c r="AA296" s="56"/>
      <c r="AB296" s="57"/>
      <c r="AC296" s="56"/>
      <c r="AD296" s="57"/>
      <c r="AE296" s="56"/>
      <c r="AF296" s="57"/>
      <c r="AG296" s="56"/>
      <c r="AH296" s="57"/>
      <c r="AI296" s="60"/>
      <c r="AJ296" s="61">
        <f t="shared" si="1"/>
        <v>1946.4</v>
      </c>
      <c r="AK296" s="51">
        <f t="shared" si="2"/>
        <v>120</v>
      </c>
      <c r="AL296" s="51" t="str">
        <f t="shared" si="3"/>
        <v/>
      </c>
      <c r="AM296" s="51">
        <f t="shared" si="4"/>
        <v>120</v>
      </c>
      <c r="AN296" s="63">
        <f t="shared" si="5"/>
        <v>16.22</v>
      </c>
    </row>
    <row r="297" ht="15.75" customHeight="1">
      <c r="A297" s="18" t="s">
        <v>20</v>
      </c>
      <c r="B297" s="64">
        <f t="shared" si="6"/>
        <v>44857</v>
      </c>
      <c r="C297" s="20">
        <v>11.0</v>
      </c>
      <c r="D297" s="20" t="s">
        <v>33</v>
      </c>
      <c r="E297" s="22"/>
      <c r="F297" s="23"/>
      <c r="H297" s="24"/>
      <c r="J297" s="24"/>
      <c r="L297" s="25">
        <v>60.0</v>
      </c>
      <c r="N297" s="26">
        <v>60.0</v>
      </c>
      <c r="P297" s="24"/>
      <c r="R297" s="26">
        <v>45.0</v>
      </c>
      <c r="T297" s="24"/>
      <c r="V297" s="24"/>
      <c r="W297" s="27"/>
      <c r="X297" s="23"/>
      <c r="Z297" s="24"/>
      <c r="AB297" s="24"/>
      <c r="AD297" s="24"/>
      <c r="AF297" s="24"/>
      <c r="AH297" s="24"/>
      <c r="AI297" s="27"/>
      <c r="AJ297" s="28">
        <f t="shared" si="1"/>
        <v>2236.2</v>
      </c>
      <c r="AK297" s="20">
        <f t="shared" si="2"/>
        <v>120</v>
      </c>
      <c r="AL297" s="20">
        <f t="shared" si="3"/>
        <v>45</v>
      </c>
      <c r="AM297" s="20">
        <f t="shared" si="4"/>
        <v>165</v>
      </c>
      <c r="AN297" s="31">
        <f t="shared" si="5"/>
        <v>13.55272727</v>
      </c>
    </row>
    <row r="298" ht="15.75" customHeight="1">
      <c r="A298" s="32" t="s">
        <v>22</v>
      </c>
      <c r="B298" s="34">
        <f t="shared" si="6"/>
        <v>44858</v>
      </c>
      <c r="C298" s="35">
        <v>11.0</v>
      </c>
      <c r="D298" s="35" t="s">
        <v>33</v>
      </c>
      <c r="E298" s="37"/>
      <c r="F298" s="23"/>
      <c r="H298" s="24"/>
      <c r="J298" s="24"/>
      <c r="L298" s="25">
        <v>60.0</v>
      </c>
      <c r="N298" s="26">
        <v>60.0</v>
      </c>
      <c r="P298" s="24"/>
      <c r="R298" s="26">
        <v>45.0</v>
      </c>
      <c r="T298" s="24"/>
      <c r="V298" s="24"/>
      <c r="W298" s="27"/>
      <c r="X298" s="23"/>
      <c r="Z298" s="24"/>
      <c r="AB298" s="24"/>
      <c r="AD298" s="24"/>
      <c r="AF298" s="24"/>
      <c r="AH298" s="24"/>
      <c r="AI298" s="27"/>
      <c r="AJ298" s="39">
        <f t="shared" si="1"/>
        <v>2236.2</v>
      </c>
      <c r="AK298" s="35">
        <f t="shared" si="2"/>
        <v>120</v>
      </c>
      <c r="AL298" s="35">
        <f t="shared" si="3"/>
        <v>45</v>
      </c>
      <c r="AM298" s="35">
        <f t="shared" si="4"/>
        <v>165</v>
      </c>
      <c r="AN298" s="40">
        <f t="shared" si="5"/>
        <v>13.55272727</v>
      </c>
    </row>
    <row r="299" ht="15.75" customHeight="1">
      <c r="A299" s="32" t="s">
        <v>24</v>
      </c>
      <c r="B299" s="34">
        <f t="shared" si="6"/>
        <v>44859</v>
      </c>
      <c r="C299" s="35">
        <v>11.0</v>
      </c>
      <c r="D299" s="35" t="s">
        <v>33</v>
      </c>
      <c r="E299" s="37"/>
      <c r="F299" s="23"/>
      <c r="H299" s="24"/>
      <c r="J299" s="24"/>
      <c r="L299" s="25">
        <v>60.0</v>
      </c>
      <c r="N299" s="26">
        <v>60.0</v>
      </c>
      <c r="P299" s="24"/>
      <c r="R299" s="26">
        <v>0.0</v>
      </c>
      <c r="T299" s="24"/>
      <c r="V299" s="24"/>
      <c r="W299" s="27"/>
      <c r="X299" s="23"/>
      <c r="Z299" s="24"/>
      <c r="AB299" s="24"/>
      <c r="AD299" s="24"/>
      <c r="AF299" s="24"/>
      <c r="AH299" s="24"/>
      <c r="AI299" s="27"/>
      <c r="AJ299" s="39">
        <f t="shared" si="1"/>
        <v>1946.4</v>
      </c>
      <c r="AK299" s="35">
        <f t="shared" si="2"/>
        <v>120</v>
      </c>
      <c r="AL299" s="35">
        <f t="shared" si="3"/>
        <v>0</v>
      </c>
      <c r="AM299" s="35">
        <f t="shared" si="4"/>
        <v>120</v>
      </c>
      <c r="AN299" s="40">
        <f t="shared" si="5"/>
        <v>16.22</v>
      </c>
    </row>
    <row r="300" ht="15.75" customHeight="1">
      <c r="A300" s="32" t="s">
        <v>28</v>
      </c>
      <c r="B300" s="34">
        <f t="shared" si="6"/>
        <v>44860</v>
      </c>
      <c r="C300" s="35">
        <v>11.0</v>
      </c>
      <c r="D300" s="35" t="s">
        <v>33</v>
      </c>
      <c r="E300" s="37"/>
      <c r="F300" s="23"/>
      <c r="H300" s="24"/>
      <c r="J300" s="24"/>
      <c r="L300" s="25">
        <v>60.0</v>
      </c>
      <c r="N300" s="26">
        <v>60.0</v>
      </c>
      <c r="P300" s="24"/>
      <c r="R300" s="26">
        <v>0.0</v>
      </c>
      <c r="T300" s="24"/>
      <c r="V300" s="24"/>
      <c r="W300" s="27"/>
      <c r="X300" s="23"/>
      <c r="Z300" s="24"/>
      <c r="AB300" s="24"/>
      <c r="AD300" s="24"/>
      <c r="AF300" s="24"/>
      <c r="AH300" s="24"/>
      <c r="AI300" s="27"/>
      <c r="AJ300" s="39">
        <f t="shared" si="1"/>
        <v>1946.4</v>
      </c>
      <c r="AK300" s="35">
        <f t="shared" si="2"/>
        <v>120</v>
      </c>
      <c r="AL300" s="35">
        <f t="shared" si="3"/>
        <v>0</v>
      </c>
      <c r="AM300" s="35">
        <f t="shared" si="4"/>
        <v>120</v>
      </c>
      <c r="AN300" s="40">
        <f t="shared" si="5"/>
        <v>16.22</v>
      </c>
    </row>
    <row r="301" ht="15.75" customHeight="1">
      <c r="A301" s="32" t="s">
        <v>29</v>
      </c>
      <c r="B301" s="34">
        <f t="shared" si="6"/>
        <v>44861</v>
      </c>
      <c r="C301" s="35">
        <v>11.0</v>
      </c>
      <c r="D301" s="35" t="s">
        <v>33</v>
      </c>
      <c r="E301" s="37"/>
      <c r="F301" s="23"/>
      <c r="H301" s="24"/>
      <c r="J301" s="24"/>
      <c r="L301" s="25">
        <v>60.0</v>
      </c>
      <c r="N301" s="26">
        <v>60.0</v>
      </c>
      <c r="P301" s="24"/>
      <c r="R301" s="26">
        <v>0.0</v>
      </c>
      <c r="T301" s="24"/>
      <c r="V301" s="24"/>
      <c r="W301" s="27"/>
      <c r="X301" s="23"/>
      <c r="Z301" s="24"/>
      <c r="AB301" s="24"/>
      <c r="AD301" s="24"/>
      <c r="AF301" s="24"/>
      <c r="AH301" s="24"/>
      <c r="AI301" s="27"/>
      <c r="AJ301" s="39">
        <f t="shared" si="1"/>
        <v>1946.4</v>
      </c>
      <c r="AK301" s="35">
        <f t="shared" si="2"/>
        <v>120</v>
      </c>
      <c r="AL301" s="35">
        <f t="shared" si="3"/>
        <v>0</v>
      </c>
      <c r="AM301" s="35">
        <f t="shared" si="4"/>
        <v>120</v>
      </c>
      <c r="AN301" s="40">
        <f t="shared" si="5"/>
        <v>16.22</v>
      </c>
    </row>
    <row r="302" ht="15.75" customHeight="1">
      <c r="A302" s="32" t="s">
        <v>30</v>
      </c>
      <c r="B302" s="34">
        <f t="shared" si="6"/>
        <v>44862</v>
      </c>
      <c r="C302" s="35">
        <v>11.0</v>
      </c>
      <c r="D302" s="35" t="s">
        <v>33</v>
      </c>
      <c r="E302" s="37"/>
      <c r="F302" s="23"/>
      <c r="H302" s="24"/>
      <c r="J302" s="24"/>
      <c r="L302" s="25">
        <v>60.0</v>
      </c>
      <c r="N302" s="26">
        <v>60.0</v>
      </c>
      <c r="P302" s="24"/>
      <c r="R302" s="26">
        <v>0.0</v>
      </c>
      <c r="T302" s="24"/>
      <c r="V302" s="24"/>
      <c r="W302" s="27"/>
      <c r="X302" s="23"/>
      <c r="Z302" s="24"/>
      <c r="AB302" s="24"/>
      <c r="AD302" s="24"/>
      <c r="AF302" s="24"/>
      <c r="AH302" s="24"/>
      <c r="AI302" s="27"/>
      <c r="AJ302" s="39">
        <f t="shared" si="1"/>
        <v>1946.4</v>
      </c>
      <c r="AK302" s="35">
        <f t="shared" si="2"/>
        <v>120</v>
      </c>
      <c r="AL302" s="35">
        <f t="shared" si="3"/>
        <v>0</v>
      </c>
      <c r="AM302" s="35">
        <f t="shared" si="4"/>
        <v>120</v>
      </c>
      <c r="AN302" s="40">
        <f t="shared" si="5"/>
        <v>16.22</v>
      </c>
    </row>
    <row r="303" ht="15.75" customHeight="1">
      <c r="A303" s="48" t="s">
        <v>31</v>
      </c>
      <c r="B303" s="50">
        <f t="shared" si="6"/>
        <v>44863</v>
      </c>
      <c r="C303" s="51">
        <v>11.0</v>
      </c>
      <c r="D303" s="51" t="s">
        <v>33</v>
      </c>
      <c r="E303" s="53"/>
      <c r="F303" s="54"/>
      <c r="G303" s="56"/>
      <c r="H303" s="57"/>
      <c r="I303" s="56"/>
      <c r="J303" s="57"/>
      <c r="K303" s="56"/>
      <c r="L303" s="58">
        <v>60.0</v>
      </c>
      <c r="M303" s="56"/>
      <c r="N303" s="59">
        <v>60.0</v>
      </c>
      <c r="O303" s="56"/>
      <c r="P303" s="57"/>
      <c r="Q303" s="56"/>
      <c r="R303" s="59">
        <v>0.0</v>
      </c>
      <c r="S303" s="56"/>
      <c r="T303" s="57"/>
      <c r="U303" s="56"/>
      <c r="V303" s="57"/>
      <c r="W303" s="60"/>
      <c r="X303" s="54"/>
      <c r="Y303" s="56"/>
      <c r="Z303" s="57"/>
      <c r="AA303" s="56"/>
      <c r="AB303" s="57"/>
      <c r="AC303" s="56"/>
      <c r="AD303" s="57"/>
      <c r="AE303" s="56"/>
      <c r="AF303" s="57"/>
      <c r="AG303" s="56"/>
      <c r="AH303" s="57"/>
      <c r="AI303" s="60"/>
      <c r="AJ303" s="61">
        <f t="shared" si="1"/>
        <v>1946.4</v>
      </c>
      <c r="AK303" s="51">
        <f t="shared" si="2"/>
        <v>120</v>
      </c>
      <c r="AL303" s="51">
        <f t="shared" si="3"/>
        <v>0</v>
      </c>
      <c r="AM303" s="51">
        <f t="shared" si="4"/>
        <v>120</v>
      </c>
      <c r="AN303" s="63">
        <f t="shared" si="5"/>
        <v>16.22</v>
      </c>
    </row>
    <row r="304" ht="15.75" customHeight="1">
      <c r="A304" s="18" t="s">
        <v>20</v>
      </c>
      <c r="B304" s="64">
        <f t="shared" si="6"/>
        <v>44864</v>
      </c>
      <c r="C304" s="20">
        <v>11.0</v>
      </c>
      <c r="D304" s="20" t="s">
        <v>34</v>
      </c>
      <c r="E304" s="22"/>
      <c r="F304" s="23"/>
      <c r="H304" s="24"/>
      <c r="J304" s="24"/>
      <c r="L304" s="25">
        <v>60.0</v>
      </c>
      <c r="N304" s="26">
        <v>60.0</v>
      </c>
      <c r="P304" s="24"/>
      <c r="R304" s="26">
        <v>0.0</v>
      </c>
      <c r="T304" s="24"/>
      <c r="V304" s="24"/>
      <c r="W304" s="27"/>
      <c r="X304" s="23"/>
      <c r="Z304" s="24"/>
      <c r="AB304" s="24"/>
      <c r="AD304" s="24"/>
      <c r="AF304" s="24"/>
      <c r="AH304" s="24"/>
      <c r="AI304" s="27"/>
      <c r="AJ304" s="28">
        <f t="shared" si="1"/>
        <v>1946.4</v>
      </c>
      <c r="AK304" s="20">
        <f t="shared" si="2"/>
        <v>120</v>
      </c>
      <c r="AL304" s="20">
        <f t="shared" si="3"/>
        <v>0</v>
      </c>
      <c r="AM304" s="20">
        <f t="shared" si="4"/>
        <v>120</v>
      </c>
      <c r="AN304" s="31">
        <f t="shared" si="5"/>
        <v>16.22</v>
      </c>
    </row>
    <row r="305" ht="15.75" customHeight="1">
      <c r="A305" s="32" t="s">
        <v>22</v>
      </c>
      <c r="B305" s="34">
        <f t="shared" si="6"/>
        <v>44865</v>
      </c>
      <c r="C305" s="35">
        <v>11.0</v>
      </c>
      <c r="D305" s="35" t="s">
        <v>34</v>
      </c>
      <c r="E305" s="37"/>
      <c r="F305" s="23"/>
      <c r="H305" s="24"/>
      <c r="J305" s="24"/>
      <c r="L305" s="25">
        <v>60.0</v>
      </c>
      <c r="N305" s="26">
        <v>60.0</v>
      </c>
      <c r="P305" s="24"/>
      <c r="R305" s="26">
        <v>0.0</v>
      </c>
      <c r="T305" s="24"/>
      <c r="V305" s="24"/>
      <c r="W305" s="27"/>
      <c r="X305" s="23"/>
      <c r="Z305" s="24"/>
      <c r="AB305" s="24"/>
      <c r="AD305" s="24"/>
      <c r="AF305" s="24"/>
      <c r="AH305" s="24"/>
      <c r="AI305" s="27"/>
      <c r="AJ305" s="39">
        <f t="shared" si="1"/>
        <v>1946.4</v>
      </c>
      <c r="AK305" s="35">
        <f t="shared" si="2"/>
        <v>120</v>
      </c>
      <c r="AL305" s="35">
        <f t="shared" si="3"/>
        <v>0</v>
      </c>
      <c r="AM305" s="35">
        <f t="shared" si="4"/>
        <v>120</v>
      </c>
      <c r="AN305" s="40">
        <f t="shared" si="5"/>
        <v>16.22</v>
      </c>
    </row>
    <row r="306" ht="15.75" customHeight="1">
      <c r="A306" s="32" t="s">
        <v>24</v>
      </c>
      <c r="B306" s="34">
        <f t="shared" si="6"/>
        <v>44866</v>
      </c>
      <c r="C306" s="35">
        <v>11.0</v>
      </c>
      <c r="D306" s="35" t="s">
        <v>34</v>
      </c>
      <c r="E306" s="37"/>
      <c r="F306" s="23"/>
      <c r="H306" s="24"/>
      <c r="J306" s="24"/>
      <c r="L306" s="25">
        <v>60.0</v>
      </c>
      <c r="N306" s="26">
        <v>60.0</v>
      </c>
      <c r="P306" s="24"/>
      <c r="R306" s="26">
        <v>0.0</v>
      </c>
      <c r="T306" s="24"/>
      <c r="V306" s="24"/>
      <c r="W306" s="27"/>
      <c r="X306" s="23"/>
      <c r="Z306" s="24"/>
      <c r="AB306" s="24"/>
      <c r="AD306" s="24"/>
      <c r="AF306" s="24"/>
      <c r="AH306" s="24"/>
      <c r="AI306" s="27"/>
      <c r="AJ306" s="39">
        <f t="shared" si="1"/>
        <v>1946.4</v>
      </c>
      <c r="AK306" s="35">
        <f t="shared" si="2"/>
        <v>120</v>
      </c>
      <c r="AL306" s="35">
        <f t="shared" si="3"/>
        <v>0</v>
      </c>
      <c r="AM306" s="35">
        <f t="shared" si="4"/>
        <v>120</v>
      </c>
      <c r="AN306" s="40">
        <f t="shared" si="5"/>
        <v>16.22</v>
      </c>
    </row>
    <row r="307" ht="15.75" customHeight="1">
      <c r="A307" s="32" t="s">
        <v>28</v>
      </c>
      <c r="B307" s="34">
        <f t="shared" si="6"/>
        <v>44867</v>
      </c>
      <c r="C307" s="35">
        <v>11.0</v>
      </c>
      <c r="D307" s="35" t="s">
        <v>34</v>
      </c>
      <c r="E307" s="37"/>
      <c r="F307" s="23"/>
      <c r="H307" s="24"/>
      <c r="J307" s="24"/>
      <c r="L307" s="25">
        <v>60.0</v>
      </c>
      <c r="N307" s="26">
        <v>60.0</v>
      </c>
      <c r="P307" s="24"/>
      <c r="R307" s="26">
        <v>0.0</v>
      </c>
      <c r="T307" s="24"/>
      <c r="V307" s="24"/>
      <c r="W307" s="27"/>
      <c r="X307" s="23"/>
      <c r="Z307" s="24"/>
      <c r="AB307" s="24"/>
      <c r="AD307" s="24"/>
      <c r="AF307" s="24"/>
      <c r="AH307" s="24"/>
      <c r="AI307" s="27"/>
      <c r="AJ307" s="39">
        <f t="shared" si="1"/>
        <v>1946.4</v>
      </c>
      <c r="AK307" s="35">
        <f t="shared" si="2"/>
        <v>120</v>
      </c>
      <c r="AL307" s="35">
        <f t="shared" si="3"/>
        <v>0</v>
      </c>
      <c r="AM307" s="35">
        <f t="shared" si="4"/>
        <v>120</v>
      </c>
      <c r="AN307" s="40">
        <f t="shared" si="5"/>
        <v>16.22</v>
      </c>
    </row>
    <row r="308" ht="15.75" customHeight="1">
      <c r="A308" s="32" t="s">
        <v>29</v>
      </c>
      <c r="B308" s="34">
        <f t="shared" si="6"/>
        <v>44868</v>
      </c>
      <c r="C308" s="35">
        <v>11.0</v>
      </c>
      <c r="D308" s="35" t="s">
        <v>34</v>
      </c>
      <c r="E308" s="37"/>
      <c r="F308" s="23"/>
      <c r="H308" s="24"/>
      <c r="J308" s="24"/>
      <c r="L308" s="25">
        <v>60.0</v>
      </c>
      <c r="N308" s="26">
        <v>60.0</v>
      </c>
      <c r="P308" s="24"/>
      <c r="R308" s="26">
        <v>0.0</v>
      </c>
      <c r="T308" s="24"/>
      <c r="V308" s="24"/>
      <c r="W308" s="27"/>
      <c r="X308" s="23"/>
      <c r="Z308" s="24"/>
      <c r="AB308" s="24"/>
      <c r="AD308" s="24"/>
      <c r="AF308" s="24"/>
      <c r="AH308" s="24"/>
      <c r="AI308" s="27"/>
      <c r="AJ308" s="39">
        <f t="shared" si="1"/>
        <v>1946.4</v>
      </c>
      <c r="AK308" s="35">
        <f t="shared" si="2"/>
        <v>120</v>
      </c>
      <c r="AL308" s="35">
        <f t="shared" si="3"/>
        <v>0</v>
      </c>
      <c r="AM308" s="35">
        <f t="shared" si="4"/>
        <v>120</v>
      </c>
      <c r="AN308" s="40">
        <f t="shared" si="5"/>
        <v>16.22</v>
      </c>
    </row>
    <row r="309" ht="15.75" customHeight="1">
      <c r="A309" s="32" t="s">
        <v>30</v>
      </c>
      <c r="B309" s="34">
        <f t="shared" si="6"/>
        <v>44869</v>
      </c>
      <c r="C309" s="35">
        <v>11.0</v>
      </c>
      <c r="D309" s="35" t="s">
        <v>34</v>
      </c>
      <c r="E309" s="37"/>
      <c r="F309" s="23"/>
      <c r="H309" s="24"/>
      <c r="J309" s="24"/>
      <c r="L309" s="25">
        <v>60.0</v>
      </c>
      <c r="N309" s="26">
        <v>60.0</v>
      </c>
      <c r="P309" s="24"/>
      <c r="R309" s="26">
        <v>0.0</v>
      </c>
      <c r="T309" s="24"/>
      <c r="V309" s="24"/>
      <c r="W309" s="27"/>
      <c r="X309" s="23"/>
      <c r="Z309" s="24"/>
      <c r="AB309" s="24"/>
      <c r="AD309" s="24"/>
      <c r="AF309" s="24"/>
      <c r="AH309" s="24"/>
      <c r="AI309" s="27"/>
      <c r="AJ309" s="39">
        <f t="shared" si="1"/>
        <v>1946.4</v>
      </c>
      <c r="AK309" s="35">
        <f t="shared" si="2"/>
        <v>120</v>
      </c>
      <c r="AL309" s="35">
        <f t="shared" si="3"/>
        <v>0</v>
      </c>
      <c r="AM309" s="35">
        <f t="shared" si="4"/>
        <v>120</v>
      </c>
      <c r="AN309" s="40">
        <f t="shared" si="5"/>
        <v>16.22</v>
      </c>
    </row>
    <row r="310" ht="15.75" customHeight="1">
      <c r="A310" s="48" t="s">
        <v>31</v>
      </c>
      <c r="B310" s="50">
        <f t="shared" si="6"/>
        <v>44870</v>
      </c>
      <c r="C310" s="51">
        <v>11.0</v>
      </c>
      <c r="D310" s="51" t="s">
        <v>34</v>
      </c>
      <c r="E310" s="53"/>
      <c r="F310" s="54"/>
      <c r="G310" s="56"/>
      <c r="H310" s="57"/>
      <c r="I310" s="56"/>
      <c r="J310" s="57"/>
      <c r="K310" s="56"/>
      <c r="L310" s="58">
        <v>60.0</v>
      </c>
      <c r="M310" s="56"/>
      <c r="N310" s="59">
        <v>60.0</v>
      </c>
      <c r="O310" s="56"/>
      <c r="P310" s="57"/>
      <c r="Q310" s="56"/>
      <c r="R310" s="59">
        <v>0.0</v>
      </c>
      <c r="S310" s="56"/>
      <c r="T310" s="57"/>
      <c r="U310" s="56"/>
      <c r="V310" s="57"/>
      <c r="W310" s="60"/>
      <c r="X310" s="54"/>
      <c r="Y310" s="56"/>
      <c r="Z310" s="57"/>
      <c r="AA310" s="56"/>
      <c r="AB310" s="57"/>
      <c r="AC310" s="56"/>
      <c r="AD310" s="57"/>
      <c r="AE310" s="56"/>
      <c r="AF310" s="57"/>
      <c r="AG310" s="56"/>
      <c r="AH310" s="57"/>
      <c r="AI310" s="60"/>
      <c r="AJ310" s="61">
        <f t="shared" si="1"/>
        <v>1946.4</v>
      </c>
      <c r="AK310" s="51">
        <f t="shared" si="2"/>
        <v>120</v>
      </c>
      <c r="AL310" s="51">
        <f t="shared" si="3"/>
        <v>0</v>
      </c>
      <c r="AM310" s="51">
        <f t="shared" si="4"/>
        <v>120</v>
      </c>
      <c r="AN310" s="63">
        <f t="shared" si="5"/>
        <v>16.22</v>
      </c>
    </row>
    <row r="311" ht="15.75" customHeight="1">
      <c r="A311" s="18" t="s">
        <v>20</v>
      </c>
      <c r="B311" s="64">
        <f t="shared" si="6"/>
        <v>44871</v>
      </c>
      <c r="C311" s="20">
        <v>12.0</v>
      </c>
      <c r="D311" s="20" t="s">
        <v>21</v>
      </c>
      <c r="E311" s="22"/>
      <c r="F311" s="23"/>
      <c r="H311" s="24"/>
      <c r="J311" s="24"/>
      <c r="L311" s="25">
        <v>60.0</v>
      </c>
      <c r="N311" s="26">
        <v>60.0</v>
      </c>
      <c r="P311" s="24"/>
      <c r="R311" s="26">
        <v>0.0</v>
      </c>
      <c r="T311" s="24"/>
      <c r="V311" s="24"/>
      <c r="W311" s="27"/>
      <c r="X311" s="23"/>
      <c r="Z311" s="24"/>
      <c r="AB311" s="24"/>
      <c r="AD311" s="24"/>
      <c r="AF311" s="24"/>
      <c r="AH311" s="24"/>
      <c r="AI311" s="27"/>
      <c r="AJ311" s="28">
        <f t="shared" si="1"/>
        <v>1946.4</v>
      </c>
      <c r="AK311" s="20">
        <f t="shared" si="2"/>
        <v>120</v>
      </c>
      <c r="AL311" s="20">
        <f t="shared" si="3"/>
        <v>0</v>
      </c>
      <c r="AM311" s="20">
        <f t="shared" si="4"/>
        <v>120</v>
      </c>
      <c r="AN311" s="31">
        <f t="shared" si="5"/>
        <v>16.22</v>
      </c>
    </row>
    <row r="312" ht="15.75" customHeight="1">
      <c r="A312" s="32" t="s">
        <v>22</v>
      </c>
      <c r="B312" s="34">
        <f t="shared" si="6"/>
        <v>44872</v>
      </c>
      <c r="C312" s="35">
        <v>12.0</v>
      </c>
      <c r="D312" s="35" t="s">
        <v>21</v>
      </c>
      <c r="E312" s="37"/>
      <c r="F312" s="23"/>
      <c r="H312" s="24"/>
      <c r="J312" s="24"/>
      <c r="L312" s="25">
        <v>60.0</v>
      </c>
      <c r="N312" s="26">
        <v>60.0</v>
      </c>
      <c r="P312" s="24"/>
      <c r="R312" s="26">
        <v>0.0</v>
      </c>
      <c r="T312" s="24"/>
      <c r="V312" s="24"/>
      <c r="W312" s="27"/>
      <c r="X312" s="23"/>
      <c r="Z312" s="24"/>
      <c r="AB312" s="24"/>
      <c r="AD312" s="24"/>
      <c r="AF312" s="24"/>
      <c r="AH312" s="24"/>
      <c r="AI312" s="27"/>
      <c r="AJ312" s="39">
        <f t="shared" si="1"/>
        <v>1946.4</v>
      </c>
      <c r="AK312" s="35">
        <f t="shared" si="2"/>
        <v>120</v>
      </c>
      <c r="AL312" s="35">
        <f t="shared" si="3"/>
        <v>0</v>
      </c>
      <c r="AM312" s="35">
        <f t="shared" si="4"/>
        <v>120</v>
      </c>
      <c r="AN312" s="40">
        <f t="shared" si="5"/>
        <v>16.22</v>
      </c>
    </row>
    <row r="313" ht="15.75" customHeight="1">
      <c r="A313" s="32" t="s">
        <v>24</v>
      </c>
      <c r="B313" s="34">
        <f t="shared" si="6"/>
        <v>44873</v>
      </c>
      <c r="C313" s="35">
        <v>12.0</v>
      </c>
      <c r="D313" s="35" t="s">
        <v>21</v>
      </c>
      <c r="E313" s="37"/>
      <c r="F313" s="23"/>
      <c r="H313" s="24"/>
      <c r="J313" s="24"/>
      <c r="L313" s="25">
        <v>60.0</v>
      </c>
      <c r="N313" s="26">
        <v>60.0</v>
      </c>
      <c r="P313" s="24"/>
      <c r="R313" s="26">
        <v>0.0</v>
      </c>
      <c r="T313" s="24"/>
      <c r="V313" s="24"/>
      <c r="W313" s="27"/>
      <c r="X313" s="23"/>
      <c r="Z313" s="24"/>
      <c r="AB313" s="24"/>
      <c r="AD313" s="24"/>
      <c r="AF313" s="24"/>
      <c r="AH313" s="24"/>
      <c r="AI313" s="27"/>
      <c r="AJ313" s="39">
        <f t="shared" si="1"/>
        <v>1946.4</v>
      </c>
      <c r="AK313" s="35">
        <f t="shared" si="2"/>
        <v>120</v>
      </c>
      <c r="AL313" s="35">
        <f t="shared" si="3"/>
        <v>0</v>
      </c>
      <c r="AM313" s="35">
        <f t="shared" si="4"/>
        <v>120</v>
      </c>
      <c r="AN313" s="40">
        <f t="shared" si="5"/>
        <v>16.22</v>
      </c>
    </row>
    <row r="314" ht="15.75" customHeight="1">
      <c r="A314" s="32" t="s">
        <v>28</v>
      </c>
      <c r="B314" s="34">
        <f t="shared" si="6"/>
        <v>44874</v>
      </c>
      <c r="C314" s="35">
        <v>12.0</v>
      </c>
      <c r="D314" s="35" t="s">
        <v>21</v>
      </c>
      <c r="E314" s="37"/>
      <c r="F314" s="23"/>
      <c r="H314" s="24"/>
      <c r="J314" s="24"/>
      <c r="L314" s="25">
        <v>60.0</v>
      </c>
      <c r="N314" s="26">
        <v>60.0</v>
      </c>
      <c r="P314" s="24"/>
      <c r="R314" s="26">
        <v>0.0</v>
      </c>
      <c r="T314" s="24"/>
      <c r="V314" s="24"/>
      <c r="W314" s="27"/>
      <c r="X314" s="23"/>
      <c r="Z314" s="24"/>
      <c r="AB314" s="24"/>
      <c r="AD314" s="24"/>
      <c r="AF314" s="24"/>
      <c r="AH314" s="24"/>
      <c r="AI314" s="27"/>
      <c r="AJ314" s="39">
        <f t="shared" si="1"/>
        <v>1946.4</v>
      </c>
      <c r="AK314" s="35">
        <f t="shared" si="2"/>
        <v>120</v>
      </c>
      <c r="AL314" s="35">
        <f t="shared" si="3"/>
        <v>0</v>
      </c>
      <c r="AM314" s="35">
        <f t="shared" si="4"/>
        <v>120</v>
      </c>
      <c r="AN314" s="40">
        <f t="shared" si="5"/>
        <v>16.22</v>
      </c>
    </row>
    <row r="315" ht="15.75" customHeight="1">
      <c r="A315" s="32" t="s">
        <v>29</v>
      </c>
      <c r="B315" s="34">
        <f t="shared" si="6"/>
        <v>44875</v>
      </c>
      <c r="C315" s="35">
        <v>12.0</v>
      </c>
      <c r="D315" s="35" t="s">
        <v>21</v>
      </c>
      <c r="E315" s="37"/>
      <c r="F315" s="23"/>
      <c r="H315" s="24"/>
      <c r="J315" s="24"/>
      <c r="L315" s="25">
        <v>60.0</v>
      </c>
      <c r="N315" s="26">
        <v>60.0</v>
      </c>
      <c r="P315" s="24"/>
      <c r="R315" s="26">
        <v>0.0</v>
      </c>
      <c r="T315" s="24"/>
      <c r="V315" s="24"/>
      <c r="W315" s="27"/>
      <c r="X315" s="23"/>
      <c r="Z315" s="24"/>
      <c r="AB315" s="24"/>
      <c r="AD315" s="24"/>
      <c r="AF315" s="24"/>
      <c r="AH315" s="24"/>
      <c r="AI315" s="27"/>
      <c r="AJ315" s="39">
        <f t="shared" si="1"/>
        <v>1946.4</v>
      </c>
      <c r="AK315" s="35">
        <f t="shared" si="2"/>
        <v>120</v>
      </c>
      <c r="AL315" s="35">
        <f t="shared" si="3"/>
        <v>0</v>
      </c>
      <c r="AM315" s="35">
        <f t="shared" si="4"/>
        <v>120</v>
      </c>
      <c r="AN315" s="40">
        <f t="shared" si="5"/>
        <v>16.22</v>
      </c>
    </row>
    <row r="316" ht="15.75" customHeight="1">
      <c r="A316" s="32" t="s">
        <v>30</v>
      </c>
      <c r="B316" s="34">
        <f t="shared" si="6"/>
        <v>44876</v>
      </c>
      <c r="C316" s="35">
        <v>12.0</v>
      </c>
      <c r="D316" s="35" t="s">
        <v>21</v>
      </c>
      <c r="E316" s="37"/>
      <c r="F316" s="23"/>
      <c r="H316" s="24"/>
      <c r="J316" s="24"/>
      <c r="L316" s="25">
        <v>60.0</v>
      </c>
      <c r="N316" s="26">
        <v>60.0</v>
      </c>
      <c r="P316" s="24"/>
      <c r="R316" s="26">
        <v>0.0</v>
      </c>
      <c r="T316" s="24"/>
      <c r="V316" s="24"/>
      <c r="W316" s="27"/>
      <c r="X316" s="23"/>
      <c r="Z316" s="24"/>
      <c r="AB316" s="24"/>
      <c r="AD316" s="24"/>
      <c r="AF316" s="24"/>
      <c r="AH316" s="24"/>
      <c r="AI316" s="27"/>
      <c r="AJ316" s="39">
        <f t="shared" si="1"/>
        <v>1946.4</v>
      </c>
      <c r="AK316" s="35">
        <f t="shared" si="2"/>
        <v>120</v>
      </c>
      <c r="AL316" s="35">
        <f t="shared" si="3"/>
        <v>0</v>
      </c>
      <c r="AM316" s="35">
        <f t="shared" si="4"/>
        <v>120</v>
      </c>
      <c r="AN316" s="40">
        <f t="shared" si="5"/>
        <v>16.22</v>
      </c>
    </row>
    <row r="317" ht="15.75" customHeight="1">
      <c r="A317" s="48" t="s">
        <v>31</v>
      </c>
      <c r="B317" s="50">
        <f t="shared" si="6"/>
        <v>44877</v>
      </c>
      <c r="C317" s="51">
        <v>12.0</v>
      </c>
      <c r="D317" s="51" t="s">
        <v>21</v>
      </c>
      <c r="E317" s="53"/>
      <c r="F317" s="54"/>
      <c r="G317" s="56"/>
      <c r="H317" s="57"/>
      <c r="I317" s="56"/>
      <c r="J317" s="57"/>
      <c r="K317" s="56"/>
      <c r="L317" s="58">
        <v>60.0</v>
      </c>
      <c r="M317" s="56"/>
      <c r="N317" s="59">
        <v>60.0</v>
      </c>
      <c r="O317" s="56"/>
      <c r="P317" s="57"/>
      <c r="Q317" s="56"/>
      <c r="R317" s="59">
        <v>0.0</v>
      </c>
      <c r="S317" s="56"/>
      <c r="T317" s="57"/>
      <c r="U317" s="56"/>
      <c r="V317" s="57"/>
      <c r="W317" s="60"/>
      <c r="X317" s="54"/>
      <c r="Y317" s="56"/>
      <c r="Z317" s="57"/>
      <c r="AA317" s="56"/>
      <c r="AB317" s="57"/>
      <c r="AC317" s="56"/>
      <c r="AD317" s="57"/>
      <c r="AE317" s="56"/>
      <c r="AF317" s="57"/>
      <c r="AG317" s="56"/>
      <c r="AH317" s="57"/>
      <c r="AI317" s="60"/>
      <c r="AJ317" s="61">
        <f t="shared" si="1"/>
        <v>1946.4</v>
      </c>
      <c r="AK317" s="51">
        <f t="shared" si="2"/>
        <v>120</v>
      </c>
      <c r="AL317" s="51">
        <f t="shared" si="3"/>
        <v>0</v>
      </c>
      <c r="AM317" s="51">
        <f t="shared" si="4"/>
        <v>120</v>
      </c>
      <c r="AN317" s="63">
        <f t="shared" si="5"/>
        <v>16.22</v>
      </c>
    </row>
    <row r="318" ht="15.75" customHeight="1">
      <c r="A318" s="18" t="s">
        <v>20</v>
      </c>
      <c r="B318" s="64">
        <f t="shared" si="6"/>
        <v>44878</v>
      </c>
      <c r="C318" s="20">
        <v>12.0</v>
      </c>
      <c r="D318" s="20" t="s">
        <v>32</v>
      </c>
      <c r="E318" s="22"/>
      <c r="F318" s="23"/>
      <c r="H318" s="24"/>
      <c r="J318" s="24"/>
      <c r="L318" s="25">
        <v>60.0</v>
      </c>
      <c r="N318" s="26">
        <v>60.0</v>
      </c>
      <c r="P318" s="24"/>
      <c r="R318" s="26">
        <v>0.0</v>
      </c>
      <c r="T318" s="24"/>
      <c r="V318" s="24"/>
      <c r="W318" s="27"/>
      <c r="X318" s="23"/>
      <c r="Z318" s="24"/>
      <c r="AB318" s="24"/>
      <c r="AD318" s="24"/>
      <c r="AF318" s="24"/>
      <c r="AH318" s="24"/>
      <c r="AI318" s="27"/>
      <c r="AJ318" s="28">
        <f t="shared" si="1"/>
        <v>1946.4</v>
      </c>
      <c r="AK318" s="20">
        <f t="shared" si="2"/>
        <v>120</v>
      </c>
      <c r="AL318" s="20">
        <f t="shared" si="3"/>
        <v>0</v>
      </c>
      <c r="AM318" s="20">
        <f t="shared" si="4"/>
        <v>120</v>
      </c>
      <c r="AN318" s="31">
        <f t="shared" si="5"/>
        <v>16.22</v>
      </c>
    </row>
    <row r="319" ht="15.75" customHeight="1">
      <c r="A319" s="32" t="s">
        <v>22</v>
      </c>
      <c r="B319" s="34">
        <f t="shared" si="6"/>
        <v>44879</v>
      </c>
      <c r="C319" s="35">
        <v>12.0</v>
      </c>
      <c r="D319" s="35" t="s">
        <v>32</v>
      </c>
      <c r="E319" s="37"/>
      <c r="F319" s="23"/>
      <c r="H319" s="24"/>
      <c r="J319" s="24"/>
      <c r="L319" s="25">
        <v>60.0</v>
      </c>
      <c r="N319" s="26">
        <v>60.0</v>
      </c>
      <c r="P319" s="24"/>
      <c r="R319" s="26">
        <v>0.0</v>
      </c>
      <c r="T319" s="24"/>
      <c r="V319" s="24"/>
      <c r="W319" s="27"/>
      <c r="X319" s="23"/>
      <c r="Z319" s="24"/>
      <c r="AB319" s="24"/>
      <c r="AD319" s="24"/>
      <c r="AF319" s="24"/>
      <c r="AH319" s="24"/>
      <c r="AI319" s="27"/>
      <c r="AJ319" s="39">
        <f t="shared" si="1"/>
        <v>1946.4</v>
      </c>
      <c r="AK319" s="35">
        <f t="shared" si="2"/>
        <v>120</v>
      </c>
      <c r="AL319" s="35">
        <f t="shared" si="3"/>
        <v>0</v>
      </c>
      <c r="AM319" s="35">
        <f t="shared" si="4"/>
        <v>120</v>
      </c>
      <c r="AN319" s="40">
        <f t="shared" si="5"/>
        <v>16.22</v>
      </c>
    </row>
    <row r="320" ht="15.75" customHeight="1">
      <c r="A320" s="32" t="s">
        <v>24</v>
      </c>
      <c r="B320" s="34">
        <f t="shared" si="6"/>
        <v>44880</v>
      </c>
      <c r="C320" s="35">
        <v>12.0</v>
      </c>
      <c r="D320" s="35" t="s">
        <v>32</v>
      </c>
      <c r="E320" s="37"/>
      <c r="F320" s="23"/>
      <c r="H320" s="24"/>
      <c r="J320" s="24"/>
      <c r="L320" s="25">
        <v>60.0</v>
      </c>
      <c r="N320" s="26">
        <v>60.0</v>
      </c>
      <c r="P320" s="24"/>
      <c r="R320" s="26">
        <v>0.0</v>
      </c>
      <c r="T320" s="24"/>
      <c r="V320" s="24"/>
      <c r="W320" s="27"/>
      <c r="X320" s="23"/>
      <c r="Z320" s="24"/>
      <c r="AB320" s="24"/>
      <c r="AD320" s="24"/>
      <c r="AF320" s="24"/>
      <c r="AH320" s="24"/>
      <c r="AI320" s="27"/>
      <c r="AJ320" s="39">
        <f t="shared" si="1"/>
        <v>1946.4</v>
      </c>
      <c r="AK320" s="35">
        <f t="shared" si="2"/>
        <v>120</v>
      </c>
      <c r="AL320" s="35">
        <f t="shared" si="3"/>
        <v>0</v>
      </c>
      <c r="AM320" s="35">
        <f t="shared" si="4"/>
        <v>120</v>
      </c>
      <c r="AN320" s="40">
        <f t="shared" si="5"/>
        <v>16.22</v>
      </c>
    </row>
    <row r="321" ht="15.75" customHeight="1">
      <c r="A321" s="32" t="s">
        <v>28</v>
      </c>
      <c r="B321" s="34">
        <f t="shared" si="6"/>
        <v>44881</v>
      </c>
      <c r="C321" s="35">
        <v>12.0</v>
      </c>
      <c r="D321" s="35" t="s">
        <v>32</v>
      </c>
      <c r="E321" s="37"/>
      <c r="F321" s="23"/>
      <c r="H321" s="24"/>
      <c r="J321" s="24"/>
      <c r="L321" s="25">
        <v>60.0</v>
      </c>
      <c r="N321" s="26">
        <v>60.0</v>
      </c>
      <c r="P321" s="24"/>
      <c r="R321" s="26">
        <v>0.0</v>
      </c>
      <c r="T321" s="24"/>
      <c r="V321" s="24"/>
      <c r="W321" s="27"/>
      <c r="X321" s="23"/>
      <c r="Z321" s="24"/>
      <c r="AB321" s="24"/>
      <c r="AD321" s="24"/>
      <c r="AF321" s="24"/>
      <c r="AH321" s="24"/>
      <c r="AI321" s="27"/>
      <c r="AJ321" s="39">
        <f t="shared" si="1"/>
        <v>1946.4</v>
      </c>
      <c r="AK321" s="35">
        <f t="shared" si="2"/>
        <v>120</v>
      </c>
      <c r="AL321" s="35">
        <f t="shared" si="3"/>
        <v>0</v>
      </c>
      <c r="AM321" s="35">
        <f t="shared" si="4"/>
        <v>120</v>
      </c>
      <c r="AN321" s="40">
        <f t="shared" si="5"/>
        <v>16.22</v>
      </c>
    </row>
    <row r="322" ht="15.75" customHeight="1">
      <c r="A322" s="32" t="s">
        <v>29</v>
      </c>
      <c r="B322" s="34">
        <f t="shared" si="6"/>
        <v>44882</v>
      </c>
      <c r="C322" s="35">
        <v>12.0</v>
      </c>
      <c r="D322" s="35" t="s">
        <v>32</v>
      </c>
      <c r="E322" s="37"/>
      <c r="F322" s="23"/>
      <c r="H322" s="24"/>
      <c r="J322" s="24"/>
      <c r="L322" s="25">
        <v>60.0</v>
      </c>
      <c r="N322" s="26">
        <v>60.0</v>
      </c>
      <c r="P322" s="24"/>
      <c r="R322" s="26">
        <v>0.0</v>
      </c>
      <c r="T322" s="24"/>
      <c r="V322" s="24"/>
      <c r="W322" s="27"/>
      <c r="X322" s="23"/>
      <c r="Z322" s="24"/>
      <c r="AB322" s="24"/>
      <c r="AD322" s="24"/>
      <c r="AF322" s="24"/>
      <c r="AH322" s="24"/>
      <c r="AI322" s="27"/>
      <c r="AJ322" s="39">
        <f t="shared" si="1"/>
        <v>1946.4</v>
      </c>
      <c r="AK322" s="35">
        <f t="shared" si="2"/>
        <v>120</v>
      </c>
      <c r="AL322" s="35">
        <f t="shared" si="3"/>
        <v>0</v>
      </c>
      <c r="AM322" s="35">
        <f t="shared" si="4"/>
        <v>120</v>
      </c>
      <c r="AN322" s="40">
        <f t="shared" si="5"/>
        <v>16.22</v>
      </c>
    </row>
    <row r="323" ht="15.75" customHeight="1">
      <c r="A323" s="32" t="s">
        <v>30</v>
      </c>
      <c r="B323" s="34">
        <f t="shared" si="6"/>
        <v>44883</v>
      </c>
      <c r="C323" s="35">
        <v>12.0</v>
      </c>
      <c r="D323" s="35" t="s">
        <v>32</v>
      </c>
      <c r="E323" s="37"/>
      <c r="F323" s="23"/>
      <c r="H323" s="24"/>
      <c r="J323" s="24"/>
      <c r="L323" s="25">
        <v>60.0</v>
      </c>
      <c r="N323" s="26">
        <v>60.0</v>
      </c>
      <c r="P323" s="24"/>
      <c r="R323" s="26">
        <v>0.0</v>
      </c>
      <c r="T323" s="24"/>
      <c r="V323" s="24"/>
      <c r="W323" s="27"/>
      <c r="X323" s="23"/>
      <c r="Z323" s="24"/>
      <c r="AB323" s="24"/>
      <c r="AD323" s="24"/>
      <c r="AF323" s="24"/>
      <c r="AH323" s="24"/>
      <c r="AI323" s="27"/>
      <c r="AJ323" s="39">
        <f t="shared" si="1"/>
        <v>1946.4</v>
      </c>
      <c r="AK323" s="35">
        <f t="shared" si="2"/>
        <v>120</v>
      </c>
      <c r="AL323" s="35">
        <f t="shared" si="3"/>
        <v>0</v>
      </c>
      <c r="AM323" s="35">
        <f t="shared" si="4"/>
        <v>120</v>
      </c>
      <c r="AN323" s="40">
        <f t="shared" si="5"/>
        <v>16.22</v>
      </c>
    </row>
    <row r="324" ht="15.75" customHeight="1">
      <c r="A324" s="48" t="s">
        <v>31</v>
      </c>
      <c r="B324" s="50">
        <f t="shared" si="6"/>
        <v>44884</v>
      </c>
      <c r="C324" s="51">
        <v>12.0</v>
      </c>
      <c r="D324" s="51" t="s">
        <v>32</v>
      </c>
      <c r="E324" s="100" t="s">
        <v>36</v>
      </c>
      <c r="F324" s="54"/>
      <c r="G324" s="56"/>
      <c r="H324" s="57"/>
      <c r="I324" s="56"/>
      <c r="J324" s="57"/>
      <c r="K324" s="56"/>
      <c r="L324" s="58">
        <v>8550.0</v>
      </c>
      <c r="M324" s="56"/>
      <c r="N324" s="59"/>
      <c r="O324" s="56"/>
      <c r="P324" s="57"/>
      <c r="Q324" s="56"/>
      <c r="R324" s="59">
        <v>0.0</v>
      </c>
      <c r="S324" s="56"/>
      <c r="T324" s="57"/>
      <c r="U324" s="56"/>
      <c r="V324" s="57"/>
      <c r="W324" s="60"/>
      <c r="X324" s="54"/>
      <c r="Y324" s="56"/>
      <c r="Z324" s="57"/>
      <c r="AA324" s="56"/>
      <c r="AB324" s="57"/>
      <c r="AC324" s="56"/>
      <c r="AD324" s="57"/>
      <c r="AE324" s="56"/>
      <c r="AF324" s="57"/>
      <c r="AG324" s="56"/>
      <c r="AH324" s="57"/>
      <c r="AI324" s="60"/>
      <c r="AJ324" s="61">
        <f t="shared" si="1"/>
        <v>138681</v>
      </c>
      <c r="AK324" s="51">
        <f t="shared" si="2"/>
        <v>8550</v>
      </c>
      <c r="AL324" s="51">
        <f t="shared" si="3"/>
        <v>0</v>
      </c>
      <c r="AM324" s="51">
        <f t="shared" si="4"/>
        <v>8550</v>
      </c>
      <c r="AN324" s="63">
        <f t="shared" si="5"/>
        <v>16.22</v>
      </c>
    </row>
    <row r="325" ht="15.75" customHeight="1">
      <c r="A325" s="18" t="s">
        <v>20</v>
      </c>
      <c r="B325" s="64">
        <f t="shared" si="6"/>
        <v>44885</v>
      </c>
      <c r="C325" s="20">
        <v>12.0</v>
      </c>
      <c r="D325" s="20" t="s">
        <v>33</v>
      </c>
      <c r="E325" s="22"/>
      <c r="F325" s="23"/>
      <c r="H325" s="24"/>
      <c r="J325" s="24"/>
      <c r="L325" s="25">
        <v>0.0</v>
      </c>
      <c r="N325" s="26">
        <v>0.0</v>
      </c>
      <c r="P325" s="24"/>
      <c r="R325" s="26">
        <v>0.0</v>
      </c>
      <c r="T325" s="24"/>
      <c r="V325" s="24"/>
      <c r="W325" s="27"/>
      <c r="X325" s="23"/>
      <c r="Z325" s="24"/>
      <c r="AB325" s="24"/>
      <c r="AD325" s="24"/>
      <c r="AF325" s="24"/>
      <c r="AH325" s="24"/>
      <c r="AI325" s="27"/>
      <c r="AJ325" s="28">
        <f t="shared" si="1"/>
        <v>0</v>
      </c>
      <c r="AK325" s="20">
        <f t="shared" si="2"/>
        <v>0</v>
      </c>
      <c r="AL325" s="20">
        <f t="shared" si="3"/>
        <v>0</v>
      </c>
      <c r="AM325" s="20">
        <f t="shared" si="4"/>
        <v>0</v>
      </c>
      <c r="AN325" s="31" t="str">
        <f t="shared" si="5"/>
        <v/>
      </c>
    </row>
    <row r="326" ht="15.75" customHeight="1">
      <c r="A326" s="32" t="s">
        <v>22</v>
      </c>
      <c r="B326" s="34">
        <f t="shared" si="6"/>
        <v>44886</v>
      </c>
      <c r="C326" s="35">
        <v>12.0</v>
      </c>
      <c r="D326" s="35" t="s">
        <v>33</v>
      </c>
      <c r="E326" s="37"/>
      <c r="F326" s="23"/>
      <c r="H326" s="24"/>
      <c r="J326" s="24"/>
      <c r="L326" s="25">
        <v>0.0</v>
      </c>
      <c r="N326" s="26">
        <v>0.0</v>
      </c>
      <c r="P326" s="24"/>
      <c r="R326" s="26">
        <v>0.0</v>
      </c>
      <c r="T326" s="24"/>
      <c r="V326" s="24"/>
      <c r="W326" s="27"/>
      <c r="X326" s="23"/>
      <c r="Z326" s="24"/>
      <c r="AB326" s="24"/>
      <c r="AD326" s="24"/>
      <c r="AF326" s="24"/>
      <c r="AH326" s="24"/>
      <c r="AI326" s="27"/>
      <c r="AJ326" s="39">
        <f t="shared" si="1"/>
        <v>0</v>
      </c>
      <c r="AK326" s="35">
        <f t="shared" si="2"/>
        <v>0</v>
      </c>
      <c r="AL326" s="35">
        <f t="shared" si="3"/>
        <v>0</v>
      </c>
      <c r="AM326" s="35">
        <f t="shared" si="4"/>
        <v>0</v>
      </c>
      <c r="AN326" s="40" t="str">
        <f t="shared" si="5"/>
        <v/>
      </c>
    </row>
    <row r="327" ht="15.75" customHeight="1">
      <c r="A327" s="32" t="s">
        <v>24</v>
      </c>
      <c r="B327" s="34">
        <f t="shared" si="6"/>
        <v>44887</v>
      </c>
      <c r="C327" s="35">
        <v>12.0</v>
      </c>
      <c r="D327" s="35" t="s">
        <v>33</v>
      </c>
      <c r="E327" s="37"/>
      <c r="F327" s="23"/>
      <c r="H327" s="24"/>
      <c r="J327" s="24"/>
      <c r="L327" s="25">
        <v>0.0</v>
      </c>
      <c r="N327" s="26">
        <v>0.0</v>
      </c>
      <c r="P327" s="24"/>
      <c r="R327" s="26">
        <v>0.0</v>
      </c>
      <c r="T327" s="24"/>
      <c r="V327" s="24"/>
      <c r="W327" s="27"/>
      <c r="X327" s="23"/>
      <c r="Z327" s="24"/>
      <c r="AB327" s="24"/>
      <c r="AD327" s="24"/>
      <c r="AF327" s="24"/>
      <c r="AH327" s="24"/>
      <c r="AI327" s="27"/>
      <c r="AJ327" s="39">
        <f t="shared" si="1"/>
        <v>0</v>
      </c>
      <c r="AK327" s="35">
        <f t="shared" si="2"/>
        <v>0</v>
      </c>
      <c r="AL327" s="35">
        <f t="shared" si="3"/>
        <v>0</v>
      </c>
      <c r="AM327" s="35">
        <f t="shared" si="4"/>
        <v>0</v>
      </c>
      <c r="AN327" s="40" t="str">
        <f t="shared" si="5"/>
        <v/>
      </c>
    </row>
    <row r="328" ht="15.75" customHeight="1">
      <c r="A328" s="32" t="s">
        <v>28</v>
      </c>
      <c r="B328" s="34">
        <f t="shared" si="6"/>
        <v>44888</v>
      </c>
      <c r="C328" s="35">
        <v>12.0</v>
      </c>
      <c r="D328" s="35" t="s">
        <v>33</v>
      </c>
      <c r="E328" s="37"/>
      <c r="F328" s="23"/>
      <c r="H328" s="24"/>
      <c r="J328" s="24"/>
      <c r="L328" s="25">
        <v>0.0</v>
      </c>
      <c r="N328" s="26">
        <v>0.0</v>
      </c>
      <c r="P328" s="24"/>
      <c r="R328" s="26">
        <v>0.0</v>
      </c>
      <c r="T328" s="24"/>
      <c r="V328" s="24"/>
      <c r="W328" s="27"/>
      <c r="X328" s="23"/>
      <c r="Z328" s="24"/>
      <c r="AB328" s="24"/>
      <c r="AD328" s="24"/>
      <c r="AF328" s="24"/>
      <c r="AH328" s="24"/>
      <c r="AI328" s="27"/>
      <c r="AJ328" s="39">
        <f t="shared" si="1"/>
        <v>0</v>
      </c>
      <c r="AK328" s="35">
        <f t="shared" si="2"/>
        <v>0</v>
      </c>
      <c r="AL328" s="35">
        <f t="shared" si="3"/>
        <v>0</v>
      </c>
      <c r="AM328" s="35">
        <f t="shared" si="4"/>
        <v>0</v>
      </c>
      <c r="AN328" s="40" t="str">
        <f t="shared" si="5"/>
        <v/>
      </c>
    </row>
    <row r="329" ht="15.75" customHeight="1">
      <c r="A329" s="32" t="s">
        <v>29</v>
      </c>
      <c r="B329" s="34">
        <f t="shared" si="6"/>
        <v>44889</v>
      </c>
      <c r="C329" s="35">
        <v>12.0</v>
      </c>
      <c r="D329" s="35" t="s">
        <v>33</v>
      </c>
      <c r="E329" s="37"/>
      <c r="F329" s="23"/>
      <c r="H329" s="24"/>
      <c r="J329" s="24"/>
      <c r="L329" s="25">
        <v>0.0</v>
      </c>
      <c r="N329" s="26">
        <v>0.0</v>
      </c>
      <c r="P329" s="24"/>
      <c r="R329" s="26">
        <v>0.0</v>
      </c>
      <c r="T329" s="24"/>
      <c r="V329" s="24"/>
      <c r="W329" s="27"/>
      <c r="X329" s="23"/>
      <c r="Z329" s="24"/>
      <c r="AB329" s="24"/>
      <c r="AD329" s="24"/>
      <c r="AF329" s="24"/>
      <c r="AH329" s="24"/>
      <c r="AI329" s="27"/>
      <c r="AJ329" s="39">
        <f t="shared" si="1"/>
        <v>0</v>
      </c>
      <c r="AK329" s="35">
        <f t="shared" si="2"/>
        <v>0</v>
      </c>
      <c r="AL329" s="35">
        <f t="shared" si="3"/>
        <v>0</v>
      </c>
      <c r="AM329" s="35">
        <f t="shared" si="4"/>
        <v>0</v>
      </c>
      <c r="AN329" s="40" t="str">
        <f t="shared" si="5"/>
        <v/>
      </c>
    </row>
    <row r="330" ht="15.75" customHeight="1">
      <c r="A330" s="32" t="s">
        <v>30</v>
      </c>
      <c r="B330" s="34">
        <f t="shared" si="6"/>
        <v>44890</v>
      </c>
      <c r="C330" s="35">
        <v>12.0</v>
      </c>
      <c r="D330" s="35" t="s">
        <v>33</v>
      </c>
      <c r="E330" s="37"/>
      <c r="F330" s="23"/>
      <c r="H330" s="24"/>
      <c r="J330" s="24"/>
      <c r="L330" s="25">
        <v>0.0</v>
      </c>
      <c r="N330" s="26">
        <v>0.0</v>
      </c>
      <c r="P330" s="24"/>
      <c r="R330" s="26">
        <v>0.0</v>
      </c>
      <c r="T330" s="24"/>
      <c r="V330" s="24"/>
      <c r="W330" s="27"/>
      <c r="X330" s="23"/>
      <c r="Z330" s="24"/>
      <c r="AB330" s="24"/>
      <c r="AD330" s="24"/>
      <c r="AF330" s="24"/>
      <c r="AH330" s="24"/>
      <c r="AI330" s="27"/>
      <c r="AJ330" s="39">
        <f t="shared" si="1"/>
        <v>0</v>
      </c>
      <c r="AK330" s="35">
        <f t="shared" si="2"/>
        <v>0</v>
      </c>
      <c r="AL330" s="35">
        <f t="shared" si="3"/>
        <v>0</v>
      </c>
      <c r="AM330" s="35">
        <f t="shared" si="4"/>
        <v>0</v>
      </c>
      <c r="AN330" s="40" t="str">
        <f t="shared" si="5"/>
        <v/>
      </c>
    </row>
    <row r="331" ht="15.75" customHeight="1">
      <c r="A331" s="48" t="s">
        <v>31</v>
      </c>
      <c r="B331" s="50">
        <f t="shared" si="6"/>
        <v>44891</v>
      </c>
      <c r="C331" s="51">
        <v>12.0</v>
      </c>
      <c r="D331" s="51" t="s">
        <v>33</v>
      </c>
      <c r="E331" s="53"/>
      <c r="F331" s="54"/>
      <c r="G331" s="56"/>
      <c r="H331" s="57"/>
      <c r="I331" s="56"/>
      <c r="J331" s="57"/>
      <c r="K331" s="56"/>
      <c r="L331" s="58">
        <v>0.0</v>
      </c>
      <c r="M331" s="56"/>
      <c r="N331" s="59">
        <v>0.0</v>
      </c>
      <c r="O331" s="56"/>
      <c r="P331" s="57"/>
      <c r="Q331" s="56"/>
      <c r="R331" s="59">
        <v>0.0</v>
      </c>
      <c r="S331" s="56"/>
      <c r="T331" s="57"/>
      <c r="U331" s="56"/>
      <c r="V331" s="57"/>
      <c r="W331" s="60"/>
      <c r="X331" s="54"/>
      <c r="Y331" s="56"/>
      <c r="Z331" s="57"/>
      <c r="AA331" s="56"/>
      <c r="AB331" s="57"/>
      <c r="AC331" s="56"/>
      <c r="AD331" s="57"/>
      <c r="AE331" s="56"/>
      <c r="AF331" s="57"/>
      <c r="AG331" s="56"/>
      <c r="AH331" s="57"/>
      <c r="AI331" s="60"/>
      <c r="AJ331" s="61">
        <f t="shared" si="1"/>
        <v>0</v>
      </c>
      <c r="AK331" s="51">
        <f t="shared" si="2"/>
        <v>0</v>
      </c>
      <c r="AL331" s="51">
        <f t="shared" si="3"/>
        <v>0</v>
      </c>
      <c r="AM331" s="51">
        <f t="shared" si="4"/>
        <v>0</v>
      </c>
      <c r="AN331" s="63" t="str">
        <f t="shared" si="5"/>
        <v/>
      </c>
    </row>
    <row r="332" ht="15.75" customHeight="1">
      <c r="A332" s="18" t="s">
        <v>20</v>
      </c>
      <c r="B332" s="64">
        <f t="shared" si="6"/>
        <v>44892</v>
      </c>
      <c r="C332" s="20">
        <v>12.0</v>
      </c>
      <c r="D332" s="20" t="s">
        <v>34</v>
      </c>
      <c r="E332" s="22"/>
      <c r="F332" s="23"/>
      <c r="H332" s="24"/>
      <c r="J332" s="24"/>
      <c r="L332" s="25">
        <v>0.0</v>
      </c>
      <c r="N332" s="26">
        <v>0.0</v>
      </c>
      <c r="P332" s="24"/>
      <c r="R332" s="26">
        <v>0.0</v>
      </c>
      <c r="T332" s="24"/>
      <c r="V332" s="24"/>
      <c r="W332" s="27"/>
      <c r="X332" s="23"/>
      <c r="Z332" s="24"/>
      <c r="AB332" s="24"/>
      <c r="AD332" s="24"/>
      <c r="AF332" s="24"/>
      <c r="AH332" s="24"/>
      <c r="AI332" s="27"/>
      <c r="AJ332" s="28">
        <f t="shared" si="1"/>
        <v>0</v>
      </c>
      <c r="AK332" s="20">
        <f t="shared" si="2"/>
        <v>0</v>
      </c>
      <c r="AL332" s="20">
        <f t="shared" si="3"/>
        <v>0</v>
      </c>
      <c r="AM332" s="20">
        <f t="shared" si="4"/>
        <v>0</v>
      </c>
      <c r="AN332" s="31" t="str">
        <f t="shared" si="5"/>
        <v/>
      </c>
    </row>
    <row r="333" ht="15.75" customHeight="1">
      <c r="A333" s="32" t="s">
        <v>22</v>
      </c>
      <c r="B333" s="34">
        <f t="shared" si="6"/>
        <v>44893</v>
      </c>
      <c r="C333" s="35">
        <v>12.0</v>
      </c>
      <c r="D333" s="35" t="s">
        <v>34</v>
      </c>
      <c r="E333" s="37"/>
      <c r="F333" s="23"/>
      <c r="H333" s="24"/>
      <c r="J333" s="24"/>
      <c r="L333" s="25">
        <v>0.0</v>
      </c>
      <c r="N333" s="26">
        <v>0.0</v>
      </c>
      <c r="P333" s="24"/>
      <c r="R333" s="26">
        <v>0.0</v>
      </c>
      <c r="T333" s="24"/>
      <c r="V333" s="24"/>
      <c r="W333" s="27"/>
      <c r="X333" s="23"/>
      <c r="Z333" s="24"/>
      <c r="AB333" s="24"/>
      <c r="AD333" s="24"/>
      <c r="AF333" s="24"/>
      <c r="AH333" s="24"/>
      <c r="AI333" s="27"/>
      <c r="AJ333" s="39">
        <f t="shared" si="1"/>
        <v>0</v>
      </c>
      <c r="AK333" s="35">
        <f t="shared" si="2"/>
        <v>0</v>
      </c>
      <c r="AL333" s="35">
        <f t="shared" si="3"/>
        <v>0</v>
      </c>
      <c r="AM333" s="35">
        <f t="shared" si="4"/>
        <v>0</v>
      </c>
      <c r="AN333" s="40" t="str">
        <f t="shared" si="5"/>
        <v/>
      </c>
    </row>
    <row r="334" ht="15.75" customHeight="1">
      <c r="A334" s="32" t="s">
        <v>24</v>
      </c>
      <c r="B334" s="34">
        <f t="shared" si="6"/>
        <v>44894</v>
      </c>
      <c r="C334" s="35">
        <v>12.0</v>
      </c>
      <c r="D334" s="35" t="s">
        <v>34</v>
      </c>
      <c r="E334" s="37"/>
      <c r="F334" s="23"/>
      <c r="H334" s="24"/>
      <c r="J334" s="24"/>
      <c r="L334" s="25">
        <v>0.0</v>
      </c>
      <c r="N334" s="26">
        <v>0.0</v>
      </c>
      <c r="P334" s="24"/>
      <c r="R334" s="26">
        <v>0.0</v>
      </c>
      <c r="T334" s="24"/>
      <c r="V334" s="24"/>
      <c r="W334" s="27"/>
      <c r="X334" s="23"/>
      <c r="Z334" s="24"/>
      <c r="AB334" s="24"/>
      <c r="AD334" s="24"/>
      <c r="AF334" s="24"/>
      <c r="AH334" s="24"/>
      <c r="AI334" s="27"/>
      <c r="AJ334" s="39">
        <f t="shared" si="1"/>
        <v>0</v>
      </c>
      <c r="AK334" s="35">
        <f t="shared" si="2"/>
        <v>0</v>
      </c>
      <c r="AL334" s="35">
        <f t="shared" si="3"/>
        <v>0</v>
      </c>
      <c r="AM334" s="35">
        <f t="shared" si="4"/>
        <v>0</v>
      </c>
      <c r="AN334" s="40" t="str">
        <f t="shared" si="5"/>
        <v/>
      </c>
    </row>
    <row r="335" ht="15.75" customHeight="1">
      <c r="A335" s="32" t="s">
        <v>28</v>
      </c>
      <c r="B335" s="34">
        <f t="shared" si="6"/>
        <v>44895</v>
      </c>
      <c r="C335" s="35">
        <v>12.0</v>
      </c>
      <c r="D335" s="35" t="s">
        <v>34</v>
      </c>
      <c r="E335" s="37"/>
      <c r="F335" s="23"/>
      <c r="H335" s="24"/>
      <c r="J335" s="24"/>
      <c r="L335" s="25">
        <v>0.0</v>
      </c>
      <c r="N335" s="26">
        <v>0.0</v>
      </c>
      <c r="P335" s="24"/>
      <c r="R335" s="26">
        <v>0.0</v>
      </c>
      <c r="T335" s="24"/>
      <c r="V335" s="24"/>
      <c r="W335" s="27"/>
      <c r="X335" s="23"/>
      <c r="Z335" s="24"/>
      <c r="AB335" s="24"/>
      <c r="AD335" s="24"/>
      <c r="AF335" s="24"/>
      <c r="AH335" s="24"/>
      <c r="AI335" s="27"/>
      <c r="AJ335" s="39">
        <f t="shared" si="1"/>
        <v>0</v>
      </c>
      <c r="AK335" s="35">
        <f t="shared" si="2"/>
        <v>0</v>
      </c>
      <c r="AL335" s="35">
        <f t="shared" si="3"/>
        <v>0</v>
      </c>
      <c r="AM335" s="35">
        <f t="shared" si="4"/>
        <v>0</v>
      </c>
      <c r="AN335" s="40" t="str">
        <f t="shared" si="5"/>
        <v/>
      </c>
    </row>
    <row r="336" ht="15.75" customHeight="1">
      <c r="A336" s="32" t="s">
        <v>29</v>
      </c>
      <c r="B336" s="34">
        <f t="shared" si="6"/>
        <v>44896</v>
      </c>
      <c r="C336" s="35">
        <v>12.0</v>
      </c>
      <c r="D336" s="35" t="s">
        <v>34</v>
      </c>
      <c r="E336" s="37"/>
      <c r="F336" s="23"/>
      <c r="H336" s="24"/>
      <c r="J336" s="24"/>
      <c r="L336" s="25">
        <v>0.0</v>
      </c>
      <c r="N336" s="26">
        <v>0.0</v>
      </c>
      <c r="P336" s="24"/>
      <c r="R336" s="26">
        <v>0.0</v>
      </c>
      <c r="T336" s="24"/>
      <c r="V336" s="24"/>
      <c r="W336" s="27"/>
      <c r="X336" s="23"/>
      <c r="Z336" s="24"/>
      <c r="AB336" s="24"/>
      <c r="AD336" s="24"/>
      <c r="AF336" s="24"/>
      <c r="AH336" s="24"/>
      <c r="AI336" s="27"/>
      <c r="AJ336" s="39">
        <f t="shared" si="1"/>
        <v>0</v>
      </c>
      <c r="AK336" s="35">
        <f t="shared" si="2"/>
        <v>0</v>
      </c>
      <c r="AL336" s="35">
        <f t="shared" si="3"/>
        <v>0</v>
      </c>
      <c r="AM336" s="35">
        <f t="shared" si="4"/>
        <v>0</v>
      </c>
      <c r="AN336" s="40" t="str">
        <f t="shared" si="5"/>
        <v/>
      </c>
    </row>
    <row r="337" ht="15.75" customHeight="1">
      <c r="A337" s="32" t="s">
        <v>30</v>
      </c>
      <c r="B337" s="34">
        <f t="shared" si="6"/>
        <v>44897</v>
      </c>
      <c r="C337" s="35">
        <v>12.0</v>
      </c>
      <c r="D337" s="35" t="s">
        <v>34</v>
      </c>
      <c r="E337" s="37"/>
      <c r="F337" s="23"/>
      <c r="H337" s="24"/>
      <c r="J337" s="24"/>
      <c r="L337" s="25">
        <v>0.0</v>
      </c>
      <c r="N337" s="26">
        <v>0.0</v>
      </c>
      <c r="P337" s="24"/>
      <c r="R337" s="26">
        <v>0.0</v>
      </c>
      <c r="T337" s="24"/>
      <c r="V337" s="24"/>
      <c r="W337" s="27"/>
      <c r="X337" s="23"/>
      <c r="Z337" s="24"/>
      <c r="AB337" s="24"/>
      <c r="AD337" s="24"/>
      <c r="AF337" s="24"/>
      <c r="AH337" s="24"/>
      <c r="AI337" s="27"/>
      <c r="AJ337" s="39">
        <f t="shared" si="1"/>
        <v>0</v>
      </c>
      <c r="AK337" s="35">
        <f t="shared" si="2"/>
        <v>0</v>
      </c>
      <c r="AL337" s="35">
        <f t="shared" si="3"/>
        <v>0</v>
      </c>
      <c r="AM337" s="35">
        <f t="shared" si="4"/>
        <v>0</v>
      </c>
      <c r="AN337" s="40" t="str">
        <f t="shared" si="5"/>
        <v/>
      </c>
    </row>
    <row r="338" ht="15.75" customHeight="1">
      <c r="A338" s="48" t="s">
        <v>31</v>
      </c>
      <c r="B338" s="50">
        <f t="shared" si="6"/>
        <v>44898</v>
      </c>
      <c r="C338" s="51">
        <v>12.0</v>
      </c>
      <c r="D338" s="51" t="s">
        <v>34</v>
      </c>
      <c r="E338" s="53"/>
      <c r="F338" s="54"/>
      <c r="G338" s="56"/>
      <c r="H338" s="57"/>
      <c r="I338" s="56"/>
      <c r="J338" s="57"/>
      <c r="K338" s="56"/>
      <c r="L338" s="58">
        <v>0.0</v>
      </c>
      <c r="M338" s="56"/>
      <c r="N338" s="59">
        <v>0.0</v>
      </c>
      <c r="O338" s="56"/>
      <c r="P338" s="57"/>
      <c r="Q338" s="56"/>
      <c r="R338" s="59">
        <v>0.0</v>
      </c>
      <c r="S338" s="56"/>
      <c r="T338" s="57"/>
      <c r="U338" s="56"/>
      <c r="V338" s="57"/>
      <c r="W338" s="60"/>
      <c r="X338" s="54"/>
      <c r="Y338" s="56"/>
      <c r="Z338" s="57"/>
      <c r="AA338" s="56"/>
      <c r="AB338" s="57"/>
      <c r="AC338" s="56"/>
      <c r="AD338" s="57"/>
      <c r="AE338" s="56"/>
      <c r="AF338" s="57"/>
      <c r="AG338" s="56"/>
      <c r="AH338" s="57"/>
      <c r="AI338" s="60"/>
      <c r="AJ338" s="61">
        <f t="shared" si="1"/>
        <v>0</v>
      </c>
      <c r="AK338" s="51">
        <f t="shared" si="2"/>
        <v>0</v>
      </c>
      <c r="AL338" s="51">
        <f t="shared" si="3"/>
        <v>0</v>
      </c>
      <c r="AM338" s="51">
        <f t="shared" si="4"/>
        <v>0</v>
      </c>
      <c r="AN338" s="63" t="str">
        <f t="shared" si="5"/>
        <v/>
      </c>
    </row>
    <row r="339" ht="15.75" customHeight="1">
      <c r="A339" s="18" t="s">
        <v>20</v>
      </c>
      <c r="B339" s="64">
        <f t="shared" si="6"/>
        <v>44899</v>
      </c>
      <c r="C339" s="20">
        <v>13.0</v>
      </c>
      <c r="D339" s="20" t="s">
        <v>21</v>
      </c>
      <c r="E339" s="22"/>
      <c r="F339" s="23"/>
      <c r="H339" s="24"/>
      <c r="J339" s="24"/>
      <c r="L339" s="25">
        <v>0.0</v>
      </c>
      <c r="N339" s="26">
        <v>0.0</v>
      </c>
      <c r="P339" s="24"/>
      <c r="R339" s="26">
        <v>0.0</v>
      </c>
      <c r="T339" s="24"/>
      <c r="V339" s="24"/>
      <c r="W339" s="27"/>
      <c r="X339" s="23"/>
      <c r="Z339" s="24"/>
      <c r="AB339" s="24"/>
      <c r="AD339" s="24"/>
      <c r="AF339" s="24"/>
      <c r="AH339" s="24"/>
      <c r="AI339" s="27"/>
      <c r="AJ339" s="28">
        <f t="shared" si="1"/>
        <v>0</v>
      </c>
      <c r="AK339" s="20">
        <f t="shared" si="2"/>
        <v>0</v>
      </c>
      <c r="AL339" s="20">
        <f t="shared" si="3"/>
        <v>0</v>
      </c>
      <c r="AM339" s="20">
        <f t="shared" si="4"/>
        <v>0</v>
      </c>
      <c r="AN339" s="31" t="str">
        <f t="shared" si="5"/>
        <v/>
      </c>
    </row>
    <row r="340" ht="15.75" customHeight="1">
      <c r="A340" s="32" t="s">
        <v>22</v>
      </c>
      <c r="B340" s="34">
        <f t="shared" si="6"/>
        <v>44900</v>
      </c>
      <c r="C340" s="35">
        <v>13.0</v>
      </c>
      <c r="D340" s="35" t="s">
        <v>21</v>
      </c>
      <c r="E340" s="37"/>
      <c r="F340" s="23"/>
      <c r="H340" s="24"/>
      <c r="J340" s="24"/>
      <c r="L340" s="25">
        <v>0.0</v>
      </c>
      <c r="N340" s="26">
        <v>0.0</v>
      </c>
      <c r="P340" s="24"/>
      <c r="R340" s="26">
        <v>0.0</v>
      </c>
      <c r="T340" s="24"/>
      <c r="V340" s="24"/>
      <c r="W340" s="27"/>
      <c r="X340" s="23"/>
      <c r="Z340" s="24"/>
      <c r="AB340" s="24"/>
      <c r="AD340" s="24"/>
      <c r="AF340" s="24"/>
      <c r="AH340" s="24"/>
      <c r="AI340" s="27"/>
      <c r="AJ340" s="39">
        <f t="shared" si="1"/>
        <v>0</v>
      </c>
      <c r="AK340" s="35">
        <f t="shared" si="2"/>
        <v>0</v>
      </c>
      <c r="AL340" s="35">
        <f t="shared" si="3"/>
        <v>0</v>
      </c>
      <c r="AM340" s="35">
        <f t="shared" si="4"/>
        <v>0</v>
      </c>
      <c r="AN340" s="40" t="str">
        <f t="shared" si="5"/>
        <v/>
      </c>
    </row>
    <row r="341" ht="15.75" customHeight="1">
      <c r="A341" s="32" t="s">
        <v>24</v>
      </c>
      <c r="B341" s="34">
        <f t="shared" si="6"/>
        <v>44901</v>
      </c>
      <c r="C341" s="35">
        <v>13.0</v>
      </c>
      <c r="D341" s="35" t="s">
        <v>21</v>
      </c>
      <c r="E341" s="37"/>
      <c r="F341" s="23"/>
      <c r="H341" s="24"/>
      <c r="J341" s="24"/>
      <c r="L341" s="25">
        <v>0.0</v>
      </c>
      <c r="N341" s="26">
        <v>0.0</v>
      </c>
      <c r="P341" s="24"/>
      <c r="R341" s="26">
        <v>0.0</v>
      </c>
      <c r="T341" s="24"/>
      <c r="V341" s="24"/>
      <c r="W341" s="27"/>
      <c r="X341" s="23"/>
      <c r="Z341" s="24"/>
      <c r="AB341" s="24"/>
      <c r="AD341" s="24"/>
      <c r="AF341" s="24"/>
      <c r="AH341" s="24"/>
      <c r="AI341" s="27"/>
      <c r="AJ341" s="39">
        <f t="shared" si="1"/>
        <v>0</v>
      </c>
      <c r="AK341" s="35">
        <f t="shared" si="2"/>
        <v>0</v>
      </c>
      <c r="AL341" s="35">
        <f t="shared" si="3"/>
        <v>0</v>
      </c>
      <c r="AM341" s="35">
        <f t="shared" si="4"/>
        <v>0</v>
      </c>
      <c r="AN341" s="40" t="str">
        <f t="shared" si="5"/>
        <v/>
      </c>
    </row>
    <row r="342" ht="15.75" customHeight="1">
      <c r="A342" s="32" t="s">
        <v>28</v>
      </c>
      <c r="B342" s="34">
        <f t="shared" si="6"/>
        <v>44902</v>
      </c>
      <c r="C342" s="35">
        <v>13.0</v>
      </c>
      <c r="D342" s="35" t="s">
        <v>21</v>
      </c>
      <c r="E342" s="37"/>
      <c r="F342" s="23"/>
      <c r="H342" s="24"/>
      <c r="J342" s="24"/>
      <c r="L342" s="25">
        <v>0.0</v>
      </c>
      <c r="N342" s="26">
        <v>0.0</v>
      </c>
      <c r="P342" s="24"/>
      <c r="R342" s="26">
        <v>0.0</v>
      </c>
      <c r="T342" s="24"/>
      <c r="V342" s="24"/>
      <c r="W342" s="27"/>
      <c r="X342" s="23"/>
      <c r="Z342" s="24"/>
      <c r="AB342" s="24"/>
      <c r="AD342" s="24"/>
      <c r="AF342" s="24"/>
      <c r="AH342" s="24"/>
      <c r="AI342" s="27"/>
      <c r="AJ342" s="39">
        <f t="shared" si="1"/>
        <v>0</v>
      </c>
      <c r="AK342" s="35">
        <f t="shared" si="2"/>
        <v>0</v>
      </c>
      <c r="AL342" s="35">
        <f t="shared" si="3"/>
        <v>0</v>
      </c>
      <c r="AM342" s="35">
        <f t="shared" si="4"/>
        <v>0</v>
      </c>
      <c r="AN342" s="40" t="str">
        <f t="shared" si="5"/>
        <v/>
      </c>
    </row>
    <row r="343" ht="15.75" customHeight="1">
      <c r="A343" s="32" t="s">
        <v>29</v>
      </c>
      <c r="B343" s="34">
        <f t="shared" si="6"/>
        <v>44903</v>
      </c>
      <c r="C343" s="35">
        <v>13.0</v>
      </c>
      <c r="D343" s="35" t="s">
        <v>21</v>
      </c>
      <c r="E343" s="37"/>
      <c r="F343" s="23"/>
      <c r="H343" s="24"/>
      <c r="J343" s="24"/>
      <c r="L343" s="25">
        <v>0.0</v>
      </c>
      <c r="N343" s="26">
        <v>0.0</v>
      </c>
      <c r="P343" s="24"/>
      <c r="R343" s="26">
        <v>0.0</v>
      </c>
      <c r="T343" s="24"/>
      <c r="V343" s="24"/>
      <c r="W343" s="27"/>
      <c r="X343" s="23"/>
      <c r="Z343" s="24"/>
      <c r="AB343" s="24"/>
      <c r="AD343" s="24"/>
      <c r="AF343" s="24"/>
      <c r="AH343" s="24"/>
      <c r="AI343" s="27"/>
      <c r="AJ343" s="39">
        <f t="shared" si="1"/>
        <v>0</v>
      </c>
      <c r="AK343" s="35">
        <f t="shared" si="2"/>
        <v>0</v>
      </c>
      <c r="AL343" s="35">
        <f t="shared" si="3"/>
        <v>0</v>
      </c>
      <c r="AM343" s="35">
        <f t="shared" si="4"/>
        <v>0</v>
      </c>
      <c r="AN343" s="40" t="str">
        <f t="shared" si="5"/>
        <v/>
      </c>
    </row>
    <row r="344" ht="15.75" customHeight="1">
      <c r="A344" s="32" t="s">
        <v>30</v>
      </c>
      <c r="B344" s="34">
        <f t="shared" si="6"/>
        <v>44904</v>
      </c>
      <c r="C344" s="35">
        <v>13.0</v>
      </c>
      <c r="D344" s="35" t="s">
        <v>21</v>
      </c>
      <c r="E344" s="37"/>
      <c r="F344" s="23"/>
      <c r="H344" s="24"/>
      <c r="J344" s="24"/>
      <c r="L344" s="25">
        <v>0.0</v>
      </c>
      <c r="N344" s="26">
        <v>0.0</v>
      </c>
      <c r="P344" s="24"/>
      <c r="R344" s="26">
        <v>0.0</v>
      </c>
      <c r="T344" s="24"/>
      <c r="V344" s="24"/>
      <c r="W344" s="27"/>
      <c r="X344" s="23"/>
      <c r="Z344" s="24"/>
      <c r="AB344" s="24"/>
      <c r="AD344" s="24"/>
      <c r="AF344" s="24"/>
      <c r="AH344" s="24"/>
      <c r="AI344" s="27"/>
      <c r="AJ344" s="39">
        <f t="shared" si="1"/>
        <v>0</v>
      </c>
      <c r="AK344" s="35">
        <f t="shared" si="2"/>
        <v>0</v>
      </c>
      <c r="AL344" s="35">
        <f t="shared" si="3"/>
        <v>0</v>
      </c>
      <c r="AM344" s="35">
        <f t="shared" si="4"/>
        <v>0</v>
      </c>
      <c r="AN344" s="40" t="str">
        <f t="shared" si="5"/>
        <v/>
      </c>
    </row>
    <row r="345" ht="15.75" customHeight="1">
      <c r="A345" s="48" t="s">
        <v>31</v>
      </c>
      <c r="B345" s="50">
        <f t="shared" si="6"/>
        <v>44905</v>
      </c>
      <c r="C345" s="51">
        <v>13.0</v>
      </c>
      <c r="D345" s="51" t="s">
        <v>21</v>
      </c>
      <c r="E345" s="53"/>
      <c r="F345" s="54"/>
      <c r="G345" s="56"/>
      <c r="H345" s="57"/>
      <c r="I345" s="56"/>
      <c r="J345" s="57"/>
      <c r="K345" s="56"/>
      <c r="L345" s="58">
        <v>0.0</v>
      </c>
      <c r="M345" s="56"/>
      <c r="N345" s="59">
        <v>0.0</v>
      </c>
      <c r="O345" s="56"/>
      <c r="P345" s="57"/>
      <c r="Q345" s="56"/>
      <c r="R345" s="59">
        <v>0.0</v>
      </c>
      <c r="S345" s="56"/>
      <c r="T345" s="57"/>
      <c r="U345" s="56"/>
      <c r="V345" s="57"/>
      <c r="W345" s="60"/>
      <c r="X345" s="54"/>
      <c r="Y345" s="56"/>
      <c r="Z345" s="57"/>
      <c r="AA345" s="56"/>
      <c r="AB345" s="57"/>
      <c r="AC345" s="56"/>
      <c r="AD345" s="57"/>
      <c r="AE345" s="56"/>
      <c r="AF345" s="57"/>
      <c r="AG345" s="56"/>
      <c r="AH345" s="57"/>
      <c r="AI345" s="60"/>
      <c r="AJ345" s="61">
        <f t="shared" si="1"/>
        <v>0</v>
      </c>
      <c r="AK345" s="51">
        <f t="shared" si="2"/>
        <v>0</v>
      </c>
      <c r="AL345" s="51">
        <f t="shared" si="3"/>
        <v>0</v>
      </c>
      <c r="AM345" s="51">
        <f t="shared" si="4"/>
        <v>0</v>
      </c>
      <c r="AN345" s="63" t="str">
        <f t="shared" si="5"/>
        <v/>
      </c>
    </row>
    <row r="346" ht="15.75" customHeight="1">
      <c r="A346" s="18" t="s">
        <v>20</v>
      </c>
      <c r="B346" s="64">
        <f t="shared" si="6"/>
        <v>44906</v>
      </c>
      <c r="C346" s="20">
        <v>13.0</v>
      </c>
      <c r="D346" s="20" t="s">
        <v>32</v>
      </c>
      <c r="E346" s="22"/>
      <c r="F346" s="23"/>
      <c r="H346" s="24"/>
      <c r="J346" s="24"/>
      <c r="L346" s="25">
        <v>0.0</v>
      </c>
      <c r="N346" s="26">
        <v>0.0</v>
      </c>
      <c r="P346" s="24"/>
      <c r="R346" s="26">
        <v>0.0</v>
      </c>
      <c r="T346" s="24"/>
      <c r="V346" s="24"/>
      <c r="W346" s="27"/>
      <c r="X346" s="23"/>
      <c r="Z346" s="24"/>
      <c r="AB346" s="24"/>
      <c r="AD346" s="24"/>
      <c r="AF346" s="24"/>
      <c r="AH346" s="24"/>
      <c r="AI346" s="27"/>
      <c r="AJ346" s="28">
        <f t="shared" si="1"/>
        <v>0</v>
      </c>
      <c r="AK346" s="20">
        <f t="shared" si="2"/>
        <v>0</v>
      </c>
      <c r="AL346" s="20">
        <f t="shared" si="3"/>
        <v>0</v>
      </c>
      <c r="AM346" s="20">
        <f t="shared" si="4"/>
        <v>0</v>
      </c>
      <c r="AN346" s="31" t="str">
        <f t="shared" si="5"/>
        <v/>
      </c>
    </row>
    <row r="347" ht="15.75" customHeight="1">
      <c r="A347" s="32" t="s">
        <v>22</v>
      </c>
      <c r="B347" s="34">
        <f t="shared" si="6"/>
        <v>44907</v>
      </c>
      <c r="C347" s="35">
        <v>13.0</v>
      </c>
      <c r="D347" s="35" t="s">
        <v>32</v>
      </c>
      <c r="E347" s="37"/>
      <c r="F347" s="23"/>
      <c r="H347" s="24"/>
      <c r="J347" s="24"/>
      <c r="L347" s="25">
        <v>0.0</v>
      </c>
      <c r="N347" s="26">
        <v>0.0</v>
      </c>
      <c r="P347" s="24"/>
      <c r="R347" s="26">
        <v>0.0</v>
      </c>
      <c r="T347" s="24"/>
      <c r="V347" s="24"/>
      <c r="W347" s="27"/>
      <c r="X347" s="23"/>
      <c r="Z347" s="24"/>
      <c r="AB347" s="24"/>
      <c r="AD347" s="24"/>
      <c r="AF347" s="24"/>
      <c r="AH347" s="24"/>
      <c r="AI347" s="27"/>
      <c r="AJ347" s="39">
        <f t="shared" si="1"/>
        <v>0</v>
      </c>
      <c r="AK347" s="35">
        <f t="shared" si="2"/>
        <v>0</v>
      </c>
      <c r="AL347" s="35">
        <f t="shared" si="3"/>
        <v>0</v>
      </c>
      <c r="AM347" s="35">
        <f t="shared" si="4"/>
        <v>0</v>
      </c>
      <c r="AN347" s="40" t="str">
        <f t="shared" si="5"/>
        <v/>
      </c>
    </row>
    <row r="348" ht="15.75" customHeight="1">
      <c r="A348" s="32" t="s">
        <v>24</v>
      </c>
      <c r="B348" s="34">
        <f t="shared" si="6"/>
        <v>44908</v>
      </c>
      <c r="C348" s="35">
        <v>13.0</v>
      </c>
      <c r="D348" s="35" t="s">
        <v>32</v>
      </c>
      <c r="E348" s="37"/>
      <c r="F348" s="23"/>
      <c r="H348" s="24"/>
      <c r="J348" s="24"/>
      <c r="L348" s="25">
        <v>0.0</v>
      </c>
      <c r="N348" s="26">
        <v>0.0</v>
      </c>
      <c r="P348" s="24"/>
      <c r="R348" s="26">
        <v>0.0</v>
      </c>
      <c r="T348" s="24"/>
      <c r="V348" s="24"/>
      <c r="W348" s="27"/>
      <c r="X348" s="23"/>
      <c r="Z348" s="24"/>
      <c r="AB348" s="24"/>
      <c r="AD348" s="24"/>
      <c r="AF348" s="24"/>
      <c r="AH348" s="24"/>
      <c r="AI348" s="27"/>
      <c r="AJ348" s="39">
        <f t="shared" si="1"/>
        <v>0</v>
      </c>
      <c r="AK348" s="35">
        <f t="shared" si="2"/>
        <v>0</v>
      </c>
      <c r="AL348" s="35">
        <f t="shared" si="3"/>
        <v>0</v>
      </c>
      <c r="AM348" s="35">
        <f t="shared" si="4"/>
        <v>0</v>
      </c>
      <c r="AN348" s="40" t="str">
        <f t="shared" si="5"/>
        <v/>
      </c>
    </row>
    <row r="349" ht="15.75" customHeight="1">
      <c r="A349" s="32" t="s">
        <v>28</v>
      </c>
      <c r="B349" s="34">
        <f t="shared" si="6"/>
        <v>44909</v>
      </c>
      <c r="C349" s="35">
        <v>13.0</v>
      </c>
      <c r="D349" s="35" t="s">
        <v>32</v>
      </c>
      <c r="E349" s="37"/>
      <c r="F349" s="23"/>
      <c r="H349" s="24"/>
      <c r="J349" s="24"/>
      <c r="L349" s="25">
        <v>0.0</v>
      </c>
      <c r="N349" s="26">
        <v>0.0</v>
      </c>
      <c r="P349" s="24"/>
      <c r="R349" s="26">
        <v>0.0</v>
      </c>
      <c r="T349" s="24"/>
      <c r="V349" s="24"/>
      <c r="W349" s="27"/>
      <c r="X349" s="23"/>
      <c r="Z349" s="24"/>
      <c r="AB349" s="24"/>
      <c r="AD349" s="24"/>
      <c r="AF349" s="24"/>
      <c r="AH349" s="24"/>
      <c r="AI349" s="27"/>
      <c r="AJ349" s="39">
        <f t="shared" si="1"/>
        <v>0</v>
      </c>
      <c r="AK349" s="35">
        <f t="shared" si="2"/>
        <v>0</v>
      </c>
      <c r="AL349" s="35">
        <f t="shared" si="3"/>
        <v>0</v>
      </c>
      <c r="AM349" s="35">
        <f t="shared" si="4"/>
        <v>0</v>
      </c>
      <c r="AN349" s="40" t="str">
        <f t="shared" si="5"/>
        <v/>
      </c>
    </row>
    <row r="350" ht="15.75" customHeight="1">
      <c r="A350" s="32" t="s">
        <v>29</v>
      </c>
      <c r="B350" s="34">
        <f t="shared" si="6"/>
        <v>44910</v>
      </c>
      <c r="C350" s="35">
        <v>13.0</v>
      </c>
      <c r="D350" s="35" t="s">
        <v>32</v>
      </c>
      <c r="E350" s="37"/>
      <c r="F350" s="23"/>
      <c r="H350" s="24"/>
      <c r="J350" s="24"/>
      <c r="L350" s="25">
        <v>0.0</v>
      </c>
      <c r="N350" s="26">
        <v>0.0</v>
      </c>
      <c r="P350" s="24"/>
      <c r="R350" s="26">
        <v>0.0</v>
      </c>
      <c r="T350" s="24"/>
      <c r="V350" s="24"/>
      <c r="W350" s="27"/>
      <c r="X350" s="23"/>
      <c r="Z350" s="24"/>
      <c r="AB350" s="24"/>
      <c r="AD350" s="24"/>
      <c r="AF350" s="24"/>
      <c r="AH350" s="24"/>
      <c r="AI350" s="27"/>
      <c r="AJ350" s="39">
        <f t="shared" si="1"/>
        <v>0</v>
      </c>
      <c r="AK350" s="35">
        <f t="shared" si="2"/>
        <v>0</v>
      </c>
      <c r="AL350" s="35">
        <f t="shared" si="3"/>
        <v>0</v>
      </c>
      <c r="AM350" s="35">
        <f t="shared" si="4"/>
        <v>0</v>
      </c>
      <c r="AN350" s="40" t="str">
        <f t="shared" si="5"/>
        <v/>
      </c>
    </row>
    <row r="351" ht="15.75" customHeight="1">
      <c r="A351" s="32" t="s">
        <v>30</v>
      </c>
      <c r="B351" s="34">
        <f t="shared" si="6"/>
        <v>44911</v>
      </c>
      <c r="C351" s="35">
        <v>13.0</v>
      </c>
      <c r="D351" s="35" t="s">
        <v>32</v>
      </c>
      <c r="E351" s="37"/>
      <c r="F351" s="23"/>
      <c r="H351" s="24"/>
      <c r="J351" s="24"/>
      <c r="L351" s="25">
        <v>0.0</v>
      </c>
      <c r="N351" s="26">
        <v>0.0</v>
      </c>
      <c r="P351" s="24"/>
      <c r="R351" s="26">
        <v>0.0</v>
      </c>
      <c r="T351" s="24"/>
      <c r="V351" s="24"/>
      <c r="W351" s="27"/>
      <c r="X351" s="23"/>
      <c r="Z351" s="24"/>
      <c r="AB351" s="24"/>
      <c r="AD351" s="24"/>
      <c r="AF351" s="24"/>
      <c r="AH351" s="24"/>
      <c r="AI351" s="27"/>
      <c r="AJ351" s="39">
        <f t="shared" si="1"/>
        <v>0</v>
      </c>
      <c r="AK351" s="35">
        <f t="shared" si="2"/>
        <v>0</v>
      </c>
      <c r="AL351" s="35">
        <f t="shared" si="3"/>
        <v>0</v>
      </c>
      <c r="AM351" s="35">
        <f t="shared" si="4"/>
        <v>0</v>
      </c>
      <c r="AN351" s="40" t="str">
        <f t="shared" si="5"/>
        <v/>
      </c>
    </row>
    <row r="352" ht="15.75" customHeight="1">
      <c r="A352" s="48" t="s">
        <v>31</v>
      </c>
      <c r="B352" s="50">
        <f t="shared" si="6"/>
        <v>44912</v>
      </c>
      <c r="C352" s="51">
        <v>13.0</v>
      </c>
      <c r="D352" s="51" t="s">
        <v>32</v>
      </c>
      <c r="E352" s="53"/>
      <c r="F352" s="54"/>
      <c r="G352" s="56"/>
      <c r="H352" s="57"/>
      <c r="I352" s="56"/>
      <c r="J352" s="57"/>
      <c r="K352" s="56"/>
      <c r="L352" s="58">
        <v>0.0</v>
      </c>
      <c r="M352" s="56"/>
      <c r="N352" s="59">
        <v>0.0</v>
      </c>
      <c r="O352" s="56"/>
      <c r="P352" s="57"/>
      <c r="Q352" s="56"/>
      <c r="R352" s="59">
        <v>0.0</v>
      </c>
      <c r="S352" s="56"/>
      <c r="T352" s="57"/>
      <c r="U352" s="56"/>
      <c r="V352" s="57"/>
      <c r="W352" s="60"/>
      <c r="X352" s="54"/>
      <c r="Y352" s="56"/>
      <c r="Z352" s="57"/>
      <c r="AA352" s="56"/>
      <c r="AB352" s="57"/>
      <c r="AC352" s="56"/>
      <c r="AD352" s="57"/>
      <c r="AE352" s="56"/>
      <c r="AF352" s="57"/>
      <c r="AG352" s="56"/>
      <c r="AH352" s="57"/>
      <c r="AI352" s="60"/>
      <c r="AJ352" s="61">
        <f t="shared" si="1"/>
        <v>0</v>
      </c>
      <c r="AK352" s="51">
        <f t="shared" si="2"/>
        <v>0</v>
      </c>
      <c r="AL352" s="51">
        <f t="shared" si="3"/>
        <v>0</v>
      </c>
      <c r="AM352" s="51">
        <f t="shared" si="4"/>
        <v>0</v>
      </c>
      <c r="AN352" s="63" t="str">
        <f t="shared" si="5"/>
        <v/>
      </c>
    </row>
    <row r="353" ht="15.75" customHeight="1">
      <c r="A353" s="18" t="s">
        <v>20</v>
      </c>
      <c r="B353" s="64">
        <f t="shared" si="6"/>
        <v>44913</v>
      </c>
      <c r="C353" s="20">
        <v>13.0</v>
      </c>
      <c r="D353" s="20" t="s">
        <v>33</v>
      </c>
      <c r="E353" s="22"/>
      <c r="F353" s="23"/>
      <c r="H353" s="24"/>
      <c r="J353" s="24"/>
      <c r="L353" s="25">
        <v>0.0</v>
      </c>
      <c r="N353" s="26">
        <v>0.0</v>
      </c>
      <c r="P353" s="24"/>
      <c r="R353" s="26">
        <v>0.0</v>
      </c>
      <c r="T353" s="24"/>
      <c r="V353" s="24"/>
      <c r="W353" s="27"/>
      <c r="X353" s="23"/>
      <c r="Z353" s="24"/>
      <c r="AB353" s="24"/>
      <c r="AD353" s="24"/>
      <c r="AF353" s="24"/>
      <c r="AH353" s="24"/>
      <c r="AI353" s="27"/>
      <c r="AJ353" s="28">
        <f t="shared" si="1"/>
        <v>0</v>
      </c>
      <c r="AK353" s="20">
        <f t="shared" si="2"/>
        <v>0</v>
      </c>
      <c r="AL353" s="20">
        <f t="shared" si="3"/>
        <v>0</v>
      </c>
      <c r="AM353" s="20">
        <f t="shared" si="4"/>
        <v>0</v>
      </c>
      <c r="AN353" s="31" t="str">
        <f t="shared" si="5"/>
        <v/>
      </c>
    </row>
    <row r="354" ht="15.75" customHeight="1">
      <c r="A354" s="32" t="s">
        <v>22</v>
      </c>
      <c r="B354" s="34">
        <f t="shared" si="6"/>
        <v>44914</v>
      </c>
      <c r="C354" s="35">
        <v>13.0</v>
      </c>
      <c r="D354" s="35" t="s">
        <v>33</v>
      </c>
      <c r="E354" s="37"/>
      <c r="F354" s="23"/>
      <c r="H354" s="24"/>
      <c r="J354" s="24"/>
      <c r="L354" s="25">
        <v>0.0</v>
      </c>
      <c r="N354" s="26">
        <v>0.0</v>
      </c>
      <c r="P354" s="24"/>
      <c r="R354" s="26">
        <v>0.0</v>
      </c>
      <c r="T354" s="24"/>
      <c r="V354" s="24"/>
      <c r="W354" s="27"/>
      <c r="X354" s="23"/>
      <c r="Z354" s="24"/>
      <c r="AB354" s="24"/>
      <c r="AD354" s="24"/>
      <c r="AF354" s="24"/>
      <c r="AH354" s="24"/>
      <c r="AI354" s="27"/>
      <c r="AJ354" s="39">
        <f t="shared" si="1"/>
        <v>0</v>
      </c>
      <c r="AK354" s="35">
        <f t="shared" si="2"/>
        <v>0</v>
      </c>
      <c r="AL354" s="35">
        <f t="shared" si="3"/>
        <v>0</v>
      </c>
      <c r="AM354" s="35">
        <f t="shared" si="4"/>
        <v>0</v>
      </c>
      <c r="AN354" s="40" t="str">
        <f t="shared" si="5"/>
        <v/>
      </c>
    </row>
    <row r="355" ht="15.75" customHeight="1">
      <c r="A355" s="32" t="s">
        <v>24</v>
      </c>
      <c r="B355" s="34">
        <f t="shared" si="6"/>
        <v>44915</v>
      </c>
      <c r="C355" s="35">
        <v>13.0</v>
      </c>
      <c r="D355" s="35" t="s">
        <v>33</v>
      </c>
      <c r="E355" s="37"/>
      <c r="F355" s="23"/>
      <c r="H355" s="24"/>
      <c r="J355" s="24"/>
      <c r="L355" s="25">
        <v>0.0</v>
      </c>
      <c r="N355" s="26">
        <v>0.0</v>
      </c>
      <c r="P355" s="24"/>
      <c r="R355" s="26">
        <v>0.0</v>
      </c>
      <c r="T355" s="24"/>
      <c r="V355" s="24"/>
      <c r="W355" s="27"/>
      <c r="X355" s="23"/>
      <c r="Z355" s="24"/>
      <c r="AB355" s="24"/>
      <c r="AD355" s="24"/>
      <c r="AF355" s="24"/>
      <c r="AH355" s="24"/>
      <c r="AI355" s="27"/>
      <c r="AJ355" s="39">
        <f t="shared" si="1"/>
        <v>0</v>
      </c>
      <c r="AK355" s="35">
        <f t="shared" si="2"/>
        <v>0</v>
      </c>
      <c r="AL355" s="35">
        <f t="shared" si="3"/>
        <v>0</v>
      </c>
      <c r="AM355" s="35">
        <f t="shared" si="4"/>
        <v>0</v>
      </c>
      <c r="AN355" s="40" t="str">
        <f t="shared" si="5"/>
        <v/>
      </c>
    </row>
    <row r="356" ht="15.75" customHeight="1">
      <c r="A356" s="32" t="s">
        <v>28</v>
      </c>
      <c r="B356" s="34">
        <f t="shared" si="6"/>
        <v>44916</v>
      </c>
      <c r="C356" s="35">
        <v>13.0</v>
      </c>
      <c r="D356" s="35" t="s">
        <v>33</v>
      </c>
      <c r="E356" s="37"/>
      <c r="F356" s="23"/>
      <c r="H356" s="24"/>
      <c r="J356" s="24"/>
      <c r="L356" s="25">
        <v>0.0</v>
      </c>
      <c r="N356" s="26">
        <v>0.0</v>
      </c>
      <c r="P356" s="24"/>
      <c r="R356" s="26">
        <v>0.0</v>
      </c>
      <c r="T356" s="24"/>
      <c r="V356" s="24"/>
      <c r="W356" s="27"/>
      <c r="X356" s="23"/>
      <c r="Z356" s="24"/>
      <c r="AB356" s="24"/>
      <c r="AD356" s="24"/>
      <c r="AF356" s="24"/>
      <c r="AH356" s="24"/>
      <c r="AI356" s="27"/>
      <c r="AJ356" s="39">
        <f t="shared" si="1"/>
        <v>0</v>
      </c>
      <c r="AK356" s="35">
        <f t="shared" si="2"/>
        <v>0</v>
      </c>
      <c r="AL356" s="35">
        <f t="shared" si="3"/>
        <v>0</v>
      </c>
      <c r="AM356" s="35">
        <f t="shared" si="4"/>
        <v>0</v>
      </c>
      <c r="AN356" s="40" t="str">
        <f t="shared" si="5"/>
        <v/>
      </c>
    </row>
    <row r="357" ht="15.75" customHeight="1">
      <c r="A357" s="32" t="s">
        <v>29</v>
      </c>
      <c r="B357" s="34">
        <f t="shared" si="6"/>
        <v>44917</v>
      </c>
      <c r="C357" s="35">
        <v>13.0</v>
      </c>
      <c r="D357" s="35" t="s">
        <v>33</v>
      </c>
      <c r="E357" s="37"/>
      <c r="F357" s="23"/>
      <c r="H357" s="24"/>
      <c r="J357" s="24"/>
      <c r="L357" s="25">
        <v>0.0</v>
      </c>
      <c r="N357" s="26">
        <v>0.0</v>
      </c>
      <c r="P357" s="24"/>
      <c r="R357" s="26">
        <v>0.0</v>
      </c>
      <c r="T357" s="24"/>
      <c r="V357" s="24"/>
      <c r="W357" s="27"/>
      <c r="X357" s="23"/>
      <c r="Z357" s="24"/>
      <c r="AB357" s="24"/>
      <c r="AD357" s="24"/>
      <c r="AF357" s="24"/>
      <c r="AH357" s="24"/>
      <c r="AI357" s="27"/>
      <c r="AJ357" s="39">
        <f t="shared" si="1"/>
        <v>0</v>
      </c>
      <c r="AK357" s="35">
        <f t="shared" si="2"/>
        <v>0</v>
      </c>
      <c r="AL357" s="35">
        <f t="shared" si="3"/>
        <v>0</v>
      </c>
      <c r="AM357" s="35">
        <f t="shared" si="4"/>
        <v>0</v>
      </c>
      <c r="AN357" s="40" t="str">
        <f t="shared" si="5"/>
        <v/>
      </c>
    </row>
    <row r="358" ht="15.75" customHeight="1">
      <c r="A358" s="32" t="s">
        <v>30</v>
      </c>
      <c r="B358" s="34">
        <f t="shared" si="6"/>
        <v>44918</v>
      </c>
      <c r="C358" s="35">
        <v>13.0</v>
      </c>
      <c r="D358" s="35" t="s">
        <v>33</v>
      </c>
      <c r="E358" s="37"/>
      <c r="F358" s="23"/>
      <c r="H358" s="24"/>
      <c r="J358" s="24"/>
      <c r="L358" s="25">
        <v>0.0</v>
      </c>
      <c r="N358" s="26">
        <v>0.0</v>
      </c>
      <c r="P358" s="24"/>
      <c r="R358" s="26">
        <v>0.0</v>
      </c>
      <c r="T358" s="24"/>
      <c r="V358" s="24"/>
      <c r="W358" s="27"/>
      <c r="X358" s="23"/>
      <c r="Z358" s="24"/>
      <c r="AB358" s="24"/>
      <c r="AD358" s="24"/>
      <c r="AF358" s="24"/>
      <c r="AH358" s="24"/>
      <c r="AI358" s="27"/>
      <c r="AJ358" s="39">
        <f t="shared" si="1"/>
        <v>0</v>
      </c>
      <c r="AK358" s="35">
        <f t="shared" si="2"/>
        <v>0</v>
      </c>
      <c r="AL358" s="35">
        <f t="shared" si="3"/>
        <v>0</v>
      </c>
      <c r="AM358" s="35">
        <f t="shared" si="4"/>
        <v>0</v>
      </c>
      <c r="AN358" s="40" t="str">
        <f t="shared" si="5"/>
        <v/>
      </c>
    </row>
    <row r="359" ht="15.75" customHeight="1">
      <c r="A359" s="48" t="s">
        <v>31</v>
      </c>
      <c r="B359" s="50">
        <f t="shared" si="6"/>
        <v>44919</v>
      </c>
      <c r="C359" s="51">
        <v>13.0</v>
      </c>
      <c r="D359" s="51" t="s">
        <v>33</v>
      </c>
      <c r="E359" s="53"/>
      <c r="F359" s="54"/>
      <c r="G359" s="56"/>
      <c r="H359" s="57"/>
      <c r="I359" s="56"/>
      <c r="J359" s="57"/>
      <c r="K359" s="56"/>
      <c r="L359" s="58">
        <v>0.0</v>
      </c>
      <c r="M359" s="56"/>
      <c r="N359" s="59">
        <v>0.0</v>
      </c>
      <c r="O359" s="56"/>
      <c r="P359" s="57"/>
      <c r="Q359" s="56"/>
      <c r="R359" s="59">
        <v>0.0</v>
      </c>
      <c r="S359" s="56"/>
      <c r="T359" s="57"/>
      <c r="U359" s="56"/>
      <c r="V359" s="57"/>
      <c r="W359" s="60"/>
      <c r="X359" s="54"/>
      <c r="Y359" s="56"/>
      <c r="Z359" s="57"/>
      <c r="AA359" s="56"/>
      <c r="AB359" s="57"/>
      <c r="AC359" s="56"/>
      <c r="AD359" s="57"/>
      <c r="AE359" s="56"/>
      <c r="AF359" s="57"/>
      <c r="AG359" s="56"/>
      <c r="AH359" s="57"/>
      <c r="AI359" s="60"/>
      <c r="AJ359" s="61">
        <f t="shared" si="1"/>
        <v>0</v>
      </c>
      <c r="AK359" s="51">
        <f t="shared" si="2"/>
        <v>0</v>
      </c>
      <c r="AL359" s="51">
        <f t="shared" si="3"/>
        <v>0</v>
      </c>
      <c r="AM359" s="51">
        <f t="shared" si="4"/>
        <v>0</v>
      </c>
      <c r="AN359" s="63" t="str">
        <f t="shared" si="5"/>
        <v/>
      </c>
    </row>
    <row r="360" ht="15.75" customHeight="1">
      <c r="A360" s="105"/>
      <c r="B360" s="106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</row>
    <row r="361" ht="15.75" customHeight="1">
      <c r="A361" s="105"/>
      <c r="B361" s="106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8">
        <f t="shared" ref="AJ361:AM361" si="7">SUM(AJ3:AJ359)</f>
        <v>1339894.96</v>
      </c>
      <c r="AK361" s="109">
        <f t="shared" si="7"/>
        <v>72890</v>
      </c>
      <c r="AL361" s="109">
        <f t="shared" si="7"/>
        <v>13045</v>
      </c>
      <c r="AM361" s="109">
        <f t="shared" si="7"/>
        <v>85935</v>
      </c>
      <c r="AN361" s="107"/>
    </row>
    <row r="362" ht="15.75" customHeight="1">
      <c r="A362" s="105"/>
      <c r="B362" s="106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10"/>
      <c r="AK362" s="111"/>
      <c r="AL362" s="107"/>
      <c r="AM362" s="107"/>
      <c r="AN362" s="107"/>
    </row>
    <row r="363" ht="15.75" customHeight="1">
      <c r="A363" s="105"/>
      <c r="B363" s="106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12"/>
      <c r="S363" s="113"/>
      <c r="T363" s="114"/>
      <c r="U363" s="114"/>
      <c r="V363" s="114"/>
      <c r="W363" s="115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6" t="s">
        <v>37</v>
      </c>
      <c r="AL363" s="117" t="s">
        <v>38</v>
      </c>
      <c r="AM363" s="107"/>
      <c r="AN363" s="107"/>
    </row>
    <row r="364" ht="15.75" customHeight="1">
      <c r="A364" s="105"/>
      <c r="B364" s="106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18"/>
      <c r="S364" s="119"/>
      <c r="T364" s="120"/>
      <c r="U364" s="120"/>
      <c r="V364" s="120"/>
      <c r="W364" s="121" t="s">
        <v>39</v>
      </c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>
        <f>sum(F3:K359)</f>
        <v>7898</v>
      </c>
      <c r="AK364" s="122">
        <f>G2</f>
        <v>25.54</v>
      </c>
      <c r="AL364" s="123">
        <f t="shared" ref="AL364:AL367" si="8">AK364*AJ364</f>
        <v>201714.92</v>
      </c>
      <c r="AM364" s="107"/>
      <c r="AN364" s="107"/>
    </row>
    <row r="365" ht="15.75" customHeight="1">
      <c r="A365" s="105"/>
      <c r="B365" s="106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18"/>
      <c r="S365" s="119"/>
      <c r="T365" s="120"/>
      <c r="U365" s="120"/>
      <c r="V365" s="120"/>
      <c r="W365" s="121" t="s">
        <v>40</v>
      </c>
      <c r="X365" s="120"/>
      <c r="Y365" s="120"/>
      <c r="Z365" s="120"/>
      <c r="AA365" s="120"/>
      <c r="AB365" s="120"/>
      <c r="AC365" s="120"/>
      <c r="AD365" s="120"/>
      <c r="AE365" s="120"/>
      <c r="AF365" s="120"/>
      <c r="AG365" s="120"/>
      <c r="AH365" s="120"/>
      <c r="AI365" s="120"/>
      <c r="AJ365" s="120">
        <f>sum(L3:Q359)-L324</f>
        <v>56442</v>
      </c>
      <c r="AK365" s="122">
        <f>M2</f>
        <v>16.22</v>
      </c>
      <c r="AL365" s="123">
        <f t="shared" si="8"/>
        <v>915489.24</v>
      </c>
      <c r="AM365" s="107"/>
      <c r="AN365" s="107"/>
    </row>
    <row r="366" ht="15.75" customHeight="1">
      <c r="A366" s="124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18"/>
      <c r="S366" s="119"/>
      <c r="T366" s="120"/>
      <c r="U366" s="120"/>
      <c r="V366" s="120"/>
      <c r="W366" s="121" t="s">
        <v>41</v>
      </c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  <c r="AI366" s="120"/>
      <c r="AJ366" s="120">
        <f>L324</f>
        <v>8550</v>
      </c>
      <c r="AK366" s="122">
        <f>M2</f>
        <v>16.22</v>
      </c>
      <c r="AL366" s="123">
        <f t="shared" si="8"/>
        <v>138681</v>
      </c>
      <c r="AM366" s="107"/>
      <c r="AN366" s="107"/>
    </row>
    <row r="367" ht="15.75" customHeight="1">
      <c r="A367" s="124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18"/>
      <c r="S367" s="119"/>
      <c r="T367" s="120"/>
      <c r="U367" s="120"/>
      <c r="V367" s="120"/>
      <c r="W367" s="121" t="s">
        <v>42</v>
      </c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0">
        <f>sum(R3:S359)</f>
        <v>13045</v>
      </c>
      <c r="AK367" s="122">
        <f>S2</f>
        <v>6.44</v>
      </c>
      <c r="AL367" s="123">
        <f t="shared" si="8"/>
        <v>84009.8</v>
      </c>
      <c r="AM367" s="107"/>
      <c r="AN367" s="107"/>
    </row>
    <row r="368" ht="15.75" customHeight="1">
      <c r="A368" s="124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18"/>
      <c r="S368" s="119"/>
      <c r="T368" s="120"/>
      <c r="U368" s="120"/>
      <c r="V368" s="120"/>
      <c r="W368" s="125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0"/>
      <c r="AK368" s="120"/>
      <c r="AL368" s="126"/>
      <c r="AM368" s="107"/>
      <c r="AN368" s="107"/>
    </row>
    <row r="369" ht="15.75" customHeight="1">
      <c r="A369" s="124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18"/>
      <c r="S369" s="119"/>
      <c r="T369" s="120"/>
      <c r="U369" s="120"/>
      <c r="V369" s="120"/>
      <c r="W369" s="121" t="s">
        <v>43</v>
      </c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0">
        <f>sum(AJ364:AJ366)</f>
        <v>72890</v>
      </c>
      <c r="AK369" s="120"/>
      <c r="AL369" s="126"/>
      <c r="AM369" s="107"/>
      <c r="AN369" s="107"/>
    </row>
    <row r="370" ht="15.75" customHeight="1">
      <c r="A370" s="124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18"/>
      <c r="S370" s="119"/>
      <c r="T370" s="120"/>
      <c r="U370" s="120"/>
      <c r="V370" s="120"/>
      <c r="W370" s="121" t="s">
        <v>44</v>
      </c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20"/>
      <c r="AJ370" s="120">
        <f>AJ369+AJ367</f>
        <v>85935</v>
      </c>
      <c r="AK370" s="120"/>
      <c r="AL370" s="123">
        <f>sum(AL364:AL367)</f>
        <v>1339894.96</v>
      </c>
      <c r="AM370" s="107"/>
      <c r="AN370" s="107"/>
    </row>
    <row r="371" ht="15.75" customHeight="1">
      <c r="A371" s="124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18"/>
      <c r="S371" s="119"/>
      <c r="T371" s="120"/>
      <c r="U371" s="120"/>
      <c r="V371" s="120"/>
      <c r="W371" s="125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0"/>
      <c r="AK371" s="120"/>
      <c r="AL371" s="126"/>
      <c r="AM371" s="107"/>
      <c r="AN371" s="107"/>
    </row>
    <row r="372" ht="15.75" customHeight="1">
      <c r="A372" s="124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18"/>
      <c r="S372" s="119"/>
      <c r="T372" s="120"/>
      <c r="U372" s="120"/>
      <c r="V372" s="120"/>
      <c r="W372" s="121" t="s">
        <v>45</v>
      </c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7"/>
      <c r="AK372" s="128">
        <v>0.3</v>
      </c>
      <c r="AL372" s="123">
        <f>AL370*AK372</f>
        <v>401968.488</v>
      </c>
      <c r="AM372" s="107"/>
      <c r="AN372" s="107"/>
    </row>
    <row r="373" ht="15.75" customHeight="1">
      <c r="A373" s="124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18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29"/>
      <c r="AM373" s="107"/>
      <c r="AN373" s="107"/>
    </row>
    <row r="374" ht="15.75" customHeight="1">
      <c r="A374" s="124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18"/>
      <c r="S374" s="119"/>
      <c r="T374" s="119"/>
      <c r="U374" s="119"/>
      <c r="V374" s="119"/>
      <c r="W374" s="121" t="s">
        <v>46</v>
      </c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30" t="s">
        <v>47</v>
      </c>
      <c r="AK374" s="131">
        <f>AK364*(1-AK372)</f>
        <v>17.878</v>
      </c>
      <c r="AL374" s="123">
        <f t="shared" ref="AL374:AL377" si="9">AK374/(1-$AK$372)</f>
        <v>25.54</v>
      </c>
      <c r="AM374" s="107"/>
      <c r="AN374" s="107"/>
    </row>
    <row r="375" ht="15.75" customHeight="1">
      <c r="A375" s="124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18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30" t="s">
        <v>48</v>
      </c>
      <c r="AK375" s="131">
        <f>AK365*(1-AK372)</f>
        <v>11.354</v>
      </c>
      <c r="AL375" s="123">
        <f t="shared" si="9"/>
        <v>16.22</v>
      </c>
      <c r="AM375" s="107"/>
      <c r="AN375" s="107"/>
    </row>
    <row r="376" ht="15.75" customHeight="1">
      <c r="A376" s="124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18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30" t="s">
        <v>23</v>
      </c>
      <c r="AK376" s="132">
        <f>AK365*(1-AK372)</f>
        <v>11.354</v>
      </c>
      <c r="AL376" s="123">
        <f t="shared" si="9"/>
        <v>16.22</v>
      </c>
      <c r="AM376" s="107"/>
      <c r="AN376" s="107"/>
    </row>
    <row r="377" ht="15.75" customHeight="1">
      <c r="A377" s="124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33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5" t="s">
        <v>49</v>
      </c>
      <c r="AK377" s="136">
        <f>AK367*(1-AK372)</f>
        <v>4.508</v>
      </c>
      <c r="AL377" s="137">
        <f t="shared" si="9"/>
        <v>6.44</v>
      </c>
      <c r="AM377" s="107"/>
      <c r="AN377" s="107"/>
    </row>
    <row r="378" ht="15.75" customHeight="1">
      <c r="A378" s="124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</row>
    <row r="379" ht="15.75" customHeight="1">
      <c r="A379" s="124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</row>
    <row r="380" ht="15.75" customHeight="1">
      <c r="A380" s="124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</row>
    <row r="381" ht="15.75" customHeight="1">
      <c r="A381" s="124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</row>
    <row r="382" ht="15.75" customHeight="1">
      <c r="A382" s="124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</row>
    <row r="383" ht="15.75" customHeight="1">
      <c r="A383" s="124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</row>
    <row r="384" ht="15.75" customHeight="1">
      <c r="A384" s="124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</row>
    <row r="385" ht="15.75" customHeight="1">
      <c r="A385" s="124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</row>
    <row r="386" ht="15.75" customHeight="1">
      <c r="A386" s="124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</row>
    <row r="387" ht="15.75" customHeight="1">
      <c r="A387" s="124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</row>
    <row r="388" ht="15.75" customHeight="1">
      <c r="A388" s="124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</row>
    <row r="389" ht="15.75" customHeight="1">
      <c r="A389" s="124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</row>
    <row r="390" ht="15.75" customHeight="1">
      <c r="A390" s="124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</row>
    <row r="391" ht="15.75" customHeight="1">
      <c r="A391" s="124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</row>
    <row r="392" ht="15.75" customHeight="1">
      <c r="A392" s="124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</row>
    <row r="393" ht="15.75" customHeight="1">
      <c r="A393" s="124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</row>
    <row r="394" ht="15.75" customHeight="1">
      <c r="A394" s="124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</row>
    <row r="395" ht="15.75" customHeight="1">
      <c r="A395" s="124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</row>
    <row r="396" ht="15.75" customHeight="1">
      <c r="A396" s="124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</row>
    <row r="397" ht="15.75" customHeight="1">
      <c r="A397" s="124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</row>
    <row r="398" ht="15.75" customHeight="1">
      <c r="A398" s="124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</row>
    <row r="399" ht="15.75" customHeight="1">
      <c r="A399" s="124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</row>
    <row r="400" ht="15.75" customHeight="1">
      <c r="A400" s="124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</row>
    <row r="401" ht="15.75" customHeight="1">
      <c r="A401" s="124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</row>
    <row r="402" ht="15.75" customHeight="1">
      <c r="A402" s="124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</row>
    <row r="403" ht="15.75" customHeight="1">
      <c r="A403" s="124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</row>
    <row r="404" ht="15.75" customHeight="1">
      <c r="A404" s="124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</row>
    <row r="405" ht="15.75" customHeight="1">
      <c r="A405" s="124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</row>
    <row r="406" ht="15.75" customHeight="1">
      <c r="A406" s="124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</row>
    <row r="407" ht="15.75" customHeight="1">
      <c r="A407" s="124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</row>
    <row r="408" ht="15.75" customHeight="1">
      <c r="A408" s="124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</row>
    <row r="409" ht="15.75" customHeight="1">
      <c r="A409" s="124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</row>
    <row r="410" ht="15.75" customHeight="1">
      <c r="A410" s="124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</row>
    <row r="411" ht="15.75" customHeight="1">
      <c r="A411" s="124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</row>
    <row r="412" ht="15.75" customHeight="1">
      <c r="A412" s="124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</row>
    <row r="413" ht="15.75" customHeight="1">
      <c r="A413" s="124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</row>
    <row r="414" ht="15.75" customHeight="1">
      <c r="A414" s="124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</row>
    <row r="415" ht="15.75" customHeight="1">
      <c r="A415" s="124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</row>
    <row r="416" ht="15.75" customHeight="1">
      <c r="A416" s="124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</row>
    <row r="417" ht="15.75" customHeight="1">
      <c r="A417" s="124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</row>
    <row r="418" ht="15.75" customHeight="1">
      <c r="A418" s="124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</row>
    <row r="419" ht="15.75" customHeight="1">
      <c r="A419" s="124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</row>
    <row r="420" ht="15.75" customHeight="1">
      <c r="A420" s="124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</row>
    <row r="421" ht="15.75" customHeight="1">
      <c r="A421" s="124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</row>
    <row r="422" ht="15.75" customHeight="1">
      <c r="A422" s="124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</row>
    <row r="423" ht="15.75" customHeight="1">
      <c r="A423" s="124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</row>
    <row r="424" ht="15.75" customHeight="1">
      <c r="A424" s="124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</row>
    <row r="425" ht="15.75" customHeight="1">
      <c r="A425" s="124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</row>
    <row r="426" ht="15.75" customHeight="1">
      <c r="A426" s="124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</row>
    <row r="427" ht="15.75" customHeight="1">
      <c r="A427" s="124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</row>
    <row r="428" ht="15.75" customHeight="1">
      <c r="A428" s="124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</row>
    <row r="429" ht="15.75" customHeight="1">
      <c r="A429" s="124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</row>
    <row r="430" ht="15.75" customHeight="1">
      <c r="A430" s="124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</row>
    <row r="431" ht="15.75" customHeight="1">
      <c r="A431" s="124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</row>
    <row r="432" ht="15.75" customHeight="1">
      <c r="A432" s="124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</row>
    <row r="433" ht="15.75" customHeight="1">
      <c r="A433" s="124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</row>
    <row r="434" ht="15.75" customHeight="1">
      <c r="A434" s="124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</row>
    <row r="435" ht="15.75" customHeight="1">
      <c r="A435" s="124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</row>
    <row r="436" ht="15.75" customHeight="1">
      <c r="A436" s="124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</row>
    <row r="437" ht="15.75" customHeight="1">
      <c r="A437" s="124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</row>
    <row r="438" ht="15.75" customHeight="1">
      <c r="A438" s="124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</row>
    <row r="439" ht="15.75" customHeight="1">
      <c r="A439" s="124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</row>
    <row r="440" ht="15.75" customHeight="1">
      <c r="A440" s="124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</row>
    <row r="441" ht="15.75" customHeight="1">
      <c r="A441" s="124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</row>
    <row r="442" ht="15.75" customHeight="1">
      <c r="A442" s="124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</row>
    <row r="443" ht="15.75" customHeight="1">
      <c r="A443" s="124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</row>
    <row r="444" ht="15.75" customHeight="1">
      <c r="A444" s="124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</row>
    <row r="445" ht="15.75" customHeight="1">
      <c r="A445" s="124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</row>
    <row r="446" ht="15.75" customHeight="1">
      <c r="A446" s="124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</row>
    <row r="447" ht="15.75" customHeight="1">
      <c r="A447" s="124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</row>
    <row r="448" ht="15.75" customHeight="1">
      <c r="A448" s="124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</row>
    <row r="449" ht="15.75" customHeight="1">
      <c r="A449" s="124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</row>
    <row r="450" ht="15.75" customHeight="1">
      <c r="A450" s="124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</row>
    <row r="451" ht="15.75" customHeight="1">
      <c r="A451" s="124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</row>
    <row r="452" ht="15.75" customHeight="1">
      <c r="A452" s="124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</row>
    <row r="453" ht="15.75" customHeight="1">
      <c r="A453" s="124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</row>
    <row r="454" ht="15.75" customHeight="1">
      <c r="A454" s="124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</row>
    <row r="455" ht="15.75" customHeight="1">
      <c r="A455" s="124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</row>
    <row r="456" ht="15.75" customHeight="1">
      <c r="A456" s="124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</row>
    <row r="457" ht="15.75" customHeight="1">
      <c r="A457" s="124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</row>
    <row r="458" ht="15.75" customHeight="1">
      <c r="A458" s="124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</row>
    <row r="459" ht="15.75" customHeight="1">
      <c r="A459" s="124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</row>
    <row r="460" ht="15.75" customHeight="1">
      <c r="A460" s="124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</row>
    <row r="461" ht="15.75" customHeight="1">
      <c r="A461" s="124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</row>
    <row r="462" ht="15.75" customHeight="1">
      <c r="A462" s="124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</row>
    <row r="463" ht="15.75" customHeight="1">
      <c r="A463" s="124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</row>
    <row r="464" ht="15.75" customHeight="1">
      <c r="A464" s="124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</row>
    <row r="465" ht="15.75" customHeight="1">
      <c r="A465" s="124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</row>
    <row r="466" ht="15.75" customHeight="1">
      <c r="A466" s="124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</row>
    <row r="467" ht="15.75" customHeight="1">
      <c r="A467" s="124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</row>
    <row r="468" ht="15.75" customHeight="1">
      <c r="A468" s="124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</row>
    <row r="469" ht="15.75" customHeight="1">
      <c r="A469" s="124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</row>
    <row r="470" ht="15.75" customHeight="1">
      <c r="A470" s="124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</row>
    <row r="471" ht="15.75" customHeight="1">
      <c r="A471" s="124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</row>
    <row r="472" ht="15.75" customHeight="1">
      <c r="A472" s="124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</row>
    <row r="473" ht="15.75" customHeight="1">
      <c r="A473" s="124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</row>
    <row r="474" ht="15.75" customHeight="1">
      <c r="A474" s="124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</row>
    <row r="475" ht="15.75" customHeight="1">
      <c r="A475" s="124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</row>
    <row r="476" ht="15.75" customHeight="1">
      <c r="A476" s="124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</row>
    <row r="477" ht="15.75" customHeight="1">
      <c r="A477" s="124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</row>
    <row r="478" ht="15.75" customHeight="1">
      <c r="A478" s="124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</row>
    <row r="479" ht="15.75" customHeight="1">
      <c r="A479" s="124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</row>
    <row r="480" ht="15.75" customHeight="1">
      <c r="A480" s="124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</row>
    <row r="481" ht="15.75" customHeight="1">
      <c r="A481" s="124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</row>
    <row r="482" ht="15.75" customHeight="1">
      <c r="A482" s="124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</row>
    <row r="483" ht="15.75" customHeight="1">
      <c r="A483" s="124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</row>
    <row r="484" ht="15.75" customHeight="1">
      <c r="A484" s="124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</row>
    <row r="485" ht="15.75" customHeight="1">
      <c r="A485" s="124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</row>
    <row r="486" ht="15.75" customHeight="1">
      <c r="A486" s="124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</row>
    <row r="487" ht="15.75" customHeight="1">
      <c r="A487" s="124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</row>
    <row r="488" ht="15.75" customHeight="1">
      <c r="A488" s="124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</row>
    <row r="489" ht="15.75" customHeight="1">
      <c r="A489" s="124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</row>
    <row r="490" ht="15.75" customHeight="1">
      <c r="A490" s="124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</row>
    <row r="491" ht="15.75" customHeight="1">
      <c r="A491" s="124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</row>
    <row r="492" ht="15.75" customHeight="1">
      <c r="A492" s="124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</row>
    <row r="493" ht="15.75" customHeight="1">
      <c r="A493" s="124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</row>
    <row r="494" ht="15.75" customHeight="1">
      <c r="A494" s="124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</row>
    <row r="495" ht="15.75" customHeight="1">
      <c r="A495" s="124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</row>
    <row r="496" ht="15.75" customHeight="1">
      <c r="A496" s="124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</row>
    <row r="497" ht="15.75" customHeight="1">
      <c r="A497" s="124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</row>
    <row r="498" ht="15.75" customHeight="1">
      <c r="A498" s="124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</row>
    <row r="499" ht="15.75" customHeight="1">
      <c r="A499" s="124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</row>
    <row r="500" ht="15.75" customHeight="1">
      <c r="A500" s="124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</row>
    <row r="501" ht="15.75" customHeight="1">
      <c r="A501" s="124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</row>
    <row r="502" ht="15.75" customHeight="1">
      <c r="A502" s="124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</row>
    <row r="503" ht="15.75" customHeight="1">
      <c r="A503" s="124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</row>
    <row r="504" ht="15.75" customHeight="1">
      <c r="A504" s="124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</row>
    <row r="505" ht="15.75" customHeight="1">
      <c r="A505" s="124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</row>
    <row r="506" ht="15.75" customHeight="1">
      <c r="A506" s="124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</row>
    <row r="507" ht="15.75" customHeight="1">
      <c r="A507" s="124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</row>
    <row r="508" ht="15.75" customHeight="1">
      <c r="A508" s="124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</row>
    <row r="509" ht="15.75" customHeight="1">
      <c r="A509" s="124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</row>
    <row r="510" ht="15.75" customHeight="1">
      <c r="A510" s="124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</row>
    <row r="511" ht="15.75" customHeight="1">
      <c r="A511" s="124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</row>
    <row r="512" ht="15.75" customHeight="1">
      <c r="A512" s="124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</row>
    <row r="513" ht="15.75" customHeight="1">
      <c r="A513" s="124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</row>
    <row r="514" ht="15.75" customHeight="1">
      <c r="A514" s="124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</row>
    <row r="515" ht="15.75" customHeight="1">
      <c r="A515" s="124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</row>
    <row r="516" ht="15.75" customHeight="1">
      <c r="A516" s="124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</row>
    <row r="517" ht="15.75" customHeight="1">
      <c r="A517" s="124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</row>
    <row r="518" ht="15.75" customHeight="1">
      <c r="A518" s="124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</row>
    <row r="519" ht="15.75" customHeight="1">
      <c r="A519" s="124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</row>
    <row r="520" ht="15.75" customHeight="1">
      <c r="A520" s="124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</row>
    <row r="521" ht="15.75" customHeight="1">
      <c r="A521" s="124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</row>
    <row r="522" ht="15.75" customHeight="1">
      <c r="A522" s="124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</row>
    <row r="523" ht="15.75" customHeight="1">
      <c r="A523" s="124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</row>
    <row r="524" ht="15.75" customHeight="1">
      <c r="A524" s="124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</row>
    <row r="525" ht="15.75" customHeight="1">
      <c r="A525" s="124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</row>
    <row r="526" ht="15.75" customHeight="1">
      <c r="A526" s="124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</row>
    <row r="527" ht="15.75" customHeight="1">
      <c r="A527" s="124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</row>
    <row r="528" ht="15.75" customHeight="1">
      <c r="A528" s="124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</row>
    <row r="529" ht="15.75" customHeight="1">
      <c r="A529" s="124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</row>
    <row r="530" ht="15.75" customHeight="1">
      <c r="A530" s="124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</row>
    <row r="531" ht="15.75" customHeight="1">
      <c r="A531" s="124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</row>
    <row r="532" ht="15.75" customHeight="1">
      <c r="A532" s="124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</row>
    <row r="533" ht="15.75" customHeight="1">
      <c r="A533" s="124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</row>
    <row r="534" ht="15.75" customHeight="1">
      <c r="A534" s="124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</row>
    <row r="535" ht="15.75" customHeight="1">
      <c r="A535" s="124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</row>
    <row r="536" ht="15.75" customHeight="1">
      <c r="A536" s="124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</row>
    <row r="537" ht="15.75" customHeight="1">
      <c r="A537" s="124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</row>
    <row r="538" ht="15.75" customHeight="1">
      <c r="A538" s="124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</row>
    <row r="539" ht="15.75" customHeight="1">
      <c r="A539" s="124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</row>
    <row r="540" ht="15.75" customHeight="1">
      <c r="A540" s="124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</row>
    <row r="541" ht="15.75" customHeight="1">
      <c r="A541" s="124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</row>
    <row r="542" ht="15.75" customHeight="1">
      <c r="A542" s="124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</row>
    <row r="543" ht="15.75" customHeight="1">
      <c r="A543" s="124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</row>
    <row r="544" ht="15.75" customHeight="1">
      <c r="A544" s="124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</row>
    <row r="545" ht="15.75" customHeight="1">
      <c r="A545" s="124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</row>
    <row r="546" ht="15.75" customHeight="1">
      <c r="A546" s="124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</row>
    <row r="547" ht="15.75" customHeight="1">
      <c r="A547" s="124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</row>
    <row r="548" ht="15.75" customHeight="1">
      <c r="A548" s="124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</row>
    <row r="549" ht="15.75" customHeight="1">
      <c r="A549" s="124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</row>
    <row r="550" ht="15.75" customHeight="1">
      <c r="A550" s="124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</row>
    <row r="551" ht="15.75" customHeight="1">
      <c r="A551" s="124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</row>
    <row r="552" ht="15.75" customHeight="1">
      <c r="A552" s="124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</row>
    <row r="553" ht="15.75" customHeight="1">
      <c r="A553" s="124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</row>
    <row r="554" ht="15.75" customHeight="1">
      <c r="A554" s="124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</row>
    <row r="555" ht="15.75" customHeight="1">
      <c r="A555" s="124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</row>
    <row r="556" ht="15.75" customHeight="1">
      <c r="A556" s="124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</row>
    <row r="557" ht="15.75" customHeight="1">
      <c r="A557" s="124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</row>
    <row r="558" ht="15.75" customHeight="1">
      <c r="A558" s="124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</row>
    <row r="559" ht="15.75" customHeight="1">
      <c r="A559" s="124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</row>
    <row r="560" ht="15.75" customHeight="1">
      <c r="A560" s="124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</row>
    <row r="561" ht="15.75" customHeight="1">
      <c r="A561" s="124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</row>
    <row r="562" ht="15.75" customHeight="1">
      <c r="A562" s="124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</row>
    <row r="563" ht="15.75" customHeight="1">
      <c r="A563" s="124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</row>
    <row r="564" ht="15.75" customHeight="1">
      <c r="A564" s="124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</row>
    <row r="565" ht="15.75" customHeight="1">
      <c r="A565" s="124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</row>
    <row r="566" ht="15.75" customHeight="1">
      <c r="A566" s="124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</row>
    <row r="567" ht="15.75" customHeight="1">
      <c r="A567" s="124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</row>
    <row r="568" ht="15.75" customHeight="1">
      <c r="A568" s="124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</row>
    <row r="569" ht="15.75" customHeight="1">
      <c r="A569" s="124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</row>
    <row r="570" ht="15.75" customHeight="1">
      <c r="A570" s="124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</row>
    <row r="571" ht="15.75" customHeight="1">
      <c r="A571" s="124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</row>
    <row r="572" ht="15.75" customHeight="1">
      <c r="A572" s="124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</row>
    <row r="573" ht="15.75" customHeight="1">
      <c r="A573" s="124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</row>
    <row r="574" ht="15.75" customHeight="1">
      <c r="A574" s="124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</row>
    <row r="575" ht="15.75" customHeight="1">
      <c r="A575" s="124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</row>
    <row r="576" ht="15.75" customHeight="1">
      <c r="A576" s="124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</row>
    <row r="577" ht="15.75" customHeight="1">
      <c r="A577" s="124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</row>
    <row r="578" ht="15.75" customHeight="1">
      <c r="A578" s="124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</row>
    <row r="579" ht="15.75" customHeight="1">
      <c r="A579" s="124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</row>
    <row r="580" ht="15.75" customHeight="1">
      <c r="A580" s="124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</row>
    <row r="581" ht="15.75" customHeight="1">
      <c r="A581" s="124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</row>
    <row r="582" ht="15.75" customHeight="1">
      <c r="A582" s="124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</row>
    <row r="583" ht="15.75" customHeight="1">
      <c r="A583" s="124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</row>
    <row r="584" ht="15.75" customHeight="1">
      <c r="A584" s="124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</row>
    <row r="585" ht="15.75" customHeight="1">
      <c r="A585" s="124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</row>
    <row r="586" ht="15.75" customHeight="1">
      <c r="A586" s="124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</row>
    <row r="587" ht="15.75" customHeight="1">
      <c r="A587" s="124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</row>
    <row r="588" ht="15.75" customHeight="1">
      <c r="A588" s="124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</row>
    <row r="589" ht="15.75" customHeight="1">
      <c r="A589" s="124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</row>
    <row r="590" ht="15.75" customHeight="1">
      <c r="A590" s="124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</row>
    <row r="591" ht="15.75" customHeight="1">
      <c r="A591" s="124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</row>
    <row r="592" ht="15.75" customHeight="1">
      <c r="A592" s="124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</row>
    <row r="593" ht="15.75" customHeight="1">
      <c r="A593" s="124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</row>
    <row r="594" ht="15.75" customHeight="1">
      <c r="A594" s="124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</row>
    <row r="595" ht="15.75" customHeight="1">
      <c r="A595" s="124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</row>
    <row r="596" ht="15.75" customHeight="1">
      <c r="A596" s="124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</row>
    <row r="597" ht="15.75" customHeight="1">
      <c r="A597" s="124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</row>
    <row r="598" ht="15.75" customHeight="1">
      <c r="A598" s="124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</row>
    <row r="599" ht="15.75" customHeight="1">
      <c r="A599" s="124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</row>
    <row r="600" ht="15.75" customHeight="1">
      <c r="A600" s="124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</row>
    <row r="601" ht="15.75" customHeight="1">
      <c r="A601" s="124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</row>
    <row r="602" ht="15.75" customHeight="1">
      <c r="A602" s="124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</row>
    <row r="603" ht="15.75" customHeight="1">
      <c r="A603" s="124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</row>
    <row r="604" ht="15.75" customHeight="1">
      <c r="A604" s="124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</row>
    <row r="605" ht="15.75" customHeight="1">
      <c r="A605" s="124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</row>
    <row r="606" ht="15.75" customHeight="1">
      <c r="A606" s="124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</row>
    <row r="607" ht="15.75" customHeight="1">
      <c r="A607" s="124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</row>
    <row r="608" ht="15.75" customHeight="1">
      <c r="A608" s="124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</row>
    <row r="609" ht="15.75" customHeight="1">
      <c r="A609" s="124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</row>
    <row r="610" ht="15.75" customHeight="1">
      <c r="A610" s="124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</row>
    <row r="611" ht="15.75" customHeight="1">
      <c r="A611" s="124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</row>
    <row r="612" ht="15.75" customHeight="1">
      <c r="A612" s="124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</row>
    <row r="613" ht="15.75" customHeight="1">
      <c r="A613" s="124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</row>
    <row r="614" ht="15.75" customHeight="1">
      <c r="A614" s="124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</row>
    <row r="615" ht="15.75" customHeight="1">
      <c r="A615" s="124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</row>
    <row r="616" ht="15.75" customHeight="1">
      <c r="A616" s="124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</row>
    <row r="617" ht="15.75" customHeight="1">
      <c r="A617" s="124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</row>
    <row r="618" ht="15.75" customHeight="1">
      <c r="A618" s="124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</row>
    <row r="619" ht="15.75" customHeight="1">
      <c r="A619" s="124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</row>
    <row r="620" ht="15.75" customHeight="1">
      <c r="A620" s="124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</row>
    <row r="621" ht="15.75" customHeight="1">
      <c r="A621" s="124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</row>
    <row r="622" ht="15.75" customHeight="1">
      <c r="A622" s="124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</row>
    <row r="623" ht="15.75" customHeight="1">
      <c r="A623" s="124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</row>
    <row r="624" ht="15.75" customHeight="1">
      <c r="A624" s="124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</row>
    <row r="625" ht="15.75" customHeight="1">
      <c r="A625" s="124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</row>
    <row r="626" ht="15.75" customHeight="1">
      <c r="A626" s="124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</row>
    <row r="627" ht="15.75" customHeight="1">
      <c r="A627" s="124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</row>
    <row r="628" ht="15.75" customHeight="1">
      <c r="A628" s="124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</row>
    <row r="629" ht="15.75" customHeight="1">
      <c r="A629" s="124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</row>
    <row r="630" ht="15.75" customHeight="1">
      <c r="A630" s="124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</row>
    <row r="631" ht="15.75" customHeight="1">
      <c r="A631" s="124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</row>
    <row r="632" ht="15.75" customHeight="1">
      <c r="A632" s="124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</row>
    <row r="633" ht="15.75" customHeight="1">
      <c r="A633" s="124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</row>
    <row r="634" ht="15.75" customHeight="1">
      <c r="A634" s="124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</row>
    <row r="635" ht="15.75" customHeight="1">
      <c r="A635" s="124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</row>
    <row r="636" ht="15.75" customHeight="1">
      <c r="A636" s="124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</row>
    <row r="637" ht="15.75" customHeight="1">
      <c r="A637" s="124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</row>
    <row r="638" ht="15.75" customHeight="1">
      <c r="A638" s="124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</row>
    <row r="639" ht="15.75" customHeight="1">
      <c r="A639" s="124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</row>
    <row r="640" ht="15.75" customHeight="1">
      <c r="A640" s="124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</row>
    <row r="641" ht="15.75" customHeight="1">
      <c r="A641" s="124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</row>
    <row r="642" ht="15.75" customHeight="1">
      <c r="A642" s="124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</row>
    <row r="643" ht="15.75" customHeight="1">
      <c r="A643" s="124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</row>
    <row r="644" ht="15.75" customHeight="1">
      <c r="A644" s="124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</row>
    <row r="645" ht="15.75" customHeight="1">
      <c r="A645" s="124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</row>
    <row r="646" ht="15.75" customHeight="1">
      <c r="A646" s="124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</row>
    <row r="647" ht="15.75" customHeight="1">
      <c r="A647" s="124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</row>
    <row r="648" ht="15.75" customHeight="1">
      <c r="A648" s="124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</row>
    <row r="649" ht="15.75" customHeight="1">
      <c r="A649" s="124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</row>
    <row r="650" ht="15.75" customHeight="1">
      <c r="A650" s="124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</row>
    <row r="651" ht="15.75" customHeight="1">
      <c r="A651" s="124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</row>
    <row r="652" ht="15.75" customHeight="1">
      <c r="A652" s="124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</row>
    <row r="653" ht="15.75" customHeight="1">
      <c r="A653" s="124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</row>
    <row r="654" ht="15.75" customHeight="1">
      <c r="A654" s="124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</row>
    <row r="655" ht="15.75" customHeight="1">
      <c r="A655" s="124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</row>
    <row r="656" ht="15.75" customHeight="1">
      <c r="A656" s="124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</row>
    <row r="657" ht="15.75" customHeight="1">
      <c r="A657" s="124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</row>
    <row r="658" ht="15.75" customHeight="1">
      <c r="A658" s="124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</row>
    <row r="659" ht="15.75" customHeight="1">
      <c r="A659" s="124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</row>
    <row r="660" ht="15.75" customHeight="1">
      <c r="A660" s="124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</row>
    <row r="661" ht="15.75" customHeight="1">
      <c r="A661" s="124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</row>
    <row r="662" ht="15.75" customHeight="1">
      <c r="A662" s="124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</row>
    <row r="663" ht="15.75" customHeight="1">
      <c r="A663" s="124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</row>
    <row r="664" ht="15.75" customHeight="1">
      <c r="A664" s="124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</row>
    <row r="665" ht="15.75" customHeight="1">
      <c r="A665" s="124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</row>
    <row r="666" ht="15.75" customHeight="1">
      <c r="A666" s="124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</row>
    <row r="667" ht="15.75" customHeight="1">
      <c r="A667" s="124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</row>
    <row r="668" ht="15.75" customHeight="1">
      <c r="A668" s="124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</row>
    <row r="669" ht="15.75" customHeight="1">
      <c r="A669" s="124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</row>
    <row r="670" ht="15.75" customHeight="1">
      <c r="A670" s="124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</row>
    <row r="671" ht="15.75" customHeight="1">
      <c r="A671" s="124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</row>
    <row r="672" ht="15.75" customHeight="1">
      <c r="A672" s="124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</row>
    <row r="673" ht="15.75" customHeight="1">
      <c r="A673" s="124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</row>
    <row r="674" ht="15.75" customHeight="1">
      <c r="A674" s="124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</row>
    <row r="675" ht="15.75" customHeight="1">
      <c r="A675" s="124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</row>
    <row r="676" ht="15.75" customHeight="1">
      <c r="A676" s="124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</row>
    <row r="677" ht="15.75" customHeight="1">
      <c r="A677" s="124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</row>
    <row r="678" ht="15.75" customHeight="1">
      <c r="A678" s="124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</row>
    <row r="679" ht="15.75" customHeight="1">
      <c r="A679" s="124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</row>
    <row r="680" ht="15.75" customHeight="1">
      <c r="A680" s="124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</row>
    <row r="681" ht="15.75" customHeight="1">
      <c r="A681" s="124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</row>
    <row r="682" ht="15.75" customHeight="1">
      <c r="A682" s="124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</row>
    <row r="683" ht="15.75" customHeight="1">
      <c r="A683" s="124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</row>
    <row r="684" ht="15.75" customHeight="1">
      <c r="A684" s="124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</row>
    <row r="685" ht="15.75" customHeight="1">
      <c r="A685" s="124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</row>
    <row r="686" ht="15.75" customHeight="1">
      <c r="A686" s="124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</row>
    <row r="687" ht="15.75" customHeight="1">
      <c r="A687" s="124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</row>
    <row r="688" ht="15.75" customHeight="1">
      <c r="A688" s="124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</row>
    <row r="689" ht="15.75" customHeight="1">
      <c r="A689" s="124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</row>
    <row r="690" ht="15.75" customHeight="1">
      <c r="A690" s="124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</row>
    <row r="691" ht="15.75" customHeight="1">
      <c r="A691" s="124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</row>
    <row r="692" ht="15.75" customHeight="1">
      <c r="A692" s="124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</row>
    <row r="693" ht="15.75" customHeight="1">
      <c r="A693" s="124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</row>
    <row r="694" ht="15.75" customHeight="1">
      <c r="A694" s="124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</row>
    <row r="695" ht="15.75" customHeight="1">
      <c r="A695" s="124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</row>
    <row r="696" ht="15.75" customHeight="1">
      <c r="A696" s="124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</row>
    <row r="697" ht="15.75" customHeight="1">
      <c r="A697" s="124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</row>
    <row r="698" ht="15.75" customHeight="1">
      <c r="A698" s="124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</row>
    <row r="699" ht="15.75" customHeight="1">
      <c r="A699" s="124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</row>
    <row r="700" ht="15.75" customHeight="1">
      <c r="A700" s="124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</row>
    <row r="701" ht="15.75" customHeight="1">
      <c r="A701" s="124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</row>
    <row r="702" ht="15.75" customHeight="1">
      <c r="A702" s="124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</row>
    <row r="703" ht="15.75" customHeight="1">
      <c r="A703" s="124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</row>
    <row r="704" ht="15.75" customHeight="1">
      <c r="A704" s="124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</row>
    <row r="705" ht="15.75" customHeight="1">
      <c r="A705" s="124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</row>
    <row r="706" ht="15.75" customHeight="1">
      <c r="A706" s="124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</row>
    <row r="707" ht="15.75" customHeight="1">
      <c r="A707" s="124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</row>
    <row r="708" ht="15.75" customHeight="1">
      <c r="A708" s="124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</row>
    <row r="709" ht="15.75" customHeight="1">
      <c r="A709" s="124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</row>
    <row r="710" ht="15.75" customHeight="1">
      <c r="A710" s="124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</row>
    <row r="711" ht="15.75" customHeight="1">
      <c r="A711" s="124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</row>
    <row r="712" ht="15.75" customHeight="1">
      <c r="A712" s="124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</row>
    <row r="713" ht="15.75" customHeight="1">
      <c r="A713" s="124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</row>
    <row r="714" ht="15.75" customHeight="1">
      <c r="A714" s="124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</row>
    <row r="715" ht="15.75" customHeight="1">
      <c r="A715" s="124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</row>
    <row r="716" ht="15.75" customHeight="1">
      <c r="A716" s="124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</row>
    <row r="717" ht="15.75" customHeight="1">
      <c r="A717" s="124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</row>
    <row r="718" ht="15.75" customHeight="1">
      <c r="A718" s="124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</row>
    <row r="719" ht="15.75" customHeight="1">
      <c r="A719" s="124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</row>
    <row r="720" ht="15.75" customHeight="1">
      <c r="A720" s="124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</row>
    <row r="721" ht="15.75" customHeight="1">
      <c r="A721" s="124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</row>
    <row r="722" ht="15.75" customHeight="1">
      <c r="A722" s="124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</row>
    <row r="723" ht="15.75" customHeight="1">
      <c r="A723" s="124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</row>
    <row r="724" ht="15.75" customHeight="1">
      <c r="A724" s="124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</row>
    <row r="725" ht="15.75" customHeight="1">
      <c r="A725" s="124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</row>
    <row r="726" ht="15.75" customHeight="1">
      <c r="A726" s="124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</row>
    <row r="727" ht="15.75" customHeight="1">
      <c r="A727" s="124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</row>
    <row r="728" ht="15.75" customHeight="1">
      <c r="A728" s="124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</row>
    <row r="729" ht="15.75" customHeight="1">
      <c r="A729" s="124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</row>
    <row r="730" ht="15.75" customHeight="1">
      <c r="A730" s="124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</row>
    <row r="731" ht="15.75" customHeight="1">
      <c r="A731" s="124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</row>
    <row r="732" ht="15.75" customHeight="1">
      <c r="A732" s="124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</row>
    <row r="733" ht="15.75" customHeight="1">
      <c r="A733" s="124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</row>
    <row r="734" ht="15.75" customHeight="1">
      <c r="A734" s="124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</row>
    <row r="735" ht="15.75" customHeight="1">
      <c r="A735" s="124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</row>
    <row r="736" ht="15.75" customHeight="1">
      <c r="A736" s="124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</row>
    <row r="737" ht="15.75" customHeight="1">
      <c r="A737" s="124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</row>
    <row r="738" ht="15.75" customHeight="1">
      <c r="A738" s="124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</row>
    <row r="739" ht="15.75" customHeight="1">
      <c r="A739" s="124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</row>
    <row r="740" ht="15.75" customHeight="1">
      <c r="A740" s="124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</row>
    <row r="741" ht="15.75" customHeight="1">
      <c r="A741" s="124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</row>
    <row r="742" ht="15.75" customHeight="1">
      <c r="A742" s="124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</row>
    <row r="743" ht="15.75" customHeight="1">
      <c r="A743" s="124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</row>
    <row r="744" ht="15.75" customHeight="1">
      <c r="A744" s="124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</row>
    <row r="745" ht="15.75" customHeight="1">
      <c r="A745" s="124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</row>
    <row r="746" ht="15.75" customHeight="1">
      <c r="A746" s="124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</row>
    <row r="747" ht="15.75" customHeight="1">
      <c r="A747" s="124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</row>
    <row r="748" ht="15.75" customHeight="1">
      <c r="A748" s="124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</row>
    <row r="749" ht="15.75" customHeight="1">
      <c r="A749" s="124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</row>
    <row r="750" ht="15.75" customHeight="1">
      <c r="A750" s="124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</row>
    <row r="751" ht="15.75" customHeight="1">
      <c r="A751" s="124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</row>
    <row r="752" ht="15.75" customHeight="1">
      <c r="A752" s="124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</row>
    <row r="753" ht="15.75" customHeight="1">
      <c r="A753" s="124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</row>
    <row r="754" ht="15.75" customHeight="1">
      <c r="A754" s="124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</row>
    <row r="755" ht="15.75" customHeight="1">
      <c r="A755" s="124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</row>
    <row r="756" ht="15.75" customHeight="1">
      <c r="A756" s="124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</row>
    <row r="757" ht="15.75" customHeight="1">
      <c r="A757" s="124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</row>
    <row r="758" ht="15.75" customHeight="1">
      <c r="A758" s="124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</row>
    <row r="759" ht="15.75" customHeight="1">
      <c r="A759" s="124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</row>
    <row r="760" ht="15.75" customHeight="1">
      <c r="A760" s="124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</row>
    <row r="761" ht="15.75" customHeight="1">
      <c r="A761" s="124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</row>
    <row r="762" ht="15.75" customHeight="1">
      <c r="A762" s="124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</row>
    <row r="763" ht="15.75" customHeight="1">
      <c r="A763" s="124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</row>
    <row r="764" ht="15.75" customHeight="1">
      <c r="A764" s="124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</row>
    <row r="765" ht="15.75" customHeight="1">
      <c r="A765" s="124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</row>
    <row r="766" ht="15.75" customHeight="1">
      <c r="A766" s="124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</row>
    <row r="767" ht="15.75" customHeight="1">
      <c r="A767" s="124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</row>
    <row r="768" ht="15.75" customHeight="1">
      <c r="A768" s="124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</row>
    <row r="769" ht="15.75" customHeight="1">
      <c r="A769" s="124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</row>
    <row r="770" ht="15.75" customHeight="1">
      <c r="A770" s="124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</row>
    <row r="771" ht="15.75" customHeight="1">
      <c r="A771" s="124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</row>
    <row r="772" ht="15.75" customHeight="1">
      <c r="A772" s="124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</row>
    <row r="773" ht="15.75" customHeight="1">
      <c r="A773" s="124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</row>
    <row r="774" ht="15.75" customHeight="1">
      <c r="A774" s="124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</row>
    <row r="775" ht="15.75" customHeight="1">
      <c r="A775" s="124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</row>
    <row r="776" ht="15.75" customHeight="1">
      <c r="A776" s="124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</row>
    <row r="777" ht="15.75" customHeight="1">
      <c r="A777" s="124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</row>
    <row r="778" ht="15.75" customHeight="1">
      <c r="A778" s="124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</row>
    <row r="779" ht="15.75" customHeight="1">
      <c r="A779" s="124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</row>
    <row r="780" ht="15.75" customHeight="1">
      <c r="A780" s="124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</row>
    <row r="781" ht="15.75" customHeight="1">
      <c r="A781" s="124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</row>
    <row r="782" ht="15.75" customHeight="1">
      <c r="A782" s="124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</row>
    <row r="783" ht="15.75" customHeight="1">
      <c r="A783" s="124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</row>
    <row r="784" ht="15.75" customHeight="1">
      <c r="A784" s="124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</row>
    <row r="785" ht="15.75" customHeight="1">
      <c r="A785" s="124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</row>
    <row r="786" ht="15.75" customHeight="1">
      <c r="A786" s="124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</row>
    <row r="787" ht="15.75" customHeight="1">
      <c r="A787" s="124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</row>
    <row r="788" ht="15.75" customHeight="1">
      <c r="A788" s="124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</row>
    <row r="789" ht="15.75" customHeight="1">
      <c r="A789" s="124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</row>
    <row r="790" ht="15.75" customHeight="1">
      <c r="A790" s="124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</row>
    <row r="791" ht="15.75" customHeight="1">
      <c r="A791" s="124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</row>
    <row r="792" ht="15.75" customHeight="1">
      <c r="A792" s="124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</row>
    <row r="793" ht="15.75" customHeight="1">
      <c r="A793" s="124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</row>
    <row r="794" ht="15.75" customHeight="1">
      <c r="A794" s="124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</row>
    <row r="795" ht="15.75" customHeight="1">
      <c r="A795" s="124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</row>
    <row r="796" ht="15.75" customHeight="1">
      <c r="A796" s="124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</row>
    <row r="797" ht="15.75" customHeight="1">
      <c r="A797" s="124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</row>
    <row r="798" ht="15.75" customHeight="1">
      <c r="A798" s="124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</row>
    <row r="799" ht="15.75" customHeight="1">
      <c r="A799" s="124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</row>
    <row r="800" ht="15.75" customHeight="1">
      <c r="A800" s="124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</row>
    <row r="801" ht="15.75" customHeight="1">
      <c r="A801" s="124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</row>
    <row r="802" ht="15.75" customHeight="1">
      <c r="A802" s="124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</row>
    <row r="803" ht="15.75" customHeight="1">
      <c r="A803" s="124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</row>
    <row r="804" ht="15.75" customHeight="1">
      <c r="A804" s="124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</row>
    <row r="805" ht="15.75" customHeight="1">
      <c r="A805" s="124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</row>
    <row r="806" ht="15.75" customHeight="1">
      <c r="A806" s="124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</row>
    <row r="807" ht="15.75" customHeight="1">
      <c r="A807" s="124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</row>
    <row r="808" ht="15.75" customHeight="1">
      <c r="A808" s="124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</row>
    <row r="809" ht="15.75" customHeight="1">
      <c r="A809" s="124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</row>
    <row r="810" ht="15.75" customHeight="1">
      <c r="A810" s="124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</row>
    <row r="811" ht="15.75" customHeight="1">
      <c r="A811" s="124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</row>
    <row r="812" ht="15.75" customHeight="1">
      <c r="A812" s="124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</row>
    <row r="813" ht="15.75" customHeight="1">
      <c r="A813" s="124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</row>
    <row r="814" ht="15.75" customHeight="1">
      <c r="A814" s="124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</row>
    <row r="815" ht="15.75" customHeight="1">
      <c r="A815" s="124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</row>
    <row r="816" ht="15.75" customHeight="1">
      <c r="A816" s="124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</row>
    <row r="817" ht="15.75" customHeight="1">
      <c r="A817" s="124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</row>
    <row r="818" ht="15.75" customHeight="1">
      <c r="A818" s="124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</row>
    <row r="819" ht="15.75" customHeight="1">
      <c r="A819" s="124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</row>
    <row r="820" ht="15.75" customHeight="1">
      <c r="A820" s="124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</row>
    <row r="821" ht="15.75" customHeight="1">
      <c r="A821" s="124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</row>
    <row r="822" ht="15.75" customHeight="1">
      <c r="A822" s="124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</row>
    <row r="823" ht="15.75" customHeight="1">
      <c r="A823" s="124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</row>
    <row r="824" ht="15.75" customHeight="1">
      <c r="A824" s="124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</row>
    <row r="825" ht="15.75" customHeight="1">
      <c r="A825" s="124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</row>
    <row r="826" ht="15.75" customHeight="1">
      <c r="A826" s="124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</row>
    <row r="827" ht="15.75" customHeight="1">
      <c r="A827" s="124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</row>
    <row r="828" ht="15.75" customHeight="1">
      <c r="A828" s="124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</row>
    <row r="829" ht="15.75" customHeight="1">
      <c r="A829" s="124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</row>
    <row r="830" ht="15.75" customHeight="1">
      <c r="A830" s="124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</row>
    <row r="831" ht="15.75" customHeight="1">
      <c r="A831" s="124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</row>
    <row r="832" ht="15.75" customHeight="1">
      <c r="A832" s="124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</row>
    <row r="833" ht="15.75" customHeight="1">
      <c r="A833" s="124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</row>
    <row r="834" ht="15.75" customHeight="1">
      <c r="A834" s="124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</row>
    <row r="835" ht="15.75" customHeight="1">
      <c r="A835" s="124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</row>
    <row r="836" ht="15.75" customHeight="1">
      <c r="A836" s="124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</row>
    <row r="837" ht="15.75" customHeight="1">
      <c r="A837" s="124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</row>
    <row r="838" ht="15.75" customHeight="1">
      <c r="A838" s="124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</row>
    <row r="839" ht="15.75" customHeight="1">
      <c r="A839" s="124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</row>
    <row r="840" ht="15.75" customHeight="1">
      <c r="A840" s="124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</row>
    <row r="841" ht="15.75" customHeight="1">
      <c r="A841" s="124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</row>
    <row r="842" ht="15.75" customHeight="1">
      <c r="A842" s="124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</row>
    <row r="843" ht="15.75" customHeight="1">
      <c r="A843" s="124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</row>
    <row r="844" ht="15.75" customHeight="1">
      <c r="A844" s="124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</row>
    <row r="845" ht="15.75" customHeight="1">
      <c r="A845" s="124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</row>
    <row r="846" ht="15.75" customHeight="1">
      <c r="A846" s="124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</row>
    <row r="847" ht="15.75" customHeight="1">
      <c r="A847" s="124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</row>
    <row r="848" ht="15.75" customHeight="1">
      <c r="A848" s="124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</row>
    <row r="849" ht="15.75" customHeight="1">
      <c r="A849" s="124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</row>
    <row r="850" ht="15.75" customHeight="1">
      <c r="A850" s="124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</row>
    <row r="851" ht="15.75" customHeight="1">
      <c r="A851" s="124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</row>
    <row r="852" ht="15.75" customHeight="1">
      <c r="A852" s="124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</row>
    <row r="853" ht="15.75" customHeight="1">
      <c r="A853" s="124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</row>
    <row r="854" ht="15.75" customHeight="1">
      <c r="A854" s="124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</row>
    <row r="855" ht="15.75" customHeight="1">
      <c r="A855" s="124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</row>
    <row r="856" ht="15.75" customHeight="1">
      <c r="A856" s="124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</row>
    <row r="857" ht="15.75" customHeight="1">
      <c r="A857" s="124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</row>
    <row r="858" ht="15.75" customHeight="1">
      <c r="A858" s="124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</row>
    <row r="859" ht="15.75" customHeight="1">
      <c r="A859" s="124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</row>
    <row r="860" ht="15.75" customHeight="1">
      <c r="A860" s="124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</row>
    <row r="861" ht="15.75" customHeight="1">
      <c r="A861" s="124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</row>
    <row r="862" ht="15.75" customHeight="1">
      <c r="A862" s="124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</row>
    <row r="863" ht="15.75" customHeight="1">
      <c r="A863" s="124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</row>
    <row r="864" ht="15.75" customHeight="1">
      <c r="A864" s="124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</row>
    <row r="865" ht="15.75" customHeight="1">
      <c r="A865" s="124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</row>
    <row r="866" ht="15.75" customHeight="1">
      <c r="A866" s="124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</row>
    <row r="867" ht="15.75" customHeight="1">
      <c r="A867" s="124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</row>
    <row r="868" ht="15.75" customHeight="1">
      <c r="A868" s="124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</row>
    <row r="869" ht="15.75" customHeight="1">
      <c r="A869" s="124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</row>
    <row r="870" ht="15.75" customHeight="1">
      <c r="A870" s="124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</row>
    <row r="871" ht="15.75" customHeight="1">
      <c r="A871" s="124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</row>
    <row r="872" ht="15.75" customHeight="1">
      <c r="A872" s="124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</row>
    <row r="873" ht="15.75" customHeight="1">
      <c r="A873" s="124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</row>
    <row r="874" ht="15.75" customHeight="1">
      <c r="A874" s="124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</row>
    <row r="875" ht="15.75" customHeight="1">
      <c r="A875" s="124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</row>
    <row r="876" ht="15.75" customHeight="1">
      <c r="A876" s="124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</row>
    <row r="877" ht="15.75" customHeight="1">
      <c r="A877" s="124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</row>
    <row r="878" ht="15.75" customHeight="1">
      <c r="A878" s="124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</row>
    <row r="879" ht="15.75" customHeight="1">
      <c r="A879" s="124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</row>
    <row r="880" ht="15.75" customHeight="1">
      <c r="A880" s="124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</row>
    <row r="881" ht="15.75" customHeight="1">
      <c r="A881" s="124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</row>
    <row r="882" ht="15.75" customHeight="1">
      <c r="A882" s="124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</row>
    <row r="883" ht="15.75" customHeight="1">
      <c r="A883" s="124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</row>
    <row r="884" ht="15.75" customHeight="1">
      <c r="A884" s="124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</row>
    <row r="885" ht="15.75" customHeight="1">
      <c r="A885" s="124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</row>
    <row r="886" ht="15.75" customHeight="1">
      <c r="A886" s="124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</row>
    <row r="887" ht="15.75" customHeight="1">
      <c r="A887" s="124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</row>
    <row r="888" ht="15.75" customHeight="1">
      <c r="A888" s="124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</row>
    <row r="889" ht="15.75" customHeight="1">
      <c r="A889" s="124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</row>
    <row r="890" ht="15.75" customHeight="1">
      <c r="A890" s="124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</row>
    <row r="891" ht="15.75" customHeight="1">
      <c r="A891" s="124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</row>
    <row r="892" ht="15.75" customHeight="1">
      <c r="A892" s="124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</row>
    <row r="893" ht="15.75" customHeight="1">
      <c r="A893" s="124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</row>
    <row r="894" ht="15.75" customHeight="1">
      <c r="A894" s="124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</row>
    <row r="895" ht="15.75" customHeight="1">
      <c r="A895" s="124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</row>
    <row r="896" ht="15.75" customHeight="1">
      <c r="A896" s="124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</row>
    <row r="897" ht="15.75" customHeight="1">
      <c r="A897" s="124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</row>
    <row r="898" ht="15.75" customHeight="1">
      <c r="A898" s="124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</row>
    <row r="899" ht="15.75" customHeight="1">
      <c r="A899" s="124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</row>
    <row r="900" ht="15.75" customHeight="1">
      <c r="A900" s="124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</row>
    <row r="901" ht="15.75" customHeight="1">
      <c r="A901" s="124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</row>
    <row r="902" ht="15.75" customHeight="1">
      <c r="A902" s="124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</row>
    <row r="903" ht="15.75" customHeight="1">
      <c r="A903" s="124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</row>
    <row r="904" ht="15.75" customHeight="1">
      <c r="A904" s="124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</row>
    <row r="905" ht="15.75" customHeight="1">
      <c r="A905" s="124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</row>
    <row r="906" ht="15.75" customHeight="1">
      <c r="A906" s="124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</row>
    <row r="907" ht="15.75" customHeight="1">
      <c r="A907" s="124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</row>
    <row r="908" ht="15.75" customHeight="1">
      <c r="A908" s="124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</row>
    <row r="909" ht="15.75" customHeight="1">
      <c r="A909" s="124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</row>
    <row r="910" ht="15.75" customHeight="1">
      <c r="A910" s="124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</row>
    <row r="911" ht="15.75" customHeight="1">
      <c r="A911" s="124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</row>
    <row r="912" ht="15.75" customHeight="1">
      <c r="A912" s="124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</row>
    <row r="913" ht="15.75" customHeight="1">
      <c r="A913" s="124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</row>
    <row r="914" ht="15.75" customHeight="1">
      <c r="A914" s="124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</row>
    <row r="915" ht="15.75" customHeight="1">
      <c r="A915" s="124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</row>
    <row r="916" ht="15.75" customHeight="1">
      <c r="A916" s="124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</row>
    <row r="917" ht="15.75" customHeight="1">
      <c r="A917" s="124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</row>
    <row r="918" ht="15.75" customHeight="1">
      <c r="A918" s="124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</row>
    <row r="919" ht="15.75" customHeight="1">
      <c r="A919" s="124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</row>
    <row r="920" ht="15.75" customHeight="1">
      <c r="A920" s="124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</row>
    <row r="921" ht="15.75" customHeight="1">
      <c r="A921" s="124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</row>
    <row r="922" ht="15.75" customHeight="1">
      <c r="A922" s="124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</row>
    <row r="923" ht="15.75" customHeight="1">
      <c r="A923" s="124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</row>
    <row r="924" ht="15.75" customHeight="1">
      <c r="A924" s="124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</row>
    <row r="925" ht="15.75" customHeight="1">
      <c r="A925" s="124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</row>
    <row r="926" ht="15.75" customHeight="1">
      <c r="A926" s="124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</row>
    <row r="927" ht="15.75" customHeight="1">
      <c r="A927" s="124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</row>
    <row r="928" ht="15.75" customHeight="1">
      <c r="A928" s="124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</row>
    <row r="929" ht="15.75" customHeight="1">
      <c r="A929" s="124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</row>
    <row r="930" ht="15.75" customHeight="1">
      <c r="A930" s="124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</row>
    <row r="931" ht="15.75" customHeight="1">
      <c r="A931" s="124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</row>
    <row r="932" ht="15.75" customHeight="1">
      <c r="A932" s="124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</row>
    <row r="933" ht="15.75" customHeight="1">
      <c r="A933" s="124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</row>
    <row r="934" ht="15.75" customHeight="1">
      <c r="A934" s="124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</row>
    <row r="935" ht="15.75" customHeight="1">
      <c r="A935" s="124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</row>
    <row r="936" ht="15.75" customHeight="1">
      <c r="A936" s="124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</row>
    <row r="937" ht="15.75" customHeight="1">
      <c r="A937" s="124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</row>
    <row r="938" ht="15.75" customHeight="1">
      <c r="A938" s="124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</row>
    <row r="939" ht="15.75" customHeight="1">
      <c r="A939" s="124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</row>
    <row r="940" ht="15.75" customHeight="1">
      <c r="A940" s="124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</row>
    <row r="941" ht="15.75" customHeight="1">
      <c r="A941" s="124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</row>
    <row r="942" ht="15.75" customHeight="1">
      <c r="A942" s="124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</row>
    <row r="943" ht="15.75" customHeight="1">
      <c r="A943" s="124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</row>
    <row r="944" ht="15.75" customHeight="1">
      <c r="A944" s="124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</row>
    <row r="945" ht="15.75" customHeight="1">
      <c r="A945" s="124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</row>
    <row r="946" ht="15.75" customHeight="1">
      <c r="A946" s="124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</row>
    <row r="947" ht="15.75" customHeight="1">
      <c r="A947" s="124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</row>
    <row r="948" ht="15.75" customHeight="1">
      <c r="A948" s="124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</row>
    <row r="949" ht="15.75" customHeight="1">
      <c r="A949" s="124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</row>
    <row r="950" ht="15.75" customHeight="1">
      <c r="A950" s="124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</row>
    <row r="951" ht="15.75" customHeight="1">
      <c r="A951" s="124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</row>
    <row r="952" ht="15.75" customHeight="1">
      <c r="A952" s="124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</row>
    <row r="953" ht="15.75" customHeight="1">
      <c r="A953" s="124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</row>
    <row r="954" ht="15.75" customHeight="1">
      <c r="A954" s="124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</row>
    <row r="955" ht="15.75" customHeight="1">
      <c r="A955" s="124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</row>
    <row r="956" ht="15.75" customHeight="1">
      <c r="A956" s="124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</row>
    <row r="957" ht="15.75" customHeight="1">
      <c r="A957" s="124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</row>
    <row r="958" ht="15.75" customHeight="1">
      <c r="A958" s="124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</row>
    <row r="959" ht="15.75" customHeight="1">
      <c r="A959" s="124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</row>
    <row r="960" ht="15.75" customHeight="1">
      <c r="A960" s="124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</row>
    <row r="961" ht="15.75" customHeight="1">
      <c r="A961" s="124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</row>
    <row r="962" ht="15.75" customHeight="1">
      <c r="A962" s="124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</row>
    <row r="963" ht="15.75" customHeight="1">
      <c r="A963" s="124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</row>
    <row r="964" ht="15.75" customHeight="1">
      <c r="A964" s="124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</row>
    <row r="965" ht="15.75" customHeight="1">
      <c r="A965" s="124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</row>
    <row r="966" ht="15.75" customHeight="1">
      <c r="A966" s="124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</row>
    <row r="967" ht="15.75" customHeight="1">
      <c r="A967" s="124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</row>
    <row r="968" ht="15.75" customHeight="1">
      <c r="A968" s="124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</row>
    <row r="969" ht="15.75" customHeight="1">
      <c r="A969" s="124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</row>
    <row r="970" ht="15.75" customHeight="1">
      <c r="A970" s="124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</row>
    <row r="971" ht="15.75" customHeight="1">
      <c r="A971" s="124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</row>
    <row r="972" ht="15.75" customHeight="1">
      <c r="A972" s="124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</row>
    <row r="973" ht="15.75" customHeight="1">
      <c r="A973" s="124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</row>
    <row r="974" ht="15.75" customHeight="1">
      <c r="A974" s="124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</row>
    <row r="975" ht="15.75" customHeight="1">
      <c r="A975" s="124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</row>
    <row r="976" ht="15.75" customHeight="1">
      <c r="A976" s="124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</row>
    <row r="977" ht="15.75" customHeight="1">
      <c r="A977" s="124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</row>
    <row r="978" ht="15.75" customHeight="1">
      <c r="A978" s="124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</row>
    <row r="979" ht="15.75" customHeight="1">
      <c r="A979" s="124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</row>
    <row r="980" ht="15.75" customHeight="1">
      <c r="A980" s="124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</row>
    <row r="981" ht="15.75" customHeight="1">
      <c r="A981" s="124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</row>
    <row r="982" ht="15.75" customHeight="1">
      <c r="A982" s="124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</row>
    <row r="983" ht="15.75" customHeight="1">
      <c r="A983" s="124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</row>
    <row r="984" ht="15.75" customHeight="1">
      <c r="A984" s="124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</row>
    <row r="985" ht="15.75" customHeight="1">
      <c r="A985" s="124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</row>
    <row r="986" ht="15.75" customHeight="1">
      <c r="A986" s="124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</row>
    <row r="987" ht="15.75" customHeight="1">
      <c r="A987" s="124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</row>
    <row r="988" ht="15.75" customHeight="1">
      <c r="A988" s="124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</row>
    <row r="989" ht="15.75" customHeight="1">
      <c r="A989" s="124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</row>
    <row r="990" ht="15.75" customHeight="1">
      <c r="A990" s="124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</row>
    <row r="991" ht="15.75" customHeight="1">
      <c r="A991" s="124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</row>
    <row r="992" ht="15.75" customHeight="1">
      <c r="A992" s="124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</row>
    <row r="993" ht="15.75" customHeight="1">
      <c r="A993" s="124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</row>
    <row r="994" ht="15.75" customHeight="1">
      <c r="A994" s="124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</row>
    <row r="995" ht="15.75" customHeight="1">
      <c r="A995" s="124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</row>
    <row r="996" ht="15.75" customHeight="1">
      <c r="A996" s="124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</row>
    <row r="997" ht="15.75" customHeight="1">
      <c r="A997" s="124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</row>
    <row r="998" ht="15.75" customHeight="1">
      <c r="A998" s="124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</row>
    <row r="999" ht="15.75" customHeight="1">
      <c r="A999" s="124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</row>
  </sheetData>
  <mergeCells count="5360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D3:AE3"/>
    <mergeCell ref="AF3:AG3"/>
    <mergeCell ref="AD4:AE4"/>
    <mergeCell ref="AF4:AG4"/>
    <mergeCell ref="AH4:AI4"/>
    <mergeCell ref="AD5:AE5"/>
    <mergeCell ref="AF5:AG5"/>
    <mergeCell ref="AH5:AI5"/>
    <mergeCell ref="A1:E1"/>
    <mergeCell ref="F1:K1"/>
    <mergeCell ref="L1:W1"/>
    <mergeCell ref="X1:AI1"/>
    <mergeCell ref="AJ1:AN1"/>
    <mergeCell ref="F3:G3"/>
    <mergeCell ref="H3:I3"/>
    <mergeCell ref="AH3:AI3"/>
    <mergeCell ref="J3:K3"/>
    <mergeCell ref="L3:M3"/>
    <mergeCell ref="F4:G4"/>
    <mergeCell ref="H4:I4"/>
    <mergeCell ref="J4:K4"/>
    <mergeCell ref="L4:M4"/>
    <mergeCell ref="F5:G5"/>
    <mergeCell ref="L5:M5"/>
    <mergeCell ref="T8:U8"/>
    <mergeCell ref="V8:W8"/>
    <mergeCell ref="X8:Y8"/>
    <mergeCell ref="Z8:AA8"/>
    <mergeCell ref="AB8:AC8"/>
    <mergeCell ref="AD8:AE8"/>
    <mergeCell ref="AF8:AG8"/>
    <mergeCell ref="AH8:AI8"/>
    <mergeCell ref="F8:G8"/>
    <mergeCell ref="H8:I8"/>
    <mergeCell ref="J8:K8"/>
    <mergeCell ref="L8:M8"/>
    <mergeCell ref="N8:O8"/>
    <mergeCell ref="P8:Q8"/>
    <mergeCell ref="R8:S8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AF140:AG140"/>
    <mergeCell ref="AH140:AI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AF156:AG156"/>
    <mergeCell ref="AH156:AI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AF190:AG190"/>
    <mergeCell ref="AH190:AI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AF192:AG192"/>
    <mergeCell ref="AH192:AI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AF196:AG196"/>
    <mergeCell ref="AH196:AI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AF198:AG198"/>
    <mergeCell ref="AH198:AI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AF202:AG202"/>
    <mergeCell ref="AH202:AI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AF212:AG212"/>
    <mergeCell ref="AH212:AI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AF214:AG214"/>
    <mergeCell ref="AH214:AI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AF216:AG216"/>
    <mergeCell ref="AH216:AI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AF220:AG220"/>
    <mergeCell ref="AH220:AI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AF256:AG256"/>
    <mergeCell ref="AH256:AI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AF257:AG257"/>
    <mergeCell ref="AH257:AI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AF259:AG259"/>
    <mergeCell ref="AH259:AI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AF264:AG264"/>
    <mergeCell ref="AH264:AI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AF266:AG266"/>
    <mergeCell ref="AH266:AI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AF268:AG268"/>
    <mergeCell ref="AH268:AI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AF270:AG270"/>
    <mergeCell ref="AH270:AI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AF274:AG274"/>
    <mergeCell ref="AH274:AI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AF280:AG280"/>
    <mergeCell ref="AH280:AI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AF282:AG282"/>
    <mergeCell ref="AH282:AI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AF283:AG283"/>
    <mergeCell ref="AH283:AI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AF284:AG284"/>
    <mergeCell ref="AH284:AI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AF288:AG288"/>
    <mergeCell ref="AH288:AI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AF292:AG292"/>
    <mergeCell ref="AH292:AI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F300:G300"/>
    <mergeCell ref="H300:I300"/>
    <mergeCell ref="J300:K300"/>
    <mergeCell ref="L300:M300"/>
    <mergeCell ref="N300:O300"/>
    <mergeCell ref="P300:Q300"/>
    <mergeCell ref="R300:S300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AF358:AG358"/>
    <mergeCell ref="AH358:AI358"/>
    <mergeCell ref="F358:G358"/>
    <mergeCell ref="H358:I358"/>
    <mergeCell ref="J358:K358"/>
    <mergeCell ref="L358:M358"/>
    <mergeCell ref="N358:O358"/>
    <mergeCell ref="P358:Q358"/>
    <mergeCell ref="R358:S35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T6:U6"/>
    <mergeCell ref="V6:W6"/>
    <mergeCell ref="X6:Y6"/>
    <mergeCell ref="Z6:AA6"/>
    <mergeCell ref="AB6:AC6"/>
    <mergeCell ref="AD6:AE6"/>
    <mergeCell ref="AF6:AG6"/>
    <mergeCell ref="AH6:AI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AD7:AE7"/>
    <mergeCell ref="AF7:AG7"/>
    <mergeCell ref="AH7:AI7"/>
    <mergeCell ref="F7:G7"/>
    <mergeCell ref="H7:I7"/>
    <mergeCell ref="J7:K7"/>
    <mergeCell ref="L7:M7"/>
    <mergeCell ref="N7:O7"/>
    <mergeCell ref="P7:Q7"/>
    <mergeCell ref="R7:S7"/>
    <mergeCell ref="T359:U359"/>
    <mergeCell ref="V359:W359"/>
    <mergeCell ref="X359:Y359"/>
    <mergeCell ref="Z359:AA359"/>
    <mergeCell ref="AB359:AC359"/>
    <mergeCell ref="AD359:AE359"/>
    <mergeCell ref="AF359:AG359"/>
    <mergeCell ref="AH359:AI359"/>
    <mergeCell ref="F359:G359"/>
    <mergeCell ref="H359:I359"/>
    <mergeCell ref="J359:K359"/>
    <mergeCell ref="L359:M359"/>
    <mergeCell ref="N359:O359"/>
    <mergeCell ref="P359:Q359"/>
    <mergeCell ref="R359:S359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AF351:AG351"/>
    <mergeCell ref="AH351:AI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AF352:AG352"/>
    <mergeCell ref="AH352:AI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AF355:AG355"/>
    <mergeCell ref="AH355:AI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AF356:AG356"/>
    <mergeCell ref="AH356:AI356"/>
    <mergeCell ref="F356:G356"/>
    <mergeCell ref="H356:I356"/>
    <mergeCell ref="J356:K356"/>
    <mergeCell ref="L356:M356"/>
    <mergeCell ref="N356:O356"/>
    <mergeCell ref="P356:Q356"/>
    <mergeCell ref="R356:S356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AF316:AG316"/>
    <mergeCell ref="AH316:AI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AF318:AG318"/>
    <mergeCell ref="AH318:AI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AF320:AG320"/>
    <mergeCell ref="AH320:AI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AF322:AG322"/>
    <mergeCell ref="AH322:AI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AF324:AG324"/>
    <mergeCell ref="AH324:AI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AF325:AG325"/>
    <mergeCell ref="AH325:AI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AF326:AG326"/>
    <mergeCell ref="AH326:AI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AF327:AG327"/>
    <mergeCell ref="AH327:AI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AF328:AG328"/>
    <mergeCell ref="AH328:AI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AF329:AG329"/>
    <mergeCell ref="AH329:AI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AF331:AG331"/>
    <mergeCell ref="AH331:AI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AF333:AG333"/>
    <mergeCell ref="AH333:AI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AF334:AG334"/>
    <mergeCell ref="AH334:AI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AF335:AG335"/>
    <mergeCell ref="AH335:AI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AF336:AG336"/>
    <mergeCell ref="AH336:AI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AF337:AG337"/>
    <mergeCell ref="AH337:AI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AF338:AG338"/>
    <mergeCell ref="AH338:AI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AF340:AG340"/>
    <mergeCell ref="AH340:AI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AF342:AG342"/>
    <mergeCell ref="AH342:AI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AF343:AG343"/>
    <mergeCell ref="AH343:AI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AF345:AG345"/>
    <mergeCell ref="AH345:AI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AD346:AE346"/>
    <mergeCell ref="AF346:AG346"/>
    <mergeCell ref="AH346:AI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AF347:AG347"/>
    <mergeCell ref="AH347:AI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AF349:AG349"/>
    <mergeCell ref="AH349:AI349"/>
    <mergeCell ref="F349:G349"/>
    <mergeCell ref="H349:I349"/>
    <mergeCell ref="J349:K349"/>
    <mergeCell ref="L349:M349"/>
    <mergeCell ref="N349:O349"/>
    <mergeCell ref="P349:Q349"/>
    <mergeCell ref="R349:S34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11" width="3.67"/>
    <col customWidth="1" min="12" max="12" width="6.56"/>
    <col customWidth="1" min="13" max="13" width="5.0"/>
    <col customWidth="1" min="14" max="22" width="3.67"/>
    <col customWidth="1" min="23" max="23" width="3.0"/>
    <col customWidth="1" hidden="1" min="24" max="35" width="3.67"/>
    <col customWidth="1" min="36" max="36" width="12.0"/>
    <col customWidth="1" min="37" max="37" width="10.44"/>
    <col customWidth="1" min="38" max="38" width="11.56"/>
    <col customWidth="1" min="39" max="39" width="11.44"/>
    <col customWidth="1" min="40" max="40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5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6" t="s">
        <v>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7" t="s">
        <v>4</v>
      </c>
      <c r="AK1" s="8"/>
      <c r="AL1" s="8"/>
      <c r="AM1" s="8"/>
      <c r="AN1" s="9"/>
    </row>
    <row r="2" ht="130.5" customHeight="1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2" t="s">
        <v>10</v>
      </c>
      <c r="G2" s="13">
        <v>17.88</v>
      </c>
      <c r="H2" s="14" t="s">
        <v>11</v>
      </c>
      <c r="I2" s="13">
        <v>17.88</v>
      </c>
      <c r="J2" s="14" t="s">
        <v>12</v>
      </c>
      <c r="K2" s="13">
        <v>17.88</v>
      </c>
      <c r="L2" s="14" t="s">
        <v>10</v>
      </c>
      <c r="M2" s="13">
        <v>11.35</v>
      </c>
      <c r="N2" s="14" t="s">
        <v>11</v>
      </c>
      <c r="O2" s="13">
        <v>11.35</v>
      </c>
      <c r="P2" s="14" t="s">
        <v>12</v>
      </c>
      <c r="Q2" s="13">
        <v>11.35</v>
      </c>
      <c r="R2" s="15" t="s">
        <v>13</v>
      </c>
      <c r="S2" s="13">
        <v>4.51</v>
      </c>
      <c r="T2" s="16" t="s">
        <v>14</v>
      </c>
      <c r="U2" s="16">
        <v>0.0</v>
      </c>
      <c r="V2" s="16" t="s">
        <v>14</v>
      </c>
      <c r="W2" s="16">
        <v>0.0</v>
      </c>
      <c r="X2" s="16" t="s">
        <v>14</v>
      </c>
      <c r="Y2" s="16">
        <v>0.0</v>
      </c>
      <c r="Z2" s="16" t="s">
        <v>14</v>
      </c>
      <c r="AA2" s="16">
        <v>0.0</v>
      </c>
      <c r="AB2" s="16" t="s">
        <v>14</v>
      </c>
      <c r="AC2" s="16">
        <v>0.0</v>
      </c>
      <c r="AD2" s="16" t="s">
        <v>14</v>
      </c>
      <c r="AE2" s="16">
        <v>0.0</v>
      </c>
      <c r="AF2" s="16" t="s">
        <v>14</v>
      </c>
      <c r="AG2" s="16">
        <v>0.0</v>
      </c>
      <c r="AH2" s="16" t="s">
        <v>14</v>
      </c>
      <c r="AI2" s="16">
        <v>0.0</v>
      </c>
      <c r="AJ2" s="17" t="s">
        <v>15</v>
      </c>
      <c r="AK2" s="17" t="s">
        <v>16</v>
      </c>
      <c r="AL2" s="17" t="s">
        <v>17</v>
      </c>
      <c r="AM2" s="17" t="s">
        <v>18</v>
      </c>
      <c r="AN2" s="17" t="s">
        <v>19</v>
      </c>
    </row>
    <row r="3" ht="15.75" customHeight="1">
      <c r="A3" s="18" t="s">
        <v>20</v>
      </c>
      <c r="B3" s="19">
        <v>44563.0</v>
      </c>
      <c r="C3" s="20">
        <v>1.0</v>
      </c>
      <c r="D3" s="21" t="s">
        <v>21</v>
      </c>
      <c r="E3" s="22"/>
      <c r="F3" s="23"/>
      <c r="H3" s="24"/>
      <c r="J3" s="24"/>
      <c r="L3" s="25">
        <v>0.0</v>
      </c>
      <c r="N3" s="26">
        <v>0.0</v>
      </c>
      <c r="P3" s="24"/>
      <c r="R3" s="26">
        <v>0.0</v>
      </c>
      <c r="T3" s="24"/>
      <c r="V3" s="24"/>
      <c r="W3" s="27"/>
      <c r="X3" s="23"/>
      <c r="Z3" s="24"/>
      <c r="AB3" s="24"/>
      <c r="AD3" s="24"/>
      <c r="AF3" s="24"/>
      <c r="AH3" s="24"/>
      <c r="AI3" s="27"/>
      <c r="AJ3" s="28">
        <f t="shared" ref="AJ3:AJ359" si="1">(F3*G$2)+(H3*I$2)+(J3*K$2)+(L3*M$2)+(N3*O$2)+(P3*Q$2)+(R3*S$2)+(T3*U$2)+(V3*W$2)+(X3*Y$2)+(Z3*AA$2)+(AB3*AC$2)+(AD3*AE$2)+(AF3*AG$2)+(AH3*AI$2)</f>
        <v>0</v>
      </c>
      <c r="AK3" s="20">
        <f t="shared" ref="AK3:AK359" si="2">sum(F3,H3,J3,L3,N3,P3)</f>
        <v>0</v>
      </c>
      <c r="AL3" s="20">
        <f t="shared" ref="AL3:AL359" si="3">R3</f>
        <v>0</v>
      </c>
      <c r="AM3" s="20">
        <f t="shared" ref="AM3:AM359" si="4">sum(F3:AI3)</f>
        <v>0</v>
      </c>
      <c r="AN3" s="31" t="str">
        <f t="shared" ref="AN3:AN359" si="5">iferror(AJ3/AM3,"")</f>
        <v/>
      </c>
    </row>
    <row r="4" ht="15.75" customHeight="1">
      <c r="A4" s="32" t="s">
        <v>22</v>
      </c>
      <c r="B4" s="34">
        <f t="shared" ref="B4:B359" si="6">B3+1</f>
        <v>44564</v>
      </c>
      <c r="C4" s="35">
        <v>1.0</v>
      </c>
      <c r="D4" s="36" t="s">
        <v>21</v>
      </c>
      <c r="E4" s="37"/>
      <c r="F4" s="23"/>
      <c r="H4" s="24"/>
      <c r="J4" s="24"/>
      <c r="L4" s="25">
        <v>0.0</v>
      </c>
      <c r="N4" s="26">
        <v>0.0</v>
      </c>
      <c r="P4" s="24"/>
      <c r="R4" s="26">
        <v>0.0</v>
      </c>
      <c r="T4" s="24"/>
      <c r="V4" s="24"/>
      <c r="W4" s="27"/>
      <c r="X4" s="23"/>
      <c r="Z4" s="24"/>
      <c r="AB4" s="24"/>
      <c r="AD4" s="24"/>
      <c r="AF4" s="24"/>
      <c r="AH4" s="24"/>
      <c r="AI4" s="27"/>
      <c r="AJ4" s="39">
        <f t="shared" si="1"/>
        <v>0</v>
      </c>
      <c r="AK4" s="35">
        <f t="shared" si="2"/>
        <v>0</v>
      </c>
      <c r="AL4" s="35">
        <f t="shared" si="3"/>
        <v>0</v>
      </c>
      <c r="AM4" s="35">
        <f t="shared" si="4"/>
        <v>0</v>
      </c>
      <c r="AN4" s="40" t="str">
        <f t="shared" si="5"/>
        <v/>
      </c>
    </row>
    <row r="5" ht="15.75" customHeight="1">
      <c r="A5" s="32" t="s">
        <v>24</v>
      </c>
      <c r="B5" s="34">
        <f t="shared" si="6"/>
        <v>44565</v>
      </c>
      <c r="C5" s="35">
        <v>1.0</v>
      </c>
      <c r="D5" s="36" t="s">
        <v>21</v>
      </c>
      <c r="E5" s="37"/>
      <c r="F5" s="23"/>
      <c r="H5" s="24"/>
      <c r="J5" s="24"/>
      <c r="L5" s="25">
        <v>0.0</v>
      </c>
      <c r="N5" s="26">
        <v>0.0</v>
      </c>
      <c r="P5" s="24"/>
      <c r="R5" s="26">
        <v>0.0</v>
      </c>
      <c r="T5" s="24"/>
      <c r="V5" s="24"/>
      <c r="W5" s="27"/>
      <c r="X5" s="23"/>
      <c r="Z5" s="24"/>
      <c r="AB5" s="24"/>
      <c r="AD5" s="24"/>
      <c r="AF5" s="24"/>
      <c r="AH5" s="24"/>
      <c r="AI5" s="27"/>
      <c r="AJ5" s="39">
        <f t="shared" si="1"/>
        <v>0</v>
      </c>
      <c r="AK5" s="35">
        <f t="shared" si="2"/>
        <v>0</v>
      </c>
      <c r="AL5" s="35">
        <f t="shared" si="3"/>
        <v>0</v>
      </c>
      <c r="AM5" s="35">
        <f t="shared" si="4"/>
        <v>0</v>
      </c>
      <c r="AN5" s="40" t="str">
        <f t="shared" si="5"/>
        <v/>
      </c>
    </row>
    <row r="6" ht="15.75" customHeight="1">
      <c r="A6" s="32" t="s">
        <v>28</v>
      </c>
      <c r="B6" s="34">
        <f t="shared" si="6"/>
        <v>44566</v>
      </c>
      <c r="C6" s="35">
        <v>1.0</v>
      </c>
      <c r="D6" s="36" t="s">
        <v>21</v>
      </c>
      <c r="E6" s="37"/>
      <c r="F6" s="23"/>
      <c r="H6" s="24"/>
      <c r="J6" s="24"/>
      <c r="L6" s="25">
        <v>0.0</v>
      </c>
      <c r="N6" s="26">
        <v>0.0</v>
      </c>
      <c r="P6" s="24"/>
      <c r="R6" s="26">
        <v>0.0</v>
      </c>
      <c r="T6" s="24"/>
      <c r="V6" s="24"/>
      <c r="W6" s="27"/>
      <c r="X6" s="23"/>
      <c r="Z6" s="24"/>
      <c r="AB6" s="24"/>
      <c r="AD6" s="24"/>
      <c r="AF6" s="24"/>
      <c r="AH6" s="24"/>
      <c r="AI6" s="27"/>
      <c r="AJ6" s="39">
        <f t="shared" si="1"/>
        <v>0</v>
      </c>
      <c r="AK6" s="35">
        <f t="shared" si="2"/>
        <v>0</v>
      </c>
      <c r="AL6" s="35">
        <f t="shared" si="3"/>
        <v>0</v>
      </c>
      <c r="AM6" s="35">
        <f t="shared" si="4"/>
        <v>0</v>
      </c>
      <c r="AN6" s="40" t="str">
        <f t="shared" si="5"/>
        <v/>
      </c>
    </row>
    <row r="7" ht="15.75" customHeight="1">
      <c r="A7" s="32" t="s">
        <v>29</v>
      </c>
      <c r="B7" s="34">
        <f t="shared" si="6"/>
        <v>44567</v>
      </c>
      <c r="C7" s="35">
        <v>1.0</v>
      </c>
      <c r="D7" s="36" t="s">
        <v>21</v>
      </c>
      <c r="E7" s="37"/>
      <c r="F7" s="23"/>
      <c r="H7" s="24"/>
      <c r="J7" s="24"/>
      <c r="L7" s="25">
        <v>0.0</v>
      </c>
      <c r="N7" s="26">
        <v>0.0</v>
      </c>
      <c r="P7" s="24"/>
      <c r="R7" s="26">
        <v>0.0</v>
      </c>
      <c r="T7" s="24"/>
      <c r="V7" s="24"/>
      <c r="W7" s="27"/>
      <c r="X7" s="23"/>
      <c r="Z7" s="24"/>
      <c r="AB7" s="24"/>
      <c r="AD7" s="24"/>
      <c r="AF7" s="24"/>
      <c r="AH7" s="24"/>
      <c r="AI7" s="27"/>
      <c r="AJ7" s="39">
        <f t="shared" si="1"/>
        <v>0</v>
      </c>
      <c r="AK7" s="35">
        <f t="shared" si="2"/>
        <v>0</v>
      </c>
      <c r="AL7" s="35">
        <f t="shared" si="3"/>
        <v>0</v>
      </c>
      <c r="AM7" s="35">
        <f t="shared" si="4"/>
        <v>0</v>
      </c>
      <c r="AN7" s="40" t="str">
        <f t="shared" si="5"/>
        <v/>
      </c>
    </row>
    <row r="8" ht="15.75" customHeight="1">
      <c r="A8" s="32" t="s">
        <v>30</v>
      </c>
      <c r="B8" s="34">
        <f t="shared" si="6"/>
        <v>44568</v>
      </c>
      <c r="C8" s="35">
        <v>1.0</v>
      </c>
      <c r="D8" s="36" t="s">
        <v>21</v>
      </c>
      <c r="E8" s="37"/>
      <c r="F8" s="23"/>
      <c r="H8" s="24"/>
      <c r="J8" s="24"/>
      <c r="L8" s="25">
        <v>0.0</v>
      </c>
      <c r="N8" s="26">
        <v>0.0</v>
      </c>
      <c r="P8" s="24"/>
      <c r="R8" s="26">
        <v>0.0</v>
      </c>
      <c r="T8" s="24"/>
      <c r="V8" s="24"/>
      <c r="W8" s="27"/>
      <c r="X8" s="23"/>
      <c r="Z8" s="24"/>
      <c r="AB8" s="24"/>
      <c r="AD8" s="24"/>
      <c r="AF8" s="24"/>
      <c r="AH8" s="24"/>
      <c r="AI8" s="27"/>
      <c r="AJ8" s="39">
        <f t="shared" si="1"/>
        <v>0</v>
      </c>
      <c r="AK8" s="35">
        <f t="shared" si="2"/>
        <v>0</v>
      </c>
      <c r="AL8" s="35">
        <f t="shared" si="3"/>
        <v>0</v>
      </c>
      <c r="AM8" s="35">
        <f t="shared" si="4"/>
        <v>0</v>
      </c>
      <c r="AN8" s="40" t="str">
        <f t="shared" si="5"/>
        <v/>
      </c>
    </row>
    <row r="9" ht="15.75" customHeight="1">
      <c r="A9" s="48" t="s">
        <v>31</v>
      </c>
      <c r="B9" s="50">
        <f t="shared" si="6"/>
        <v>44569</v>
      </c>
      <c r="C9" s="51">
        <v>1.0</v>
      </c>
      <c r="D9" s="52" t="s">
        <v>21</v>
      </c>
      <c r="E9" s="53"/>
      <c r="F9" s="54"/>
      <c r="G9" s="56"/>
      <c r="H9" s="57"/>
      <c r="I9" s="56"/>
      <c r="J9" s="57"/>
      <c r="K9" s="56"/>
      <c r="L9" s="58">
        <v>0.0</v>
      </c>
      <c r="M9" s="56"/>
      <c r="N9" s="59">
        <v>0.0</v>
      </c>
      <c r="O9" s="56"/>
      <c r="P9" s="57"/>
      <c r="Q9" s="56"/>
      <c r="R9" s="59">
        <v>0.0</v>
      </c>
      <c r="S9" s="56"/>
      <c r="T9" s="57"/>
      <c r="U9" s="56"/>
      <c r="V9" s="57"/>
      <c r="W9" s="60"/>
      <c r="X9" s="54"/>
      <c r="Y9" s="56"/>
      <c r="Z9" s="57"/>
      <c r="AA9" s="56"/>
      <c r="AB9" s="57"/>
      <c r="AC9" s="56"/>
      <c r="AD9" s="57"/>
      <c r="AE9" s="56"/>
      <c r="AF9" s="57"/>
      <c r="AG9" s="56"/>
      <c r="AH9" s="57"/>
      <c r="AI9" s="60"/>
      <c r="AJ9" s="61">
        <f t="shared" si="1"/>
        <v>0</v>
      </c>
      <c r="AK9" s="51">
        <f t="shared" si="2"/>
        <v>0</v>
      </c>
      <c r="AL9" s="51">
        <f t="shared" si="3"/>
        <v>0</v>
      </c>
      <c r="AM9" s="51">
        <f t="shared" si="4"/>
        <v>0</v>
      </c>
      <c r="AN9" s="63" t="str">
        <f t="shared" si="5"/>
        <v/>
      </c>
    </row>
    <row r="10" ht="15.75" customHeight="1">
      <c r="A10" s="18" t="s">
        <v>20</v>
      </c>
      <c r="B10" s="64">
        <f t="shared" si="6"/>
        <v>44570</v>
      </c>
      <c r="C10" s="20">
        <v>1.0</v>
      </c>
      <c r="D10" s="20" t="s">
        <v>32</v>
      </c>
      <c r="E10" s="22"/>
      <c r="F10" s="23"/>
      <c r="H10" s="24"/>
      <c r="J10" s="24"/>
      <c r="L10" s="29">
        <v>43.0</v>
      </c>
      <c r="N10" s="30">
        <v>43.0</v>
      </c>
      <c r="P10" s="24"/>
      <c r="R10" s="26">
        <v>0.0</v>
      </c>
      <c r="T10" s="24"/>
      <c r="V10" s="24"/>
      <c r="W10" s="27"/>
      <c r="X10" s="23"/>
      <c r="Z10" s="24"/>
      <c r="AB10" s="24"/>
      <c r="AD10" s="24"/>
      <c r="AF10" s="24"/>
      <c r="AH10" s="24"/>
      <c r="AI10" s="27"/>
      <c r="AJ10" s="28">
        <f t="shared" si="1"/>
        <v>976.1</v>
      </c>
      <c r="AK10" s="20">
        <f t="shared" si="2"/>
        <v>86</v>
      </c>
      <c r="AL10" s="20">
        <f t="shared" si="3"/>
        <v>0</v>
      </c>
      <c r="AM10" s="20">
        <f t="shared" si="4"/>
        <v>86</v>
      </c>
      <c r="AN10" s="31">
        <f t="shared" si="5"/>
        <v>11.35</v>
      </c>
    </row>
    <row r="11" ht="15.75" customHeight="1">
      <c r="A11" s="32" t="s">
        <v>22</v>
      </c>
      <c r="B11" s="34">
        <f t="shared" si="6"/>
        <v>44571</v>
      </c>
      <c r="C11" s="35">
        <v>1.0</v>
      </c>
      <c r="D11" s="35" t="s">
        <v>32</v>
      </c>
      <c r="E11" s="37"/>
      <c r="F11" s="23"/>
      <c r="H11" s="24"/>
      <c r="J11" s="24"/>
      <c r="L11" s="29">
        <v>43.0</v>
      </c>
      <c r="N11" s="30">
        <v>43.0</v>
      </c>
      <c r="P11" s="24"/>
      <c r="R11" s="26">
        <v>0.0</v>
      </c>
      <c r="T11" s="24"/>
      <c r="V11" s="24"/>
      <c r="W11" s="27"/>
      <c r="X11" s="23"/>
      <c r="Z11" s="24"/>
      <c r="AB11" s="24"/>
      <c r="AD11" s="24"/>
      <c r="AF11" s="24"/>
      <c r="AH11" s="24"/>
      <c r="AI11" s="27"/>
      <c r="AJ11" s="39">
        <f t="shared" si="1"/>
        <v>976.1</v>
      </c>
      <c r="AK11" s="35">
        <f t="shared" si="2"/>
        <v>86</v>
      </c>
      <c r="AL11" s="35">
        <f t="shared" si="3"/>
        <v>0</v>
      </c>
      <c r="AM11" s="35">
        <f t="shared" si="4"/>
        <v>86</v>
      </c>
      <c r="AN11" s="40">
        <f t="shared" si="5"/>
        <v>11.35</v>
      </c>
    </row>
    <row r="12" ht="15.75" customHeight="1">
      <c r="A12" s="32" t="s">
        <v>24</v>
      </c>
      <c r="B12" s="34">
        <f t="shared" si="6"/>
        <v>44572</v>
      </c>
      <c r="C12" s="35">
        <v>1.0</v>
      </c>
      <c r="D12" s="35" t="s">
        <v>32</v>
      </c>
      <c r="E12" s="37"/>
      <c r="F12" s="23"/>
      <c r="H12" s="24"/>
      <c r="J12" s="24"/>
      <c r="L12" s="29">
        <v>43.0</v>
      </c>
      <c r="N12" s="30">
        <v>43.0</v>
      </c>
      <c r="P12" s="24"/>
      <c r="R12" s="26">
        <v>0.0</v>
      </c>
      <c r="T12" s="24"/>
      <c r="V12" s="24"/>
      <c r="W12" s="27"/>
      <c r="X12" s="23"/>
      <c r="Z12" s="24"/>
      <c r="AB12" s="24"/>
      <c r="AD12" s="24"/>
      <c r="AF12" s="24"/>
      <c r="AH12" s="24"/>
      <c r="AI12" s="27"/>
      <c r="AJ12" s="39">
        <f t="shared" si="1"/>
        <v>976.1</v>
      </c>
      <c r="AK12" s="35">
        <f t="shared" si="2"/>
        <v>86</v>
      </c>
      <c r="AL12" s="35">
        <f t="shared" si="3"/>
        <v>0</v>
      </c>
      <c r="AM12" s="35">
        <f t="shared" si="4"/>
        <v>86</v>
      </c>
      <c r="AN12" s="40">
        <f t="shared" si="5"/>
        <v>11.35</v>
      </c>
    </row>
    <row r="13" ht="15.75" customHeight="1">
      <c r="A13" s="32" t="s">
        <v>28</v>
      </c>
      <c r="B13" s="34">
        <f t="shared" si="6"/>
        <v>44573</v>
      </c>
      <c r="C13" s="35">
        <v>1.0</v>
      </c>
      <c r="D13" s="35" t="s">
        <v>32</v>
      </c>
      <c r="E13" s="37"/>
      <c r="F13" s="23"/>
      <c r="H13" s="24"/>
      <c r="J13" s="24"/>
      <c r="L13" s="29">
        <v>43.0</v>
      </c>
      <c r="N13" s="30">
        <v>43.0</v>
      </c>
      <c r="P13" s="24"/>
      <c r="R13" s="26">
        <v>0.0</v>
      </c>
      <c r="T13" s="24"/>
      <c r="V13" s="24"/>
      <c r="W13" s="27"/>
      <c r="X13" s="23"/>
      <c r="Z13" s="24"/>
      <c r="AB13" s="24"/>
      <c r="AD13" s="24"/>
      <c r="AF13" s="24"/>
      <c r="AH13" s="24"/>
      <c r="AI13" s="27"/>
      <c r="AJ13" s="39">
        <f t="shared" si="1"/>
        <v>976.1</v>
      </c>
      <c r="AK13" s="35">
        <f t="shared" si="2"/>
        <v>86</v>
      </c>
      <c r="AL13" s="35">
        <f t="shared" si="3"/>
        <v>0</v>
      </c>
      <c r="AM13" s="35">
        <f t="shared" si="4"/>
        <v>86</v>
      </c>
      <c r="AN13" s="40">
        <f t="shared" si="5"/>
        <v>11.35</v>
      </c>
    </row>
    <row r="14" ht="15.75" customHeight="1">
      <c r="A14" s="32" t="s">
        <v>29</v>
      </c>
      <c r="B14" s="34">
        <f t="shared" si="6"/>
        <v>44574</v>
      </c>
      <c r="C14" s="35">
        <v>1.0</v>
      </c>
      <c r="D14" s="35" t="s">
        <v>32</v>
      </c>
      <c r="E14" s="37"/>
      <c r="F14" s="23"/>
      <c r="H14" s="24"/>
      <c r="J14" s="24"/>
      <c r="L14" s="29">
        <v>43.0</v>
      </c>
      <c r="N14" s="30">
        <v>43.0</v>
      </c>
      <c r="P14" s="24"/>
      <c r="R14" s="26">
        <v>0.0</v>
      </c>
      <c r="T14" s="24"/>
      <c r="V14" s="24"/>
      <c r="W14" s="27"/>
      <c r="X14" s="23"/>
      <c r="Z14" s="24"/>
      <c r="AB14" s="24"/>
      <c r="AD14" s="24"/>
      <c r="AF14" s="24"/>
      <c r="AH14" s="24"/>
      <c r="AI14" s="27"/>
      <c r="AJ14" s="39">
        <f t="shared" si="1"/>
        <v>976.1</v>
      </c>
      <c r="AK14" s="35">
        <f t="shared" si="2"/>
        <v>86</v>
      </c>
      <c r="AL14" s="35">
        <f t="shared" si="3"/>
        <v>0</v>
      </c>
      <c r="AM14" s="35">
        <f t="shared" si="4"/>
        <v>86</v>
      </c>
      <c r="AN14" s="40">
        <f t="shared" si="5"/>
        <v>11.35</v>
      </c>
    </row>
    <row r="15" ht="15.75" customHeight="1">
      <c r="A15" s="32" t="s">
        <v>30</v>
      </c>
      <c r="B15" s="34">
        <f t="shared" si="6"/>
        <v>44575</v>
      </c>
      <c r="C15" s="35">
        <v>1.0</v>
      </c>
      <c r="D15" s="35" t="s">
        <v>32</v>
      </c>
      <c r="E15" s="37"/>
      <c r="F15" s="23"/>
      <c r="H15" s="24"/>
      <c r="J15" s="24"/>
      <c r="L15" s="29">
        <v>43.0</v>
      </c>
      <c r="N15" s="30">
        <v>43.0</v>
      </c>
      <c r="P15" s="24"/>
      <c r="R15" s="26">
        <v>0.0</v>
      </c>
      <c r="T15" s="24"/>
      <c r="V15" s="24"/>
      <c r="W15" s="27"/>
      <c r="X15" s="23"/>
      <c r="Z15" s="24"/>
      <c r="AB15" s="24"/>
      <c r="AD15" s="24"/>
      <c r="AF15" s="24"/>
      <c r="AH15" s="24"/>
      <c r="AI15" s="27"/>
      <c r="AJ15" s="39">
        <f t="shared" si="1"/>
        <v>976.1</v>
      </c>
      <c r="AK15" s="35">
        <f t="shared" si="2"/>
        <v>86</v>
      </c>
      <c r="AL15" s="35">
        <f t="shared" si="3"/>
        <v>0</v>
      </c>
      <c r="AM15" s="35">
        <f t="shared" si="4"/>
        <v>86</v>
      </c>
      <c r="AN15" s="40">
        <f t="shared" si="5"/>
        <v>11.35</v>
      </c>
    </row>
    <row r="16" ht="15.75" customHeight="1">
      <c r="A16" s="48" t="s">
        <v>31</v>
      </c>
      <c r="B16" s="50">
        <f t="shared" si="6"/>
        <v>44576</v>
      </c>
      <c r="C16" s="51">
        <v>1.0</v>
      </c>
      <c r="D16" s="51" t="s">
        <v>32</v>
      </c>
      <c r="E16" s="53"/>
      <c r="F16" s="54"/>
      <c r="G16" s="56"/>
      <c r="H16" s="57"/>
      <c r="I16" s="56"/>
      <c r="J16" s="57"/>
      <c r="K16" s="56"/>
      <c r="L16" s="69">
        <v>43.0</v>
      </c>
      <c r="M16" s="56"/>
      <c r="N16" s="70">
        <v>43.0</v>
      </c>
      <c r="O16" s="56"/>
      <c r="P16" s="57"/>
      <c r="Q16" s="56"/>
      <c r="R16" s="59">
        <v>0.0</v>
      </c>
      <c r="S16" s="56"/>
      <c r="T16" s="57"/>
      <c r="U16" s="56"/>
      <c r="V16" s="57"/>
      <c r="W16" s="60"/>
      <c r="X16" s="54"/>
      <c r="Y16" s="56"/>
      <c r="Z16" s="57"/>
      <c r="AA16" s="56"/>
      <c r="AB16" s="57"/>
      <c r="AC16" s="56"/>
      <c r="AD16" s="57"/>
      <c r="AE16" s="56"/>
      <c r="AF16" s="57"/>
      <c r="AG16" s="56"/>
      <c r="AH16" s="57"/>
      <c r="AI16" s="60"/>
      <c r="AJ16" s="61">
        <f t="shared" si="1"/>
        <v>976.1</v>
      </c>
      <c r="AK16" s="51">
        <f t="shared" si="2"/>
        <v>86</v>
      </c>
      <c r="AL16" s="51">
        <f t="shared" si="3"/>
        <v>0</v>
      </c>
      <c r="AM16" s="51">
        <f t="shared" si="4"/>
        <v>86</v>
      </c>
      <c r="AN16" s="63">
        <f t="shared" si="5"/>
        <v>11.35</v>
      </c>
    </row>
    <row r="17" ht="15.75" customHeight="1">
      <c r="A17" s="18" t="s">
        <v>20</v>
      </c>
      <c r="B17" s="64">
        <f t="shared" si="6"/>
        <v>44577</v>
      </c>
      <c r="C17" s="20">
        <v>1.0</v>
      </c>
      <c r="D17" s="20" t="s">
        <v>33</v>
      </c>
      <c r="E17" s="22"/>
      <c r="F17" s="23"/>
      <c r="H17" s="24"/>
      <c r="J17" s="24"/>
      <c r="L17" s="29">
        <v>43.0</v>
      </c>
      <c r="N17" s="30">
        <v>43.0</v>
      </c>
      <c r="P17" s="24"/>
      <c r="R17" s="26">
        <v>0.0</v>
      </c>
      <c r="T17" s="24"/>
      <c r="V17" s="24"/>
      <c r="W17" s="27"/>
      <c r="X17" s="23"/>
      <c r="Z17" s="24"/>
      <c r="AB17" s="24"/>
      <c r="AD17" s="24"/>
      <c r="AF17" s="24"/>
      <c r="AH17" s="24"/>
      <c r="AI17" s="27"/>
      <c r="AJ17" s="28">
        <f t="shared" si="1"/>
        <v>976.1</v>
      </c>
      <c r="AK17" s="20">
        <f t="shared" si="2"/>
        <v>86</v>
      </c>
      <c r="AL17" s="20">
        <f t="shared" si="3"/>
        <v>0</v>
      </c>
      <c r="AM17" s="20">
        <f t="shared" si="4"/>
        <v>86</v>
      </c>
      <c r="AN17" s="31">
        <f t="shared" si="5"/>
        <v>11.35</v>
      </c>
    </row>
    <row r="18" ht="15.75" customHeight="1">
      <c r="A18" s="32" t="s">
        <v>22</v>
      </c>
      <c r="B18" s="34">
        <f t="shared" si="6"/>
        <v>44578</v>
      </c>
      <c r="C18" s="35">
        <v>1.0</v>
      </c>
      <c r="D18" s="35" t="s">
        <v>33</v>
      </c>
      <c r="E18" s="37"/>
      <c r="F18" s="23"/>
      <c r="H18" s="24"/>
      <c r="J18" s="24"/>
      <c r="L18" s="29">
        <v>43.0</v>
      </c>
      <c r="N18" s="30">
        <v>43.0</v>
      </c>
      <c r="P18" s="24"/>
      <c r="R18" s="26">
        <v>0.0</v>
      </c>
      <c r="T18" s="24"/>
      <c r="V18" s="24"/>
      <c r="W18" s="27"/>
      <c r="X18" s="23"/>
      <c r="Z18" s="24"/>
      <c r="AB18" s="24"/>
      <c r="AD18" s="24"/>
      <c r="AF18" s="24"/>
      <c r="AH18" s="24"/>
      <c r="AI18" s="27"/>
      <c r="AJ18" s="39">
        <f t="shared" si="1"/>
        <v>976.1</v>
      </c>
      <c r="AK18" s="35">
        <f t="shared" si="2"/>
        <v>86</v>
      </c>
      <c r="AL18" s="35">
        <f t="shared" si="3"/>
        <v>0</v>
      </c>
      <c r="AM18" s="35">
        <f t="shared" si="4"/>
        <v>86</v>
      </c>
      <c r="AN18" s="40">
        <f t="shared" si="5"/>
        <v>11.35</v>
      </c>
    </row>
    <row r="19" ht="15.75" customHeight="1">
      <c r="A19" s="32" t="s">
        <v>24</v>
      </c>
      <c r="B19" s="34">
        <f t="shared" si="6"/>
        <v>44579</v>
      </c>
      <c r="C19" s="35">
        <v>1.0</v>
      </c>
      <c r="D19" s="35" t="s">
        <v>33</v>
      </c>
      <c r="E19" s="37"/>
      <c r="F19" s="23"/>
      <c r="H19" s="24"/>
      <c r="J19" s="24"/>
      <c r="L19" s="29">
        <v>43.0</v>
      </c>
      <c r="N19" s="30">
        <v>43.0</v>
      </c>
      <c r="P19" s="24"/>
      <c r="R19" s="26">
        <v>0.0</v>
      </c>
      <c r="T19" s="24"/>
      <c r="V19" s="24"/>
      <c r="W19" s="27"/>
      <c r="X19" s="23"/>
      <c r="Z19" s="24"/>
      <c r="AB19" s="24"/>
      <c r="AD19" s="24"/>
      <c r="AF19" s="24"/>
      <c r="AH19" s="24"/>
      <c r="AI19" s="27"/>
      <c r="AJ19" s="39">
        <f t="shared" si="1"/>
        <v>976.1</v>
      </c>
      <c r="AK19" s="35">
        <f t="shared" si="2"/>
        <v>86</v>
      </c>
      <c r="AL19" s="35">
        <f t="shared" si="3"/>
        <v>0</v>
      </c>
      <c r="AM19" s="35">
        <f t="shared" si="4"/>
        <v>86</v>
      </c>
      <c r="AN19" s="40">
        <f t="shared" si="5"/>
        <v>11.35</v>
      </c>
    </row>
    <row r="20" ht="15.75" customHeight="1">
      <c r="A20" s="32" t="s">
        <v>28</v>
      </c>
      <c r="B20" s="34">
        <f t="shared" si="6"/>
        <v>44580</v>
      </c>
      <c r="C20" s="35">
        <v>1.0</v>
      </c>
      <c r="D20" s="35" t="s">
        <v>33</v>
      </c>
      <c r="E20" s="37"/>
      <c r="F20" s="23"/>
      <c r="H20" s="24"/>
      <c r="J20" s="24"/>
      <c r="L20" s="29">
        <v>43.0</v>
      </c>
      <c r="N20" s="30">
        <v>43.0</v>
      </c>
      <c r="P20" s="24"/>
      <c r="R20" s="26">
        <v>0.0</v>
      </c>
      <c r="T20" s="24"/>
      <c r="V20" s="24"/>
      <c r="W20" s="27"/>
      <c r="X20" s="23"/>
      <c r="Z20" s="24"/>
      <c r="AB20" s="24"/>
      <c r="AD20" s="24"/>
      <c r="AF20" s="24"/>
      <c r="AH20" s="24"/>
      <c r="AI20" s="27"/>
      <c r="AJ20" s="39">
        <f t="shared" si="1"/>
        <v>976.1</v>
      </c>
      <c r="AK20" s="35">
        <f t="shared" si="2"/>
        <v>86</v>
      </c>
      <c r="AL20" s="35">
        <f t="shared" si="3"/>
        <v>0</v>
      </c>
      <c r="AM20" s="35">
        <f t="shared" si="4"/>
        <v>86</v>
      </c>
      <c r="AN20" s="40">
        <f t="shared" si="5"/>
        <v>11.35</v>
      </c>
    </row>
    <row r="21" ht="15.75" customHeight="1">
      <c r="A21" s="32" t="s">
        <v>29</v>
      </c>
      <c r="B21" s="34">
        <f t="shared" si="6"/>
        <v>44581</v>
      </c>
      <c r="C21" s="35">
        <v>1.0</v>
      </c>
      <c r="D21" s="35" t="s">
        <v>33</v>
      </c>
      <c r="E21" s="37"/>
      <c r="F21" s="23"/>
      <c r="H21" s="24"/>
      <c r="J21" s="24"/>
      <c r="L21" s="29">
        <v>43.0</v>
      </c>
      <c r="N21" s="30">
        <v>43.0</v>
      </c>
      <c r="P21" s="24"/>
      <c r="R21" s="26">
        <v>0.0</v>
      </c>
      <c r="T21" s="24"/>
      <c r="V21" s="24"/>
      <c r="W21" s="27"/>
      <c r="X21" s="23"/>
      <c r="Z21" s="24"/>
      <c r="AB21" s="24"/>
      <c r="AD21" s="24"/>
      <c r="AF21" s="24"/>
      <c r="AH21" s="24"/>
      <c r="AI21" s="27"/>
      <c r="AJ21" s="39">
        <f t="shared" si="1"/>
        <v>976.1</v>
      </c>
      <c r="AK21" s="35">
        <f t="shared" si="2"/>
        <v>86</v>
      </c>
      <c r="AL21" s="35">
        <f t="shared" si="3"/>
        <v>0</v>
      </c>
      <c r="AM21" s="35">
        <f t="shared" si="4"/>
        <v>86</v>
      </c>
      <c r="AN21" s="40">
        <f t="shared" si="5"/>
        <v>11.35</v>
      </c>
    </row>
    <row r="22" ht="15.75" customHeight="1">
      <c r="A22" s="32" t="s">
        <v>30</v>
      </c>
      <c r="B22" s="34">
        <f t="shared" si="6"/>
        <v>44582</v>
      </c>
      <c r="C22" s="35">
        <v>1.0</v>
      </c>
      <c r="D22" s="35" t="s">
        <v>33</v>
      </c>
      <c r="E22" s="37"/>
      <c r="F22" s="23"/>
      <c r="H22" s="24"/>
      <c r="J22" s="24"/>
      <c r="L22" s="29">
        <v>43.0</v>
      </c>
      <c r="N22" s="30">
        <v>43.0</v>
      </c>
      <c r="P22" s="24"/>
      <c r="R22" s="26">
        <v>0.0</v>
      </c>
      <c r="T22" s="24"/>
      <c r="V22" s="24"/>
      <c r="W22" s="27"/>
      <c r="X22" s="23"/>
      <c r="Z22" s="24"/>
      <c r="AB22" s="24"/>
      <c r="AD22" s="24"/>
      <c r="AF22" s="24"/>
      <c r="AH22" s="24"/>
      <c r="AI22" s="27"/>
      <c r="AJ22" s="39">
        <f t="shared" si="1"/>
        <v>976.1</v>
      </c>
      <c r="AK22" s="35">
        <f t="shared" si="2"/>
        <v>86</v>
      </c>
      <c r="AL22" s="35">
        <f t="shared" si="3"/>
        <v>0</v>
      </c>
      <c r="AM22" s="35">
        <f t="shared" si="4"/>
        <v>86</v>
      </c>
      <c r="AN22" s="40">
        <f t="shared" si="5"/>
        <v>11.35</v>
      </c>
    </row>
    <row r="23" ht="15.75" customHeight="1">
      <c r="A23" s="48" t="s">
        <v>31</v>
      </c>
      <c r="B23" s="50">
        <f t="shared" si="6"/>
        <v>44583</v>
      </c>
      <c r="C23" s="51">
        <v>1.0</v>
      </c>
      <c r="D23" s="51" t="s">
        <v>33</v>
      </c>
      <c r="E23" s="53"/>
      <c r="F23" s="54"/>
      <c r="G23" s="56"/>
      <c r="H23" s="57"/>
      <c r="I23" s="56"/>
      <c r="J23" s="57"/>
      <c r="K23" s="56"/>
      <c r="L23" s="69">
        <v>43.0</v>
      </c>
      <c r="M23" s="56"/>
      <c r="N23" s="70">
        <v>43.0</v>
      </c>
      <c r="O23" s="56"/>
      <c r="P23" s="57"/>
      <c r="Q23" s="56"/>
      <c r="R23" s="59">
        <v>0.0</v>
      </c>
      <c r="S23" s="56"/>
      <c r="T23" s="57"/>
      <c r="U23" s="56"/>
      <c r="V23" s="57"/>
      <c r="W23" s="60"/>
      <c r="X23" s="54"/>
      <c r="Y23" s="56"/>
      <c r="Z23" s="57"/>
      <c r="AA23" s="56"/>
      <c r="AB23" s="57"/>
      <c r="AC23" s="56"/>
      <c r="AD23" s="57"/>
      <c r="AE23" s="56"/>
      <c r="AF23" s="57"/>
      <c r="AG23" s="56"/>
      <c r="AH23" s="57"/>
      <c r="AI23" s="60"/>
      <c r="AJ23" s="61">
        <f t="shared" si="1"/>
        <v>976.1</v>
      </c>
      <c r="AK23" s="51">
        <f t="shared" si="2"/>
        <v>86</v>
      </c>
      <c r="AL23" s="51">
        <f t="shared" si="3"/>
        <v>0</v>
      </c>
      <c r="AM23" s="51">
        <f t="shared" si="4"/>
        <v>86</v>
      </c>
      <c r="AN23" s="63">
        <f t="shared" si="5"/>
        <v>11.35</v>
      </c>
    </row>
    <row r="24" ht="15.75" customHeight="1">
      <c r="A24" s="18" t="s">
        <v>20</v>
      </c>
      <c r="B24" s="64">
        <f t="shared" si="6"/>
        <v>44584</v>
      </c>
      <c r="C24" s="20">
        <v>1.0</v>
      </c>
      <c r="D24" s="20" t="s">
        <v>34</v>
      </c>
      <c r="E24" s="22"/>
      <c r="F24" s="23"/>
      <c r="H24" s="24"/>
      <c r="J24" s="24"/>
      <c r="L24" s="25">
        <v>78.0</v>
      </c>
      <c r="N24" s="26">
        <v>78.0</v>
      </c>
      <c r="P24" s="24"/>
      <c r="R24" s="26">
        <v>0.0</v>
      </c>
      <c r="T24" s="24"/>
      <c r="V24" s="24"/>
      <c r="W24" s="27"/>
      <c r="X24" s="23"/>
      <c r="Z24" s="24"/>
      <c r="AB24" s="24"/>
      <c r="AD24" s="24"/>
      <c r="AF24" s="24"/>
      <c r="AH24" s="24"/>
      <c r="AI24" s="27"/>
      <c r="AJ24" s="28">
        <f t="shared" si="1"/>
        <v>1770.6</v>
      </c>
      <c r="AK24" s="20">
        <f t="shared" si="2"/>
        <v>156</v>
      </c>
      <c r="AL24" s="20">
        <f t="shared" si="3"/>
        <v>0</v>
      </c>
      <c r="AM24" s="20">
        <f t="shared" si="4"/>
        <v>156</v>
      </c>
      <c r="AN24" s="31">
        <f t="shared" si="5"/>
        <v>11.35</v>
      </c>
    </row>
    <row r="25" ht="15.75" customHeight="1">
      <c r="A25" s="32" t="s">
        <v>22</v>
      </c>
      <c r="B25" s="34">
        <f t="shared" si="6"/>
        <v>44585</v>
      </c>
      <c r="C25" s="35">
        <v>1.0</v>
      </c>
      <c r="D25" s="35" t="s">
        <v>34</v>
      </c>
      <c r="E25" s="37"/>
      <c r="F25" s="23"/>
      <c r="H25" s="24"/>
      <c r="J25" s="24"/>
      <c r="L25" s="25">
        <v>78.0</v>
      </c>
      <c r="N25" s="26">
        <v>78.0</v>
      </c>
      <c r="P25" s="24"/>
      <c r="R25" s="26">
        <v>0.0</v>
      </c>
      <c r="T25" s="24"/>
      <c r="V25" s="24"/>
      <c r="W25" s="27"/>
      <c r="X25" s="23"/>
      <c r="Z25" s="24"/>
      <c r="AB25" s="24"/>
      <c r="AD25" s="24"/>
      <c r="AF25" s="24"/>
      <c r="AH25" s="24"/>
      <c r="AI25" s="27"/>
      <c r="AJ25" s="39">
        <f t="shared" si="1"/>
        <v>1770.6</v>
      </c>
      <c r="AK25" s="35">
        <f t="shared" si="2"/>
        <v>156</v>
      </c>
      <c r="AL25" s="35">
        <f t="shared" si="3"/>
        <v>0</v>
      </c>
      <c r="AM25" s="35">
        <f t="shared" si="4"/>
        <v>156</v>
      </c>
      <c r="AN25" s="40">
        <f t="shared" si="5"/>
        <v>11.35</v>
      </c>
    </row>
    <row r="26" ht="15.75" customHeight="1">
      <c r="A26" s="32" t="s">
        <v>24</v>
      </c>
      <c r="B26" s="34">
        <f t="shared" si="6"/>
        <v>44586</v>
      </c>
      <c r="C26" s="35">
        <v>1.0</v>
      </c>
      <c r="D26" s="35" t="s">
        <v>34</v>
      </c>
      <c r="E26" s="37"/>
      <c r="F26" s="23"/>
      <c r="H26" s="24"/>
      <c r="J26" s="24"/>
      <c r="L26" s="25">
        <v>78.0</v>
      </c>
      <c r="N26" s="26">
        <v>78.0</v>
      </c>
      <c r="P26" s="24"/>
      <c r="R26" s="26">
        <v>0.0</v>
      </c>
      <c r="T26" s="24"/>
      <c r="V26" s="24"/>
      <c r="W26" s="27"/>
      <c r="X26" s="23"/>
      <c r="Z26" s="24"/>
      <c r="AB26" s="24"/>
      <c r="AD26" s="24"/>
      <c r="AF26" s="24"/>
      <c r="AH26" s="24"/>
      <c r="AI26" s="27"/>
      <c r="AJ26" s="39">
        <f t="shared" si="1"/>
        <v>1770.6</v>
      </c>
      <c r="AK26" s="35">
        <f t="shared" si="2"/>
        <v>156</v>
      </c>
      <c r="AL26" s="35">
        <f t="shared" si="3"/>
        <v>0</v>
      </c>
      <c r="AM26" s="35">
        <f t="shared" si="4"/>
        <v>156</v>
      </c>
      <c r="AN26" s="40">
        <f t="shared" si="5"/>
        <v>11.35</v>
      </c>
    </row>
    <row r="27" ht="15.75" customHeight="1">
      <c r="A27" s="32" t="s">
        <v>28</v>
      </c>
      <c r="B27" s="34">
        <f t="shared" si="6"/>
        <v>44587</v>
      </c>
      <c r="C27" s="35">
        <v>1.0</v>
      </c>
      <c r="D27" s="35" t="s">
        <v>34</v>
      </c>
      <c r="E27" s="37"/>
      <c r="F27" s="23"/>
      <c r="H27" s="24"/>
      <c r="J27" s="24"/>
      <c r="L27" s="25">
        <v>78.0</v>
      </c>
      <c r="N27" s="26">
        <v>78.0</v>
      </c>
      <c r="P27" s="24"/>
      <c r="R27" s="26">
        <v>0.0</v>
      </c>
      <c r="T27" s="24"/>
      <c r="V27" s="24"/>
      <c r="W27" s="27"/>
      <c r="X27" s="23"/>
      <c r="Z27" s="24"/>
      <c r="AB27" s="24"/>
      <c r="AD27" s="24"/>
      <c r="AF27" s="24"/>
      <c r="AH27" s="24"/>
      <c r="AI27" s="27"/>
      <c r="AJ27" s="39">
        <f t="shared" si="1"/>
        <v>1770.6</v>
      </c>
      <c r="AK27" s="35">
        <f t="shared" si="2"/>
        <v>156</v>
      </c>
      <c r="AL27" s="35">
        <f t="shared" si="3"/>
        <v>0</v>
      </c>
      <c r="AM27" s="35">
        <f t="shared" si="4"/>
        <v>156</v>
      </c>
      <c r="AN27" s="40">
        <f t="shared" si="5"/>
        <v>11.35</v>
      </c>
    </row>
    <row r="28" ht="15.75" customHeight="1">
      <c r="A28" s="32" t="s">
        <v>29</v>
      </c>
      <c r="B28" s="34">
        <f t="shared" si="6"/>
        <v>44588</v>
      </c>
      <c r="C28" s="35">
        <v>1.0</v>
      </c>
      <c r="D28" s="35" t="s">
        <v>34</v>
      </c>
      <c r="E28" s="37"/>
      <c r="F28" s="23"/>
      <c r="H28" s="24"/>
      <c r="J28" s="24"/>
      <c r="L28" s="25">
        <v>78.0</v>
      </c>
      <c r="N28" s="26">
        <v>78.0</v>
      </c>
      <c r="P28" s="24"/>
      <c r="R28" s="26">
        <v>0.0</v>
      </c>
      <c r="T28" s="24"/>
      <c r="V28" s="24"/>
      <c r="W28" s="27"/>
      <c r="X28" s="23"/>
      <c r="Z28" s="24"/>
      <c r="AB28" s="24"/>
      <c r="AD28" s="24"/>
      <c r="AF28" s="24"/>
      <c r="AH28" s="24"/>
      <c r="AI28" s="27"/>
      <c r="AJ28" s="39">
        <f t="shared" si="1"/>
        <v>1770.6</v>
      </c>
      <c r="AK28" s="35">
        <f t="shared" si="2"/>
        <v>156</v>
      </c>
      <c r="AL28" s="35">
        <f t="shared" si="3"/>
        <v>0</v>
      </c>
      <c r="AM28" s="35">
        <f t="shared" si="4"/>
        <v>156</v>
      </c>
      <c r="AN28" s="40">
        <f t="shared" si="5"/>
        <v>11.35</v>
      </c>
    </row>
    <row r="29" ht="15.75" customHeight="1">
      <c r="A29" s="32" t="s">
        <v>30</v>
      </c>
      <c r="B29" s="34">
        <f t="shared" si="6"/>
        <v>44589</v>
      </c>
      <c r="C29" s="35">
        <v>1.0</v>
      </c>
      <c r="D29" s="35" t="s">
        <v>34</v>
      </c>
      <c r="E29" s="37"/>
      <c r="F29" s="23"/>
      <c r="H29" s="24"/>
      <c r="J29" s="24"/>
      <c r="L29" s="25">
        <v>78.0</v>
      </c>
      <c r="N29" s="26">
        <v>78.0</v>
      </c>
      <c r="P29" s="24"/>
      <c r="R29" s="26">
        <v>0.0</v>
      </c>
      <c r="T29" s="24"/>
      <c r="V29" s="24"/>
      <c r="W29" s="27"/>
      <c r="X29" s="23"/>
      <c r="Z29" s="24"/>
      <c r="AB29" s="24"/>
      <c r="AD29" s="24"/>
      <c r="AF29" s="24"/>
      <c r="AH29" s="24"/>
      <c r="AI29" s="27"/>
      <c r="AJ29" s="39">
        <f t="shared" si="1"/>
        <v>1770.6</v>
      </c>
      <c r="AK29" s="35">
        <f t="shared" si="2"/>
        <v>156</v>
      </c>
      <c r="AL29" s="35">
        <f t="shared" si="3"/>
        <v>0</v>
      </c>
      <c r="AM29" s="35">
        <f t="shared" si="4"/>
        <v>156</v>
      </c>
      <c r="AN29" s="40">
        <f t="shared" si="5"/>
        <v>11.35</v>
      </c>
    </row>
    <row r="30" ht="15.75" customHeight="1">
      <c r="A30" s="48" t="s">
        <v>31</v>
      </c>
      <c r="B30" s="50">
        <f t="shared" si="6"/>
        <v>44590</v>
      </c>
      <c r="C30" s="51">
        <v>1.0</v>
      </c>
      <c r="D30" s="51" t="s">
        <v>34</v>
      </c>
      <c r="E30" s="53"/>
      <c r="F30" s="54"/>
      <c r="G30" s="56"/>
      <c r="H30" s="57"/>
      <c r="I30" s="56"/>
      <c r="J30" s="57"/>
      <c r="K30" s="56"/>
      <c r="L30" s="58">
        <v>78.0</v>
      </c>
      <c r="M30" s="56"/>
      <c r="N30" s="59">
        <v>78.0</v>
      </c>
      <c r="O30" s="56"/>
      <c r="P30" s="57"/>
      <c r="Q30" s="56"/>
      <c r="R30" s="59">
        <v>0.0</v>
      </c>
      <c r="S30" s="56"/>
      <c r="T30" s="57"/>
      <c r="U30" s="56"/>
      <c r="V30" s="57"/>
      <c r="W30" s="60"/>
      <c r="X30" s="54"/>
      <c r="Y30" s="56"/>
      <c r="Z30" s="57"/>
      <c r="AA30" s="56"/>
      <c r="AB30" s="57"/>
      <c r="AC30" s="56"/>
      <c r="AD30" s="57"/>
      <c r="AE30" s="56"/>
      <c r="AF30" s="57"/>
      <c r="AG30" s="56"/>
      <c r="AH30" s="57"/>
      <c r="AI30" s="60"/>
      <c r="AJ30" s="61">
        <f t="shared" si="1"/>
        <v>1770.6</v>
      </c>
      <c r="AK30" s="51">
        <f t="shared" si="2"/>
        <v>156</v>
      </c>
      <c r="AL30" s="51">
        <f t="shared" si="3"/>
        <v>0</v>
      </c>
      <c r="AM30" s="51">
        <f t="shared" si="4"/>
        <v>156</v>
      </c>
      <c r="AN30" s="63">
        <f t="shared" si="5"/>
        <v>11.35</v>
      </c>
    </row>
    <row r="31" ht="15.75" customHeight="1">
      <c r="A31" s="18" t="s">
        <v>20</v>
      </c>
      <c r="B31" s="64">
        <f t="shared" si="6"/>
        <v>44591</v>
      </c>
      <c r="C31" s="20">
        <v>2.0</v>
      </c>
      <c r="D31" s="20" t="s">
        <v>21</v>
      </c>
      <c r="E31" s="22"/>
      <c r="F31" s="23"/>
      <c r="H31" s="24"/>
      <c r="J31" s="24"/>
      <c r="L31" s="25">
        <v>78.0</v>
      </c>
      <c r="N31" s="26">
        <v>78.0</v>
      </c>
      <c r="P31" s="24"/>
      <c r="R31" s="26">
        <v>0.0</v>
      </c>
      <c r="T31" s="24"/>
      <c r="V31" s="24"/>
      <c r="W31" s="27"/>
      <c r="X31" s="23"/>
      <c r="Z31" s="24"/>
      <c r="AB31" s="24"/>
      <c r="AD31" s="24"/>
      <c r="AF31" s="24"/>
      <c r="AH31" s="24"/>
      <c r="AI31" s="27"/>
      <c r="AJ31" s="28">
        <f t="shared" si="1"/>
        <v>1770.6</v>
      </c>
      <c r="AK31" s="20">
        <f t="shared" si="2"/>
        <v>156</v>
      </c>
      <c r="AL31" s="20">
        <f t="shared" si="3"/>
        <v>0</v>
      </c>
      <c r="AM31" s="20">
        <f t="shared" si="4"/>
        <v>156</v>
      </c>
      <c r="AN31" s="31">
        <f t="shared" si="5"/>
        <v>11.35</v>
      </c>
    </row>
    <row r="32" ht="15.75" customHeight="1">
      <c r="A32" s="32" t="s">
        <v>22</v>
      </c>
      <c r="B32" s="34">
        <f t="shared" si="6"/>
        <v>44592</v>
      </c>
      <c r="C32" s="35">
        <v>2.0</v>
      </c>
      <c r="D32" s="35" t="s">
        <v>21</v>
      </c>
      <c r="E32" s="37"/>
      <c r="F32" s="23"/>
      <c r="H32" s="24"/>
      <c r="J32" s="24"/>
      <c r="L32" s="25">
        <v>78.0</v>
      </c>
      <c r="N32" s="26">
        <v>78.0</v>
      </c>
      <c r="P32" s="24"/>
      <c r="R32" s="26">
        <v>0.0</v>
      </c>
      <c r="T32" s="24"/>
      <c r="V32" s="24"/>
      <c r="W32" s="27"/>
      <c r="X32" s="23"/>
      <c r="Z32" s="24"/>
      <c r="AB32" s="24"/>
      <c r="AD32" s="24"/>
      <c r="AF32" s="24"/>
      <c r="AH32" s="24"/>
      <c r="AI32" s="27"/>
      <c r="AJ32" s="39">
        <f t="shared" si="1"/>
        <v>1770.6</v>
      </c>
      <c r="AK32" s="35">
        <f t="shared" si="2"/>
        <v>156</v>
      </c>
      <c r="AL32" s="35">
        <f t="shared" si="3"/>
        <v>0</v>
      </c>
      <c r="AM32" s="35">
        <f t="shared" si="4"/>
        <v>156</v>
      </c>
      <c r="AN32" s="40">
        <f t="shared" si="5"/>
        <v>11.35</v>
      </c>
    </row>
    <row r="33" ht="15.75" customHeight="1">
      <c r="A33" s="32" t="s">
        <v>24</v>
      </c>
      <c r="B33" s="34">
        <f t="shared" si="6"/>
        <v>44593</v>
      </c>
      <c r="C33" s="35">
        <v>2.0</v>
      </c>
      <c r="D33" s="35" t="s">
        <v>21</v>
      </c>
      <c r="E33" s="37"/>
      <c r="F33" s="23"/>
      <c r="H33" s="24"/>
      <c r="J33" s="24"/>
      <c r="L33" s="25">
        <v>78.0</v>
      </c>
      <c r="N33" s="26">
        <v>78.0</v>
      </c>
      <c r="P33" s="24"/>
      <c r="R33" s="26">
        <v>0.0</v>
      </c>
      <c r="T33" s="24"/>
      <c r="V33" s="24"/>
      <c r="W33" s="27"/>
      <c r="X33" s="23"/>
      <c r="Z33" s="24"/>
      <c r="AB33" s="24"/>
      <c r="AD33" s="24"/>
      <c r="AF33" s="24"/>
      <c r="AH33" s="24"/>
      <c r="AI33" s="27"/>
      <c r="AJ33" s="39">
        <f t="shared" si="1"/>
        <v>1770.6</v>
      </c>
      <c r="AK33" s="35">
        <f t="shared" si="2"/>
        <v>156</v>
      </c>
      <c r="AL33" s="35">
        <f t="shared" si="3"/>
        <v>0</v>
      </c>
      <c r="AM33" s="35">
        <f t="shared" si="4"/>
        <v>156</v>
      </c>
      <c r="AN33" s="40">
        <f t="shared" si="5"/>
        <v>11.35</v>
      </c>
    </row>
    <row r="34" ht="15.75" customHeight="1">
      <c r="A34" s="32" t="s">
        <v>28</v>
      </c>
      <c r="B34" s="34">
        <f t="shared" si="6"/>
        <v>44594</v>
      </c>
      <c r="C34" s="35">
        <v>2.0</v>
      </c>
      <c r="D34" s="35" t="s">
        <v>21</v>
      </c>
      <c r="E34" s="37"/>
      <c r="F34" s="23"/>
      <c r="H34" s="24"/>
      <c r="J34" s="24"/>
      <c r="L34" s="25">
        <v>78.0</v>
      </c>
      <c r="N34" s="26">
        <v>78.0</v>
      </c>
      <c r="P34" s="24"/>
      <c r="R34" s="26">
        <v>0.0</v>
      </c>
      <c r="T34" s="24"/>
      <c r="V34" s="24"/>
      <c r="W34" s="27"/>
      <c r="X34" s="23"/>
      <c r="Z34" s="24"/>
      <c r="AB34" s="24"/>
      <c r="AD34" s="24"/>
      <c r="AF34" s="24"/>
      <c r="AH34" s="24"/>
      <c r="AI34" s="27"/>
      <c r="AJ34" s="39">
        <f t="shared" si="1"/>
        <v>1770.6</v>
      </c>
      <c r="AK34" s="35">
        <f t="shared" si="2"/>
        <v>156</v>
      </c>
      <c r="AL34" s="35">
        <f t="shared" si="3"/>
        <v>0</v>
      </c>
      <c r="AM34" s="35">
        <f t="shared" si="4"/>
        <v>156</v>
      </c>
      <c r="AN34" s="40">
        <f t="shared" si="5"/>
        <v>11.35</v>
      </c>
    </row>
    <row r="35" ht="15.75" customHeight="1">
      <c r="A35" s="32" t="s">
        <v>29</v>
      </c>
      <c r="B35" s="34">
        <f t="shared" si="6"/>
        <v>44595</v>
      </c>
      <c r="C35" s="35">
        <v>2.0</v>
      </c>
      <c r="D35" s="35" t="s">
        <v>21</v>
      </c>
      <c r="E35" s="37"/>
      <c r="F35" s="23"/>
      <c r="H35" s="24"/>
      <c r="J35" s="24"/>
      <c r="L35" s="25">
        <v>78.0</v>
      </c>
      <c r="N35" s="26">
        <v>78.0</v>
      </c>
      <c r="P35" s="24"/>
      <c r="R35" s="26">
        <v>0.0</v>
      </c>
      <c r="T35" s="24"/>
      <c r="V35" s="24"/>
      <c r="W35" s="27"/>
      <c r="X35" s="23"/>
      <c r="Z35" s="24"/>
      <c r="AB35" s="24"/>
      <c r="AD35" s="24"/>
      <c r="AF35" s="24"/>
      <c r="AH35" s="24"/>
      <c r="AI35" s="27"/>
      <c r="AJ35" s="39">
        <f t="shared" si="1"/>
        <v>1770.6</v>
      </c>
      <c r="AK35" s="35">
        <f t="shared" si="2"/>
        <v>156</v>
      </c>
      <c r="AL35" s="35">
        <f t="shared" si="3"/>
        <v>0</v>
      </c>
      <c r="AM35" s="35">
        <f t="shared" si="4"/>
        <v>156</v>
      </c>
      <c r="AN35" s="40">
        <f t="shared" si="5"/>
        <v>11.35</v>
      </c>
    </row>
    <row r="36" ht="15.75" customHeight="1">
      <c r="A36" s="32" t="s">
        <v>30</v>
      </c>
      <c r="B36" s="34">
        <f t="shared" si="6"/>
        <v>44596</v>
      </c>
      <c r="C36" s="35">
        <v>2.0</v>
      </c>
      <c r="D36" s="35" t="s">
        <v>21</v>
      </c>
      <c r="E36" s="37"/>
      <c r="F36" s="23"/>
      <c r="H36" s="24"/>
      <c r="J36" s="24"/>
      <c r="L36" s="25">
        <v>78.0</v>
      </c>
      <c r="N36" s="26">
        <v>78.0</v>
      </c>
      <c r="P36" s="24"/>
      <c r="R36" s="26">
        <v>0.0</v>
      </c>
      <c r="T36" s="24"/>
      <c r="V36" s="24"/>
      <c r="W36" s="27"/>
      <c r="X36" s="23"/>
      <c r="Z36" s="24"/>
      <c r="AB36" s="24"/>
      <c r="AD36" s="24"/>
      <c r="AF36" s="24"/>
      <c r="AH36" s="24"/>
      <c r="AI36" s="27"/>
      <c r="AJ36" s="39">
        <f t="shared" si="1"/>
        <v>1770.6</v>
      </c>
      <c r="AK36" s="35">
        <f t="shared" si="2"/>
        <v>156</v>
      </c>
      <c r="AL36" s="35">
        <f t="shared" si="3"/>
        <v>0</v>
      </c>
      <c r="AM36" s="35">
        <f t="shared" si="4"/>
        <v>156</v>
      </c>
      <c r="AN36" s="40">
        <f t="shared" si="5"/>
        <v>11.35</v>
      </c>
    </row>
    <row r="37" ht="15.75" customHeight="1">
      <c r="A37" s="48" t="s">
        <v>31</v>
      </c>
      <c r="B37" s="50">
        <f t="shared" si="6"/>
        <v>44597</v>
      </c>
      <c r="C37" s="51">
        <v>2.0</v>
      </c>
      <c r="D37" s="51" t="s">
        <v>21</v>
      </c>
      <c r="E37" s="53"/>
      <c r="F37" s="54"/>
      <c r="G37" s="56"/>
      <c r="H37" s="57"/>
      <c r="I37" s="56"/>
      <c r="J37" s="57"/>
      <c r="K37" s="56"/>
      <c r="L37" s="58">
        <v>78.0</v>
      </c>
      <c r="M37" s="56"/>
      <c r="N37" s="59">
        <v>78.0</v>
      </c>
      <c r="O37" s="56"/>
      <c r="P37" s="57"/>
      <c r="Q37" s="56"/>
      <c r="R37" s="59">
        <v>0.0</v>
      </c>
      <c r="S37" s="56"/>
      <c r="T37" s="57"/>
      <c r="U37" s="56"/>
      <c r="V37" s="57"/>
      <c r="W37" s="60"/>
      <c r="X37" s="54"/>
      <c r="Y37" s="56"/>
      <c r="Z37" s="57"/>
      <c r="AA37" s="56"/>
      <c r="AB37" s="57"/>
      <c r="AC37" s="56"/>
      <c r="AD37" s="57"/>
      <c r="AE37" s="56"/>
      <c r="AF37" s="57"/>
      <c r="AG37" s="56"/>
      <c r="AH37" s="57"/>
      <c r="AI37" s="60"/>
      <c r="AJ37" s="61">
        <f t="shared" si="1"/>
        <v>1770.6</v>
      </c>
      <c r="AK37" s="51">
        <f t="shared" si="2"/>
        <v>156</v>
      </c>
      <c r="AL37" s="51">
        <f t="shared" si="3"/>
        <v>0</v>
      </c>
      <c r="AM37" s="51">
        <f t="shared" si="4"/>
        <v>156</v>
      </c>
      <c r="AN37" s="63">
        <f t="shared" si="5"/>
        <v>11.35</v>
      </c>
    </row>
    <row r="38" ht="15.75" customHeight="1">
      <c r="A38" s="18" t="s">
        <v>20</v>
      </c>
      <c r="B38" s="64">
        <f t="shared" si="6"/>
        <v>44598</v>
      </c>
      <c r="C38" s="20">
        <v>2.0</v>
      </c>
      <c r="D38" s="20" t="s">
        <v>32</v>
      </c>
      <c r="E38" s="22"/>
      <c r="F38" s="23"/>
      <c r="H38" s="24"/>
      <c r="J38" s="24"/>
      <c r="L38" s="25">
        <v>78.0</v>
      </c>
      <c r="N38" s="26">
        <v>78.0</v>
      </c>
      <c r="P38" s="24"/>
      <c r="R38" s="26">
        <v>0.0</v>
      </c>
      <c r="T38" s="24"/>
      <c r="V38" s="24"/>
      <c r="W38" s="27"/>
      <c r="X38" s="23"/>
      <c r="Z38" s="24"/>
      <c r="AB38" s="24"/>
      <c r="AD38" s="24"/>
      <c r="AF38" s="24"/>
      <c r="AH38" s="24"/>
      <c r="AI38" s="27"/>
      <c r="AJ38" s="28">
        <f t="shared" si="1"/>
        <v>1770.6</v>
      </c>
      <c r="AK38" s="20">
        <f t="shared" si="2"/>
        <v>156</v>
      </c>
      <c r="AL38" s="20">
        <f t="shared" si="3"/>
        <v>0</v>
      </c>
      <c r="AM38" s="20">
        <f t="shared" si="4"/>
        <v>156</v>
      </c>
      <c r="AN38" s="31">
        <f t="shared" si="5"/>
        <v>11.35</v>
      </c>
    </row>
    <row r="39" ht="15.75" customHeight="1">
      <c r="A39" s="32" t="s">
        <v>22</v>
      </c>
      <c r="B39" s="34">
        <f t="shared" si="6"/>
        <v>44599</v>
      </c>
      <c r="C39" s="35">
        <v>2.0</v>
      </c>
      <c r="D39" s="35" t="s">
        <v>32</v>
      </c>
      <c r="E39" s="37"/>
      <c r="F39" s="23"/>
      <c r="H39" s="24"/>
      <c r="J39" s="24"/>
      <c r="L39" s="25">
        <v>78.0</v>
      </c>
      <c r="N39" s="26">
        <v>78.0</v>
      </c>
      <c r="P39" s="24"/>
      <c r="R39" s="26">
        <v>0.0</v>
      </c>
      <c r="T39" s="24"/>
      <c r="V39" s="24"/>
      <c r="W39" s="27"/>
      <c r="X39" s="23"/>
      <c r="Z39" s="24"/>
      <c r="AB39" s="24"/>
      <c r="AD39" s="24"/>
      <c r="AF39" s="24"/>
      <c r="AH39" s="24"/>
      <c r="AI39" s="27"/>
      <c r="AJ39" s="39">
        <f t="shared" si="1"/>
        <v>1770.6</v>
      </c>
      <c r="AK39" s="35">
        <f t="shared" si="2"/>
        <v>156</v>
      </c>
      <c r="AL39" s="35">
        <f t="shared" si="3"/>
        <v>0</v>
      </c>
      <c r="AM39" s="35">
        <f t="shared" si="4"/>
        <v>156</v>
      </c>
      <c r="AN39" s="40">
        <f t="shared" si="5"/>
        <v>11.35</v>
      </c>
    </row>
    <row r="40" ht="15.75" customHeight="1">
      <c r="A40" s="32" t="s">
        <v>24</v>
      </c>
      <c r="B40" s="34">
        <f t="shared" si="6"/>
        <v>44600</v>
      </c>
      <c r="C40" s="35">
        <v>2.0</v>
      </c>
      <c r="D40" s="35" t="s">
        <v>32</v>
      </c>
      <c r="E40" s="37"/>
      <c r="F40" s="23"/>
      <c r="H40" s="24"/>
      <c r="J40" s="24"/>
      <c r="L40" s="25">
        <v>78.0</v>
      </c>
      <c r="N40" s="26">
        <v>78.0</v>
      </c>
      <c r="P40" s="24"/>
      <c r="R40" s="26">
        <v>0.0</v>
      </c>
      <c r="T40" s="24"/>
      <c r="V40" s="24"/>
      <c r="W40" s="27"/>
      <c r="X40" s="23"/>
      <c r="Z40" s="24"/>
      <c r="AB40" s="24"/>
      <c r="AD40" s="24"/>
      <c r="AF40" s="24"/>
      <c r="AH40" s="24"/>
      <c r="AI40" s="27"/>
      <c r="AJ40" s="39">
        <f t="shared" si="1"/>
        <v>1770.6</v>
      </c>
      <c r="AK40" s="35">
        <f t="shared" si="2"/>
        <v>156</v>
      </c>
      <c r="AL40" s="35">
        <f t="shared" si="3"/>
        <v>0</v>
      </c>
      <c r="AM40" s="35">
        <f t="shared" si="4"/>
        <v>156</v>
      </c>
      <c r="AN40" s="40">
        <f t="shared" si="5"/>
        <v>11.35</v>
      </c>
    </row>
    <row r="41" ht="15.75" customHeight="1">
      <c r="A41" s="32" t="s">
        <v>28</v>
      </c>
      <c r="B41" s="34">
        <f t="shared" si="6"/>
        <v>44601</v>
      </c>
      <c r="C41" s="35">
        <v>2.0</v>
      </c>
      <c r="D41" s="35" t="s">
        <v>32</v>
      </c>
      <c r="E41" s="37"/>
      <c r="F41" s="23"/>
      <c r="H41" s="24"/>
      <c r="J41" s="24"/>
      <c r="L41" s="25">
        <v>78.0</v>
      </c>
      <c r="N41" s="26">
        <v>78.0</v>
      </c>
      <c r="P41" s="24"/>
      <c r="R41" s="26">
        <v>0.0</v>
      </c>
      <c r="T41" s="24"/>
      <c r="V41" s="24"/>
      <c r="W41" s="27"/>
      <c r="X41" s="23"/>
      <c r="Z41" s="24"/>
      <c r="AB41" s="24"/>
      <c r="AD41" s="24"/>
      <c r="AF41" s="24"/>
      <c r="AH41" s="24"/>
      <c r="AI41" s="27"/>
      <c r="AJ41" s="39">
        <f t="shared" si="1"/>
        <v>1770.6</v>
      </c>
      <c r="AK41" s="35">
        <f t="shared" si="2"/>
        <v>156</v>
      </c>
      <c r="AL41" s="35">
        <f t="shared" si="3"/>
        <v>0</v>
      </c>
      <c r="AM41" s="35">
        <f t="shared" si="4"/>
        <v>156</v>
      </c>
      <c r="AN41" s="40">
        <f t="shared" si="5"/>
        <v>11.35</v>
      </c>
    </row>
    <row r="42" ht="15.75" customHeight="1">
      <c r="A42" s="32" t="s">
        <v>29</v>
      </c>
      <c r="B42" s="34">
        <f t="shared" si="6"/>
        <v>44602</v>
      </c>
      <c r="C42" s="35">
        <v>2.0</v>
      </c>
      <c r="D42" s="35" t="s">
        <v>32</v>
      </c>
      <c r="E42" s="37"/>
      <c r="F42" s="23"/>
      <c r="H42" s="24"/>
      <c r="J42" s="24"/>
      <c r="L42" s="25">
        <v>78.0</v>
      </c>
      <c r="N42" s="26">
        <v>78.0</v>
      </c>
      <c r="P42" s="24"/>
      <c r="R42" s="26">
        <v>0.0</v>
      </c>
      <c r="T42" s="24"/>
      <c r="V42" s="24"/>
      <c r="W42" s="27"/>
      <c r="X42" s="23"/>
      <c r="Z42" s="24"/>
      <c r="AB42" s="24"/>
      <c r="AD42" s="24"/>
      <c r="AF42" s="24"/>
      <c r="AH42" s="24"/>
      <c r="AI42" s="27"/>
      <c r="AJ42" s="39">
        <f t="shared" si="1"/>
        <v>1770.6</v>
      </c>
      <c r="AK42" s="35">
        <f t="shared" si="2"/>
        <v>156</v>
      </c>
      <c r="AL42" s="35">
        <f t="shared" si="3"/>
        <v>0</v>
      </c>
      <c r="AM42" s="35">
        <f t="shared" si="4"/>
        <v>156</v>
      </c>
      <c r="AN42" s="40">
        <f t="shared" si="5"/>
        <v>11.35</v>
      </c>
    </row>
    <row r="43" ht="15.75" customHeight="1">
      <c r="A43" s="32" t="s">
        <v>30</v>
      </c>
      <c r="B43" s="34">
        <f t="shared" si="6"/>
        <v>44603</v>
      </c>
      <c r="C43" s="35">
        <v>2.0</v>
      </c>
      <c r="D43" s="35" t="s">
        <v>32</v>
      </c>
      <c r="E43" s="37"/>
      <c r="F43" s="23"/>
      <c r="H43" s="24"/>
      <c r="J43" s="24"/>
      <c r="L43" s="25">
        <v>78.0</v>
      </c>
      <c r="N43" s="26">
        <v>78.0</v>
      </c>
      <c r="P43" s="24"/>
      <c r="R43" s="26">
        <v>0.0</v>
      </c>
      <c r="T43" s="24"/>
      <c r="V43" s="24"/>
      <c r="W43" s="27"/>
      <c r="X43" s="23"/>
      <c r="Z43" s="24"/>
      <c r="AB43" s="24"/>
      <c r="AD43" s="24"/>
      <c r="AF43" s="24"/>
      <c r="AH43" s="24"/>
      <c r="AI43" s="27"/>
      <c r="AJ43" s="39">
        <f t="shared" si="1"/>
        <v>1770.6</v>
      </c>
      <c r="AK43" s="35">
        <f t="shared" si="2"/>
        <v>156</v>
      </c>
      <c r="AL43" s="35">
        <f t="shared" si="3"/>
        <v>0</v>
      </c>
      <c r="AM43" s="35">
        <f t="shared" si="4"/>
        <v>156</v>
      </c>
      <c r="AN43" s="40">
        <f t="shared" si="5"/>
        <v>11.35</v>
      </c>
    </row>
    <row r="44" ht="15.75" customHeight="1">
      <c r="A44" s="48" t="s">
        <v>31</v>
      </c>
      <c r="B44" s="50">
        <f t="shared" si="6"/>
        <v>44604</v>
      </c>
      <c r="C44" s="51">
        <v>2.0</v>
      </c>
      <c r="D44" s="51" t="s">
        <v>32</v>
      </c>
      <c r="E44" s="53"/>
      <c r="F44" s="54"/>
      <c r="G44" s="56"/>
      <c r="H44" s="57"/>
      <c r="I44" s="56"/>
      <c r="J44" s="57"/>
      <c r="K44" s="56"/>
      <c r="L44" s="58">
        <v>78.0</v>
      </c>
      <c r="M44" s="56"/>
      <c r="N44" s="59">
        <v>78.0</v>
      </c>
      <c r="O44" s="56"/>
      <c r="P44" s="57"/>
      <c r="Q44" s="56"/>
      <c r="R44" s="59">
        <v>0.0</v>
      </c>
      <c r="S44" s="56"/>
      <c r="T44" s="57"/>
      <c r="U44" s="56"/>
      <c r="V44" s="57"/>
      <c r="W44" s="60"/>
      <c r="X44" s="54"/>
      <c r="Y44" s="56"/>
      <c r="Z44" s="57"/>
      <c r="AA44" s="56"/>
      <c r="AB44" s="57"/>
      <c r="AC44" s="56"/>
      <c r="AD44" s="57"/>
      <c r="AE44" s="56"/>
      <c r="AF44" s="57"/>
      <c r="AG44" s="56"/>
      <c r="AH44" s="57"/>
      <c r="AI44" s="60"/>
      <c r="AJ44" s="61">
        <f t="shared" si="1"/>
        <v>1770.6</v>
      </c>
      <c r="AK44" s="51">
        <f t="shared" si="2"/>
        <v>156</v>
      </c>
      <c r="AL44" s="51">
        <f t="shared" si="3"/>
        <v>0</v>
      </c>
      <c r="AM44" s="51">
        <f t="shared" si="4"/>
        <v>156</v>
      </c>
      <c r="AN44" s="63">
        <f t="shared" si="5"/>
        <v>11.35</v>
      </c>
    </row>
    <row r="45" ht="15.75" customHeight="1">
      <c r="A45" s="18" t="s">
        <v>20</v>
      </c>
      <c r="B45" s="64">
        <f t="shared" si="6"/>
        <v>44605</v>
      </c>
      <c r="C45" s="20">
        <v>2.0</v>
      </c>
      <c r="D45" s="20" t="s">
        <v>33</v>
      </c>
      <c r="E45" s="22"/>
      <c r="F45" s="25">
        <v>0.0</v>
      </c>
      <c r="H45" s="26">
        <v>0.0</v>
      </c>
      <c r="J45" s="24"/>
      <c r="L45" s="25">
        <v>88.0</v>
      </c>
      <c r="N45" s="26">
        <v>88.0</v>
      </c>
      <c r="P45" s="24"/>
      <c r="R45" s="26">
        <v>0.0</v>
      </c>
      <c r="T45" s="24"/>
      <c r="V45" s="24"/>
      <c r="W45" s="27"/>
      <c r="X45" s="23"/>
      <c r="Z45" s="24"/>
      <c r="AB45" s="24"/>
      <c r="AD45" s="24"/>
      <c r="AF45" s="24"/>
      <c r="AH45" s="24"/>
      <c r="AI45" s="27"/>
      <c r="AJ45" s="28">
        <f t="shared" si="1"/>
        <v>1997.6</v>
      </c>
      <c r="AK45" s="20">
        <f t="shared" si="2"/>
        <v>176</v>
      </c>
      <c r="AL45" s="20">
        <f t="shared" si="3"/>
        <v>0</v>
      </c>
      <c r="AM45" s="20">
        <f t="shared" si="4"/>
        <v>176</v>
      </c>
      <c r="AN45" s="31">
        <f t="shared" si="5"/>
        <v>11.35</v>
      </c>
    </row>
    <row r="46" ht="15.75" customHeight="1">
      <c r="A46" s="32" t="s">
        <v>22</v>
      </c>
      <c r="B46" s="34">
        <f t="shared" si="6"/>
        <v>44606</v>
      </c>
      <c r="C46" s="35">
        <v>2.0</v>
      </c>
      <c r="D46" s="35" t="s">
        <v>33</v>
      </c>
      <c r="E46" s="37"/>
      <c r="F46" s="25">
        <v>0.0</v>
      </c>
      <c r="H46" s="26">
        <v>0.0</v>
      </c>
      <c r="J46" s="24"/>
      <c r="L46" s="25">
        <v>88.0</v>
      </c>
      <c r="N46" s="26">
        <v>88.0</v>
      </c>
      <c r="P46" s="24"/>
      <c r="R46" s="26">
        <v>0.0</v>
      </c>
      <c r="T46" s="24"/>
      <c r="V46" s="24"/>
      <c r="W46" s="27"/>
      <c r="X46" s="23"/>
      <c r="Z46" s="24"/>
      <c r="AB46" s="24"/>
      <c r="AD46" s="24"/>
      <c r="AF46" s="24"/>
      <c r="AH46" s="24"/>
      <c r="AI46" s="27"/>
      <c r="AJ46" s="39">
        <f t="shared" si="1"/>
        <v>1997.6</v>
      </c>
      <c r="AK46" s="35">
        <f t="shared" si="2"/>
        <v>176</v>
      </c>
      <c r="AL46" s="35">
        <f t="shared" si="3"/>
        <v>0</v>
      </c>
      <c r="AM46" s="35">
        <f t="shared" si="4"/>
        <v>176</v>
      </c>
      <c r="AN46" s="40">
        <f t="shared" si="5"/>
        <v>11.35</v>
      </c>
    </row>
    <row r="47" ht="15.75" customHeight="1">
      <c r="A47" s="32" t="s">
        <v>24</v>
      </c>
      <c r="B47" s="34">
        <f t="shared" si="6"/>
        <v>44607</v>
      </c>
      <c r="C47" s="35">
        <v>2.0</v>
      </c>
      <c r="D47" s="35" t="s">
        <v>33</v>
      </c>
      <c r="E47" s="37"/>
      <c r="F47" s="25">
        <v>89.0</v>
      </c>
      <c r="H47" s="26">
        <v>89.0</v>
      </c>
      <c r="J47" s="24"/>
      <c r="L47" s="25">
        <v>88.0</v>
      </c>
      <c r="N47" s="26">
        <v>88.0</v>
      </c>
      <c r="P47" s="24"/>
      <c r="R47" s="26">
        <v>0.0</v>
      </c>
      <c r="T47" s="24"/>
      <c r="V47" s="24"/>
      <c r="W47" s="27"/>
      <c r="X47" s="23"/>
      <c r="Z47" s="24"/>
      <c r="AB47" s="24"/>
      <c r="AD47" s="24"/>
      <c r="AF47" s="24"/>
      <c r="AH47" s="24"/>
      <c r="AI47" s="27"/>
      <c r="AJ47" s="39">
        <f t="shared" si="1"/>
        <v>5180.24</v>
      </c>
      <c r="AK47" s="35">
        <f t="shared" si="2"/>
        <v>354</v>
      </c>
      <c r="AL47" s="35">
        <f t="shared" si="3"/>
        <v>0</v>
      </c>
      <c r="AM47" s="35">
        <f t="shared" si="4"/>
        <v>354</v>
      </c>
      <c r="AN47" s="40">
        <f t="shared" si="5"/>
        <v>14.63344633</v>
      </c>
    </row>
    <row r="48" ht="15.75" customHeight="1">
      <c r="A48" s="32" t="s">
        <v>28</v>
      </c>
      <c r="B48" s="34">
        <f t="shared" si="6"/>
        <v>44608</v>
      </c>
      <c r="C48" s="35">
        <v>2.0</v>
      </c>
      <c r="D48" s="35" t="s">
        <v>33</v>
      </c>
      <c r="E48" s="37"/>
      <c r="F48" s="25">
        <v>89.0</v>
      </c>
      <c r="H48" s="26">
        <v>89.0</v>
      </c>
      <c r="J48" s="24"/>
      <c r="L48" s="25">
        <v>88.0</v>
      </c>
      <c r="N48" s="26">
        <v>88.0</v>
      </c>
      <c r="P48" s="24"/>
      <c r="R48" s="26">
        <v>0.0</v>
      </c>
      <c r="T48" s="24"/>
      <c r="V48" s="24"/>
      <c r="W48" s="27"/>
      <c r="X48" s="23"/>
      <c r="Z48" s="24"/>
      <c r="AB48" s="24"/>
      <c r="AD48" s="24"/>
      <c r="AF48" s="24"/>
      <c r="AH48" s="24"/>
      <c r="AI48" s="27"/>
      <c r="AJ48" s="39">
        <f t="shared" si="1"/>
        <v>5180.24</v>
      </c>
      <c r="AK48" s="35">
        <f t="shared" si="2"/>
        <v>354</v>
      </c>
      <c r="AL48" s="35">
        <f t="shared" si="3"/>
        <v>0</v>
      </c>
      <c r="AM48" s="35">
        <f t="shared" si="4"/>
        <v>354</v>
      </c>
      <c r="AN48" s="40">
        <f t="shared" si="5"/>
        <v>14.63344633</v>
      </c>
    </row>
    <row r="49" ht="15.75" customHeight="1">
      <c r="A49" s="32" t="s">
        <v>29</v>
      </c>
      <c r="B49" s="34">
        <f t="shared" si="6"/>
        <v>44609</v>
      </c>
      <c r="C49" s="35">
        <v>2.0</v>
      </c>
      <c r="D49" s="35" t="s">
        <v>33</v>
      </c>
      <c r="E49" s="37"/>
      <c r="F49" s="25">
        <v>89.0</v>
      </c>
      <c r="H49" s="26">
        <v>89.0</v>
      </c>
      <c r="J49" s="24"/>
      <c r="L49" s="25">
        <v>88.0</v>
      </c>
      <c r="N49" s="26">
        <v>88.0</v>
      </c>
      <c r="P49" s="24"/>
      <c r="R49" s="26">
        <v>0.0</v>
      </c>
      <c r="T49" s="24"/>
      <c r="V49" s="24"/>
      <c r="W49" s="27"/>
      <c r="X49" s="23"/>
      <c r="Z49" s="24"/>
      <c r="AB49" s="24"/>
      <c r="AD49" s="24"/>
      <c r="AF49" s="24"/>
      <c r="AH49" s="24"/>
      <c r="AI49" s="27"/>
      <c r="AJ49" s="39">
        <f t="shared" si="1"/>
        <v>5180.24</v>
      </c>
      <c r="AK49" s="35">
        <f t="shared" si="2"/>
        <v>354</v>
      </c>
      <c r="AL49" s="35">
        <f t="shared" si="3"/>
        <v>0</v>
      </c>
      <c r="AM49" s="35">
        <f t="shared" si="4"/>
        <v>354</v>
      </c>
      <c r="AN49" s="40">
        <f t="shared" si="5"/>
        <v>14.63344633</v>
      </c>
    </row>
    <row r="50" ht="15.75" customHeight="1">
      <c r="A50" s="32" t="s">
        <v>30</v>
      </c>
      <c r="B50" s="34">
        <f t="shared" si="6"/>
        <v>44610</v>
      </c>
      <c r="C50" s="35">
        <v>2.0</v>
      </c>
      <c r="D50" s="35" t="s">
        <v>33</v>
      </c>
      <c r="E50" s="37"/>
      <c r="F50" s="25">
        <v>89.0</v>
      </c>
      <c r="H50" s="26">
        <v>89.0</v>
      </c>
      <c r="J50" s="24"/>
      <c r="L50" s="25">
        <v>88.0</v>
      </c>
      <c r="N50" s="26">
        <v>88.0</v>
      </c>
      <c r="P50" s="24"/>
      <c r="R50" s="26">
        <v>0.0</v>
      </c>
      <c r="T50" s="24"/>
      <c r="V50" s="24"/>
      <c r="W50" s="27"/>
      <c r="X50" s="23"/>
      <c r="Z50" s="24"/>
      <c r="AB50" s="24"/>
      <c r="AD50" s="24"/>
      <c r="AF50" s="24"/>
      <c r="AH50" s="24"/>
      <c r="AI50" s="27"/>
      <c r="AJ50" s="39">
        <f t="shared" si="1"/>
        <v>5180.24</v>
      </c>
      <c r="AK50" s="35">
        <f t="shared" si="2"/>
        <v>354</v>
      </c>
      <c r="AL50" s="35">
        <f t="shared" si="3"/>
        <v>0</v>
      </c>
      <c r="AM50" s="35">
        <f t="shared" si="4"/>
        <v>354</v>
      </c>
      <c r="AN50" s="40">
        <f t="shared" si="5"/>
        <v>14.63344633</v>
      </c>
    </row>
    <row r="51" ht="15.75" customHeight="1">
      <c r="A51" s="48" t="s">
        <v>31</v>
      </c>
      <c r="B51" s="50">
        <f t="shared" si="6"/>
        <v>44611</v>
      </c>
      <c r="C51" s="51">
        <v>2.0</v>
      </c>
      <c r="D51" s="51" t="s">
        <v>33</v>
      </c>
      <c r="E51" s="53"/>
      <c r="F51" s="58">
        <v>89.0</v>
      </c>
      <c r="G51" s="56"/>
      <c r="H51" s="59">
        <v>89.0</v>
      </c>
      <c r="I51" s="56"/>
      <c r="J51" s="57"/>
      <c r="K51" s="56"/>
      <c r="L51" s="58">
        <v>88.0</v>
      </c>
      <c r="M51" s="56"/>
      <c r="N51" s="59">
        <v>88.0</v>
      </c>
      <c r="O51" s="56"/>
      <c r="P51" s="57"/>
      <c r="Q51" s="56"/>
      <c r="R51" s="59">
        <v>0.0</v>
      </c>
      <c r="S51" s="56"/>
      <c r="T51" s="57"/>
      <c r="U51" s="56"/>
      <c r="V51" s="57"/>
      <c r="W51" s="60"/>
      <c r="X51" s="54"/>
      <c r="Y51" s="56"/>
      <c r="Z51" s="57"/>
      <c r="AA51" s="56"/>
      <c r="AB51" s="57"/>
      <c r="AC51" s="56"/>
      <c r="AD51" s="57"/>
      <c r="AE51" s="56"/>
      <c r="AF51" s="57"/>
      <c r="AG51" s="56"/>
      <c r="AH51" s="57"/>
      <c r="AI51" s="60"/>
      <c r="AJ51" s="61">
        <f t="shared" si="1"/>
        <v>5180.24</v>
      </c>
      <c r="AK51" s="51">
        <f t="shared" si="2"/>
        <v>354</v>
      </c>
      <c r="AL51" s="51">
        <f t="shared" si="3"/>
        <v>0</v>
      </c>
      <c r="AM51" s="51">
        <f t="shared" si="4"/>
        <v>354</v>
      </c>
      <c r="AN51" s="63">
        <f t="shared" si="5"/>
        <v>14.63344633</v>
      </c>
    </row>
    <row r="52" ht="15.75" customHeight="1">
      <c r="A52" s="18" t="s">
        <v>20</v>
      </c>
      <c r="B52" s="64">
        <f t="shared" si="6"/>
        <v>44612</v>
      </c>
      <c r="C52" s="20">
        <v>2.0</v>
      </c>
      <c r="D52" s="20" t="s">
        <v>34</v>
      </c>
      <c r="E52" s="22"/>
      <c r="F52" s="25">
        <v>89.0</v>
      </c>
      <c r="H52" s="26">
        <v>89.0</v>
      </c>
      <c r="J52" s="24"/>
      <c r="L52" s="25">
        <v>88.0</v>
      </c>
      <c r="N52" s="26">
        <v>88.0</v>
      </c>
      <c r="P52" s="24"/>
      <c r="R52" s="26">
        <v>0.0</v>
      </c>
      <c r="T52" s="24"/>
      <c r="V52" s="24"/>
      <c r="W52" s="27"/>
      <c r="X52" s="23"/>
      <c r="Z52" s="24"/>
      <c r="AB52" s="24"/>
      <c r="AD52" s="24"/>
      <c r="AF52" s="24"/>
      <c r="AH52" s="24"/>
      <c r="AI52" s="27"/>
      <c r="AJ52" s="28">
        <f t="shared" si="1"/>
        <v>5180.24</v>
      </c>
      <c r="AK52" s="20">
        <f t="shared" si="2"/>
        <v>354</v>
      </c>
      <c r="AL52" s="20">
        <f t="shared" si="3"/>
        <v>0</v>
      </c>
      <c r="AM52" s="20">
        <f t="shared" si="4"/>
        <v>354</v>
      </c>
      <c r="AN52" s="31">
        <f t="shared" si="5"/>
        <v>14.63344633</v>
      </c>
    </row>
    <row r="53" ht="15.75" customHeight="1">
      <c r="A53" s="32" t="s">
        <v>22</v>
      </c>
      <c r="B53" s="34">
        <f t="shared" si="6"/>
        <v>44613</v>
      </c>
      <c r="C53" s="35">
        <v>2.0</v>
      </c>
      <c r="D53" s="35" t="s">
        <v>34</v>
      </c>
      <c r="E53" s="37"/>
      <c r="F53" s="25">
        <v>115.0</v>
      </c>
      <c r="H53" s="26">
        <v>115.0</v>
      </c>
      <c r="J53" s="24"/>
      <c r="L53" s="25">
        <v>88.0</v>
      </c>
      <c r="N53" s="26">
        <v>88.0</v>
      </c>
      <c r="P53" s="24"/>
      <c r="R53" s="26">
        <v>0.0</v>
      </c>
      <c r="T53" s="24"/>
      <c r="V53" s="24"/>
      <c r="W53" s="27"/>
      <c r="X53" s="23"/>
      <c r="Z53" s="24"/>
      <c r="AB53" s="24"/>
      <c r="AD53" s="24"/>
      <c r="AF53" s="24"/>
      <c r="AH53" s="24"/>
      <c r="AI53" s="27"/>
      <c r="AJ53" s="39">
        <f t="shared" si="1"/>
        <v>6110</v>
      </c>
      <c r="AK53" s="35">
        <f t="shared" si="2"/>
        <v>406</v>
      </c>
      <c r="AL53" s="35">
        <f t="shared" si="3"/>
        <v>0</v>
      </c>
      <c r="AM53" s="35">
        <f t="shared" si="4"/>
        <v>406</v>
      </c>
      <c r="AN53" s="40">
        <f t="shared" si="5"/>
        <v>15.04926108</v>
      </c>
    </row>
    <row r="54" ht="15.75" customHeight="1">
      <c r="A54" s="32" t="s">
        <v>24</v>
      </c>
      <c r="B54" s="34">
        <f t="shared" si="6"/>
        <v>44614</v>
      </c>
      <c r="C54" s="35">
        <v>2.0</v>
      </c>
      <c r="D54" s="35" t="s">
        <v>34</v>
      </c>
      <c r="E54" s="37"/>
      <c r="F54" s="25">
        <v>115.0</v>
      </c>
      <c r="H54" s="26">
        <v>115.0</v>
      </c>
      <c r="J54" s="24"/>
      <c r="L54" s="25">
        <v>88.0</v>
      </c>
      <c r="N54" s="26">
        <v>88.0</v>
      </c>
      <c r="P54" s="24"/>
      <c r="R54" s="26">
        <v>0.0</v>
      </c>
      <c r="T54" s="24"/>
      <c r="V54" s="24"/>
      <c r="W54" s="27"/>
      <c r="X54" s="23"/>
      <c r="Z54" s="24"/>
      <c r="AB54" s="24"/>
      <c r="AD54" s="24"/>
      <c r="AF54" s="24"/>
      <c r="AH54" s="24"/>
      <c r="AI54" s="27"/>
      <c r="AJ54" s="39">
        <f t="shared" si="1"/>
        <v>6110</v>
      </c>
      <c r="AK54" s="35">
        <f t="shared" si="2"/>
        <v>406</v>
      </c>
      <c r="AL54" s="35">
        <f t="shared" si="3"/>
        <v>0</v>
      </c>
      <c r="AM54" s="35">
        <f t="shared" si="4"/>
        <v>406</v>
      </c>
      <c r="AN54" s="40">
        <f t="shared" si="5"/>
        <v>15.04926108</v>
      </c>
    </row>
    <row r="55" ht="15.75" customHeight="1">
      <c r="A55" s="32" t="s">
        <v>28</v>
      </c>
      <c r="B55" s="34">
        <f t="shared" si="6"/>
        <v>44615</v>
      </c>
      <c r="C55" s="35">
        <v>2.0</v>
      </c>
      <c r="D55" s="35" t="s">
        <v>34</v>
      </c>
      <c r="E55" s="37"/>
      <c r="F55" s="25">
        <v>115.0</v>
      </c>
      <c r="H55" s="26">
        <v>115.0</v>
      </c>
      <c r="J55" s="24"/>
      <c r="L55" s="25">
        <v>88.0</v>
      </c>
      <c r="N55" s="26">
        <v>88.0</v>
      </c>
      <c r="P55" s="24"/>
      <c r="R55" s="26">
        <v>0.0</v>
      </c>
      <c r="T55" s="24"/>
      <c r="V55" s="24"/>
      <c r="W55" s="27"/>
      <c r="X55" s="23"/>
      <c r="Z55" s="24"/>
      <c r="AB55" s="24"/>
      <c r="AD55" s="24"/>
      <c r="AF55" s="24"/>
      <c r="AH55" s="24"/>
      <c r="AI55" s="27"/>
      <c r="AJ55" s="39">
        <f t="shared" si="1"/>
        <v>6110</v>
      </c>
      <c r="AK55" s="35">
        <f t="shared" si="2"/>
        <v>406</v>
      </c>
      <c r="AL55" s="35">
        <f t="shared" si="3"/>
        <v>0</v>
      </c>
      <c r="AM55" s="35">
        <f t="shared" si="4"/>
        <v>406</v>
      </c>
      <c r="AN55" s="40">
        <f t="shared" si="5"/>
        <v>15.04926108</v>
      </c>
    </row>
    <row r="56" ht="15.75" customHeight="1">
      <c r="A56" s="32" t="s">
        <v>29</v>
      </c>
      <c r="B56" s="34">
        <f t="shared" si="6"/>
        <v>44616</v>
      </c>
      <c r="C56" s="35">
        <v>2.0</v>
      </c>
      <c r="D56" s="35" t="s">
        <v>34</v>
      </c>
      <c r="E56" s="37"/>
      <c r="F56" s="25">
        <v>115.0</v>
      </c>
      <c r="H56" s="26">
        <v>115.0</v>
      </c>
      <c r="J56" s="24"/>
      <c r="L56" s="25">
        <v>88.0</v>
      </c>
      <c r="N56" s="26">
        <v>88.0</v>
      </c>
      <c r="P56" s="24"/>
      <c r="R56" s="26">
        <v>0.0</v>
      </c>
      <c r="T56" s="24"/>
      <c r="V56" s="24"/>
      <c r="W56" s="27"/>
      <c r="X56" s="23"/>
      <c r="Z56" s="24"/>
      <c r="AB56" s="24"/>
      <c r="AD56" s="24"/>
      <c r="AF56" s="24"/>
      <c r="AH56" s="24"/>
      <c r="AI56" s="27"/>
      <c r="AJ56" s="39">
        <f t="shared" si="1"/>
        <v>6110</v>
      </c>
      <c r="AK56" s="35">
        <f t="shared" si="2"/>
        <v>406</v>
      </c>
      <c r="AL56" s="35">
        <f t="shared" si="3"/>
        <v>0</v>
      </c>
      <c r="AM56" s="35">
        <f t="shared" si="4"/>
        <v>406</v>
      </c>
      <c r="AN56" s="40">
        <f t="shared" si="5"/>
        <v>15.04926108</v>
      </c>
    </row>
    <row r="57" ht="15.75" customHeight="1">
      <c r="A57" s="32" t="s">
        <v>30</v>
      </c>
      <c r="B57" s="34">
        <f t="shared" si="6"/>
        <v>44617</v>
      </c>
      <c r="C57" s="35">
        <v>2.0</v>
      </c>
      <c r="D57" s="35" t="s">
        <v>34</v>
      </c>
      <c r="E57" s="37"/>
      <c r="F57" s="25">
        <v>115.0</v>
      </c>
      <c r="H57" s="26">
        <v>115.0</v>
      </c>
      <c r="J57" s="24"/>
      <c r="L57" s="25">
        <v>88.0</v>
      </c>
      <c r="N57" s="26">
        <v>88.0</v>
      </c>
      <c r="P57" s="24"/>
      <c r="R57" s="26">
        <v>0.0</v>
      </c>
      <c r="T57" s="24"/>
      <c r="V57" s="24"/>
      <c r="W57" s="27"/>
      <c r="X57" s="23"/>
      <c r="Z57" s="24"/>
      <c r="AB57" s="24"/>
      <c r="AD57" s="24"/>
      <c r="AF57" s="24"/>
      <c r="AH57" s="24"/>
      <c r="AI57" s="27"/>
      <c r="AJ57" s="39">
        <f t="shared" si="1"/>
        <v>6110</v>
      </c>
      <c r="AK57" s="35">
        <f t="shared" si="2"/>
        <v>406</v>
      </c>
      <c r="AL57" s="35">
        <f t="shared" si="3"/>
        <v>0</v>
      </c>
      <c r="AM57" s="35">
        <f t="shared" si="4"/>
        <v>406</v>
      </c>
      <c r="AN57" s="40">
        <f t="shared" si="5"/>
        <v>15.04926108</v>
      </c>
    </row>
    <row r="58" ht="15.75" customHeight="1">
      <c r="A58" s="48" t="s">
        <v>31</v>
      </c>
      <c r="B58" s="50">
        <f t="shared" si="6"/>
        <v>44618</v>
      </c>
      <c r="C58" s="51">
        <v>2.0</v>
      </c>
      <c r="D58" s="51" t="s">
        <v>34</v>
      </c>
      <c r="E58" s="53"/>
      <c r="F58" s="58">
        <v>115.0</v>
      </c>
      <c r="G58" s="56"/>
      <c r="H58" s="59">
        <v>115.0</v>
      </c>
      <c r="I58" s="56"/>
      <c r="J58" s="57"/>
      <c r="K58" s="56"/>
      <c r="L58" s="58">
        <v>88.0</v>
      </c>
      <c r="M58" s="56"/>
      <c r="N58" s="59">
        <v>88.0</v>
      </c>
      <c r="O58" s="56"/>
      <c r="P58" s="57"/>
      <c r="Q58" s="56"/>
      <c r="R58" s="59">
        <v>0.0</v>
      </c>
      <c r="S58" s="56"/>
      <c r="T58" s="57"/>
      <c r="U58" s="56"/>
      <c r="V58" s="57"/>
      <c r="W58" s="60"/>
      <c r="X58" s="54"/>
      <c r="Y58" s="56"/>
      <c r="Z58" s="57"/>
      <c r="AA58" s="56"/>
      <c r="AB58" s="57"/>
      <c r="AC58" s="56"/>
      <c r="AD58" s="57"/>
      <c r="AE58" s="56"/>
      <c r="AF58" s="57"/>
      <c r="AG58" s="56"/>
      <c r="AH58" s="57"/>
      <c r="AI58" s="60"/>
      <c r="AJ58" s="61">
        <f t="shared" si="1"/>
        <v>6110</v>
      </c>
      <c r="AK58" s="51">
        <f t="shared" si="2"/>
        <v>406</v>
      </c>
      <c r="AL58" s="51">
        <f t="shared" si="3"/>
        <v>0</v>
      </c>
      <c r="AM58" s="51">
        <f t="shared" si="4"/>
        <v>406</v>
      </c>
      <c r="AN58" s="63">
        <f t="shared" si="5"/>
        <v>15.04926108</v>
      </c>
    </row>
    <row r="59" ht="15.75" customHeight="1">
      <c r="A59" s="18" t="s">
        <v>20</v>
      </c>
      <c r="B59" s="64">
        <f t="shared" si="6"/>
        <v>44619</v>
      </c>
      <c r="C59" s="20">
        <v>3.0</v>
      </c>
      <c r="D59" s="20" t="s">
        <v>21</v>
      </c>
      <c r="E59" s="22"/>
      <c r="F59" s="25">
        <v>115.0</v>
      </c>
      <c r="H59" s="26">
        <v>115.0</v>
      </c>
      <c r="J59" s="24"/>
      <c r="L59" s="25">
        <v>88.0</v>
      </c>
      <c r="N59" s="26">
        <v>88.0</v>
      </c>
      <c r="P59" s="24"/>
      <c r="R59" s="26">
        <v>0.0</v>
      </c>
      <c r="T59" s="24"/>
      <c r="V59" s="24"/>
      <c r="W59" s="27"/>
      <c r="X59" s="23"/>
      <c r="Z59" s="24"/>
      <c r="AB59" s="24"/>
      <c r="AD59" s="24"/>
      <c r="AF59" s="24"/>
      <c r="AH59" s="24"/>
      <c r="AI59" s="27"/>
      <c r="AJ59" s="28">
        <f t="shared" si="1"/>
        <v>6110</v>
      </c>
      <c r="AK59" s="20">
        <f t="shared" si="2"/>
        <v>406</v>
      </c>
      <c r="AL59" s="20">
        <f t="shared" si="3"/>
        <v>0</v>
      </c>
      <c r="AM59" s="20">
        <f t="shared" si="4"/>
        <v>406</v>
      </c>
      <c r="AN59" s="31">
        <f t="shared" si="5"/>
        <v>15.04926108</v>
      </c>
    </row>
    <row r="60" ht="15.75" customHeight="1">
      <c r="A60" s="32" t="s">
        <v>22</v>
      </c>
      <c r="B60" s="34">
        <f t="shared" si="6"/>
        <v>44620</v>
      </c>
      <c r="C60" s="35">
        <v>3.0</v>
      </c>
      <c r="D60" s="35" t="s">
        <v>21</v>
      </c>
      <c r="E60" s="37"/>
      <c r="F60" s="25">
        <v>115.0</v>
      </c>
      <c r="H60" s="26">
        <v>115.0</v>
      </c>
      <c r="J60" s="24"/>
      <c r="L60" s="25">
        <v>88.0</v>
      </c>
      <c r="N60" s="26">
        <v>88.0</v>
      </c>
      <c r="P60" s="24"/>
      <c r="R60" s="26">
        <v>0.0</v>
      </c>
      <c r="T60" s="24"/>
      <c r="V60" s="24"/>
      <c r="W60" s="27"/>
      <c r="X60" s="23"/>
      <c r="Z60" s="24"/>
      <c r="AB60" s="24"/>
      <c r="AD60" s="24"/>
      <c r="AF60" s="24"/>
      <c r="AH60" s="24"/>
      <c r="AI60" s="27"/>
      <c r="AJ60" s="39">
        <f t="shared" si="1"/>
        <v>6110</v>
      </c>
      <c r="AK60" s="35">
        <f t="shared" si="2"/>
        <v>406</v>
      </c>
      <c r="AL60" s="35">
        <f t="shared" si="3"/>
        <v>0</v>
      </c>
      <c r="AM60" s="35">
        <f t="shared" si="4"/>
        <v>406</v>
      </c>
      <c r="AN60" s="40">
        <f t="shared" si="5"/>
        <v>15.04926108</v>
      </c>
    </row>
    <row r="61" ht="15.75" customHeight="1">
      <c r="A61" s="32" t="s">
        <v>24</v>
      </c>
      <c r="B61" s="34">
        <f t="shared" si="6"/>
        <v>44621</v>
      </c>
      <c r="C61" s="35">
        <v>3.0</v>
      </c>
      <c r="D61" s="35" t="s">
        <v>21</v>
      </c>
      <c r="E61" s="37"/>
      <c r="F61" s="25">
        <v>115.0</v>
      </c>
      <c r="H61" s="26">
        <v>115.0</v>
      </c>
      <c r="J61" s="24"/>
      <c r="L61" s="25">
        <v>240.0</v>
      </c>
      <c r="N61" s="26">
        <v>240.0</v>
      </c>
      <c r="P61" s="24"/>
      <c r="R61" s="26">
        <v>0.0</v>
      </c>
      <c r="T61" s="24"/>
      <c r="V61" s="24"/>
      <c r="W61" s="27"/>
      <c r="X61" s="23"/>
      <c r="Z61" s="24"/>
      <c r="AB61" s="24"/>
      <c r="AD61" s="24"/>
      <c r="AF61" s="24"/>
      <c r="AH61" s="24"/>
      <c r="AI61" s="27"/>
      <c r="AJ61" s="39">
        <f t="shared" si="1"/>
        <v>9560.4</v>
      </c>
      <c r="AK61" s="35">
        <f t="shared" si="2"/>
        <v>710</v>
      </c>
      <c r="AL61" s="35">
        <f t="shared" si="3"/>
        <v>0</v>
      </c>
      <c r="AM61" s="35">
        <f t="shared" si="4"/>
        <v>710</v>
      </c>
      <c r="AN61" s="40">
        <f t="shared" si="5"/>
        <v>13.46535211</v>
      </c>
    </row>
    <row r="62" ht="15.75" customHeight="1">
      <c r="A62" s="32" t="s">
        <v>28</v>
      </c>
      <c r="B62" s="34">
        <f t="shared" si="6"/>
        <v>44622</v>
      </c>
      <c r="C62" s="35">
        <v>3.0</v>
      </c>
      <c r="D62" s="35" t="s">
        <v>21</v>
      </c>
      <c r="E62" s="37"/>
      <c r="F62" s="25">
        <v>115.0</v>
      </c>
      <c r="H62" s="26">
        <v>115.0</v>
      </c>
      <c r="J62" s="24"/>
      <c r="L62" s="25">
        <v>240.0</v>
      </c>
      <c r="N62" s="26">
        <v>240.0</v>
      </c>
      <c r="P62" s="24"/>
      <c r="R62" s="26">
        <v>0.0</v>
      </c>
      <c r="T62" s="24"/>
      <c r="V62" s="24"/>
      <c r="W62" s="27"/>
      <c r="X62" s="23"/>
      <c r="Z62" s="24"/>
      <c r="AB62" s="24"/>
      <c r="AD62" s="24"/>
      <c r="AF62" s="24"/>
      <c r="AH62" s="24"/>
      <c r="AI62" s="27"/>
      <c r="AJ62" s="39">
        <f t="shared" si="1"/>
        <v>9560.4</v>
      </c>
      <c r="AK62" s="35">
        <f t="shared" si="2"/>
        <v>710</v>
      </c>
      <c r="AL62" s="35">
        <f t="shared" si="3"/>
        <v>0</v>
      </c>
      <c r="AM62" s="35">
        <f t="shared" si="4"/>
        <v>710</v>
      </c>
      <c r="AN62" s="40">
        <f t="shared" si="5"/>
        <v>13.46535211</v>
      </c>
    </row>
    <row r="63" ht="15.75" customHeight="1">
      <c r="A63" s="32" t="s">
        <v>29</v>
      </c>
      <c r="B63" s="34">
        <f t="shared" si="6"/>
        <v>44623</v>
      </c>
      <c r="C63" s="35">
        <v>3.0</v>
      </c>
      <c r="D63" s="35" t="s">
        <v>21</v>
      </c>
      <c r="E63" s="37"/>
      <c r="F63" s="25">
        <v>115.0</v>
      </c>
      <c r="H63" s="26">
        <v>115.0</v>
      </c>
      <c r="J63" s="24"/>
      <c r="L63" s="25">
        <v>240.0</v>
      </c>
      <c r="N63" s="26">
        <v>240.0</v>
      </c>
      <c r="P63" s="24"/>
      <c r="R63" s="26">
        <v>0.0</v>
      </c>
      <c r="T63" s="24"/>
      <c r="V63" s="24"/>
      <c r="W63" s="27"/>
      <c r="X63" s="23"/>
      <c r="Z63" s="24"/>
      <c r="AB63" s="24"/>
      <c r="AD63" s="24"/>
      <c r="AF63" s="24"/>
      <c r="AH63" s="24"/>
      <c r="AI63" s="27"/>
      <c r="AJ63" s="39">
        <f t="shared" si="1"/>
        <v>9560.4</v>
      </c>
      <c r="AK63" s="35">
        <f t="shared" si="2"/>
        <v>710</v>
      </c>
      <c r="AL63" s="35">
        <f t="shared" si="3"/>
        <v>0</v>
      </c>
      <c r="AM63" s="35">
        <f t="shared" si="4"/>
        <v>710</v>
      </c>
      <c r="AN63" s="40">
        <f t="shared" si="5"/>
        <v>13.46535211</v>
      </c>
    </row>
    <row r="64" ht="15.75" customHeight="1">
      <c r="A64" s="32" t="s">
        <v>30</v>
      </c>
      <c r="B64" s="34">
        <f t="shared" si="6"/>
        <v>44624</v>
      </c>
      <c r="C64" s="35">
        <v>3.0</v>
      </c>
      <c r="D64" s="35" t="s">
        <v>21</v>
      </c>
      <c r="E64" s="37"/>
      <c r="F64" s="25">
        <v>115.0</v>
      </c>
      <c r="H64" s="26">
        <v>115.0</v>
      </c>
      <c r="J64" s="24"/>
      <c r="L64" s="25">
        <v>240.0</v>
      </c>
      <c r="N64" s="26">
        <v>240.0</v>
      </c>
      <c r="P64" s="24"/>
      <c r="R64" s="26">
        <v>0.0</v>
      </c>
      <c r="T64" s="24"/>
      <c r="V64" s="24"/>
      <c r="W64" s="27"/>
      <c r="X64" s="23"/>
      <c r="Z64" s="24"/>
      <c r="AB64" s="24"/>
      <c r="AD64" s="24"/>
      <c r="AF64" s="24"/>
      <c r="AH64" s="24"/>
      <c r="AI64" s="27"/>
      <c r="AJ64" s="39">
        <f t="shared" si="1"/>
        <v>9560.4</v>
      </c>
      <c r="AK64" s="35">
        <f t="shared" si="2"/>
        <v>710</v>
      </c>
      <c r="AL64" s="35">
        <f t="shared" si="3"/>
        <v>0</v>
      </c>
      <c r="AM64" s="35">
        <f t="shared" si="4"/>
        <v>710</v>
      </c>
      <c r="AN64" s="40">
        <f t="shared" si="5"/>
        <v>13.46535211</v>
      </c>
    </row>
    <row r="65" ht="15.75" customHeight="1">
      <c r="A65" s="48" t="s">
        <v>31</v>
      </c>
      <c r="B65" s="50">
        <f t="shared" si="6"/>
        <v>44625</v>
      </c>
      <c r="C65" s="51">
        <v>3.0</v>
      </c>
      <c r="D65" s="51" t="s">
        <v>21</v>
      </c>
      <c r="E65" s="53"/>
      <c r="F65" s="58">
        <v>115.0</v>
      </c>
      <c r="G65" s="56"/>
      <c r="H65" s="59">
        <v>115.0</v>
      </c>
      <c r="I65" s="56"/>
      <c r="J65" s="57"/>
      <c r="K65" s="56"/>
      <c r="L65" s="58">
        <v>240.0</v>
      </c>
      <c r="M65" s="56"/>
      <c r="N65" s="59">
        <v>240.0</v>
      </c>
      <c r="O65" s="56"/>
      <c r="P65" s="57"/>
      <c r="Q65" s="56"/>
      <c r="R65" s="59">
        <v>0.0</v>
      </c>
      <c r="S65" s="56"/>
      <c r="T65" s="57"/>
      <c r="U65" s="56"/>
      <c r="V65" s="57"/>
      <c r="W65" s="60"/>
      <c r="X65" s="54"/>
      <c r="Y65" s="56"/>
      <c r="Z65" s="57"/>
      <c r="AA65" s="56"/>
      <c r="AB65" s="57"/>
      <c r="AC65" s="56"/>
      <c r="AD65" s="57"/>
      <c r="AE65" s="56"/>
      <c r="AF65" s="57"/>
      <c r="AG65" s="56"/>
      <c r="AH65" s="57"/>
      <c r="AI65" s="60"/>
      <c r="AJ65" s="61">
        <f t="shared" si="1"/>
        <v>9560.4</v>
      </c>
      <c r="AK65" s="51">
        <f t="shared" si="2"/>
        <v>710</v>
      </c>
      <c r="AL65" s="51">
        <f t="shared" si="3"/>
        <v>0</v>
      </c>
      <c r="AM65" s="51">
        <f t="shared" si="4"/>
        <v>710</v>
      </c>
      <c r="AN65" s="63">
        <f t="shared" si="5"/>
        <v>13.46535211</v>
      </c>
    </row>
    <row r="66" ht="15.75" customHeight="1">
      <c r="A66" s="18" t="s">
        <v>20</v>
      </c>
      <c r="B66" s="64">
        <f t="shared" si="6"/>
        <v>44626</v>
      </c>
      <c r="C66" s="20">
        <v>3.0</v>
      </c>
      <c r="D66" s="20" t="s">
        <v>32</v>
      </c>
      <c r="E66" s="22"/>
      <c r="F66" s="25">
        <v>115.0</v>
      </c>
      <c r="H66" s="26">
        <v>115.0</v>
      </c>
      <c r="J66" s="24"/>
      <c r="L66" s="25">
        <v>240.0</v>
      </c>
      <c r="N66" s="26">
        <v>240.0</v>
      </c>
      <c r="P66" s="24"/>
      <c r="R66" s="26">
        <v>0.0</v>
      </c>
      <c r="T66" s="24"/>
      <c r="V66" s="24"/>
      <c r="W66" s="27"/>
      <c r="X66" s="23"/>
      <c r="Z66" s="24"/>
      <c r="AB66" s="24"/>
      <c r="AD66" s="24"/>
      <c r="AF66" s="24"/>
      <c r="AH66" s="24"/>
      <c r="AI66" s="27"/>
      <c r="AJ66" s="28">
        <f t="shared" si="1"/>
        <v>9560.4</v>
      </c>
      <c r="AK66" s="20">
        <f t="shared" si="2"/>
        <v>710</v>
      </c>
      <c r="AL66" s="20">
        <f t="shared" si="3"/>
        <v>0</v>
      </c>
      <c r="AM66" s="20">
        <f t="shared" si="4"/>
        <v>710</v>
      </c>
      <c r="AN66" s="31">
        <f t="shared" si="5"/>
        <v>13.46535211</v>
      </c>
    </row>
    <row r="67" ht="15.75" customHeight="1">
      <c r="A67" s="32" t="s">
        <v>22</v>
      </c>
      <c r="B67" s="34">
        <f t="shared" si="6"/>
        <v>44627</v>
      </c>
      <c r="C67" s="35">
        <v>3.0</v>
      </c>
      <c r="D67" s="35" t="s">
        <v>32</v>
      </c>
      <c r="E67" s="37"/>
      <c r="F67" s="25">
        <v>115.0</v>
      </c>
      <c r="H67" s="26">
        <v>115.0</v>
      </c>
      <c r="J67" s="24"/>
      <c r="L67" s="25">
        <v>240.0</v>
      </c>
      <c r="N67" s="26">
        <v>240.0</v>
      </c>
      <c r="P67" s="24"/>
      <c r="R67" s="26">
        <v>0.0</v>
      </c>
      <c r="T67" s="24"/>
      <c r="V67" s="24"/>
      <c r="W67" s="27"/>
      <c r="X67" s="23"/>
      <c r="Z67" s="24"/>
      <c r="AB67" s="24"/>
      <c r="AD67" s="24"/>
      <c r="AF67" s="24"/>
      <c r="AH67" s="24"/>
      <c r="AI67" s="27"/>
      <c r="AJ67" s="39">
        <f t="shared" si="1"/>
        <v>9560.4</v>
      </c>
      <c r="AK67" s="35">
        <f t="shared" si="2"/>
        <v>710</v>
      </c>
      <c r="AL67" s="35">
        <f t="shared" si="3"/>
        <v>0</v>
      </c>
      <c r="AM67" s="35">
        <f t="shared" si="4"/>
        <v>710</v>
      </c>
      <c r="AN67" s="40">
        <f t="shared" si="5"/>
        <v>13.46535211</v>
      </c>
    </row>
    <row r="68" ht="15.75" customHeight="1">
      <c r="A68" s="32" t="s">
        <v>24</v>
      </c>
      <c r="B68" s="34">
        <f t="shared" si="6"/>
        <v>44628</v>
      </c>
      <c r="C68" s="35">
        <v>3.0</v>
      </c>
      <c r="D68" s="35" t="s">
        <v>32</v>
      </c>
      <c r="E68" s="37"/>
      <c r="F68" s="25">
        <v>115.0</v>
      </c>
      <c r="H68" s="26">
        <v>115.0</v>
      </c>
      <c r="J68" s="24"/>
      <c r="L68" s="25">
        <v>240.0</v>
      </c>
      <c r="N68" s="26">
        <v>240.0</v>
      </c>
      <c r="P68" s="24"/>
      <c r="R68" s="26">
        <v>0.0</v>
      </c>
      <c r="T68" s="24"/>
      <c r="V68" s="24"/>
      <c r="W68" s="27"/>
      <c r="X68" s="23"/>
      <c r="Z68" s="24"/>
      <c r="AB68" s="24"/>
      <c r="AD68" s="24"/>
      <c r="AF68" s="24"/>
      <c r="AH68" s="24"/>
      <c r="AI68" s="27"/>
      <c r="AJ68" s="39">
        <f t="shared" si="1"/>
        <v>9560.4</v>
      </c>
      <c r="AK68" s="35">
        <f t="shared" si="2"/>
        <v>710</v>
      </c>
      <c r="AL68" s="35">
        <f t="shared" si="3"/>
        <v>0</v>
      </c>
      <c r="AM68" s="35">
        <f t="shared" si="4"/>
        <v>710</v>
      </c>
      <c r="AN68" s="40">
        <f t="shared" si="5"/>
        <v>13.46535211</v>
      </c>
    </row>
    <row r="69" ht="15.75" customHeight="1">
      <c r="A69" s="32" t="s">
        <v>28</v>
      </c>
      <c r="B69" s="34">
        <f t="shared" si="6"/>
        <v>44629</v>
      </c>
      <c r="C69" s="35">
        <v>3.0</v>
      </c>
      <c r="D69" s="35" t="s">
        <v>32</v>
      </c>
      <c r="E69" s="37"/>
      <c r="F69" s="25">
        <v>0.0</v>
      </c>
      <c r="H69" s="26">
        <v>0.0</v>
      </c>
      <c r="J69" s="24"/>
      <c r="L69" s="25">
        <v>240.0</v>
      </c>
      <c r="N69" s="26">
        <v>240.0</v>
      </c>
      <c r="P69" s="24"/>
      <c r="R69" s="26">
        <v>0.0</v>
      </c>
      <c r="T69" s="24"/>
      <c r="V69" s="24"/>
      <c r="W69" s="27"/>
      <c r="X69" s="23"/>
      <c r="Z69" s="24"/>
      <c r="AB69" s="24"/>
      <c r="AD69" s="24"/>
      <c r="AF69" s="24"/>
      <c r="AH69" s="24"/>
      <c r="AI69" s="27"/>
      <c r="AJ69" s="39">
        <f t="shared" si="1"/>
        <v>5448</v>
      </c>
      <c r="AK69" s="35">
        <f t="shared" si="2"/>
        <v>480</v>
      </c>
      <c r="AL69" s="35">
        <f t="shared" si="3"/>
        <v>0</v>
      </c>
      <c r="AM69" s="35">
        <f t="shared" si="4"/>
        <v>480</v>
      </c>
      <c r="AN69" s="40">
        <f t="shared" si="5"/>
        <v>11.35</v>
      </c>
    </row>
    <row r="70" ht="15.75" customHeight="1">
      <c r="A70" s="32" t="s">
        <v>29</v>
      </c>
      <c r="B70" s="34">
        <f t="shared" si="6"/>
        <v>44630</v>
      </c>
      <c r="C70" s="35">
        <v>3.0</v>
      </c>
      <c r="D70" s="35" t="s">
        <v>32</v>
      </c>
      <c r="E70" s="37"/>
      <c r="F70" s="25">
        <v>115.0</v>
      </c>
      <c r="H70" s="26">
        <v>115.0</v>
      </c>
      <c r="J70" s="24"/>
      <c r="L70" s="25">
        <v>240.0</v>
      </c>
      <c r="N70" s="26">
        <v>240.0</v>
      </c>
      <c r="P70" s="24"/>
      <c r="R70" s="26">
        <v>0.0</v>
      </c>
      <c r="T70" s="24"/>
      <c r="V70" s="24"/>
      <c r="W70" s="27"/>
      <c r="X70" s="23"/>
      <c r="Z70" s="24"/>
      <c r="AB70" s="24"/>
      <c r="AD70" s="24"/>
      <c r="AF70" s="24"/>
      <c r="AH70" s="24"/>
      <c r="AI70" s="27"/>
      <c r="AJ70" s="39">
        <f t="shared" si="1"/>
        <v>9560.4</v>
      </c>
      <c r="AK70" s="35">
        <f t="shared" si="2"/>
        <v>710</v>
      </c>
      <c r="AL70" s="35">
        <f t="shared" si="3"/>
        <v>0</v>
      </c>
      <c r="AM70" s="35">
        <f t="shared" si="4"/>
        <v>710</v>
      </c>
      <c r="AN70" s="40">
        <f t="shared" si="5"/>
        <v>13.46535211</v>
      </c>
    </row>
    <row r="71" ht="15.75" customHeight="1">
      <c r="A71" s="32" t="s">
        <v>30</v>
      </c>
      <c r="B71" s="34">
        <f t="shared" si="6"/>
        <v>44631</v>
      </c>
      <c r="C71" s="35">
        <v>3.0</v>
      </c>
      <c r="D71" s="35" t="s">
        <v>32</v>
      </c>
      <c r="E71" s="37"/>
      <c r="F71" s="25">
        <v>115.0</v>
      </c>
      <c r="H71" s="26">
        <v>115.0</v>
      </c>
      <c r="J71" s="24"/>
      <c r="L71" s="25">
        <v>240.0</v>
      </c>
      <c r="N71" s="26">
        <v>240.0</v>
      </c>
      <c r="P71" s="24"/>
      <c r="R71" s="26">
        <v>0.0</v>
      </c>
      <c r="T71" s="24"/>
      <c r="V71" s="24"/>
      <c r="W71" s="27"/>
      <c r="X71" s="23"/>
      <c r="Z71" s="24"/>
      <c r="AB71" s="24"/>
      <c r="AD71" s="24"/>
      <c r="AF71" s="24"/>
      <c r="AH71" s="24"/>
      <c r="AI71" s="27"/>
      <c r="AJ71" s="39">
        <f t="shared" si="1"/>
        <v>9560.4</v>
      </c>
      <c r="AK71" s="35">
        <f t="shared" si="2"/>
        <v>710</v>
      </c>
      <c r="AL71" s="35">
        <f t="shared" si="3"/>
        <v>0</v>
      </c>
      <c r="AM71" s="35">
        <f t="shared" si="4"/>
        <v>710</v>
      </c>
      <c r="AN71" s="40">
        <f t="shared" si="5"/>
        <v>13.46535211</v>
      </c>
    </row>
    <row r="72" ht="15.75" customHeight="1">
      <c r="A72" s="48" t="s">
        <v>31</v>
      </c>
      <c r="B72" s="50">
        <f t="shared" si="6"/>
        <v>44632</v>
      </c>
      <c r="C72" s="51">
        <v>3.0</v>
      </c>
      <c r="D72" s="51" t="s">
        <v>32</v>
      </c>
      <c r="E72" s="53"/>
      <c r="F72" s="58">
        <v>115.0</v>
      </c>
      <c r="G72" s="56"/>
      <c r="H72" s="59">
        <v>115.0</v>
      </c>
      <c r="I72" s="56"/>
      <c r="J72" s="57"/>
      <c r="K72" s="56"/>
      <c r="L72" s="58">
        <v>240.0</v>
      </c>
      <c r="M72" s="56"/>
      <c r="N72" s="59">
        <v>240.0</v>
      </c>
      <c r="O72" s="56"/>
      <c r="P72" s="57"/>
      <c r="Q72" s="56"/>
      <c r="R72" s="59">
        <v>0.0</v>
      </c>
      <c r="S72" s="56"/>
      <c r="T72" s="57"/>
      <c r="U72" s="56"/>
      <c r="V72" s="57"/>
      <c r="W72" s="60"/>
      <c r="X72" s="54"/>
      <c r="Y72" s="56"/>
      <c r="Z72" s="57"/>
      <c r="AA72" s="56"/>
      <c r="AB72" s="57"/>
      <c r="AC72" s="56"/>
      <c r="AD72" s="57"/>
      <c r="AE72" s="56"/>
      <c r="AF72" s="57"/>
      <c r="AG72" s="56"/>
      <c r="AH72" s="57"/>
      <c r="AI72" s="60"/>
      <c r="AJ72" s="61">
        <f t="shared" si="1"/>
        <v>9560.4</v>
      </c>
      <c r="AK72" s="51">
        <f t="shared" si="2"/>
        <v>710</v>
      </c>
      <c r="AL72" s="51">
        <f t="shared" si="3"/>
        <v>0</v>
      </c>
      <c r="AM72" s="51">
        <f t="shared" si="4"/>
        <v>710</v>
      </c>
      <c r="AN72" s="63">
        <f t="shared" si="5"/>
        <v>13.46535211</v>
      </c>
    </row>
    <row r="73" ht="15.75" customHeight="1">
      <c r="A73" s="18" t="s">
        <v>20</v>
      </c>
      <c r="B73" s="64">
        <f t="shared" si="6"/>
        <v>44633</v>
      </c>
      <c r="C73" s="20">
        <v>3.0</v>
      </c>
      <c r="D73" s="20" t="s">
        <v>33</v>
      </c>
      <c r="E73" s="22"/>
      <c r="F73" s="25">
        <v>115.0</v>
      </c>
      <c r="H73" s="26">
        <v>115.0</v>
      </c>
      <c r="J73" s="24"/>
      <c r="L73" s="25">
        <v>240.0</v>
      </c>
      <c r="N73" s="26">
        <v>240.0</v>
      </c>
      <c r="P73" s="24"/>
      <c r="R73" s="26">
        <v>0.0</v>
      </c>
      <c r="T73" s="24"/>
      <c r="V73" s="24"/>
      <c r="W73" s="27"/>
      <c r="X73" s="23"/>
      <c r="Z73" s="24"/>
      <c r="AB73" s="24"/>
      <c r="AD73" s="24"/>
      <c r="AF73" s="24"/>
      <c r="AH73" s="24"/>
      <c r="AI73" s="27"/>
      <c r="AJ73" s="28">
        <f t="shared" si="1"/>
        <v>9560.4</v>
      </c>
      <c r="AK73" s="20">
        <f t="shared" si="2"/>
        <v>710</v>
      </c>
      <c r="AL73" s="20">
        <f t="shared" si="3"/>
        <v>0</v>
      </c>
      <c r="AM73" s="20">
        <f t="shared" si="4"/>
        <v>710</v>
      </c>
      <c r="AN73" s="31">
        <f t="shared" si="5"/>
        <v>13.46535211</v>
      </c>
    </row>
    <row r="74" ht="15.75" customHeight="1">
      <c r="A74" s="32" t="s">
        <v>22</v>
      </c>
      <c r="B74" s="34">
        <f t="shared" si="6"/>
        <v>44634</v>
      </c>
      <c r="C74" s="35">
        <v>3.0</v>
      </c>
      <c r="D74" s="35" t="s">
        <v>33</v>
      </c>
      <c r="E74" s="37"/>
      <c r="F74" s="25">
        <v>115.0</v>
      </c>
      <c r="H74" s="26">
        <v>115.0</v>
      </c>
      <c r="J74" s="24"/>
      <c r="L74" s="25">
        <v>240.0</v>
      </c>
      <c r="N74" s="26">
        <v>240.0</v>
      </c>
      <c r="P74" s="24"/>
      <c r="R74" s="26">
        <v>0.0</v>
      </c>
      <c r="T74" s="24"/>
      <c r="V74" s="24"/>
      <c r="W74" s="27"/>
      <c r="X74" s="23"/>
      <c r="Z74" s="24"/>
      <c r="AB74" s="24"/>
      <c r="AD74" s="24"/>
      <c r="AF74" s="24"/>
      <c r="AH74" s="24"/>
      <c r="AI74" s="27"/>
      <c r="AJ74" s="39">
        <f t="shared" si="1"/>
        <v>9560.4</v>
      </c>
      <c r="AK74" s="35">
        <f t="shared" si="2"/>
        <v>710</v>
      </c>
      <c r="AL74" s="35">
        <f t="shared" si="3"/>
        <v>0</v>
      </c>
      <c r="AM74" s="35">
        <f t="shared" si="4"/>
        <v>710</v>
      </c>
      <c r="AN74" s="40">
        <f t="shared" si="5"/>
        <v>13.46535211</v>
      </c>
    </row>
    <row r="75" ht="15.75" customHeight="1">
      <c r="A75" s="32" t="s">
        <v>24</v>
      </c>
      <c r="B75" s="34">
        <f t="shared" si="6"/>
        <v>44635</v>
      </c>
      <c r="C75" s="35">
        <v>3.0</v>
      </c>
      <c r="D75" s="35" t="s">
        <v>33</v>
      </c>
      <c r="E75" s="37"/>
      <c r="F75" s="25">
        <v>0.0</v>
      </c>
      <c r="H75" s="26">
        <v>0.0</v>
      </c>
      <c r="J75" s="24"/>
      <c r="L75" s="25">
        <v>240.0</v>
      </c>
      <c r="N75" s="26">
        <v>240.0</v>
      </c>
      <c r="P75" s="24"/>
      <c r="R75" s="26">
        <v>0.0</v>
      </c>
      <c r="T75" s="24"/>
      <c r="V75" s="24"/>
      <c r="W75" s="27"/>
      <c r="X75" s="23"/>
      <c r="Z75" s="24"/>
      <c r="AB75" s="24"/>
      <c r="AD75" s="24"/>
      <c r="AF75" s="24"/>
      <c r="AH75" s="24"/>
      <c r="AI75" s="27"/>
      <c r="AJ75" s="39">
        <f t="shared" si="1"/>
        <v>5448</v>
      </c>
      <c r="AK75" s="35">
        <f t="shared" si="2"/>
        <v>480</v>
      </c>
      <c r="AL75" s="35">
        <f t="shared" si="3"/>
        <v>0</v>
      </c>
      <c r="AM75" s="35">
        <f t="shared" si="4"/>
        <v>480</v>
      </c>
      <c r="AN75" s="40">
        <f t="shared" si="5"/>
        <v>11.35</v>
      </c>
    </row>
    <row r="76" ht="15.75" customHeight="1">
      <c r="A76" s="32" t="s">
        <v>28</v>
      </c>
      <c r="B76" s="34">
        <f t="shared" si="6"/>
        <v>44636</v>
      </c>
      <c r="C76" s="35">
        <v>3.0</v>
      </c>
      <c r="D76" s="35" t="s">
        <v>33</v>
      </c>
      <c r="E76" s="37"/>
      <c r="F76" s="25">
        <v>105.0</v>
      </c>
      <c r="H76" s="26">
        <v>105.0</v>
      </c>
      <c r="J76" s="24"/>
      <c r="L76" s="25">
        <v>240.0</v>
      </c>
      <c r="N76" s="26">
        <v>240.0</v>
      </c>
      <c r="P76" s="24"/>
      <c r="R76" s="26">
        <v>0.0</v>
      </c>
      <c r="T76" s="24"/>
      <c r="V76" s="24"/>
      <c r="W76" s="27"/>
      <c r="X76" s="23"/>
      <c r="Z76" s="24"/>
      <c r="AB76" s="24"/>
      <c r="AD76" s="24"/>
      <c r="AF76" s="24"/>
      <c r="AH76" s="24"/>
      <c r="AI76" s="27"/>
      <c r="AJ76" s="39">
        <f t="shared" si="1"/>
        <v>9202.8</v>
      </c>
      <c r="AK76" s="35">
        <f t="shared" si="2"/>
        <v>690</v>
      </c>
      <c r="AL76" s="35">
        <f t="shared" si="3"/>
        <v>0</v>
      </c>
      <c r="AM76" s="35">
        <f t="shared" si="4"/>
        <v>690</v>
      </c>
      <c r="AN76" s="40">
        <f t="shared" si="5"/>
        <v>13.3373913</v>
      </c>
    </row>
    <row r="77" ht="15.75" customHeight="1">
      <c r="A77" s="32" t="s">
        <v>29</v>
      </c>
      <c r="B77" s="34">
        <f t="shared" si="6"/>
        <v>44637</v>
      </c>
      <c r="C77" s="35">
        <v>3.0</v>
      </c>
      <c r="D77" s="35" t="s">
        <v>33</v>
      </c>
      <c r="E77" s="37"/>
      <c r="F77" s="25">
        <v>105.0</v>
      </c>
      <c r="H77" s="26">
        <v>105.0</v>
      </c>
      <c r="J77" s="24"/>
      <c r="L77" s="25">
        <v>240.0</v>
      </c>
      <c r="N77" s="26">
        <v>240.0</v>
      </c>
      <c r="P77" s="24"/>
      <c r="R77" s="26">
        <v>0.0</v>
      </c>
      <c r="T77" s="24"/>
      <c r="V77" s="24"/>
      <c r="W77" s="27"/>
      <c r="X77" s="23"/>
      <c r="Z77" s="24"/>
      <c r="AB77" s="24"/>
      <c r="AD77" s="24"/>
      <c r="AF77" s="24"/>
      <c r="AH77" s="24"/>
      <c r="AI77" s="27"/>
      <c r="AJ77" s="39">
        <f t="shared" si="1"/>
        <v>9202.8</v>
      </c>
      <c r="AK77" s="35">
        <f t="shared" si="2"/>
        <v>690</v>
      </c>
      <c r="AL77" s="35">
        <f t="shared" si="3"/>
        <v>0</v>
      </c>
      <c r="AM77" s="35">
        <f t="shared" si="4"/>
        <v>690</v>
      </c>
      <c r="AN77" s="40">
        <f t="shared" si="5"/>
        <v>13.3373913</v>
      </c>
    </row>
    <row r="78" ht="15.75" customHeight="1">
      <c r="A78" s="32" t="s">
        <v>30</v>
      </c>
      <c r="B78" s="34">
        <f t="shared" si="6"/>
        <v>44638</v>
      </c>
      <c r="C78" s="35">
        <v>3.0</v>
      </c>
      <c r="D78" s="35" t="s">
        <v>33</v>
      </c>
      <c r="E78" s="37"/>
      <c r="F78" s="25">
        <v>105.0</v>
      </c>
      <c r="H78" s="26">
        <v>105.0</v>
      </c>
      <c r="J78" s="24"/>
      <c r="L78" s="25">
        <v>240.0</v>
      </c>
      <c r="N78" s="26">
        <v>240.0</v>
      </c>
      <c r="P78" s="24"/>
      <c r="R78" s="26">
        <v>0.0</v>
      </c>
      <c r="T78" s="24"/>
      <c r="V78" s="24"/>
      <c r="W78" s="27"/>
      <c r="X78" s="23"/>
      <c r="Z78" s="24"/>
      <c r="AB78" s="24"/>
      <c r="AD78" s="24"/>
      <c r="AF78" s="24"/>
      <c r="AH78" s="24"/>
      <c r="AI78" s="27"/>
      <c r="AJ78" s="39">
        <f t="shared" si="1"/>
        <v>9202.8</v>
      </c>
      <c r="AK78" s="35">
        <f t="shared" si="2"/>
        <v>690</v>
      </c>
      <c r="AL78" s="35">
        <f t="shared" si="3"/>
        <v>0</v>
      </c>
      <c r="AM78" s="35">
        <f t="shared" si="4"/>
        <v>690</v>
      </c>
      <c r="AN78" s="40">
        <f t="shared" si="5"/>
        <v>13.3373913</v>
      </c>
    </row>
    <row r="79" ht="15.75" customHeight="1">
      <c r="A79" s="48" t="s">
        <v>31</v>
      </c>
      <c r="B79" s="50">
        <f t="shared" si="6"/>
        <v>44639</v>
      </c>
      <c r="C79" s="51">
        <v>3.0</v>
      </c>
      <c r="D79" s="51" t="s">
        <v>33</v>
      </c>
      <c r="E79" s="53"/>
      <c r="F79" s="58">
        <v>105.0</v>
      </c>
      <c r="G79" s="56"/>
      <c r="H79" s="59">
        <v>105.0</v>
      </c>
      <c r="I79" s="56"/>
      <c r="J79" s="57"/>
      <c r="K79" s="56"/>
      <c r="L79" s="58">
        <v>240.0</v>
      </c>
      <c r="M79" s="56"/>
      <c r="N79" s="59">
        <v>240.0</v>
      </c>
      <c r="O79" s="56"/>
      <c r="P79" s="57"/>
      <c r="Q79" s="56"/>
      <c r="R79" s="59">
        <v>0.0</v>
      </c>
      <c r="S79" s="56"/>
      <c r="T79" s="57"/>
      <c r="U79" s="56"/>
      <c r="V79" s="57"/>
      <c r="W79" s="60"/>
      <c r="X79" s="54"/>
      <c r="Y79" s="56"/>
      <c r="Z79" s="57"/>
      <c r="AA79" s="56"/>
      <c r="AB79" s="57"/>
      <c r="AC79" s="56"/>
      <c r="AD79" s="57"/>
      <c r="AE79" s="56"/>
      <c r="AF79" s="57"/>
      <c r="AG79" s="56"/>
      <c r="AH79" s="57"/>
      <c r="AI79" s="60"/>
      <c r="AJ79" s="61">
        <f t="shared" si="1"/>
        <v>9202.8</v>
      </c>
      <c r="AK79" s="51">
        <f t="shared" si="2"/>
        <v>690</v>
      </c>
      <c r="AL79" s="51">
        <f t="shared" si="3"/>
        <v>0</v>
      </c>
      <c r="AM79" s="51">
        <f t="shared" si="4"/>
        <v>690</v>
      </c>
      <c r="AN79" s="63">
        <f t="shared" si="5"/>
        <v>13.3373913</v>
      </c>
    </row>
    <row r="80" ht="15.75" customHeight="1">
      <c r="A80" s="18" t="s">
        <v>20</v>
      </c>
      <c r="B80" s="64">
        <f t="shared" si="6"/>
        <v>44640</v>
      </c>
      <c r="C80" s="20">
        <v>3.0</v>
      </c>
      <c r="D80" s="20" t="s">
        <v>34</v>
      </c>
      <c r="E80" s="22"/>
      <c r="F80" s="25">
        <v>105.0</v>
      </c>
      <c r="H80" s="26">
        <v>105.0</v>
      </c>
      <c r="J80" s="24"/>
      <c r="L80" s="25">
        <v>240.0</v>
      </c>
      <c r="N80" s="26">
        <v>240.0</v>
      </c>
      <c r="P80" s="24"/>
      <c r="R80" s="26">
        <v>0.0</v>
      </c>
      <c r="T80" s="24"/>
      <c r="V80" s="24"/>
      <c r="W80" s="27"/>
      <c r="X80" s="23"/>
      <c r="Z80" s="24"/>
      <c r="AB80" s="24"/>
      <c r="AD80" s="24"/>
      <c r="AF80" s="24"/>
      <c r="AH80" s="24"/>
      <c r="AI80" s="27"/>
      <c r="AJ80" s="28">
        <f t="shared" si="1"/>
        <v>9202.8</v>
      </c>
      <c r="AK80" s="20">
        <f t="shared" si="2"/>
        <v>690</v>
      </c>
      <c r="AL80" s="20">
        <f t="shared" si="3"/>
        <v>0</v>
      </c>
      <c r="AM80" s="20">
        <f t="shared" si="4"/>
        <v>690</v>
      </c>
      <c r="AN80" s="31">
        <f t="shared" si="5"/>
        <v>13.3373913</v>
      </c>
    </row>
    <row r="81" ht="15.75" customHeight="1">
      <c r="A81" s="32" t="s">
        <v>22</v>
      </c>
      <c r="B81" s="34">
        <f t="shared" si="6"/>
        <v>44641</v>
      </c>
      <c r="C81" s="35">
        <v>3.0</v>
      </c>
      <c r="D81" s="35" t="s">
        <v>34</v>
      </c>
      <c r="E81" s="37"/>
      <c r="F81" s="25">
        <v>0.0</v>
      </c>
      <c r="H81" s="26">
        <v>0.0</v>
      </c>
      <c r="J81" s="24"/>
      <c r="L81" s="25">
        <v>240.0</v>
      </c>
      <c r="N81" s="26">
        <v>240.0</v>
      </c>
      <c r="P81" s="24"/>
      <c r="R81" s="26">
        <v>0.0</v>
      </c>
      <c r="T81" s="24"/>
      <c r="V81" s="24"/>
      <c r="W81" s="27"/>
      <c r="X81" s="23"/>
      <c r="Z81" s="24"/>
      <c r="AB81" s="24"/>
      <c r="AD81" s="24"/>
      <c r="AF81" s="24"/>
      <c r="AH81" s="24"/>
      <c r="AI81" s="27"/>
      <c r="AJ81" s="39">
        <f t="shared" si="1"/>
        <v>5448</v>
      </c>
      <c r="AK81" s="35">
        <f t="shared" si="2"/>
        <v>480</v>
      </c>
      <c r="AL81" s="35">
        <f t="shared" si="3"/>
        <v>0</v>
      </c>
      <c r="AM81" s="35">
        <f t="shared" si="4"/>
        <v>480</v>
      </c>
      <c r="AN81" s="40">
        <f t="shared" si="5"/>
        <v>11.35</v>
      </c>
    </row>
    <row r="82" ht="15.75" customHeight="1">
      <c r="A82" s="32" t="s">
        <v>24</v>
      </c>
      <c r="B82" s="34">
        <f t="shared" si="6"/>
        <v>44642</v>
      </c>
      <c r="C82" s="35">
        <v>3.0</v>
      </c>
      <c r="D82" s="35" t="s">
        <v>34</v>
      </c>
      <c r="E82" s="37"/>
      <c r="F82" s="25">
        <v>95.0</v>
      </c>
      <c r="H82" s="26">
        <v>95.0</v>
      </c>
      <c r="J82" s="24"/>
      <c r="L82" s="25">
        <v>240.0</v>
      </c>
      <c r="N82" s="26">
        <v>240.0</v>
      </c>
      <c r="P82" s="24"/>
      <c r="R82" s="26">
        <v>0.0</v>
      </c>
      <c r="T82" s="24"/>
      <c r="V82" s="24"/>
      <c r="W82" s="27"/>
      <c r="X82" s="23"/>
      <c r="Z82" s="24"/>
      <c r="AB82" s="24"/>
      <c r="AD82" s="24"/>
      <c r="AF82" s="24"/>
      <c r="AH82" s="24"/>
      <c r="AI82" s="27"/>
      <c r="AJ82" s="39">
        <f t="shared" si="1"/>
        <v>8845.2</v>
      </c>
      <c r="AK82" s="35">
        <f t="shared" si="2"/>
        <v>670</v>
      </c>
      <c r="AL82" s="35">
        <f t="shared" si="3"/>
        <v>0</v>
      </c>
      <c r="AM82" s="35">
        <f t="shared" si="4"/>
        <v>670</v>
      </c>
      <c r="AN82" s="40">
        <f t="shared" si="5"/>
        <v>13.20179104</v>
      </c>
    </row>
    <row r="83" ht="15.75" customHeight="1">
      <c r="A83" s="32" t="s">
        <v>28</v>
      </c>
      <c r="B83" s="34">
        <f t="shared" si="6"/>
        <v>44643</v>
      </c>
      <c r="C83" s="35">
        <v>3.0</v>
      </c>
      <c r="D83" s="35" t="s">
        <v>34</v>
      </c>
      <c r="E83" s="37"/>
      <c r="F83" s="25">
        <v>95.0</v>
      </c>
      <c r="H83" s="26">
        <v>95.0</v>
      </c>
      <c r="J83" s="24"/>
      <c r="L83" s="25">
        <v>240.0</v>
      </c>
      <c r="N83" s="26">
        <v>240.0</v>
      </c>
      <c r="P83" s="24"/>
      <c r="R83" s="26">
        <v>0.0</v>
      </c>
      <c r="T83" s="24"/>
      <c r="V83" s="24"/>
      <c r="W83" s="27"/>
      <c r="X83" s="23"/>
      <c r="Z83" s="24"/>
      <c r="AB83" s="24"/>
      <c r="AD83" s="24"/>
      <c r="AF83" s="24"/>
      <c r="AH83" s="24"/>
      <c r="AI83" s="27"/>
      <c r="AJ83" s="39">
        <f t="shared" si="1"/>
        <v>8845.2</v>
      </c>
      <c r="AK83" s="35">
        <f t="shared" si="2"/>
        <v>670</v>
      </c>
      <c r="AL83" s="35">
        <f t="shared" si="3"/>
        <v>0</v>
      </c>
      <c r="AM83" s="35">
        <f t="shared" si="4"/>
        <v>670</v>
      </c>
      <c r="AN83" s="40">
        <f t="shared" si="5"/>
        <v>13.20179104</v>
      </c>
    </row>
    <row r="84" ht="15.75" customHeight="1">
      <c r="A84" s="32" t="s">
        <v>29</v>
      </c>
      <c r="B84" s="34">
        <f t="shared" si="6"/>
        <v>44644</v>
      </c>
      <c r="C84" s="35">
        <v>3.0</v>
      </c>
      <c r="D84" s="35" t="s">
        <v>34</v>
      </c>
      <c r="E84" s="37"/>
      <c r="F84" s="25">
        <v>95.0</v>
      </c>
      <c r="H84" s="26">
        <v>95.0</v>
      </c>
      <c r="J84" s="24"/>
      <c r="L84" s="25">
        <v>240.0</v>
      </c>
      <c r="N84" s="26">
        <v>240.0</v>
      </c>
      <c r="P84" s="24"/>
      <c r="R84" s="26">
        <v>0.0</v>
      </c>
      <c r="T84" s="24"/>
      <c r="V84" s="24"/>
      <c r="W84" s="27"/>
      <c r="X84" s="23"/>
      <c r="Z84" s="24"/>
      <c r="AB84" s="24"/>
      <c r="AD84" s="24"/>
      <c r="AF84" s="24"/>
      <c r="AH84" s="24"/>
      <c r="AI84" s="27"/>
      <c r="AJ84" s="39">
        <f t="shared" si="1"/>
        <v>8845.2</v>
      </c>
      <c r="AK84" s="35">
        <f t="shared" si="2"/>
        <v>670</v>
      </c>
      <c r="AL84" s="35">
        <f t="shared" si="3"/>
        <v>0</v>
      </c>
      <c r="AM84" s="35">
        <f t="shared" si="4"/>
        <v>670</v>
      </c>
      <c r="AN84" s="40">
        <f t="shared" si="5"/>
        <v>13.20179104</v>
      </c>
    </row>
    <row r="85" ht="15.75" customHeight="1">
      <c r="A85" s="32" t="s">
        <v>30</v>
      </c>
      <c r="B85" s="34">
        <f t="shared" si="6"/>
        <v>44645</v>
      </c>
      <c r="C85" s="35">
        <v>3.0</v>
      </c>
      <c r="D85" s="35" t="s">
        <v>34</v>
      </c>
      <c r="E85" s="37"/>
      <c r="F85" s="25">
        <v>95.0</v>
      </c>
      <c r="H85" s="26">
        <v>95.0</v>
      </c>
      <c r="J85" s="24"/>
      <c r="L85" s="25">
        <v>240.0</v>
      </c>
      <c r="N85" s="26">
        <v>240.0</v>
      </c>
      <c r="P85" s="24"/>
      <c r="R85" s="26">
        <v>0.0</v>
      </c>
      <c r="T85" s="24"/>
      <c r="V85" s="24"/>
      <c r="W85" s="27"/>
      <c r="X85" s="23"/>
      <c r="Z85" s="24"/>
      <c r="AB85" s="24"/>
      <c r="AD85" s="24"/>
      <c r="AF85" s="24"/>
      <c r="AH85" s="24"/>
      <c r="AI85" s="27"/>
      <c r="AJ85" s="39">
        <f t="shared" si="1"/>
        <v>8845.2</v>
      </c>
      <c r="AK85" s="35">
        <f t="shared" si="2"/>
        <v>670</v>
      </c>
      <c r="AL85" s="35">
        <f t="shared" si="3"/>
        <v>0</v>
      </c>
      <c r="AM85" s="35">
        <f t="shared" si="4"/>
        <v>670</v>
      </c>
      <c r="AN85" s="40">
        <f t="shared" si="5"/>
        <v>13.20179104</v>
      </c>
    </row>
    <row r="86" ht="15.75" customHeight="1">
      <c r="A86" s="48" t="s">
        <v>31</v>
      </c>
      <c r="B86" s="50">
        <f t="shared" si="6"/>
        <v>44646</v>
      </c>
      <c r="C86" s="51">
        <v>3.0</v>
      </c>
      <c r="D86" s="51" t="s">
        <v>34</v>
      </c>
      <c r="E86" s="53"/>
      <c r="F86" s="58">
        <v>95.0</v>
      </c>
      <c r="G86" s="56"/>
      <c r="H86" s="59">
        <v>95.0</v>
      </c>
      <c r="I86" s="56"/>
      <c r="J86" s="57"/>
      <c r="K86" s="56"/>
      <c r="L86" s="58">
        <v>240.0</v>
      </c>
      <c r="M86" s="56"/>
      <c r="N86" s="59">
        <v>240.0</v>
      </c>
      <c r="O86" s="56"/>
      <c r="P86" s="57"/>
      <c r="Q86" s="56"/>
      <c r="R86" s="59">
        <v>0.0</v>
      </c>
      <c r="S86" s="56"/>
      <c r="T86" s="57"/>
      <c r="U86" s="56"/>
      <c r="V86" s="57"/>
      <c r="W86" s="60"/>
      <c r="X86" s="54"/>
      <c r="Y86" s="56"/>
      <c r="Z86" s="57"/>
      <c r="AA86" s="56"/>
      <c r="AB86" s="57"/>
      <c r="AC86" s="56"/>
      <c r="AD86" s="57"/>
      <c r="AE86" s="56"/>
      <c r="AF86" s="57"/>
      <c r="AG86" s="56"/>
      <c r="AH86" s="57"/>
      <c r="AI86" s="60"/>
      <c r="AJ86" s="61">
        <f t="shared" si="1"/>
        <v>8845.2</v>
      </c>
      <c r="AK86" s="51">
        <f t="shared" si="2"/>
        <v>670</v>
      </c>
      <c r="AL86" s="51">
        <f t="shared" si="3"/>
        <v>0</v>
      </c>
      <c r="AM86" s="51">
        <f t="shared" si="4"/>
        <v>670</v>
      </c>
      <c r="AN86" s="63">
        <f t="shared" si="5"/>
        <v>13.20179104</v>
      </c>
    </row>
    <row r="87" ht="15.75" customHeight="1">
      <c r="A87" s="18" t="s">
        <v>20</v>
      </c>
      <c r="B87" s="64">
        <f t="shared" si="6"/>
        <v>44647</v>
      </c>
      <c r="C87" s="20">
        <v>4.0</v>
      </c>
      <c r="D87" s="20" t="s">
        <v>21</v>
      </c>
      <c r="E87" s="22"/>
      <c r="F87" s="23"/>
      <c r="H87" s="24"/>
      <c r="J87" s="24"/>
      <c r="L87" s="25">
        <v>240.0</v>
      </c>
      <c r="N87" s="26">
        <v>240.0</v>
      </c>
      <c r="P87" s="24"/>
      <c r="R87" s="26">
        <v>0.0</v>
      </c>
      <c r="T87" s="24"/>
      <c r="V87" s="24"/>
      <c r="W87" s="27"/>
      <c r="X87" s="23"/>
      <c r="Z87" s="24"/>
      <c r="AB87" s="24"/>
      <c r="AD87" s="24"/>
      <c r="AF87" s="24"/>
      <c r="AH87" s="24"/>
      <c r="AI87" s="27"/>
      <c r="AJ87" s="28">
        <f t="shared" si="1"/>
        <v>5448</v>
      </c>
      <c r="AK87" s="20">
        <f t="shared" si="2"/>
        <v>480</v>
      </c>
      <c r="AL87" s="20">
        <f t="shared" si="3"/>
        <v>0</v>
      </c>
      <c r="AM87" s="20">
        <f t="shared" si="4"/>
        <v>480</v>
      </c>
      <c r="AN87" s="31">
        <f t="shared" si="5"/>
        <v>11.35</v>
      </c>
    </row>
    <row r="88" ht="15.75" customHeight="1">
      <c r="A88" s="32" t="s">
        <v>22</v>
      </c>
      <c r="B88" s="34">
        <f t="shared" si="6"/>
        <v>44648</v>
      </c>
      <c r="C88" s="35">
        <v>4.0</v>
      </c>
      <c r="D88" s="35" t="s">
        <v>21</v>
      </c>
      <c r="E88" s="37"/>
      <c r="F88" s="23"/>
      <c r="H88" s="24"/>
      <c r="J88" s="24"/>
      <c r="L88" s="25">
        <v>240.0</v>
      </c>
      <c r="N88" s="26">
        <v>240.0</v>
      </c>
      <c r="P88" s="24"/>
      <c r="R88" s="26">
        <v>0.0</v>
      </c>
      <c r="T88" s="24"/>
      <c r="V88" s="24"/>
      <c r="W88" s="27"/>
      <c r="X88" s="23"/>
      <c r="Z88" s="24"/>
      <c r="AB88" s="24"/>
      <c r="AD88" s="24"/>
      <c r="AF88" s="24"/>
      <c r="AH88" s="24"/>
      <c r="AI88" s="27"/>
      <c r="AJ88" s="39">
        <f t="shared" si="1"/>
        <v>5448</v>
      </c>
      <c r="AK88" s="35">
        <f t="shared" si="2"/>
        <v>480</v>
      </c>
      <c r="AL88" s="35">
        <f t="shared" si="3"/>
        <v>0</v>
      </c>
      <c r="AM88" s="35">
        <f t="shared" si="4"/>
        <v>480</v>
      </c>
      <c r="AN88" s="40">
        <f t="shared" si="5"/>
        <v>11.35</v>
      </c>
    </row>
    <row r="89" ht="15.75" customHeight="1">
      <c r="A89" s="32" t="s">
        <v>24</v>
      </c>
      <c r="B89" s="34">
        <f t="shared" si="6"/>
        <v>44649</v>
      </c>
      <c r="C89" s="35">
        <v>4.0</v>
      </c>
      <c r="D89" s="35" t="s">
        <v>21</v>
      </c>
      <c r="E89" s="37"/>
      <c r="F89" s="23"/>
      <c r="H89" s="24"/>
      <c r="J89" s="24"/>
      <c r="L89" s="25">
        <v>240.0</v>
      </c>
      <c r="N89" s="26">
        <v>240.0</v>
      </c>
      <c r="P89" s="24"/>
      <c r="R89" s="26">
        <v>0.0</v>
      </c>
      <c r="T89" s="24"/>
      <c r="V89" s="24"/>
      <c r="W89" s="27"/>
      <c r="X89" s="23"/>
      <c r="Z89" s="24"/>
      <c r="AB89" s="24"/>
      <c r="AD89" s="24"/>
      <c r="AF89" s="24"/>
      <c r="AH89" s="24"/>
      <c r="AI89" s="27"/>
      <c r="AJ89" s="39">
        <f t="shared" si="1"/>
        <v>5448</v>
      </c>
      <c r="AK89" s="35">
        <f t="shared" si="2"/>
        <v>480</v>
      </c>
      <c r="AL89" s="35">
        <f t="shared" si="3"/>
        <v>0</v>
      </c>
      <c r="AM89" s="35">
        <f t="shared" si="4"/>
        <v>480</v>
      </c>
      <c r="AN89" s="40">
        <f t="shared" si="5"/>
        <v>11.35</v>
      </c>
    </row>
    <row r="90" ht="15.75" customHeight="1">
      <c r="A90" s="32" t="s">
        <v>28</v>
      </c>
      <c r="B90" s="34">
        <f t="shared" si="6"/>
        <v>44650</v>
      </c>
      <c r="C90" s="35">
        <v>4.0</v>
      </c>
      <c r="D90" s="35" t="s">
        <v>21</v>
      </c>
      <c r="E90" s="37"/>
      <c r="F90" s="23"/>
      <c r="H90" s="24"/>
      <c r="J90" s="24"/>
      <c r="L90" s="25">
        <v>240.0</v>
      </c>
      <c r="N90" s="26">
        <v>240.0</v>
      </c>
      <c r="P90" s="24"/>
      <c r="R90" s="26">
        <v>0.0</v>
      </c>
      <c r="T90" s="24"/>
      <c r="V90" s="24"/>
      <c r="W90" s="27"/>
      <c r="X90" s="23"/>
      <c r="Z90" s="24"/>
      <c r="AB90" s="24"/>
      <c r="AD90" s="24"/>
      <c r="AF90" s="24"/>
      <c r="AH90" s="24"/>
      <c r="AI90" s="27"/>
      <c r="AJ90" s="39">
        <f t="shared" si="1"/>
        <v>5448</v>
      </c>
      <c r="AK90" s="35">
        <f t="shared" si="2"/>
        <v>480</v>
      </c>
      <c r="AL90" s="35">
        <f t="shared" si="3"/>
        <v>0</v>
      </c>
      <c r="AM90" s="35">
        <f t="shared" si="4"/>
        <v>480</v>
      </c>
      <c r="AN90" s="40">
        <f t="shared" si="5"/>
        <v>11.35</v>
      </c>
    </row>
    <row r="91" ht="15.75" customHeight="1">
      <c r="A91" s="32" t="s">
        <v>29</v>
      </c>
      <c r="B91" s="34">
        <f t="shared" si="6"/>
        <v>44651</v>
      </c>
      <c r="C91" s="35">
        <v>4.0</v>
      </c>
      <c r="D91" s="35" t="s">
        <v>21</v>
      </c>
      <c r="E91" s="37"/>
      <c r="F91" s="23"/>
      <c r="H91" s="24"/>
      <c r="J91" s="24"/>
      <c r="L91" s="25">
        <v>240.0</v>
      </c>
      <c r="N91" s="26">
        <v>240.0</v>
      </c>
      <c r="P91" s="24"/>
      <c r="R91" s="26">
        <v>80.0</v>
      </c>
      <c r="T91" s="24"/>
      <c r="V91" s="24"/>
      <c r="W91" s="27"/>
      <c r="X91" s="23"/>
      <c r="Z91" s="24"/>
      <c r="AB91" s="24"/>
      <c r="AD91" s="24"/>
      <c r="AF91" s="24"/>
      <c r="AH91" s="24"/>
      <c r="AI91" s="27"/>
      <c r="AJ91" s="39">
        <f t="shared" si="1"/>
        <v>5808.8</v>
      </c>
      <c r="AK91" s="35">
        <f t="shared" si="2"/>
        <v>480</v>
      </c>
      <c r="AL91" s="35">
        <f t="shared" si="3"/>
        <v>80</v>
      </c>
      <c r="AM91" s="35">
        <f t="shared" si="4"/>
        <v>560</v>
      </c>
      <c r="AN91" s="40">
        <f t="shared" si="5"/>
        <v>10.37285714</v>
      </c>
    </row>
    <row r="92" ht="15.75" customHeight="1">
      <c r="A92" s="32" t="s">
        <v>30</v>
      </c>
      <c r="B92" s="34">
        <f t="shared" si="6"/>
        <v>44652</v>
      </c>
      <c r="C92" s="35">
        <v>4.0</v>
      </c>
      <c r="D92" s="35" t="s">
        <v>21</v>
      </c>
      <c r="E92" s="37"/>
      <c r="F92" s="23"/>
      <c r="H92" s="24"/>
      <c r="J92" s="24"/>
      <c r="L92" s="25">
        <v>240.0</v>
      </c>
      <c r="N92" s="26">
        <v>240.0</v>
      </c>
      <c r="P92" s="24"/>
      <c r="R92" s="26">
        <v>80.0</v>
      </c>
      <c r="T92" s="24"/>
      <c r="V92" s="24"/>
      <c r="W92" s="27"/>
      <c r="X92" s="23"/>
      <c r="Z92" s="24"/>
      <c r="AB92" s="24"/>
      <c r="AD92" s="24"/>
      <c r="AF92" s="24"/>
      <c r="AH92" s="24"/>
      <c r="AI92" s="27"/>
      <c r="AJ92" s="39">
        <f t="shared" si="1"/>
        <v>5808.8</v>
      </c>
      <c r="AK92" s="35">
        <f t="shared" si="2"/>
        <v>480</v>
      </c>
      <c r="AL92" s="35">
        <f t="shared" si="3"/>
        <v>80</v>
      </c>
      <c r="AM92" s="35">
        <f t="shared" si="4"/>
        <v>560</v>
      </c>
      <c r="AN92" s="40">
        <f t="shared" si="5"/>
        <v>10.37285714</v>
      </c>
    </row>
    <row r="93" ht="15.75" customHeight="1">
      <c r="A93" s="48" t="s">
        <v>31</v>
      </c>
      <c r="B93" s="50">
        <f t="shared" si="6"/>
        <v>44653</v>
      </c>
      <c r="C93" s="51">
        <v>4.0</v>
      </c>
      <c r="D93" s="51" t="s">
        <v>21</v>
      </c>
      <c r="E93" s="53"/>
      <c r="F93" s="54"/>
      <c r="G93" s="56"/>
      <c r="H93" s="57"/>
      <c r="I93" s="56"/>
      <c r="J93" s="57"/>
      <c r="K93" s="56"/>
      <c r="L93" s="58">
        <v>240.0</v>
      </c>
      <c r="M93" s="56"/>
      <c r="N93" s="59">
        <v>240.0</v>
      </c>
      <c r="O93" s="56"/>
      <c r="P93" s="57"/>
      <c r="Q93" s="56"/>
      <c r="R93" s="59"/>
      <c r="S93" s="56"/>
      <c r="T93" s="57"/>
      <c r="U93" s="56"/>
      <c r="V93" s="57"/>
      <c r="W93" s="60"/>
      <c r="X93" s="54"/>
      <c r="Y93" s="56"/>
      <c r="Z93" s="57"/>
      <c r="AA93" s="56"/>
      <c r="AB93" s="57"/>
      <c r="AC93" s="56"/>
      <c r="AD93" s="57"/>
      <c r="AE93" s="56"/>
      <c r="AF93" s="57"/>
      <c r="AG93" s="56"/>
      <c r="AH93" s="57"/>
      <c r="AI93" s="60"/>
      <c r="AJ93" s="61">
        <f t="shared" si="1"/>
        <v>5448</v>
      </c>
      <c r="AK93" s="51">
        <f t="shared" si="2"/>
        <v>480</v>
      </c>
      <c r="AL93" s="51" t="str">
        <f t="shared" si="3"/>
        <v/>
      </c>
      <c r="AM93" s="51">
        <f t="shared" si="4"/>
        <v>480</v>
      </c>
      <c r="AN93" s="63">
        <f t="shared" si="5"/>
        <v>11.35</v>
      </c>
    </row>
    <row r="94" ht="15.75" customHeight="1">
      <c r="A94" s="18" t="s">
        <v>20</v>
      </c>
      <c r="B94" s="64">
        <f t="shared" si="6"/>
        <v>44654</v>
      </c>
      <c r="C94" s="20">
        <v>4.0</v>
      </c>
      <c r="D94" s="20" t="s">
        <v>32</v>
      </c>
      <c r="E94" s="22"/>
      <c r="F94" s="23"/>
      <c r="H94" s="24"/>
      <c r="J94" s="24"/>
      <c r="L94" s="25">
        <v>240.0</v>
      </c>
      <c r="N94" s="26">
        <v>240.0</v>
      </c>
      <c r="P94" s="24"/>
      <c r="R94" s="26">
        <v>80.0</v>
      </c>
      <c r="T94" s="24"/>
      <c r="V94" s="24"/>
      <c r="W94" s="27"/>
      <c r="X94" s="23"/>
      <c r="Z94" s="24"/>
      <c r="AB94" s="24"/>
      <c r="AD94" s="24"/>
      <c r="AF94" s="24"/>
      <c r="AH94" s="24"/>
      <c r="AI94" s="27"/>
      <c r="AJ94" s="28">
        <f t="shared" si="1"/>
        <v>5808.8</v>
      </c>
      <c r="AK94" s="20">
        <f t="shared" si="2"/>
        <v>480</v>
      </c>
      <c r="AL94" s="20">
        <f t="shared" si="3"/>
        <v>80</v>
      </c>
      <c r="AM94" s="20">
        <f t="shared" si="4"/>
        <v>560</v>
      </c>
      <c r="AN94" s="31">
        <f t="shared" si="5"/>
        <v>10.37285714</v>
      </c>
    </row>
    <row r="95" ht="15.75" customHeight="1">
      <c r="A95" s="32" t="s">
        <v>22</v>
      </c>
      <c r="B95" s="34">
        <f t="shared" si="6"/>
        <v>44655</v>
      </c>
      <c r="C95" s="35">
        <v>4.0</v>
      </c>
      <c r="D95" s="35" t="s">
        <v>32</v>
      </c>
      <c r="E95" s="37"/>
      <c r="F95" s="23"/>
      <c r="H95" s="24"/>
      <c r="J95" s="24"/>
      <c r="L95" s="25">
        <v>240.0</v>
      </c>
      <c r="N95" s="26">
        <v>240.0</v>
      </c>
      <c r="P95" s="24"/>
      <c r="R95" s="26">
        <v>80.0</v>
      </c>
      <c r="T95" s="24"/>
      <c r="V95" s="24"/>
      <c r="W95" s="27"/>
      <c r="X95" s="23"/>
      <c r="Z95" s="24"/>
      <c r="AB95" s="24"/>
      <c r="AD95" s="24"/>
      <c r="AF95" s="24"/>
      <c r="AH95" s="24"/>
      <c r="AI95" s="27"/>
      <c r="AJ95" s="39">
        <f t="shared" si="1"/>
        <v>5808.8</v>
      </c>
      <c r="AK95" s="35">
        <f t="shared" si="2"/>
        <v>480</v>
      </c>
      <c r="AL95" s="35">
        <f t="shared" si="3"/>
        <v>80</v>
      </c>
      <c r="AM95" s="35">
        <f t="shared" si="4"/>
        <v>560</v>
      </c>
      <c r="AN95" s="40">
        <f t="shared" si="5"/>
        <v>10.37285714</v>
      </c>
    </row>
    <row r="96" ht="15.75" customHeight="1">
      <c r="A96" s="32" t="s">
        <v>24</v>
      </c>
      <c r="B96" s="34">
        <f t="shared" si="6"/>
        <v>44656</v>
      </c>
      <c r="C96" s="35">
        <v>4.0</v>
      </c>
      <c r="D96" s="35" t="s">
        <v>32</v>
      </c>
      <c r="E96" s="37"/>
      <c r="F96" s="23"/>
      <c r="H96" s="24"/>
      <c r="J96" s="24"/>
      <c r="L96" s="25">
        <v>82.0</v>
      </c>
      <c r="N96" s="26">
        <v>82.0</v>
      </c>
      <c r="P96" s="24"/>
      <c r="R96" s="26">
        <v>80.0</v>
      </c>
      <c r="T96" s="24"/>
      <c r="V96" s="24"/>
      <c r="W96" s="27"/>
      <c r="X96" s="23"/>
      <c r="Z96" s="24"/>
      <c r="AB96" s="24"/>
      <c r="AD96" s="24"/>
      <c r="AF96" s="24"/>
      <c r="AH96" s="24"/>
      <c r="AI96" s="27"/>
      <c r="AJ96" s="39">
        <f t="shared" si="1"/>
        <v>2222.2</v>
      </c>
      <c r="AK96" s="35">
        <f t="shared" si="2"/>
        <v>164</v>
      </c>
      <c r="AL96" s="35">
        <f t="shared" si="3"/>
        <v>80</v>
      </c>
      <c r="AM96" s="35">
        <f t="shared" si="4"/>
        <v>244</v>
      </c>
      <c r="AN96" s="40">
        <f t="shared" si="5"/>
        <v>9.107377049</v>
      </c>
    </row>
    <row r="97" ht="15.75" customHeight="1">
      <c r="A97" s="32" t="s">
        <v>28</v>
      </c>
      <c r="B97" s="34">
        <f t="shared" si="6"/>
        <v>44657</v>
      </c>
      <c r="C97" s="35">
        <v>4.0</v>
      </c>
      <c r="D97" s="35" t="s">
        <v>32</v>
      </c>
      <c r="E97" s="37"/>
      <c r="F97" s="23"/>
      <c r="H97" s="24"/>
      <c r="J97" s="24"/>
      <c r="L97" s="25">
        <v>82.0</v>
      </c>
      <c r="N97" s="26">
        <v>82.0</v>
      </c>
      <c r="P97" s="24"/>
      <c r="R97" s="26">
        <v>80.0</v>
      </c>
      <c r="T97" s="24"/>
      <c r="V97" s="24"/>
      <c r="W97" s="27"/>
      <c r="X97" s="23"/>
      <c r="Z97" s="24"/>
      <c r="AB97" s="24"/>
      <c r="AD97" s="24"/>
      <c r="AF97" s="24"/>
      <c r="AH97" s="24"/>
      <c r="AI97" s="27"/>
      <c r="AJ97" s="39">
        <f t="shared" si="1"/>
        <v>2222.2</v>
      </c>
      <c r="AK97" s="35">
        <f t="shared" si="2"/>
        <v>164</v>
      </c>
      <c r="AL97" s="35">
        <f t="shared" si="3"/>
        <v>80</v>
      </c>
      <c r="AM97" s="35">
        <f t="shared" si="4"/>
        <v>244</v>
      </c>
      <c r="AN97" s="40">
        <f t="shared" si="5"/>
        <v>9.107377049</v>
      </c>
    </row>
    <row r="98" ht="15.75" customHeight="1">
      <c r="A98" s="32" t="s">
        <v>29</v>
      </c>
      <c r="B98" s="34">
        <f t="shared" si="6"/>
        <v>44658</v>
      </c>
      <c r="C98" s="35">
        <v>4.0</v>
      </c>
      <c r="D98" s="35" t="s">
        <v>32</v>
      </c>
      <c r="E98" s="37"/>
      <c r="F98" s="23"/>
      <c r="H98" s="24"/>
      <c r="J98" s="24"/>
      <c r="L98" s="25">
        <v>82.0</v>
      </c>
      <c r="N98" s="26">
        <v>82.0</v>
      </c>
      <c r="P98" s="24"/>
      <c r="R98" s="26">
        <v>80.0</v>
      </c>
      <c r="T98" s="24"/>
      <c r="V98" s="24"/>
      <c r="W98" s="27"/>
      <c r="X98" s="23"/>
      <c r="Z98" s="24"/>
      <c r="AB98" s="24"/>
      <c r="AD98" s="24"/>
      <c r="AF98" s="24"/>
      <c r="AH98" s="24"/>
      <c r="AI98" s="27"/>
      <c r="AJ98" s="39">
        <f t="shared" si="1"/>
        <v>2222.2</v>
      </c>
      <c r="AK98" s="35">
        <f t="shared" si="2"/>
        <v>164</v>
      </c>
      <c r="AL98" s="35">
        <f t="shared" si="3"/>
        <v>80</v>
      </c>
      <c r="AM98" s="35">
        <f t="shared" si="4"/>
        <v>244</v>
      </c>
      <c r="AN98" s="40">
        <f t="shared" si="5"/>
        <v>9.107377049</v>
      </c>
    </row>
    <row r="99" ht="15.75" customHeight="1">
      <c r="A99" s="32" t="s">
        <v>30</v>
      </c>
      <c r="B99" s="34">
        <f t="shared" si="6"/>
        <v>44659</v>
      </c>
      <c r="C99" s="35">
        <v>4.0</v>
      </c>
      <c r="D99" s="35" t="s">
        <v>32</v>
      </c>
      <c r="E99" s="37"/>
      <c r="F99" s="23"/>
      <c r="H99" s="24"/>
      <c r="J99" s="24"/>
      <c r="L99" s="25">
        <v>82.0</v>
      </c>
      <c r="N99" s="26">
        <v>82.0</v>
      </c>
      <c r="P99" s="24"/>
      <c r="R99" s="26">
        <v>80.0</v>
      </c>
      <c r="T99" s="24"/>
      <c r="V99" s="24"/>
      <c r="W99" s="27"/>
      <c r="X99" s="23"/>
      <c r="Z99" s="24"/>
      <c r="AB99" s="24"/>
      <c r="AD99" s="24"/>
      <c r="AF99" s="24"/>
      <c r="AH99" s="24"/>
      <c r="AI99" s="27"/>
      <c r="AJ99" s="39">
        <f t="shared" si="1"/>
        <v>2222.2</v>
      </c>
      <c r="AK99" s="35">
        <f t="shared" si="2"/>
        <v>164</v>
      </c>
      <c r="AL99" s="35">
        <f t="shared" si="3"/>
        <v>80</v>
      </c>
      <c r="AM99" s="35">
        <f t="shared" si="4"/>
        <v>244</v>
      </c>
      <c r="AN99" s="40">
        <f t="shared" si="5"/>
        <v>9.107377049</v>
      </c>
    </row>
    <row r="100" ht="15.75" customHeight="1">
      <c r="A100" s="48" t="s">
        <v>31</v>
      </c>
      <c r="B100" s="50">
        <f t="shared" si="6"/>
        <v>44660</v>
      </c>
      <c r="C100" s="51">
        <v>4.0</v>
      </c>
      <c r="D100" s="51" t="s">
        <v>32</v>
      </c>
      <c r="E100" s="53"/>
      <c r="F100" s="54"/>
      <c r="G100" s="56"/>
      <c r="H100" s="57"/>
      <c r="I100" s="56"/>
      <c r="J100" s="57"/>
      <c r="K100" s="56"/>
      <c r="L100" s="58">
        <v>82.0</v>
      </c>
      <c r="M100" s="56"/>
      <c r="N100" s="59">
        <v>82.0</v>
      </c>
      <c r="O100" s="56"/>
      <c r="P100" s="57"/>
      <c r="Q100" s="56"/>
      <c r="R100" s="59"/>
      <c r="S100" s="56"/>
      <c r="T100" s="57"/>
      <c r="U100" s="56"/>
      <c r="V100" s="57"/>
      <c r="W100" s="60"/>
      <c r="X100" s="54"/>
      <c r="Y100" s="56"/>
      <c r="Z100" s="57"/>
      <c r="AA100" s="56"/>
      <c r="AB100" s="57"/>
      <c r="AC100" s="56"/>
      <c r="AD100" s="57"/>
      <c r="AE100" s="56"/>
      <c r="AF100" s="57"/>
      <c r="AG100" s="56"/>
      <c r="AH100" s="57"/>
      <c r="AI100" s="60"/>
      <c r="AJ100" s="61">
        <f t="shared" si="1"/>
        <v>1861.4</v>
      </c>
      <c r="AK100" s="51">
        <f t="shared" si="2"/>
        <v>164</v>
      </c>
      <c r="AL100" s="51" t="str">
        <f t="shared" si="3"/>
        <v/>
      </c>
      <c r="AM100" s="51">
        <f t="shared" si="4"/>
        <v>164</v>
      </c>
      <c r="AN100" s="63">
        <f t="shared" si="5"/>
        <v>11.35</v>
      </c>
    </row>
    <row r="101" ht="15.75" customHeight="1">
      <c r="A101" s="18" t="s">
        <v>20</v>
      </c>
      <c r="B101" s="64">
        <f t="shared" si="6"/>
        <v>44661</v>
      </c>
      <c r="C101" s="20">
        <v>4.0</v>
      </c>
      <c r="D101" s="20" t="s">
        <v>33</v>
      </c>
      <c r="E101" s="22"/>
      <c r="F101" s="23"/>
      <c r="H101" s="24"/>
      <c r="J101" s="24"/>
      <c r="L101" s="25">
        <v>82.0</v>
      </c>
      <c r="N101" s="26">
        <v>82.0</v>
      </c>
      <c r="P101" s="24"/>
      <c r="R101" s="26">
        <v>80.0</v>
      </c>
      <c r="T101" s="24"/>
      <c r="V101" s="24"/>
      <c r="W101" s="27"/>
      <c r="X101" s="23"/>
      <c r="Z101" s="24"/>
      <c r="AB101" s="24"/>
      <c r="AD101" s="24"/>
      <c r="AF101" s="24"/>
      <c r="AH101" s="24"/>
      <c r="AI101" s="27"/>
      <c r="AJ101" s="28">
        <f t="shared" si="1"/>
        <v>2222.2</v>
      </c>
      <c r="AK101" s="20">
        <f t="shared" si="2"/>
        <v>164</v>
      </c>
      <c r="AL101" s="20">
        <f t="shared" si="3"/>
        <v>80</v>
      </c>
      <c r="AM101" s="20">
        <f t="shared" si="4"/>
        <v>244</v>
      </c>
      <c r="AN101" s="31">
        <f t="shared" si="5"/>
        <v>9.107377049</v>
      </c>
    </row>
    <row r="102" ht="15.75" customHeight="1">
      <c r="A102" s="32" t="s">
        <v>22</v>
      </c>
      <c r="B102" s="34">
        <f t="shared" si="6"/>
        <v>44662</v>
      </c>
      <c r="C102" s="35">
        <v>4.0</v>
      </c>
      <c r="D102" s="35" t="s">
        <v>33</v>
      </c>
      <c r="E102" s="37"/>
      <c r="F102" s="23"/>
      <c r="H102" s="24"/>
      <c r="J102" s="24"/>
      <c r="L102" s="25">
        <v>82.0</v>
      </c>
      <c r="N102" s="26">
        <v>82.0</v>
      </c>
      <c r="P102" s="24"/>
      <c r="R102" s="26">
        <v>80.0</v>
      </c>
      <c r="T102" s="24"/>
      <c r="V102" s="24"/>
      <c r="W102" s="27"/>
      <c r="X102" s="23"/>
      <c r="Z102" s="24"/>
      <c r="AB102" s="24"/>
      <c r="AD102" s="24"/>
      <c r="AF102" s="24"/>
      <c r="AH102" s="24"/>
      <c r="AI102" s="27"/>
      <c r="AJ102" s="39">
        <f t="shared" si="1"/>
        <v>2222.2</v>
      </c>
      <c r="AK102" s="35">
        <f t="shared" si="2"/>
        <v>164</v>
      </c>
      <c r="AL102" s="35">
        <f t="shared" si="3"/>
        <v>80</v>
      </c>
      <c r="AM102" s="35">
        <f t="shared" si="4"/>
        <v>244</v>
      </c>
      <c r="AN102" s="40">
        <f t="shared" si="5"/>
        <v>9.107377049</v>
      </c>
    </row>
    <row r="103" ht="15.75" customHeight="1">
      <c r="A103" s="32" t="s">
        <v>24</v>
      </c>
      <c r="B103" s="34">
        <f t="shared" si="6"/>
        <v>44663</v>
      </c>
      <c r="C103" s="35">
        <v>4.0</v>
      </c>
      <c r="D103" s="35" t="s">
        <v>33</v>
      </c>
      <c r="E103" s="37"/>
      <c r="F103" s="23"/>
      <c r="H103" s="24"/>
      <c r="J103" s="24"/>
      <c r="L103" s="25">
        <v>82.0</v>
      </c>
      <c r="N103" s="26">
        <v>82.0</v>
      </c>
      <c r="P103" s="24"/>
      <c r="R103" s="26">
        <v>80.0</v>
      </c>
      <c r="T103" s="24"/>
      <c r="V103" s="24"/>
      <c r="W103" s="27"/>
      <c r="X103" s="23"/>
      <c r="Z103" s="24"/>
      <c r="AB103" s="24"/>
      <c r="AD103" s="24"/>
      <c r="AF103" s="24"/>
      <c r="AH103" s="24"/>
      <c r="AI103" s="27"/>
      <c r="AJ103" s="39">
        <f t="shared" si="1"/>
        <v>2222.2</v>
      </c>
      <c r="AK103" s="35">
        <f t="shared" si="2"/>
        <v>164</v>
      </c>
      <c r="AL103" s="35">
        <f t="shared" si="3"/>
        <v>80</v>
      </c>
      <c r="AM103" s="35">
        <f t="shared" si="4"/>
        <v>244</v>
      </c>
      <c r="AN103" s="40">
        <f t="shared" si="5"/>
        <v>9.107377049</v>
      </c>
    </row>
    <row r="104" ht="15.75" customHeight="1">
      <c r="A104" s="32" t="s">
        <v>28</v>
      </c>
      <c r="B104" s="34">
        <f t="shared" si="6"/>
        <v>44664</v>
      </c>
      <c r="C104" s="35">
        <v>4.0</v>
      </c>
      <c r="D104" s="35" t="s">
        <v>33</v>
      </c>
      <c r="E104" s="37"/>
      <c r="F104" s="23"/>
      <c r="H104" s="24"/>
      <c r="J104" s="24"/>
      <c r="L104" s="25">
        <v>82.0</v>
      </c>
      <c r="N104" s="26">
        <v>82.0</v>
      </c>
      <c r="P104" s="24"/>
      <c r="R104" s="26">
        <v>80.0</v>
      </c>
      <c r="T104" s="24"/>
      <c r="V104" s="24"/>
      <c r="W104" s="27"/>
      <c r="X104" s="23"/>
      <c r="Z104" s="24"/>
      <c r="AB104" s="24"/>
      <c r="AD104" s="24"/>
      <c r="AF104" s="24"/>
      <c r="AH104" s="24"/>
      <c r="AI104" s="27"/>
      <c r="AJ104" s="39">
        <f t="shared" si="1"/>
        <v>2222.2</v>
      </c>
      <c r="AK104" s="35">
        <f t="shared" si="2"/>
        <v>164</v>
      </c>
      <c r="AL104" s="35">
        <f t="shared" si="3"/>
        <v>80</v>
      </c>
      <c r="AM104" s="35">
        <f t="shared" si="4"/>
        <v>244</v>
      </c>
      <c r="AN104" s="40">
        <f t="shared" si="5"/>
        <v>9.107377049</v>
      </c>
    </row>
    <row r="105" ht="15.75" customHeight="1">
      <c r="A105" s="32" t="s">
        <v>29</v>
      </c>
      <c r="B105" s="34">
        <f t="shared" si="6"/>
        <v>44665</v>
      </c>
      <c r="C105" s="35">
        <v>4.0</v>
      </c>
      <c r="D105" s="35" t="s">
        <v>33</v>
      </c>
      <c r="E105" s="37"/>
      <c r="F105" s="23"/>
      <c r="H105" s="24"/>
      <c r="J105" s="24"/>
      <c r="L105" s="25">
        <v>82.0</v>
      </c>
      <c r="N105" s="26">
        <v>82.0</v>
      </c>
      <c r="P105" s="24"/>
      <c r="R105" s="26">
        <v>80.0</v>
      </c>
      <c r="T105" s="24"/>
      <c r="V105" s="24"/>
      <c r="W105" s="27"/>
      <c r="X105" s="23"/>
      <c r="Z105" s="24"/>
      <c r="AB105" s="24"/>
      <c r="AD105" s="24"/>
      <c r="AF105" s="24"/>
      <c r="AH105" s="24"/>
      <c r="AI105" s="27"/>
      <c r="AJ105" s="39">
        <f t="shared" si="1"/>
        <v>2222.2</v>
      </c>
      <c r="AK105" s="35">
        <f t="shared" si="2"/>
        <v>164</v>
      </c>
      <c r="AL105" s="35">
        <f t="shared" si="3"/>
        <v>80</v>
      </c>
      <c r="AM105" s="35">
        <f t="shared" si="4"/>
        <v>244</v>
      </c>
      <c r="AN105" s="40">
        <f t="shared" si="5"/>
        <v>9.107377049</v>
      </c>
    </row>
    <row r="106" ht="15.75" customHeight="1">
      <c r="A106" s="32" t="s">
        <v>30</v>
      </c>
      <c r="B106" s="34">
        <f t="shared" si="6"/>
        <v>44666</v>
      </c>
      <c r="C106" s="35">
        <v>4.0</v>
      </c>
      <c r="D106" s="35" t="s">
        <v>33</v>
      </c>
      <c r="E106" s="37"/>
      <c r="F106" s="23"/>
      <c r="H106" s="24"/>
      <c r="J106" s="24"/>
      <c r="L106" s="25">
        <v>82.0</v>
      </c>
      <c r="N106" s="26">
        <v>82.0</v>
      </c>
      <c r="P106" s="24"/>
      <c r="R106" s="26">
        <v>80.0</v>
      </c>
      <c r="T106" s="24"/>
      <c r="V106" s="24"/>
      <c r="W106" s="27"/>
      <c r="X106" s="23"/>
      <c r="Z106" s="24"/>
      <c r="AB106" s="24"/>
      <c r="AD106" s="24"/>
      <c r="AF106" s="24"/>
      <c r="AH106" s="24"/>
      <c r="AI106" s="27"/>
      <c r="AJ106" s="39">
        <f t="shared" si="1"/>
        <v>2222.2</v>
      </c>
      <c r="AK106" s="35">
        <f t="shared" si="2"/>
        <v>164</v>
      </c>
      <c r="AL106" s="35">
        <f t="shared" si="3"/>
        <v>80</v>
      </c>
      <c r="AM106" s="35">
        <f t="shared" si="4"/>
        <v>244</v>
      </c>
      <c r="AN106" s="40">
        <f t="shared" si="5"/>
        <v>9.107377049</v>
      </c>
    </row>
    <row r="107" ht="15.75" customHeight="1">
      <c r="A107" s="48" t="s">
        <v>31</v>
      </c>
      <c r="B107" s="50">
        <f t="shared" si="6"/>
        <v>44667</v>
      </c>
      <c r="C107" s="51">
        <v>4.0</v>
      </c>
      <c r="D107" s="51" t="s">
        <v>33</v>
      </c>
      <c r="E107" s="53"/>
      <c r="F107" s="54"/>
      <c r="G107" s="56"/>
      <c r="H107" s="57"/>
      <c r="I107" s="56"/>
      <c r="J107" s="57"/>
      <c r="K107" s="56"/>
      <c r="L107" s="58">
        <v>82.0</v>
      </c>
      <c r="M107" s="56"/>
      <c r="N107" s="59">
        <v>82.0</v>
      </c>
      <c r="O107" s="56"/>
      <c r="P107" s="57"/>
      <c r="Q107" s="56"/>
      <c r="R107" s="59"/>
      <c r="S107" s="56"/>
      <c r="T107" s="57"/>
      <c r="U107" s="56"/>
      <c r="V107" s="57"/>
      <c r="W107" s="60"/>
      <c r="X107" s="54"/>
      <c r="Y107" s="56"/>
      <c r="Z107" s="57"/>
      <c r="AA107" s="56"/>
      <c r="AB107" s="57"/>
      <c r="AC107" s="56"/>
      <c r="AD107" s="57"/>
      <c r="AE107" s="56"/>
      <c r="AF107" s="57"/>
      <c r="AG107" s="56"/>
      <c r="AH107" s="57"/>
      <c r="AI107" s="60"/>
      <c r="AJ107" s="61">
        <f t="shared" si="1"/>
        <v>1861.4</v>
      </c>
      <c r="AK107" s="51">
        <f t="shared" si="2"/>
        <v>164</v>
      </c>
      <c r="AL107" s="51" t="str">
        <f t="shared" si="3"/>
        <v/>
      </c>
      <c r="AM107" s="51">
        <f t="shared" si="4"/>
        <v>164</v>
      </c>
      <c r="AN107" s="63">
        <f t="shared" si="5"/>
        <v>11.35</v>
      </c>
    </row>
    <row r="108" ht="15.75" customHeight="1">
      <c r="A108" s="18" t="s">
        <v>20</v>
      </c>
      <c r="B108" s="64">
        <f t="shared" si="6"/>
        <v>44668</v>
      </c>
      <c r="C108" s="20">
        <v>4.0</v>
      </c>
      <c r="D108" s="20" t="s">
        <v>34</v>
      </c>
      <c r="E108" s="22"/>
      <c r="F108" s="23"/>
      <c r="H108" s="24"/>
      <c r="J108" s="24"/>
      <c r="L108" s="25">
        <v>82.0</v>
      </c>
      <c r="N108" s="26">
        <v>82.0</v>
      </c>
      <c r="P108" s="24"/>
      <c r="R108" s="26">
        <v>80.0</v>
      </c>
      <c r="T108" s="24"/>
      <c r="V108" s="24"/>
      <c r="W108" s="27"/>
      <c r="X108" s="23"/>
      <c r="Z108" s="24"/>
      <c r="AB108" s="24"/>
      <c r="AD108" s="24"/>
      <c r="AF108" s="24"/>
      <c r="AH108" s="24"/>
      <c r="AI108" s="27"/>
      <c r="AJ108" s="28">
        <f t="shared" si="1"/>
        <v>2222.2</v>
      </c>
      <c r="AK108" s="20">
        <f t="shared" si="2"/>
        <v>164</v>
      </c>
      <c r="AL108" s="20">
        <f t="shared" si="3"/>
        <v>80</v>
      </c>
      <c r="AM108" s="20">
        <f t="shared" si="4"/>
        <v>244</v>
      </c>
      <c r="AN108" s="31">
        <f t="shared" si="5"/>
        <v>9.107377049</v>
      </c>
    </row>
    <row r="109" ht="15.75" customHeight="1">
      <c r="A109" s="32" t="s">
        <v>22</v>
      </c>
      <c r="B109" s="34">
        <f t="shared" si="6"/>
        <v>44669</v>
      </c>
      <c r="C109" s="35">
        <v>4.0</v>
      </c>
      <c r="D109" s="35" t="s">
        <v>34</v>
      </c>
      <c r="E109" s="37"/>
      <c r="F109" s="23"/>
      <c r="H109" s="24"/>
      <c r="J109" s="24"/>
      <c r="L109" s="25">
        <v>82.0</v>
      </c>
      <c r="N109" s="26">
        <v>82.0</v>
      </c>
      <c r="P109" s="24"/>
      <c r="R109" s="26">
        <v>80.0</v>
      </c>
      <c r="T109" s="24"/>
      <c r="V109" s="24"/>
      <c r="W109" s="27"/>
      <c r="X109" s="23"/>
      <c r="Z109" s="24"/>
      <c r="AB109" s="24"/>
      <c r="AD109" s="24"/>
      <c r="AF109" s="24"/>
      <c r="AH109" s="24"/>
      <c r="AI109" s="27"/>
      <c r="AJ109" s="39">
        <f t="shared" si="1"/>
        <v>2222.2</v>
      </c>
      <c r="AK109" s="35">
        <f t="shared" si="2"/>
        <v>164</v>
      </c>
      <c r="AL109" s="35">
        <f t="shared" si="3"/>
        <v>80</v>
      </c>
      <c r="AM109" s="35">
        <f t="shared" si="4"/>
        <v>244</v>
      </c>
      <c r="AN109" s="40">
        <f t="shared" si="5"/>
        <v>9.107377049</v>
      </c>
    </row>
    <row r="110" ht="15.75" customHeight="1">
      <c r="A110" s="32" t="s">
        <v>24</v>
      </c>
      <c r="B110" s="34">
        <f t="shared" si="6"/>
        <v>44670</v>
      </c>
      <c r="C110" s="35">
        <v>4.0</v>
      </c>
      <c r="D110" s="35" t="s">
        <v>34</v>
      </c>
      <c r="E110" s="37"/>
      <c r="F110" s="23"/>
      <c r="H110" s="24"/>
      <c r="J110" s="24"/>
      <c r="L110" s="25">
        <v>82.0</v>
      </c>
      <c r="N110" s="26">
        <v>82.0</v>
      </c>
      <c r="P110" s="24"/>
      <c r="R110" s="26">
        <v>80.0</v>
      </c>
      <c r="T110" s="24"/>
      <c r="V110" s="24"/>
      <c r="W110" s="27"/>
      <c r="X110" s="23"/>
      <c r="Z110" s="24"/>
      <c r="AB110" s="24"/>
      <c r="AD110" s="24"/>
      <c r="AF110" s="24"/>
      <c r="AH110" s="24"/>
      <c r="AI110" s="27"/>
      <c r="AJ110" s="39">
        <f t="shared" si="1"/>
        <v>2222.2</v>
      </c>
      <c r="AK110" s="35">
        <f t="shared" si="2"/>
        <v>164</v>
      </c>
      <c r="AL110" s="35">
        <f t="shared" si="3"/>
        <v>80</v>
      </c>
      <c r="AM110" s="35">
        <f t="shared" si="4"/>
        <v>244</v>
      </c>
      <c r="AN110" s="40">
        <f t="shared" si="5"/>
        <v>9.107377049</v>
      </c>
    </row>
    <row r="111" ht="15.75" customHeight="1">
      <c r="A111" s="32" t="s">
        <v>28</v>
      </c>
      <c r="B111" s="34">
        <f t="shared" si="6"/>
        <v>44671</v>
      </c>
      <c r="C111" s="35">
        <v>4.0</v>
      </c>
      <c r="D111" s="35" t="s">
        <v>34</v>
      </c>
      <c r="E111" s="37"/>
      <c r="F111" s="23"/>
      <c r="H111" s="24"/>
      <c r="J111" s="24"/>
      <c r="L111" s="25">
        <v>82.0</v>
      </c>
      <c r="N111" s="26">
        <v>82.0</v>
      </c>
      <c r="P111" s="24"/>
      <c r="R111" s="26">
        <v>80.0</v>
      </c>
      <c r="T111" s="24"/>
      <c r="V111" s="24"/>
      <c r="W111" s="27"/>
      <c r="X111" s="23"/>
      <c r="Z111" s="24"/>
      <c r="AB111" s="24"/>
      <c r="AD111" s="24"/>
      <c r="AF111" s="24"/>
      <c r="AH111" s="24"/>
      <c r="AI111" s="27"/>
      <c r="AJ111" s="39">
        <f t="shared" si="1"/>
        <v>2222.2</v>
      </c>
      <c r="AK111" s="35">
        <f t="shared" si="2"/>
        <v>164</v>
      </c>
      <c r="AL111" s="35">
        <f t="shared" si="3"/>
        <v>80</v>
      </c>
      <c r="AM111" s="35">
        <f t="shared" si="4"/>
        <v>244</v>
      </c>
      <c r="AN111" s="40">
        <f t="shared" si="5"/>
        <v>9.107377049</v>
      </c>
    </row>
    <row r="112" ht="15.75" customHeight="1">
      <c r="A112" s="32" t="s">
        <v>29</v>
      </c>
      <c r="B112" s="34">
        <f t="shared" si="6"/>
        <v>44672</v>
      </c>
      <c r="C112" s="35">
        <v>4.0</v>
      </c>
      <c r="D112" s="35" t="s">
        <v>34</v>
      </c>
      <c r="E112" s="37"/>
      <c r="F112" s="23"/>
      <c r="H112" s="24"/>
      <c r="J112" s="24"/>
      <c r="L112" s="25">
        <v>82.0</v>
      </c>
      <c r="N112" s="26">
        <v>82.0</v>
      </c>
      <c r="P112" s="24"/>
      <c r="R112" s="26">
        <v>80.0</v>
      </c>
      <c r="T112" s="24"/>
      <c r="V112" s="24"/>
      <c r="W112" s="27"/>
      <c r="X112" s="23"/>
      <c r="Z112" s="24"/>
      <c r="AB112" s="24"/>
      <c r="AD112" s="24"/>
      <c r="AF112" s="24"/>
      <c r="AH112" s="24"/>
      <c r="AI112" s="27"/>
      <c r="AJ112" s="39">
        <f t="shared" si="1"/>
        <v>2222.2</v>
      </c>
      <c r="AK112" s="35">
        <f t="shared" si="2"/>
        <v>164</v>
      </c>
      <c r="AL112" s="35">
        <f t="shared" si="3"/>
        <v>80</v>
      </c>
      <c r="AM112" s="35">
        <f t="shared" si="4"/>
        <v>244</v>
      </c>
      <c r="AN112" s="40">
        <f t="shared" si="5"/>
        <v>9.107377049</v>
      </c>
    </row>
    <row r="113" ht="15.75" customHeight="1">
      <c r="A113" s="32" t="s">
        <v>30</v>
      </c>
      <c r="B113" s="34">
        <f t="shared" si="6"/>
        <v>44673</v>
      </c>
      <c r="C113" s="35">
        <v>4.0</v>
      </c>
      <c r="D113" s="35" t="s">
        <v>34</v>
      </c>
      <c r="E113" s="37"/>
      <c r="F113" s="23"/>
      <c r="H113" s="24"/>
      <c r="J113" s="24"/>
      <c r="L113" s="25">
        <v>82.0</v>
      </c>
      <c r="N113" s="26">
        <v>82.0</v>
      </c>
      <c r="P113" s="24"/>
      <c r="R113" s="26">
        <v>80.0</v>
      </c>
      <c r="T113" s="24"/>
      <c r="V113" s="24"/>
      <c r="W113" s="27"/>
      <c r="X113" s="23"/>
      <c r="Z113" s="24"/>
      <c r="AB113" s="24"/>
      <c r="AD113" s="24"/>
      <c r="AF113" s="24"/>
      <c r="AH113" s="24"/>
      <c r="AI113" s="27"/>
      <c r="AJ113" s="39">
        <f t="shared" si="1"/>
        <v>2222.2</v>
      </c>
      <c r="AK113" s="35">
        <f t="shared" si="2"/>
        <v>164</v>
      </c>
      <c r="AL113" s="35">
        <f t="shared" si="3"/>
        <v>80</v>
      </c>
      <c r="AM113" s="35">
        <f t="shared" si="4"/>
        <v>244</v>
      </c>
      <c r="AN113" s="40">
        <f t="shared" si="5"/>
        <v>9.107377049</v>
      </c>
    </row>
    <row r="114" ht="15.75" customHeight="1">
      <c r="A114" s="48" t="s">
        <v>31</v>
      </c>
      <c r="B114" s="50">
        <f t="shared" si="6"/>
        <v>44674</v>
      </c>
      <c r="C114" s="51">
        <v>4.0</v>
      </c>
      <c r="D114" s="51" t="s">
        <v>34</v>
      </c>
      <c r="E114" s="53"/>
      <c r="F114" s="54"/>
      <c r="G114" s="56"/>
      <c r="H114" s="57"/>
      <c r="I114" s="56"/>
      <c r="J114" s="57"/>
      <c r="K114" s="56"/>
      <c r="L114" s="58">
        <v>82.0</v>
      </c>
      <c r="M114" s="56"/>
      <c r="N114" s="59">
        <v>82.0</v>
      </c>
      <c r="O114" s="56"/>
      <c r="P114" s="57"/>
      <c r="Q114" s="56"/>
      <c r="R114" s="59"/>
      <c r="S114" s="56"/>
      <c r="T114" s="57"/>
      <c r="U114" s="56"/>
      <c r="V114" s="57"/>
      <c r="W114" s="60"/>
      <c r="X114" s="54"/>
      <c r="Y114" s="56"/>
      <c r="Z114" s="57"/>
      <c r="AA114" s="56"/>
      <c r="AB114" s="57"/>
      <c r="AC114" s="56"/>
      <c r="AD114" s="57"/>
      <c r="AE114" s="56"/>
      <c r="AF114" s="57"/>
      <c r="AG114" s="56"/>
      <c r="AH114" s="57"/>
      <c r="AI114" s="60"/>
      <c r="AJ114" s="61">
        <f t="shared" si="1"/>
        <v>1861.4</v>
      </c>
      <c r="AK114" s="51">
        <f t="shared" si="2"/>
        <v>164</v>
      </c>
      <c r="AL114" s="51" t="str">
        <f t="shared" si="3"/>
        <v/>
      </c>
      <c r="AM114" s="51">
        <f t="shared" si="4"/>
        <v>164</v>
      </c>
      <c r="AN114" s="63">
        <f t="shared" si="5"/>
        <v>11.35</v>
      </c>
    </row>
    <row r="115" ht="15.75" customHeight="1">
      <c r="A115" s="18" t="s">
        <v>20</v>
      </c>
      <c r="B115" s="64">
        <f t="shared" si="6"/>
        <v>44675</v>
      </c>
      <c r="C115" s="20">
        <v>5.0</v>
      </c>
      <c r="D115" s="20" t="s">
        <v>21</v>
      </c>
      <c r="E115" s="22"/>
      <c r="F115" s="23"/>
      <c r="H115" s="24"/>
      <c r="J115" s="24"/>
      <c r="L115" s="25">
        <v>82.0</v>
      </c>
      <c r="N115" s="26">
        <v>82.0</v>
      </c>
      <c r="P115" s="24"/>
      <c r="R115" s="26">
        <v>80.0</v>
      </c>
      <c r="T115" s="24"/>
      <c r="V115" s="24"/>
      <c r="W115" s="27"/>
      <c r="X115" s="23"/>
      <c r="Z115" s="24"/>
      <c r="AB115" s="24"/>
      <c r="AD115" s="24"/>
      <c r="AF115" s="24"/>
      <c r="AH115" s="24"/>
      <c r="AI115" s="27"/>
      <c r="AJ115" s="28">
        <f t="shared" si="1"/>
        <v>2222.2</v>
      </c>
      <c r="AK115" s="20">
        <f t="shared" si="2"/>
        <v>164</v>
      </c>
      <c r="AL115" s="20">
        <f t="shared" si="3"/>
        <v>80</v>
      </c>
      <c r="AM115" s="20">
        <f t="shared" si="4"/>
        <v>244</v>
      </c>
      <c r="AN115" s="31">
        <f t="shared" si="5"/>
        <v>9.107377049</v>
      </c>
    </row>
    <row r="116" ht="15.75" customHeight="1">
      <c r="A116" s="32" t="s">
        <v>22</v>
      </c>
      <c r="B116" s="34">
        <f t="shared" si="6"/>
        <v>44676</v>
      </c>
      <c r="C116" s="35">
        <v>5.0</v>
      </c>
      <c r="D116" s="35" t="s">
        <v>21</v>
      </c>
      <c r="E116" s="37"/>
      <c r="F116" s="23"/>
      <c r="H116" s="24"/>
      <c r="J116" s="24"/>
      <c r="L116" s="25">
        <v>82.0</v>
      </c>
      <c r="N116" s="26">
        <v>82.0</v>
      </c>
      <c r="P116" s="24"/>
      <c r="R116" s="26">
        <v>80.0</v>
      </c>
      <c r="T116" s="24"/>
      <c r="V116" s="24"/>
      <c r="W116" s="27"/>
      <c r="X116" s="23"/>
      <c r="Z116" s="24"/>
      <c r="AB116" s="24"/>
      <c r="AD116" s="24"/>
      <c r="AF116" s="24"/>
      <c r="AH116" s="24"/>
      <c r="AI116" s="27"/>
      <c r="AJ116" s="39">
        <f t="shared" si="1"/>
        <v>2222.2</v>
      </c>
      <c r="AK116" s="35">
        <f t="shared" si="2"/>
        <v>164</v>
      </c>
      <c r="AL116" s="35">
        <f t="shared" si="3"/>
        <v>80</v>
      </c>
      <c r="AM116" s="35">
        <f t="shared" si="4"/>
        <v>244</v>
      </c>
      <c r="AN116" s="40">
        <f t="shared" si="5"/>
        <v>9.107377049</v>
      </c>
    </row>
    <row r="117" ht="15.75" customHeight="1">
      <c r="A117" s="32" t="s">
        <v>24</v>
      </c>
      <c r="B117" s="34">
        <f t="shared" si="6"/>
        <v>44677</v>
      </c>
      <c r="C117" s="35">
        <v>5.0</v>
      </c>
      <c r="D117" s="35" t="s">
        <v>21</v>
      </c>
      <c r="E117" s="37"/>
      <c r="F117" s="23"/>
      <c r="H117" s="24"/>
      <c r="J117" s="24"/>
      <c r="L117" s="25">
        <v>82.0</v>
      </c>
      <c r="N117" s="26">
        <v>82.0</v>
      </c>
      <c r="P117" s="24"/>
      <c r="R117" s="26">
        <v>80.0</v>
      </c>
      <c r="T117" s="24"/>
      <c r="V117" s="24"/>
      <c r="W117" s="27"/>
      <c r="X117" s="23"/>
      <c r="Z117" s="24"/>
      <c r="AB117" s="24"/>
      <c r="AD117" s="24"/>
      <c r="AF117" s="24"/>
      <c r="AH117" s="24"/>
      <c r="AI117" s="27"/>
      <c r="AJ117" s="39">
        <f t="shared" si="1"/>
        <v>2222.2</v>
      </c>
      <c r="AK117" s="35">
        <f t="shared" si="2"/>
        <v>164</v>
      </c>
      <c r="AL117" s="35">
        <f t="shared" si="3"/>
        <v>80</v>
      </c>
      <c r="AM117" s="35">
        <f t="shared" si="4"/>
        <v>244</v>
      </c>
      <c r="AN117" s="40">
        <f t="shared" si="5"/>
        <v>9.107377049</v>
      </c>
    </row>
    <row r="118" ht="15.75" customHeight="1">
      <c r="A118" s="32" t="s">
        <v>28</v>
      </c>
      <c r="B118" s="34">
        <f t="shared" si="6"/>
        <v>44678</v>
      </c>
      <c r="C118" s="35">
        <v>5.0</v>
      </c>
      <c r="D118" s="35" t="s">
        <v>21</v>
      </c>
      <c r="E118" s="37"/>
      <c r="F118" s="23"/>
      <c r="H118" s="24"/>
      <c r="J118" s="24"/>
      <c r="L118" s="25">
        <v>82.0</v>
      </c>
      <c r="N118" s="26">
        <v>82.0</v>
      </c>
      <c r="P118" s="24"/>
      <c r="R118" s="26">
        <v>80.0</v>
      </c>
      <c r="T118" s="24"/>
      <c r="V118" s="24"/>
      <c r="W118" s="27"/>
      <c r="X118" s="23"/>
      <c r="Z118" s="24"/>
      <c r="AB118" s="24"/>
      <c r="AD118" s="24"/>
      <c r="AF118" s="24"/>
      <c r="AH118" s="24"/>
      <c r="AI118" s="27"/>
      <c r="AJ118" s="39">
        <f t="shared" si="1"/>
        <v>2222.2</v>
      </c>
      <c r="AK118" s="35">
        <f t="shared" si="2"/>
        <v>164</v>
      </c>
      <c r="AL118" s="35">
        <f t="shared" si="3"/>
        <v>80</v>
      </c>
      <c r="AM118" s="35">
        <f t="shared" si="4"/>
        <v>244</v>
      </c>
      <c r="AN118" s="40">
        <f t="shared" si="5"/>
        <v>9.107377049</v>
      </c>
    </row>
    <row r="119" ht="15.75" customHeight="1">
      <c r="A119" s="32" t="s">
        <v>29</v>
      </c>
      <c r="B119" s="34">
        <f t="shared" si="6"/>
        <v>44679</v>
      </c>
      <c r="C119" s="35">
        <v>5.0</v>
      </c>
      <c r="D119" s="35" t="s">
        <v>21</v>
      </c>
      <c r="E119" s="37"/>
      <c r="F119" s="23"/>
      <c r="H119" s="24"/>
      <c r="J119" s="24"/>
      <c r="L119" s="25">
        <v>82.0</v>
      </c>
      <c r="N119" s="26">
        <v>82.0</v>
      </c>
      <c r="P119" s="24"/>
      <c r="R119" s="26">
        <v>80.0</v>
      </c>
      <c r="T119" s="24"/>
      <c r="V119" s="24"/>
      <c r="W119" s="27"/>
      <c r="X119" s="23"/>
      <c r="Z119" s="24"/>
      <c r="AB119" s="24"/>
      <c r="AD119" s="24"/>
      <c r="AF119" s="24"/>
      <c r="AH119" s="24"/>
      <c r="AI119" s="27"/>
      <c r="AJ119" s="39">
        <f t="shared" si="1"/>
        <v>2222.2</v>
      </c>
      <c r="AK119" s="35">
        <f t="shared" si="2"/>
        <v>164</v>
      </c>
      <c r="AL119" s="35">
        <f t="shared" si="3"/>
        <v>80</v>
      </c>
      <c r="AM119" s="35">
        <f t="shared" si="4"/>
        <v>244</v>
      </c>
      <c r="AN119" s="40">
        <f t="shared" si="5"/>
        <v>9.107377049</v>
      </c>
    </row>
    <row r="120" ht="15.75" customHeight="1">
      <c r="A120" s="32" t="s">
        <v>30</v>
      </c>
      <c r="B120" s="34">
        <f t="shared" si="6"/>
        <v>44680</v>
      </c>
      <c r="C120" s="35">
        <v>5.0</v>
      </c>
      <c r="D120" s="35" t="s">
        <v>21</v>
      </c>
      <c r="E120" s="37"/>
      <c r="F120" s="23"/>
      <c r="H120" s="24"/>
      <c r="J120" s="24"/>
      <c r="L120" s="25">
        <v>82.0</v>
      </c>
      <c r="N120" s="26">
        <v>82.0</v>
      </c>
      <c r="P120" s="24"/>
      <c r="R120" s="26">
        <v>80.0</v>
      </c>
      <c r="T120" s="24"/>
      <c r="V120" s="24"/>
      <c r="W120" s="27"/>
      <c r="X120" s="23"/>
      <c r="Z120" s="24"/>
      <c r="AB120" s="24"/>
      <c r="AD120" s="24"/>
      <c r="AF120" s="24"/>
      <c r="AH120" s="24"/>
      <c r="AI120" s="27"/>
      <c r="AJ120" s="39">
        <f t="shared" si="1"/>
        <v>2222.2</v>
      </c>
      <c r="AK120" s="35">
        <f t="shared" si="2"/>
        <v>164</v>
      </c>
      <c r="AL120" s="35">
        <f t="shared" si="3"/>
        <v>80</v>
      </c>
      <c r="AM120" s="35">
        <f t="shared" si="4"/>
        <v>244</v>
      </c>
      <c r="AN120" s="40">
        <f t="shared" si="5"/>
        <v>9.107377049</v>
      </c>
    </row>
    <row r="121" ht="15.75" customHeight="1">
      <c r="A121" s="48" t="s">
        <v>31</v>
      </c>
      <c r="B121" s="50">
        <f t="shared" si="6"/>
        <v>44681</v>
      </c>
      <c r="C121" s="51">
        <v>5.0</v>
      </c>
      <c r="D121" s="51" t="s">
        <v>21</v>
      </c>
      <c r="E121" s="53"/>
      <c r="F121" s="54"/>
      <c r="G121" s="56"/>
      <c r="H121" s="57"/>
      <c r="I121" s="56"/>
      <c r="J121" s="57"/>
      <c r="K121" s="56"/>
      <c r="L121" s="58">
        <v>82.0</v>
      </c>
      <c r="M121" s="56"/>
      <c r="N121" s="59">
        <v>82.0</v>
      </c>
      <c r="O121" s="56"/>
      <c r="P121" s="57"/>
      <c r="Q121" s="56"/>
      <c r="R121" s="59"/>
      <c r="S121" s="56"/>
      <c r="T121" s="57"/>
      <c r="U121" s="56"/>
      <c r="V121" s="57"/>
      <c r="W121" s="60"/>
      <c r="X121" s="54"/>
      <c r="Y121" s="56"/>
      <c r="Z121" s="57"/>
      <c r="AA121" s="56"/>
      <c r="AB121" s="57"/>
      <c r="AC121" s="56"/>
      <c r="AD121" s="57"/>
      <c r="AE121" s="56"/>
      <c r="AF121" s="57"/>
      <c r="AG121" s="56"/>
      <c r="AH121" s="57"/>
      <c r="AI121" s="60"/>
      <c r="AJ121" s="61">
        <f t="shared" si="1"/>
        <v>1861.4</v>
      </c>
      <c r="AK121" s="51">
        <f t="shared" si="2"/>
        <v>164</v>
      </c>
      <c r="AL121" s="51" t="str">
        <f t="shared" si="3"/>
        <v/>
      </c>
      <c r="AM121" s="51">
        <f t="shared" si="4"/>
        <v>164</v>
      </c>
      <c r="AN121" s="63">
        <f t="shared" si="5"/>
        <v>11.35</v>
      </c>
    </row>
    <row r="122" ht="15.75" customHeight="1">
      <c r="A122" s="18" t="s">
        <v>20</v>
      </c>
      <c r="B122" s="64">
        <f t="shared" si="6"/>
        <v>44682</v>
      </c>
      <c r="C122" s="20">
        <v>5.0</v>
      </c>
      <c r="D122" s="20" t="s">
        <v>32</v>
      </c>
      <c r="E122" s="22"/>
      <c r="F122" s="23"/>
      <c r="H122" s="24"/>
      <c r="J122" s="24"/>
      <c r="L122" s="25">
        <v>82.0</v>
      </c>
      <c r="N122" s="26">
        <v>82.0</v>
      </c>
      <c r="P122" s="24"/>
      <c r="R122" s="26">
        <v>80.0</v>
      </c>
      <c r="T122" s="24"/>
      <c r="V122" s="24"/>
      <c r="W122" s="27"/>
      <c r="X122" s="23"/>
      <c r="Z122" s="24"/>
      <c r="AB122" s="24"/>
      <c r="AD122" s="24"/>
      <c r="AF122" s="24"/>
      <c r="AH122" s="24"/>
      <c r="AI122" s="27"/>
      <c r="AJ122" s="28">
        <f t="shared" si="1"/>
        <v>2222.2</v>
      </c>
      <c r="AK122" s="20">
        <f t="shared" si="2"/>
        <v>164</v>
      </c>
      <c r="AL122" s="20">
        <f t="shared" si="3"/>
        <v>80</v>
      </c>
      <c r="AM122" s="20">
        <f t="shared" si="4"/>
        <v>244</v>
      </c>
      <c r="AN122" s="31">
        <f t="shared" si="5"/>
        <v>9.107377049</v>
      </c>
    </row>
    <row r="123" ht="15.75" customHeight="1">
      <c r="A123" s="32" t="s">
        <v>22</v>
      </c>
      <c r="B123" s="34">
        <f t="shared" si="6"/>
        <v>44683</v>
      </c>
      <c r="C123" s="35">
        <v>5.0</v>
      </c>
      <c r="D123" s="35" t="s">
        <v>32</v>
      </c>
      <c r="E123" s="37"/>
      <c r="F123" s="23"/>
      <c r="H123" s="24"/>
      <c r="J123" s="24"/>
      <c r="L123" s="25">
        <v>82.0</v>
      </c>
      <c r="N123" s="26">
        <v>82.0</v>
      </c>
      <c r="P123" s="24"/>
      <c r="R123" s="26">
        <v>80.0</v>
      </c>
      <c r="T123" s="24"/>
      <c r="V123" s="24"/>
      <c r="W123" s="27"/>
      <c r="X123" s="23"/>
      <c r="Z123" s="24"/>
      <c r="AB123" s="24"/>
      <c r="AD123" s="24"/>
      <c r="AF123" s="24"/>
      <c r="AH123" s="24"/>
      <c r="AI123" s="27"/>
      <c r="AJ123" s="39">
        <f t="shared" si="1"/>
        <v>2222.2</v>
      </c>
      <c r="AK123" s="35">
        <f t="shared" si="2"/>
        <v>164</v>
      </c>
      <c r="AL123" s="35">
        <f t="shared" si="3"/>
        <v>80</v>
      </c>
      <c r="AM123" s="35">
        <f t="shared" si="4"/>
        <v>244</v>
      </c>
      <c r="AN123" s="40">
        <f t="shared" si="5"/>
        <v>9.107377049</v>
      </c>
    </row>
    <row r="124" ht="15.75" customHeight="1">
      <c r="A124" s="32" t="s">
        <v>24</v>
      </c>
      <c r="B124" s="34">
        <f t="shared" si="6"/>
        <v>44684</v>
      </c>
      <c r="C124" s="35">
        <v>5.0</v>
      </c>
      <c r="D124" s="35" t="s">
        <v>32</v>
      </c>
      <c r="E124" s="37"/>
      <c r="F124" s="23"/>
      <c r="H124" s="24"/>
      <c r="J124" s="24"/>
      <c r="L124" s="25">
        <v>82.0</v>
      </c>
      <c r="N124" s="26">
        <v>82.0</v>
      </c>
      <c r="P124" s="24"/>
      <c r="R124" s="26">
        <v>80.0</v>
      </c>
      <c r="T124" s="24"/>
      <c r="V124" s="24"/>
      <c r="W124" s="27"/>
      <c r="X124" s="23"/>
      <c r="Z124" s="24"/>
      <c r="AB124" s="24"/>
      <c r="AD124" s="24"/>
      <c r="AF124" s="24"/>
      <c r="AH124" s="24"/>
      <c r="AI124" s="27"/>
      <c r="AJ124" s="39">
        <f t="shared" si="1"/>
        <v>2222.2</v>
      </c>
      <c r="AK124" s="35">
        <f t="shared" si="2"/>
        <v>164</v>
      </c>
      <c r="AL124" s="35">
        <f t="shared" si="3"/>
        <v>80</v>
      </c>
      <c r="AM124" s="35">
        <f t="shared" si="4"/>
        <v>244</v>
      </c>
      <c r="AN124" s="40">
        <f t="shared" si="5"/>
        <v>9.107377049</v>
      </c>
    </row>
    <row r="125" ht="15.75" customHeight="1">
      <c r="A125" s="32" t="s">
        <v>28</v>
      </c>
      <c r="B125" s="34">
        <f t="shared" si="6"/>
        <v>44685</v>
      </c>
      <c r="C125" s="35">
        <v>5.0</v>
      </c>
      <c r="D125" s="35" t="s">
        <v>32</v>
      </c>
      <c r="E125" s="37"/>
      <c r="F125" s="23"/>
      <c r="H125" s="24"/>
      <c r="J125" s="24"/>
      <c r="L125" s="25">
        <v>82.0</v>
      </c>
      <c r="N125" s="26">
        <v>82.0</v>
      </c>
      <c r="P125" s="24"/>
      <c r="R125" s="26">
        <v>80.0</v>
      </c>
      <c r="T125" s="24"/>
      <c r="V125" s="24"/>
      <c r="W125" s="27"/>
      <c r="X125" s="23"/>
      <c r="Z125" s="24"/>
      <c r="AB125" s="24"/>
      <c r="AD125" s="24"/>
      <c r="AF125" s="24"/>
      <c r="AH125" s="24"/>
      <c r="AI125" s="27"/>
      <c r="AJ125" s="39">
        <f t="shared" si="1"/>
        <v>2222.2</v>
      </c>
      <c r="AK125" s="35">
        <f t="shared" si="2"/>
        <v>164</v>
      </c>
      <c r="AL125" s="35">
        <f t="shared" si="3"/>
        <v>80</v>
      </c>
      <c r="AM125" s="35">
        <f t="shared" si="4"/>
        <v>244</v>
      </c>
      <c r="AN125" s="40">
        <f t="shared" si="5"/>
        <v>9.107377049</v>
      </c>
    </row>
    <row r="126" ht="15.75" customHeight="1">
      <c r="A126" s="32" t="s">
        <v>29</v>
      </c>
      <c r="B126" s="34">
        <f t="shared" si="6"/>
        <v>44686</v>
      </c>
      <c r="C126" s="35">
        <v>5.0</v>
      </c>
      <c r="D126" s="35" t="s">
        <v>32</v>
      </c>
      <c r="E126" s="37"/>
      <c r="F126" s="23"/>
      <c r="H126" s="24"/>
      <c r="J126" s="24"/>
      <c r="L126" s="25">
        <v>82.0</v>
      </c>
      <c r="N126" s="26">
        <v>82.0</v>
      </c>
      <c r="P126" s="24"/>
      <c r="R126" s="26">
        <v>80.0</v>
      </c>
      <c r="T126" s="24"/>
      <c r="V126" s="24"/>
      <c r="W126" s="27"/>
      <c r="X126" s="23"/>
      <c r="Z126" s="24"/>
      <c r="AB126" s="24"/>
      <c r="AD126" s="24"/>
      <c r="AF126" s="24"/>
      <c r="AH126" s="24"/>
      <c r="AI126" s="27"/>
      <c r="AJ126" s="39">
        <f t="shared" si="1"/>
        <v>2222.2</v>
      </c>
      <c r="AK126" s="35">
        <f t="shared" si="2"/>
        <v>164</v>
      </c>
      <c r="AL126" s="35">
        <f t="shared" si="3"/>
        <v>80</v>
      </c>
      <c r="AM126" s="35">
        <f t="shared" si="4"/>
        <v>244</v>
      </c>
      <c r="AN126" s="40">
        <f t="shared" si="5"/>
        <v>9.107377049</v>
      </c>
    </row>
    <row r="127" ht="15.75" customHeight="1">
      <c r="A127" s="32" t="s">
        <v>30</v>
      </c>
      <c r="B127" s="34">
        <f t="shared" si="6"/>
        <v>44687</v>
      </c>
      <c r="C127" s="35">
        <v>5.0</v>
      </c>
      <c r="D127" s="35" t="s">
        <v>32</v>
      </c>
      <c r="E127" s="37"/>
      <c r="F127" s="23"/>
      <c r="H127" s="24"/>
      <c r="J127" s="24"/>
      <c r="L127" s="25">
        <v>82.0</v>
      </c>
      <c r="N127" s="26">
        <v>82.0</v>
      </c>
      <c r="P127" s="24"/>
      <c r="R127" s="26">
        <v>80.0</v>
      </c>
      <c r="T127" s="24"/>
      <c r="V127" s="24"/>
      <c r="W127" s="27"/>
      <c r="X127" s="23"/>
      <c r="Z127" s="24"/>
      <c r="AB127" s="24"/>
      <c r="AD127" s="24"/>
      <c r="AF127" s="24"/>
      <c r="AH127" s="24"/>
      <c r="AI127" s="27"/>
      <c r="AJ127" s="39">
        <f t="shared" si="1"/>
        <v>2222.2</v>
      </c>
      <c r="AK127" s="35">
        <f t="shared" si="2"/>
        <v>164</v>
      </c>
      <c r="AL127" s="35">
        <f t="shared" si="3"/>
        <v>80</v>
      </c>
      <c r="AM127" s="35">
        <f t="shared" si="4"/>
        <v>244</v>
      </c>
      <c r="AN127" s="40">
        <f t="shared" si="5"/>
        <v>9.107377049</v>
      </c>
    </row>
    <row r="128" ht="15.75" customHeight="1">
      <c r="A128" s="48" t="s">
        <v>31</v>
      </c>
      <c r="B128" s="50">
        <f t="shared" si="6"/>
        <v>44688</v>
      </c>
      <c r="C128" s="51">
        <v>5.0</v>
      </c>
      <c r="D128" s="51" t="s">
        <v>32</v>
      </c>
      <c r="E128" s="53"/>
      <c r="F128" s="54"/>
      <c r="G128" s="56"/>
      <c r="H128" s="57"/>
      <c r="I128" s="56"/>
      <c r="J128" s="57"/>
      <c r="K128" s="56"/>
      <c r="L128" s="58">
        <v>82.0</v>
      </c>
      <c r="M128" s="56"/>
      <c r="N128" s="59">
        <v>82.0</v>
      </c>
      <c r="O128" s="56"/>
      <c r="P128" s="57"/>
      <c r="Q128" s="56"/>
      <c r="R128" s="59"/>
      <c r="S128" s="56"/>
      <c r="T128" s="57"/>
      <c r="U128" s="56"/>
      <c r="V128" s="57"/>
      <c r="W128" s="60"/>
      <c r="X128" s="54"/>
      <c r="Y128" s="56"/>
      <c r="Z128" s="57"/>
      <c r="AA128" s="56"/>
      <c r="AB128" s="57"/>
      <c r="AC128" s="56"/>
      <c r="AD128" s="57"/>
      <c r="AE128" s="56"/>
      <c r="AF128" s="57"/>
      <c r="AG128" s="56"/>
      <c r="AH128" s="57"/>
      <c r="AI128" s="60"/>
      <c r="AJ128" s="61">
        <f t="shared" si="1"/>
        <v>1861.4</v>
      </c>
      <c r="AK128" s="51">
        <f t="shared" si="2"/>
        <v>164</v>
      </c>
      <c r="AL128" s="51" t="str">
        <f t="shared" si="3"/>
        <v/>
      </c>
      <c r="AM128" s="51">
        <f t="shared" si="4"/>
        <v>164</v>
      </c>
      <c r="AN128" s="63">
        <f t="shared" si="5"/>
        <v>11.35</v>
      </c>
    </row>
    <row r="129" ht="15.75" customHeight="1">
      <c r="A129" s="18" t="s">
        <v>20</v>
      </c>
      <c r="B129" s="64">
        <f t="shared" si="6"/>
        <v>44689</v>
      </c>
      <c r="C129" s="20">
        <v>5.0</v>
      </c>
      <c r="D129" s="20" t="s">
        <v>33</v>
      </c>
      <c r="E129" s="22"/>
      <c r="F129" s="23"/>
      <c r="H129" s="24"/>
      <c r="J129" s="24"/>
      <c r="L129" s="25">
        <v>82.0</v>
      </c>
      <c r="N129" s="26">
        <v>82.0</v>
      </c>
      <c r="P129" s="24"/>
      <c r="R129" s="26">
        <v>80.0</v>
      </c>
      <c r="T129" s="24"/>
      <c r="V129" s="24"/>
      <c r="W129" s="27"/>
      <c r="X129" s="23"/>
      <c r="Z129" s="24"/>
      <c r="AB129" s="24"/>
      <c r="AD129" s="24"/>
      <c r="AF129" s="24"/>
      <c r="AH129" s="24"/>
      <c r="AI129" s="27"/>
      <c r="AJ129" s="28">
        <f t="shared" si="1"/>
        <v>2222.2</v>
      </c>
      <c r="AK129" s="20">
        <f t="shared" si="2"/>
        <v>164</v>
      </c>
      <c r="AL129" s="20">
        <f t="shared" si="3"/>
        <v>80</v>
      </c>
      <c r="AM129" s="20">
        <f t="shared" si="4"/>
        <v>244</v>
      </c>
      <c r="AN129" s="31">
        <f t="shared" si="5"/>
        <v>9.107377049</v>
      </c>
    </row>
    <row r="130" ht="15.75" customHeight="1">
      <c r="A130" s="32" t="s">
        <v>22</v>
      </c>
      <c r="B130" s="34">
        <f t="shared" si="6"/>
        <v>44690</v>
      </c>
      <c r="C130" s="35">
        <v>5.0</v>
      </c>
      <c r="D130" s="35" t="s">
        <v>33</v>
      </c>
      <c r="E130" s="37"/>
      <c r="F130" s="23"/>
      <c r="H130" s="24"/>
      <c r="J130" s="24"/>
      <c r="L130" s="25">
        <v>82.0</v>
      </c>
      <c r="N130" s="26">
        <v>82.0</v>
      </c>
      <c r="P130" s="24"/>
      <c r="R130" s="26">
        <v>80.0</v>
      </c>
      <c r="T130" s="24"/>
      <c r="V130" s="24"/>
      <c r="W130" s="27"/>
      <c r="X130" s="23"/>
      <c r="Z130" s="24"/>
      <c r="AB130" s="24"/>
      <c r="AD130" s="24"/>
      <c r="AF130" s="24"/>
      <c r="AH130" s="24"/>
      <c r="AI130" s="27"/>
      <c r="AJ130" s="39">
        <f t="shared" si="1"/>
        <v>2222.2</v>
      </c>
      <c r="AK130" s="35">
        <f t="shared" si="2"/>
        <v>164</v>
      </c>
      <c r="AL130" s="35">
        <f t="shared" si="3"/>
        <v>80</v>
      </c>
      <c r="AM130" s="35">
        <f t="shared" si="4"/>
        <v>244</v>
      </c>
      <c r="AN130" s="40">
        <f t="shared" si="5"/>
        <v>9.107377049</v>
      </c>
    </row>
    <row r="131" ht="15.75" customHeight="1">
      <c r="A131" s="32" t="s">
        <v>24</v>
      </c>
      <c r="B131" s="34">
        <f t="shared" si="6"/>
        <v>44691</v>
      </c>
      <c r="C131" s="35">
        <v>5.0</v>
      </c>
      <c r="D131" s="35" t="s">
        <v>33</v>
      </c>
      <c r="E131" s="37"/>
      <c r="F131" s="23"/>
      <c r="H131" s="24"/>
      <c r="J131" s="24"/>
      <c r="L131" s="25">
        <v>82.0</v>
      </c>
      <c r="N131" s="26">
        <v>82.0</v>
      </c>
      <c r="P131" s="24"/>
      <c r="R131" s="26">
        <v>80.0</v>
      </c>
      <c r="T131" s="24"/>
      <c r="V131" s="24"/>
      <c r="W131" s="27"/>
      <c r="X131" s="23"/>
      <c r="Z131" s="24"/>
      <c r="AB131" s="24"/>
      <c r="AD131" s="24"/>
      <c r="AF131" s="24"/>
      <c r="AH131" s="24"/>
      <c r="AI131" s="27"/>
      <c r="AJ131" s="39">
        <f t="shared" si="1"/>
        <v>2222.2</v>
      </c>
      <c r="AK131" s="35">
        <f t="shared" si="2"/>
        <v>164</v>
      </c>
      <c r="AL131" s="35">
        <f t="shared" si="3"/>
        <v>80</v>
      </c>
      <c r="AM131" s="35">
        <f t="shared" si="4"/>
        <v>244</v>
      </c>
      <c r="AN131" s="40">
        <f t="shared" si="5"/>
        <v>9.107377049</v>
      </c>
    </row>
    <row r="132" ht="15.75" customHeight="1">
      <c r="A132" s="32" t="s">
        <v>28</v>
      </c>
      <c r="B132" s="34">
        <f t="shared" si="6"/>
        <v>44692</v>
      </c>
      <c r="C132" s="35">
        <v>5.0</v>
      </c>
      <c r="D132" s="35" t="s">
        <v>33</v>
      </c>
      <c r="E132" s="37"/>
      <c r="F132" s="23"/>
      <c r="H132" s="24"/>
      <c r="J132" s="24"/>
      <c r="L132" s="25">
        <v>82.0</v>
      </c>
      <c r="N132" s="26">
        <v>82.0</v>
      </c>
      <c r="P132" s="24"/>
      <c r="R132" s="26">
        <v>80.0</v>
      </c>
      <c r="T132" s="24"/>
      <c r="V132" s="24"/>
      <c r="W132" s="27"/>
      <c r="X132" s="23"/>
      <c r="Z132" s="24"/>
      <c r="AB132" s="24"/>
      <c r="AD132" s="24"/>
      <c r="AF132" s="24"/>
      <c r="AH132" s="24"/>
      <c r="AI132" s="27"/>
      <c r="AJ132" s="39">
        <f t="shared" si="1"/>
        <v>2222.2</v>
      </c>
      <c r="AK132" s="35">
        <f t="shared" si="2"/>
        <v>164</v>
      </c>
      <c r="AL132" s="35">
        <f t="shared" si="3"/>
        <v>80</v>
      </c>
      <c r="AM132" s="35">
        <f t="shared" si="4"/>
        <v>244</v>
      </c>
      <c r="AN132" s="40">
        <f t="shared" si="5"/>
        <v>9.107377049</v>
      </c>
    </row>
    <row r="133" ht="15.75" customHeight="1">
      <c r="A133" s="32" t="s">
        <v>29</v>
      </c>
      <c r="B133" s="34">
        <f t="shared" si="6"/>
        <v>44693</v>
      </c>
      <c r="C133" s="35">
        <v>5.0</v>
      </c>
      <c r="D133" s="35" t="s">
        <v>33</v>
      </c>
      <c r="E133" s="37"/>
      <c r="F133" s="23"/>
      <c r="H133" s="24"/>
      <c r="J133" s="24"/>
      <c r="L133" s="25">
        <v>82.0</v>
      </c>
      <c r="N133" s="26">
        <v>82.0</v>
      </c>
      <c r="P133" s="24"/>
      <c r="R133" s="26">
        <v>80.0</v>
      </c>
      <c r="T133" s="24"/>
      <c r="V133" s="24"/>
      <c r="W133" s="27"/>
      <c r="X133" s="23"/>
      <c r="Z133" s="24"/>
      <c r="AB133" s="24"/>
      <c r="AD133" s="24"/>
      <c r="AF133" s="24"/>
      <c r="AH133" s="24"/>
      <c r="AI133" s="27"/>
      <c r="AJ133" s="39">
        <f t="shared" si="1"/>
        <v>2222.2</v>
      </c>
      <c r="AK133" s="35">
        <f t="shared" si="2"/>
        <v>164</v>
      </c>
      <c r="AL133" s="35">
        <f t="shared" si="3"/>
        <v>80</v>
      </c>
      <c r="AM133" s="35">
        <f t="shared" si="4"/>
        <v>244</v>
      </c>
      <c r="AN133" s="40">
        <f t="shared" si="5"/>
        <v>9.107377049</v>
      </c>
    </row>
    <row r="134" ht="15.75" customHeight="1">
      <c r="A134" s="32" t="s">
        <v>30</v>
      </c>
      <c r="B134" s="34">
        <f t="shared" si="6"/>
        <v>44694</v>
      </c>
      <c r="C134" s="35">
        <v>5.0</v>
      </c>
      <c r="D134" s="35" t="s">
        <v>33</v>
      </c>
      <c r="E134" s="37"/>
      <c r="F134" s="23"/>
      <c r="H134" s="24"/>
      <c r="J134" s="24"/>
      <c r="L134" s="25">
        <v>82.0</v>
      </c>
      <c r="N134" s="26">
        <v>82.0</v>
      </c>
      <c r="P134" s="24"/>
      <c r="R134" s="26">
        <v>80.0</v>
      </c>
      <c r="T134" s="24"/>
      <c r="V134" s="24"/>
      <c r="W134" s="27"/>
      <c r="X134" s="23"/>
      <c r="Z134" s="24"/>
      <c r="AB134" s="24"/>
      <c r="AD134" s="24"/>
      <c r="AF134" s="24"/>
      <c r="AH134" s="24"/>
      <c r="AI134" s="27"/>
      <c r="AJ134" s="39">
        <f t="shared" si="1"/>
        <v>2222.2</v>
      </c>
      <c r="AK134" s="35">
        <f t="shared" si="2"/>
        <v>164</v>
      </c>
      <c r="AL134" s="35">
        <f t="shared" si="3"/>
        <v>80</v>
      </c>
      <c r="AM134" s="35">
        <f t="shared" si="4"/>
        <v>244</v>
      </c>
      <c r="AN134" s="40">
        <f t="shared" si="5"/>
        <v>9.107377049</v>
      </c>
    </row>
    <row r="135" ht="15.75" customHeight="1">
      <c r="A135" s="48" t="s">
        <v>31</v>
      </c>
      <c r="B135" s="50">
        <f t="shared" si="6"/>
        <v>44695</v>
      </c>
      <c r="C135" s="51">
        <v>5.0</v>
      </c>
      <c r="D135" s="51" t="s">
        <v>33</v>
      </c>
      <c r="E135" s="53"/>
      <c r="F135" s="54"/>
      <c r="G135" s="56"/>
      <c r="H135" s="57"/>
      <c r="I135" s="56"/>
      <c r="J135" s="57"/>
      <c r="K135" s="56"/>
      <c r="L135" s="58">
        <v>82.0</v>
      </c>
      <c r="M135" s="56"/>
      <c r="N135" s="59">
        <v>82.0</v>
      </c>
      <c r="O135" s="56"/>
      <c r="P135" s="57"/>
      <c r="Q135" s="56"/>
      <c r="R135" s="59"/>
      <c r="S135" s="56"/>
      <c r="T135" s="57"/>
      <c r="U135" s="56"/>
      <c r="V135" s="57"/>
      <c r="W135" s="60"/>
      <c r="X135" s="54"/>
      <c r="Y135" s="56"/>
      <c r="Z135" s="57"/>
      <c r="AA135" s="56"/>
      <c r="AB135" s="57"/>
      <c r="AC135" s="56"/>
      <c r="AD135" s="57"/>
      <c r="AE135" s="56"/>
      <c r="AF135" s="57"/>
      <c r="AG135" s="56"/>
      <c r="AH135" s="57"/>
      <c r="AI135" s="60"/>
      <c r="AJ135" s="61">
        <f t="shared" si="1"/>
        <v>1861.4</v>
      </c>
      <c r="AK135" s="51">
        <f t="shared" si="2"/>
        <v>164</v>
      </c>
      <c r="AL135" s="51" t="str">
        <f t="shared" si="3"/>
        <v/>
      </c>
      <c r="AM135" s="51">
        <f t="shared" si="4"/>
        <v>164</v>
      </c>
      <c r="AN135" s="63">
        <f t="shared" si="5"/>
        <v>11.35</v>
      </c>
    </row>
    <row r="136" ht="15.75" customHeight="1">
      <c r="A136" s="18" t="s">
        <v>20</v>
      </c>
      <c r="B136" s="64">
        <f t="shared" si="6"/>
        <v>44696</v>
      </c>
      <c r="C136" s="20">
        <v>5.0</v>
      </c>
      <c r="D136" s="20" t="s">
        <v>34</v>
      </c>
      <c r="E136" s="22"/>
      <c r="F136" s="23"/>
      <c r="H136" s="24"/>
      <c r="J136" s="24"/>
      <c r="L136" s="25">
        <v>82.0</v>
      </c>
      <c r="N136" s="26">
        <v>82.0</v>
      </c>
      <c r="P136" s="24"/>
      <c r="R136" s="26">
        <v>80.0</v>
      </c>
      <c r="T136" s="24"/>
      <c r="V136" s="24"/>
      <c r="W136" s="27"/>
      <c r="X136" s="23"/>
      <c r="Z136" s="24"/>
      <c r="AB136" s="24"/>
      <c r="AD136" s="24"/>
      <c r="AF136" s="24"/>
      <c r="AH136" s="24"/>
      <c r="AI136" s="27"/>
      <c r="AJ136" s="28">
        <f t="shared" si="1"/>
        <v>2222.2</v>
      </c>
      <c r="AK136" s="20">
        <f t="shared" si="2"/>
        <v>164</v>
      </c>
      <c r="AL136" s="20">
        <f t="shared" si="3"/>
        <v>80</v>
      </c>
      <c r="AM136" s="20">
        <f t="shared" si="4"/>
        <v>244</v>
      </c>
      <c r="AN136" s="31">
        <f t="shared" si="5"/>
        <v>9.107377049</v>
      </c>
    </row>
    <row r="137" ht="15.75" customHeight="1">
      <c r="A137" s="32" t="s">
        <v>22</v>
      </c>
      <c r="B137" s="34">
        <f t="shared" si="6"/>
        <v>44697</v>
      </c>
      <c r="C137" s="35">
        <v>5.0</v>
      </c>
      <c r="D137" s="35" t="s">
        <v>34</v>
      </c>
      <c r="E137" s="37"/>
      <c r="F137" s="23"/>
      <c r="H137" s="24"/>
      <c r="J137" s="24"/>
      <c r="L137" s="25">
        <v>82.0</v>
      </c>
      <c r="N137" s="26">
        <v>82.0</v>
      </c>
      <c r="P137" s="24"/>
      <c r="R137" s="26">
        <v>80.0</v>
      </c>
      <c r="T137" s="24"/>
      <c r="V137" s="24"/>
      <c r="W137" s="27"/>
      <c r="X137" s="23"/>
      <c r="Z137" s="24"/>
      <c r="AB137" s="24"/>
      <c r="AD137" s="24"/>
      <c r="AF137" s="24"/>
      <c r="AH137" s="24"/>
      <c r="AI137" s="27"/>
      <c r="AJ137" s="39">
        <f t="shared" si="1"/>
        <v>2222.2</v>
      </c>
      <c r="AK137" s="35">
        <f t="shared" si="2"/>
        <v>164</v>
      </c>
      <c r="AL137" s="35">
        <f t="shared" si="3"/>
        <v>80</v>
      </c>
      <c r="AM137" s="35">
        <f t="shared" si="4"/>
        <v>244</v>
      </c>
      <c r="AN137" s="40">
        <f t="shared" si="5"/>
        <v>9.107377049</v>
      </c>
    </row>
    <row r="138" ht="15.75" customHeight="1">
      <c r="A138" s="32" t="s">
        <v>24</v>
      </c>
      <c r="B138" s="34">
        <f t="shared" si="6"/>
        <v>44698</v>
      </c>
      <c r="C138" s="35">
        <v>5.0</v>
      </c>
      <c r="D138" s="35" t="s">
        <v>34</v>
      </c>
      <c r="E138" s="37"/>
      <c r="F138" s="23"/>
      <c r="H138" s="24"/>
      <c r="J138" s="24"/>
      <c r="L138" s="25">
        <v>82.0</v>
      </c>
      <c r="N138" s="26">
        <v>82.0</v>
      </c>
      <c r="P138" s="24"/>
      <c r="R138" s="26">
        <v>80.0</v>
      </c>
      <c r="T138" s="24"/>
      <c r="V138" s="24"/>
      <c r="W138" s="27"/>
      <c r="X138" s="23"/>
      <c r="Z138" s="24"/>
      <c r="AB138" s="24"/>
      <c r="AD138" s="24"/>
      <c r="AF138" s="24"/>
      <c r="AH138" s="24"/>
      <c r="AI138" s="27"/>
      <c r="AJ138" s="39">
        <f t="shared" si="1"/>
        <v>2222.2</v>
      </c>
      <c r="AK138" s="35">
        <f t="shared" si="2"/>
        <v>164</v>
      </c>
      <c r="AL138" s="35">
        <f t="shared" si="3"/>
        <v>80</v>
      </c>
      <c r="AM138" s="35">
        <f t="shared" si="4"/>
        <v>244</v>
      </c>
      <c r="AN138" s="40">
        <f t="shared" si="5"/>
        <v>9.107377049</v>
      </c>
    </row>
    <row r="139" ht="15.75" customHeight="1">
      <c r="A139" s="32" t="s">
        <v>28</v>
      </c>
      <c r="B139" s="34">
        <f t="shared" si="6"/>
        <v>44699</v>
      </c>
      <c r="C139" s="35">
        <v>5.0</v>
      </c>
      <c r="D139" s="35" t="s">
        <v>34</v>
      </c>
      <c r="E139" s="37"/>
      <c r="F139" s="23"/>
      <c r="H139" s="24"/>
      <c r="J139" s="24"/>
      <c r="L139" s="25">
        <v>82.0</v>
      </c>
      <c r="N139" s="26">
        <v>82.0</v>
      </c>
      <c r="P139" s="24"/>
      <c r="R139" s="26">
        <v>80.0</v>
      </c>
      <c r="T139" s="24"/>
      <c r="V139" s="24"/>
      <c r="W139" s="27"/>
      <c r="X139" s="23"/>
      <c r="Z139" s="24"/>
      <c r="AB139" s="24"/>
      <c r="AD139" s="24"/>
      <c r="AF139" s="24"/>
      <c r="AH139" s="24"/>
      <c r="AI139" s="27"/>
      <c r="AJ139" s="39">
        <f t="shared" si="1"/>
        <v>2222.2</v>
      </c>
      <c r="AK139" s="35">
        <f t="shared" si="2"/>
        <v>164</v>
      </c>
      <c r="AL139" s="35">
        <f t="shared" si="3"/>
        <v>80</v>
      </c>
      <c r="AM139" s="35">
        <f t="shared" si="4"/>
        <v>244</v>
      </c>
      <c r="AN139" s="40">
        <f t="shared" si="5"/>
        <v>9.107377049</v>
      </c>
    </row>
    <row r="140" ht="15.75" customHeight="1">
      <c r="A140" s="32" t="s">
        <v>29</v>
      </c>
      <c r="B140" s="34">
        <f t="shared" si="6"/>
        <v>44700</v>
      </c>
      <c r="C140" s="35">
        <v>5.0</v>
      </c>
      <c r="D140" s="35" t="s">
        <v>34</v>
      </c>
      <c r="E140" s="37"/>
      <c r="F140" s="23"/>
      <c r="H140" s="24"/>
      <c r="J140" s="24"/>
      <c r="L140" s="25">
        <v>82.0</v>
      </c>
      <c r="N140" s="26">
        <v>82.0</v>
      </c>
      <c r="P140" s="24"/>
      <c r="R140" s="26">
        <v>80.0</v>
      </c>
      <c r="T140" s="24"/>
      <c r="V140" s="24"/>
      <c r="W140" s="27"/>
      <c r="X140" s="23"/>
      <c r="Z140" s="24"/>
      <c r="AB140" s="24"/>
      <c r="AD140" s="24"/>
      <c r="AF140" s="24"/>
      <c r="AH140" s="24"/>
      <c r="AI140" s="27"/>
      <c r="AJ140" s="39">
        <f t="shared" si="1"/>
        <v>2222.2</v>
      </c>
      <c r="AK140" s="35">
        <f t="shared" si="2"/>
        <v>164</v>
      </c>
      <c r="AL140" s="35">
        <f t="shared" si="3"/>
        <v>80</v>
      </c>
      <c r="AM140" s="35">
        <f t="shared" si="4"/>
        <v>244</v>
      </c>
      <c r="AN140" s="40">
        <f t="shared" si="5"/>
        <v>9.107377049</v>
      </c>
    </row>
    <row r="141" ht="15.75" customHeight="1">
      <c r="A141" s="32" t="s">
        <v>30</v>
      </c>
      <c r="B141" s="34">
        <f t="shared" si="6"/>
        <v>44701</v>
      </c>
      <c r="C141" s="35">
        <v>5.0</v>
      </c>
      <c r="D141" s="35" t="s">
        <v>34</v>
      </c>
      <c r="E141" s="37"/>
      <c r="F141" s="23"/>
      <c r="H141" s="24"/>
      <c r="J141" s="24"/>
      <c r="L141" s="25">
        <v>82.0</v>
      </c>
      <c r="N141" s="26">
        <v>82.0</v>
      </c>
      <c r="P141" s="24"/>
      <c r="R141" s="26">
        <v>80.0</v>
      </c>
      <c r="T141" s="24"/>
      <c r="V141" s="24"/>
      <c r="W141" s="27"/>
      <c r="X141" s="23"/>
      <c r="Z141" s="24"/>
      <c r="AB141" s="24"/>
      <c r="AD141" s="24"/>
      <c r="AF141" s="24"/>
      <c r="AH141" s="24"/>
      <c r="AI141" s="27"/>
      <c r="AJ141" s="39">
        <f t="shared" si="1"/>
        <v>2222.2</v>
      </c>
      <c r="AK141" s="35">
        <f t="shared" si="2"/>
        <v>164</v>
      </c>
      <c r="AL141" s="35">
        <f t="shared" si="3"/>
        <v>80</v>
      </c>
      <c r="AM141" s="35">
        <f t="shared" si="4"/>
        <v>244</v>
      </c>
      <c r="AN141" s="40">
        <f t="shared" si="5"/>
        <v>9.107377049</v>
      </c>
    </row>
    <row r="142" ht="15.75" customHeight="1">
      <c r="A142" s="48" t="s">
        <v>31</v>
      </c>
      <c r="B142" s="50">
        <f t="shared" si="6"/>
        <v>44702</v>
      </c>
      <c r="C142" s="51">
        <v>5.0</v>
      </c>
      <c r="D142" s="51" t="s">
        <v>34</v>
      </c>
      <c r="E142" s="53"/>
      <c r="F142" s="54"/>
      <c r="G142" s="56"/>
      <c r="H142" s="57"/>
      <c r="I142" s="56"/>
      <c r="J142" s="57"/>
      <c r="K142" s="56"/>
      <c r="L142" s="58">
        <v>82.0</v>
      </c>
      <c r="M142" s="56"/>
      <c r="N142" s="59">
        <v>82.0</v>
      </c>
      <c r="O142" s="56"/>
      <c r="P142" s="57"/>
      <c r="Q142" s="56"/>
      <c r="R142" s="59"/>
      <c r="S142" s="56"/>
      <c r="T142" s="57"/>
      <c r="U142" s="56"/>
      <c r="V142" s="57"/>
      <c r="W142" s="60"/>
      <c r="X142" s="54"/>
      <c r="Y142" s="56"/>
      <c r="Z142" s="57"/>
      <c r="AA142" s="56"/>
      <c r="AB142" s="57"/>
      <c r="AC142" s="56"/>
      <c r="AD142" s="57"/>
      <c r="AE142" s="56"/>
      <c r="AF142" s="57"/>
      <c r="AG142" s="56"/>
      <c r="AH142" s="57"/>
      <c r="AI142" s="60"/>
      <c r="AJ142" s="61">
        <f t="shared" si="1"/>
        <v>1861.4</v>
      </c>
      <c r="AK142" s="51">
        <f t="shared" si="2"/>
        <v>164</v>
      </c>
      <c r="AL142" s="51" t="str">
        <f t="shared" si="3"/>
        <v/>
      </c>
      <c r="AM142" s="51">
        <f t="shared" si="4"/>
        <v>164</v>
      </c>
      <c r="AN142" s="63">
        <f t="shared" si="5"/>
        <v>11.35</v>
      </c>
    </row>
    <row r="143" ht="15.75" customHeight="1">
      <c r="A143" s="18" t="s">
        <v>20</v>
      </c>
      <c r="B143" s="64">
        <f t="shared" si="6"/>
        <v>44703</v>
      </c>
      <c r="C143" s="20">
        <v>6.0</v>
      </c>
      <c r="D143" s="20" t="s">
        <v>21</v>
      </c>
      <c r="E143" s="22"/>
      <c r="F143" s="23"/>
      <c r="H143" s="24"/>
      <c r="J143" s="24"/>
      <c r="L143" s="25">
        <v>82.0</v>
      </c>
      <c r="N143" s="26">
        <v>82.0</v>
      </c>
      <c r="P143" s="24"/>
      <c r="R143" s="26">
        <v>80.0</v>
      </c>
      <c r="T143" s="24"/>
      <c r="V143" s="24"/>
      <c r="W143" s="27"/>
      <c r="X143" s="23"/>
      <c r="Z143" s="24"/>
      <c r="AB143" s="24"/>
      <c r="AD143" s="24"/>
      <c r="AF143" s="24"/>
      <c r="AH143" s="24"/>
      <c r="AI143" s="27"/>
      <c r="AJ143" s="28">
        <f t="shared" si="1"/>
        <v>2222.2</v>
      </c>
      <c r="AK143" s="20">
        <f t="shared" si="2"/>
        <v>164</v>
      </c>
      <c r="AL143" s="20">
        <f t="shared" si="3"/>
        <v>80</v>
      </c>
      <c r="AM143" s="20">
        <f t="shared" si="4"/>
        <v>244</v>
      </c>
      <c r="AN143" s="31">
        <f t="shared" si="5"/>
        <v>9.107377049</v>
      </c>
    </row>
    <row r="144" ht="15.75" customHeight="1">
      <c r="A144" s="32" t="s">
        <v>22</v>
      </c>
      <c r="B144" s="34">
        <f t="shared" si="6"/>
        <v>44704</v>
      </c>
      <c r="C144" s="35">
        <v>6.0</v>
      </c>
      <c r="D144" s="35" t="s">
        <v>21</v>
      </c>
      <c r="E144" s="37"/>
      <c r="F144" s="23"/>
      <c r="H144" s="24"/>
      <c r="J144" s="24"/>
      <c r="L144" s="25">
        <v>82.0</v>
      </c>
      <c r="N144" s="26">
        <v>82.0</v>
      </c>
      <c r="P144" s="24"/>
      <c r="R144" s="26">
        <v>80.0</v>
      </c>
      <c r="T144" s="24"/>
      <c r="V144" s="24"/>
      <c r="W144" s="27"/>
      <c r="X144" s="23"/>
      <c r="Z144" s="24"/>
      <c r="AB144" s="24"/>
      <c r="AD144" s="24"/>
      <c r="AF144" s="24"/>
      <c r="AH144" s="24"/>
      <c r="AI144" s="27"/>
      <c r="AJ144" s="39">
        <f t="shared" si="1"/>
        <v>2222.2</v>
      </c>
      <c r="AK144" s="35">
        <f t="shared" si="2"/>
        <v>164</v>
      </c>
      <c r="AL144" s="35">
        <f t="shared" si="3"/>
        <v>80</v>
      </c>
      <c r="AM144" s="35">
        <f t="shared" si="4"/>
        <v>244</v>
      </c>
      <c r="AN144" s="40">
        <f t="shared" si="5"/>
        <v>9.107377049</v>
      </c>
    </row>
    <row r="145" ht="15.75" customHeight="1">
      <c r="A145" s="32" t="s">
        <v>24</v>
      </c>
      <c r="B145" s="34">
        <f t="shared" si="6"/>
        <v>44705</v>
      </c>
      <c r="C145" s="35">
        <v>6.0</v>
      </c>
      <c r="D145" s="35" t="s">
        <v>21</v>
      </c>
      <c r="E145" s="37"/>
      <c r="F145" s="23"/>
      <c r="H145" s="24"/>
      <c r="J145" s="24"/>
      <c r="L145" s="25">
        <v>82.0</v>
      </c>
      <c r="N145" s="26">
        <v>82.0</v>
      </c>
      <c r="P145" s="24"/>
      <c r="R145" s="26">
        <v>80.0</v>
      </c>
      <c r="T145" s="24"/>
      <c r="V145" s="24"/>
      <c r="W145" s="27"/>
      <c r="X145" s="23"/>
      <c r="Z145" s="24"/>
      <c r="AB145" s="24"/>
      <c r="AD145" s="24"/>
      <c r="AF145" s="24"/>
      <c r="AH145" s="24"/>
      <c r="AI145" s="27"/>
      <c r="AJ145" s="39">
        <f t="shared" si="1"/>
        <v>2222.2</v>
      </c>
      <c r="AK145" s="35">
        <f t="shared" si="2"/>
        <v>164</v>
      </c>
      <c r="AL145" s="35">
        <f t="shared" si="3"/>
        <v>80</v>
      </c>
      <c r="AM145" s="35">
        <f t="shared" si="4"/>
        <v>244</v>
      </c>
      <c r="AN145" s="40">
        <f t="shared" si="5"/>
        <v>9.107377049</v>
      </c>
    </row>
    <row r="146" ht="15.75" customHeight="1">
      <c r="A146" s="32" t="s">
        <v>28</v>
      </c>
      <c r="B146" s="34">
        <f t="shared" si="6"/>
        <v>44706</v>
      </c>
      <c r="C146" s="35">
        <v>6.0</v>
      </c>
      <c r="D146" s="35" t="s">
        <v>21</v>
      </c>
      <c r="E146" s="37"/>
      <c r="F146" s="23"/>
      <c r="H146" s="24"/>
      <c r="J146" s="24"/>
      <c r="L146" s="25">
        <v>82.0</v>
      </c>
      <c r="N146" s="26">
        <v>82.0</v>
      </c>
      <c r="P146" s="24"/>
      <c r="R146" s="26">
        <v>80.0</v>
      </c>
      <c r="T146" s="24"/>
      <c r="V146" s="24"/>
      <c r="W146" s="27"/>
      <c r="X146" s="23"/>
      <c r="Z146" s="24"/>
      <c r="AB146" s="24"/>
      <c r="AD146" s="24"/>
      <c r="AF146" s="24"/>
      <c r="AH146" s="24"/>
      <c r="AI146" s="27"/>
      <c r="AJ146" s="39">
        <f t="shared" si="1"/>
        <v>2222.2</v>
      </c>
      <c r="AK146" s="35">
        <f t="shared" si="2"/>
        <v>164</v>
      </c>
      <c r="AL146" s="35">
        <f t="shared" si="3"/>
        <v>80</v>
      </c>
      <c r="AM146" s="35">
        <f t="shared" si="4"/>
        <v>244</v>
      </c>
      <c r="AN146" s="40">
        <f t="shared" si="5"/>
        <v>9.107377049</v>
      </c>
    </row>
    <row r="147" ht="15.75" customHeight="1">
      <c r="A147" s="32" t="s">
        <v>29</v>
      </c>
      <c r="B147" s="34">
        <f t="shared" si="6"/>
        <v>44707</v>
      </c>
      <c r="C147" s="35">
        <v>6.0</v>
      </c>
      <c r="D147" s="35" t="s">
        <v>21</v>
      </c>
      <c r="E147" s="37"/>
      <c r="F147" s="23"/>
      <c r="H147" s="24"/>
      <c r="J147" s="24"/>
      <c r="L147" s="25">
        <v>82.0</v>
      </c>
      <c r="N147" s="26">
        <v>82.0</v>
      </c>
      <c r="P147" s="24"/>
      <c r="R147" s="26">
        <v>80.0</v>
      </c>
      <c r="T147" s="24"/>
      <c r="V147" s="24"/>
      <c r="W147" s="27"/>
      <c r="X147" s="23"/>
      <c r="Z147" s="24"/>
      <c r="AB147" s="24"/>
      <c r="AD147" s="24"/>
      <c r="AF147" s="24"/>
      <c r="AH147" s="24"/>
      <c r="AI147" s="27"/>
      <c r="AJ147" s="39">
        <f t="shared" si="1"/>
        <v>2222.2</v>
      </c>
      <c r="AK147" s="35">
        <f t="shared" si="2"/>
        <v>164</v>
      </c>
      <c r="AL147" s="35">
        <f t="shared" si="3"/>
        <v>80</v>
      </c>
      <c r="AM147" s="35">
        <f t="shared" si="4"/>
        <v>244</v>
      </c>
      <c r="AN147" s="40">
        <f t="shared" si="5"/>
        <v>9.107377049</v>
      </c>
    </row>
    <row r="148" ht="15.75" customHeight="1">
      <c r="A148" s="32" t="s">
        <v>30</v>
      </c>
      <c r="B148" s="34">
        <f t="shared" si="6"/>
        <v>44708</v>
      </c>
      <c r="C148" s="35">
        <v>6.0</v>
      </c>
      <c r="D148" s="35" t="s">
        <v>21</v>
      </c>
      <c r="E148" s="37"/>
      <c r="F148" s="23"/>
      <c r="H148" s="24"/>
      <c r="J148" s="24"/>
      <c r="L148" s="25">
        <v>82.0</v>
      </c>
      <c r="N148" s="26">
        <v>82.0</v>
      </c>
      <c r="P148" s="24"/>
      <c r="R148" s="26">
        <v>80.0</v>
      </c>
      <c r="T148" s="24"/>
      <c r="V148" s="24"/>
      <c r="W148" s="27"/>
      <c r="X148" s="23"/>
      <c r="Z148" s="24"/>
      <c r="AB148" s="24"/>
      <c r="AD148" s="24"/>
      <c r="AF148" s="24"/>
      <c r="AH148" s="24"/>
      <c r="AI148" s="27"/>
      <c r="AJ148" s="39">
        <f t="shared" si="1"/>
        <v>2222.2</v>
      </c>
      <c r="AK148" s="35">
        <f t="shared" si="2"/>
        <v>164</v>
      </c>
      <c r="AL148" s="35">
        <f t="shared" si="3"/>
        <v>80</v>
      </c>
      <c r="AM148" s="35">
        <f t="shared" si="4"/>
        <v>244</v>
      </c>
      <c r="AN148" s="40">
        <f t="shared" si="5"/>
        <v>9.107377049</v>
      </c>
    </row>
    <row r="149" ht="15.75" customHeight="1">
      <c r="A149" s="48" t="s">
        <v>31</v>
      </c>
      <c r="B149" s="50">
        <f t="shared" si="6"/>
        <v>44709</v>
      </c>
      <c r="C149" s="51">
        <v>6.0</v>
      </c>
      <c r="D149" s="51" t="s">
        <v>21</v>
      </c>
      <c r="E149" s="53"/>
      <c r="F149" s="54"/>
      <c r="G149" s="56"/>
      <c r="H149" s="57"/>
      <c r="I149" s="56"/>
      <c r="J149" s="57"/>
      <c r="K149" s="56"/>
      <c r="L149" s="58">
        <v>82.0</v>
      </c>
      <c r="M149" s="56"/>
      <c r="N149" s="59">
        <v>82.0</v>
      </c>
      <c r="O149" s="56"/>
      <c r="P149" s="57"/>
      <c r="Q149" s="56"/>
      <c r="R149" s="59"/>
      <c r="S149" s="56"/>
      <c r="T149" s="57"/>
      <c r="U149" s="56"/>
      <c r="V149" s="57"/>
      <c r="W149" s="60"/>
      <c r="X149" s="54"/>
      <c r="Y149" s="56"/>
      <c r="Z149" s="57"/>
      <c r="AA149" s="56"/>
      <c r="AB149" s="57"/>
      <c r="AC149" s="56"/>
      <c r="AD149" s="57"/>
      <c r="AE149" s="56"/>
      <c r="AF149" s="57"/>
      <c r="AG149" s="56"/>
      <c r="AH149" s="57"/>
      <c r="AI149" s="60"/>
      <c r="AJ149" s="61">
        <f t="shared" si="1"/>
        <v>1861.4</v>
      </c>
      <c r="AK149" s="51">
        <f t="shared" si="2"/>
        <v>164</v>
      </c>
      <c r="AL149" s="51" t="str">
        <f t="shared" si="3"/>
        <v/>
      </c>
      <c r="AM149" s="51">
        <f t="shared" si="4"/>
        <v>164</v>
      </c>
      <c r="AN149" s="63">
        <f t="shared" si="5"/>
        <v>11.35</v>
      </c>
    </row>
    <row r="150" ht="15.75" customHeight="1">
      <c r="A150" s="18" t="s">
        <v>20</v>
      </c>
      <c r="B150" s="64">
        <f t="shared" si="6"/>
        <v>44710</v>
      </c>
      <c r="C150" s="20">
        <v>6.0</v>
      </c>
      <c r="D150" s="20" t="s">
        <v>32</v>
      </c>
      <c r="E150" s="22"/>
      <c r="F150" s="23"/>
      <c r="H150" s="24"/>
      <c r="J150" s="24"/>
      <c r="L150" s="25">
        <v>82.0</v>
      </c>
      <c r="N150" s="26">
        <v>82.0</v>
      </c>
      <c r="P150" s="24"/>
      <c r="R150" s="26">
        <v>80.0</v>
      </c>
      <c r="T150" s="24"/>
      <c r="V150" s="24"/>
      <c r="W150" s="27"/>
      <c r="X150" s="23"/>
      <c r="Z150" s="24"/>
      <c r="AB150" s="24"/>
      <c r="AD150" s="24"/>
      <c r="AF150" s="24"/>
      <c r="AH150" s="24"/>
      <c r="AI150" s="27"/>
      <c r="AJ150" s="28">
        <f t="shared" si="1"/>
        <v>2222.2</v>
      </c>
      <c r="AK150" s="20">
        <f t="shared" si="2"/>
        <v>164</v>
      </c>
      <c r="AL150" s="20">
        <f t="shared" si="3"/>
        <v>80</v>
      </c>
      <c r="AM150" s="20">
        <f t="shared" si="4"/>
        <v>244</v>
      </c>
      <c r="AN150" s="31">
        <f t="shared" si="5"/>
        <v>9.107377049</v>
      </c>
    </row>
    <row r="151" ht="15.75" customHeight="1">
      <c r="A151" s="32" t="s">
        <v>22</v>
      </c>
      <c r="B151" s="34">
        <f t="shared" si="6"/>
        <v>44711</v>
      </c>
      <c r="C151" s="35">
        <v>6.0</v>
      </c>
      <c r="D151" s="35" t="s">
        <v>32</v>
      </c>
      <c r="E151" s="37"/>
      <c r="F151" s="23"/>
      <c r="H151" s="24"/>
      <c r="J151" s="24"/>
      <c r="L151" s="25">
        <v>82.0</v>
      </c>
      <c r="N151" s="26">
        <v>82.0</v>
      </c>
      <c r="P151" s="24"/>
      <c r="R151" s="26">
        <v>80.0</v>
      </c>
      <c r="T151" s="24"/>
      <c r="V151" s="24"/>
      <c r="W151" s="27"/>
      <c r="X151" s="23"/>
      <c r="Z151" s="24"/>
      <c r="AB151" s="24"/>
      <c r="AD151" s="24"/>
      <c r="AF151" s="24"/>
      <c r="AH151" s="24"/>
      <c r="AI151" s="27"/>
      <c r="AJ151" s="39">
        <f t="shared" si="1"/>
        <v>2222.2</v>
      </c>
      <c r="AK151" s="35">
        <f t="shared" si="2"/>
        <v>164</v>
      </c>
      <c r="AL151" s="35">
        <f t="shared" si="3"/>
        <v>80</v>
      </c>
      <c r="AM151" s="35">
        <f t="shared" si="4"/>
        <v>244</v>
      </c>
      <c r="AN151" s="40">
        <f t="shared" si="5"/>
        <v>9.107377049</v>
      </c>
    </row>
    <row r="152" ht="15.75" customHeight="1">
      <c r="A152" s="32" t="s">
        <v>24</v>
      </c>
      <c r="B152" s="34">
        <f t="shared" si="6"/>
        <v>44712</v>
      </c>
      <c r="C152" s="35">
        <v>6.0</v>
      </c>
      <c r="D152" s="35" t="s">
        <v>32</v>
      </c>
      <c r="E152" s="37"/>
      <c r="F152" s="23"/>
      <c r="H152" s="24"/>
      <c r="J152" s="24"/>
      <c r="L152" s="25">
        <v>82.0</v>
      </c>
      <c r="N152" s="26">
        <v>82.0</v>
      </c>
      <c r="P152" s="24"/>
      <c r="R152" s="26">
        <v>80.0</v>
      </c>
      <c r="T152" s="24"/>
      <c r="V152" s="24"/>
      <c r="W152" s="27"/>
      <c r="X152" s="23"/>
      <c r="Z152" s="24"/>
      <c r="AB152" s="24"/>
      <c r="AD152" s="24"/>
      <c r="AF152" s="24"/>
      <c r="AH152" s="24"/>
      <c r="AI152" s="27"/>
      <c r="AJ152" s="39">
        <f t="shared" si="1"/>
        <v>2222.2</v>
      </c>
      <c r="AK152" s="35">
        <f t="shared" si="2"/>
        <v>164</v>
      </c>
      <c r="AL152" s="35">
        <f t="shared" si="3"/>
        <v>80</v>
      </c>
      <c r="AM152" s="35">
        <f t="shared" si="4"/>
        <v>244</v>
      </c>
      <c r="AN152" s="40">
        <f t="shared" si="5"/>
        <v>9.107377049</v>
      </c>
    </row>
    <row r="153" ht="15.75" customHeight="1">
      <c r="A153" s="32" t="s">
        <v>28</v>
      </c>
      <c r="B153" s="34">
        <f t="shared" si="6"/>
        <v>44713</v>
      </c>
      <c r="C153" s="35">
        <v>6.0</v>
      </c>
      <c r="D153" s="35" t="s">
        <v>32</v>
      </c>
      <c r="E153" s="37"/>
      <c r="F153" s="23"/>
      <c r="H153" s="24"/>
      <c r="J153" s="24"/>
      <c r="L153" s="25">
        <v>82.0</v>
      </c>
      <c r="N153" s="26">
        <v>82.0</v>
      </c>
      <c r="P153" s="24"/>
      <c r="R153" s="26">
        <v>80.0</v>
      </c>
      <c r="T153" s="24"/>
      <c r="V153" s="24"/>
      <c r="W153" s="27"/>
      <c r="X153" s="23"/>
      <c r="Z153" s="24"/>
      <c r="AB153" s="24"/>
      <c r="AD153" s="24"/>
      <c r="AF153" s="24"/>
      <c r="AH153" s="24"/>
      <c r="AI153" s="27"/>
      <c r="AJ153" s="39">
        <f t="shared" si="1"/>
        <v>2222.2</v>
      </c>
      <c r="AK153" s="35">
        <f t="shared" si="2"/>
        <v>164</v>
      </c>
      <c r="AL153" s="35">
        <f t="shared" si="3"/>
        <v>80</v>
      </c>
      <c r="AM153" s="35">
        <f t="shared" si="4"/>
        <v>244</v>
      </c>
      <c r="AN153" s="40">
        <f t="shared" si="5"/>
        <v>9.107377049</v>
      </c>
    </row>
    <row r="154" ht="15.75" customHeight="1">
      <c r="A154" s="32" t="s">
        <v>29</v>
      </c>
      <c r="B154" s="34">
        <f t="shared" si="6"/>
        <v>44714</v>
      </c>
      <c r="C154" s="35">
        <v>6.0</v>
      </c>
      <c r="D154" s="35" t="s">
        <v>32</v>
      </c>
      <c r="E154" s="37"/>
      <c r="F154" s="23"/>
      <c r="H154" s="24"/>
      <c r="J154" s="24"/>
      <c r="L154" s="25">
        <v>82.0</v>
      </c>
      <c r="N154" s="26">
        <v>82.0</v>
      </c>
      <c r="P154" s="24"/>
      <c r="R154" s="26">
        <v>80.0</v>
      </c>
      <c r="T154" s="24"/>
      <c r="V154" s="24"/>
      <c r="W154" s="27"/>
      <c r="X154" s="23"/>
      <c r="Z154" s="24"/>
      <c r="AB154" s="24"/>
      <c r="AD154" s="24"/>
      <c r="AF154" s="24"/>
      <c r="AH154" s="24"/>
      <c r="AI154" s="27"/>
      <c r="AJ154" s="39">
        <f t="shared" si="1"/>
        <v>2222.2</v>
      </c>
      <c r="AK154" s="35">
        <f t="shared" si="2"/>
        <v>164</v>
      </c>
      <c r="AL154" s="35">
        <f t="shared" si="3"/>
        <v>80</v>
      </c>
      <c r="AM154" s="35">
        <f t="shared" si="4"/>
        <v>244</v>
      </c>
      <c r="AN154" s="40">
        <f t="shared" si="5"/>
        <v>9.107377049</v>
      </c>
    </row>
    <row r="155" ht="15.75" customHeight="1">
      <c r="A155" s="32" t="s">
        <v>30</v>
      </c>
      <c r="B155" s="34">
        <f t="shared" si="6"/>
        <v>44715</v>
      </c>
      <c r="C155" s="35">
        <v>6.0</v>
      </c>
      <c r="D155" s="35" t="s">
        <v>32</v>
      </c>
      <c r="E155" s="37"/>
      <c r="F155" s="23"/>
      <c r="H155" s="24"/>
      <c r="J155" s="24"/>
      <c r="L155" s="25">
        <v>82.0</v>
      </c>
      <c r="N155" s="26">
        <v>82.0</v>
      </c>
      <c r="P155" s="24"/>
      <c r="R155" s="26">
        <v>80.0</v>
      </c>
      <c r="T155" s="24"/>
      <c r="V155" s="24"/>
      <c r="W155" s="27"/>
      <c r="X155" s="23"/>
      <c r="Z155" s="24"/>
      <c r="AB155" s="24"/>
      <c r="AD155" s="24"/>
      <c r="AF155" s="24"/>
      <c r="AH155" s="24"/>
      <c r="AI155" s="27"/>
      <c r="AJ155" s="39">
        <f t="shared" si="1"/>
        <v>2222.2</v>
      </c>
      <c r="AK155" s="35">
        <f t="shared" si="2"/>
        <v>164</v>
      </c>
      <c r="AL155" s="35">
        <f t="shared" si="3"/>
        <v>80</v>
      </c>
      <c r="AM155" s="35">
        <f t="shared" si="4"/>
        <v>244</v>
      </c>
      <c r="AN155" s="40">
        <f t="shared" si="5"/>
        <v>9.107377049</v>
      </c>
    </row>
    <row r="156" ht="15.75" customHeight="1">
      <c r="A156" s="48" t="s">
        <v>31</v>
      </c>
      <c r="B156" s="50">
        <f t="shared" si="6"/>
        <v>44716</v>
      </c>
      <c r="C156" s="51">
        <v>6.0</v>
      </c>
      <c r="D156" s="51" t="s">
        <v>32</v>
      </c>
      <c r="E156" s="53"/>
      <c r="F156" s="54"/>
      <c r="G156" s="56"/>
      <c r="H156" s="57"/>
      <c r="I156" s="56"/>
      <c r="J156" s="57"/>
      <c r="K156" s="56"/>
      <c r="L156" s="58">
        <v>82.0</v>
      </c>
      <c r="M156" s="56"/>
      <c r="N156" s="59">
        <v>82.0</v>
      </c>
      <c r="O156" s="56"/>
      <c r="P156" s="57"/>
      <c r="Q156" s="56"/>
      <c r="R156" s="59"/>
      <c r="S156" s="56"/>
      <c r="T156" s="57"/>
      <c r="U156" s="56"/>
      <c r="V156" s="57"/>
      <c r="W156" s="60"/>
      <c r="X156" s="54"/>
      <c r="Y156" s="56"/>
      <c r="Z156" s="57"/>
      <c r="AA156" s="56"/>
      <c r="AB156" s="57"/>
      <c r="AC156" s="56"/>
      <c r="AD156" s="57"/>
      <c r="AE156" s="56"/>
      <c r="AF156" s="57"/>
      <c r="AG156" s="56"/>
      <c r="AH156" s="57"/>
      <c r="AI156" s="60"/>
      <c r="AJ156" s="61">
        <f t="shared" si="1"/>
        <v>1861.4</v>
      </c>
      <c r="AK156" s="51">
        <f t="shared" si="2"/>
        <v>164</v>
      </c>
      <c r="AL156" s="51" t="str">
        <f t="shared" si="3"/>
        <v/>
      </c>
      <c r="AM156" s="51">
        <f t="shared" si="4"/>
        <v>164</v>
      </c>
      <c r="AN156" s="63">
        <f t="shared" si="5"/>
        <v>11.35</v>
      </c>
    </row>
    <row r="157" ht="15.75" customHeight="1">
      <c r="A157" s="18" t="s">
        <v>20</v>
      </c>
      <c r="B157" s="64">
        <f t="shared" si="6"/>
        <v>44717</v>
      </c>
      <c r="C157" s="20">
        <v>6.0</v>
      </c>
      <c r="D157" s="20" t="s">
        <v>33</v>
      </c>
      <c r="E157" s="85" t="s">
        <v>35</v>
      </c>
      <c r="F157" s="23"/>
      <c r="H157" s="24"/>
      <c r="J157" s="24"/>
      <c r="L157" s="25">
        <v>82.0</v>
      </c>
      <c r="N157" s="26">
        <v>82.0</v>
      </c>
      <c r="P157" s="86"/>
      <c r="R157" s="26">
        <v>80.0</v>
      </c>
      <c r="T157" s="24"/>
      <c r="V157" s="24"/>
      <c r="W157" s="27"/>
      <c r="X157" s="23"/>
      <c r="Z157" s="24"/>
      <c r="AB157" s="24"/>
      <c r="AD157" s="24"/>
      <c r="AF157" s="24"/>
      <c r="AH157" s="24"/>
      <c r="AI157" s="27"/>
      <c r="AJ157" s="28">
        <f t="shared" si="1"/>
        <v>2222.2</v>
      </c>
      <c r="AK157" s="20">
        <f t="shared" si="2"/>
        <v>164</v>
      </c>
      <c r="AL157" s="20">
        <f t="shared" si="3"/>
        <v>80</v>
      </c>
      <c r="AM157" s="20">
        <f t="shared" si="4"/>
        <v>244</v>
      </c>
      <c r="AN157" s="31">
        <f t="shared" si="5"/>
        <v>9.107377049</v>
      </c>
    </row>
    <row r="158" ht="15.75" customHeight="1">
      <c r="A158" s="32" t="s">
        <v>22</v>
      </c>
      <c r="B158" s="34">
        <f t="shared" si="6"/>
        <v>44718</v>
      </c>
      <c r="C158" s="35">
        <v>6.0</v>
      </c>
      <c r="D158" s="35" t="s">
        <v>33</v>
      </c>
      <c r="E158" s="87" t="s">
        <v>35</v>
      </c>
      <c r="F158" s="23"/>
      <c r="H158" s="24"/>
      <c r="J158" s="24"/>
      <c r="L158" s="25">
        <v>69.0</v>
      </c>
      <c r="N158" s="26">
        <v>69.0</v>
      </c>
      <c r="P158" s="86"/>
      <c r="R158" s="26">
        <v>80.0</v>
      </c>
      <c r="T158" s="24"/>
      <c r="V158" s="24"/>
      <c r="W158" s="27"/>
      <c r="X158" s="23"/>
      <c r="Z158" s="24"/>
      <c r="AB158" s="24"/>
      <c r="AD158" s="24"/>
      <c r="AF158" s="24"/>
      <c r="AH158" s="24"/>
      <c r="AI158" s="27"/>
      <c r="AJ158" s="39">
        <f t="shared" si="1"/>
        <v>1927.1</v>
      </c>
      <c r="AK158" s="35">
        <f t="shared" si="2"/>
        <v>138</v>
      </c>
      <c r="AL158" s="35">
        <f t="shared" si="3"/>
        <v>80</v>
      </c>
      <c r="AM158" s="35">
        <f t="shared" si="4"/>
        <v>218</v>
      </c>
      <c r="AN158" s="40">
        <f t="shared" si="5"/>
        <v>8.839908257</v>
      </c>
    </row>
    <row r="159" ht="15.75" customHeight="1">
      <c r="A159" s="32" t="s">
        <v>24</v>
      </c>
      <c r="B159" s="34">
        <f t="shared" si="6"/>
        <v>44719</v>
      </c>
      <c r="C159" s="35">
        <v>6.0</v>
      </c>
      <c r="D159" s="35" t="s">
        <v>33</v>
      </c>
      <c r="E159" s="87" t="s">
        <v>35</v>
      </c>
      <c r="F159" s="23"/>
      <c r="H159" s="24"/>
      <c r="J159" s="24"/>
      <c r="L159" s="25">
        <v>69.0</v>
      </c>
      <c r="N159" s="26">
        <v>69.0</v>
      </c>
      <c r="P159" s="86"/>
      <c r="R159" s="26">
        <v>80.0</v>
      </c>
      <c r="T159" s="24"/>
      <c r="V159" s="24"/>
      <c r="W159" s="27"/>
      <c r="X159" s="23"/>
      <c r="Z159" s="24"/>
      <c r="AB159" s="24"/>
      <c r="AD159" s="24"/>
      <c r="AF159" s="24"/>
      <c r="AH159" s="24"/>
      <c r="AI159" s="27"/>
      <c r="AJ159" s="39">
        <f t="shared" si="1"/>
        <v>1927.1</v>
      </c>
      <c r="AK159" s="35">
        <f t="shared" si="2"/>
        <v>138</v>
      </c>
      <c r="AL159" s="35">
        <f t="shared" si="3"/>
        <v>80</v>
      </c>
      <c r="AM159" s="35">
        <f t="shared" si="4"/>
        <v>218</v>
      </c>
      <c r="AN159" s="40">
        <f t="shared" si="5"/>
        <v>8.839908257</v>
      </c>
    </row>
    <row r="160" ht="15.75" customHeight="1">
      <c r="A160" s="32" t="s">
        <v>28</v>
      </c>
      <c r="B160" s="34">
        <f t="shared" si="6"/>
        <v>44720</v>
      </c>
      <c r="C160" s="35">
        <v>6.0</v>
      </c>
      <c r="D160" s="35" t="s">
        <v>33</v>
      </c>
      <c r="E160" s="87" t="s">
        <v>35</v>
      </c>
      <c r="F160" s="23"/>
      <c r="H160" s="24"/>
      <c r="J160" s="24"/>
      <c r="L160" s="25">
        <v>69.0</v>
      </c>
      <c r="N160" s="26">
        <v>69.0</v>
      </c>
      <c r="P160" s="86"/>
      <c r="R160" s="26">
        <v>80.0</v>
      </c>
      <c r="T160" s="24"/>
      <c r="V160" s="24"/>
      <c r="W160" s="27"/>
      <c r="X160" s="23"/>
      <c r="Z160" s="24"/>
      <c r="AB160" s="24"/>
      <c r="AD160" s="24"/>
      <c r="AF160" s="24"/>
      <c r="AH160" s="24"/>
      <c r="AI160" s="27"/>
      <c r="AJ160" s="39">
        <f t="shared" si="1"/>
        <v>1927.1</v>
      </c>
      <c r="AK160" s="35">
        <f t="shared" si="2"/>
        <v>138</v>
      </c>
      <c r="AL160" s="35">
        <f t="shared" si="3"/>
        <v>80</v>
      </c>
      <c r="AM160" s="35">
        <f t="shared" si="4"/>
        <v>218</v>
      </c>
      <c r="AN160" s="40">
        <f t="shared" si="5"/>
        <v>8.839908257</v>
      </c>
    </row>
    <row r="161" ht="15.75" customHeight="1">
      <c r="A161" s="32" t="s">
        <v>29</v>
      </c>
      <c r="B161" s="34">
        <f t="shared" si="6"/>
        <v>44721</v>
      </c>
      <c r="C161" s="35">
        <v>6.0</v>
      </c>
      <c r="D161" s="35" t="s">
        <v>33</v>
      </c>
      <c r="E161" s="87" t="s">
        <v>35</v>
      </c>
      <c r="F161" s="23"/>
      <c r="H161" s="24"/>
      <c r="J161" s="24"/>
      <c r="L161" s="25">
        <v>69.0</v>
      </c>
      <c r="N161" s="26">
        <v>69.0</v>
      </c>
      <c r="P161" s="86"/>
      <c r="R161" s="26">
        <v>80.0</v>
      </c>
      <c r="T161" s="24"/>
      <c r="V161" s="24"/>
      <c r="W161" s="27"/>
      <c r="X161" s="23"/>
      <c r="Z161" s="24"/>
      <c r="AB161" s="24"/>
      <c r="AD161" s="24"/>
      <c r="AF161" s="24"/>
      <c r="AH161" s="24"/>
      <c r="AI161" s="27"/>
      <c r="AJ161" s="39">
        <f t="shared" si="1"/>
        <v>1927.1</v>
      </c>
      <c r="AK161" s="35">
        <f t="shared" si="2"/>
        <v>138</v>
      </c>
      <c r="AL161" s="35">
        <f t="shared" si="3"/>
        <v>80</v>
      </c>
      <c r="AM161" s="35">
        <f t="shared" si="4"/>
        <v>218</v>
      </c>
      <c r="AN161" s="40">
        <f t="shared" si="5"/>
        <v>8.839908257</v>
      </c>
    </row>
    <row r="162" ht="15.75" customHeight="1">
      <c r="A162" s="32" t="s">
        <v>30</v>
      </c>
      <c r="B162" s="34">
        <f t="shared" si="6"/>
        <v>44722</v>
      </c>
      <c r="C162" s="35">
        <v>6.0</v>
      </c>
      <c r="D162" s="35" t="s">
        <v>33</v>
      </c>
      <c r="E162" s="87" t="s">
        <v>35</v>
      </c>
      <c r="F162" s="23"/>
      <c r="H162" s="24"/>
      <c r="J162" s="24"/>
      <c r="L162" s="25">
        <v>69.0</v>
      </c>
      <c r="N162" s="26">
        <v>69.0</v>
      </c>
      <c r="P162" s="86"/>
      <c r="R162" s="26">
        <v>80.0</v>
      </c>
      <c r="T162" s="24"/>
      <c r="V162" s="24"/>
      <c r="W162" s="27"/>
      <c r="X162" s="23"/>
      <c r="Z162" s="24"/>
      <c r="AB162" s="24"/>
      <c r="AD162" s="24"/>
      <c r="AF162" s="24"/>
      <c r="AH162" s="24"/>
      <c r="AI162" s="27"/>
      <c r="AJ162" s="39">
        <f t="shared" si="1"/>
        <v>1927.1</v>
      </c>
      <c r="AK162" s="35">
        <f t="shared" si="2"/>
        <v>138</v>
      </c>
      <c r="AL162" s="35">
        <f t="shared" si="3"/>
        <v>80</v>
      </c>
      <c r="AM162" s="35">
        <f t="shared" si="4"/>
        <v>218</v>
      </c>
      <c r="AN162" s="40">
        <f t="shared" si="5"/>
        <v>8.839908257</v>
      </c>
    </row>
    <row r="163" ht="15.75" customHeight="1">
      <c r="A163" s="48" t="s">
        <v>31</v>
      </c>
      <c r="B163" s="50">
        <f t="shared" si="6"/>
        <v>44723</v>
      </c>
      <c r="C163" s="51">
        <v>6.0</v>
      </c>
      <c r="D163" s="51" t="s">
        <v>33</v>
      </c>
      <c r="E163" s="88" t="s">
        <v>35</v>
      </c>
      <c r="F163" s="54"/>
      <c r="G163" s="56"/>
      <c r="H163" s="57"/>
      <c r="I163" s="56"/>
      <c r="J163" s="57"/>
      <c r="K163" s="56"/>
      <c r="L163" s="58">
        <v>69.0</v>
      </c>
      <c r="M163" s="56"/>
      <c r="N163" s="59">
        <v>69.0</v>
      </c>
      <c r="O163" s="56"/>
      <c r="P163" s="89"/>
      <c r="Q163" s="56"/>
      <c r="R163" s="59"/>
      <c r="S163" s="56"/>
      <c r="T163" s="57"/>
      <c r="U163" s="56"/>
      <c r="V163" s="57"/>
      <c r="W163" s="60"/>
      <c r="X163" s="54"/>
      <c r="Y163" s="56"/>
      <c r="Z163" s="57"/>
      <c r="AA163" s="56"/>
      <c r="AB163" s="57"/>
      <c r="AC163" s="56"/>
      <c r="AD163" s="57"/>
      <c r="AE163" s="56"/>
      <c r="AF163" s="57"/>
      <c r="AG163" s="56"/>
      <c r="AH163" s="57"/>
      <c r="AI163" s="60"/>
      <c r="AJ163" s="61">
        <f t="shared" si="1"/>
        <v>1566.3</v>
      </c>
      <c r="AK163" s="51">
        <f t="shared" si="2"/>
        <v>138</v>
      </c>
      <c r="AL163" s="51" t="str">
        <f t="shared" si="3"/>
        <v/>
      </c>
      <c r="AM163" s="51">
        <f t="shared" si="4"/>
        <v>138</v>
      </c>
      <c r="AN163" s="63">
        <f t="shared" si="5"/>
        <v>11.35</v>
      </c>
    </row>
    <row r="164" ht="15.75" customHeight="1">
      <c r="A164" s="18" t="s">
        <v>20</v>
      </c>
      <c r="B164" s="64">
        <f t="shared" si="6"/>
        <v>44724</v>
      </c>
      <c r="C164" s="20">
        <v>6.0</v>
      </c>
      <c r="D164" s="20" t="s">
        <v>34</v>
      </c>
      <c r="E164" s="90" t="s">
        <v>35</v>
      </c>
      <c r="F164" s="23"/>
      <c r="H164" s="24"/>
      <c r="J164" s="24"/>
      <c r="L164" s="25">
        <v>69.0</v>
      </c>
      <c r="N164" s="26">
        <v>69.0</v>
      </c>
      <c r="P164" s="86"/>
      <c r="R164" s="26">
        <v>80.0</v>
      </c>
      <c r="T164" s="24"/>
      <c r="V164" s="24"/>
      <c r="W164" s="27"/>
      <c r="X164" s="23"/>
      <c r="Z164" s="24"/>
      <c r="AB164" s="24"/>
      <c r="AD164" s="24"/>
      <c r="AF164" s="24"/>
      <c r="AH164" s="24"/>
      <c r="AI164" s="27"/>
      <c r="AJ164" s="28">
        <f t="shared" si="1"/>
        <v>1927.1</v>
      </c>
      <c r="AK164" s="20">
        <f t="shared" si="2"/>
        <v>138</v>
      </c>
      <c r="AL164" s="20">
        <f t="shared" si="3"/>
        <v>80</v>
      </c>
      <c r="AM164" s="20">
        <f t="shared" si="4"/>
        <v>218</v>
      </c>
      <c r="AN164" s="31">
        <f t="shared" si="5"/>
        <v>8.839908257</v>
      </c>
    </row>
    <row r="165" ht="15.75" customHeight="1">
      <c r="A165" s="32" t="s">
        <v>22</v>
      </c>
      <c r="B165" s="34">
        <f t="shared" si="6"/>
        <v>44725</v>
      </c>
      <c r="C165" s="35">
        <v>6.0</v>
      </c>
      <c r="D165" s="35" t="s">
        <v>34</v>
      </c>
      <c r="E165" s="87" t="s">
        <v>35</v>
      </c>
      <c r="F165" s="23"/>
      <c r="H165" s="24"/>
      <c r="J165" s="24"/>
      <c r="L165" s="25">
        <v>69.0</v>
      </c>
      <c r="N165" s="26">
        <v>69.0</v>
      </c>
      <c r="P165" s="86"/>
      <c r="R165" s="26">
        <v>80.0</v>
      </c>
      <c r="T165" s="24"/>
      <c r="V165" s="24"/>
      <c r="W165" s="27"/>
      <c r="X165" s="23"/>
      <c r="Z165" s="24"/>
      <c r="AB165" s="24"/>
      <c r="AD165" s="24"/>
      <c r="AF165" s="24"/>
      <c r="AH165" s="24"/>
      <c r="AI165" s="27"/>
      <c r="AJ165" s="39">
        <f t="shared" si="1"/>
        <v>1927.1</v>
      </c>
      <c r="AK165" s="35">
        <f t="shared" si="2"/>
        <v>138</v>
      </c>
      <c r="AL165" s="35">
        <f t="shared" si="3"/>
        <v>80</v>
      </c>
      <c r="AM165" s="35">
        <f t="shared" si="4"/>
        <v>218</v>
      </c>
      <c r="AN165" s="40">
        <f t="shared" si="5"/>
        <v>8.839908257</v>
      </c>
    </row>
    <row r="166" ht="15.75" customHeight="1">
      <c r="A166" s="32" t="s">
        <v>24</v>
      </c>
      <c r="B166" s="34">
        <f t="shared" si="6"/>
        <v>44726</v>
      </c>
      <c r="C166" s="35">
        <v>6.0</v>
      </c>
      <c r="D166" s="35" t="s">
        <v>34</v>
      </c>
      <c r="E166" s="87" t="s">
        <v>35</v>
      </c>
      <c r="F166" s="23"/>
      <c r="H166" s="24"/>
      <c r="J166" s="24"/>
      <c r="L166" s="25">
        <v>69.0</v>
      </c>
      <c r="N166" s="26">
        <v>69.0</v>
      </c>
      <c r="P166" s="86"/>
      <c r="R166" s="26">
        <v>80.0</v>
      </c>
      <c r="T166" s="24"/>
      <c r="V166" s="24"/>
      <c r="W166" s="27"/>
      <c r="X166" s="23"/>
      <c r="Z166" s="24"/>
      <c r="AB166" s="24"/>
      <c r="AD166" s="24"/>
      <c r="AF166" s="24"/>
      <c r="AH166" s="24"/>
      <c r="AI166" s="27"/>
      <c r="AJ166" s="39">
        <f t="shared" si="1"/>
        <v>1927.1</v>
      </c>
      <c r="AK166" s="35">
        <f t="shared" si="2"/>
        <v>138</v>
      </c>
      <c r="AL166" s="35">
        <f t="shared" si="3"/>
        <v>80</v>
      </c>
      <c r="AM166" s="35">
        <f t="shared" si="4"/>
        <v>218</v>
      </c>
      <c r="AN166" s="40">
        <f t="shared" si="5"/>
        <v>8.839908257</v>
      </c>
    </row>
    <row r="167" ht="15.75" customHeight="1">
      <c r="A167" s="32" t="s">
        <v>28</v>
      </c>
      <c r="B167" s="34">
        <f t="shared" si="6"/>
        <v>44727</v>
      </c>
      <c r="C167" s="35">
        <v>6.0</v>
      </c>
      <c r="D167" s="35" t="s">
        <v>34</v>
      </c>
      <c r="E167" s="87" t="s">
        <v>35</v>
      </c>
      <c r="F167" s="23"/>
      <c r="H167" s="24"/>
      <c r="J167" s="24"/>
      <c r="L167" s="25">
        <v>69.0</v>
      </c>
      <c r="N167" s="26">
        <v>69.0</v>
      </c>
      <c r="P167" s="86"/>
      <c r="R167" s="26">
        <v>80.0</v>
      </c>
      <c r="T167" s="24"/>
      <c r="V167" s="24"/>
      <c r="W167" s="27"/>
      <c r="X167" s="23"/>
      <c r="Z167" s="24"/>
      <c r="AB167" s="24"/>
      <c r="AD167" s="24"/>
      <c r="AF167" s="24"/>
      <c r="AH167" s="24"/>
      <c r="AI167" s="27"/>
      <c r="AJ167" s="39">
        <f t="shared" si="1"/>
        <v>1927.1</v>
      </c>
      <c r="AK167" s="35">
        <f t="shared" si="2"/>
        <v>138</v>
      </c>
      <c r="AL167" s="35">
        <f t="shared" si="3"/>
        <v>80</v>
      </c>
      <c r="AM167" s="35">
        <f t="shared" si="4"/>
        <v>218</v>
      </c>
      <c r="AN167" s="40">
        <f t="shared" si="5"/>
        <v>8.839908257</v>
      </c>
    </row>
    <row r="168" ht="15.75" customHeight="1">
      <c r="A168" s="32" t="s">
        <v>29</v>
      </c>
      <c r="B168" s="34">
        <f t="shared" si="6"/>
        <v>44728</v>
      </c>
      <c r="C168" s="35">
        <v>6.0</v>
      </c>
      <c r="D168" s="35" t="s">
        <v>34</v>
      </c>
      <c r="E168" s="87" t="s">
        <v>35</v>
      </c>
      <c r="F168" s="23"/>
      <c r="H168" s="24"/>
      <c r="J168" s="24"/>
      <c r="L168" s="25">
        <v>69.0</v>
      </c>
      <c r="N168" s="26">
        <v>69.0</v>
      </c>
      <c r="P168" s="86"/>
      <c r="R168" s="26">
        <v>80.0</v>
      </c>
      <c r="T168" s="24"/>
      <c r="V168" s="24"/>
      <c r="W168" s="27"/>
      <c r="X168" s="23"/>
      <c r="Z168" s="24"/>
      <c r="AB168" s="24"/>
      <c r="AD168" s="24"/>
      <c r="AF168" s="24"/>
      <c r="AH168" s="24"/>
      <c r="AI168" s="27"/>
      <c r="AJ168" s="39">
        <f t="shared" si="1"/>
        <v>1927.1</v>
      </c>
      <c r="AK168" s="35">
        <f t="shared" si="2"/>
        <v>138</v>
      </c>
      <c r="AL168" s="35">
        <f t="shared" si="3"/>
        <v>80</v>
      </c>
      <c r="AM168" s="35">
        <f t="shared" si="4"/>
        <v>218</v>
      </c>
      <c r="AN168" s="40">
        <f t="shared" si="5"/>
        <v>8.839908257</v>
      </c>
    </row>
    <row r="169" ht="15.75" customHeight="1">
      <c r="A169" s="32" t="s">
        <v>30</v>
      </c>
      <c r="B169" s="34">
        <f t="shared" si="6"/>
        <v>44729</v>
      </c>
      <c r="C169" s="35">
        <v>6.0</v>
      </c>
      <c r="D169" s="35" t="s">
        <v>34</v>
      </c>
      <c r="E169" s="87" t="s">
        <v>35</v>
      </c>
      <c r="F169" s="23"/>
      <c r="H169" s="24"/>
      <c r="J169" s="24"/>
      <c r="L169" s="25">
        <v>69.0</v>
      </c>
      <c r="N169" s="26">
        <v>69.0</v>
      </c>
      <c r="P169" s="86"/>
      <c r="R169" s="26">
        <v>80.0</v>
      </c>
      <c r="T169" s="24"/>
      <c r="V169" s="24"/>
      <c r="W169" s="27"/>
      <c r="X169" s="23"/>
      <c r="Z169" s="24"/>
      <c r="AB169" s="24"/>
      <c r="AD169" s="24"/>
      <c r="AF169" s="24"/>
      <c r="AH169" s="24"/>
      <c r="AI169" s="27"/>
      <c r="AJ169" s="39">
        <f t="shared" si="1"/>
        <v>1927.1</v>
      </c>
      <c r="AK169" s="35">
        <f t="shared" si="2"/>
        <v>138</v>
      </c>
      <c r="AL169" s="35">
        <f t="shared" si="3"/>
        <v>80</v>
      </c>
      <c r="AM169" s="35">
        <f t="shared" si="4"/>
        <v>218</v>
      </c>
      <c r="AN169" s="40">
        <f t="shared" si="5"/>
        <v>8.839908257</v>
      </c>
    </row>
    <row r="170" ht="15.75" customHeight="1">
      <c r="A170" s="48" t="s">
        <v>31</v>
      </c>
      <c r="B170" s="50">
        <f t="shared" si="6"/>
        <v>44730</v>
      </c>
      <c r="C170" s="51">
        <v>6.0</v>
      </c>
      <c r="D170" s="51" t="s">
        <v>34</v>
      </c>
      <c r="E170" s="88" t="s">
        <v>35</v>
      </c>
      <c r="F170" s="54"/>
      <c r="G170" s="56"/>
      <c r="H170" s="57"/>
      <c r="I170" s="56"/>
      <c r="J170" s="57"/>
      <c r="K170" s="56"/>
      <c r="L170" s="58">
        <v>69.0</v>
      </c>
      <c r="M170" s="56"/>
      <c r="N170" s="59">
        <v>69.0</v>
      </c>
      <c r="O170" s="56"/>
      <c r="P170" s="89"/>
      <c r="Q170" s="56"/>
      <c r="R170" s="59"/>
      <c r="S170" s="56"/>
      <c r="T170" s="57"/>
      <c r="U170" s="56"/>
      <c r="V170" s="57"/>
      <c r="W170" s="60"/>
      <c r="X170" s="54"/>
      <c r="Y170" s="56"/>
      <c r="Z170" s="57"/>
      <c r="AA170" s="56"/>
      <c r="AB170" s="57"/>
      <c r="AC170" s="56"/>
      <c r="AD170" s="57"/>
      <c r="AE170" s="56"/>
      <c r="AF170" s="57"/>
      <c r="AG170" s="56"/>
      <c r="AH170" s="57"/>
      <c r="AI170" s="60"/>
      <c r="AJ170" s="61">
        <f t="shared" si="1"/>
        <v>1566.3</v>
      </c>
      <c r="AK170" s="51">
        <f t="shared" si="2"/>
        <v>138</v>
      </c>
      <c r="AL170" s="51" t="str">
        <f t="shared" si="3"/>
        <v/>
      </c>
      <c r="AM170" s="51">
        <f t="shared" si="4"/>
        <v>138</v>
      </c>
      <c r="AN170" s="63">
        <f t="shared" si="5"/>
        <v>11.35</v>
      </c>
    </row>
    <row r="171" ht="15.75" customHeight="1">
      <c r="A171" s="18" t="s">
        <v>20</v>
      </c>
      <c r="B171" s="64">
        <f t="shared" si="6"/>
        <v>44731</v>
      </c>
      <c r="C171" s="20">
        <v>7.0</v>
      </c>
      <c r="D171" s="20" t="s">
        <v>21</v>
      </c>
      <c r="E171" s="90" t="s">
        <v>35</v>
      </c>
      <c r="F171" s="23"/>
      <c r="H171" s="24"/>
      <c r="J171" s="24"/>
      <c r="L171" s="25">
        <v>69.0</v>
      </c>
      <c r="N171" s="26">
        <v>69.0</v>
      </c>
      <c r="P171" s="86"/>
      <c r="R171" s="26">
        <v>80.0</v>
      </c>
      <c r="T171" s="24"/>
      <c r="V171" s="24"/>
      <c r="W171" s="27"/>
      <c r="X171" s="23"/>
      <c r="Z171" s="24"/>
      <c r="AB171" s="24"/>
      <c r="AD171" s="24"/>
      <c r="AF171" s="24"/>
      <c r="AH171" s="24"/>
      <c r="AI171" s="27"/>
      <c r="AJ171" s="28">
        <f t="shared" si="1"/>
        <v>1927.1</v>
      </c>
      <c r="AK171" s="20">
        <f t="shared" si="2"/>
        <v>138</v>
      </c>
      <c r="AL171" s="20">
        <f t="shared" si="3"/>
        <v>80</v>
      </c>
      <c r="AM171" s="20">
        <f t="shared" si="4"/>
        <v>218</v>
      </c>
      <c r="AN171" s="31">
        <f t="shared" si="5"/>
        <v>8.839908257</v>
      </c>
    </row>
    <row r="172" ht="15.75" customHeight="1">
      <c r="A172" s="32" t="s">
        <v>22</v>
      </c>
      <c r="B172" s="34">
        <f t="shared" si="6"/>
        <v>44732</v>
      </c>
      <c r="C172" s="35">
        <v>7.0</v>
      </c>
      <c r="D172" s="35" t="s">
        <v>21</v>
      </c>
      <c r="E172" s="87" t="s">
        <v>35</v>
      </c>
      <c r="F172" s="23"/>
      <c r="H172" s="24"/>
      <c r="J172" s="24"/>
      <c r="L172" s="25">
        <v>69.0</v>
      </c>
      <c r="N172" s="26">
        <v>69.0</v>
      </c>
      <c r="P172" s="86"/>
      <c r="R172" s="26">
        <v>80.0</v>
      </c>
      <c r="T172" s="24"/>
      <c r="V172" s="24"/>
      <c r="W172" s="27"/>
      <c r="X172" s="23"/>
      <c r="Z172" s="24"/>
      <c r="AB172" s="24"/>
      <c r="AD172" s="24"/>
      <c r="AF172" s="24"/>
      <c r="AH172" s="24"/>
      <c r="AI172" s="27"/>
      <c r="AJ172" s="39">
        <f t="shared" si="1"/>
        <v>1927.1</v>
      </c>
      <c r="AK172" s="35">
        <f t="shared" si="2"/>
        <v>138</v>
      </c>
      <c r="AL172" s="35">
        <f t="shared" si="3"/>
        <v>80</v>
      </c>
      <c r="AM172" s="35">
        <f t="shared" si="4"/>
        <v>218</v>
      </c>
      <c r="AN172" s="40">
        <f t="shared" si="5"/>
        <v>8.839908257</v>
      </c>
    </row>
    <row r="173" ht="15.75" customHeight="1">
      <c r="A173" s="32" t="s">
        <v>24</v>
      </c>
      <c r="B173" s="34">
        <f t="shared" si="6"/>
        <v>44733</v>
      </c>
      <c r="C173" s="35">
        <v>7.0</v>
      </c>
      <c r="D173" s="35" t="s">
        <v>21</v>
      </c>
      <c r="E173" s="87" t="s">
        <v>35</v>
      </c>
      <c r="F173" s="23"/>
      <c r="H173" s="24"/>
      <c r="J173" s="24"/>
      <c r="L173" s="25">
        <v>69.0</v>
      </c>
      <c r="N173" s="26">
        <v>69.0</v>
      </c>
      <c r="P173" s="86"/>
      <c r="R173" s="26">
        <v>80.0</v>
      </c>
      <c r="T173" s="24"/>
      <c r="V173" s="24"/>
      <c r="W173" s="27"/>
      <c r="X173" s="23"/>
      <c r="Z173" s="24"/>
      <c r="AB173" s="24"/>
      <c r="AD173" s="24"/>
      <c r="AF173" s="24"/>
      <c r="AH173" s="24"/>
      <c r="AI173" s="27"/>
      <c r="AJ173" s="39">
        <f t="shared" si="1"/>
        <v>1927.1</v>
      </c>
      <c r="AK173" s="35">
        <f t="shared" si="2"/>
        <v>138</v>
      </c>
      <c r="AL173" s="35">
        <f t="shared" si="3"/>
        <v>80</v>
      </c>
      <c r="AM173" s="35">
        <f t="shared" si="4"/>
        <v>218</v>
      </c>
      <c r="AN173" s="40">
        <f t="shared" si="5"/>
        <v>8.839908257</v>
      </c>
    </row>
    <row r="174" ht="15.75" customHeight="1">
      <c r="A174" s="32" t="s">
        <v>28</v>
      </c>
      <c r="B174" s="34">
        <f t="shared" si="6"/>
        <v>44734</v>
      </c>
      <c r="C174" s="35">
        <v>7.0</v>
      </c>
      <c r="D174" s="35" t="s">
        <v>21</v>
      </c>
      <c r="E174" s="87" t="s">
        <v>35</v>
      </c>
      <c r="F174" s="23"/>
      <c r="H174" s="24"/>
      <c r="J174" s="24"/>
      <c r="L174" s="25">
        <v>69.0</v>
      </c>
      <c r="N174" s="26">
        <v>69.0</v>
      </c>
      <c r="P174" s="86"/>
      <c r="R174" s="26">
        <v>80.0</v>
      </c>
      <c r="T174" s="24"/>
      <c r="V174" s="24"/>
      <c r="W174" s="27"/>
      <c r="X174" s="23"/>
      <c r="Z174" s="24"/>
      <c r="AB174" s="24"/>
      <c r="AD174" s="24"/>
      <c r="AF174" s="24"/>
      <c r="AH174" s="24"/>
      <c r="AI174" s="27"/>
      <c r="AJ174" s="39">
        <f t="shared" si="1"/>
        <v>1927.1</v>
      </c>
      <c r="AK174" s="35">
        <f t="shared" si="2"/>
        <v>138</v>
      </c>
      <c r="AL174" s="35">
        <f t="shared" si="3"/>
        <v>80</v>
      </c>
      <c r="AM174" s="35">
        <f t="shared" si="4"/>
        <v>218</v>
      </c>
      <c r="AN174" s="40">
        <f t="shared" si="5"/>
        <v>8.839908257</v>
      </c>
    </row>
    <row r="175" ht="15.75" customHeight="1">
      <c r="A175" s="32" t="s">
        <v>29</v>
      </c>
      <c r="B175" s="34">
        <f t="shared" si="6"/>
        <v>44735</v>
      </c>
      <c r="C175" s="35">
        <v>7.0</v>
      </c>
      <c r="D175" s="35" t="s">
        <v>21</v>
      </c>
      <c r="E175" s="87" t="s">
        <v>35</v>
      </c>
      <c r="F175" s="23"/>
      <c r="H175" s="24"/>
      <c r="J175" s="24"/>
      <c r="L175" s="25">
        <v>69.0</v>
      </c>
      <c r="N175" s="26">
        <v>69.0</v>
      </c>
      <c r="P175" s="86"/>
      <c r="R175" s="26">
        <v>80.0</v>
      </c>
      <c r="T175" s="24"/>
      <c r="V175" s="24"/>
      <c r="W175" s="27"/>
      <c r="X175" s="23"/>
      <c r="Z175" s="24"/>
      <c r="AB175" s="24"/>
      <c r="AD175" s="24"/>
      <c r="AF175" s="24"/>
      <c r="AH175" s="24"/>
      <c r="AI175" s="27"/>
      <c r="AJ175" s="39">
        <f t="shared" si="1"/>
        <v>1927.1</v>
      </c>
      <c r="AK175" s="35">
        <f t="shared" si="2"/>
        <v>138</v>
      </c>
      <c r="AL175" s="35">
        <f t="shared" si="3"/>
        <v>80</v>
      </c>
      <c r="AM175" s="35">
        <f t="shared" si="4"/>
        <v>218</v>
      </c>
      <c r="AN175" s="40">
        <f t="shared" si="5"/>
        <v>8.839908257</v>
      </c>
    </row>
    <row r="176" ht="15.75" customHeight="1">
      <c r="A176" s="32" t="s">
        <v>30</v>
      </c>
      <c r="B176" s="34">
        <f t="shared" si="6"/>
        <v>44736</v>
      </c>
      <c r="C176" s="35">
        <v>7.0</v>
      </c>
      <c r="D176" s="35" t="s">
        <v>21</v>
      </c>
      <c r="E176" s="87" t="s">
        <v>35</v>
      </c>
      <c r="F176" s="23"/>
      <c r="H176" s="24"/>
      <c r="J176" s="24"/>
      <c r="L176" s="25">
        <v>69.0</v>
      </c>
      <c r="N176" s="26">
        <v>69.0</v>
      </c>
      <c r="P176" s="86"/>
      <c r="R176" s="26">
        <v>80.0</v>
      </c>
      <c r="T176" s="24"/>
      <c r="V176" s="24"/>
      <c r="W176" s="27"/>
      <c r="X176" s="23"/>
      <c r="Z176" s="24"/>
      <c r="AB176" s="24"/>
      <c r="AD176" s="24"/>
      <c r="AF176" s="24"/>
      <c r="AH176" s="24"/>
      <c r="AI176" s="27"/>
      <c r="AJ176" s="39">
        <f t="shared" si="1"/>
        <v>1927.1</v>
      </c>
      <c r="AK176" s="35">
        <f t="shared" si="2"/>
        <v>138</v>
      </c>
      <c r="AL176" s="35">
        <f t="shared" si="3"/>
        <v>80</v>
      </c>
      <c r="AM176" s="35">
        <f t="shared" si="4"/>
        <v>218</v>
      </c>
      <c r="AN176" s="40">
        <f t="shared" si="5"/>
        <v>8.839908257</v>
      </c>
    </row>
    <row r="177" ht="15.75" customHeight="1">
      <c r="A177" s="48" t="s">
        <v>31</v>
      </c>
      <c r="B177" s="50">
        <f t="shared" si="6"/>
        <v>44737</v>
      </c>
      <c r="C177" s="51">
        <v>7.0</v>
      </c>
      <c r="D177" s="51" t="s">
        <v>21</v>
      </c>
      <c r="E177" s="88" t="s">
        <v>35</v>
      </c>
      <c r="F177" s="54"/>
      <c r="G177" s="56"/>
      <c r="H177" s="57"/>
      <c r="I177" s="56"/>
      <c r="J177" s="57"/>
      <c r="K177" s="56"/>
      <c r="L177" s="58">
        <v>69.0</v>
      </c>
      <c r="M177" s="56"/>
      <c r="N177" s="59">
        <v>69.0</v>
      </c>
      <c r="O177" s="56"/>
      <c r="P177" s="89"/>
      <c r="Q177" s="56"/>
      <c r="R177" s="59"/>
      <c r="S177" s="56"/>
      <c r="T177" s="57"/>
      <c r="U177" s="56"/>
      <c r="V177" s="57"/>
      <c r="W177" s="60"/>
      <c r="X177" s="54"/>
      <c r="Y177" s="56"/>
      <c r="Z177" s="57"/>
      <c r="AA177" s="56"/>
      <c r="AB177" s="57"/>
      <c r="AC177" s="56"/>
      <c r="AD177" s="57"/>
      <c r="AE177" s="56"/>
      <c r="AF177" s="57"/>
      <c r="AG177" s="56"/>
      <c r="AH177" s="57"/>
      <c r="AI177" s="60"/>
      <c r="AJ177" s="61">
        <f t="shared" si="1"/>
        <v>1566.3</v>
      </c>
      <c r="AK177" s="51">
        <f t="shared" si="2"/>
        <v>138</v>
      </c>
      <c r="AL177" s="51" t="str">
        <f t="shared" si="3"/>
        <v/>
      </c>
      <c r="AM177" s="51">
        <f t="shared" si="4"/>
        <v>138</v>
      </c>
      <c r="AN177" s="63">
        <f t="shared" si="5"/>
        <v>11.35</v>
      </c>
    </row>
    <row r="178" ht="15.75" customHeight="1">
      <c r="A178" s="18" t="s">
        <v>20</v>
      </c>
      <c r="B178" s="64">
        <f t="shared" si="6"/>
        <v>44738</v>
      </c>
      <c r="C178" s="20">
        <v>7.0</v>
      </c>
      <c r="D178" s="20" t="s">
        <v>32</v>
      </c>
      <c r="E178" s="90" t="s">
        <v>35</v>
      </c>
      <c r="F178" s="23"/>
      <c r="H178" s="24"/>
      <c r="J178" s="24"/>
      <c r="L178" s="25">
        <v>69.0</v>
      </c>
      <c r="N178" s="26">
        <v>69.0</v>
      </c>
      <c r="P178" s="86"/>
      <c r="R178" s="26">
        <v>80.0</v>
      </c>
      <c r="T178" s="24"/>
      <c r="V178" s="24"/>
      <c r="W178" s="27"/>
      <c r="X178" s="23"/>
      <c r="Z178" s="24"/>
      <c r="AB178" s="24"/>
      <c r="AD178" s="24"/>
      <c r="AF178" s="24"/>
      <c r="AH178" s="24"/>
      <c r="AI178" s="27"/>
      <c r="AJ178" s="28">
        <f t="shared" si="1"/>
        <v>1927.1</v>
      </c>
      <c r="AK178" s="20">
        <f t="shared" si="2"/>
        <v>138</v>
      </c>
      <c r="AL178" s="20">
        <f t="shared" si="3"/>
        <v>80</v>
      </c>
      <c r="AM178" s="20">
        <f t="shared" si="4"/>
        <v>218</v>
      </c>
      <c r="AN178" s="31">
        <f t="shared" si="5"/>
        <v>8.839908257</v>
      </c>
    </row>
    <row r="179" ht="15.75" customHeight="1">
      <c r="A179" s="32" t="s">
        <v>22</v>
      </c>
      <c r="B179" s="34">
        <f t="shared" si="6"/>
        <v>44739</v>
      </c>
      <c r="C179" s="35">
        <v>7.0</v>
      </c>
      <c r="D179" s="35" t="s">
        <v>32</v>
      </c>
      <c r="E179" s="87" t="s">
        <v>35</v>
      </c>
      <c r="F179" s="23"/>
      <c r="H179" s="24"/>
      <c r="J179" s="24"/>
      <c r="L179" s="25">
        <v>69.0</v>
      </c>
      <c r="N179" s="26">
        <v>69.0</v>
      </c>
      <c r="P179" s="86"/>
      <c r="R179" s="26">
        <v>80.0</v>
      </c>
      <c r="T179" s="24"/>
      <c r="V179" s="24"/>
      <c r="W179" s="27"/>
      <c r="X179" s="23"/>
      <c r="Z179" s="24"/>
      <c r="AB179" s="24"/>
      <c r="AD179" s="24"/>
      <c r="AF179" s="24"/>
      <c r="AH179" s="24"/>
      <c r="AI179" s="27"/>
      <c r="AJ179" s="39">
        <f t="shared" si="1"/>
        <v>1927.1</v>
      </c>
      <c r="AK179" s="35">
        <f t="shared" si="2"/>
        <v>138</v>
      </c>
      <c r="AL179" s="35">
        <f t="shared" si="3"/>
        <v>80</v>
      </c>
      <c r="AM179" s="35">
        <f t="shared" si="4"/>
        <v>218</v>
      </c>
      <c r="AN179" s="40">
        <f t="shared" si="5"/>
        <v>8.839908257</v>
      </c>
    </row>
    <row r="180" ht="15.75" customHeight="1">
      <c r="A180" s="32" t="s">
        <v>24</v>
      </c>
      <c r="B180" s="34">
        <f t="shared" si="6"/>
        <v>44740</v>
      </c>
      <c r="C180" s="35">
        <v>7.0</v>
      </c>
      <c r="D180" s="35" t="s">
        <v>32</v>
      </c>
      <c r="E180" s="87" t="s">
        <v>35</v>
      </c>
      <c r="F180" s="23"/>
      <c r="H180" s="24"/>
      <c r="J180" s="24"/>
      <c r="L180" s="25">
        <v>69.0</v>
      </c>
      <c r="N180" s="26">
        <v>69.0</v>
      </c>
      <c r="P180" s="86"/>
      <c r="R180" s="26">
        <v>80.0</v>
      </c>
      <c r="T180" s="24"/>
      <c r="V180" s="24"/>
      <c r="W180" s="27"/>
      <c r="X180" s="23"/>
      <c r="Z180" s="24"/>
      <c r="AB180" s="24"/>
      <c r="AD180" s="24"/>
      <c r="AF180" s="24"/>
      <c r="AH180" s="24"/>
      <c r="AI180" s="27"/>
      <c r="AJ180" s="39">
        <f t="shared" si="1"/>
        <v>1927.1</v>
      </c>
      <c r="AK180" s="35">
        <f t="shared" si="2"/>
        <v>138</v>
      </c>
      <c r="AL180" s="35">
        <f t="shared" si="3"/>
        <v>80</v>
      </c>
      <c r="AM180" s="35">
        <f t="shared" si="4"/>
        <v>218</v>
      </c>
      <c r="AN180" s="40">
        <f t="shared" si="5"/>
        <v>8.839908257</v>
      </c>
    </row>
    <row r="181" ht="15.75" customHeight="1">
      <c r="A181" s="32" t="s">
        <v>28</v>
      </c>
      <c r="B181" s="34">
        <f t="shared" si="6"/>
        <v>44741</v>
      </c>
      <c r="C181" s="35">
        <v>7.0</v>
      </c>
      <c r="D181" s="35" t="s">
        <v>32</v>
      </c>
      <c r="E181" s="87" t="s">
        <v>35</v>
      </c>
      <c r="F181" s="23"/>
      <c r="H181" s="24"/>
      <c r="J181" s="24"/>
      <c r="L181" s="25">
        <v>69.0</v>
      </c>
      <c r="N181" s="26">
        <v>69.0</v>
      </c>
      <c r="P181" s="86"/>
      <c r="R181" s="26">
        <v>80.0</v>
      </c>
      <c r="T181" s="24"/>
      <c r="V181" s="24"/>
      <c r="W181" s="27"/>
      <c r="X181" s="23"/>
      <c r="Z181" s="24"/>
      <c r="AB181" s="24"/>
      <c r="AD181" s="24"/>
      <c r="AF181" s="24"/>
      <c r="AH181" s="24"/>
      <c r="AI181" s="27"/>
      <c r="AJ181" s="39">
        <f t="shared" si="1"/>
        <v>1927.1</v>
      </c>
      <c r="AK181" s="35">
        <f t="shared" si="2"/>
        <v>138</v>
      </c>
      <c r="AL181" s="35">
        <f t="shared" si="3"/>
        <v>80</v>
      </c>
      <c r="AM181" s="35">
        <f t="shared" si="4"/>
        <v>218</v>
      </c>
      <c r="AN181" s="40">
        <f t="shared" si="5"/>
        <v>8.839908257</v>
      </c>
    </row>
    <row r="182" ht="15.75" customHeight="1">
      <c r="A182" s="32" t="s">
        <v>29</v>
      </c>
      <c r="B182" s="34">
        <f t="shared" si="6"/>
        <v>44742</v>
      </c>
      <c r="C182" s="35">
        <v>7.0</v>
      </c>
      <c r="D182" s="35" t="s">
        <v>32</v>
      </c>
      <c r="E182" s="87" t="s">
        <v>35</v>
      </c>
      <c r="F182" s="23"/>
      <c r="H182" s="24"/>
      <c r="J182" s="24"/>
      <c r="L182" s="25">
        <v>69.0</v>
      </c>
      <c r="N182" s="26">
        <v>69.0</v>
      </c>
      <c r="P182" s="86"/>
      <c r="R182" s="26">
        <v>80.0</v>
      </c>
      <c r="T182" s="24"/>
      <c r="V182" s="24"/>
      <c r="W182" s="27"/>
      <c r="X182" s="23"/>
      <c r="Z182" s="24"/>
      <c r="AB182" s="24"/>
      <c r="AD182" s="24"/>
      <c r="AF182" s="24"/>
      <c r="AH182" s="24"/>
      <c r="AI182" s="27"/>
      <c r="AJ182" s="39">
        <f t="shared" si="1"/>
        <v>1927.1</v>
      </c>
      <c r="AK182" s="35">
        <f t="shared" si="2"/>
        <v>138</v>
      </c>
      <c r="AL182" s="35">
        <f t="shared" si="3"/>
        <v>80</v>
      </c>
      <c r="AM182" s="35">
        <f t="shared" si="4"/>
        <v>218</v>
      </c>
      <c r="AN182" s="40">
        <f t="shared" si="5"/>
        <v>8.839908257</v>
      </c>
    </row>
    <row r="183" ht="15.75" customHeight="1">
      <c r="A183" s="32" t="s">
        <v>30</v>
      </c>
      <c r="B183" s="34">
        <f t="shared" si="6"/>
        <v>44743</v>
      </c>
      <c r="C183" s="35">
        <v>7.0</v>
      </c>
      <c r="D183" s="35" t="s">
        <v>32</v>
      </c>
      <c r="E183" s="87" t="s">
        <v>35</v>
      </c>
      <c r="F183" s="23"/>
      <c r="H183" s="24"/>
      <c r="J183" s="24"/>
      <c r="L183" s="25">
        <v>69.0</v>
      </c>
      <c r="N183" s="26">
        <v>69.0</v>
      </c>
      <c r="P183" s="86"/>
      <c r="R183" s="26">
        <v>80.0</v>
      </c>
      <c r="T183" s="24"/>
      <c r="V183" s="24"/>
      <c r="W183" s="27"/>
      <c r="X183" s="23"/>
      <c r="Z183" s="24"/>
      <c r="AB183" s="24"/>
      <c r="AD183" s="24"/>
      <c r="AF183" s="24"/>
      <c r="AH183" s="24"/>
      <c r="AI183" s="27"/>
      <c r="AJ183" s="39">
        <f t="shared" si="1"/>
        <v>1927.1</v>
      </c>
      <c r="AK183" s="35">
        <f t="shared" si="2"/>
        <v>138</v>
      </c>
      <c r="AL183" s="35">
        <f t="shared" si="3"/>
        <v>80</v>
      </c>
      <c r="AM183" s="35">
        <f t="shared" si="4"/>
        <v>218</v>
      </c>
      <c r="AN183" s="40">
        <f t="shared" si="5"/>
        <v>8.839908257</v>
      </c>
    </row>
    <row r="184" ht="15.75" customHeight="1">
      <c r="A184" s="48" t="s">
        <v>31</v>
      </c>
      <c r="B184" s="50">
        <f t="shared" si="6"/>
        <v>44744</v>
      </c>
      <c r="C184" s="51">
        <v>7.0</v>
      </c>
      <c r="D184" s="51" t="s">
        <v>32</v>
      </c>
      <c r="E184" s="88" t="s">
        <v>35</v>
      </c>
      <c r="F184" s="54"/>
      <c r="G184" s="56"/>
      <c r="H184" s="57"/>
      <c r="I184" s="56"/>
      <c r="J184" s="57"/>
      <c r="K184" s="56"/>
      <c r="L184" s="58">
        <v>69.0</v>
      </c>
      <c r="M184" s="56"/>
      <c r="N184" s="59">
        <v>69.0</v>
      </c>
      <c r="O184" s="56"/>
      <c r="P184" s="89"/>
      <c r="Q184" s="56"/>
      <c r="R184" s="59"/>
      <c r="S184" s="56"/>
      <c r="T184" s="57"/>
      <c r="U184" s="56"/>
      <c r="V184" s="57"/>
      <c r="W184" s="60"/>
      <c r="X184" s="54"/>
      <c r="Y184" s="56"/>
      <c r="Z184" s="57"/>
      <c r="AA184" s="56"/>
      <c r="AB184" s="57"/>
      <c r="AC184" s="56"/>
      <c r="AD184" s="57"/>
      <c r="AE184" s="56"/>
      <c r="AF184" s="57"/>
      <c r="AG184" s="56"/>
      <c r="AH184" s="57"/>
      <c r="AI184" s="60"/>
      <c r="AJ184" s="61">
        <f t="shared" si="1"/>
        <v>1566.3</v>
      </c>
      <c r="AK184" s="51">
        <f t="shared" si="2"/>
        <v>138</v>
      </c>
      <c r="AL184" s="51" t="str">
        <f t="shared" si="3"/>
        <v/>
      </c>
      <c r="AM184" s="51">
        <f t="shared" si="4"/>
        <v>138</v>
      </c>
      <c r="AN184" s="63">
        <f t="shared" si="5"/>
        <v>11.35</v>
      </c>
    </row>
    <row r="185" ht="15.75" customHeight="1">
      <c r="A185" s="18" t="s">
        <v>20</v>
      </c>
      <c r="B185" s="64">
        <f t="shared" si="6"/>
        <v>44745</v>
      </c>
      <c r="C185" s="20">
        <v>7.0</v>
      </c>
      <c r="D185" s="20" t="s">
        <v>33</v>
      </c>
      <c r="E185" s="90" t="s">
        <v>35</v>
      </c>
      <c r="F185" s="23"/>
      <c r="H185" s="24"/>
      <c r="J185" s="24"/>
      <c r="L185" s="25">
        <v>69.0</v>
      </c>
      <c r="N185" s="26">
        <v>69.0</v>
      </c>
      <c r="P185" s="86"/>
      <c r="R185" s="26">
        <v>80.0</v>
      </c>
      <c r="T185" s="24"/>
      <c r="V185" s="24"/>
      <c r="W185" s="27"/>
      <c r="X185" s="23"/>
      <c r="Z185" s="24"/>
      <c r="AB185" s="24"/>
      <c r="AD185" s="24"/>
      <c r="AF185" s="24"/>
      <c r="AH185" s="24"/>
      <c r="AI185" s="27"/>
      <c r="AJ185" s="28">
        <f t="shared" si="1"/>
        <v>1927.1</v>
      </c>
      <c r="AK185" s="20">
        <f t="shared" si="2"/>
        <v>138</v>
      </c>
      <c r="AL185" s="20">
        <f t="shared" si="3"/>
        <v>80</v>
      </c>
      <c r="AM185" s="20">
        <f t="shared" si="4"/>
        <v>218</v>
      </c>
      <c r="AN185" s="31">
        <f t="shared" si="5"/>
        <v>8.839908257</v>
      </c>
    </row>
    <row r="186" ht="15.75" customHeight="1">
      <c r="A186" s="32" t="s">
        <v>22</v>
      </c>
      <c r="B186" s="34">
        <f t="shared" si="6"/>
        <v>44746</v>
      </c>
      <c r="C186" s="35">
        <v>7.0</v>
      </c>
      <c r="D186" s="35" t="s">
        <v>33</v>
      </c>
      <c r="E186" s="87" t="s">
        <v>35</v>
      </c>
      <c r="F186" s="23"/>
      <c r="H186" s="24"/>
      <c r="J186" s="24"/>
      <c r="L186" s="25">
        <v>69.0</v>
      </c>
      <c r="N186" s="26">
        <v>69.0</v>
      </c>
      <c r="P186" s="86"/>
      <c r="R186" s="26">
        <v>80.0</v>
      </c>
      <c r="T186" s="24"/>
      <c r="V186" s="24"/>
      <c r="W186" s="27"/>
      <c r="X186" s="23"/>
      <c r="Z186" s="24"/>
      <c r="AB186" s="24"/>
      <c r="AD186" s="24"/>
      <c r="AF186" s="24"/>
      <c r="AH186" s="24"/>
      <c r="AI186" s="27"/>
      <c r="AJ186" s="39">
        <f t="shared" si="1"/>
        <v>1927.1</v>
      </c>
      <c r="AK186" s="35">
        <f t="shared" si="2"/>
        <v>138</v>
      </c>
      <c r="AL186" s="35">
        <f t="shared" si="3"/>
        <v>80</v>
      </c>
      <c r="AM186" s="35">
        <f t="shared" si="4"/>
        <v>218</v>
      </c>
      <c r="AN186" s="40">
        <f t="shared" si="5"/>
        <v>8.839908257</v>
      </c>
    </row>
    <row r="187" ht="15.75" customHeight="1">
      <c r="A187" s="32" t="s">
        <v>24</v>
      </c>
      <c r="B187" s="34">
        <f t="shared" si="6"/>
        <v>44747</v>
      </c>
      <c r="C187" s="35">
        <v>7.0</v>
      </c>
      <c r="D187" s="35" t="s">
        <v>33</v>
      </c>
      <c r="E187" s="87" t="s">
        <v>35</v>
      </c>
      <c r="F187" s="23"/>
      <c r="H187" s="24"/>
      <c r="J187" s="24"/>
      <c r="L187" s="25">
        <v>69.0</v>
      </c>
      <c r="N187" s="26">
        <v>69.0</v>
      </c>
      <c r="P187" s="86"/>
      <c r="R187" s="26">
        <v>80.0</v>
      </c>
      <c r="T187" s="24"/>
      <c r="V187" s="24"/>
      <c r="W187" s="27"/>
      <c r="X187" s="23"/>
      <c r="Z187" s="24"/>
      <c r="AB187" s="24"/>
      <c r="AD187" s="24"/>
      <c r="AF187" s="24"/>
      <c r="AH187" s="24"/>
      <c r="AI187" s="27"/>
      <c r="AJ187" s="39">
        <f t="shared" si="1"/>
        <v>1927.1</v>
      </c>
      <c r="AK187" s="35">
        <f t="shared" si="2"/>
        <v>138</v>
      </c>
      <c r="AL187" s="35">
        <f t="shared" si="3"/>
        <v>80</v>
      </c>
      <c r="AM187" s="35">
        <f t="shared" si="4"/>
        <v>218</v>
      </c>
      <c r="AN187" s="40">
        <f t="shared" si="5"/>
        <v>8.839908257</v>
      </c>
    </row>
    <row r="188" ht="15.75" customHeight="1">
      <c r="A188" s="32" t="s">
        <v>28</v>
      </c>
      <c r="B188" s="34">
        <f t="shared" si="6"/>
        <v>44748</v>
      </c>
      <c r="C188" s="35">
        <v>7.0</v>
      </c>
      <c r="D188" s="35" t="s">
        <v>33</v>
      </c>
      <c r="E188" s="87" t="s">
        <v>35</v>
      </c>
      <c r="F188" s="23"/>
      <c r="H188" s="24"/>
      <c r="J188" s="24"/>
      <c r="L188" s="25">
        <v>69.0</v>
      </c>
      <c r="N188" s="26">
        <v>69.0</v>
      </c>
      <c r="P188" s="86"/>
      <c r="R188" s="26">
        <v>80.0</v>
      </c>
      <c r="T188" s="24"/>
      <c r="V188" s="24"/>
      <c r="W188" s="27"/>
      <c r="X188" s="23"/>
      <c r="Z188" s="24"/>
      <c r="AB188" s="24"/>
      <c r="AD188" s="24"/>
      <c r="AF188" s="24"/>
      <c r="AH188" s="24"/>
      <c r="AI188" s="27"/>
      <c r="AJ188" s="39">
        <f t="shared" si="1"/>
        <v>1927.1</v>
      </c>
      <c r="AK188" s="35">
        <f t="shared" si="2"/>
        <v>138</v>
      </c>
      <c r="AL188" s="35">
        <f t="shared" si="3"/>
        <v>80</v>
      </c>
      <c r="AM188" s="35">
        <f t="shared" si="4"/>
        <v>218</v>
      </c>
      <c r="AN188" s="40">
        <f t="shared" si="5"/>
        <v>8.839908257</v>
      </c>
    </row>
    <row r="189" ht="15.75" customHeight="1">
      <c r="A189" s="32" t="s">
        <v>29</v>
      </c>
      <c r="B189" s="34">
        <f t="shared" si="6"/>
        <v>44749</v>
      </c>
      <c r="C189" s="35">
        <v>7.0</v>
      </c>
      <c r="D189" s="35" t="s">
        <v>33</v>
      </c>
      <c r="E189" s="87" t="s">
        <v>35</v>
      </c>
      <c r="F189" s="23"/>
      <c r="H189" s="24"/>
      <c r="J189" s="24"/>
      <c r="L189" s="25">
        <v>69.0</v>
      </c>
      <c r="N189" s="26">
        <v>69.0</v>
      </c>
      <c r="P189" s="86"/>
      <c r="R189" s="26">
        <v>80.0</v>
      </c>
      <c r="T189" s="24"/>
      <c r="V189" s="24"/>
      <c r="W189" s="27"/>
      <c r="X189" s="23"/>
      <c r="Z189" s="24"/>
      <c r="AB189" s="24"/>
      <c r="AD189" s="24"/>
      <c r="AF189" s="24"/>
      <c r="AH189" s="24"/>
      <c r="AI189" s="27"/>
      <c r="AJ189" s="39">
        <f t="shared" si="1"/>
        <v>1927.1</v>
      </c>
      <c r="AK189" s="35">
        <f t="shared" si="2"/>
        <v>138</v>
      </c>
      <c r="AL189" s="35">
        <f t="shared" si="3"/>
        <v>80</v>
      </c>
      <c r="AM189" s="35">
        <f t="shared" si="4"/>
        <v>218</v>
      </c>
      <c r="AN189" s="40">
        <f t="shared" si="5"/>
        <v>8.839908257</v>
      </c>
    </row>
    <row r="190" ht="15.75" customHeight="1">
      <c r="A190" s="32" t="s">
        <v>30</v>
      </c>
      <c r="B190" s="34">
        <f t="shared" si="6"/>
        <v>44750</v>
      </c>
      <c r="C190" s="35">
        <v>7.0</v>
      </c>
      <c r="D190" s="35" t="s">
        <v>33</v>
      </c>
      <c r="E190" s="87" t="s">
        <v>35</v>
      </c>
      <c r="F190" s="23"/>
      <c r="H190" s="24"/>
      <c r="J190" s="24"/>
      <c r="L190" s="25">
        <v>69.0</v>
      </c>
      <c r="N190" s="26">
        <v>69.0</v>
      </c>
      <c r="P190" s="86"/>
      <c r="R190" s="26">
        <v>80.0</v>
      </c>
      <c r="T190" s="24"/>
      <c r="V190" s="24"/>
      <c r="W190" s="27"/>
      <c r="X190" s="23"/>
      <c r="Z190" s="24"/>
      <c r="AB190" s="24"/>
      <c r="AD190" s="24"/>
      <c r="AF190" s="24"/>
      <c r="AH190" s="24"/>
      <c r="AI190" s="27"/>
      <c r="AJ190" s="39">
        <f t="shared" si="1"/>
        <v>1927.1</v>
      </c>
      <c r="AK190" s="35">
        <f t="shared" si="2"/>
        <v>138</v>
      </c>
      <c r="AL190" s="35">
        <f t="shared" si="3"/>
        <v>80</v>
      </c>
      <c r="AM190" s="35">
        <f t="shared" si="4"/>
        <v>218</v>
      </c>
      <c r="AN190" s="40">
        <f t="shared" si="5"/>
        <v>8.839908257</v>
      </c>
    </row>
    <row r="191" ht="15.75" customHeight="1">
      <c r="A191" s="48" t="s">
        <v>31</v>
      </c>
      <c r="B191" s="50">
        <f t="shared" si="6"/>
        <v>44751</v>
      </c>
      <c r="C191" s="51">
        <v>7.0</v>
      </c>
      <c r="D191" s="51" t="s">
        <v>33</v>
      </c>
      <c r="E191" s="88" t="s">
        <v>35</v>
      </c>
      <c r="F191" s="54"/>
      <c r="G191" s="56"/>
      <c r="H191" s="57"/>
      <c r="I191" s="56"/>
      <c r="J191" s="57"/>
      <c r="K191" s="56"/>
      <c r="L191" s="58">
        <v>69.0</v>
      </c>
      <c r="M191" s="56"/>
      <c r="N191" s="59">
        <v>69.0</v>
      </c>
      <c r="O191" s="56"/>
      <c r="P191" s="89"/>
      <c r="Q191" s="56"/>
      <c r="R191" s="59"/>
      <c r="S191" s="56"/>
      <c r="T191" s="57"/>
      <c r="U191" s="56"/>
      <c r="V191" s="57"/>
      <c r="W191" s="60"/>
      <c r="X191" s="54"/>
      <c r="Y191" s="56"/>
      <c r="Z191" s="57"/>
      <c r="AA191" s="56"/>
      <c r="AB191" s="57"/>
      <c r="AC191" s="56"/>
      <c r="AD191" s="57"/>
      <c r="AE191" s="56"/>
      <c r="AF191" s="57"/>
      <c r="AG191" s="56"/>
      <c r="AH191" s="57"/>
      <c r="AI191" s="60"/>
      <c r="AJ191" s="61">
        <f t="shared" si="1"/>
        <v>1566.3</v>
      </c>
      <c r="AK191" s="51">
        <f t="shared" si="2"/>
        <v>138</v>
      </c>
      <c r="AL191" s="51" t="str">
        <f t="shared" si="3"/>
        <v/>
      </c>
      <c r="AM191" s="51">
        <f t="shared" si="4"/>
        <v>138</v>
      </c>
      <c r="AN191" s="63">
        <f t="shared" si="5"/>
        <v>11.35</v>
      </c>
    </row>
    <row r="192" ht="15.75" customHeight="1">
      <c r="A192" s="18" t="s">
        <v>20</v>
      </c>
      <c r="B192" s="64">
        <f t="shared" si="6"/>
        <v>44752</v>
      </c>
      <c r="C192" s="20">
        <v>7.0</v>
      </c>
      <c r="D192" s="20" t="s">
        <v>34</v>
      </c>
      <c r="E192" s="90" t="s">
        <v>35</v>
      </c>
      <c r="F192" s="23"/>
      <c r="H192" s="24"/>
      <c r="J192" s="24"/>
      <c r="L192" s="25">
        <v>69.0</v>
      </c>
      <c r="N192" s="26">
        <v>69.0</v>
      </c>
      <c r="P192" s="86"/>
      <c r="R192" s="26">
        <v>80.0</v>
      </c>
      <c r="T192" s="24"/>
      <c r="V192" s="24"/>
      <c r="W192" s="27"/>
      <c r="X192" s="23"/>
      <c r="Z192" s="24"/>
      <c r="AB192" s="24"/>
      <c r="AD192" s="24"/>
      <c r="AF192" s="24"/>
      <c r="AH192" s="24"/>
      <c r="AI192" s="27"/>
      <c r="AJ192" s="28">
        <f t="shared" si="1"/>
        <v>1927.1</v>
      </c>
      <c r="AK192" s="20">
        <f t="shared" si="2"/>
        <v>138</v>
      </c>
      <c r="AL192" s="20">
        <f t="shared" si="3"/>
        <v>80</v>
      </c>
      <c r="AM192" s="20">
        <f t="shared" si="4"/>
        <v>218</v>
      </c>
      <c r="AN192" s="31">
        <f t="shared" si="5"/>
        <v>8.839908257</v>
      </c>
    </row>
    <row r="193" ht="15.75" customHeight="1">
      <c r="A193" s="32" t="s">
        <v>22</v>
      </c>
      <c r="B193" s="34">
        <f t="shared" si="6"/>
        <v>44753</v>
      </c>
      <c r="C193" s="35">
        <v>7.0</v>
      </c>
      <c r="D193" s="35" t="s">
        <v>34</v>
      </c>
      <c r="E193" s="87" t="s">
        <v>35</v>
      </c>
      <c r="F193" s="23"/>
      <c r="H193" s="24"/>
      <c r="J193" s="24"/>
      <c r="L193" s="25">
        <v>69.0</v>
      </c>
      <c r="N193" s="26">
        <v>69.0</v>
      </c>
      <c r="P193" s="86"/>
      <c r="R193" s="26">
        <v>80.0</v>
      </c>
      <c r="T193" s="24"/>
      <c r="V193" s="24"/>
      <c r="W193" s="27"/>
      <c r="X193" s="23"/>
      <c r="Z193" s="24"/>
      <c r="AB193" s="24"/>
      <c r="AD193" s="24"/>
      <c r="AF193" s="24"/>
      <c r="AH193" s="24"/>
      <c r="AI193" s="27"/>
      <c r="AJ193" s="39">
        <f t="shared" si="1"/>
        <v>1927.1</v>
      </c>
      <c r="AK193" s="35">
        <f t="shared" si="2"/>
        <v>138</v>
      </c>
      <c r="AL193" s="35">
        <f t="shared" si="3"/>
        <v>80</v>
      </c>
      <c r="AM193" s="35">
        <f t="shared" si="4"/>
        <v>218</v>
      </c>
      <c r="AN193" s="40">
        <f t="shared" si="5"/>
        <v>8.839908257</v>
      </c>
    </row>
    <row r="194" ht="15.75" customHeight="1">
      <c r="A194" s="32" t="s">
        <v>24</v>
      </c>
      <c r="B194" s="34">
        <f t="shared" si="6"/>
        <v>44754</v>
      </c>
      <c r="C194" s="35">
        <v>7.0</v>
      </c>
      <c r="D194" s="35" t="s">
        <v>34</v>
      </c>
      <c r="E194" s="87" t="s">
        <v>35</v>
      </c>
      <c r="F194" s="23"/>
      <c r="H194" s="24"/>
      <c r="J194" s="24"/>
      <c r="L194" s="25">
        <v>69.0</v>
      </c>
      <c r="N194" s="26">
        <v>69.0</v>
      </c>
      <c r="P194" s="86"/>
      <c r="R194" s="26">
        <v>80.0</v>
      </c>
      <c r="T194" s="24"/>
      <c r="V194" s="24"/>
      <c r="W194" s="27"/>
      <c r="X194" s="23"/>
      <c r="Z194" s="24"/>
      <c r="AB194" s="24"/>
      <c r="AD194" s="24"/>
      <c r="AF194" s="24"/>
      <c r="AH194" s="24"/>
      <c r="AI194" s="27"/>
      <c r="AJ194" s="39">
        <f t="shared" si="1"/>
        <v>1927.1</v>
      </c>
      <c r="AK194" s="35">
        <f t="shared" si="2"/>
        <v>138</v>
      </c>
      <c r="AL194" s="35">
        <f t="shared" si="3"/>
        <v>80</v>
      </c>
      <c r="AM194" s="35">
        <f t="shared" si="4"/>
        <v>218</v>
      </c>
      <c r="AN194" s="40">
        <f t="shared" si="5"/>
        <v>8.839908257</v>
      </c>
    </row>
    <row r="195" ht="15.75" customHeight="1">
      <c r="A195" s="32" t="s">
        <v>28</v>
      </c>
      <c r="B195" s="34">
        <f t="shared" si="6"/>
        <v>44755</v>
      </c>
      <c r="C195" s="35">
        <v>7.0</v>
      </c>
      <c r="D195" s="35" t="s">
        <v>34</v>
      </c>
      <c r="E195" s="87" t="s">
        <v>35</v>
      </c>
      <c r="F195" s="23"/>
      <c r="H195" s="24"/>
      <c r="J195" s="24"/>
      <c r="L195" s="25">
        <v>69.0</v>
      </c>
      <c r="N195" s="26">
        <v>69.0</v>
      </c>
      <c r="P195" s="86"/>
      <c r="R195" s="26">
        <v>80.0</v>
      </c>
      <c r="T195" s="24"/>
      <c r="V195" s="24"/>
      <c r="W195" s="27"/>
      <c r="X195" s="23"/>
      <c r="Z195" s="24"/>
      <c r="AB195" s="24"/>
      <c r="AD195" s="24"/>
      <c r="AF195" s="24"/>
      <c r="AH195" s="24"/>
      <c r="AI195" s="27"/>
      <c r="AJ195" s="39">
        <f t="shared" si="1"/>
        <v>1927.1</v>
      </c>
      <c r="AK195" s="35">
        <f t="shared" si="2"/>
        <v>138</v>
      </c>
      <c r="AL195" s="35">
        <f t="shared" si="3"/>
        <v>80</v>
      </c>
      <c r="AM195" s="35">
        <f t="shared" si="4"/>
        <v>218</v>
      </c>
      <c r="AN195" s="40">
        <f t="shared" si="5"/>
        <v>8.839908257</v>
      </c>
    </row>
    <row r="196" ht="15.75" customHeight="1">
      <c r="A196" s="32" t="s">
        <v>29</v>
      </c>
      <c r="B196" s="34">
        <f t="shared" si="6"/>
        <v>44756</v>
      </c>
      <c r="C196" s="35">
        <v>7.0</v>
      </c>
      <c r="D196" s="35" t="s">
        <v>34</v>
      </c>
      <c r="E196" s="87" t="s">
        <v>35</v>
      </c>
      <c r="F196" s="23"/>
      <c r="H196" s="24"/>
      <c r="J196" s="24"/>
      <c r="L196" s="25">
        <v>69.0</v>
      </c>
      <c r="N196" s="26">
        <v>69.0</v>
      </c>
      <c r="P196" s="86"/>
      <c r="R196" s="26">
        <v>95.0</v>
      </c>
      <c r="T196" s="24"/>
      <c r="V196" s="24"/>
      <c r="W196" s="27"/>
      <c r="X196" s="23"/>
      <c r="Z196" s="24"/>
      <c r="AB196" s="24"/>
      <c r="AD196" s="24"/>
      <c r="AF196" s="24"/>
      <c r="AH196" s="24"/>
      <c r="AI196" s="27"/>
      <c r="AJ196" s="39">
        <f t="shared" si="1"/>
        <v>1994.75</v>
      </c>
      <c r="AK196" s="35">
        <f t="shared" si="2"/>
        <v>138</v>
      </c>
      <c r="AL196" s="35">
        <f t="shared" si="3"/>
        <v>95</v>
      </c>
      <c r="AM196" s="35">
        <f t="shared" si="4"/>
        <v>233</v>
      </c>
      <c r="AN196" s="40">
        <f t="shared" si="5"/>
        <v>8.561158798</v>
      </c>
    </row>
    <row r="197" ht="15.75" customHeight="1">
      <c r="A197" s="32" t="s">
        <v>30</v>
      </c>
      <c r="B197" s="34">
        <f t="shared" si="6"/>
        <v>44757</v>
      </c>
      <c r="C197" s="35">
        <v>7.0</v>
      </c>
      <c r="D197" s="35" t="s">
        <v>34</v>
      </c>
      <c r="E197" s="87" t="s">
        <v>35</v>
      </c>
      <c r="F197" s="23"/>
      <c r="H197" s="24"/>
      <c r="J197" s="24"/>
      <c r="L197" s="25">
        <v>69.0</v>
      </c>
      <c r="N197" s="26">
        <v>69.0</v>
      </c>
      <c r="P197" s="86"/>
      <c r="R197" s="26">
        <v>95.0</v>
      </c>
      <c r="T197" s="24"/>
      <c r="V197" s="24"/>
      <c r="W197" s="27"/>
      <c r="X197" s="23"/>
      <c r="Z197" s="24"/>
      <c r="AB197" s="24"/>
      <c r="AD197" s="24"/>
      <c r="AF197" s="24"/>
      <c r="AH197" s="24"/>
      <c r="AI197" s="27"/>
      <c r="AJ197" s="39">
        <f t="shared" si="1"/>
        <v>1994.75</v>
      </c>
      <c r="AK197" s="35">
        <f t="shared" si="2"/>
        <v>138</v>
      </c>
      <c r="AL197" s="35">
        <f t="shared" si="3"/>
        <v>95</v>
      </c>
      <c r="AM197" s="35">
        <f t="shared" si="4"/>
        <v>233</v>
      </c>
      <c r="AN197" s="40">
        <f t="shared" si="5"/>
        <v>8.561158798</v>
      </c>
    </row>
    <row r="198" ht="15.75" customHeight="1">
      <c r="A198" s="48" t="s">
        <v>31</v>
      </c>
      <c r="B198" s="50">
        <f t="shared" si="6"/>
        <v>44758</v>
      </c>
      <c r="C198" s="51">
        <v>7.0</v>
      </c>
      <c r="D198" s="51" t="s">
        <v>34</v>
      </c>
      <c r="E198" s="88" t="s">
        <v>35</v>
      </c>
      <c r="F198" s="54"/>
      <c r="G198" s="56"/>
      <c r="H198" s="57"/>
      <c r="I198" s="56"/>
      <c r="J198" s="57"/>
      <c r="K198" s="56"/>
      <c r="L198" s="58">
        <v>69.0</v>
      </c>
      <c r="M198" s="56"/>
      <c r="N198" s="59">
        <v>69.0</v>
      </c>
      <c r="O198" s="56"/>
      <c r="P198" s="89"/>
      <c r="Q198" s="56"/>
      <c r="R198" s="59"/>
      <c r="S198" s="56"/>
      <c r="T198" s="57"/>
      <c r="U198" s="56"/>
      <c r="V198" s="57"/>
      <c r="W198" s="60"/>
      <c r="X198" s="54"/>
      <c r="Y198" s="56"/>
      <c r="Z198" s="57"/>
      <c r="AA198" s="56"/>
      <c r="AB198" s="57"/>
      <c r="AC198" s="56"/>
      <c r="AD198" s="57"/>
      <c r="AE198" s="56"/>
      <c r="AF198" s="57"/>
      <c r="AG198" s="56"/>
      <c r="AH198" s="57"/>
      <c r="AI198" s="60"/>
      <c r="AJ198" s="61">
        <f t="shared" si="1"/>
        <v>1566.3</v>
      </c>
      <c r="AK198" s="51">
        <f t="shared" si="2"/>
        <v>138</v>
      </c>
      <c r="AL198" s="51" t="str">
        <f t="shared" si="3"/>
        <v/>
      </c>
      <c r="AM198" s="51">
        <f t="shared" si="4"/>
        <v>138</v>
      </c>
      <c r="AN198" s="63">
        <f t="shared" si="5"/>
        <v>11.35</v>
      </c>
    </row>
    <row r="199" ht="15.75" customHeight="1">
      <c r="A199" s="18" t="s">
        <v>20</v>
      </c>
      <c r="B199" s="64">
        <f t="shared" si="6"/>
        <v>44759</v>
      </c>
      <c r="C199" s="20">
        <v>8.0</v>
      </c>
      <c r="D199" s="20" t="s">
        <v>21</v>
      </c>
      <c r="E199" s="90" t="s">
        <v>35</v>
      </c>
      <c r="F199" s="23"/>
      <c r="H199" s="24"/>
      <c r="J199" s="24"/>
      <c r="L199" s="25">
        <v>69.0</v>
      </c>
      <c r="N199" s="26">
        <v>69.0</v>
      </c>
      <c r="P199" s="86"/>
      <c r="R199" s="26">
        <v>95.0</v>
      </c>
      <c r="T199" s="24"/>
      <c r="V199" s="24"/>
      <c r="W199" s="27"/>
      <c r="X199" s="23"/>
      <c r="Z199" s="24"/>
      <c r="AB199" s="24"/>
      <c r="AD199" s="24"/>
      <c r="AF199" s="24"/>
      <c r="AH199" s="24"/>
      <c r="AI199" s="27"/>
      <c r="AJ199" s="28">
        <f t="shared" si="1"/>
        <v>1994.75</v>
      </c>
      <c r="AK199" s="20">
        <f t="shared" si="2"/>
        <v>138</v>
      </c>
      <c r="AL199" s="20">
        <f t="shared" si="3"/>
        <v>95</v>
      </c>
      <c r="AM199" s="20">
        <f t="shared" si="4"/>
        <v>233</v>
      </c>
      <c r="AN199" s="31">
        <f t="shared" si="5"/>
        <v>8.561158798</v>
      </c>
    </row>
    <row r="200" ht="15.75" customHeight="1">
      <c r="A200" s="32" t="s">
        <v>22</v>
      </c>
      <c r="B200" s="34">
        <f t="shared" si="6"/>
        <v>44760</v>
      </c>
      <c r="C200" s="35">
        <v>8.0</v>
      </c>
      <c r="D200" s="35" t="s">
        <v>21</v>
      </c>
      <c r="E200" s="87" t="s">
        <v>35</v>
      </c>
      <c r="F200" s="23"/>
      <c r="H200" s="24"/>
      <c r="J200" s="24"/>
      <c r="L200" s="25">
        <v>69.0</v>
      </c>
      <c r="N200" s="26">
        <v>69.0</v>
      </c>
      <c r="P200" s="86"/>
      <c r="R200" s="26">
        <v>95.0</v>
      </c>
      <c r="T200" s="24"/>
      <c r="V200" s="24"/>
      <c r="W200" s="27"/>
      <c r="X200" s="23"/>
      <c r="Z200" s="24"/>
      <c r="AB200" s="24"/>
      <c r="AD200" s="24"/>
      <c r="AF200" s="24"/>
      <c r="AH200" s="24"/>
      <c r="AI200" s="27"/>
      <c r="AJ200" s="39">
        <f t="shared" si="1"/>
        <v>1994.75</v>
      </c>
      <c r="AK200" s="35">
        <f t="shared" si="2"/>
        <v>138</v>
      </c>
      <c r="AL200" s="35">
        <f t="shared" si="3"/>
        <v>95</v>
      </c>
      <c r="AM200" s="35">
        <f t="shared" si="4"/>
        <v>233</v>
      </c>
      <c r="AN200" s="40">
        <f t="shared" si="5"/>
        <v>8.561158798</v>
      </c>
    </row>
    <row r="201" ht="15.75" customHeight="1">
      <c r="A201" s="32" t="s">
        <v>24</v>
      </c>
      <c r="B201" s="34">
        <f t="shared" si="6"/>
        <v>44761</v>
      </c>
      <c r="C201" s="35">
        <v>8.0</v>
      </c>
      <c r="D201" s="35" t="s">
        <v>21</v>
      </c>
      <c r="E201" s="87" t="s">
        <v>35</v>
      </c>
      <c r="F201" s="23"/>
      <c r="H201" s="24"/>
      <c r="J201" s="24"/>
      <c r="L201" s="25">
        <v>69.0</v>
      </c>
      <c r="N201" s="26">
        <v>69.0</v>
      </c>
      <c r="P201" s="86"/>
      <c r="R201" s="26">
        <v>95.0</v>
      </c>
      <c r="T201" s="24"/>
      <c r="V201" s="24"/>
      <c r="W201" s="27"/>
      <c r="X201" s="23"/>
      <c r="Z201" s="24"/>
      <c r="AB201" s="24"/>
      <c r="AD201" s="24"/>
      <c r="AF201" s="24"/>
      <c r="AH201" s="24"/>
      <c r="AI201" s="27"/>
      <c r="AJ201" s="39">
        <f t="shared" si="1"/>
        <v>1994.75</v>
      </c>
      <c r="AK201" s="35">
        <f t="shared" si="2"/>
        <v>138</v>
      </c>
      <c r="AL201" s="35">
        <f t="shared" si="3"/>
        <v>95</v>
      </c>
      <c r="AM201" s="35">
        <f t="shared" si="4"/>
        <v>233</v>
      </c>
      <c r="AN201" s="40">
        <f t="shared" si="5"/>
        <v>8.561158798</v>
      </c>
    </row>
    <row r="202" ht="15.75" customHeight="1">
      <c r="A202" s="32" t="s">
        <v>28</v>
      </c>
      <c r="B202" s="34">
        <f t="shared" si="6"/>
        <v>44762</v>
      </c>
      <c r="C202" s="35">
        <v>8.0</v>
      </c>
      <c r="D202" s="35" t="s">
        <v>21</v>
      </c>
      <c r="E202" s="87" t="s">
        <v>35</v>
      </c>
      <c r="F202" s="23"/>
      <c r="H202" s="24"/>
      <c r="J202" s="24"/>
      <c r="L202" s="25">
        <v>69.0</v>
      </c>
      <c r="N202" s="26">
        <v>69.0</v>
      </c>
      <c r="P202" s="86"/>
      <c r="R202" s="26">
        <v>95.0</v>
      </c>
      <c r="T202" s="24"/>
      <c r="V202" s="24"/>
      <c r="W202" s="27"/>
      <c r="X202" s="23"/>
      <c r="Z202" s="24"/>
      <c r="AB202" s="24"/>
      <c r="AD202" s="24"/>
      <c r="AF202" s="24"/>
      <c r="AH202" s="24"/>
      <c r="AI202" s="27"/>
      <c r="AJ202" s="39">
        <f t="shared" si="1"/>
        <v>1994.75</v>
      </c>
      <c r="AK202" s="35">
        <f t="shared" si="2"/>
        <v>138</v>
      </c>
      <c r="AL202" s="35">
        <f t="shared" si="3"/>
        <v>95</v>
      </c>
      <c r="AM202" s="35">
        <f t="shared" si="4"/>
        <v>233</v>
      </c>
      <c r="AN202" s="40">
        <f t="shared" si="5"/>
        <v>8.561158798</v>
      </c>
    </row>
    <row r="203" ht="15.75" customHeight="1">
      <c r="A203" s="32" t="s">
        <v>29</v>
      </c>
      <c r="B203" s="34">
        <f t="shared" si="6"/>
        <v>44763</v>
      </c>
      <c r="C203" s="35">
        <v>8.0</v>
      </c>
      <c r="D203" s="35" t="s">
        <v>21</v>
      </c>
      <c r="E203" s="87" t="s">
        <v>35</v>
      </c>
      <c r="F203" s="23"/>
      <c r="H203" s="24"/>
      <c r="J203" s="24"/>
      <c r="L203" s="25">
        <v>69.0</v>
      </c>
      <c r="N203" s="26">
        <v>69.0</v>
      </c>
      <c r="P203" s="86"/>
      <c r="R203" s="26">
        <v>95.0</v>
      </c>
      <c r="T203" s="24"/>
      <c r="V203" s="24"/>
      <c r="W203" s="27"/>
      <c r="X203" s="23"/>
      <c r="Z203" s="24"/>
      <c r="AB203" s="24"/>
      <c r="AD203" s="24"/>
      <c r="AF203" s="24"/>
      <c r="AH203" s="24"/>
      <c r="AI203" s="27"/>
      <c r="AJ203" s="39">
        <f t="shared" si="1"/>
        <v>1994.75</v>
      </c>
      <c r="AK203" s="35">
        <f t="shared" si="2"/>
        <v>138</v>
      </c>
      <c r="AL203" s="35">
        <f t="shared" si="3"/>
        <v>95</v>
      </c>
      <c r="AM203" s="35">
        <f t="shared" si="4"/>
        <v>233</v>
      </c>
      <c r="AN203" s="40">
        <f t="shared" si="5"/>
        <v>8.561158798</v>
      </c>
    </row>
    <row r="204" ht="15.75" customHeight="1">
      <c r="A204" s="32" t="s">
        <v>30</v>
      </c>
      <c r="B204" s="34">
        <f t="shared" si="6"/>
        <v>44764</v>
      </c>
      <c r="C204" s="35">
        <v>8.0</v>
      </c>
      <c r="D204" s="35" t="s">
        <v>21</v>
      </c>
      <c r="E204" s="87" t="s">
        <v>35</v>
      </c>
      <c r="F204" s="23"/>
      <c r="H204" s="24"/>
      <c r="J204" s="24"/>
      <c r="L204" s="25">
        <v>69.0</v>
      </c>
      <c r="N204" s="26">
        <v>69.0</v>
      </c>
      <c r="P204" s="86"/>
      <c r="R204" s="26">
        <v>95.0</v>
      </c>
      <c r="T204" s="24"/>
      <c r="V204" s="24"/>
      <c r="W204" s="27"/>
      <c r="X204" s="23"/>
      <c r="Z204" s="24"/>
      <c r="AB204" s="24"/>
      <c r="AD204" s="24"/>
      <c r="AF204" s="24"/>
      <c r="AH204" s="24"/>
      <c r="AI204" s="27"/>
      <c r="AJ204" s="39">
        <f t="shared" si="1"/>
        <v>1994.75</v>
      </c>
      <c r="AK204" s="35">
        <f t="shared" si="2"/>
        <v>138</v>
      </c>
      <c r="AL204" s="35">
        <f t="shared" si="3"/>
        <v>95</v>
      </c>
      <c r="AM204" s="35">
        <f t="shared" si="4"/>
        <v>233</v>
      </c>
      <c r="AN204" s="40">
        <f t="shared" si="5"/>
        <v>8.561158798</v>
      </c>
    </row>
    <row r="205" ht="15.75" customHeight="1">
      <c r="A205" s="48" t="s">
        <v>31</v>
      </c>
      <c r="B205" s="50">
        <f t="shared" si="6"/>
        <v>44765</v>
      </c>
      <c r="C205" s="51">
        <v>8.0</v>
      </c>
      <c r="D205" s="51" t="s">
        <v>21</v>
      </c>
      <c r="E205" s="88" t="s">
        <v>35</v>
      </c>
      <c r="F205" s="54"/>
      <c r="G205" s="56"/>
      <c r="H205" s="57"/>
      <c r="I205" s="56"/>
      <c r="J205" s="57"/>
      <c r="K205" s="56"/>
      <c r="L205" s="58">
        <v>69.0</v>
      </c>
      <c r="M205" s="56"/>
      <c r="N205" s="59">
        <v>69.0</v>
      </c>
      <c r="O205" s="56"/>
      <c r="P205" s="89"/>
      <c r="Q205" s="56"/>
      <c r="R205" s="59"/>
      <c r="S205" s="56"/>
      <c r="T205" s="57"/>
      <c r="U205" s="56"/>
      <c r="V205" s="57"/>
      <c r="W205" s="60"/>
      <c r="X205" s="54"/>
      <c r="Y205" s="56"/>
      <c r="Z205" s="57"/>
      <c r="AA205" s="56"/>
      <c r="AB205" s="57"/>
      <c r="AC205" s="56"/>
      <c r="AD205" s="57"/>
      <c r="AE205" s="56"/>
      <c r="AF205" s="57"/>
      <c r="AG205" s="56"/>
      <c r="AH205" s="57"/>
      <c r="AI205" s="60"/>
      <c r="AJ205" s="61">
        <f t="shared" si="1"/>
        <v>1566.3</v>
      </c>
      <c r="AK205" s="51">
        <f t="shared" si="2"/>
        <v>138</v>
      </c>
      <c r="AL205" s="51" t="str">
        <f t="shared" si="3"/>
        <v/>
      </c>
      <c r="AM205" s="51">
        <f t="shared" si="4"/>
        <v>138</v>
      </c>
      <c r="AN205" s="63">
        <f t="shared" si="5"/>
        <v>11.35</v>
      </c>
    </row>
    <row r="206" ht="15.75" customHeight="1">
      <c r="A206" s="18" t="s">
        <v>20</v>
      </c>
      <c r="B206" s="64">
        <f t="shared" si="6"/>
        <v>44766</v>
      </c>
      <c r="C206" s="20">
        <v>8.0</v>
      </c>
      <c r="D206" s="20" t="s">
        <v>32</v>
      </c>
      <c r="E206" s="90" t="s">
        <v>35</v>
      </c>
      <c r="F206" s="23"/>
      <c r="H206" s="24"/>
      <c r="J206" s="24"/>
      <c r="L206" s="25">
        <v>69.0</v>
      </c>
      <c r="N206" s="26">
        <v>69.0</v>
      </c>
      <c r="P206" s="86"/>
      <c r="R206" s="26">
        <v>95.0</v>
      </c>
      <c r="T206" s="24"/>
      <c r="V206" s="24"/>
      <c r="W206" s="27"/>
      <c r="X206" s="23"/>
      <c r="Z206" s="24"/>
      <c r="AB206" s="24"/>
      <c r="AD206" s="24"/>
      <c r="AF206" s="24"/>
      <c r="AH206" s="24"/>
      <c r="AI206" s="27"/>
      <c r="AJ206" s="28">
        <f t="shared" si="1"/>
        <v>1994.75</v>
      </c>
      <c r="AK206" s="20">
        <f t="shared" si="2"/>
        <v>138</v>
      </c>
      <c r="AL206" s="20">
        <f t="shared" si="3"/>
        <v>95</v>
      </c>
      <c r="AM206" s="20">
        <f t="shared" si="4"/>
        <v>233</v>
      </c>
      <c r="AN206" s="31">
        <f t="shared" si="5"/>
        <v>8.561158798</v>
      </c>
    </row>
    <row r="207" ht="15.75" customHeight="1">
      <c r="A207" s="32" t="s">
        <v>22</v>
      </c>
      <c r="B207" s="34">
        <f t="shared" si="6"/>
        <v>44767</v>
      </c>
      <c r="C207" s="35">
        <v>8.0</v>
      </c>
      <c r="D207" s="35" t="s">
        <v>32</v>
      </c>
      <c r="E207" s="87" t="s">
        <v>35</v>
      </c>
      <c r="F207" s="23"/>
      <c r="H207" s="24"/>
      <c r="J207" s="24"/>
      <c r="L207" s="25">
        <v>69.0</v>
      </c>
      <c r="N207" s="26">
        <v>69.0</v>
      </c>
      <c r="P207" s="86"/>
      <c r="R207" s="26">
        <v>95.0</v>
      </c>
      <c r="T207" s="24"/>
      <c r="V207" s="24"/>
      <c r="W207" s="27"/>
      <c r="X207" s="23"/>
      <c r="Z207" s="24"/>
      <c r="AB207" s="24"/>
      <c r="AD207" s="24"/>
      <c r="AF207" s="24"/>
      <c r="AH207" s="24"/>
      <c r="AI207" s="27"/>
      <c r="AJ207" s="39">
        <f t="shared" si="1"/>
        <v>1994.75</v>
      </c>
      <c r="AK207" s="35">
        <f t="shared" si="2"/>
        <v>138</v>
      </c>
      <c r="AL207" s="35">
        <f t="shared" si="3"/>
        <v>95</v>
      </c>
      <c r="AM207" s="35">
        <f t="shared" si="4"/>
        <v>233</v>
      </c>
      <c r="AN207" s="40">
        <f t="shared" si="5"/>
        <v>8.561158798</v>
      </c>
    </row>
    <row r="208" ht="15.75" customHeight="1">
      <c r="A208" s="32" t="s">
        <v>24</v>
      </c>
      <c r="B208" s="34">
        <f t="shared" si="6"/>
        <v>44768</v>
      </c>
      <c r="C208" s="35">
        <v>8.0</v>
      </c>
      <c r="D208" s="35" t="s">
        <v>32</v>
      </c>
      <c r="E208" s="87" t="s">
        <v>35</v>
      </c>
      <c r="F208" s="23"/>
      <c r="H208" s="24"/>
      <c r="J208" s="24"/>
      <c r="L208" s="25">
        <v>69.0</v>
      </c>
      <c r="N208" s="26">
        <v>69.0</v>
      </c>
      <c r="P208" s="86"/>
      <c r="R208" s="26">
        <v>95.0</v>
      </c>
      <c r="T208" s="24"/>
      <c r="V208" s="24"/>
      <c r="W208" s="27"/>
      <c r="X208" s="23"/>
      <c r="Z208" s="24"/>
      <c r="AB208" s="24"/>
      <c r="AD208" s="24"/>
      <c r="AF208" s="24"/>
      <c r="AH208" s="24"/>
      <c r="AI208" s="27"/>
      <c r="AJ208" s="39">
        <f t="shared" si="1"/>
        <v>1994.75</v>
      </c>
      <c r="AK208" s="35">
        <f t="shared" si="2"/>
        <v>138</v>
      </c>
      <c r="AL208" s="35">
        <f t="shared" si="3"/>
        <v>95</v>
      </c>
      <c r="AM208" s="35">
        <f t="shared" si="4"/>
        <v>233</v>
      </c>
      <c r="AN208" s="40">
        <f t="shared" si="5"/>
        <v>8.561158798</v>
      </c>
    </row>
    <row r="209" ht="15.75" customHeight="1">
      <c r="A209" s="32" t="s">
        <v>28</v>
      </c>
      <c r="B209" s="34">
        <f t="shared" si="6"/>
        <v>44769</v>
      </c>
      <c r="C209" s="35">
        <v>8.0</v>
      </c>
      <c r="D209" s="35" t="s">
        <v>32</v>
      </c>
      <c r="E209" s="87" t="s">
        <v>35</v>
      </c>
      <c r="F209" s="23"/>
      <c r="H209" s="24"/>
      <c r="J209" s="24"/>
      <c r="L209" s="25">
        <v>69.0</v>
      </c>
      <c r="N209" s="26">
        <v>69.0</v>
      </c>
      <c r="P209" s="86"/>
      <c r="R209" s="26">
        <v>95.0</v>
      </c>
      <c r="T209" s="24"/>
      <c r="V209" s="24"/>
      <c r="W209" s="27"/>
      <c r="X209" s="23"/>
      <c r="Z209" s="24"/>
      <c r="AB209" s="24"/>
      <c r="AD209" s="24"/>
      <c r="AF209" s="24"/>
      <c r="AH209" s="24"/>
      <c r="AI209" s="27"/>
      <c r="AJ209" s="39">
        <f t="shared" si="1"/>
        <v>1994.75</v>
      </c>
      <c r="AK209" s="35">
        <f t="shared" si="2"/>
        <v>138</v>
      </c>
      <c r="AL209" s="35">
        <f t="shared" si="3"/>
        <v>95</v>
      </c>
      <c r="AM209" s="35">
        <f t="shared" si="4"/>
        <v>233</v>
      </c>
      <c r="AN209" s="40">
        <f t="shared" si="5"/>
        <v>8.561158798</v>
      </c>
    </row>
    <row r="210" ht="15.75" customHeight="1">
      <c r="A210" s="32" t="s">
        <v>29</v>
      </c>
      <c r="B210" s="34">
        <f t="shared" si="6"/>
        <v>44770</v>
      </c>
      <c r="C210" s="35">
        <v>8.0</v>
      </c>
      <c r="D210" s="35" t="s">
        <v>32</v>
      </c>
      <c r="E210" s="87" t="s">
        <v>35</v>
      </c>
      <c r="F210" s="23"/>
      <c r="H210" s="24"/>
      <c r="J210" s="24"/>
      <c r="L210" s="25">
        <v>69.0</v>
      </c>
      <c r="N210" s="26">
        <v>69.0</v>
      </c>
      <c r="P210" s="86"/>
      <c r="R210" s="26">
        <v>95.0</v>
      </c>
      <c r="T210" s="24"/>
      <c r="V210" s="24"/>
      <c r="W210" s="27"/>
      <c r="X210" s="23"/>
      <c r="Z210" s="24"/>
      <c r="AB210" s="24"/>
      <c r="AD210" s="24"/>
      <c r="AF210" s="24"/>
      <c r="AH210" s="24"/>
      <c r="AI210" s="27"/>
      <c r="AJ210" s="39">
        <f t="shared" si="1"/>
        <v>1994.75</v>
      </c>
      <c r="AK210" s="35">
        <f t="shared" si="2"/>
        <v>138</v>
      </c>
      <c r="AL210" s="35">
        <f t="shared" si="3"/>
        <v>95</v>
      </c>
      <c r="AM210" s="35">
        <f t="shared" si="4"/>
        <v>233</v>
      </c>
      <c r="AN210" s="40">
        <f t="shared" si="5"/>
        <v>8.561158798</v>
      </c>
    </row>
    <row r="211" ht="15.75" customHeight="1">
      <c r="A211" s="32" t="s">
        <v>30</v>
      </c>
      <c r="B211" s="34">
        <f t="shared" si="6"/>
        <v>44771</v>
      </c>
      <c r="C211" s="35">
        <v>8.0</v>
      </c>
      <c r="D211" s="35" t="s">
        <v>32</v>
      </c>
      <c r="E211" s="87" t="s">
        <v>35</v>
      </c>
      <c r="F211" s="23"/>
      <c r="H211" s="24"/>
      <c r="J211" s="24"/>
      <c r="L211" s="25">
        <v>69.0</v>
      </c>
      <c r="N211" s="26">
        <v>69.0</v>
      </c>
      <c r="P211" s="86"/>
      <c r="R211" s="26">
        <v>80.0</v>
      </c>
      <c r="T211" s="24"/>
      <c r="V211" s="24"/>
      <c r="W211" s="27"/>
      <c r="X211" s="23"/>
      <c r="Z211" s="24"/>
      <c r="AB211" s="24"/>
      <c r="AD211" s="24"/>
      <c r="AF211" s="24"/>
      <c r="AH211" s="24"/>
      <c r="AI211" s="27"/>
      <c r="AJ211" s="39">
        <f t="shared" si="1"/>
        <v>1927.1</v>
      </c>
      <c r="AK211" s="35">
        <f t="shared" si="2"/>
        <v>138</v>
      </c>
      <c r="AL211" s="35">
        <f t="shared" si="3"/>
        <v>80</v>
      </c>
      <c r="AM211" s="35">
        <f t="shared" si="4"/>
        <v>218</v>
      </c>
      <c r="AN211" s="40">
        <f t="shared" si="5"/>
        <v>8.839908257</v>
      </c>
    </row>
    <row r="212" ht="15.75" customHeight="1">
      <c r="A212" s="48" t="s">
        <v>31</v>
      </c>
      <c r="B212" s="50">
        <f t="shared" si="6"/>
        <v>44772</v>
      </c>
      <c r="C212" s="51">
        <v>8.0</v>
      </c>
      <c r="D212" s="51" t="s">
        <v>32</v>
      </c>
      <c r="E212" s="88" t="s">
        <v>35</v>
      </c>
      <c r="F212" s="54"/>
      <c r="G212" s="56"/>
      <c r="H212" s="57"/>
      <c r="I212" s="56"/>
      <c r="J212" s="57"/>
      <c r="K212" s="56"/>
      <c r="L212" s="58">
        <v>69.0</v>
      </c>
      <c r="M212" s="56"/>
      <c r="N212" s="59">
        <v>69.0</v>
      </c>
      <c r="O212" s="56"/>
      <c r="P212" s="89"/>
      <c r="Q212" s="56"/>
      <c r="R212" s="59"/>
      <c r="S212" s="56"/>
      <c r="T212" s="57"/>
      <c r="U212" s="56"/>
      <c r="V212" s="57"/>
      <c r="W212" s="60"/>
      <c r="X212" s="54"/>
      <c r="Y212" s="56"/>
      <c r="Z212" s="57"/>
      <c r="AA212" s="56"/>
      <c r="AB212" s="57"/>
      <c r="AC212" s="56"/>
      <c r="AD212" s="57"/>
      <c r="AE212" s="56"/>
      <c r="AF212" s="57"/>
      <c r="AG212" s="56"/>
      <c r="AH212" s="57"/>
      <c r="AI212" s="60"/>
      <c r="AJ212" s="61">
        <f t="shared" si="1"/>
        <v>1566.3</v>
      </c>
      <c r="AK212" s="51">
        <f t="shared" si="2"/>
        <v>138</v>
      </c>
      <c r="AL212" s="51" t="str">
        <f t="shared" si="3"/>
        <v/>
      </c>
      <c r="AM212" s="51">
        <f t="shared" si="4"/>
        <v>138</v>
      </c>
      <c r="AN212" s="63">
        <f t="shared" si="5"/>
        <v>11.35</v>
      </c>
    </row>
    <row r="213" ht="15.75" customHeight="1">
      <c r="A213" s="18" t="s">
        <v>20</v>
      </c>
      <c r="B213" s="64">
        <f t="shared" si="6"/>
        <v>44773</v>
      </c>
      <c r="C213" s="20">
        <v>8.0</v>
      </c>
      <c r="D213" s="20" t="s">
        <v>33</v>
      </c>
      <c r="E213" s="90" t="s">
        <v>35</v>
      </c>
      <c r="F213" s="23"/>
      <c r="H213" s="24"/>
      <c r="J213" s="24"/>
      <c r="L213" s="25">
        <v>69.0</v>
      </c>
      <c r="N213" s="26">
        <v>69.0</v>
      </c>
      <c r="P213" s="86"/>
      <c r="R213" s="26">
        <v>80.0</v>
      </c>
      <c r="T213" s="24"/>
      <c r="V213" s="24"/>
      <c r="W213" s="27"/>
      <c r="X213" s="23"/>
      <c r="Z213" s="24"/>
      <c r="AB213" s="24"/>
      <c r="AD213" s="24"/>
      <c r="AF213" s="24"/>
      <c r="AH213" s="24"/>
      <c r="AI213" s="27"/>
      <c r="AJ213" s="28">
        <f t="shared" si="1"/>
        <v>1927.1</v>
      </c>
      <c r="AK213" s="20">
        <f t="shared" si="2"/>
        <v>138</v>
      </c>
      <c r="AL213" s="20">
        <f t="shared" si="3"/>
        <v>80</v>
      </c>
      <c r="AM213" s="20">
        <f t="shared" si="4"/>
        <v>218</v>
      </c>
      <c r="AN213" s="31">
        <f t="shared" si="5"/>
        <v>8.839908257</v>
      </c>
    </row>
    <row r="214" ht="15.75" customHeight="1">
      <c r="A214" s="32" t="s">
        <v>22</v>
      </c>
      <c r="B214" s="34">
        <f t="shared" si="6"/>
        <v>44774</v>
      </c>
      <c r="C214" s="35">
        <v>8.0</v>
      </c>
      <c r="D214" s="35" t="s">
        <v>33</v>
      </c>
      <c r="E214" s="87" t="s">
        <v>35</v>
      </c>
      <c r="F214" s="23"/>
      <c r="H214" s="24"/>
      <c r="J214" s="24"/>
      <c r="L214" s="25">
        <v>69.0</v>
      </c>
      <c r="N214" s="26">
        <v>69.0</v>
      </c>
      <c r="P214" s="86"/>
      <c r="R214" s="26">
        <v>80.0</v>
      </c>
      <c r="T214" s="24"/>
      <c r="V214" s="24"/>
      <c r="W214" s="27"/>
      <c r="X214" s="23"/>
      <c r="Z214" s="24"/>
      <c r="AB214" s="24"/>
      <c r="AD214" s="24"/>
      <c r="AF214" s="24"/>
      <c r="AH214" s="24"/>
      <c r="AI214" s="27"/>
      <c r="AJ214" s="39">
        <f t="shared" si="1"/>
        <v>1927.1</v>
      </c>
      <c r="AK214" s="35">
        <f t="shared" si="2"/>
        <v>138</v>
      </c>
      <c r="AL214" s="35">
        <f t="shared" si="3"/>
        <v>80</v>
      </c>
      <c r="AM214" s="35">
        <f t="shared" si="4"/>
        <v>218</v>
      </c>
      <c r="AN214" s="40">
        <f t="shared" si="5"/>
        <v>8.839908257</v>
      </c>
    </row>
    <row r="215" ht="15.75" customHeight="1">
      <c r="A215" s="32" t="s">
        <v>24</v>
      </c>
      <c r="B215" s="34">
        <f t="shared" si="6"/>
        <v>44775</v>
      </c>
      <c r="C215" s="35">
        <v>8.0</v>
      </c>
      <c r="D215" s="35" t="s">
        <v>33</v>
      </c>
      <c r="E215" s="87" t="s">
        <v>35</v>
      </c>
      <c r="F215" s="23"/>
      <c r="H215" s="24"/>
      <c r="J215" s="24"/>
      <c r="L215" s="25">
        <v>69.0</v>
      </c>
      <c r="N215" s="26">
        <v>69.0</v>
      </c>
      <c r="P215" s="86"/>
      <c r="R215" s="26">
        <v>80.0</v>
      </c>
      <c r="T215" s="24"/>
      <c r="V215" s="24"/>
      <c r="W215" s="27"/>
      <c r="X215" s="23"/>
      <c r="Z215" s="24"/>
      <c r="AB215" s="24"/>
      <c r="AD215" s="24"/>
      <c r="AF215" s="24"/>
      <c r="AH215" s="24"/>
      <c r="AI215" s="27"/>
      <c r="AJ215" s="39">
        <f t="shared" si="1"/>
        <v>1927.1</v>
      </c>
      <c r="AK215" s="35">
        <f t="shared" si="2"/>
        <v>138</v>
      </c>
      <c r="AL215" s="35">
        <f t="shared" si="3"/>
        <v>80</v>
      </c>
      <c r="AM215" s="35">
        <f t="shared" si="4"/>
        <v>218</v>
      </c>
      <c r="AN215" s="40">
        <f t="shared" si="5"/>
        <v>8.839908257</v>
      </c>
    </row>
    <row r="216" ht="15.75" customHeight="1">
      <c r="A216" s="32" t="s">
        <v>28</v>
      </c>
      <c r="B216" s="34">
        <f t="shared" si="6"/>
        <v>44776</v>
      </c>
      <c r="C216" s="35">
        <v>8.0</v>
      </c>
      <c r="D216" s="35" t="s">
        <v>33</v>
      </c>
      <c r="E216" s="87" t="s">
        <v>35</v>
      </c>
      <c r="F216" s="23"/>
      <c r="H216" s="24"/>
      <c r="J216" s="24"/>
      <c r="L216" s="25">
        <v>69.0</v>
      </c>
      <c r="N216" s="26">
        <v>69.0</v>
      </c>
      <c r="P216" s="86"/>
      <c r="R216" s="26">
        <v>80.0</v>
      </c>
      <c r="T216" s="24"/>
      <c r="V216" s="24"/>
      <c r="W216" s="27"/>
      <c r="X216" s="23"/>
      <c r="Z216" s="24"/>
      <c r="AB216" s="24"/>
      <c r="AD216" s="24"/>
      <c r="AF216" s="24"/>
      <c r="AH216" s="24"/>
      <c r="AI216" s="27"/>
      <c r="AJ216" s="39">
        <f t="shared" si="1"/>
        <v>1927.1</v>
      </c>
      <c r="AK216" s="35">
        <f t="shared" si="2"/>
        <v>138</v>
      </c>
      <c r="AL216" s="35">
        <f t="shared" si="3"/>
        <v>80</v>
      </c>
      <c r="AM216" s="35">
        <f t="shared" si="4"/>
        <v>218</v>
      </c>
      <c r="AN216" s="40">
        <f t="shared" si="5"/>
        <v>8.839908257</v>
      </c>
    </row>
    <row r="217" ht="15.75" customHeight="1">
      <c r="A217" s="32" t="s">
        <v>29</v>
      </c>
      <c r="B217" s="34">
        <f t="shared" si="6"/>
        <v>44777</v>
      </c>
      <c r="C217" s="35">
        <v>8.0</v>
      </c>
      <c r="D217" s="35" t="s">
        <v>33</v>
      </c>
      <c r="E217" s="87" t="s">
        <v>35</v>
      </c>
      <c r="F217" s="23"/>
      <c r="H217" s="24"/>
      <c r="J217" s="24"/>
      <c r="L217" s="25">
        <v>69.0</v>
      </c>
      <c r="N217" s="26">
        <v>69.0</v>
      </c>
      <c r="P217" s="86"/>
      <c r="R217" s="26">
        <v>80.0</v>
      </c>
      <c r="T217" s="24"/>
      <c r="V217" s="24"/>
      <c r="W217" s="27"/>
      <c r="X217" s="23"/>
      <c r="Z217" s="24"/>
      <c r="AB217" s="24"/>
      <c r="AD217" s="24"/>
      <c r="AF217" s="24"/>
      <c r="AH217" s="24"/>
      <c r="AI217" s="27"/>
      <c r="AJ217" s="39">
        <f t="shared" si="1"/>
        <v>1927.1</v>
      </c>
      <c r="AK217" s="35">
        <f t="shared" si="2"/>
        <v>138</v>
      </c>
      <c r="AL217" s="35">
        <f t="shared" si="3"/>
        <v>80</v>
      </c>
      <c r="AM217" s="35">
        <f t="shared" si="4"/>
        <v>218</v>
      </c>
      <c r="AN217" s="40">
        <f t="shared" si="5"/>
        <v>8.839908257</v>
      </c>
    </row>
    <row r="218" ht="15.75" customHeight="1">
      <c r="A218" s="32" t="s">
        <v>30</v>
      </c>
      <c r="B218" s="34">
        <f t="shared" si="6"/>
        <v>44778</v>
      </c>
      <c r="C218" s="35">
        <v>8.0</v>
      </c>
      <c r="D218" s="35" t="s">
        <v>33</v>
      </c>
      <c r="E218" s="87" t="s">
        <v>35</v>
      </c>
      <c r="F218" s="23"/>
      <c r="H218" s="24"/>
      <c r="J218" s="24"/>
      <c r="L218" s="25">
        <v>69.0</v>
      </c>
      <c r="N218" s="26">
        <v>69.0</v>
      </c>
      <c r="P218" s="86"/>
      <c r="R218" s="26">
        <v>80.0</v>
      </c>
      <c r="T218" s="24"/>
      <c r="V218" s="24"/>
      <c r="W218" s="27"/>
      <c r="X218" s="23"/>
      <c r="Z218" s="24"/>
      <c r="AB218" s="24"/>
      <c r="AD218" s="24"/>
      <c r="AF218" s="24"/>
      <c r="AH218" s="24"/>
      <c r="AI218" s="27"/>
      <c r="AJ218" s="39">
        <f t="shared" si="1"/>
        <v>1927.1</v>
      </c>
      <c r="AK218" s="35">
        <f t="shared" si="2"/>
        <v>138</v>
      </c>
      <c r="AL218" s="35">
        <f t="shared" si="3"/>
        <v>80</v>
      </c>
      <c r="AM218" s="35">
        <f t="shared" si="4"/>
        <v>218</v>
      </c>
      <c r="AN218" s="40">
        <f t="shared" si="5"/>
        <v>8.839908257</v>
      </c>
    </row>
    <row r="219" ht="15.75" customHeight="1">
      <c r="A219" s="48" t="s">
        <v>31</v>
      </c>
      <c r="B219" s="50">
        <f t="shared" si="6"/>
        <v>44779</v>
      </c>
      <c r="C219" s="51">
        <v>8.0</v>
      </c>
      <c r="D219" s="51" t="s">
        <v>33</v>
      </c>
      <c r="E219" s="88" t="s">
        <v>35</v>
      </c>
      <c r="F219" s="54"/>
      <c r="G219" s="56"/>
      <c r="H219" s="57"/>
      <c r="I219" s="56"/>
      <c r="J219" s="57"/>
      <c r="K219" s="56"/>
      <c r="L219" s="58">
        <v>69.0</v>
      </c>
      <c r="M219" s="56"/>
      <c r="N219" s="59">
        <v>69.0</v>
      </c>
      <c r="O219" s="56"/>
      <c r="P219" s="89"/>
      <c r="Q219" s="56"/>
      <c r="R219" s="59"/>
      <c r="S219" s="56"/>
      <c r="T219" s="57"/>
      <c r="U219" s="56"/>
      <c r="V219" s="57"/>
      <c r="W219" s="60"/>
      <c r="X219" s="54"/>
      <c r="Y219" s="56"/>
      <c r="Z219" s="57"/>
      <c r="AA219" s="56"/>
      <c r="AB219" s="57"/>
      <c r="AC219" s="56"/>
      <c r="AD219" s="57"/>
      <c r="AE219" s="56"/>
      <c r="AF219" s="57"/>
      <c r="AG219" s="56"/>
      <c r="AH219" s="57"/>
      <c r="AI219" s="60"/>
      <c r="AJ219" s="61">
        <f t="shared" si="1"/>
        <v>1566.3</v>
      </c>
      <c r="AK219" s="51">
        <f t="shared" si="2"/>
        <v>138</v>
      </c>
      <c r="AL219" s="51" t="str">
        <f t="shared" si="3"/>
        <v/>
      </c>
      <c r="AM219" s="51">
        <f t="shared" si="4"/>
        <v>138</v>
      </c>
      <c r="AN219" s="63">
        <f t="shared" si="5"/>
        <v>11.35</v>
      </c>
    </row>
    <row r="220" ht="15.75" customHeight="1">
      <c r="A220" s="18" t="s">
        <v>20</v>
      </c>
      <c r="B220" s="64">
        <f t="shared" si="6"/>
        <v>44780</v>
      </c>
      <c r="C220" s="20">
        <v>8.0</v>
      </c>
      <c r="D220" s="20" t="s">
        <v>34</v>
      </c>
      <c r="E220" s="90" t="s">
        <v>35</v>
      </c>
      <c r="F220" s="23"/>
      <c r="H220" s="24"/>
      <c r="J220" s="24"/>
      <c r="L220" s="25">
        <v>69.0</v>
      </c>
      <c r="N220" s="26">
        <v>69.0</v>
      </c>
      <c r="P220" s="86"/>
      <c r="R220" s="26">
        <v>80.0</v>
      </c>
      <c r="T220" s="24"/>
      <c r="V220" s="24"/>
      <c r="W220" s="27"/>
      <c r="X220" s="23"/>
      <c r="Z220" s="24"/>
      <c r="AB220" s="24"/>
      <c r="AD220" s="24"/>
      <c r="AF220" s="24"/>
      <c r="AH220" s="24"/>
      <c r="AI220" s="27"/>
      <c r="AJ220" s="28">
        <f t="shared" si="1"/>
        <v>1927.1</v>
      </c>
      <c r="AK220" s="20">
        <f t="shared" si="2"/>
        <v>138</v>
      </c>
      <c r="AL220" s="20">
        <f t="shared" si="3"/>
        <v>80</v>
      </c>
      <c r="AM220" s="20">
        <f t="shared" si="4"/>
        <v>218</v>
      </c>
      <c r="AN220" s="31">
        <f t="shared" si="5"/>
        <v>8.839908257</v>
      </c>
    </row>
    <row r="221" ht="15.75" customHeight="1">
      <c r="A221" s="32" t="s">
        <v>22</v>
      </c>
      <c r="B221" s="34">
        <f t="shared" si="6"/>
        <v>44781</v>
      </c>
      <c r="C221" s="35">
        <v>8.0</v>
      </c>
      <c r="D221" s="35" t="s">
        <v>34</v>
      </c>
      <c r="E221" s="87" t="s">
        <v>35</v>
      </c>
      <c r="F221" s="23"/>
      <c r="H221" s="24"/>
      <c r="J221" s="24"/>
      <c r="L221" s="25">
        <v>69.0</v>
      </c>
      <c r="N221" s="26">
        <v>69.0</v>
      </c>
      <c r="P221" s="86"/>
      <c r="R221" s="26">
        <v>80.0</v>
      </c>
      <c r="T221" s="24"/>
      <c r="V221" s="24"/>
      <c r="W221" s="27"/>
      <c r="X221" s="23"/>
      <c r="Z221" s="24"/>
      <c r="AB221" s="24"/>
      <c r="AD221" s="24"/>
      <c r="AF221" s="24"/>
      <c r="AH221" s="24"/>
      <c r="AI221" s="27"/>
      <c r="AJ221" s="39">
        <f t="shared" si="1"/>
        <v>1927.1</v>
      </c>
      <c r="AK221" s="35">
        <f t="shared" si="2"/>
        <v>138</v>
      </c>
      <c r="AL221" s="35">
        <f t="shared" si="3"/>
        <v>80</v>
      </c>
      <c r="AM221" s="35">
        <f t="shared" si="4"/>
        <v>218</v>
      </c>
      <c r="AN221" s="40">
        <f t="shared" si="5"/>
        <v>8.839908257</v>
      </c>
    </row>
    <row r="222" ht="15.75" customHeight="1">
      <c r="A222" s="32" t="s">
        <v>24</v>
      </c>
      <c r="B222" s="34">
        <f t="shared" si="6"/>
        <v>44782</v>
      </c>
      <c r="C222" s="35">
        <v>8.0</v>
      </c>
      <c r="D222" s="35" t="s">
        <v>34</v>
      </c>
      <c r="E222" s="87" t="s">
        <v>35</v>
      </c>
      <c r="F222" s="23"/>
      <c r="H222" s="24"/>
      <c r="J222" s="24"/>
      <c r="L222" s="25">
        <v>69.0</v>
      </c>
      <c r="N222" s="26">
        <v>69.0</v>
      </c>
      <c r="P222" s="86"/>
      <c r="R222" s="26">
        <v>80.0</v>
      </c>
      <c r="T222" s="24"/>
      <c r="V222" s="24"/>
      <c r="W222" s="27"/>
      <c r="X222" s="23"/>
      <c r="Z222" s="24"/>
      <c r="AB222" s="24"/>
      <c r="AD222" s="24"/>
      <c r="AF222" s="24"/>
      <c r="AH222" s="24"/>
      <c r="AI222" s="27"/>
      <c r="AJ222" s="39">
        <f t="shared" si="1"/>
        <v>1927.1</v>
      </c>
      <c r="AK222" s="35">
        <f t="shared" si="2"/>
        <v>138</v>
      </c>
      <c r="AL222" s="35">
        <f t="shared" si="3"/>
        <v>80</v>
      </c>
      <c r="AM222" s="35">
        <f t="shared" si="4"/>
        <v>218</v>
      </c>
      <c r="AN222" s="40">
        <f t="shared" si="5"/>
        <v>8.839908257</v>
      </c>
    </row>
    <row r="223" ht="15.75" customHeight="1">
      <c r="A223" s="32" t="s">
        <v>28</v>
      </c>
      <c r="B223" s="34">
        <f t="shared" si="6"/>
        <v>44783</v>
      </c>
      <c r="C223" s="35">
        <v>8.0</v>
      </c>
      <c r="D223" s="35" t="s">
        <v>34</v>
      </c>
      <c r="E223" s="87" t="s">
        <v>35</v>
      </c>
      <c r="F223" s="23"/>
      <c r="H223" s="24"/>
      <c r="J223" s="24"/>
      <c r="L223" s="25">
        <v>69.0</v>
      </c>
      <c r="N223" s="26">
        <v>69.0</v>
      </c>
      <c r="P223" s="86"/>
      <c r="R223" s="26">
        <v>80.0</v>
      </c>
      <c r="T223" s="24"/>
      <c r="V223" s="24"/>
      <c r="W223" s="27"/>
      <c r="X223" s="23"/>
      <c r="Z223" s="24"/>
      <c r="AB223" s="24"/>
      <c r="AD223" s="24"/>
      <c r="AF223" s="24"/>
      <c r="AH223" s="24"/>
      <c r="AI223" s="27"/>
      <c r="AJ223" s="39">
        <f t="shared" si="1"/>
        <v>1927.1</v>
      </c>
      <c r="AK223" s="35">
        <f t="shared" si="2"/>
        <v>138</v>
      </c>
      <c r="AL223" s="35">
        <f t="shared" si="3"/>
        <v>80</v>
      </c>
      <c r="AM223" s="35">
        <f t="shared" si="4"/>
        <v>218</v>
      </c>
      <c r="AN223" s="40">
        <f t="shared" si="5"/>
        <v>8.839908257</v>
      </c>
    </row>
    <row r="224" ht="15.75" customHeight="1">
      <c r="A224" s="32" t="s">
        <v>29</v>
      </c>
      <c r="B224" s="34">
        <f t="shared" si="6"/>
        <v>44784</v>
      </c>
      <c r="C224" s="35">
        <v>8.0</v>
      </c>
      <c r="D224" s="35" t="s">
        <v>34</v>
      </c>
      <c r="E224" s="87" t="s">
        <v>35</v>
      </c>
      <c r="F224" s="23"/>
      <c r="H224" s="24"/>
      <c r="J224" s="24"/>
      <c r="L224" s="25">
        <v>69.0</v>
      </c>
      <c r="N224" s="26">
        <v>69.0</v>
      </c>
      <c r="P224" s="86"/>
      <c r="R224" s="26">
        <v>80.0</v>
      </c>
      <c r="T224" s="24"/>
      <c r="V224" s="24"/>
      <c r="W224" s="27"/>
      <c r="X224" s="23"/>
      <c r="Z224" s="24"/>
      <c r="AB224" s="24"/>
      <c r="AD224" s="24"/>
      <c r="AF224" s="24"/>
      <c r="AH224" s="24"/>
      <c r="AI224" s="27"/>
      <c r="AJ224" s="39">
        <f t="shared" si="1"/>
        <v>1927.1</v>
      </c>
      <c r="AK224" s="35">
        <f t="shared" si="2"/>
        <v>138</v>
      </c>
      <c r="AL224" s="35">
        <f t="shared" si="3"/>
        <v>80</v>
      </c>
      <c r="AM224" s="35">
        <f t="shared" si="4"/>
        <v>218</v>
      </c>
      <c r="AN224" s="40">
        <f t="shared" si="5"/>
        <v>8.839908257</v>
      </c>
    </row>
    <row r="225" ht="15.75" customHeight="1">
      <c r="A225" s="32" t="s">
        <v>30</v>
      </c>
      <c r="B225" s="34">
        <f t="shared" si="6"/>
        <v>44785</v>
      </c>
      <c r="C225" s="35">
        <v>8.0</v>
      </c>
      <c r="D225" s="35" t="s">
        <v>34</v>
      </c>
      <c r="E225" s="87" t="s">
        <v>35</v>
      </c>
      <c r="F225" s="23"/>
      <c r="H225" s="24"/>
      <c r="J225" s="24"/>
      <c r="L225" s="25">
        <v>69.0</v>
      </c>
      <c r="N225" s="26">
        <v>69.0</v>
      </c>
      <c r="P225" s="86"/>
      <c r="R225" s="26">
        <v>80.0</v>
      </c>
      <c r="T225" s="24"/>
      <c r="V225" s="24"/>
      <c r="W225" s="27"/>
      <c r="X225" s="23"/>
      <c r="Z225" s="24"/>
      <c r="AB225" s="24"/>
      <c r="AD225" s="24"/>
      <c r="AF225" s="24"/>
      <c r="AH225" s="24"/>
      <c r="AI225" s="27"/>
      <c r="AJ225" s="39">
        <f t="shared" si="1"/>
        <v>1927.1</v>
      </c>
      <c r="AK225" s="35">
        <f t="shared" si="2"/>
        <v>138</v>
      </c>
      <c r="AL225" s="35">
        <f t="shared" si="3"/>
        <v>80</v>
      </c>
      <c r="AM225" s="35">
        <f t="shared" si="4"/>
        <v>218</v>
      </c>
      <c r="AN225" s="40">
        <f t="shared" si="5"/>
        <v>8.839908257</v>
      </c>
    </row>
    <row r="226" ht="15.75" customHeight="1">
      <c r="A226" s="48" t="s">
        <v>31</v>
      </c>
      <c r="B226" s="50">
        <f t="shared" si="6"/>
        <v>44786</v>
      </c>
      <c r="C226" s="51">
        <v>8.0</v>
      </c>
      <c r="D226" s="51" t="s">
        <v>34</v>
      </c>
      <c r="E226" s="88" t="s">
        <v>35</v>
      </c>
      <c r="F226" s="54"/>
      <c r="G226" s="56"/>
      <c r="H226" s="57"/>
      <c r="I226" s="56"/>
      <c r="J226" s="57"/>
      <c r="K226" s="56"/>
      <c r="L226" s="58">
        <v>69.0</v>
      </c>
      <c r="M226" s="56"/>
      <c r="N226" s="59">
        <v>69.0</v>
      </c>
      <c r="O226" s="56"/>
      <c r="P226" s="89"/>
      <c r="Q226" s="56"/>
      <c r="R226" s="59"/>
      <c r="S226" s="56"/>
      <c r="T226" s="57"/>
      <c r="U226" s="56"/>
      <c r="V226" s="57"/>
      <c r="W226" s="60"/>
      <c r="X226" s="54"/>
      <c r="Y226" s="56"/>
      <c r="Z226" s="57"/>
      <c r="AA226" s="56"/>
      <c r="AB226" s="57"/>
      <c r="AC226" s="56"/>
      <c r="AD226" s="57"/>
      <c r="AE226" s="56"/>
      <c r="AF226" s="57"/>
      <c r="AG226" s="56"/>
      <c r="AH226" s="57"/>
      <c r="AI226" s="60"/>
      <c r="AJ226" s="61">
        <f t="shared" si="1"/>
        <v>1566.3</v>
      </c>
      <c r="AK226" s="51">
        <f t="shared" si="2"/>
        <v>138</v>
      </c>
      <c r="AL226" s="51" t="str">
        <f t="shared" si="3"/>
        <v/>
      </c>
      <c r="AM226" s="51">
        <f t="shared" si="4"/>
        <v>138</v>
      </c>
      <c r="AN226" s="63">
        <f t="shared" si="5"/>
        <v>11.35</v>
      </c>
    </row>
    <row r="227" ht="15.75" customHeight="1">
      <c r="A227" s="18" t="s">
        <v>20</v>
      </c>
      <c r="B227" s="64">
        <f t="shared" si="6"/>
        <v>44787</v>
      </c>
      <c r="C227" s="20">
        <v>9.0</v>
      </c>
      <c r="D227" s="20" t="s">
        <v>21</v>
      </c>
      <c r="E227" s="90" t="s">
        <v>35</v>
      </c>
      <c r="F227" s="23"/>
      <c r="H227" s="24"/>
      <c r="J227" s="24"/>
      <c r="L227" s="25">
        <v>69.0</v>
      </c>
      <c r="N227" s="26">
        <v>69.0</v>
      </c>
      <c r="P227" s="86"/>
      <c r="R227" s="26">
        <v>80.0</v>
      </c>
      <c r="T227" s="24"/>
      <c r="V227" s="24"/>
      <c r="W227" s="27"/>
      <c r="X227" s="23"/>
      <c r="Z227" s="24"/>
      <c r="AB227" s="24"/>
      <c r="AD227" s="24"/>
      <c r="AF227" s="24"/>
      <c r="AH227" s="24"/>
      <c r="AI227" s="27"/>
      <c r="AJ227" s="28">
        <f t="shared" si="1"/>
        <v>1927.1</v>
      </c>
      <c r="AK227" s="20">
        <f t="shared" si="2"/>
        <v>138</v>
      </c>
      <c r="AL227" s="20">
        <f t="shared" si="3"/>
        <v>80</v>
      </c>
      <c r="AM227" s="20">
        <f t="shared" si="4"/>
        <v>218</v>
      </c>
      <c r="AN227" s="31">
        <f t="shared" si="5"/>
        <v>8.839908257</v>
      </c>
    </row>
    <row r="228" ht="15.75" customHeight="1">
      <c r="A228" s="32" t="s">
        <v>22</v>
      </c>
      <c r="B228" s="34">
        <f t="shared" si="6"/>
        <v>44788</v>
      </c>
      <c r="C228" s="35">
        <v>9.0</v>
      </c>
      <c r="D228" s="35" t="s">
        <v>21</v>
      </c>
      <c r="E228" s="87" t="s">
        <v>35</v>
      </c>
      <c r="F228" s="23"/>
      <c r="H228" s="24"/>
      <c r="J228" s="24"/>
      <c r="L228" s="25">
        <v>69.0</v>
      </c>
      <c r="N228" s="26">
        <v>69.0</v>
      </c>
      <c r="P228" s="86"/>
      <c r="R228" s="26">
        <v>80.0</v>
      </c>
      <c r="T228" s="24"/>
      <c r="V228" s="24"/>
      <c r="W228" s="27"/>
      <c r="X228" s="23"/>
      <c r="Z228" s="24"/>
      <c r="AB228" s="24"/>
      <c r="AD228" s="24"/>
      <c r="AF228" s="24"/>
      <c r="AH228" s="24"/>
      <c r="AI228" s="27"/>
      <c r="AJ228" s="39">
        <f t="shared" si="1"/>
        <v>1927.1</v>
      </c>
      <c r="AK228" s="35">
        <f t="shared" si="2"/>
        <v>138</v>
      </c>
      <c r="AL228" s="35">
        <f t="shared" si="3"/>
        <v>80</v>
      </c>
      <c r="AM228" s="35">
        <f t="shared" si="4"/>
        <v>218</v>
      </c>
      <c r="AN228" s="40">
        <f t="shared" si="5"/>
        <v>8.839908257</v>
      </c>
    </row>
    <row r="229" ht="15.75" customHeight="1">
      <c r="A229" s="32" t="s">
        <v>24</v>
      </c>
      <c r="B229" s="34">
        <f t="shared" si="6"/>
        <v>44789</v>
      </c>
      <c r="C229" s="35">
        <v>9.0</v>
      </c>
      <c r="D229" s="35" t="s">
        <v>21</v>
      </c>
      <c r="E229" s="87" t="s">
        <v>35</v>
      </c>
      <c r="F229" s="23"/>
      <c r="H229" s="24"/>
      <c r="J229" s="24"/>
      <c r="L229" s="25">
        <v>69.0</v>
      </c>
      <c r="N229" s="26">
        <v>69.0</v>
      </c>
      <c r="P229" s="86"/>
      <c r="R229" s="26">
        <v>80.0</v>
      </c>
      <c r="T229" s="24"/>
      <c r="V229" s="24"/>
      <c r="W229" s="27"/>
      <c r="X229" s="23"/>
      <c r="Z229" s="24"/>
      <c r="AB229" s="24"/>
      <c r="AD229" s="24"/>
      <c r="AF229" s="24"/>
      <c r="AH229" s="24"/>
      <c r="AI229" s="27"/>
      <c r="AJ229" s="39">
        <f t="shared" si="1"/>
        <v>1927.1</v>
      </c>
      <c r="AK229" s="35">
        <f t="shared" si="2"/>
        <v>138</v>
      </c>
      <c r="AL229" s="35">
        <f t="shared" si="3"/>
        <v>80</v>
      </c>
      <c r="AM229" s="35">
        <f t="shared" si="4"/>
        <v>218</v>
      </c>
      <c r="AN229" s="40">
        <f t="shared" si="5"/>
        <v>8.839908257</v>
      </c>
    </row>
    <row r="230" ht="15.75" customHeight="1">
      <c r="A230" s="32" t="s">
        <v>28</v>
      </c>
      <c r="B230" s="34">
        <f t="shared" si="6"/>
        <v>44790</v>
      </c>
      <c r="C230" s="35">
        <v>9.0</v>
      </c>
      <c r="D230" s="35" t="s">
        <v>21</v>
      </c>
      <c r="E230" s="87" t="s">
        <v>35</v>
      </c>
      <c r="F230" s="23"/>
      <c r="H230" s="24"/>
      <c r="J230" s="24"/>
      <c r="L230" s="25">
        <v>69.0</v>
      </c>
      <c r="N230" s="26">
        <v>69.0</v>
      </c>
      <c r="P230" s="86"/>
      <c r="R230" s="26">
        <v>80.0</v>
      </c>
      <c r="T230" s="24"/>
      <c r="V230" s="24"/>
      <c r="W230" s="27"/>
      <c r="X230" s="23"/>
      <c r="Z230" s="24"/>
      <c r="AB230" s="24"/>
      <c r="AD230" s="24"/>
      <c r="AF230" s="24"/>
      <c r="AH230" s="24"/>
      <c r="AI230" s="27"/>
      <c r="AJ230" s="39">
        <f t="shared" si="1"/>
        <v>1927.1</v>
      </c>
      <c r="AK230" s="35">
        <f t="shared" si="2"/>
        <v>138</v>
      </c>
      <c r="AL230" s="35">
        <f t="shared" si="3"/>
        <v>80</v>
      </c>
      <c r="AM230" s="35">
        <f t="shared" si="4"/>
        <v>218</v>
      </c>
      <c r="AN230" s="40">
        <f t="shared" si="5"/>
        <v>8.839908257</v>
      </c>
    </row>
    <row r="231" ht="15.75" customHeight="1">
      <c r="A231" s="32" t="s">
        <v>29</v>
      </c>
      <c r="B231" s="34">
        <f t="shared" si="6"/>
        <v>44791</v>
      </c>
      <c r="C231" s="35">
        <v>9.0</v>
      </c>
      <c r="D231" s="35" t="s">
        <v>21</v>
      </c>
      <c r="E231" s="87" t="s">
        <v>35</v>
      </c>
      <c r="F231" s="23"/>
      <c r="H231" s="24"/>
      <c r="J231" s="24"/>
      <c r="L231" s="25">
        <v>69.0</v>
      </c>
      <c r="N231" s="26">
        <v>69.0</v>
      </c>
      <c r="P231" s="86"/>
      <c r="R231" s="26">
        <v>80.0</v>
      </c>
      <c r="T231" s="24"/>
      <c r="V231" s="24"/>
      <c r="W231" s="27"/>
      <c r="X231" s="23"/>
      <c r="Z231" s="24"/>
      <c r="AB231" s="24"/>
      <c r="AD231" s="24"/>
      <c r="AF231" s="24"/>
      <c r="AH231" s="24"/>
      <c r="AI231" s="27"/>
      <c r="AJ231" s="39">
        <f t="shared" si="1"/>
        <v>1927.1</v>
      </c>
      <c r="AK231" s="35">
        <f t="shared" si="2"/>
        <v>138</v>
      </c>
      <c r="AL231" s="35">
        <f t="shared" si="3"/>
        <v>80</v>
      </c>
      <c r="AM231" s="35">
        <f t="shared" si="4"/>
        <v>218</v>
      </c>
      <c r="AN231" s="40">
        <f t="shared" si="5"/>
        <v>8.839908257</v>
      </c>
    </row>
    <row r="232" ht="15.75" customHeight="1">
      <c r="A232" s="32" t="s">
        <v>30</v>
      </c>
      <c r="B232" s="34">
        <f t="shared" si="6"/>
        <v>44792</v>
      </c>
      <c r="C232" s="35">
        <v>9.0</v>
      </c>
      <c r="D232" s="35" t="s">
        <v>21</v>
      </c>
      <c r="E232" s="87" t="s">
        <v>35</v>
      </c>
      <c r="F232" s="23"/>
      <c r="H232" s="24"/>
      <c r="J232" s="24"/>
      <c r="L232" s="25">
        <v>69.0</v>
      </c>
      <c r="N232" s="26">
        <v>69.0</v>
      </c>
      <c r="P232" s="86"/>
      <c r="R232" s="26">
        <v>80.0</v>
      </c>
      <c r="T232" s="24"/>
      <c r="V232" s="24"/>
      <c r="W232" s="27"/>
      <c r="X232" s="23"/>
      <c r="Z232" s="24"/>
      <c r="AB232" s="24"/>
      <c r="AD232" s="24"/>
      <c r="AF232" s="24"/>
      <c r="AH232" s="24"/>
      <c r="AI232" s="27"/>
      <c r="AJ232" s="39">
        <f t="shared" si="1"/>
        <v>1927.1</v>
      </c>
      <c r="AK232" s="35">
        <f t="shared" si="2"/>
        <v>138</v>
      </c>
      <c r="AL232" s="35">
        <f t="shared" si="3"/>
        <v>80</v>
      </c>
      <c r="AM232" s="35">
        <f t="shared" si="4"/>
        <v>218</v>
      </c>
      <c r="AN232" s="40">
        <f t="shared" si="5"/>
        <v>8.839908257</v>
      </c>
    </row>
    <row r="233" ht="15.75" customHeight="1">
      <c r="A233" s="48" t="s">
        <v>31</v>
      </c>
      <c r="B233" s="50">
        <f t="shared" si="6"/>
        <v>44793</v>
      </c>
      <c r="C233" s="51">
        <v>9.0</v>
      </c>
      <c r="D233" s="51" t="s">
        <v>21</v>
      </c>
      <c r="E233" s="88" t="s">
        <v>35</v>
      </c>
      <c r="F233" s="54"/>
      <c r="G233" s="56"/>
      <c r="H233" s="57"/>
      <c r="I233" s="56"/>
      <c r="J233" s="57"/>
      <c r="K233" s="56"/>
      <c r="L233" s="58">
        <v>69.0</v>
      </c>
      <c r="M233" s="56"/>
      <c r="N233" s="59">
        <v>69.0</v>
      </c>
      <c r="O233" s="56"/>
      <c r="P233" s="89"/>
      <c r="Q233" s="56"/>
      <c r="R233" s="59"/>
      <c r="S233" s="56"/>
      <c r="T233" s="57"/>
      <c r="U233" s="56"/>
      <c r="V233" s="57"/>
      <c r="W233" s="60"/>
      <c r="X233" s="54"/>
      <c r="Y233" s="56"/>
      <c r="Z233" s="57"/>
      <c r="AA233" s="56"/>
      <c r="AB233" s="57"/>
      <c r="AC233" s="56"/>
      <c r="AD233" s="57"/>
      <c r="AE233" s="56"/>
      <c r="AF233" s="57"/>
      <c r="AG233" s="56"/>
      <c r="AH233" s="57"/>
      <c r="AI233" s="60"/>
      <c r="AJ233" s="61">
        <f t="shared" si="1"/>
        <v>1566.3</v>
      </c>
      <c r="AK233" s="51">
        <f t="shared" si="2"/>
        <v>138</v>
      </c>
      <c r="AL233" s="51" t="str">
        <f t="shared" si="3"/>
        <v/>
      </c>
      <c r="AM233" s="51">
        <f t="shared" si="4"/>
        <v>138</v>
      </c>
      <c r="AN233" s="63">
        <f t="shared" si="5"/>
        <v>11.35</v>
      </c>
    </row>
    <row r="234" ht="15.75" customHeight="1">
      <c r="A234" s="18" t="s">
        <v>20</v>
      </c>
      <c r="B234" s="64">
        <f t="shared" si="6"/>
        <v>44794</v>
      </c>
      <c r="C234" s="20">
        <v>9.0</v>
      </c>
      <c r="D234" s="20" t="s">
        <v>32</v>
      </c>
      <c r="E234" s="90" t="s">
        <v>35</v>
      </c>
      <c r="F234" s="23"/>
      <c r="H234" s="24"/>
      <c r="J234" s="24"/>
      <c r="L234" s="25">
        <v>69.0</v>
      </c>
      <c r="N234" s="26">
        <v>69.0</v>
      </c>
      <c r="P234" s="86"/>
      <c r="R234" s="26">
        <v>80.0</v>
      </c>
      <c r="T234" s="24"/>
      <c r="V234" s="24"/>
      <c r="W234" s="27"/>
      <c r="X234" s="23"/>
      <c r="Z234" s="24"/>
      <c r="AB234" s="24"/>
      <c r="AD234" s="24"/>
      <c r="AF234" s="24"/>
      <c r="AH234" s="24"/>
      <c r="AI234" s="27"/>
      <c r="AJ234" s="28">
        <f t="shared" si="1"/>
        <v>1927.1</v>
      </c>
      <c r="AK234" s="20">
        <f t="shared" si="2"/>
        <v>138</v>
      </c>
      <c r="AL234" s="20">
        <f t="shared" si="3"/>
        <v>80</v>
      </c>
      <c r="AM234" s="20">
        <f t="shared" si="4"/>
        <v>218</v>
      </c>
      <c r="AN234" s="31">
        <f t="shared" si="5"/>
        <v>8.839908257</v>
      </c>
    </row>
    <row r="235" ht="15.75" customHeight="1">
      <c r="A235" s="32" t="s">
        <v>22</v>
      </c>
      <c r="B235" s="34">
        <f t="shared" si="6"/>
        <v>44795</v>
      </c>
      <c r="C235" s="35">
        <v>9.0</v>
      </c>
      <c r="D235" s="35" t="s">
        <v>32</v>
      </c>
      <c r="E235" s="87" t="s">
        <v>35</v>
      </c>
      <c r="F235" s="23"/>
      <c r="H235" s="24"/>
      <c r="J235" s="24"/>
      <c r="L235" s="25">
        <v>69.0</v>
      </c>
      <c r="N235" s="26">
        <v>69.0</v>
      </c>
      <c r="P235" s="86"/>
      <c r="R235" s="26">
        <v>80.0</v>
      </c>
      <c r="T235" s="24"/>
      <c r="V235" s="24"/>
      <c r="W235" s="27"/>
      <c r="X235" s="23"/>
      <c r="Z235" s="24"/>
      <c r="AB235" s="24"/>
      <c r="AD235" s="24"/>
      <c r="AF235" s="24"/>
      <c r="AH235" s="24"/>
      <c r="AI235" s="27"/>
      <c r="AJ235" s="39">
        <f t="shared" si="1"/>
        <v>1927.1</v>
      </c>
      <c r="AK235" s="35">
        <f t="shared" si="2"/>
        <v>138</v>
      </c>
      <c r="AL235" s="35">
        <f t="shared" si="3"/>
        <v>80</v>
      </c>
      <c r="AM235" s="35">
        <f t="shared" si="4"/>
        <v>218</v>
      </c>
      <c r="AN235" s="40">
        <f t="shared" si="5"/>
        <v>8.839908257</v>
      </c>
    </row>
    <row r="236" ht="15.75" customHeight="1">
      <c r="A236" s="32" t="s">
        <v>24</v>
      </c>
      <c r="B236" s="34">
        <f t="shared" si="6"/>
        <v>44796</v>
      </c>
      <c r="C236" s="35">
        <v>9.0</v>
      </c>
      <c r="D236" s="35" t="s">
        <v>32</v>
      </c>
      <c r="E236" s="87" t="s">
        <v>35</v>
      </c>
      <c r="F236" s="23"/>
      <c r="H236" s="24"/>
      <c r="J236" s="24"/>
      <c r="L236" s="25">
        <v>69.0</v>
      </c>
      <c r="N236" s="26">
        <v>69.0</v>
      </c>
      <c r="P236" s="86"/>
      <c r="R236" s="26">
        <v>80.0</v>
      </c>
      <c r="T236" s="24"/>
      <c r="V236" s="24"/>
      <c r="W236" s="27"/>
      <c r="X236" s="23"/>
      <c r="Z236" s="24"/>
      <c r="AB236" s="24"/>
      <c r="AD236" s="24"/>
      <c r="AF236" s="24"/>
      <c r="AH236" s="24"/>
      <c r="AI236" s="27"/>
      <c r="AJ236" s="39">
        <f t="shared" si="1"/>
        <v>1927.1</v>
      </c>
      <c r="AK236" s="35">
        <f t="shared" si="2"/>
        <v>138</v>
      </c>
      <c r="AL236" s="35">
        <f t="shared" si="3"/>
        <v>80</v>
      </c>
      <c r="AM236" s="35">
        <f t="shared" si="4"/>
        <v>218</v>
      </c>
      <c r="AN236" s="40">
        <f t="shared" si="5"/>
        <v>8.839908257</v>
      </c>
    </row>
    <row r="237" ht="15.75" customHeight="1">
      <c r="A237" s="32" t="s">
        <v>28</v>
      </c>
      <c r="B237" s="34">
        <f t="shared" si="6"/>
        <v>44797</v>
      </c>
      <c r="C237" s="35">
        <v>9.0</v>
      </c>
      <c r="D237" s="35" t="s">
        <v>32</v>
      </c>
      <c r="E237" s="87" t="s">
        <v>35</v>
      </c>
      <c r="F237" s="23"/>
      <c r="H237" s="24"/>
      <c r="J237" s="24"/>
      <c r="L237" s="25">
        <v>73.0</v>
      </c>
      <c r="N237" s="26">
        <v>73.0</v>
      </c>
      <c r="P237" s="86"/>
      <c r="R237" s="26">
        <v>80.0</v>
      </c>
      <c r="T237" s="24"/>
      <c r="V237" s="24"/>
      <c r="W237" s="27"/>
      <c r="X237" s="23"/>
      <c r="Z237" s="24"/>
      <c r="AB237" s="24"/>
      <c r="AD237" s="24"/>
      <c r="AF237" s="24"/>
      <c r="AH237" s="24"/>
      <c r="AI237" s="27"/>
      <c r="AJ237" s="39">
        <f t="shared" si="1"/>
        <v>2017.9</v>
      </c>
      <c r="AK237" s="35">
        <f t="shared" si="2"/>
        <v>146</v>
      </c>
      <c r="AL237" s="35">
        <f t="shared" si="3"/>
        <v>80</v>
      </c>
      <c r="AM237" s="35">
        <f t="shared" si="4"/>
        <v>226</v>
      </c>
      <c r="AN237" s="40">
        <f t="shared" si="5"/>
        <v>8.928761062</v>
      </c>
    </row>
    <row r="238" ht="15.75" customHeight="1">
      <c r="A238" s="32" t="s">
        <v>29</v>
      </c>
      <c r="B238" s="34">
        <f t="shared" si="6"/>
        <v>44798</v>
      </c>
      <c r="C238" s="35">
        <v>9.0</v>
      </c>
      <c r="D238" s="35" t="s">
        <v>32</v>
      </c>
      <c r="E238" s="87" t="s">
        <v>35</v>
      </c>
      <c r="F238" s="23"/>
      <c r="H238" s="24"/>
      <c r="J238" s="24"/>
      <c r="L238" s="25">
        <v>73.0</v>
      </c>
      <c r="N238" s="26">
        <v>73.0</v>
      </c>
      <c r="P238" s="86"/>
      <c r="R238" s="26">
        <v>80.0</v>
      </c>
      <c r="T238" s="24"/>
      <c r="V238" s="24"/>
      <c r="W238" s="27"/>
      <c r="X238" s="23"/>
      <c r="Z238" s="24"/>
      <c r="AB238" s="24"/>
      <c r="AD238" s="24"/>
      <c r="AF238" s="24"/>
      <c r="AH238" s="24"/>
      <c r="AI238" s="27"/>
      <c r="AJ238" s="39">
        <f t="shared" si="1"/>
        <v>2017.9</v>
      </c>
      <c r="AK238" s="35">
        <f t="shared" si="2"/>
        <v>146</v>
      </c>
      <c r="AL238" s="35">
        <f t="shared" si="3"/>
        <v>80</v>
      </c>
      <c r="AM238" s="35">
        <f t="shared" si="4"/>
        <v>226</v>
      </c>
      <c r="AN238" s="40">
        <f t="shared" si="5"/>
        <v>8.928761062</v>
      </c>
    </row>
    <row r="239" ht="15.75" customHeight="1">
      <c r="A239" s="32" t="s">
        <v>30</v>
      </c>
      <c r="B239" s="34">
        <f t="shared" si="6"/>
        <v>44799</v>
      </c>
      <c r="C239" s="35">
        <v>9.0</v>
      </c>
      <c r="D239" s="35" t="s">
        <v>32</v>
      </c>
      <c r="E239" s="87" t="s">
        <v>35</v>
      </c>
      <c r="F239" s="23"/>
      <c r="H239" s="24"/>
      <c r="J239" s="24"/>
      <c r="L239" s="25">
        <v>73.0</v>
      </c>
      <c r="N239" s="26">
        <v>73.0</v>
      </c>
      <c r="P239" s="86"/>
      <c r="R239" s="26">
        <v>80.0</v>
      </c>
      <c r="T239" s="24"/>
      <c r="V239" s="24"/>
      <c r="W239" s="27"/>
      <c r="X239" s="23"/>
      <c r="Z239" s="24"/>
      <c r="AB239" s="24"/>
      <c r="AD239" s="24"/>
      <c r="AF239" s="24"/>
      <c r="AH239" s="24"/>
      <c r="AI239" s="27"/>
      <c r="AJ239" s="39">
        <f t="shared" si="1"/>
        <v>2017.9</v>
      </c>
      <c r="AK239" s="35">
        <f t="shared" si="2"/>
        <v>146</v>
      </c>
      <c r="AL239" s="35">
        <f t="shared" si="3"/>
        <v>80</v>
      </c>
      <c r="AM239" s="35">
        <f t="shared" si="4"/>
        <v>226</v>
      </c>
      <c r="AN239" s="40">
        <f t="shared" si="5"/>
        <v>8.928761062</v>
      </c>
    </row>
    <row r="240" ht="15.75" customHeight="1">
      <c r="A240" s="48" t="s">
        <v>31</v>
      </c>
      <c r="B240" s="50">
        <f t="shared" si="6"/>
        <v>44800</v>
      </c>
      <c r="C240" s="51">
        <v>9.0</v>
      </c>
      <c r="D240" s="51" t="s">
        <v>32</v>
      </c>
      <c r="E240" s="88" t="s">
        <v>35</v>
      </c>
      <c r="F240" s="54"/>
      <c r="G240" s="56"/>
      <c r="H240" s="57"/>
      <c r="I240" s="56"/>
      <c r="J240" s="57"/>
      <c r="K240" s="56"/>
      <c r="L240" s="58">
        <v>73.0</v>
      </c>
      <c r="M240" s="56"/>
      <c r="N240" s="59">
        <v>73.0</v>
      </c>
      <c r="O240" s="56"/>
      <c r="P240" s="89"/>
      <c r="Q240" s="56"/>
      <c r="R240" s="59"/>
      <c r="S240" s="56"/>
      <c r="T240" s="57"/>
      <c r="U240" s="56"/>
      <c r="V240" s="57"/>
      <c r="W240" s="60"/>
      <c r="X240" s="54"/>
      <c r="Y240" s="56"/>
      <c r="Z240" s="57"/>
      <c r="AA240" s="56"/>
      <c r="AB240" s="57"/>
      <c r="AC240" s="56"/>
      <c r="AD240" s="57"/>
      <c r="AE240" s="56"/>
      <c r="AF240" s="57"/>
      <c r="AG240" s="56"/>
      <c r="AH240" s="57"/>
      <c r="AI240" s="60"/>
      <c r="AJ240" s="61">
        <f t="shared" si="1"/>
        <v>1657.1</v>
      </c>
      <c r="AK240" s="51">
        <f t="shared" si="2"/>
        <v>146</v>
      </c>
      <c r="AL240" s="51" t="str">
        <f t="shared" si="3"/>
        <v/>
      </c>
      <c r="AM240" s="51">
        <f t="shared" si="4"/>
        <v>146</v>
      </c>
      <c r="AN240" s="63">
        <f t="shared" si="5"/>
        <v>11.35</v>
      </c>
    </row>
    <row r="241" ht="15.75" customHeight="1">
      <c r="A241" s="18" t="s">
        <v>20</v>
      </c>
      <c r="B241" s="64">
        <f t="shared" si="6"/>
        <v>44801</v>
      </c>
      <c r="C241" s="20">
        <v>9.0</v>
      </c>
      <c r="D241" s="20" t="s">
        <v>33</v>
      </c>
      <c r="E241" s="22"/>
      <c r="F241" s="23"/>
      <c r="H241" s="24"/>
      <c r="J241" s="24"/>
      <c r="L241" s="25">
        <v>73.0</v>
      </c>
      <c r="N241" s="26">
        <v>73.0</v>
      </c>
      <c r="P241" s="24"/>
      <c r="R241" s="26">
        <v>80.0</v>
      </c>
      <c r="T241" s="24"/>
      <c r="V241" s="24"/>
      <c r="W241" s="27"/>
      <c r="X241" s="23"/>
      <c r="Z241" s="24"/>
      <c r="AB241" s="24"/>
      <c r="AD241" s="24"/>
      <c r="AF241" s="24"/>
      <c r="AH241" s="24"/>
      <c r="AI241" s="27"/>
      <c r="AJ241" s="28">
        <f t="shared" si="1"/>
        <v>2017.9</v>
      </c>
      <c r="AK241" s="20">
        <f t="shared" si="2"/>
        <v>146</v>
      </c>
      <c r="AL241" s="20">
        <f t="shared" si="3"/>
        <v>80</v>
      </c>
      <c r="AM241" s="20">
        <f t="shared" si="4"/>
        <v>226</v>
      </c>
      <c r="AN241" s="31">
        <f t="shared" si="5"/>
        <v>8.928761062</v>
      </c>
    </row>
    <row r="242" ht="15.75" customHeight="1">
      <c r="A242" s="32" t="s">
        <v>22</v>
      </c>
      <c r="B242" s="34">
        <f t="shared" si="6"/>
        <v>44802</v>
      </c>
      <c r="C242" s="35">
        <v>9.0</v>
      </c>
      <c r="D242" s="35" t="s">
        <v>33</v>
      </c>
      <c r="E242" s="37"/>
      <c r="F242" s="23"/>
      <c r="H242" s="24"/>
      <c r="J242" s="24"/>
      <c r="L242" s="25">
        <v>73.0</v>
      </c>
      <c r="N242" s="26">
        <v>73.0</v>
      </c>
      <c r="P242" s="24"/>
      <c r="R242" s="26">
        <v>80.0</v>
      </c>
      <c r="T242" s="24"/>
      <c r="V242" s="24"/>
      <c r="W242" s="27"/>
      <c r="X242" s="23"/>
      <c r="Z242" s="24"/>
      <c r="AB242" s="24"/>
      <c r="AD242" s="24"/>
      <c r="AF242" s="24"/>
      <c r="AH242" s="24"/>
      <c r="AI242" s="27"/>
      <c r="AJ242" s="39">
        <f t="shared" si="1"/>
        <v>2017.9</v>
      </c>
      <c r="AK242" s="35">
        <f t="shared" si="2"/>
        <v>146</v>
      </c>
      <c r="AL242" s="35">
        <f t="shared" si="3"/>
        <v>80</v>
      </c>
      <c r="AM242" s="35">
        <f t="shared" si="4"/>
        <v>226</v>
      </c>
      <c r="AN242" s="40">
        <f t="shared" si="5"/>
        <v>8.928761062</v>
      </c>
    </row>
    <row r="243" ht="15.75" customHeight="1">
      <c r="A243" s="32" t="s">
        <v>24</v>
      </c>
      <c r="B243" s="34">
        <f t="shared" si="6"/>
        <v>44803</v>
      </c>
      <c r="C243" s="35">
        <v>9.0</v>
      </c>
      <c r="D243" s="35" t="s">
        <v>33</v>
      </c>
      <c r="E243" s="37"/>
      <c r="F243" s="23"/>
      <c r="H243" s="24"/>
      <c r="J243" s="24"/>
      <c r="L243" s="25">
        <v>73.0</v>
      </c>
      <c r="N243" s="26">
        <v>73.0</v>
      </c>
      <c r="P243" s="24"/>
      <c r="R243" s="26">
        <v>80.0</v>
      </c>
      <c r="T243" s="24"/>
      <c r="V243" s="24"/>
      <c r="W243" s="27"/>
      <c r="X243" s="23"/>
      <c r="Z243" s="24"/>
      <c r="AB243" s="24"/>
      <c r="AD243" s="24"/>
      <c r="AF243" s="24"/>
      <c r="AH243" s="24"/>
      <c r="AI243" s="27"/>
      <c r="AJ243" s="39">
        <f t="shared" si="1"/>
        <v>2017.9</v>
      </c>
      <c r="AK243" s="35">
        <f t="shared" si="2"/>
        <v>146</v>
      </c>
      <c r="AL243" s="35">
        <f t="shared" si="3"/>
        <v>80</v>
      </c>
      <c r="AM243" s="35">
        <f t="shared" si="4"/>
        <v>226</v>
      </c>
      <c r="AN243" s="40">
        <f t="shared" si="5"/>
        <v>8.928761062</v>
      </c>
    </row>
    <row r="244" ht="15.75" customHeight="1">
      <c r="A244" s="32" t="s">
        <v>28</v>
      </c>
      <c r="B244" s="34">
        <f t="shared" si="6"/>
        <v>44804</v>
      </c>
      <c r="C244" s="35">
        <v>9.0</v>
      </c>
      <c r="D244" s="35" t="s">
        <v>33</v>
      </c>
      <c r="E244" s="37"/>
      <c r="F244" s="23"/>
      <c r="H244" s="24"/>
      <c r="J244" s="24"/>
      <c r="L244" s="25">
        <v>73.0</v>
      </c>
      <c r="N244" s="26">
        <v>73.0</v>
      </c>
      <c r="P244" s="24"/>
      <c r="R244" s="26">
        <v>80.0</v>
      </c>
      <c r="T244" s="24"/>
      <c r="V244" s="24"/>
      <c r="W244" s="27"/>
      <c r="X244" s="23"/>
      <c r="Z244" s="24"/>
      <c r="AB244" s="24"/>
      <c r="AD244" s="24"/>
      <c r="AF244" s="24"/>
      <c r="AH244" s="24"/>
      <c r="AI244" s="27"/>
      <c r="AJ244" s="39">
        <f t="shared" si="1"/>
        <v>2017.9</v>
      </c>
      <c r="AK244" s="35">
        <f t="shared" si="2"/>
        <v>146</v>
      </c>
      <c r="AL244" s="35">
        <f t="shared" si="3"/>
        <v>80</v>
      </c>
      <c r="AM244" s="35">
        <f t="shared" si="4"/>
        <v>226</v>
      </c>
      <c r="AN244" s="40">
        <f t="shared" si="5"/>
        <v>8.928761062</v>
      </c>
    </row>
    <row r="245" ht="15.75" customHeight="1">
      <c r="A245" s="32" t="s">
        <v>29</v>
      </c>
      <c r="B245" s="34">
        <f t="shared" si="6"/>
        <v>44805</v>
      </c>
      <c r="C245" s="35">
        <v>9.0</v>
      </c>
      <c r="D245" s="35" t="s">
        <v>33</v>
      </c>
      <c r="E245" s="37"/>
      <c r="F245" s="23"/>
      <c r="H245" s="24"/>
      <c r="J245" s="24"/>
      <c r="L245" s="25">
        <v>73.0</v>
      </c>
      <c r="N245" s="26">
        <v>73.0</v>
      </c>
      <c r="P245" s="24"/>
      <c r="R245" s="26">
        <v>80.0</v>
      </c>
      <c r="T245" s="24"/>
      <c r="V245" s="24"/>
      <c r="W245" s="27"/>
      <c r="X245" s="23"/>
      <c r="Z245" s="24"/>
      <c r="AB245" s="24"/>
      <c r="AD245" s="24"/>
      <c r="AF245" s="24"/>
      <c r="AH245" s="24"/>
      <c r="AI245" s="27"/>
      <c r="AJ245" s="39">
        <f t="shared" si="1"/>
        <v>2017.9</v>
      </c>
      <c r="AK245" s="35">
        <f t="shared" si="2"/>
        <v>146</v>
      </c>
      <c r="AL245" s="35">
        <f t="shared" si="3"/>
        <v>80</v>
      </c>
      <c r="AM245" s="35">
        <f t="shared" si="4"/>
        <v>226</v>
      </c>
      <c r="AN245" s="40">
        <f t="shared" si="5"/>
        <v>8.928761062</v>
      </c>
    </row>
    <row r="246" ht="15.75" customHeight="1">
      <c r="A246" s="32" t="s">
        <v>30</v>
      </c>
      <c r="B246" s="34">
        <f t="shared" si="6"/>
        <v>44806</v>
      </c>
      <c r="C246" s="35">
        <v>9.0</v>
      </c>
      <c r="D246" s="35" t="s">
        <v>33</v>
      </c>
      <c r="E246" s="37"/>
      <c r="F246" s="23"/>
      <c r="H246" s="24"/>
      <c r="J246" s="24"/>
      <c r="L246" s="25">
        <v>73.0</v>
      </c>
      <c r="N246" s="26">
        <v>73.0</v>
      </c>
      <c r="P246" s="24"/>
      <c r="R246" s="26">
        <v>80.0</v>
      </c>
      <c r="T246" s="24"/>
      <c r="V246" s="24"/>
      <c r="W246" s="27"/>
      <c r="X246" s="23"/>
      <c r="Z246" s="24"/>
      <c r="AB246" s="24"/>
      <c r="AD246" s="24"/>
      <c r="AF246" s="24"/>
      <c r="AH246" s="24"/>
      <c r="AI246" s="27"/>
      <c r="AJ246" s="39">
        <f t="shared" si="1"/>
        <v>2017.9</v>
      </c>
      <c r="AK246" s="35">
        <f t="shared" si="2"/>
        <v>146</v>
      </c>
      <c r="AL246" s="35">
        <f t="shared" si="3"/>
        <v>80</v>
      </c>
      <c r="AM246" s="35">
        <f t="shared" si="4"/>
        <v>226</v>
      </c>
      <c r="AN246" s="40">
        <f t="shared" si="5"/>
        <v>8.928761062</v>
      </c>
    </row>
    <row r="247" ht="15.75" customHeight="1">
      <c r="A247" s="48" t="s">
        <v>31</v>
      </c>
      <c r="B247" s="50">
        <f t="shared" si="6"/>
        <v>44807</v>
      </c>
      <c r="C247" s="51">
        <v>9.0</v>
      </c>
      <c r="D247" s="51" t="s">
        <v>33</v>
      </c>
      <c r="E247" s="53"/>
      <c r="F247" s="54"/>
      <c r="G247" s="56"/>
      <c r="H247" s="57"/>
      <c r="I247" s="56"/>
      <c r="J247" s="57"/>
      <c r="K247" s="56"/>
      <c r="L247" s="58">
        <v>73.0</v>
      </c>
      <c r="M247" s="56"/>
      <c r="N247" s="59">
        <v>73.0</v>
      </c>
      <c r="O247" s="56"/>
      <c r="P247" s="57"/>
      <c r="Q247" s="56"/>
      <c r="R247" s="59"/>
      <c r="S247" s="56"/>
      <c r="T247" s="57"/>
      <c r="U247" s="56"/>
      <c r="V247" s="57"/>
      <c r="W247" s="60"/>
      <c r="X247" s="54"/>
      <c r="Y247" s="56"/>
      <c r="Z247" s="57"/>
      <c r="AA247" s="56"/>
      <c r="AB247" s="57"/>
      <c r="AC247" s="56"/>
      <c r="AD247" s="57"/>
      <c r="AE247" s="56"/>
      <c r="AF247" s="57"/>
      <c r="AG247" s="56"/>
      <c r="AH247" s="57"/>
      <c r="AI247" s="60"/>
      <c r="AJ247" s="61">
        <f t="shared" si="1"/>
        <v>1657.1</v>
      </c>
      <c r="AK247" s="51">
        <f t="shared" si="2"/>
        <v>146</v>
      </c>
      <c r="AL247" s="51" t="str">
        <f t="shared" si="3"/>
        <v/>
      </c>
      <c r="AM247" s="51">
        <f t="shared" si="4"/>
        <v>146</v>
      </c>
      <c r="AN247" s="63">
        <f t="shared" si="5"/>
        <v>11.35</v>
      </c>
    </row>
    <row r="248" ht="15.75" customHeight="1">
      <c r="A248" s="18" t="s">
        <v>20</v>
      </c>
      <c r="B248" s="64">
        <f t="shared" si="6"/>
        <v>44808</v>
      </c>
      <c r="C248" s="20">
        <v>9.0</v>
      </c>
      <c r="D248" s="20" t="s">
        <v>34</v>
      </c>
      <c r="E248" s="22"/>
      <c r="F248" s="23"/>
      <c r="H248" s="24"/>
      <c r="J248" s="24"/>
      <c r="L248" s="25">
        <v>73.0</v>
      </c>
      <c r="N248" s="26">
        <v>73.0</v>
      </c>
      <c r="P248" s="24"/>
      <c r="R248" s="26">
        <v>80.0</v>
      </c>
      <c r="T248" s="24"/>
      <c r="V248" s="24"/>
      <c r="W248" s="27"/>
      <c r="X248" s="23"/>
      <c r="Z248" s="24"/>
      <c r="AB248" s="24"/>
      <c r="AD248" s="24"/>
      <c r="AF248" s="24"/>
      <c r="AH248" s="24"/>
      <c r="AI248" s="27"/>
      <c r="AJ248" s="28">
        <f t="shared" si="1"/>
        <v>2017.9</v>
      </c>
      <c r="AK248" s="20">
        <f t="shared" si="2"/>
        <v>146</v>
      </c>
      <c r="AL248" s="20">
        <f t="shared" si="3"/>
        <v>80</v>
      </c>
      <c r="AM248" s="20">
        <f t="shared" si="4"/>
        <v>226</v>
      </c>
      <c r="AN248" s="31">
        <f t="shared" si="5"/>
        <v>8.928761062</v>
      </c>
    </row>
    <row r="249" ht="15.75" customHeight="1">
      <c r="A249" s="32" t="s">
        <v>22</v>
      </c>
      <c r="B249" s="34">
        <f t="shared" si="6"/>
        <v>44809</v>
      </c>
      <c r="C249" s="35">
        <v>9.0</v>
      </c>
      <c r="D249" s="35" t="s">
        <v>34</v>
      </c>
      <c r="E249" s="37"/>
      <c r="F249" s="23"/>
      <c r="H249" s="24"/>
      <c r="J249" s="24"/>
      <c r="L249" s="25">
        <v>73.0</v>
      </c>
      <c r="N249" s="26">
        <v>73.0</v>
      </c>
      <c r="P249" s="24"/>
      <c r="R249" s="26">
        <v>80.0</v>
      </c>
      <c r="T249" s="24"/>
      <c r="V249" s="24"/>
      <c r="W249" s="27"/>
      <c r="X249" s="23"/>
      <c r="Z249" s="24"/>
      <c r="AB249" s="24"/>
      <c r="AD249" s="24"/>
      <c r="AF249" s="24"/>
      <c r="AH249" s="24"/>
      <c r="AI249" s="27"/>
      <c r="AJ249" s="39">
        <f t="shared" si="1"/>
        <v>2017.9</v>
      </c>
      <c r="AK249" s="35">
        <f t="shared" si="2"/>
        <v>146</v>
      </c>
      <c r="AL249" s="35">
        <f t="shared" si="3"/>
        <v>80</v>
      </c>
      <c r="AM249" s="35">
        <f t="shared" si="4"/>
        <v>226</v>
      </c>
      <c r="AN249" s="40">
        <f t="shared" si="5"/>
        <v>8.928761062</v>
      </c>
    </row>
    <row r="250" ht="15.75" customHeight="1">
      <c r="A250" s="32" t="s">
        <v>24</v>
      </c>
      <c r="B250" s="34">
        <f t="shared" si="6"/>
        <v>44810</v>
      </c>
      <c r="C250" s="35">
        <v>9.0</v>
      </c>
      <c r="D250" s="35" t="s">
        <v>34</v>
      </c>
      <c r="E250" s="37"/>
      <c r="F250" s="23"/>
      <c r="H250" s="24"/>
      <c r="J250" s="24"/>
      <c r="L250" s="25">
        <v>73.0</v>
      </c>
      <c r="N250" s="26">
        <v>73.0</v>
      </c>
      <c r="P250" s="24"/>
      <c r="R250" s="26">
        <v>80.0</v>
      </c>
      <c r="T250" s="24"/>
      <c r="V250" s="24"/>
      <c r="W250" s="27"/>
      <c r="X250" s="23"/>
      <c r="Z250" s="24"/>
      <c r="AB250" s="24"/>
      <c r="AD250" s="24"/>
      <c r="AF250" s="24"/>
      <c r="AH250" s="24"/>
      <c r="AI250" s="27"/>
      <c r="AJ250" s="39">
        <f t="shared" si="1"/>
        <v>2017.9</v>
      </c>
      <c r="AK250" s="35">
        <f t="shared" si="2"/>
        <v>146</v>
      </c>
      <c r="AL250" s="35">
        <f t="shared" si="3"/>
        <v>80</v>
      </c>
      <c r="AM250" s="35">
        <f t="shared" si="4"/>
        <v>226</v>
      </c>
      <c r="AN250" s="40">
        <f t="shared" si="5"/>
        <v>8.928761062</v>
      </c>
    </row>
    <row r="251" ht="15.75" customHeight="1">
      <c r="A251" s="32" t="s">
        <v>28</v>
      </c>
      <c r="B251" s="34">
        <f t="shared" si="6"/>
        <v>44811</v>
      </c>
      <c r="C251" s="35">
        <v>9.0</v>
      </c>
      <c r="D251" s="35" t="s">
        <v>34</v>
      </c>
      <c r="E251" s="37"/>
      <c r="F251" s="23"/>
      <c r="H251" s="24"/>
      <c r="J251" s="24"/>
      <c r="L251" s="25">
        <v>73.0</v>
      </c>
      <c r="N251" s="26">
        <v>73.0</v>
      </c>
      <c r="P251" s="24"/>
      <c r="R251" s="26">
        <v>80.0</v>
      </c>
      <c r="T251" s="24"/>
      <c r="V251" s="24"/>
      <c r="W251" s="27"/>
      <c r="X251" s="23"/>
      <c r="Z251" s="24"/>
      <c r="AB251" s="24"/>
      <c r="AD251" s="24"/>
      <c r="AF251" s="24"/>
      <c r="AH251" s="24"/>
      <c r="AI251" s="27"/>
      <c r="AJ251" s="39">
        <f t="shared" si="1"/>
        <v>2017.9</v>
      </c>
      <c r="AK251" s="35">
        <f t="shared" si="2"/>
        <v>146</v>
      </c>
      <c r="AL251" s="35">
        <f t="shared" si="3"/>
        <v>80</v>
      </c>
      <c r="AM251" s="35">
        <f t="shared" si="4"/>
        <v>226</v>
      </c>
      <c r="AN251" s="40">
        <f t="shared" si="5"/>
        <v>8.928761062</v>
      </c>
    </row>
    <row r="252" ht="15.75" customHeight="1">
      <c r="A252" s="32" t="s">
        <v>29</v>
      </c>
      <c r="B252" s="34">
        <f t="shared" si="6"/>
        <v>44812</v>
      </c>
      <c r="C252" s="35">
        <v>9.0</v>
      </c>
      <c r="D252" s="35" t="s">
        <v>34</v>
      </c>
      <c r="E252" s="37"/>
      <c r="F252" s="23"/>
      <c r="H252" s="24"/>
      <c r="J252" s="24"/>
      <c r="L252" s="25">
        <v>73.0</v>
      </c>
      <c r="N252" s="26">
        <v>73.0</v>
      </c>
      <c r="P252" s="24"/>
      <c r="R252" s="26">
        <v>80.0</v>
      </c>
      <c r="T252" s="24"/>
      <c r="V252" s="24"/>
      <c r="W252" s="27"/>
      <c r="X252" s="23"/>
      <c r="Z252" s="24"/>
      <c r="AB252" s="24"/>
      <c r="AD252" s="24"/>
      <c r="AF252" s="24"/>
      <c r="AH252" s="24"/>
      <c r="AI252" s="27"/>
      <c r="AJ252" s="39">
        <f t="shared" si="1"/>
        <v>2017.9</v>
      </c>
      <c r="AK252" s="35">
        <f t="shared" si="2"/>
        <v>146</v>
      </c>
      <c r="AL252" s="35">
        <f t="shared" si="3"/>
        <v>80</v>
      </c>
      <c r="AM252" s="35">
        <f t="shared" si="4"/>
        <v>226</v>
      </c>
      <c r="AN252" s="40">
        <f t="shared" si="5"/>
        <v>8.928761062</v>
      </c>
    </row>
    <row r="253" ht="15.75" customHeight="1">
      <c r="A253" s="32" t="s">
        <v>30</v>
      </c>
      <c r="B253" s="34">
        <f t="shared" si="6"/>
        <v>44813</v>
      </c>
      <c r="C253" s="35">
        <v>9.0</v>
      </c>
      <c r="D253" s="35" t="s">
        <v>34</v>
      </c>
      <c r="E253" s="37"/>
      <c r="F253" s="23"/>
      <c r="H253" s="24"/>
      <c r="J253" s="24"/>
      <c r="L253" s="25">
        <v>73.0</v>
      </c>
      <c r="N253" s="26">
        <v>73.0</v>
      </c>
      <c r="P253" s="24"/>
      <c r="R253" s="26">
        <v>80.0</v>
      </c>
      <c r="T253" s="24"/>
      <c r="V253" s="24"/>
      <c r="W253" s="27"/>
      <c r="X253" s="23"/>
      <c r="Z253" s="24"/>
      <c r="AB253" s="24"/>
      <c r="AD253" s="24"/>
      <c r="AF253" s="24"/>
      <c r="AH253" s="24"/>
      <c r="AI253" s="27"/>
      <c r="AJ253" s="39">
        <f t="shared" si="1"/>
        <v>2017.9</v>
      </c>
      <c r="AK253" s="35">
        <f t="shared" si="2"/>
        <v>146</v>
      </c>
      <c r="AL253" s="35">
        <f t="shared" si="3"/>
        <v>80</v>
      </c>
      <c r="AM253" s="35">
        <f t="shared" si="4"/>
        <v>226</v>
      </c>
      <c r="AN253" s="40">
        <f t="shared" si="5"/>
        <v>8.928761062</v>
      </c>
    </row>
    <row r="254" ht="15.75" customHeight="1">
      <c r="A254" s="48" t="s">
        <v>31</v>
      </c>
      <c r="B254" s="50">
        <f t="shared" si="6"/>
        <v>44814</v>
      </c>
      <c r="C254" s="51">
        <v>9.0</v>
      </c>
      <c r="D254" s="51" t="s">
        <v>34</v>
      </c>
      <c r="E254" s="53"/>
      <c r="F254" s="54"/>
      <c r="G254" s="56"/>
      <c r="H254" s="57"/>
      <c r="I254" s="56"/>
      <c r="J254" s="57"/>
      <c r="K254" s="56"/>
      <c r="L254" s="58">
        <v>73.0</v>
      </c>
      <c r="M254" s="56"/>
      <c r="N254" s="59">
        <v>73.0</v>
      </c>
      <c r="O254" s="56"/>
      <c r="P254" s="57"/>
      <c r="Q254" s="56"/>
      <c r="R254" s="59"/>
      <c r="S254" s="56"/>
      <c r="T254" s="57"/>
      <c r="U254" s="56"/>
      <c r="V254" s="57"/>
      <c r="W254" s="60"/>
      <c r="X254" s="54"/>
      <c r="Y254" s="56"/>
      <c r="Z254" s="57"/>
      <c r="AA254" s="56"/>
      <c r="AB254" s="57"/>
      <c r="AC254" s="56"/>
      <c r="AD254" s="57"/>
      <c r="AE254" s="56"/>
      <c r="AF254" s="57"/>
      <c r="AG254" s="56"/>
      <c r="AH254" s="57"/>
      <c r="AI254" s="60"/>
      <c r="AJ254" s="61">
        <f t="shared" si="1"/>
        <v>1657.1</v>
      </c>
      <c r="AK254" s="51">
        <f t="shared" si="2"/>
        <v>146</v>
      </c>
      <c r="AL254" s="51" t="str">
        <f t="shared" si="3"/>
        <v/>
      </c>
      <c r="AM254" s="51">
        <f t="shared" si="4"/>
        <v>146</v>
      </c>
      <c r="AN254" s="63">
        <f t="shared" si="5"/>
        <v>11.35</v>
      </c>
    </row>
    <row r="255" ht="15.75" customHeight="1">
      <c r="A255" s="18" t="s">
        <v>20</v>
      </c>
      <c r="B255" s="64">
        <f t="shared" si="6"/>
        <v>44815</v>
      </c>
      <c r="C255" s="20">
        <v>10.0</v>
      </c>
      <c r="D255" s="20" t="s">
        <v>21</v>
      </c>
      <c r="E255" s="22"/>
      <c r="F255" s="23"/>
      <c r="H255" s="24"/>
      <c r="J255" s="24"/>
      <c r="L255" s="25">
        <v>73.0</v>
      </c>
      <c r="N255" s="26">
        <v>73.0</v>
      </c>
      <c r="P255" s="24"/>
      <c r="R255" s="26">
        <v>80.0</v>
      </c>
      <c r="T255" s="24"/>
      <c r="V255" s="24"/>
      <c r="W255" s="27"/>
      <c r="X255" s="23"/>
      <c r="Z255" s="24"/>
      <c r="AB255" s="24"/>
      <c r="AD255" s="24"/>
      <c r="AF255" s="24"/>
      <c r="AH255" s="24"/>
      <c r="AI255" s="27"/>
      <c r="AJ255" s="28">
        <f t="shared" si="1"/>
        <v>2017.9</v>
      </c>
      <c r="AK255" s="20">
        <f t="shared" si="2"/>
        <v>146</v>
      </c>
      <c r="AL255" s="20">
        <f t="shared" si="3"/>
        <v>80</v>
      </c>
      <c r="AM255" s="20">
        <f t="shared" si="4"/>
        <v>226</v>
      </c>
      <c r="AN255" s="31">
        <f t="shared" si="5"/>
        <v>8.928761062</v>
      </c>
    </row>
    <row r="256" ht="15.75" customHeight="1">
      <c r="A256" s="32" t="s">
        <v>22</v>
      </c>
      <c r="B256" s="34">
        <f t="shared" si="6"/>
        <v>44816</v>
      </c>
      <c r="C256" s="35">
        <v>10.0</v>
      </c>
      <c r="D256" s="35" t="s">
        <v>21</v>
      </c>
      <c r="E256" s="37"/>
      <c r="F256" s="23"/>
      <c r="H256" s="24"/>
      <c r="J256" s="24"/>
      <c r="L256" s="25">
        <v>73.0</v>
      </c>
      <c r="N256" s="26">
        <v>73.0</v>
      </c>
      <c r="P256" s="24"/>
      <c r="R256" s="26">
        <v>80.0</v>
      </c>
      <c r="T256" s="24"/>
      <c r="V256" s="24"/>
      <c r="W256" s="27"/>
      <c r="X256" s="23"/>
      <c r="Z256" s="24"/>
      <c r="AB256" s="24"/>
      <c r="AD256" s="24"/>
      <c r="AF256" s="24"/>
      <c r="AH256" s="24"/>
      <c r="AI256" s="27"/>
      <c r="AJ256" s="39">
        <f t="shared" si="1"/>
        <v>2017.9</v>
      </c>
      <c r="AK256" s="35">
        <f t="shared" si="2"/>
        <v>146</v>
      </c>
      <c r="AL256" s="35">
        <f t="shared" si="3"/>
        <v>80</v>
      </c>
      <c r="AM256" s="35">
        <f t="shared" si="4"/>
        <v>226</v>
      </c>
      <c r="AN256" s="40">
        <f t="shared" si="5"/>
        <v>8.928761062</v>
      </c>
    </row>
    <row r="257" ht="15.75" customHeight="1">
      <c r="A257" s="32" t="s">
        <v>24</v>
      </c>
      <c r="B257" s="34">
        <f t="shared" si="6"/>
        <v>44817</v>
      </c>
      <c r="C257" s="35">
        <v>10.0</v>
      </c>
      <c r="D257" s="35" t="s">
        <v>21</v>
      </c>
      <c r="E257" s="37"/>
      <c r="F257" s="23"/>
      <c r="H257" s="24"/>
      <c r="J257" s="24"/>
      <c r="L257" s="25">
        <v>73.0</v>
      </c>
      <c r="N257" s="26">
        <v>73.0</v>
      </c>
      <c r="P257" s="24"/>
      <c r="R257" s="26">
        <v>80.0</v>
      </c>
      <c r="T257" s="24"/>
      <c r="V257" s="24"/>
      <c r="W257" s="27"/>
      <c r="X257" s="23"/>
      <c r="Z257" s="24"/>
      <c r="AB257" s="24"/>
      <c r="AD257" s="24"/>
      <c r="AF257" s="24"/>
      <c r="AH257" s="24"/>
      <c r="AI257" s="27"/>
      <c r="AJ257" s="39">
        <f t="shared" si="1"/>
        <v>2017.9</v>
      </c>
      <c r="AK257" s="35">
        <f t="shared" si="2"/>
        <v>146</v>
      </c>
      <c r="AL257" s="35">
        <f t="shared" si="3"/>
        <v>80</v>
      </c>
      <c r="AM257" s="35">
        <f t="shared" si="4"/>
        <v>226</v>
      </c>
      <c r="AN257" s="40">
        <f t="shared" si="5"/>
        <v>8.928761062</v>
      </c>
    </row>
    <row r="258" ht="15.75" customHeight="1">
      <c r="A258" s="32" t="s">
        <v>28</v>
      </c>
      <c r="B258" s="34">
        <f t="shared" si="6"/>
        <v>44818</v>
      </c>
      <c r="C258" s="35">
        <v>10.0</v>
      </c>
      <c r="D258" s="35" t="s">
        <v>21</v>
      </c>
      <c r="E258" s="37"/>
      <c r="F258" s="23"/>
      <c r="H258" s="24"/>
      <c r="J258" s="24"/>
      <c r="L258" s="25">
        <v>73.0</v>
      </c>
      <c r="N258" s="26">
        <v>73.0</v>
      </c>
      <c r="P258" s="24"/>
      <c r="R258" s="26">
        <v>80.0</v>
      </c>
      <c r="T258" s="24"/>
      <c r="V258" s="24"/>
      <c r="W258" s="27"/>
      <c r="X258" s="23"/>
      <c r="Z258" s="24"/>
      <c r="AB258" s="24"/>
      <c r="AD258" s="24"/>
      <c r="AF258" s="24"/>
      <c r="AH258" s="24"/>
      <c r="AI258" s="27"/>
      <c r="AJ258" s="39">
        <f t="shared" si="1"/>
        <v>2017.9</v>
      </c>
      <c r="AK258" s="35">
        <f t="shared" si="2"/>
        <v>146</v>
      </c>
      <c r="AL258" s="35">
        <f t="shared" si="3"/>
        <v>80</v>
      </c>
      <c r="AM258" s="35">
        <f t="shared" si="4"/>
        <v>226</v>
      </c>
      <c r="AN258" s="40">
        <f t="shared" si="5"/>
        <v>8.928761062</v>
      </c>
    </row>
    <row r="259" ht="15.75" customHeight="1">
      <c r="A259" s="32" t="s">
        <v>29</v>
      </c>
      <c r="B259" s="34">
        <f t="shared" si="6"/>
        <v>44819</v>
      </c>
      <c r="C259" s="35">
        <v>10.0</v>
      </c>
      <c r="D259" s="35" t="s">
        <v>21</v>
      </c>
      <c r="E259" s="37"/>
      <c r="F259" s="23"/>
      <c r="H259" s="24"/>
      <c r="J259" s="24"/>
      <c r="L259" s="25">
        <v>73.0</v>
      </c>
      <c r="N259" s="26">
        <v>73.0</v>
      </c>
      <c r="P259" s="24"/>
      <c r="R259" s="26">
        <v>80.0</v>
      </c>
      <c r="T259" s="24"/>
      <c r="V259" s="24"/>
      <c r="W259" s="27"/>
      <c r="X259" s="23"/>
      <c r="Z259" s="24"/>
      <c r="AB259" s="24"/>
      <c r="AD259" s="24"/>
      <c r="AF259" s="24"/>
      <c r="AH259" s="24"/>
      <c r="AI259" s="27"/>
      <c r="AJ259" s="39">
        <f t="shared" si="1"/>
        <v>2017.9</v>
      </c>
      <c r="AK259" s="35">
        <f t="shared" si="2"/>
        <v>146</v>
      </c>
      <c r="AL259" s="35">
        <f t="shared" si="3"/>
        <v>80</v>
      </c>
      <c r="AM259" s="35">
        <f t="shared" si="4"/>
        <v>226</v>
      </c>
      <c r="AN259" s="40">
        <f t="shared" si="5"/>
        <v>8.928761062</v>
      </c>
    </row>
    <row r="260" ht="15.75" customHeight="1">
      <c r="A260" s="32" t="s">
        <v>30</v>
      </c>
      <c r="B260" s="34">
        <f t="shared" si="6"/>
        <v>44820</v>
      </c>
      <c r="C260" s="35">
        <v>10.0</v>
      </c>
      <c r="D260" s="35" t="s">
        <v>21</v>
      </c>
      <c r="E260" s="37"/>
      <c r="F260" s="23"/>
      <c r="H260" s="24"/>
      <c r="J260" s="24"/>
      <c r="L260" s="25">
        <v>73.0</v>
      </c>
      <c r="N260" s="26">
        <v>73.0</v>
      </c>
      <c r="P260" s="24"/>
      <c r="R260" s="26">
        <v>80.0</v>
      </c>
      <c r="T260" s="24"/>
      <c r="V260" s="24"/>
      <c r="W260" s="27"/>
      <c r="X260" s="23"/>
      <c r="Z260" s="24"/>
      <c r="AB260" s="24"/>
      <c r="AD260" s="24"/>
      <c r="AF260" s="24"/>
      <c r="AH260" s="24"/>
      <c r="AI260" s="27"/>
      <c r="AJ260" s="39">
        <f t="shared" si="1"/>
        <v>2017.9</v>
      </c>
      <c r="AK260" s="35">
        <f t="shared" si="2"/>
        <v>146</v>
      </c>
      <c r="AL260" s="35">
        <f t="shared" si="3"/>
        <v>80</v>
      </c>
      <c r="AM260" s="35">
        <f t="shared" si="4"/>
        <v>226</v>
      </c>
      <c r="AN260" s="40">
        <f t="shared" si="5"/>
        <v>8.928761062</v>
      </c>
    </row>
    <row r="261" ht="15.75" customHeight="1">
      <c r="A261" s="48" t="s">
        <v>31</v>
      </c>
      <c r="B261" s="50">
        <f t="shared" si="6"/>
        <v>44821</v>
      </c>
      <c r="C261" s="51">
        <v>10.0</v>
      </c>
      <c r="D261" s="51" t="s">
        <v>21</v>
      </c>
      <c r="E261" s="53"/>
      <c r="F261" s="54"/>
      <c r="G261" s="56"/>
      <c r="H261" s="57"/>
      <c r="I261" s="56"/>
      <c r="J261" s="57"/>
      <c r="K261" s="56"/>
      <c r="L261" s="58">
        <v>73.0</v>
      </c>
      <c r="M261" s="56"/>
      <c r="N261" s="59">
        <v>73.0</v>
      </c>
      <c r="O261" s="56"/>
      <c r="P261" s="57"/>
      <c r="Q261" s="56"/>
      <c r="R261" s="59">
        <v>0.0</v>
      </c>
      <c r="S261" s="56"/>
      <c r="T261" s="57"/>
      <c r="U261" s="56"/>
      <c r="V261" s="57"/>
      <c r="W261" s="60"/>
      <c r="X261" s="54"/>
      <c r="Y261" s="56"/>
      <c r="Z261" s="57"/>
      <c r="AA261" s="56"/>
      <c r="AB261" s="57"/>
      <c r="AC261" s="56"/>
      <c r="AD261" s="57"/>
      <c r="AE261" s="56"/>
      <c r="AF261" s="57"/>
      <c r="AG261" s="56"/>
      <c r="AH261" s="57"/>
      <c r="AI261" s="60"/>
      <c r="AJ261" s="61">
        <f t="shared" si="1"/>
        <v>1657.1</v>
      </c>
      <c r="AK261" s="51">
        <f t="shared" si="2"/>
        <v>146</v>
      </c>
      <c r="AL261" s="51">
        <f t="shared" si="3"/>
        <v>0</v>
      </c>
      <c r="AM261" s="51">
        <f t="shared" si="4"/>
        <v>146</v>
      </c>
      <c r="AN261" s="63">
        <f t="shared" si="5"/>
        <v>11.35</v>
      </c>
    </row>
    <row r="262" ht="15.75" customHeight="1">
      <c r="A262" s="18" t="s">
        <v>20</v>
      </c>
      <c r="B262" s="64">
        <f t="shared" si="6"/>
        <v>44822</v>
      </c>
      <c r="C262" s="20">
        <v>10.0</v>
      </c>
      <c r="D262" s="20" t="s">
        <v>32</v>
      </c>
      <c r="E262" s="22"/>
      <c r="F262" s="23"/>
      <c r="H262" s="24"/>
      <c r="J262" s="24"/>
      <c r="L262" s="25">
        <v>73.0</v>
      </c>
      <c r="N262" s="26">
        <v>73.0</v>
      </c>
      <c r="P262" s="24"/>
      <c r="R262" s="26">
        <v>0.0</v>
      </c>
      <c r="T262" s="24"/>
      <c r="V262" s="24"/>
      <c r="W262" s="27"/>
      <c r="X262" s="23"/>
      <c r="Z262" s="24"/>
      <c r="AB262" s="24"/>
      <c r="AD262" s="24"/>
      <c r="AF262" s="24"/>
      <c r="AH262" s="24"/>
      <c r="AI262" s="27"/>
      <c r="AJ262" s="28">
        <f t="shared" si="1"/>
        <v>1657.1</v>
      </c>
      <c r="AK262" s="20">
        <f t="shared" si="2"/>
        <v>146</v>
      </c>
      <c r="AL262" s="20">
        <f t="shared" si="3"/>
        <v>0</v>
      </c>
      <c r="AM262" s="20">
        <f t="shared" si="4"/>
        <v>146</v>
      </c>
      <c r="AN262" s="31">
        <f t="shared" si="5"/>
        <v>11.35</v>
      </c>
    </row>
    <row r="263" ht="15.75" customHeight="1">
      <c r="A263" s="32" t="s">
        <v>22</v>
      </c>
      <c r="B263" s="34">
        <f t="shared" si="6"/>
        <v>44823</v>
      </c>
      <c r="C263" s="35">
        <v>10.0</v>
      </c>
      <c r="D263" s="35" t="s">
        <v>32</v>
      </c>
      <c r="E263" s="37"/>
      <c r="F263" s="23"/>
      <c r="H263" s="24"/>
      <c r="J263" s="24"/>
      <c r="L263" s="25">
        <v>73.0</v>
      </c>
      <c r="N263" s="26">
        <v>73.0</v>
      </c>
      <c r="P263" s="24"/>
      <c r="R263" s="26">
        <v>0.0</v>
      </c>
      <c r="T263" s="24"/>
      <c r="V263" s="24"/>
      <c r="W263" s="27"/>
      <c r="X263" s="23"/>
      <c r="Z263" s="24"/>
      <c r="AB263" s="24"/>
      <c r="AD263" s="24"/>
      <c r="AF263" s="24"/>
      <c r="AH263" s="24"/>
      <c r="AI263" s="27"/>
      <c r="AJ263" s="39">
        <f t="shared" si="1"/>
        <v>1657.1</v>
      </c>
      <c r="AK263" s="35">
        <f t="shared" si="2"/>
        <v>146</v>
      </c>
      <c r="AL263" s="35">
        <f t="shared" si="3"/>
        <v>0</v>
      </c>
      <c r="AM263" s="35">
        <f t="shared" si="4"/>
        <v>146</v>
      </c>
      <c r="AN263" s="40">
        <f t="shared" si="5"/>
        <v>11.35</v>
      </c>
    </row>
    <row r="264" ht="15.75" customHeight="1">
      <c r="A264" s="32" t="s">
        <v>24</v>
      </c>
      <c r="B264" s="34">
        <f t="shared" si="6"/>
        <v>44824</v>
      </c>
      <c r="C264" s="35">
        <v>10.0</v>
      </c>
      <c r="D264" s="35" t="s">
        <v>32</v>
      </c>
      <c r="E264" s="37"/>
      <c r="F264" s="23"/>
      <c r="H264" s="24"/>
      <c r="J264" s="24"/>
      <c r="L264" s="25">
        <v>73.0</v>
      </c>
      <c r="N264" s="26">
        <v>73.0</v>
      </c>
      <c r="P264" s="24"/>
      <c r="R264" s="26">
        <v>0.0</v>
      </c>
      <c r="T264" s="24"/>
      <c r="V264" s="24"/>
      <c r="W264" s="27"/>
      <c r="X264" s="23"/>
      <c r="Z264" s="24"/>
      <c r="AB264" s="24"/>
      <c r="AD264" s="24"/>
      <c r="AF264" s="24"/>
      <c r="AH264" s="24"/>
      <c r="AI264" s="27"/>
      <c r="AJ264" s="39">
        <f t="shared" si="1"/>
        <v>1657.1</v>
      </c>
      <c r="AK264" s="35">
        <f t="shared" si="2"/>
        <v>146</v>
      </c>
      <c r="AL264" s="35">
        <f t="shared" si="3"/>
        <v>0</v>
      </c>
      <c r="AM264" s="35">
        <f t="shared" si="4"/>
        <v>146</v>
      </c>
      <c r="AN264" s="40">
        <f t="shared" si="5"/>
        <v>11.35</v>
      </c>
    </row>
    <row r="265" ht="15.75" customHeight="1">
      <c r="A265" s="32" t="s">
        <v>28</v>
      </c>
      <c r="B265" s="34">
        <f t="shared" si="6"/>
        <v>44825</v>
      </c>
      <c r="C265" s="35">
        <v>10.0</v>
      </c>
      <c r="D265" s="35" t="s">
        <v>32</v>
      </c>
      <c r="E265" s="37"/>
      <c r="F265" s="23"/>
      <c r="H265" s="24"/>
      <c r="J265" s="24"/>
      <c r="L265" s="25">
        <v>73.0</v>
      </c>
      <c r="N265" s="26">
        <v>73.0</v>
      </c>
      <c r="P265" s="24"/>
      <c r="R265" s="26">
        <v>0.0</v>
      </c>
      <c r="T265" s="24"/>
      <c r="V265" s="24"/>
      <c r="W265" s="27"/>
      <c r="X265" s="23"/>
      <c r="Z265" s="24"/>
      <c r="AB265" s="24"/>
      <c r="AD265" s="24"/>
      <c r="AF265" s="24"/>
      <c r="AH265" s="24"/>
      <c r="AI265" s="27"/>
      <c r="AJ265" s="39">
        <f t="shared" si="1"/>
        <v>1657.1</v>
      </c>
      <c r="AK265" s="35">
        <f t="shared" si="2"/>
        <v>146</v>
      </c>
      <c r="AL265" s="35">
        <f t="shared" si="3"/>
        <v>0</v>
      </c>
      <c r="AM265" s="35">
        <f t="shared" si="4"/>
        <v>146</v>
      </c>
      <c r="AN265" s="40">
        <f t="shared" si="5"/>
        <v>11.35</v>
      </c>
    </row>
    <row r="266" ht="15.75" customHeight="1">
      <c r="A266" s="32" t="s">
        <v>29</v>
      </c>
      <c r="B266" s="34">
        <f t="shared" si="6"/>
        <v>44826</v>
      </c>
      <c r="C266" s="35">
        <v>10.0</v>
      </c>
      <c r="D266" s="35" t="s">
        <v>32</v>
      </c>
      <c r="E266" s="37"/>
      <c r="F266" s="23"/>
      <c r="H266" s="24"/>
      <c r="J266" s="24"/>
      <c r="L266" s="25">
        <v>73.0</v>
      </c>
      <c r="N266" s="26">
        <v>73.0</v>
      </c>
      <c r="P266" s="24"/>
      <c r="R266" s="26">
        <v>0.0</v>
      </c>
      <c r="T266" s="24"/>
      <c r="V266" s="24"/>
      <c r="W266" s="27"/>
      <c r="X266" s="23"/>
      <c r="Z266" s="24"/>
      <c r="AB266" s="24"/>
      <c r="AD266" s="24"/>
      <c r="AF266" s="24"/>
      <c r="AH266" s="24"/>
      <c r="AI266" s="27"/>
      <c r="AJ266" s="39">
        <f t="shared" si="1"/>
        <v>1657.1</v>
      </c>
      <c r="AK266" s="35">
        <f t="shared" si="2"/>
        <v>146</v>
      </c>
      <c r="AL266" s="35">
        <f t="shared" si="3"/>
        <v>0</v>
      </c>
      <c r="AM266" s="35">
        <f t="shared" si="4"/>
        <v>146</v>
      </c>
      <c r="AN266" s="40">
        <f t="shared" si="5"/>
        <v>11.35</v>
      </c>
    </row>
    <row r="267" ht="15.75" customHeight="1">
      <c r="A267" s="32" t="s">
        <v>30</v>
      </c>
      <c r="B267" s="34">
        <f t="shared" si="6"/>
        <v>44827</v>
      </c>
      <c r="C267" s="35">
        <v>10.0</v>
      </c>
      <c r="D267" s="35" t="s">
        <v>32</v>
      </c>
      <c r="E267" s="37"/>
      <c r="F267" s="23"/>
      <c r="H267" s="24"/>
      <c r="J267" s="24"/>
      <c r="L267" s="25">
        <v>73.0</v>
      </c>
      <c r="N267" s="26">
        <v>73.0</v>
      </c>
      <c r="P267" s="24"/>
      <c r="R267" s="26">
        <v>0.0</v>
      </c>
      <c r="T267" s="24"/>
      <c r="V267" s="24"/>
      <c r="W267" s="27"/>
      <c r="X267" s="23"/>
      <c r="Z267" s="24"/>
      <c r="AB267" s="24"/>
      <c r="AD267" s="24"/>
      <c r="AF267" s="24"/>
      <c r="AH267" s="24"/>
      <c r="AI267" s="27"/>
      <c r="AJ267" s="39">
        <f t="shared" si="1"/>
        <v>1657.1</v>
      </c>
      <c r="AK267" s="35">
        <f t="shared" si="2"/>
        <v>146</v>
      </c>
      <c r="AL267" s="35">
        <f t="shared" si="3"/>
        <v>0</v>
      </c>
      <c r="AM267" s="35">
        <f t="shared" si="4"/>
        <v>146</v>
      </c>
      <c r="AN267" s="40">
        <f t="shared" si="5"/>
        <v>11.35</v>
      </c>
    </row>
    <row r="268" ht="15.75" customHeight="1">
      <c r="A268" s="48" t="s">
        <v>31</v>
      </c>
      <c r="B268" s="50">
        <f t="shared" si="6"/>
        <v>44828</v>
      </c>
      <c r="C268" s="51">
        <v>10.0</v>
      </c>
      <c r="D268" s="51" t="s">
        <v>32</v>
      </c>
      <c r="E268" s="53"/>
      <c r="F268" s="54"/>
      <c r="G268" s="56"/>
      <c r="H268" s="57"/>
      <c r="I268" s="56"/>
      <c r="J268" s="57"/>
      <c r="K268" s="56"/>
      <c r="L268" s="58">
        <v>73.0</v>
      </c>
      <c r="M268" s="56"/>
      <c r="N268" s="59">
        <v>73.0</v>
      </c>
      <c r="O268" s="56"/>
      <c r="P268" s="57"/>
      <c r="Q268" s="56"/>
      <c r="R268" s="59">
        <v>0.0</v>
      </c>
      <c r="S268" s="56"/>
      <c r="T268" s="57"/>
      <c r="U268" s="56"/>
      <c r="V268" s="57"/>
      <c r="W268" s="60"/>
      <c r="X268" s="54"/>
      <c r="Y268" s="56"/>
      <c r="Z268" s="57"/>
      <c r="AA268" s="56"/>
      <c r="AB268" s="57"/>
      <c r="AC268" s="56"/>
      <c r="AD268" s="57"/>
      <c r="AE268" s="56"/>
      <c r="AF268" s="57"/>
      <c r="AG268" s="56"/>
      <c r="AH268" s="57"/>
      <c r="AI268" s="60"/>
      <c r="AJ268" s="61">
        <f t="shared" si="1"/>
        <v>1657.1</v>
      </c>
      <c r="AK268" s="51">
        <f t="shared" si="2"/>
        <v>146</v>
      </c>
      <c r="AL268" s="51">
        <f t="shared" si="3"/>
        <v>0</v>
      </c>
      <c r="AM268" s="51">
        <f t="shared" si="4"/>
        <v>146</v>
      </c>
      <c r="AN268" s="63">
        <f t="shared" si="5"/>
        <v>11.35</v>
      </c>
    </row>
    <row r="269" ht="15.75" customHeight="1">
      <c r="A269" s="18" t="s">
        <v>20</v>
      </c>
      <c r="B269" s="64">
        <f t="shared" si="6"/>
        <v>44829</v>
      </c>
      <c r="C269" s="20">
        <v>10.0</v>
      </c>
      <c r="D269" s="20" t="s">
        <v>33</v>
      </c>
      <c r="E269" s="22"/>
      <c r="F269" s="23"/>
      <c r="H269" s="24"/>
      <c r="J269" s="24"/>
      <c r="L269" s="25">
        <v>73.0</v>
      </c>
      <c r="N269" s="26">
        <v>73.0</v>
      </c>
      <c r="P269" s="24"/>
      <c r="R269" s="26">
        <v>45.0</v>
      </c>
      <c r="T269" s="24"/>
      <c r="V269" s="24"/>
      <c r="W269" s="27"/>
      <c r="X269" s="23"/>
      <c r="Z269" s="24"/>
      <c r="AB269" s="24"/>
      <c r="AD269" s="24"/>
      <c r="AF269" s="24"/>
      <c r="AH269" s="24"/>
      <c r="AI269" s="27"/>
      <c r="AJ269" s="28">
        <f t="shared" si="1"/>
        <v>1860.05</v>
      </c>
      <c r="AK269" s="20">
        <f t="shared" si="2"/>
        <v>146</v>
      </c>
      <c r="AL269" s="20">
        <f t="shared" si="3"/>
        <v>45</v>
      </c>
      <c r="AM269" s="20">
        <f t="shared" si="4"/>
        <v>191</v>
      </c>
      <c r="AN269" s="31">
        <f t="shared" si="5"/>
        <v>9.738481675</v>
      </c>
    </row>
    <row r="270" ht="15.75" customHeight="1">
      <c r="A270" s="32" t="s">
        <v>22</v>
      </c>
      <c r="B270" s="34">
        <f t="shared" si="6"/>
        <v>44830</v>
      </c>
      <c r="C270" s="35">
        <v>10.0</v>
      </c>
      <c r="D270" s="35" t="s">
        <v>33</v>
      </c>
      <c r="E270" s="37"/>
      <c r="F270" s="23"/>
      <c r="H270" s="24"/>
      <c r="J270" s="24"/>
      <c r="L270" s="25">
        <v>73.0</v>
      </c>
      <c r="N270" s="26">
        <v>73.0</v>
      </c>
      <c r="P270" s="24"/>
      <c r="R270" s="26">
        <v>45.0</v>
      </c>
      <c r="T270" s="24"/>
      <c r="V270" s="24"/>
      <c r="W270" s="27"/>
      <c r="X270" s="23"/>
      <c r="Z270" s="24"/>
      <c r="AB270" s="24"/>
      <c r="AD270" s="24"/>
      <c r="AF270" s="24"/>
      <c r="AH270" s="24"/>
      <c r="AI270" s="27"/>
      <c r="AJ270" s="39">
        <f t="shared" si="1"/>
        <v>1860.05</v>
      </c>
      <c r="AK270" s="35">
        <f t="shared" si="2"/>
        <v>146</v>
      </c>
      <c r="AL270" s="35">
        <f t="shared" si="3"/>
        <v>45</v>
      </c>
      <c r="AM270" s="35">
        <f t="shared" si="4"/>
        <v>191</v>
      </c>
      <c r="AN270" s="40">
        <f t="shared" si="5"/>
        <v>9.738481675</v>
      </c>
    </row>
    <row r="271" ht="15.75" customHeight="1">
      <c r="A271" s="32" t="s">
        <v>24</v>
      </c>
      <c r="B271" s="34">
        <f t="shared" si="6"/>
        <v>44831</v>
      </c>
      <c r="C271" s="35">
        <v>10.0</v>
      </c>
      <c r="D271" s="35" t="s">
        <v>33</v>
      </c>
      <c r="E271" s="37"/>
      <c r="F271" s="23"/>
      <c r="H271" s="24"/>
      <c r="J271" s="24"/>
      <c r="L271" s="25">
        <v>73.0</v>
      </c>
      <c r="N271" s="26">
        <v>73.0</v>
      </c>
      <c r="P271" s="24"/>
      <c r="R271" s="26">
        <v>45.0</v>
      </c>
      <c r="T271" s="24"/>
      <c r="V271" s="24"/>
      <c r="W271" s="27"/>
      <c r="X271" s="23"/>
      <c r="Z271" s="24"/>
      <c r="AB271" s="24"/>
      <c r="AD271" s="24"/>
      <c r="AF271" s="24"/>
      <c r="AH271" s="24"/>
      <c r="AI271" s="27"/>
      <c r="AJ271" s="39">
        <f t="shared" si="1"/>
        <v>1860.05</v>
      </c>
      <c r="AK271" s="35">
        <f t="shared" si="2"/>
        <v>146</v>
      </c>
      <c r="AL271" s="35">
        <f t="shared" si="3"/>
        <v>45</v>
      </c>
      <c r="AM271" s="35">
        <f t="shared" si="4"/>
        <v>191</v>
      </c>
      <c r="AN271" s="40">
        <f t="shared" si="5"/>
        <v>9.738481675</v>
      </c>
    </row>
    <row r="272" ht="15.75" customHeight="1">
      <c r="A272" s="32" t="s">
        <v>28</v>
      </c>
      <c r="B272" s="34">
        <f t="shared" si="6"/>
        <v>44832</v>
      </c>
      <c r="C272" s="35">
        <v>10.0</v>
      </c>
      <c r="D272" s="35" t="s">
        <v>33</v>
      </c>
      <c r="E272" s="37"/>
      <c r="F272" s="23"/>
      <c r="H272" s="24"/>
      <c r="J272" s="24"/>
      <c r="L272" s="25">
        <v>73.0</v>
      </c>
      <c r="N272" s="26">
        <v>73.0</v>
      </c>
      <c r="P272" s="24"/>
      <c r="R272" s="26">
        <v>45.0</v>
      </c>
      <c r="T272" s="24"/>
      <c r="V272" s="24"/>
      <c r="W272" s="27"/>
      <c r="X272" s="23"/>
      <c r="Z272" s="24"/>
      <c r="AB272" s="24"/>
      <c r="AD272" s="24"/>
      <c r="AF272" s="24"/>
      <c r="AH272" s="24"/>
      <c r="AI272" s="27"/>
      <c r="AJ272" s="39">
        <f t="shared" si="1"/>
        <v>1860.05</v>
      </c>
      <c r="AK272" s="35">
        <f t="shared" si="2"/>
        <v>146</v>
      </c>
      <c r="AL272" s="35">
        <f t="shared" si="3"/>
        <v>45</v>
      </c>
      <c r="AM272" s="35">
        <f t="shared" si="4"/>
        <v>191</v>
      </c>
      <c r="AN272" s="40">
        <f t="shared" si="5"/>
        <v>9.738481675</v>
      </c>
    </row>
    <row r="273" ht="15.75" customHeight="1">
      <c r="A273" s="32" t="s">
        <v>29</v>
      </c>
      <c r="B273" s="34">
        <f t="shared" si="6"/>
        <v>44833</v>
      </c>
      <c r="C273" s="35">
        <v>10.0</v>
      </c>
      <c r="D273" s="35" t="s">
        <v>33</v>
      </c>
      <c r="E273" s="37"/>
      <c r="F273" s="23"/>
      <c r="H273" s="24"/>
      <c r="J273" s="24"/>
      <c r="L273" s="25">
        <v>73.0</v>
      </c>
      <c r="N273" s="26">
        <v>73.0</v>
      </c>
      <c r="P273" s="24"/>
      <c r="R273" s="26">
        <v>45.0</v>
      </c>
      <c r="T273" s="24"/>
      <c r="V273" s="24"/>
      <c r="W273" s="27"/>
      <c r="X273" s="23"/>
      <c r="Z273" s="24"/>
      <c r="AB273" s="24"/>
      <c r="AD273" s="24"/>
      <c r="AF273" s="24"/>
      <c r="AH273" s="24"/>
      <c r="AI273" s="27"/>
      <c r="AJ273" s="39">
        <f t="shared" si="1"/>
        <v>1860.05</v>
      </c>
      <c r="AK273" s="35">
        <f t="shared" si="2"/>
        <v>146</v>
      </c>
      <c r="AL273" s="35">
        <f t="shared" si="3"/>
        <v>45</v>
      </c>
      <c r="AM273" s="35">
        <f t="shared" si="4"/>
        <v>191</v>
      </c>
      <c r="AN273" s="40">
        <f t="shared" si="5"/>
        <v>9.738481675</v>
      </c>
    </row>
    <row r="274" ht="15.75" customHeight="1">
      <c r="A274" s="32" t="s">
        <v>30</v>
      </c>
      <c r="B274" s="34">
        <f t="shared" si="6"/>
        <v>44834</v>
      </c>
      <c r="C274" s="35">
        <v>10.0</v>
      </c>
      <c r="D274" s="35" t="s">
        <v>33</v>
      </c>
      <c r="E274" s="37"/>
      <c r="F274" s="23"/>
      <c r="H274" s="24"/>
      <c r="J274" s="24"/>
      <c r="L274" s="25">
        <v>73.0</v>
      </c>
      <c r="N274" s="26">
        <v>73.0</v>
      </c>
      <c r="P274" s="24"/>
      <c r="R274" s="26">
        <v>45.0</v>
      </c>
      <c r="T274" s="24"/>
      <c r="V274" s="24"/>
      <c r="W274" s="27"/>
      <c r="X274" s="23"/>
      <c r="Z274" s="24"/>
      <c r="AB274" s="24"/>
      <c r="AD274" s="24"/>
      <c r="AF274" s="24"/>
      <c r="AH274" s="24"/>
      <c r="AI274" s="27"/>
      <c r="AJ274" s="39">
        <f t="shared" si="1"/>
        <v>1860.05</v>
      </c>
      <c r="AK274" s="35">
        <f t="shared" si="2"/>
        <v>146</v>
      </c>
      <c r="AL274" s="35">
        <f t="shared" si="3"/>
        <v>45</v>
      </c>
      <c r="AM274" s="35">
        <f t="shared" si="4"/>
        <v>191</v>
      </c>
      <c r="AN274" s="40">
        <f t="shared" si="5"/>
        <v>9.738481675</v>
      </c>
    </row>
    <row r="275" ht="15.75" customHeight="1">
      <c r="A275" s="48" t="s">
        <v>31</v>
      </c>
      <c r="B275" s="50">
        <f t="shared" si="6"/>
        <v>44835</v>
      </c>
      <c r="C275" s="51">
        <v>10.0</v>
      </c>
      <c r="D275" s="51" t="s">
        <v>33</v>
      </c>
      <c r="E275" s="53"/>
      <c r="F275" s="54"/>
      <c r="G275" s="56"/>
      <c r="H275" s="57"/>
      <c r="I275" s="56"/>
      <c r="J275" s="57"/>
      <c r="K275" s="56"/>
      <c r="L275" s="58">
        <v>73.0</v>
      </c>
      <c r="M275" s="56"/>
      <c r="N275" s="59">
        <v>73.0</v>
      </c>
      <c r="O275" s="56"/>
      <c r="P275" s="57"/>
      <c r="Q275" s="56"/>
      <c r="R275" s="59"/>
      <c r="S275" s="56"/>
      <c r="T275" s="57"/>
      <c r="U275" s="56"/>
      <c r="V275" s="57"/>
      <c r="W275" s="60"/>
      <c r="X275" s="54"/>
      <c r="Y275" s="56"/>
      <c r="Z275" s="57"/>
      <c r="AA275" s="56"/>
      <c r="AB275" s="57"/>
      <c r="AC275" s="56"/>
      <c r="AD275" s="57"/>
      <c r="AE275" s="56"/>
      <c r="AF275" s="57"/>
      <c r="AG275" s="56"/>
      <c r="AH275" s="57"/>
      <c r="AI275" s="60"/>
      <c r="AJ275" s="61">
        <f t="shared" si="1"/>
        <v>1657.1</v>
      </c>
      <c r="AK275" s="51">
        <f t="shared" si="2"/>
        <v>146</v>
      </c>
      <c r="AL275" s="51" t="str">
        <f t="shared" si="3"/>
        <v/>
      </c>
      <c r="AM275" s="51">
        <f t="shared" si="4"/>
        <v>146</v>
      </c>
      <c r="AN275" s="63">
        <f t="shared" si="5"/>
        <v>11.35</v>
      </c>
    </row>
    <row r="276" ht="15.75" customHeight="1">
      <c r="A276" s="18" t="s">
        <v>20</v>
      </c>
      <c r="B276" s="64">
        <f t="shared" si="6"/>
        <v>44836</v>
      </c>
      <c r="C276" s="20">
        <v>10.0</v>
      </c>
      <c r="D276" s="20" t="s">
        <v>34</v>
      </c>
      <c r="E276" s="22"/>
      <c r="F276" s="23"/>
      <c r="H276" s="24"/>
      <c r="J276" s="24"/>
      <c r="L276" s="25">
        <v>73.0</v>
      </c>
      <c r="N276" s="26">
        <v>73.0</v>
      </c>
      <c r="P276" s="24"/>
      <c r="R276" s="26">
        <v>45.0</v>
      </c>
      <c r="T276" s="24"/>
      <c r="V276" s="24"/>
      <c r="W276" s="27"/>
      <c r="X276" s="23"/>
      <c r="Z276" s="24"/>
      <c r="AB276" s="24"/>
      <c r="AD276" s="24"/>
      <c r="AF276" s="24"/>
      <c r="AH276" s="24"/>
      <c r="AI276" s="27"/>
      <c r="AJ276" s="28">
        <f t="shared" si="1"/>
        <v>1860.05</v>
      </c>
      <c r="AK276" s="20">
        <f t="shared" si="2"/>
        <v>146</v>
      </c>
      <c r="AL276" s="20">
        <f t="shared" si="3"/>
        <v>45</v>
      </c>
      <c r="AM276" s="20">
        <f t="shared" si="4"/>
        <v>191</v>
      </c>
      <c r="AN276" s="31">
        <f t="shared" si="5"/>
        <v>9.738481675</v>
      </c>
    </row>
    <row r="277" ht="15.75" customHeight="1">
      <c r="A277" s="32" t="s">
        <v>22</v>
      </c>
      <c r="B277" s="34">
        <f t="shared" si="6"/>
        <v>44837</v>
      </c>
      <c r="C277" s="35">
        <v>10.0</v>
      </c>
      <c r="D277" s="35" t="s">
        <v>34</v>
      </c>
      <c r="E277" s="37"/>
      <c r="F277" s="23"/>
      <c r="H277" s="24"/>
      <c r="J277" s="24"/>
      <c r="L277" s="25">
        <v>73.0</v>
      </c>
      <c r="N277" s="26">
        <v>73.0</v>
      </c>
      <c r="P277" s="24"/>
      <c r="R277" s="26">
        <v>45.0</v>
      </c>
      <c r="T277" s="24"/>
      <c r="V277" s="24"/>
      <c r="W277" s="27"/>
      <c r="X277" s="23"/>
      <c r="Z277" s="24"/>
      <c r="AB277" s="24"/>
      <c r="AD277" s="24"/>
      <c r="AF277" s="24"/>
      <c r="AH277" s="24"/>
      <c r="AI277" s="27"/>
      <c r="AJ277" s="39">
        <f t="shared" si="1"/>
        <v>1860.05</v>
      </c>
      <c r="AK277" s="35">
        <f t="shared" si="2"/>
        <v>146</v>
      </c>
      <c r="AL277" s="35">
        <f t="shared" si="3"/>
        <v>45</v>
      </c>
      <c r="AM277" s="35">
        <f t="shared" si="4"/>
        <v>191</v>
      </c>
      <c r="AN277" s="40">
        <f t="shared" si="5"/>
        <v>9.738481675</v>
      </c>
    </row>
    <row r="278" ht="15.75" customHeight="1">
      <c r="A278" s="32" t="s">
        <v>24</v>
      </c>
      <c r="B278" s="34">
        <f t="shared" si="6"/>
        <v>44838</v>
      </c>
      <c r="C278" s="35">
        <v>10.0</v>
      </c>
      <c r="D278" s="35" t="s">
        <v>34</v>
      </c>
      <c r="E278" s="37"/>
      <c r="F278" s="23"/>
      <c r="H278" s="24"/>
      <c r="J278" s="24"/>
      <c r="L278" s="25">
        <v>73.0</v>
      </c>
      <c r="N278" s="26">
        <v>73.0</v>
      </c>
      <c r="P278" s="24"/>
      <c r="R278" s="26">
        <v>45.0</v>
      </c>
      <c r="T278" s="24"/>
      <c r="V278" s="24"/>
      <c r="W278" s="27"/>
      <c r="X278" s="23"/>
      <c r="Z278" s="24"/>
      <c r="AB278" s="24"/>
      <c r="AD278" s="24"/>
      <c r="AF278" s="24"/>
      <c r="AH278" s="24"/>
      <c r="AI278" s="27"/>
      <c r="AJ278" s="39">
        <f t="shared" si="1"/>
        <v>1860.05</v>
      </c>
      <c r="AK278" s="35">
        <f t="shared" si="2"/>
        <v>146</v>
      </c>
      <c r="AL278" s="35">
        <f t="shared" si="3"/>
        <v>45</v>
      </c>
      <c r="AM278" s="35">
        <f t="shared" si="4"/>
        <v>191</v>
      </c>
      <c r="AN278" s="40">
        <f t="shared" si="5"/>
        <v>9.738481675</v>
      </c>
    </row>
    <row r="279" ht="15.75" customHeight="1">
      <c r="A279" s="32" t="s">
        <v>28</v>
      </c>
      <c r="B279" s="34">
        <f t="shared" si="6"/>
        <v>44839</v>
      </c>
      <c r="C279" s="35">
        <v>10.0</v>
      </c>
      <c r="D279" s="35" t="s">
        <v>34</v>
      </c>
      <c r="E279" s="37"/>
      <c r="F279" s="23"/>
      <c r="H279" s="24"/>
      <c r="J279" s="24"/>
      <c r="L279" s="25">
        <v>73.0</v>
      </c>
      <c r="N279" s="26">
        <v>73.0</v>
      </c>
      <c r="P279" s="24"/>
      <c r="R279" s="26">
        <v>45.0</v>
      </c>
      <c r="T279" s="24"/>
      <c r="V279" s="24"/>
      <c r="W279" s="27"/>
      <c r="X279" s="23"/>
      <c r="Z279" s="24"/>
      <c r="AB279" s="24"/>
      <c r="AD279" s="24"/>
      <c r="AF279" s="24"/>
      <c r="AH279" s="24"/>
      <c r="AI279" s="27"/>
      <c r="AJ279" s="39">
        <f t="shared" si="1"/>
        <v>1860.05</v>
      </c>
      <c r="AK279" s="35">
        <f t="shared" si="2"/>
        <v>146</v>
      </c>
      <c r="AL279" s="35">
        <f t="shared" si="3"/>
        <v>45</v>
      </c>
      <c r="AM279" s="35">
        <f t="shared" si="4"/>
        <v>191</v>
      </c>
      <c r="AN279" s="40">
        <f t="shared" si="5"/>
        <v>9.738481675</v>
      </c>
    </row>
    <row r="280" ht="15.75" customHeight="1">
      <c r="A280" s="32" t="s">
        <v>29</v>
      </c>
      <c r="B280" s="34">
        <f t="shared" si="6"/>
        <v>44840</v>
      </c>
      <c r="C280" s="35">
        <v>10.0</v>
      </c>
      <c r="D280" s="35" t="s">
        <v>34</v>
      </c>
      <c r="E280" s="37"/>
      <c r="F280" s="23"/>
      <c r="H280" s="24"/>
      <c r="J280" s="24"/>
      <c r="L280" s="25">
        <v>73.0</v>
      </c>
      <c r="N280" s="26">
        <v>73.0</v>
      </c>
      <c r="P280" s="24"/>
      <c r="R280" s="26">
        <v>45.0</v>
      </c>
      <c r="T280" s="24"/>
      <c r="V280" s="24"/>
      <c r="W280" s="27"/>
      <c r="X280" s="23"/>
      <c r="Z280" s="24"/>
      <c r="AB280" s="24"/>
      <c r="AD280" s="24"/>
      <c r="AF280" s="24"/>
      <c r="AH280" s="24"/>
      <c r="AI280" s="27"/>
      <c r="AJ280" s="39">
        <f t="shared" si="1"/>
        <v>1860.05</v>
      </c>
      <c r="AK280" s="35">
        <f t="shared" si="2"/>
        <v>146</v>
      </c>
      <c r="AL280" s="35">
        <f t="shared" si="3"/>
        <v>45</v>
      </c>
      <c r="AM280" s="35">
        <f t="shared" si="4"/>
        <v>191</v>
      </c>
      <c r="AN280" s="40">
        <f t="shared" si="5"/>
        <v>9.738481675</v>
      </c>
    </row>
    <row r="281" ht="15.75" customHeight="1">
      <c r="A281" s="32" t="s">
        <v>30</v>
      </c>
      <c r="B281" s="34">
        <f t="shared" si="6"/>
        <v>44841</v>
      </c>
      <c r="C281" s="35">
        <v>10.0</v>
      </c>
      <c r="D281" s="35" t="s">
        <v>34</v>
      </c>
      <c r="E281" s="37"/>
      <c r="F281" s="23"/>
      <c r="H281" s="24"/>
      <c r="J281" s="24"/>
      <c r="L281" s="25">
        <v>73.0</v>
      </c>
      <c r="N281" s="26">
        <v>73.0</v>
      </c>
      <c r="P281" s="24"/>
      <c r="R281" s="26">
        <v>45.0</v>
      </c>
      <c r="T281" s="24"/>
      <c r="V281" s="24"/>
      <c r="W281" s="27"/>
      <c r="X281" s="23"/>
      <c r="Z281" s="24"/>
      <c r="AB281" s="24"/>
      <c r="AD281" s="24"/>
      <c r="AF281" s="24"/>
      <c r="AH281" s="24"/>
      <c r="AI281" s="27"/>
      <c r="AJ281" s="39">
        <f t="shared" si="1"/>
        <v>1860.05</v>
      </c>
      <c r="AK281" s="35">
        <f t="shared" si="2"/>
        <v>146</v>
      </c>
      <c r="AL281" s="35">
        <f t="shared" si="3"/>
        <v>45</v>
      </c>
      <c r="AM281" s="35">
        <f t="shared" si="4"/>
        <v>191</v>
      </c>
      <c r="AN281" s="40">
        <f t="shared" si="5"/>
        <v>9.738481675</v>
      </c>
    </row>
    <row r="282" ht="15.75" customHeight="1">
      <c r="A282" s="48" t="s">
        <v>31</v>
      </c>
      <c r="B282" s="50">
        <f t="shared" si="6"/>
        <v>44842</v>
      </c>
      <c r="C282" s="51">
        <v>10.0</v>
      </c>
      <c r="D282" s="51" t="s">
        <v>34</v>
      </c>
      <c r="E282" s="53"/>
      <c r="F282" s="54"/>
      <c r="G282" s="56"/>
      <c r="H282" s="57"/>
      <c r="I282" s="56"/>
      <c r="J282" s="57"/>
      <c r="K282" s="56"/>
      <c r="L282" s="58">
        <v>73.0</v>
      </c>
      <c r="M282" s="56"/>
      <c r="N282" s="59">
        <v>73.0</v>
      </c>
      <c r="O282" s="56"/>
      <c r="P282" s="57"/>
      <c r="Q282" s="56"/>
      <c r="R282" s="59"/>
      <c r="S282" s="56"/>
      <c r="T282" s="57"/>
      <c r="U282" s="56"/>
      <c r="V282" s="57"/>
      <c r="W282" s="60"/>
      <c r="X282" s="54"/>
      <c r="Y282" s="56"/>
      <c r="Z282" s="57"/>
      <c r="AA282" s="56"/>
      <c r="AB282" s="57"/>
      <c r="AC282" s="56"/>
      <c r="AD282" s="57"/>
      <c r="AE282" s="56"/>
      <c r="AF282" s="57"/>
      <c r="AG282" s="56"/>
      <c r="AH282" s="57"/>
      <c r="AI282" s="60"/>
      <c r="AJ282" s="61">
        <f t="shared" si="1"/>
        <v>1657.1</v>
      </c>
      <c r="AK282" s="51">
        <f t="shared" si="2"/>
        <v>146</v>
      </c>
      <c r="AL282" s="51" t="str">
        <f t="shared" si="3"/>
        <v/>
      </c>
      <c r="AM282" s="51">
        <f t="shared" si="4"/>
        <v>146</v>
      </c>
      <c r="AN282" s="63">
        <f t="shared" si="5"/>
        <v>11.35</v>
      </c>
    </row>
    <row r="283" ht="15.75" customHeight="1">
      <c r="A283" s="18" t="s">
        <v>20</v>
      </c>
      <c r="B283" s="64">
        <f t="shared" si="6"/>
        <v>44843</v>
      </c>
      <c r="C283" s="20">
        <v>11.0</v>
      </c>
      <c r="D283" s="20" t="s">
        <v>21</v>
      </c>
      <c r="E283" s="22"/>
      <c r="F283" s="23"/>
      <c r="H283" s="24"/>
      <c r="J283" s="24"/>
      <c r="L283" s="25">
        <v>0.0</v>
      </c>
      <c r="N283" s="26">
        <v>0.0</v>
      </c>
      <c r="P283" s="24"/>
      <c r="R283" s="26">
        <v>45.0</v>
      </c>
      <c r="T283" s="24"/>
      <c r="V283" s="24"/>
      <c r="W283" s="27"/>
      <c r="X283" s="23"/>
      <c r="Z283" s="24"/>
      <c r="AB283" s="24"/>
      <c r="AD283" s="24"/>
      <c r="AF283" s="24"/>
      <c r="AH283" s="24"/>
      <c r="AI283" s="27"/>
      <c r="AJ283" s="28">
        <f t="shared" si="1"/>
        <v>202.95</v>
      </c>
      <c r="AK283" s="20">
        <f t="shared" si="2"/>
        <v>0</v>
      </c>
      <c r="AL283" s="20">
        <f t="shared" si="3"/>
        <v>45</v>
      </c>
      <c r="AM283" s="20">
        <f t="shared" si="4"/>
        <v>45</v>
      </c>
      <c r="AN283" s="31">
        <f t="shared" si="5"/>
        <v>4.51</v>
      </c>
    </row>
    <row r="284" ht="15.75" customHeight="1">
      <c r="A284" s="32" t="s">
        <v>22</v>
      </c>
      <c r="B284" s="34">
        <f t="shared" si="6"/>
        <v>44844</v>
      </c>
      <c r="C284" s="35">
        <v>11.0</v>
      </c>
      <c r="D284" s="35" t="s">
        <v>21</v>
      </c>
      <c r="E284" s="37"/>
      <c r="F284" s="23"/>
      <c r="H284" s="24"/>
      <c r="J284" s="24"/>
      <c r="L284" s="25">
        <v>0.0</v>
      </c>
      <c r="N284" s="26">
        <v>0.0</v>
      </c>
      <c r="P284" s="24"/>
      <c r="R284" s="26">
        <v>45.0</v>
      </c>
      <c r="T284" s="24"/>
      <c r="V284" s="24"/>
      <c r="W284" s="27"/>
      <c r="X284" s="23"/>
      <c r="Z284" s="24"/>
      <c r="AB284" s="24"/>
      <c r="AD284" s="24"/>
      <c r="AF284" s="24"/>
      <c r="AH284" s="24"/>
      <c r="AI284" s="27"/>
      <c r="AJ284" s="39">
        <f t="shared" si="1"/>
        <v>202.95</v>
      </c>
      <c r="AK284" s="35">
        <f t="shared" si="2"/>
        <v>0</v>
      </c>
      <c r="AL284" s="35">
        <f t="shared" si="3"/>
        <v>45</v>
      </c>
      <c r="AM284" s="35">
        <f t="shared" si="4"/>
        <v>45</v>
      </c>
      <c r="AN284" s="40">
        <f t="shared" si="5"/>
        <v>4.51</v>
      </c>
    </row>
    <row r="285" ht="15.75" customHeight="1">
      <c r="A285" s="32" t="s">
        <v>24</v>
      </c>
      <c r="B285" s="34">
        <f t="shared" si="6"/>
        <v>44845</v>
      </c>
      <c r="C285" s="35">
        <v>11.0</v>
      </c>
      <c r="D285" s="35" t="s">
        <v>21</v>
      </c>
      <c r="E285" s="37"/>
      <c r="F285" s="23"/>
      <c r="H285" s="24"/>
      <c r="J285" s="24"/>
      <c r="L285" s="25">
        <v>0.0</v>
      </c>
      <c r="N285" s="26">
        <v>0.0</v>
      </c>
      <c r="P285" s="24"/>
      <c r="R285" s="26">
        <v>45.0</v>
      </c>
      <c r="T285" s="24"/>
      <c r="V285" s="24"/>
      <c r="W285" s="27"/>
      <c r="X285" s="23"/>
      <c r="Z285" s="24"/>
      <c r="AB285" s="24"/>
      <c r="AD285" s="24"/>
      <c r="AF285" s="24"/>
      <c r="AH285" s="24"/>
      <c r="AI285" s="27"/>
      <c r="AJ285" s="39">
        <f t="shared" si="1"/>
        <v>202.95</v>
      </c>
      <c r="AK285" s="35">
        <f t="shared" si="2"/>
        <v>0</v>
      </c>
      <c r="AL285" s="35">
        <f t="shared" si="3"/>
        <v>45</v>
      </c>
      <c r="AM285" s="35">
        <f t="shared" si="4"/>
        <v>45</v>
      </c>
      <c r="AN285" s="40">
        <f t="shared" si="5"/>
        <v>4.51</v>
      </c>
    </row>
    <row r="286" ht="15.75" customHeight="1">
      <c r="A286" s="32" t="s">
        <v>28</v>
      </c>
      <c r="B286" s="34">
        <f t="shared" si="6"/>
        <v>44846</v>
      </c>
      <c r="C286" s="35">
        <v>11.0</v>
      </c>
      <c r="D286" s="35" t="s">
        <v>21</v>
      </c>
      <c r="E286" s="37"/>
      <c r="F286" s="23"/>
      <c r="H286" s="24"/>
      <c r="J286" s="24"/>
      <c r="L286" s="25">
        <v>60.0</v>
      </c>
      <c r="N286" s="26">
        <v>60.0</v>
      </c>
      <c r="P286" s="24"/>
      <c r="R286" s="26">
        <v>45.0</v>
      </c>
      <c r="T286" s="24"/>
      <c r="V286" s="24"/>
      <c r="W286" s="27"/>
      <c r="X286" s="23"/>
      <c r="Z286" s="24"/>
      <c r="AB286" s="24"/>
      <c r="AD286" s="24"/>
      <c r="AF286" s="24"/>
      <c r="AH286" s="24"/>
      <c r="AI286" s="27"/>
      <c r="AJ286" s="39">
        <f t="shared" si="1"/>
        <v>1564.95</v>
      </c>
      <c r="AK286" s="35">
        <f t="shared" si="2"/>
        <v>120</v>
      </c>
      <c r="AL286" s="35">
        <f t="shared" si="3"/>
        <v>45</v>
      </c>
      <c r="AM286" s="35">
        <f t="shared" si="4"/>
        <v>165</v>
      </c>
      <c r="AN286" s="40">
        <f t="shared" si="5"/>
        <v>9.484545455</v>
      </c>
    </row>
    <row r="287" ht="15.75" customHeight="1">
      <c r="A287" s="32" t="s">
        <v>29</v>
      </c>
      <c r="B287" s="34">
        <f t="shared" si="6"/>
        <v>44847</v>
      </c>
      <c r="C287" s="35">
        <v>11.0</v>
      </c>
      <c r="D287" s="35" t="s">
        <v>21</v>
      </c>
      <c r="E287" s="37"/>
      <c r="F287" s="23"/>
      <c r="H287" s="24"/>
      <c r="J287" s="24"/>
      <c r="L287" s="25">
        <v>60.0</v>
      </c>
      <c r="N287" s="26">
        <v>60.0</v>
      </c>
      <c r="P287" s="24"/>
      <c r="R287" s="26">
        <v>45.0</v>
      </c>
      <c r="T287" s="24"/>
      <c r="V287" s="24"/>
      <c r="W287" s="27"/>
      <c r="X287" s="23"/>
      <c r="Z287" s="24"/>
      <c r="AB287" s="24"/>
      <c r="AD287" s="24"/>
      <c r="AF287" s="24"/>
      <c r="AH287" s="24"/>
      <c r="AI287" s="27"/>
      <c r="AJ287" s="39">
        <f t="shared" si="1"/>
        <v>1564.95</v>
      </c>
      <c r="AK287" s="35">
        <f t="shared" si="2"/>
        <v>120</v>
      </c>
      <c r="AL287" s="35">
        <f t="shared" si="3"/>
        <v>45</v>
      </c>
      <c r="AM287" s="35">
        <f t="shared" si="4"/>
        <v>165</v>
      </c>
      <c r="AN287" s="40">
        <f t="shared" si="5"/>
        <v>9.484545455</v>
      </c>
    </row>
    <row r="288" ht="15.75" customHeight="1">
      <c r="A288" s="32" t="s">
        <v>30</v>
      </c>
      <c r="B288" s="34">
        <f t="shared" si="6"/>
        <v>44848</v>
      </c>
      <c r="C288" s="35">
        <v>11.0</v>
      </c>
      <c r="D288" s="35" t="s">
        <v>21</v>
      </c>
      <c r="E288" s="37"/>
      <c r="F288" s="23"/>
      <c r="H288" s="24"/>
      <c r="J288" s="24"/>
      <c r="L288" s="25">
        <v>60.0</v>
      </c>
      <c r="N288" s="26">
        <v>60.0</v>
      </c>
      <c r="P288" s="24"/>
      <c r="R288" s="26">
        <v>45.0</v>
      </c>
      <c r="T288" s="24"/>
      <c r="V288" s="24"/>
      <c r="W288" s="27"/>
      <c r="X288" s="23"/>
      <c r="Z288" s="24"/>
      <c r="AB288" s="24"/>
      <c r="AD288" s="24"/>
      <c r="AF288" s="24"/>
      <c r="AH288" s="24"/>
      <c r="AI288" s="27"/>
      <c r="AJ288" s="39">
        <f t="shared" si="1"/>
        <v>1564.95</v>
      </c>
      <c r="AK288" s="35">
        <f t="shared" si="2"/>
        <v>120</v>
      </c>
      <c r="AL288" s="35">
        <f t="shared" si="3"/>
        <v>45</v>
      </c>
      <c r="AM288" s="35">
        <f t="shared" si="4"/>
        <v>165</v>
      </c>
      <c r="AN288" s="40">
        <f t="shared" si="5"/>
        <v>9.484545455</v>
      </c>
    </row>
    <row r="289" ht="15.75" customHeight="1">
      <c r="A289" s="48" t="s">
        <v>31</v>
      </c>
      <c r="B289" s="50">
        <f t="shared" si="6"/>
        <v>44849</v>
      </c>
      <c r="C289" s="51">
        <v>11.0</v>
      </c>
      <c r="D289" s="51" t="s">
        <v>21</v>
      </c>
      <c r="E289" s="53"/>
      <c r="F289" s="54"/>
      <c r="G289" s="56"/>
      <c r="H289" s="57"/>
      <c r="I289" s="56"/>
      <c r="J289" s="57"/>
      <c r="K289" s="56"/>
      <c r="L289" s="58">
        <v>60.0</v>
      </c>
      <c r="M289" s="56"/>
      <c r="N289" s="59">
        <v>60.0</v>
      </c>
      <c r="O289" s="56"/>
      <c r="P289" s="57"/>
      <c r="Q289" s="56"/>
      <c r="R289" s="59"/>
      <c r="S289" s="56"/>
      <c r="T289" s="57"/>
      <c r="U289" s="56"/>
      <c r="V289" s="57"/>
      <c r="W289" s="60"/>
      <c r="X289" s="54"/>
      <c r="Y289" s="56"/>
      <c r="Z289" s="57"/>
      <c r="AA289" s="56"/>
      <c r="AB289" s="57"/>
      <c r="AC289" s="56"/>
      <c r="AD289" s="57"/>
      <c r="AE289" s="56"/>
      <c r="AF289" s="57"/>
      <c r="AG289" s="56"/>
      <c r="AH289" s="57"/>
      <c r="AI289" s="60"/>
      <c r="AJ289" s="61">
        <f t="shared" si="1"/>
        <v>1362</v>
      </c>
      <c r="AK289" s="51">
        <f t="shared" si="2"/>
        <v>120</v>
      </c>
      <c r="AL289" s="51" t="str">
        <f t="shared" si="3"/>
        <v/>
      </c>
      <c r="AM289" s="51">
        <f t="shared" si="4"/>
        <v>120</v>
      </c>
      <c r="AN289" s="63">
        <f t="shared" si="5"/>
        <v>11.35</v>
      </c>
    </row>
    <row r="290" ht="15.75" customHeight="1">
      <c r="A290" s="18" t="s">
        <v>20</v>
      </c>
      <c r="B290" s="64">
        <f t="shared" si="6"/>
        <v>44850</v>
      </c>
      <c r="C290" s="20">
        <v>11.0</v>
      </c>
      <c r="D290" s="20" t="s">
        <v>32</v>
      </c>
      <c r="E290" s="22"/>
      <c r="F290" s="23"/>
      <c r="H290" s="24"/>
      <c r="J290" s="24"/>
      <c r="L290" s="25">
        <v>60.0</v>
      </c>
      <c r="N290" s="26">
        <v>60.0</v>
      </c>
      <c r="P290" s="24"/>
      <c r="R290" s="26">
        <v>45.0</v>
      </c>
      <c r="T290" s="24"/>
      <c r="V290" s="24"/>
      <c r="W290" s="27"/>
      <c r="X290" s="23"/>
      <c r="Z290" s="24"/>
      <c r="AB290" s="24"/>
      <c r="AD290" s="24"/>
      <c r="AF290" s="24"/>
      <c r="AH290" s="24"/>
      <c r="AI290" s="27"/>
      <c r="AJ290" s="28">
        <f t="shared" si="1"/>
        <v>1564.95</v>
      </c>
      <c r="AK290" s="20">
        <f t="shared" si="2"/>
        <v>120</v>
      </c>
      <c r="AL290" s="20">
        <f t="shared" si="3"/>
        <v>45</v>
      </c>
      <c r="AM290" s="20">
        <f t="shared" si="4"/>
        <v>165</v>
      </c>
      <c r="AN290" s="31">
        <f t="shared" si="5"/>
        <v>9.484545455</v>
      </c>
    </row>
    <row r="291" ht="15.75" customHeight="1">
      <c r="A291" s="32" t="s">
        <v>22</v>
      </c>
      <c r="B291" s="34">
        <f t="shared" si="6"/>
        <v>44851</v>
      </c>
      <c r="C291" s="35">
        <v>11.0</v>
      </c>
      <c r="D291" s="35" t="s">
        <v>32</v>
      </c>
      <c r="E291" s="37"/>
      <c r="F291" s="23"/>
      <c r="H291" s="24"/>
      <c r="J291" s="24"/>
      <c r="L291" s="25">
        <v>60.0</v>
      </c>
      <c r="N291" s="26">
        <v>60.0</v>
      </c>
      <c r="P291" s="24"/>
      <c r="R291" s="26">
        <v>45.0</v>
      </c>
      <c r="T291" s="24"/>
      <c r="V291" s="24"/>
      <c r="W291" s="27"/>
      <c r="X291" s="23"/>
      <c r="Z291" s="24"/>
      <c r="AB291" s="24"/>
      <c r="AD291" s="24"/>
      <c r="AF291" s="24"/>
      <c r="AH291" s="24"/>
      <c r="AI291" s="27"/>
      <c r="AJ291" s="39">
        <f t="shared" si="1"/>
        <v>1564.95</v>
      </c>
      <c r="AK291" s="35">
        <f t="shared" si="2"/>
        <v>120</v>
      </c>
      <c r="AL291" s="35">
        <f t="shared" si="3"/>
        <v>45</v>
      </c>
      <c r="AM291" s="35">
        <f t="shared" si="4"/>
        <v>165</v>
      </c>
      <c r="AN291" s="40">
        <f t="shared" si="5"/>
        <v>9.484545455</v>
      </c>
    </row>
    <row r="292" ht="15.75" customHeight="1">
      <c r="A292" s="32" t="s">
        <v>24</v>
      </c>
      <c r="B292" s="34">
        <f t="shared" si="6"/>
        <v>44852</v>
      </c>
      <c r="C292" s="35">
        <v>11.0</v>
      </c>
      <c r="D292" s="35" t="s">
        <v>32</v>
      </c>
      <c r="E292" s="37"/>
      <c r="F292" s="23"/>
      <c r="H292" s="24"/>
      <c r="J292" s="24"/>
      <c r="L292" s="25">
        <v>60.0</v>
      </c>
      <c r="N292" s="26">
        <v>60.0</v>
      </c>
      <c r="P292" s="24"/>
      <c r="R292" s="26">
        <v>45.0</v>
      </c>
      <c r="T292" s="24"/>
      <c r="V292" s="24"/>
      <c r="W292" s="27"/>
      <c r="X292" s="23"/>
      <c r="Z292" s="24"/>
      <c r="AB292" s="24"/>
      <c r="AD292" s="24"/>
      <c r="AF292" s="24"/>
      <c r="AH292" s="24"/>
      <c r="AI292" s="27"/>
      <c r="AJ292" s="39">
        <f t="shared" si="1"/>
        <v>1564.95</v>
      </c>
      <c r="AK292" s="35">
        <f t="shared" si="2"/>
        <v>120</v>
      </c>
      <c r="AL292" s="35">
        <f t="shared" si="3"/>
        <v>45</v>
      </c>
      <c r="AM292" s="35">
        <f t="shared" si="4"/>
        <v>165</v>
      </c>
      <c r="AN292" s="40">
        <f t="shared" si="5"/>
        <v>9.484545455</v>
      </c>
    </row>
    <row r="293" ht="15.75" customHeight="1">
      <c r="A293" s="32" t="s">
        <v>28</v>
      </c>
      <c r="B293" s="34">
        <f t="shared" si="6"/>
        <v>44853</v>
      </c>
      <c r="C293" s="35">
        <v>11.0</v>
      </c>
      <c r="D293" s="35" t="s">
        <v>32</v>
      </c>
      <c r="E293" s="37"/>
      <c r="F293" s="23"/>
      <c r="H293" s="24"/>
      <c r="J293" s="24"/>
      <c r="L293" s="25">
        <v>60.0</v>
      </c>
      <c r="N293" s="26">
        <v>60.0</v>
      </c>
      <c r="P293" s="24"/>
      <c r="R293" s="26">
        <v>45.0</v>
      </c>
      <c r="T293" s="24"/>
      <c r="V293" s="24"/>
      <c r="W293" s="27"/>
      <c r="X293" s="23"/>
      <c r="Z293" s="24"/>
      <c r="AB293" s="24"/>
      <c r="AD293" s="24"/>
      <c r="AF293" s="24"/>
      <c r="AH293" s="24"/>
      <c r="AI293" s="27"/>
      <c r="AJ293" s="39">
        <f t="shared" si="1"/>
        <v>1564.95</v>
      </c>
      <c r="AK293" s="35">
        <f t="shared" si="2"/>
        <v>120</v>
      </c>
      <c r="AL293" s="35">
        <f t="shared" si="3"/>
        <v>45</v>
      </c>
      <c r="AM293" s="35">
        <f t="shared" si="4"/>
        <v>165</v>
      </c>
      <c r="AN293" s="40">
        <f t="shared" si="5"/>
        <v>9.484545455</v>
      </c>
    </row>
    <row r="294" ht="15.75" customHeight="1">
      <c r="A294" s="32" t="s">
        <v>29</v>
      </c>
      <c r="B294" s="34">
        <f t="shared" si="6"/>
        <v>44854</v>
      </c>
      <c r="C294" s="35">
        <v>11.0</v>
      </c>
      <c r="D294" s="35" t="s">
        <v>32</v>
      </c>
      <c r="E294" s="37"/>
      <c r="F294" s="23"/>
      <c r="H294" s="24"/>
      <c r="J294" s="24"/>
      <c r="L294" s="25">
        <v>60.0</v>
      </c>
      <c r="N294" s="26">
        <v>60.0</v>
      </c>
      <c r="P294" s="24"/>
      <c r="R294" s="26">
        <v>45.0</v>
      </c>
      <c r="T294" s="24"/>
      <c r="V294" s="24"/>
      <c r="W294" s="27"/>
      <c r="X294" s="23"/>
      <c r="Z294" s="24"/>
      <c r="AB294" s="24"/>
      <c r="AD294" s="24"/>
      <c r="AF294" s="24"/>
      <c r="AH294" s="24"/>
      <c r="AI294" s="27"/>
      <c r="AJ294" s="39">
        <f t="shared" si="1"/>
        <v>1564.95</v>
      </c>
      <c r="AK294" s="35">
        <f t="shared" si="2"/>
        <v>120</v>
      </c>
      <c r="AL294" s="35">
        <f t="shared" si="3"/>
        <v>45</v>
      </c>
      <c r="AM294" s="35">
        <f t="shared" si="4"/>
        <v>165</v>
      </c>
      <c r="AN294" s="40">
        <f t="shared" si="5"/>
        <v>9.484545455</v>
      </c>
    </row>
    <row r="295" ht="15.75" customHeight="1">
      <c r="A295" s="32" t="s">
        <v>30</v>
      </c>
      <c r="B295" s="34">
        <f t="shared" si="6"/>
        <v>44855</v>
      </c>
      <c r="C295" s="35">
        <v>11.0</v>
      </c>
      <c r="D295" s="35" t="s">
        <v>32</v>
      </c>
      <c r="E295" s="37"/>
      <c r="F295" s="23"/>
      <c r="H295" s="24"/>
      <c r="J295" s="24"/>
      <c r="L295" s="25">
        <v>60.0</v>
      </c>
      <c r="N295" s="26">
        <v>60.0</v>
      </c>
      <c r="P295" s="24"/>
      <c r="R295" s="26">
        <v>45.0</v>
      </c>
      <c r="T295" s="24"/>
      <c r="V295" s="24"/>
      <c r="W295" s="27"/>
      <c r="X295" s="23"/>
      <c r="Z295" s="24"/>
      <c r="AB295" s="24"/>
      <c r="AD295" s="24"/>
      <c r="AF295" s="24"/>
      <c r="AH295" s="24"/>
      <c r="AI295" s="27"/>
      <c r="AJ295" s="39">
        <f t="shared" si="1"/>
        <v>1564.95</v>
      </c>
      <c r="AK295" s="35">
        <f t="shared" si="2"/>
        <v>120</v>
      </c>
      <c r="AL295" s="35">
        <f t="shared" si="3"/>
        <v>45</v>
      </c>
      <c r="AM295" s="35">
        <f t="shared" si="4"/>
        <v>165</v>
      </c>
      <c r="AN295" s="40">
        <f t="shared" si="5"/>
        <v>9.484545455</v>
      </c>
    </row>
    <row r="296" ht="15.75" customHeight="1">
      <c r="A296" s="48" t="s">
        <v>31</v>
      </c>
      <c r="B296" s="50">
        <f t="shared" si="6"/>
        <v>44856</v>
      </c>
      <c r="C296" s="51">
        <v>11.0</v>
      </c>
      <c r="D296" s="51" t="s">
        <v>32</v>
      </c>
      <c r="E296" s="53"/>
      <c r="F296" s="54"/>
      <c r="G296" s="56"/>
      <c r="H296" s="57"/>
      <c r="I296" s="56"/>
      <c r="J296" s="57"/>
      <c r="K296" s="56"/>
      <c r="L296" s="58">
        <v>60.0</v>
      </c>
      <c r="M296" s="56"/>
      <c r="N296" s="59">
        <v>60.0</v>
      </c>
      <c r="O296" s="56"/>
      <c r="P296" s="57"/>
      <c r="Q296" s="56"/>
      <c r="R296" s="59"/>
      <c r="S296" s="56"/>
      <c r="T296" s="57"/>
      <c r="U296" s="56"/>
      <c r="V296" s="57"/>
      <c r="W296" s="60"/>
      <c r="X296" s="54"/>
      <c r="Y296" s="56"/>
      <c r="Z296" s="57"/>
      <c r="AA296" s="56"/>
      <c r="AB296" s="57"/>
      <c r="AC296" s="56"/>
      <c r="AD296" s="57"/>
      <c r="AE296" s="56"/>
      <c r="AF296" s="57"/>
      <c r="AG296" s="56"/>
      <c r="AH296" s="57"/>
      <c r="AI296" s="60"/>
      <c r="AJ296" s="61">
        <f t="shared" si="1"/>
        <v>1362</v>
      </c>
      <c r="AK296" s="51">
        <f t="shared" si="2"/>
        <v>120</v>
      </c>
      <c r="AL296" s="51" t="str">
        <f t="shared" si="3"/>
        <v/>
      </c>
      <c r="AM296" s="51">
        <f t="shared" si="4"/>
        <v>120</v>
      </c>
      <c r="AN296" s="63">
        <f t="shared" si="5"/>
        <v>11.35</v>
      </c>
    </row>
    <row r="297" ht="15.75" customHeight="1">
      <c r="A297" s="18" t="s">
        <v>20</v>
      </c>
      <c r="B297" s="64">
        <f t="shared" si="6"/>
        <v>44857</v>
      </c>
      <c r="C297" s="20">
        <v>11.0</v>
      </c>
      <c r="D297" s="20" t="s">
        <v>33</v>
      </c>
      <c r="E297" s="22"/>
      <c r="F297" s="23"/>
      <c r="H297" s="24"/>
      <c r="J297" s="24"/>
      <c r="L297" s="25">
        <v>60.0</v>
      </c>
      <c r="N297" s="26">
        <v>60.0</v>
      </c>
      <c r="P297" s="24"/>
      <c r="R297" s="26">
        <v>45.0</v>
      </c>
      <c r="T297" s="24"/>
      <c r="V297" s="24"/>
      <c r="W297" s="27"/>
      <c r="X297" s="23"/>
      <c r="Z297" s="24"/>
      <c r="AB297" s="24"/>
      <c r="AD297" s="24"/>
      <c r="AF297" s="24"/>
      <c r="AH297" s="24"/>
      <c r="AI297" s="27"/>
      <c r="AJ297" s="28">
        <f t="shared" si="1"/>
        <v>1564.95</v>
      </c>
      <c r="AK297" s="20">
        <f t="shared" si="2"/>
        <v>120</v>
      </c>
      <c r="AL297" s="20">
        <f t="shared" si="3"/>
        <v>45</v>
      </c>
      <c r="AM297" s="20">
        <f t="shared" si="4"/>
        <v>165</v>
      </c>
      <c r="AN297" s="31">
        <f t="shared" si="5"/>
        <v>9.484545455</v>
      </c>
    </row>
    <row r="298" ht="15.75" customHeight="1">
      <c r="A298" s="32" t="s">
        <v>22</v>
      </c>
      <c r="B298" s="34">
        <f t="shared" si="6"/>
        <v>44858</v>
      </c>
      <c r="C298" s="35">
        <v>11.0</v>
      </c>
      <c r="D298" s="35" t="s">
        <v>33</v>
      </c>
      <c r="E298" s="37"/>
      <c r="F298" s="23"/>
      <c r="H298" s="24"/>
      <c r="J298" s="24"/>
      <c r="L298" s="25">
        <v>60.0</v>
      </c>
      <c r="N298" s="26">
        <v>60.0</v>
      </c>
      <c r="P298" s="24"/>
      <c r="R298" s="26">
        <v>45.0</v>
      </c>
      <c r="T298" s="24"/>
      <c r="V298" s="24"/>
      <c r="W298" s="27"/>
      <c r="X298" s="23"/>
      <c r="Z298" s="24"/>
      <c r="AB298" s="24"/>
      <c r="AD298" s="24"/>
      <c r="AF298" s="24"/>
      <c r="AH298" s="24"/>
      <c r="AI298" s="27"/>
      <c r="AJ298" s="39">
        <f t="shared" si="1"/>
        <v>1564.95</v>
      </c>
      <c r="AK298" s="35">
        <f t="shared" si="2"/>
        <v>120</v>
      </c>
      <c r="AL298" s="35">
        <f t="shared" si="3"/>
        <v>45</v>
      </c>
      <c r="AM298" s="35">
        <f t="shared" si="4"/>
        <v>165</v>
      </c>
      <c r="AN298" s="40">
        <f t="shared" si="5"/>
        <v>9.484545455</v>
      </c>
    </row>
    <row r="299" ht="15.75" customHeight="1">
      <c r="A299" s="32" t="s">
        <v>24</v>
      </c>
      <c r="B299" s="34">
        <f t="shared" si="6"/>
        <v>44859</v>
      </c>
      <c r="C299" s="35">
        <v>11.0</v>
      </c>
      <c r="D299" s="35" t="s">
        <v>33</v>
      </c>
      <c r="E299" s="37"/>
      <c r="F299" s="23"/>
      <c r="H299" s="24"/>
      <c r="J299" s="24"/>
      <c r="L299" s="25">
        <v>60.0</v>
      </c>
      <c r="N299" s="26">
        <v>60.0</v>
      </c>
      <c r="P299" s="24"/>
      <c r="R299" s="26">
        <v>0.0</v>
      </c>
      <c r="T299" s="24"/>
      <c r="V299" s="24"/>
      <c r="W299" s="27"/>
      <c r="X299" s="23"/>
      <c r="Z299" s="24"/>
      <c r="AB299" s="24"/>
      <c r="AD299" s="24"/>
      <c r="AF299" s="24"/>
      <c r="AH299" s="24"/>
      <c r="AI299" s="27"/>
      <c r="AJ299" s="39">
        <f t="shared" si="1"/>
        <v>1362</v>
      </c>
      <c r="AK299" s="35">
        <f t="shared" si="2"/>
        <v>120</v>
      </c>
      <c r="AL299" s="35">
        <f t="shared" si="3"/>
        <v>0</v>
      </c>
      <c r="AM299" s="35">
        <f t="shared" si="4"/>
        <v>120</v>
      </c>
      <c r="AN299" s="40">
        <f t="shared" si="5"/>
        <v>11.35</v>
      </c>
    </row>
    <row r="300" ht="15.75" customHeight="1">
      <c r="A300" s="32" t="s">
        <v>28</v>
      </c>
      <c r="B300" s="34">
        <f t="shared" si="6"/>
        <v>44860</v>
      </c>
      <c r="C300" s="35">
        <v>11.0</v>
      </c>
      <c r="D300" s="35" t="s">
        <v>33</v>
      </c>
      <c r="E300" s="37"/>
      <c r="F300" s="23"/>
      <c r="H300" s="24"/>
      <c r="J300" s="24"/>
      <c r="L300" s="25">
        <v>60.0</v>
      </c>
      <c r="N300" s="26">
        <v>60.0</v>
      </c>
      <c r="P300" s="24"/>
      <c r="R300" s="26">
        <v>0.0</v>
      </c>
      <c r="T300" s="24"/>
      <c r="V300" s="24"/>
      <c r="W300" s="27"/>
      <c r="X300" s="23"/>
      <c r="Z300" s="24"/>
      <c r="AB300" s="24"/>
      <c r="AD300" s="24"/>
      <c r="AF300" s="24"/>
      <c r="AH300" s="24"/>
      <c r="AI300" s="27"/>
      <c r="AJ300" s="39">
        <f t="shared" si="1"/>
        <v>1362</v>
      </c>
      <c r="AK300" s="35">
        <f t="shared" si="2"/>
        <v>120</v>
      </c>
      <c r="AL300" s="35">
        <f t="shared" si="3"/>
        <v>0</v>
      </c>
      <c r="AM300" s="35">
        <f t="shared" si="4"/>
        <v>120</v>
      </c>
      <c r="AN300" s="40">
        <f t="shared" si="5"/>
        <v>11.35</v>
      </c>
    </row>
    <row r="301" ht="15.75" customHeight="1">
      <c r="A301" s="32" t="s">
        <v>29</v>
      </c>
      <c r="B301" s="34">
        <f t="shared" si="6"/>
        <v>44861</v>
      </c>
      <c r="C301" s="35">
        <v>11.0</v>
      </c>
      <c r="D301" s="35" t="s">
        <v>33</v>
      </c>
      <c r="E301" s="37"/>
      <c r="F301" s="23"/>
      <c r="H301" s="24"/>
      <c r="J301" s="24"/>
      <c r="L301" s="25">
        <v>60.0</v>
      </c>
      <c r="N301" s="26">
        <v>60.0</v>
      </c>
      <c r="P301" s="24"/>
      <c r="R301" s="26">
        <v>0.0</v>
      </c>
      <c r="T301" s="24"/>
      <c r="V301" s="24"/>
      <c r="W301" s="27"/>
      <c r="X301" s="23"/>
      <c r="Z301" s="24"/>
      <c r="AB301" s="24"/>
      <c r="AD301" s="24"/>
      <c r="AF301" s="24"/>
      <c r="AH301" s="24"/>
      <c r="AI301" s="27"/>
      <c r="AJ301" s="39">
        <f t="shared" si="1"/>
        <v>1362</v>
      </c>
      <c r="AK301" s="35">
        <f t="shared" si="2"/>
        <v>120</v>
      </c>
      <c r="AL301" s="35">
        <f t="shared" si="3"/>
        <v>0</v>
      </c>
      <c r="AM301" s="35">
        <f t="shared" si="4"/>
        <v>120</v>
      </c>
      <c r="AN301" s="40">
        <f t="shared" si="5"/>
        <v>11.35</v>
      </c>
    </row>
    <row r="302" ht="15.75" customHeight="1">
      <c r="A302" s="32" t="s">
        <v>30</v>
      </c>
      <c r="B302" s="34">
        <f t="shared" si="6"/>
        <v>44862</v>
      </c>
      <c r="C302" s="35">
        <v>11.0</v>
      </c>
      <c r="D302" s="35" t="s">
        <v>33</v>
      </c>
      <c r="E302" s="37"/>
      <c r="F302" s="23"/>
      <c r="H302" s="24"/>
      <c r="J302" s="24"/>
      <c r="L302" s="25">
        <v>60.0</v>
      </c>
      <c r="N302" s="26">
        <v>60.0</v>
      </c>
      <c r="P302" s="24"/>
      <c r="R302" s="26">
        <v>0.0</v>
      </c>
      <c r="T302" s="24"/>
      <c r="V302" s="24"/>
      <c r="W302" s="27"/>
      <c r="X302" s="23"/>
      <c r="Z302" s="24"/>
      <c r="AB302" s="24"/>
      <c r="AD302" s="24"/>
      <c r="AF302" s="24"/>
      <c r="AH302" s="24"/>
      <c r="AI302" s="27"/>
      <c r="AJ302" s="39">
        <f t="shared" si="1"/>
        <v>1362</v>
      </c>
      <c r="AK302" s="35">
        <f t="shared" si="2"/>
        <v>120</v>
      </c>
      <c r="AL302" s="35">
        <f t="shared" si="3"/>
        <v>0</v>
      </c>
      <c r="AM302" s="35">
        <f t="shared" si="4"/>
        <v>120</v>
      </c>
      <c r="AN302" s="40">
        <f t="shared" si="5"/>
        <v>11.35</v>
      </c>
    </row>
    <row r="303" ht="15.75" customHeight="1">
      <c r="A303" s="48" t="s">
        <v>31</v>
      </c>
      <c r="B303" s="50">
        <f t="shared" si="6"/>
        <v>44863</v>
      </c>
      <c r="C303" s="51">
        <v>11.0</v>
      </c>
      <c r="D303" s="51" t="s">
        <v>33</v>
      </c>
      <c r="E303" s="53"/>
      <c r="F303" s="54"/>
      <c r="G303" s="56"/>
      <c r="H303" s="57"/>
      <c r="I303" s="56"/>
      <c r="J303" s="57"/>
      <c r="K303" s="56"/>
      <c r="L303" s="58">
        <v>60.0</v>
      </c>
      <c r="M303" s="56"/>
      <c r="N303" s="59">
        <v>60.0</v>
      </c>
      <c r="O303" s="56"/>
      <c r="P303" s="57"/>
      <c r="Q303" s="56"/>
      <c r="R303" s="59">
        <v>0.0</v>
      </c>
      <c r="S303" s="56"/>
      <c r="T303" s="57"/>
      <c r="U303" s="56"/>
      <c r="V303" s="57"/>
      <c r="W303" s="60"/>
      <c r="X303" s="54"/>
      <c r="Y303" s="56"/>
      <c r="Z303" s="57"/>
      <c r="AA303" s="56"/>
      <c r="AB303" s="57"/>
      <c r="AC303" s="56"/>
      <c r="AD303" s="57"/>
      <c r="AE303" s="56"/>
      <c r="AF303" s="57"/>
      <c r="AG303" s="56"/>
      <c r="AH303" s="57"/>
      <c r="AI303" s="60"/>
      <c r="AJ303" s="61">
        <f t="shared" si="1"/>
        <v>1362</v>
      </c>
      <c r="AK303" s="51">
        <f t="shared" si="2"/>
        <v>120</v>
      </c>
      <c r="AL303" s="51">
        <f t="shared" si="3"/>
        <v>0</v>
      </c>
      <c r="AM303" s="51">
        <f t="shared" si="4"/>
        <v>120</v>
      </c>
      <c r="AN303" s="63">
        <f t="shared" si="5"/>
        <v>11.35</v>
      </c>
    </row>
    <row r="304" ht="15.75" customHeight="1">
      <c r="A304" s="18" t="s">
        <v>20</v>
      </c>
      <c r="B304" s="64">
        <f t="shared" si="6"/>
        <v>44864</v>
      </c>
      <c r="C304" s="20">
        <v>11.0</v>
      </c>
      <c r="D304" s="20" t="s">
        <v>34</v>
      </c>
      <c r="E304" s="22"/>
      <c r="F304" s="23"/>
      <c r="H304" s="24"/>
      <c r="J304" s="24"/>
      <c r="L304" s="25">
        <v>60.0</v>
      </c>
      <c r="N304" s="26">
        <v>60.0</v>
      </c>
      <c r="P304" s="24"/>
      <c r="R304" s="26">
        <v>0.0</v>
      </c>
      <c r="T304" s="24"/>
      <c r="V304" s="24"/>
      <c r="W304" s="27"/>
      <c r="X304" s="23"/>
      <c r="Z304" s="24"/>
      <c r="AB304" s="24"/>
      <c r="AD304" s="24"/>
      <c r="AF304" s="24"/>
      <c r="AH304" s="24"/>
      <c r="AI304" s="27"/>
      <c r="AJ304" s="28">
        <f t="shared" si="1"/>
        <v>1362</v>
      </c>
      <c r="AK304" s="20">
        <f t="shared" si="2"/>
        <v>120</v>
      </c>
      <c r="AL304" s="20">
        <f t="shared" si="3"/>
        <v>0</v>
      </c>
      <c r="AM304" s="20">
        <f t="shared" si="4"/>
        <v>120</v>
      </c>
      <c r="AN304" s="31">
        <f t="shared" si="5"/>
        <v>11.35</v>
      </c>
    </row>
    <row r="305" ht="15.75" customHeight="1">
      <c r="A305" s="32" t="s">
        <v>22</v>
      </c>
      <c r="B305" s="34">
        <f t="shared" si="6"/>
        <v>44865</v>
      </c>
      <c r="C305" s="35">
        <v>11.0</v>
      </c>
      <c r="D305" s="35" t="s">
        <v>34</v>
      </c>
      <c r="E305" s="37"/>
      <c r="F305" s="23"/>
      <c r="H305" s="24"/>
      <c r="J305" s="24"/>
      <c r="L305" s="25">
        <v>60.0</v>
      </c>
      <c r="N305" s="26">
        <v>60.0</v>
      </c>
      <c r="P305" s="24"/>
      <c r="R305" s="26">
        <v>0.0</v>
      </c>
      <c r="T305" s="24"/>
      <c r="V305" s="24"/>
      <c r="W305" s="27"/>
      <c r="X305" s="23"/>
      <c r="Z305" s="24"/>
      <c r="AB305" s="24"/>
      <c r="AD305" s="24"/>
      <c r="AF305" s="24"/>
      <c r="AH305" s="24"/>
      <c r="AI305" s="27"/>
      <c r="AJ305" s="39">
        <f t="shared" si="1"/>
        <v>1362</v>
      </c>
      <c r="AK305" s="35">
        <f t="shared" si="2"/>
        <v>120</v>
      </c>
      <c r="AL305" s="35">
        <f t="shared" si="3"/>
        <v>0</v>
      </c>
      <c r="AM305" s="35">
        <f t="shared" si="4"/>
        <v>120</v>
      </c>
      <c r="AN305" s="40">
        <f t="shared" si="5"/>
        <v>11.35</v>
      </c>
    </row>
    <row r="306" ht="15.75" customHeight="1">
      <c r="A306" s="32" t="s">
        <v>24</v>
      </c>
      <c r="B306" s="34">
        <f t="shared" si="6"/>
        <v>44866</v>
      </c>
      <c r="C306" s="35">
        <v>11.0</v>
      </c>
      <c r="D306" s="35" t="s">
        <v>34</v>
      </c>
      <c r="E306" s="37"/>
      <c r="F306" s="23"/>
      <c r="H306" s="24"/>
      <c r="J306" s="24"/>
      <c r="L306" s="25">
        <v>60.0</v>
      </c>
      <c r="N306" s="26">
        <v>60.0</v>
      </c>
      <c r="P306" s="24"/>
      <c r="R306" s="26">
        <v>0.0</v>
      </c>
      <c r="T306" s="24"/>
      <c r="V306" s="24"/>
      <c r="W306" s="27"/>
      <c r="X306" s="23"/>
      <c r="Z306" s="24"/>
      <c r="AB306" s="24"/>
      <c r="AD306" s="24"/>
      <c r="AF306" s="24"/>
      <c r="AH306" s="24"/>
      <c r="AI306" s="27"/>
      <c r="AJ306" s="39">
        <f t="shared" si="1"/>
        <v>1362</v>
      </c>
      <c r="AK306" s="35">
        <f t="shared" si="2"/>
        <v>120</v>
      </c>
      <c r="AL306" s="35">
        <f t="shared" si="3"/>
        <v>0</v>
      </c>
      <c r="AM306" s="35">
        <f t="shared" si="4"/>
        <v>120</v>
      </c>
      <c r="AN306" s="40">
        <f t="shared" si="5"/>
        <v>11.35</v>
      </c>
    </row>
    <row r="307" ht="15.75" customHeight="1">
      <c r="A307" s="32" t="s">
        <v>28</v>
      </c>
      <c r="B307" s="34">
        <f t="shared" si="6"/>
        <v>44867</v>
      </c>
      <c r="C307" s="35">
        <v>11.0</v>
      </c>
      <c r="D307" s="35" t="s">
        <v>34</v>
      </c>
      <c r="E307" s="37"/>
      <c r="F307" s="23"/>
      <c r="H307" s="24"/>
      <c r="J307" s="24"/>
      <c r="L307" s="25">
        <v>60.0</v>
      </c>
      <c r="N307" s="26">
        <v>60.0</v>
      </c>
      <c r="P307" s="24"/>
      <c r="R307" s="26">
        <v>0.0</v>
      </c>
      <c r="T307" s="24"/>
      <c r="V307" s="24"/>
      <c r="W307" s="27"/>
      <c r="X307" s="23"/>
      <c r="Z307" s="24"/>
      <c r="AB307" s="24"/>
      <c r="AD307" s="24"/>
      <c r="AF307" s="24"/>
      <c r="AH307" s="24"/>
      <c r="AI307" s="27"/>
      <c r="AJ307" s="39">
        <f t="shared" si="1"/>
        <v>1362</v>
      </c>
      <c r="AK307" s="35">
        <f t="shared" si="2"/>
        <v>120</v>
      </c>
      <c r="AL307" s="35">
        <f t="shared" si="3"/>
        <v>0</v>
      </c>
      <c r="AM307" s="35">
        <f t="shared" si="4"/>
        <v>120</v>
      </c>
      <c r="AN307" s="40">
        <f t="shared" si="5"/>
        <v>11.35</v>
      </c>
    </row>
    <row r="308" ht="15.75" customHeight="1">
      <c r="A308" s="32" t="s">
        <v>29</v>
      </c>
      <c r="B308" s="34">
        <f t="shared" si="6"/>
        <v>44868</v>
      </c>
      <c r="C308" s="35">
        <v>11.0</v>
      </c>
      <c r="D308" s="35" t="s">
        <v>34</v>
      </c>
      <c r="E308" s="37"/>
      <c r="F308" s="23"/>
      <c r="H308" s="24"/>
      <c r="J308" s="24"/>
      <c r="L308" s="25">
        <v>60.0</v>
      </c>
      <c r="N308" s="26">
        <v>60.0</v>
      </c>
      <c r="P308" s="24"/>
      <c r="R308" s="26">
        <v>0.0</v>
      </c>
      <c r="T308" s="24"/>
      <c r="V308" s="24"/>
      <c r="W308" s="27"/>
      <c r="X308" s="23"/>
      <c r="Z308" s="24"/>
      <c r="AB308" s="24"/>
      <c r="AD308" s="24"/>
      <c r="AF308" s="24"/>
      <c r="AH308" s="24"/>
      <c r="AI308" s="27"/>
      <c r="AJ308" s="39">
        <f t="shared" si="1"/>
        <v>1362</v>
      </c>
      <c r="AK308" s="35">
        <f t="shared" si="2"/>
        <v>120</v>
      </c>
      <c r="AL308" s="35">
        <f t="shared" si="3"/>
        <v>0</v>
      </c>
      <c r="AM308" s="35">
        <f t="shared" si="4"/>
        <v>120</v>
      </c>
      <c r="AN308" s="40">
        <f t="shared" si="5"/>
        <v>11.35</v>
      </c>
    </row>
    <row r="309" ht="15.75" customHeight="1">
      <c r="A309" s="32" t="s">
        <v>30</v>
      </c>
      <c r="B309" s="34">
        <f t="shared" si="6"/>
        <v>44869</v>
      </c>
      <c r="C309" s="35">
        <v>11.0</v>
      </c>
      <c r="D309" s="35" t="s">
        <v>34</v>
      </c>
      <c r="E309" s="37"/>
      <c r="F309" s="23"/>
      <c r="H309" s="24"/>
      <c r="J309" s="24"/>
      <c r="L309" s="25">
        <v>60.0</v>
      </c>
      <c r="N309" s="26">
        <v>60.0</v>
      </c>
      <c r="P309" s="24"/>
      <c r="R309" s="26">
        <v>0.0</v>
      </c>
      <c r="T309" s="24"/>
      <c r="V309" s="24"/>
      <c r="W309" s="27"/>
      <c r="X309" s="23"/>
      <c r="Z309" s="24"/>
      <c r="AB309" s="24"/>
      <c r="AD309" s="24"/>
      <c r="AF309" s="24"/>
      <c r="AH309" s="24"/>
      <c r="AI309" s="27"/>
      <c r="AJ309" s="39">
        <f t="shared" si="1"/>
        <v>1362</v>
      </c>
      <c r="AK309" s="35">
        <f t="shared" si="2"/>
        <v>120</v>
      </c>
      <c r="AL309" s="35">
        <f t="shared" si="3"/>
        <v>0</v>
      </c>
      <c r="AM309" s="35">
        <f t="shared" si="4"/>
        <v>120</v>
      </c>
      <c r="AN309" s="40">
        <f t="shared" si="5"/>
        <v>11.35</v>
      </c>
    </row>
    <row r="310" ht="15.75" customHeight="1">
      <c r="A310" s="48" t="s">
        <v>31</v>
      </c>
      <c r="B310" s="50">
        <f t="shared" si="6"/>
        <v>44870</v>
      </c>
      <c r="C310" s="51">
        <v>11.0</v>
      </c>
      <c r="D310" s="51" t="s">
        <v>34</v>
      </c>
      <c r="E310" s="53"/>
      <c r="F310" s="54"/>
      <c r="G310" s="56"/>
      <c r="H310" s="57"/>
      <c r="I310" s="56"/>
      <c r="J310" s="57"/>
      <c r="K310" s="56"/>
      <c r="L310" s="58">
        <v>60.0</v>
      </c>
      <c r="M310" s="56"/>
      <c r="N310" s="59">
        <v>60.0</v>
      </c>
      <c r="O310" s="56"/>
      <c r="P310" s="57"/>
      <c r="Q310" s="56"/>
      <c r="R310" s="59">
        <v>0.0</v>
      </c>
      <c r="S310" s="56"/>
      <c r="T310" s="57"/>
      <c r="U310" s="56"/>
      <c r="V310" s="57"/>
      <c r="W310" s="60"/>
      <c r="X310" s="54"/>
      <c r="Y310" s="56"/>
      <c r="Z310" s="57"/>
      <c r="AA310" s="56"/>
      <c r="AB310" s="57"/>
      <c r="AC310" s="56"/>
      <c r="AD310" s="57"/>
      <c r="AE310" s="56"/>
      <c r="AF310" s="57"/>
      <c r="AG310" s="56"/>
      <c r="AH310" s="57"/>
      <c r="AI310" s="60"/>
      <c r="AJ310" s="61">
        <f t="shared" si="1"/>
        <v>1362</v>
      </c>
      <c r="AK310" s="51">
        <f t="shared" si="2"/>
        <v>120</v>
      </c>
      <c r="AL310" s="51">
        <f t="shared" si="3"/>
        <v>0</v>
      </c>
      <c r="AM310" s="51">
        <f t="shared" si="4"/>
        <v>120</v>
      </c>
      <c r="AN310" s="63">
        <f t="shared" si="5"/>
        <v>11.35</v>
      </c>
    </row>
    <row r="311" ht="15.75" customHeight="1">
      <c r="A311" s="18" t="s">
        <v>20</v>
      </c>
      <c r="B311" s="64">
        <f t="shared" si="6"/>
        <v>44871</v>
      </c>
      <c r="C311" s="20">
        <v>12.0</v>
      </c>
      <c r="D311" s="20" t="s">
        <v>21</v>
      </c>
      <c r="E311" s="22"/>
      <c r="F311" s="23"/>
      <c r="H311" s="24"/>
      <c r="J311" s="24"/>
      <c r="L311" s="25">
        <v>60.0</v>
      </c>
      <c r="N311" s="26">
        <v>60.0</v>
      </c>
      <c r="P311" s="24"/>
      <c r="R311" s="26">
        <v>0.0</v>
      </c>
      <c r="T311" s="24"/>
      <c r="V311" s="24"/>
      <c r="W311" s="27"/>
      <c r="X311" s="23"/>
      <c r="Z311" s="24"/>
      <c r="AB311" s="24"/>
      <c r="AD311" s="24"/>
      <c r="AF311" s="24"/>
      <c r="AH311" s="24"/>
      <c r="AI311" s="27"/>
      <c r="AJ311" s="28">
        <f t="shared" si="1"/>
        <v>1362</v>
      </c>
      <c r="AK311" s="20">
        <f t="shared" si="2"/>
        <v>120</v>
      </c>
      <c r="AL311" s="20">
        <f t="shared" si="3"/>
        <v>0</v>
      </c>
      <c r="AM311" s="20">
        <f t="shared" si="4"/>
        <v>120</v>
      </c>
      <c r="AN311" s="31">
        <f t="shared" si="5"/>
        <v>11.35</v>
      </c>
    </row>
    <row r="312" ht="15.75" customHeight="1">
      <c r="A312" s="32" t="s">
        <v>22</v>
      </c>
      <c r="B312" s="34">
        <f t="shared" si="6"/>
        <v>44872</v>
      </c>
      <c r="C312" s="35">
        <v>12.0</v>
      </c>
      <c r="D312" s="35" t="s">
        <v>21</v>
      </c>
      <c r="E312" s="37"/>
      <c r="F312" s="23"/>
      <c r="H312" s="24"/>
      <c r="J312" s="24"/>
      <c r="L312" s="25">
        <v>60.0</v>
      </c>
      <c r="N312" s="26">
        <v>60.0</v>
      </c>
      <c r="P312" s="24"/>
      <c r="R312" s="26">
        <v>0.0</v>
      </c>
      <c r="T312" s="24"/>
      <c r="V312" s="24"/>
      <c r="W312" s="27"/>
      <c r="X312" s="23"/>
      <c r="Z312" s="24"/>
      <c r="AB312" s="24"/>
      <c r="AD312" s="24"/>
      <c r="AF312" s="24"/>
      <c r="AH312" s="24"/>
      <c r="AI312" s="27"/>
      <c r="AJ312" s="39">
        <f t="shared" si="1"/>
        <v>1362</v>
      </c>
      <c r="AK312" s="35">
        <f t="shared" si="2"/>
        <v>120</v>
      </c>
      <c r="AL312" s="35">
        <f t="shared" si="3"/>
        <v>0</v>
      </c>
      <c r="AM312" s="35">
        <f t="shared" si="4"/>
        <v>120</v>
      </c>
      <c r="AN312" s="40">
        <f t="shared" si="5"/>
        <v>11.35</v>
      </c>
    </row>
    <row r="313" ht="15.75" customHeight="1">
      <c r="A313" s="32" t="s">
        <v>24</v>
      </c>
      <c r="B313" s="34">
        <f t="shared" si="6"/>
        <v>44873</v>
      </c>
      <c r="C313" s="35">
        <v>12.0</v>
      </c>
      <c r="D313" s="35" t="s">
        <v>21</v>
      </c>
      <c r="E313" s="37"/>
      <c r="F313" s="23"/>
      <c r="H313" s="24"/>
      <c r="J313" s="24"/>
      <c r="L313" s="25">
        <v>60.0</v>
      </c>
      <c r="N313" s="26">
        <v>60.0</v>
      </c>
      <c r="P313" s="24"/>
      <c r="R313" s="26">
        <v>0.0</v>
      </c>
      <c r="T313" s="24"/>
      <c r="V313" s="24"/>
      <c r="W313" s="27"/>
      <c r="X313" s="23"/>
      <c r="Z313" s="24"/>
      <c r="AB313" s="24"/>
      <c r="AD313" s="24"/>
      <c r="AF313" s="24"/>
      <c r="AH313" s="24"/>
      <c r="AI313" s="27"/>
      <c r="AJ313" s="39">
        <f t="shared" si="1"/>
        <v>1362</v>
      </c>
      <c r="AK313" s="35">
        <f t="shared" si="2"/>
        <v>120</v>
      </c>
      <c r="AL313" s="35">
        <f t="shared" si="3"/>
        <v>0</v>
      </c>
      <c r="AM313" s="35">
        <f t="shared" si="4"/>
        <v>120</v>
      </c>
      <c r="AN313" s="40">
        <f t="shared" si="5"/>
        <v>11.35</v>
      </c>
    </row>
    <row r="314" ht="15.75" customHeight="1">
      <c r="A314" s="32" t="s">
        <v>28</v>
      </c>
      <c r="B314" s="34">
        <f t="shared" si="6"/>
        <v>44874</v>
      </c>
      <c r="C314" s="35">
        <v>12.0</v>
      </c>
      <c r="D314" s="35" t="s">
        <v>21</v>
      </c>
      <c r="E314" s="37"/>
      <c r="F314" s="23"/>
      <c r="H314" s="24"/>
      <c r="J314" s="24"/>
      <c r="L314" s="25">
        <v>60.0</v>
      </c>
      <c r="N314" s="26">
        <v>60.0</v>
      </c>
      <c r="P314" s="24"/>
      <c r="R314" s="26">
        <v>0.0</v>
      </c>
      <c r="T314" s="24"/>
      <c r="V314" s="24"/>
      <c r="W314" s="27"/>
      <c r="X314" s="23"/>
      <c r="Z314" s="24"/>
      <c r="AB314" s="24"/>
      <c r="AD314" s="24"/>
      <c r="AF314" s="24"/>
      <c r="AH314" s="24"/>
      <c r="AI314" s="27"/>
      <c r="AJ314" s="39">
        <f t="shared" si="1"/>
        <v>1362</v>
      </c>
      <c r="AK314" s="35">
        <f t="shared" si="2"/>
        <v>120</v>
      </c>
      <c r="AL314" s="35">
        <f t="shared" si="3"/>
        <v>0</v>
      </c>
      <c r="AM314" s="35">
        <f t="shared" si="4"/>
        <v>120</v>
      </c>
      <c r="AN314" s="40">
        <f t="shared" si="5"/>
        <v>11.35</v>
      </c>
    </row>
    <row r="315" ht="15.75" customHeight="1">
      <c r="A315" s="32" t="s">
        <v>29</v>
      </c>
      <c r="B315" s="34">
        <f t="shared" si="6"/>
        <v>44875</v>
      </c>
      <c r="C315" s="35">
        <v>12.0</v>
      </c>
      <c r="D315" s="35" t="s">
        <v>21</v>
      </c>
      <c r="E315" s="37"/>
      <c r="F315" s="23"/>
      <c r="H315" s="24"/>
      <c r="J315" s="24"/>
      <c r="L315" s="25">
        <v>60.0</v>
      </c>
      <c r="N315" s="26">
        <v>60.0</v>
      </c>
      <c r="P315" s="24"/>
      <c r="R315" s="26">
        <v>0.0</v>
      </c>
      <c r="T315" s="24"/>
      <c r="V315" s="24"/>
      <c r="W315" s="27"/>
      <c r="X315" s="23"/>
      <c r="Z315" s="24"/>
      <c r="AB315" s="24"/>
      <c r="AD315" s="24"/>
      <c r="AF315" s="24"/>
      <c r="AH315" s="24"/>
      <c r="AI315" s="27"/>
      <c r="AJ315" s="39">
        <f t="shared" si="1"/>
        <v>1362</v>
      </c>
      <c r="AK315" s="35">
        <f t="shared" si="2"/>
        <v>120</v>
      </c>
      <c r="AL315" s="35">
        <f t="shared" si="3"/>
        <v>0</v>
      </c>
      <c r="AM315" s="35">
        <f t="shared" si="4"/>
        <v>120</v>
      </c>
      <c r="AN315" s="40">
        <f t="shared" si="5"/>
        <v>11.35</v>
      </c>
    </row>
    <row r="316" ht="15.75" customHeight="1">
      <c r="A316" s="32" t="s">
        <v>30</v>
      </c>
      <c r="B316" s="34">
        <f t="shared" si="6"/>
        <v>44876</v>
      </c>
      <c r="C316" s="35">
        <v>12.0</v>
      </c>
      <c r="D316" s="35" t="s">
        <v>21</v>
      </c>
      <c r="E316" s="37"/>
      <c r="F316" s="23"/>
      <c r="H316" s="24"/>
      <c r="J316" s="24"/>
      <c r="L316" s="25">
        <v>60.0</v>
      </c>
      <c r="N316" s="26">
        <v>60.0</v>
      </c>
      <c r="P316" s="24"/>
      <c r="R316" s="26">
        <v>0.0</v>
      </c>
      <c r="T316" s="24"/>
      <c r="V316" s="24"/>
      <c r="W316" s="27"/>
      <c r="X316" s="23"/>
      <c r="Z316" s="24"/>
      <c r="AB316" s="24"/>
      <c r="AD316" s="24"/>
      <c r="AF316" s="24"/>
      <c r="AH316" s="24"/>
      <c r="AI316" s="27"/>
      <c r="AJ316" s="39">
        <f t="shared" si="1"/>
        <v>1362</v>
      </c>
      <c r="AK316" s="35">
        <f t="shared" si="2"/>
        <v>120</v>
      </c>
      <c r="AL316" s="35">
        <f t="shared" si="3"/>
        <v>0</v>
      </c>
      <c r="AM316" s="35">
        <f t="shared" si="4"/>
        <v>120</v>
      </c>
      <c r="AN316" s="40">
        <f t="shared" si="5"/>
        <v>11.35</v>
      </c>
    </row>
    <row r="317" ht="15.75" customHeight="1">
      <c r="A317" s="48" t="s">
        <v>31</v>
      </c>
      <c r="B317" s="50">
        <f t="shared" si="6"/>
        <v>44877</v>
      </c>
      <c r="C317" s="51">
        <v>12.0</v>
      </c>
      <c r="D317" s="51" t="s">
        <v>21</v>
      </c>
      <c r="E317" s="53"/>
      <c r="F317" s="54"/>
      <c r="G317" s="56"/>
      <c r="H317" s="57"/>
      <c r="I317" s="56"/>
      <c r="J317" s="57"/>
      <c r="K317" s="56"/>
      <c r="L317" s="58">
        <v>60.0</v>
      </c>
      <c r="M317" s="56"/>
      <c r="N317" s="59">
        <v>60.0</v>
      </c>
      <c r="O317" s="56"/>
      <c r="P317" s="57"/>
      <c r="Q317" s="56"/>
      <c r="R317" s="59">
        <v>0.0</v>
      </c>
      <c r="S317" s="56"/>
      <c r="T317" s="57"/>
      <c r="U317" s="56"/>
      <c r="V317" s="57"/>
      <c r="W317" s="60"/>
      <c r="X317" s="54"/>
      <c r="Y317" s="56"/>
      <c r="Z317" s="57"/>
      <c r="AA317" s="56"/>
      <c r="AB317" s="57"/>
      <c r="AC317" s="56"/>
      <c r="AD317" s="57"/>
      <c r="AE317" s="56"/>
      <c r="AF317" s="57"/>
      <c r="AG317" s="56"/>
      <c r="AH317" s="57"/>
      <c r="AI317" s="60"/>
      <c r="AJ317" s="61">
        <f t="shared" si="1"/>
        <v>1362</v>
      </c>
      <c r="AK317" s="51">
        <f t="shared" si="2"/>
        <v>120</v>
      </c>
      <c r="AL317" s="51">
        <f t="shared" si="3"/>
        <v>0</v>
      </c>
      <c r="AM317" s="51">
        <f t="shared" si="4"/>
        <v>120</v>
      </c>
      <c r="AN317" s="63">
        <f t="shared" si="5"/>
        <v>11.35</v>
      </c>
    </row>
    <row r="318" ht="15.75" customHeight="1">
      <c r="A318" s="18" t="s">
        <v>20</v>
      </c>
      <c r="B318" s="64">
        <f t="shared" si="6"/>
        <v>44878</v>
      </c>
      <c r="C318" s="20">
        <v>12.0</v>
      </c>
      <c r="D318" s="20" t="s">
        <v>32</v>
      </c>
      <c r="E318" s="22"/>
      <c r="F318" s="23"/>
      <c r="H318" s="24"/>
      <c r="J318" s="24"/>
      <c r="L318" s="25">
        <v>60.0</v>
      </c>
      <c r="N318" s="26">
        <v>60.0</v>
      </c>
      <c r="P318" s="24"/>
      <c r="R318" s="26">
        <v>0.0</v>
      </c>
      <c r="T318" s="24"/>
      <c r="V318" s="24"/>
      <c r="W318" s="27"/>
      <c r="X318" s="23"/>
      <c r="Z318" s="24"/>
      <c r="AB318" s="24"/>
      <c r="AD318" s="24"/>
      <c r="AF318" s="24"/>
      <c r="AH318" s="24"/>
      <c r="AI318" s="27"/>
      <c r="AJ318" s="28">
        <f t="shared" si="1"/>
        <v>1362</v>
      </c>
      <c r="AK318" s="20">
        <f t="shared" si="2"/>
        <v>120</v>
      </c>
      <c r="AL318" s="20">
        <f t="shared" si="3"/>
        <v>0</v>
      </c>
      <c r="AM318" s="20">
        <f t="shared" si="4"/>
        <v>120</v>
      </c>
      <c r="AN318" s="31">
        <f t="shared" si="5"/>
        <v>11.35</v>
      </c>
    </row>
    <row r="319" ht="15.75" customHeight="1">
      <c r="A319" s="32" t="s">
        <v>22</v>
      </c>
      <c r="B319" s="34">
        <f t="shared" si="6"/>
        <v>44879</v>
      </c>
      <c r="C319" s="35">
        <v>12.0</v>
      </c>
      <c r="D319" s="35" t="s">
        <v>32</v>
      </c>
      <c r="E319" s="37"/>
      <c r="F319" s="23"/>
      <c r="H319" s="24"/>
      <c r="J319" s="24"/>
      <c r="L319" s="25">
        <v>60.0</v>
      </c>
      <c r="N319" s="26">
        <v>60.0</v>
      </c>
      <c r="P319" s="24"/>
      <c r="R319" s="26">
        <v>0.0</v>
      </c>
      <c r="T319" s="24"/>
      <c r="V319" s="24"/>
      <c r="W319" s="27"/>
      <c r="X319" s="23"/>
      <c r="Z319" s="24"/>
      <c r="AB319" s="24"/>
      <c r="AD319" s="24"/>
      <c r="AF319" s="24"/>
      <c r="AH319" s="24"/>
      <c r="AI319" s="27"/>
      <c r="AJ319" s="39">
        <f t="shared" si="1"/>
        <v>1362</v>
      </c>
      <c r="AK319" s="35">
        <f t="shared" si="2"/>
        <v>120</v>
      </c>
      <c r="AL319" s="35">
        <f t="shared" si="3"/>
        <v>0</v>
      </c>
      <c r="AM319" s="35">
        <f t="shared" si="4"/>
        <v>120</v>
      </c>
      <c r="AN319" s="40">
        <f t="shared" si="5"/>
        <v>11.35</v>
      </c>
    </row>
    <row r="320" ht="15.75" customHeight="1">
      <c r="A320" s="32" t="s">
        <v>24</v>
      </c>
      <c r="B320" s="34">
        <f t="shared" si="6"/>
        <v>44880</v>
      </c>
      <c r="C320" s="35">
        <v>12.0</v>
      </c>
      <c r="D320" s="35" t="s">
        <v>32</v>
      </c>
      <c r="E320" s="37"/>
      <c r="F320" s="23"/>
      <c r="H320" s="24"/>
      <c r="J320" s="24"/>
      <c r="L320" s="25">
        <v>60.0</v>
      </c>
      <c r="N320" s="26">
        <v>60.0</v>
      </c>
      <c r="P320" s="24"/>
      <c r="R320" s="26">
        <v>0.0</v>
      </c>
      <c r="T320" s="24"/>
      <c r="V320" s="24"/>
      <c r="W320" s="27"/>
      <c r="X320" s="23"/>
      <c r="Z320" s="24"/>
      <c r="AB320" s="24"/>
      <c r="AD320" s="24"/>
      <c r="AF320" s="24"/>
      <c r="AH320" s="24"/>
      <c r="AI320" s="27"/>
      <c r="AJ320" s="39">
        <f t="shared" si="1"/>
        <v>1362</v>
      </c>
      <c r="AK320" s="35">
        <f t="shared" si="2"/>
        <v>120</v>
      </c>
      <c r="AL320" s="35">
        <f t="shared" si="3"/>
        <v>0</v>
      </c>
      <c r="AM320" s="35">
        <f t="shared" si="4"/>
        <v>120</v>
      </c>
      <c r="AN320" s="40">
        <f t="shared" si="5"/>
        <v>11.35</v>
      </c>
    </row>
    <row r="321" ht="15.75" customHeight="1">
      <c r="A321" s="32" t="s">
        <v>28</v>
      </c>
      <c r="B321" s="34">
        <f t="shared" si="6"/>
        <v>44881</v>
      </c>
      <c r="C321" s="35">
        <v>12.0</v>
      </c>
      <c r="D321" s="35" t="s">
        <v>32</v>
      </c>
      <c r="E321" s="37"/>
      <c r="F321" s="23"/>
      <c r="H321" s="24"/>
      <c r="J321" s="24"/>
      <c r="L321" s="25">
        <v>60.0</v>
      </c>
      <c r="N321" s="26">
        <v>60.0</v>
      </c>
      <c r="P321" s="24"/>
      <c r="R321" s="26">
        <v>0.0</v>
      </c>
      <c r="T321" s="24"/>
      <c r="V321" s="24"/>
      <c r="W321" s="27"/>
      <c r="X321" s="23"/>
      <c r="Z321" s="24"/>
      <c r="AB321" s="24"/>
      <c r="AD321" s="24"/>
      <c r="AF321" s="24"/>
      <c r="AH321" s="24"/>
      <c r="AI321" s="27"/>
      <c r="AJ321" s="39">
        <f t="shared" si="1"/>
        <v>1362</v>
      </c>
      <c r="AK321" s="35">
        <f t="shared" si="2"/>
        <v>120</v>
      </c>
      <c r="AL321" s="35">
        <f t="shared" si="3"/>
        <v>0</v>
      </c>
      <c r="AM321" s="35">
        <f t="shared" si="4"/>
        <v>120</v>
      </c>
      <c r="AN321" s="40">
        <f t="shared" si="5"/>
        <v>11.35</v>
      </c>
    </row>
    <row r="322" ht="15.75" customHeight="1">
      <c r="A322" s="32" t="s">
        <v>29</v>
      </c>
      <c r="B322" s="34">
        <f t="shared" si="6"/>
        <v>44882</v>
      </c>
      <c r="C322" s="35">
        <v>12.0</v>
      </c>
      <c r="D322" s="35" t="s">
        <v>32</v>
      </c>
      <c r="E322" s="37"/>
      <c r="F322" s="23"/>
      <c r="H322" s="24"/>
      <c r="J322" s="24"/>
      <c r="L322" s="25">
        <v>60.0</v>
      </c>
      <c r="N322" s="26">
        <v>60.0</v>
      </c>
      <c r="P322" s="24"/>
      <c r="R322" s="26">
        <v>0.0</v>
      </c>
      <c r="T322" s="24"/>
      <c r="V322" s="24"/>
      <c r="W322" s="27"/>
      <c r="X322" s="23"/>
      <c r="Z322" s="24"/>
      <c r="AB322" s="24"/>
      <c r="AD322" s="24"/>
      <c r="AF322" s="24"/>
      <c r="AH322" s="24"/>
      <c r="AI322" s="27"/>
      <c r="AJ322" s="39">
        <f t="shared" si="1"/>
        <v>1362</v>
      </c>
      <c r="AK322" s="35">
        <f t="shared" si="2"/>
        <v>120</v>
      </c>
      <c r="AL322" s="35">
        <f t="shared" si="3"/>
        <v>0</v>
      </c>
      <c r="AM322" s="35">
        <f t="shared" si="4"/>
        <v>120</v>
      </c>
      <c r="AN322" s="40">
        <f t="shared" si="5"/>
        <v>11.35</v>
      </c>
    </row>
    <row r="323" ht="15.75" customHeight="1">
      <c r="A323" s="32" t="s">
        <v>30</v>
      </c>
      <c r="B323" s="34">
        <f t="shared" si="6"/>
        <v>44883</v>
      </c>
      <c r="C323" s="35">
        <v>12.0</v>
      </c>
      <c r="D323" s="35" t="s">
        <v>32</v>
      </c>
      <c r="E323" s="37"/>
      <c r="F323" s="23"/>
      <c r="H323" s="24"/>
      <c r="J323" s="24"/>
      <c r="L323" s="25">
        <v>60.0</v>
      </c>
      <c r="N323" s="26">
        <v>60.0</v>
      </c>
      <c r="P323" s="24"/>
      <c r="R323" s="26">
        <v>0.0</v>
      </c>
      <c r="T323" s="24"/>
      <c r="V323" s="24"/>
      <c r="W323" s="27"/>
      <c r="X323" s="23"/>
      <c r="Z323" s="24"/>
      <c r="AB323" s="24"/>
      <c r="AD323" s="24"/>
      <c r="AF323" s="24"/>
      <c r="AH323" s="24"/>
      <c r="AI323" s="27"/>
      <c r="AJ323" s="39">
        <f t="shared" si="1"/>
        <v>1362</v>
      </c>
      <c r="AK323" s="35">
        <f t="shared" si="2"/>
        <v>120</v>
      </c>
      <c r="AL323" s="35">
        <f t="shared" si="3"/>
        <v>0</v>
      </c>
      <c r="AM323" s="35">
        <f t="shared" si="4"/>
        <v>120</v>
      </c>
      <c r="AN323" s="40">
        <f t="shared" si="5"/>
        <v>11.35</v>
      </c>
    </row>
    <row r="324" ht="15.75" customHeight="1">
      <c r="A324" s="48" t="s">
        <v>31</v>
      </c>
      <c r="B324" s="50">
        <f t="shared" si="6"/>
        <v>44884</v>
      </c>
      <c r="C324" s="51">
        <v>12.0</v>
      </c>
      <c r="D324" s="51" t="s">
        <v>32</v>
      </c>
      <c r="E324" s="100"/>
      <c r="F324" s="54"/>
      <c r="G324" s="56"/>
      <c r="H324" s="57"/>
      <c r="I324" s="56"/>
      <c r="J324" s="57"/>
      <c r="K324" s="56"/>
      <c r="L324" s="58">
        <v>0.0</v>
      </c>
      <c r="M324" s="56"/>
      <c r="N324" s="59">
        <v>0.0</v>
      </c>
      <c r="O324" s="56"/>
      <c r="P324" s="57"/>
      <c r="Q324" s="56"/>
      <c r="R324" s="59">
        <v>0.0</v>
      </c>
      <c r="S324" s="56"/>
      <c r="T324" s="57"/>
      <c r="U324" s="56"/>
      <c r="V324" s="57"/>
      <c r="W324" s="60"/>
      <c r="X324" s="54"/>
      <c r="Y324" s="56"/>
      <c r="Z324" s="57"/>
      <c r="AA324" s="56"/>
      <c r="AB324" s="57"/>
      <c r="AC324" s="56"/>
      <c r="AD324" s="57"/>
      <c r="AE324" s="56"/>
      <c r="AF324" s="57"/>
      <c r="AG324" s="56"/>
      <c r="AH324" s="57"/>
      <c r="AI324" s="60"/>
      <c r="AJ324" s="61">
        <f t="shared" si="1"/>
        <v>0</v>
      </c>
      <c r="AK324" s="51">
        <f t="shared" si="2"/>
        <v>0</v>
      </c>
      <c r="AL324" s="51">
        <f t="shared" si="3"/>
        <v>0</v>
      </c>
      <c r="AM324" s="51">
        <f t="shared" si="4"/>
        <v>0</v>
      </c>
      <c r="AN324" s="63" t="str">
        <f t="shared" si="5"/>
        <v/>
      </c>
    </row>
    <row r="325" ht="15.75" customHeight="1">
      <c r="A325" s="18" t="s">
        <v>20</v>
      </c>
      <c r="B325" s="64">
        <f t="shared" si="6"/>
        <v>44885</v>
      </c>
      <c r="C325" s="20">
        <v>12.0</v>
      </c>
      <c r="D325" s="20" t="s">
        <v>33</v>
      </c>
      <c r="E325" s="22"/>
      <c r="F325" s="23"/>
      <c r="H325" s="24"/>
      <c r="J325" s="24"/>
      <c r="L325" s="25">
        <v>0.0</v>
      </c>
      <c r="N325" s="26">
        <v>0.0</v>
      </c>
      <c r="P325" s="24"/>
      <c r="R325" s="26">
        <v>0.0</v>
      </c>
      <c r="T325" s="24"/>
      <c r="V325" s="24"/>
      <c r="W325" s="27"/>
      <c r="X325" s="23"/>
      <c r="Z325" s="24"/>
      <c r="AB325" s="24"/>
      <c r="AD325" s="24"/>
      <c r="AF325" s="24"/>
      <c r="AH325" s="24"/>
      <c r="AI325" s="27"/>
      <c r="AJ325" s="28">
        <f t="shared" si="1"/>
        <v>0</v>
      </c>
      <c r="AK325" s="20">
        <f t="shared" si="2"/>
        <v>0</v>
      </c>
      <c r="AL325" s="20">
        <f t="shared" si="3"/>
        <v>0</v>
      </c>
      <c r="AM325" s="20">
        <f t="shared" si="4"/>
        <v>0</v>
      </c>
      <c r="AN325" s="31" t="str">
        <f t="shared" si="5"/>
        <v/>
      </c>
    </row>
    <row r="326" ht="15.75" customHeight="1">
      <c r="A326" s="32" t="s">
        <v>22</v>
      </c>
      <c r="B326" s="34">
        <f t="shared" si="6"/>
        <v>44886</v>
      </c>
      <c r="C326" s="35">
        <v>12.0</v>
      </c>
      <c r="D326" s="35" t="s">
        <v>33</v>
      </c>
      <c r="E326" s="37"/>
      <c r="F326" s="23"/>
      <c r="H326" s="24"/>
      <c r="J326" s="24"/>
      <c r="L326" s="25">
        <v>0.0</v>
      </c>
      <c r="N326" s="26">
        <v>0.0</v>
      </c>
      <c r="P326" s="24"/>
      <c r="R326" s="26">
        <v>0.0</v>
      </c>
      <c r="T326" s="24"/>
      <c r="V326" s="24"/>
      <c r="W326" s="27"/>
      <c r="X326" s="23"/>
      <c r="Z326" s="24"/>
      <c r="AB326" s="24"/>
      <c r="AD326" s="24"/>
      <c r="AF326" s="24"/>
      <c r="AH326" s="24"/>
      <c r="AI326" s="27"/>
      <c r="AJ326" s="39">
        <f t="shared" si="1"/>
        <v>0</v>
      </c>
      <c r="AK326" s="35">
        <f t="shared" si="2"/>
        <v>0</v>
      </c>
      <c r="AL326" s="35">
        <f t="shared" si="3"/>
        <v>0</v>
      </c>
      <c r="AM326" s="35">
        <f t="shared" si="4"/>
        <v>0</v>
      </c>
      <c r="AN326" s="40" t="str">
        <f t="shared" si="5"/>
        <v/>
      </c>
    </row>
    <row r="327" ht="15.75" customHeight="1">
      <c r="A327" s="32" t="s">
        <v>24</v>
      </c>
      <c r="B327" s="34">
        <f t="shared" si="6"/>
        <v>44887</v>
      </c>
      <c r="C327" s="35">
        <v>12.0</v>
      </c>
      <c r="D327" s="35" t="s">
        <v>33</v>
      </c>
      <c r="E327" s="37"/>
      <c r="F327" s="23"/>
      <c r="H327" s="24"/>
      <c r="J327" s="24"/>
      <c r="L327" s="25">
        <v>0.0</v>
      </c>
      <c r="N327" s="26">
        <v>0.0</v>
      </c>
      <c r="P327" s="24"/>
      <c r="R327" s="26">
        <v>0.0</v>
      </c>
      <c r="T327" s="24"/>
      <c r="V327" s="24"/>
      <c r="W327" s="27"/>
      <c r="X327" s="23"/>
      <c r="Z327" s="24"/>
      <c r="AB327" s="24"/>
      <c r="AD327" s="24"/>
      <c r="AF327" s="24"/>
      <c r="AH327" s="24"/>
      <c r="AI327" s="27"/>
      <c r="AJ327" s="39">
        <f t="shared" si="1"/>
        <v>0</v>
      </c>
      <c r="AK327" s="35">
        <f t="shared" si="2"/>
        <v>0</v>
      </c>
      <c r="AL327" s="35">
        <f t="shared" si="3"/>
        <v>0</v>
      </c>
      <c r="AM327" s="35">
        <f t="shared" si="4"/>
        <v>0</v>
      </c>
      <c r="AN327" s="40" t="str">
        <f t="shared" si="5"/>
        <v/>
      </c>
    </row>
    <row r="328" ht="15.75" customHeight="1">
      <c r="A328" s="32" t="s">
        <v>28</v>
      </c>
      <c r="B328" s="34">
        <f t="shared" si="6"/>
        <v>44888</v>
      </c>
      <c r="C328" s="35">
        <v>12.0</v>
      </c>
      <c r="D328" s="35" t="s">
        <v>33</v>
      </c>
      <c r="E328" s="37"/>
      <c r="F328" s="23"/>
      <c r="H328" s="24"/>
      <c r="J328" s="24"/>
      <c r="L328" s="25">
        <v>0.0</v>
      </c>
      <c r="N328" s="26">
        <v>0.0</v>
      </c>
      <c r="P328" s="24"/>
      <c r="R328" s="26">
        <v>0.0</v>
      </c>
      <c r="T328" s="24"/>
      <c r="V328" s="24"/>
      <c r="W328" s="27"/>
      <c r="X328" s="23"/>
      <c r="Z328" s="24"/>
      <c r="AB328" s="24"/>
      <c r="AD328" s="24"/>
      <c r="AF328" s="24"/>
      <c r="AH328" s="24"/>
      <c r="AI328" s="27"/>
      <c r="AJ328" s="39">
        <f t="shared" si="1"/>
        <v>0</v>
      </c>
      <c r="AK328" s="35">
        <f t="shared" si="2"/>
        <v>0</v>
      </c>
      <c r="AL328" s="35">
        <f t="shared" si="3"/>
        <v>0</v>
      </c>
      <c r="AM328" s="35">
        <f t="shared" si="4"/>
        <v>0</v>
      </c>
      <c r="AN328" s="40" t="str">
        <f t="shared" si="5"/>
        <v/>
      </c>
    </row>
    <row r="329" ht="15.75" customHeight="1">
      <c r="A329" s="32" t="s">
        <v>29</v>
      </c>
      <c r="B329" s="34">
        <f t="shared" si="6"/>
        <v>44889</v>
      </c>
      <c r="C329" s="35">
        <v>12.0</v>
      </c>
      <c r="D329" s="35" t="s">
        <v>33</v>
      </c>
      <c r="E329" s="37"/>
      <c r="F329" s="23"/>
      <c r="H329" s="24"/>
      <c r="J329" s="24"/>
      <c r="L329" s="25">
        <v>0.0</v>
      </c>
      <c r="N329" s="26">
        <v>0.0</v>
      </c>
      <c r="P329" s="24"/>
      <c r="R329" s="26">
        <v>0.0</v>
      </c>
      <c r="T329" s="24"/>
      <c r="V329" s="24"/>
      <c r="W329" s="27"/>
      <c r="X329" s="23"/>
      <c r="Z329" s="24"/>
      <c r="AB329" s="24"/>
      <c r="AD329" s="24"/>
      <c r="AF329" s="24"/>
      <c r="AH329" s="24"/>
      <c r="AI329" s="27"/>
      <c r="AJ329" s="39">
        <f t="shared" si="1"/>
        <v>0</v>
      </c>
      <c r="AK329" s="35">
        <f t="shared" si="2"/>
        <v>0</v>
      </c>
      <c r="AL329" s="35">
        <f t="shared" si="3"/>
        <v>0</v>
      </c>
      <c r="AM329" s="35">
        <f t="shared" si="4"/>
        <v>0</v>
      </c>
      <c r="AN329" s="40" t="str">
        <f t="shared" si="5"/>
        <v/>
      </c>
    </row>
    <row r="330" ht="15.75" customHeight="1">
      <c r="A330" s="32" t="s">
        <v>30</v>
      </c>
      <c r="B330" s="34">
        <f t="shared" si="6"/>
        <v>44890</v>
      </c>
      <c r="C330" s="35">
        <v>12.0</v>
      </c>
      <c r="D330" s="35" t="s">
        <v>33</v>
      </c>
      <c r="E330" s="37"/>
      <c r="F330" s="23"/>
      <c r="H330" s="24"/>
      <c r="J330" s="24"/>
      <c r="L330" s="25">
        <v>0.0</v>
      </c>
      <c r="N330" s="26">
        <v>0.0</v>
      </c>
      <c r="P330" s="24"/>
      <c r="R330" s="26">
        <v>0.0</v>
      </c>
      <c r="T330" s="24"/>
      <c r="V330" s="24"/>
      <c r="W330" s="27"/>
      <c r="X330" s="23"/>
      <c r="Z330" s="24"/>
      <c r="AB330" s="24"/>
      <c r="AD330" s="24"/>
      <c r="AF330" s="24"/>
      <c r="AH330" s="24"/>
      <c r="AI330" s="27"/>
      <c r="AJ330" s="39">
        <f t="shared" si="1"/>
        <v>0</v>
      </c>
      <c r="AK330" s="35">
        <f t="shared" si="2"/>
        <v>0</v>
      </c>
      <c r="AL330" s="35">
        <f t="shared" si="3"/>
        <v>0</v>
      </c>
      <c r="AM330" s="35">
        <f t="shared" si="4"/>
        <v>0</v>
      </c>
      <c r="AN330" s="40" t="str">
        <f t="shared" si="5"/>
        <v/>
      </c>
    </row>
    <row r="331" ht="15.75" customHeight="1">
      <c r="A331" s="48" t="s">
        <v>31</v>
      </c>
      <c r="B331" s="50">
        <f t="shared" si="6"/>
        <v>44891</v>
      </c>
      <c r="C331" s="51">
        <v>12.0</v>
      </c>
      <c r="D331" s="51" t="s">
        <v>33</v>
      </c>
      <c r="E331" s="53"/>
      <c r="F331" s="54"/>
      <c r="G331" s="56"/>
      <c r="H331" s="57"/>
      <c r="I331" s="56"/>
      <c r="J331" s="57"/>
      <c r="K331" s="56"/>
      <c r="L331" s="58">
        <v>0.0</v>
      </c>
      <c r="M331" s="56"/>
      <c r="N331" s="59">
        <v>0.0</v>
      </c>
      <c r="O331" s="56"/>
      <c r="P331" s="57"/>
      <c r="Q331" s="56"/>
      <c r="R331" s="59">
        <v>0.0</v>
      </c>
      <c r="S331" s="56"/>
      <c r="T331" s="57"/>
      <c r="U331" s="56"/>
      <c r="V331" s="57"/>
      <c r="W331" s="60"/>
      <c r="X331" s="54"/>
      <c r="Y331" s="56"/>
      <c r="Z331" s="57"/>
      <c r="AA331" s="56"/>
      <c r="AB331" s="57"/>
      <c r="AC331" s="56"/>
      <c r="AD331" s="57"/>
      <c r="AE331" s="56"/>
      <c r="AF331" s="57"/>
      <c r="AG331" s="56"/>
      <c r="AH331" s="57"/>
      <c r="AI331" s="60"/>
      <c r="AJ331" s="61">
        <f t="shared" si="1"/>
        <v>0</v>
      </c>
      <c r="AK331" s="51">
        <f t="shared" si="2"/>
        <v>0</v>
      </c>
      <c r="AL331" s="51">
        <f t="shared" si="3"/>
        <v>0</v>
      </c>
      <c r="AM331" s="51">
        <f t="shared" si="4"/>
        <v>0</v>
      </c>
      <c r="AN331" s="63" t="str">
        <f t="shared" si="5"/>
        <v/>
      </c>
    </row>
    <row r="332" ht="15.75" customHeight="1">
      <c r="A332" s="18" t="s">
        <v>20</v>
      </c>
      <c r="B332" s="64">
        <f t="shared" si="6"/>
        <v>44892</v>
      </c>
      <c r="C332" s="20">
        <v>12.0</v>
      </c>
      <c r="D332" s="20" t="s">
        <v>34</v>
      </c>
      <c r="E332" s="22"/>
      <c r="F332" s="23"/>
      <c r="H332" s="24"/>
      <c r="J332" s="24"/>
      <c r="L332" s="25">
        <v>0.0</v>
      </c>
      <c r="N332" s="26">
        <v>0.0</v>
      </c>
      <c r="P332" s="24"/>
      <c r="R332" s="26">
        <v>0.0</v>
      </c>
      <c r="T332" s="24"/>
      <c r="V332" s="24"/>
      <c r="W332" s="27"/>
      <c r="X332" s="23"/>
      <c r="Z332" s="24"/>
      <c r="AB332" s="24"/>
      <c r="AD332" s="24"/>
      <c r="AF332" s="24"/>
      <c r="AH332" s="24"/>
      <c r="AI332" s="27"/>
      <c r="AJ332" s="28">
        <f t="shared" si="1"/>
        <v>0</v>
      </c>
      <c r="AK332" s="20">
        <f t="shared" si="2"/>
        <v>0</v>
      </c>
      <c r="AL332" s="20">
        <f t="shared" si="3"/>
        <v>0</v>
      </c>
      <c r="AM332" s="20">
        <f t="shared" si="4"/>
        <v>0</v>
      </c>
      <c r="AN332" s="31" t="str">
        <f t="shared" si="5"/>
        <v/>
      </c>
    </row>
    <row r="333" ht="15.75" customHeight="1">
      <c r="A333" s="32" t="s">
        <v>22</v>
      </c>
      <c r="B333" s="34">
        <f t="shared" si="6"/>
        <v>44893</v>
      </c>
      <c r="C333" s="35">
        <v>12.0</v>
      </c>
      <c r="D333" s="35" t="s">
        <v>34</v>
      </c>
      <c r="E333" s="37"/>
      <c r="F333" s="23"/>
      <c r="H333" s="24"/>
      <c r="J333" s="24"/>
      <c r="L333" s="25">
        <v>0.0</v>
      </c>
      <c r="N333" s="26">
        <v>0.0</v>
      </c>
      <c r="P333" s="24"/>
      <c r="R333" s="26">
        <v>0.0</v>
      </c>
      <c r="T333" s="24"/>
      <c r="V333" s="24"/>
      <c r="W333" s="27"/>
      <c r="X333" s="23"/>
      <c r="Z333" s="24"/>
      <c r="AB333" s="24"/>
      <c r="AD333" s="24"/>
      <c r="AF333" s="24"/>
      <c r="AH333" s="24"/>
      <c r="AI333" s="27"/>
      <c r="AJ333" s="39">
        <f t="shared" si="1"/>
        <v>0</v>
      </c>
      <c r="AK333" s="35">
        <f t="shared" si="2"/>
        <v>0</v>
      </c>
      <c r="AL333" s="35">
        <f t="shared" si="3"/>
        <v>0</v>
      </c>
      <c r="AM333" s="35">
        <f t="shared" si="4"/>
        <v>0</v>
      </c>
      <c r="AN333" s="40" t="str">
        <f t="shared" si="5"/>
        <v/>
      </c>
    </row>
    <row r="334" ht="15.75" customHeight="1">
      <c r="A334" s="32" t="s">
        <v>24</v>
      </c>
      <c r="B334" s="34">
        <f t="shared" si="6"/>
        <v>44894</v>
      </c>
      <c r="C334" s="35">
        <v>12.0</v>
      </c>
      <c r="D334" s="35" t="s">
        <v>34</v>
      </c>
      <c r="E334" s="37"/>
      <c r="F334" s="23"/>
      <c r="H334" s="24"/>
      <c r="J334" s="24"/>
      <c r="L334" s="25">
        <v>0.0</v>
      </c>
      <c r="N334" s="26">
        <v>0.0</v>
      </c>
      <c r="P334" s="24"/>
      <c r="R334" s="26">
        <v>0.0</v>
      </c>
      <c r="T334" s="24"/>
      <c r="V334" s="24"/>
      <c r="W334" s="27"/>
      <c r="X334" s="23"/>
      <c r="Z334" s="24"/>
      <c r="AB334" s="24"/>
      <c r="AD334" s="24"/>
      <c r="AF334" s="24"/>
      <c r="AH334" s="24"/>
      <c r="AI334" s="27"/>
      <c r="AJ334" s="39">
        <f t="shared" si="1"/>
        <v>0</v>
      </c>
      <c r="AK334" s="35">
        <f t="shared" si="2"/>
        <v>0</v>
      </c>
      <c r="AL334" s="35">
        <f t="shared" si="3"/>
        <v>0</v>
      </c>
      <c r="AM334" s="35">
        <f t="shared" si="4"/>
        <v>0</v>
      </c>
      <c r="AN334" s="40" t="str">
        <f t="shared" si="5"/>
        <v/>
      </c>
    </row>
    <row r="335" ht="15.75" customHeight="1">
      <c r="A335" s="32" t="s">
        <v>28</v>
      </c>
      <c r="B335" s="34">
        <f t="shared" si="6"/>
        <v>44895</v>
      </c>
      <c r="C335" s="35">
        <v>12.0</v>
      </c>
      <c r="D335" s="35" t="s">
        <v>34</v>
      </c>
      <c r="E335" s="37"/>
      <c r="F335" s="23"/>
      <c r="H335" s="24"/>
      <c r="J335" s="24"/>
      <c r="L335" s="25">
        <v>0.0</v>
      </c>
      <c r="N335" s="26">
        <v>0.0</v>
      </c>
      <c r="P335" s="24"/>
      <c r="R335" s="26">
        <v>0.0</v>
      </c>
      <c r="T335" s="24"/>
      <c r="V335" s="24"/>
      <c r="W335" s="27"/>
      <c r="X335" s="23"/>
      <c r="Z335" s="24"/>
      <c r="AB335" s="24"/>
      <c r="AD335" s="24"/>
      <c r="AF335" s="24"/>
      <c r="AH335" s="24"/>
      <c r="AI335" s="27"/>
      <c r="AJ335" s="39">
        <f t="shared" si="1"/>
        <v>0</v>
      </c>
      <c r="AK335" s="35">
        <f t="shared" si="2"/>
        <v>0</v>
      </c>
      <c r="AL335" s="35">
        <f t="shared" si="3"/>
        <v>0</v>
      </c>
      <c r="AM335" s="35">
        <f t="shared" si="4"/>
        <v>0</v>
      </c>
      <c r="AN335" s="40" t="str">
        <f t="shared" si="5"/>
        <v/>
      </c>
    </row>
    <row r="336" ht="15.75" customHeight="1">
      <c r="A336" s="32" t="s">
        <v>29</v>
      </c>
      <c r="B336" s="34">
        <f t="shared" si="6"/>
        <v>44896</v>
      </c>
      <c r="C336" s="35">
        <v>12.0</v>
      </c>
      <c r="D336" s="35" t="s">
        <v>34</v>
      </c>
      <c r="E336" s="37"/>
      <c r="F336" s="23"/>
      <c r="H336" s="24"/>
      <c r="J336" s="24"/>
      <c r="L336" s="25">
        <v>0.0</v>
      </c>
      <c r="N336" s="26">
        <v>0.0</v>
      </c>
      <c r="P336" s="24"/>
      <c r="R336" s="26">
        <v>0.0</v>
      </c>
      <c r="T336" s="24"/>
      <c r="V336" s="24"/>
      <c r="W336" s="27"/>
      <c r="X336" s="23"/>
      <c r="Z336" s="24"/>
      <c r="AB336" s="24"/>
      <c r="AD336" s="24"/>
      <c r="AF336" s="24"/>
      <c r="AH336" s="24"/>
      <c r="AI336" s="27"/>
      <c r="AJ336" s="39">
        <f t="shared" si="1"/>
        <v>0</v>
      </c>
      <c r="AK336" s="35">
        <f t="shared" si="2"/>
        <v>0</v>
      </c>
      <c r="AL336" s="35">
        <f t="shared" si="3"/>
        <v>0</v>
      </c>
      <c r="AM336" s="35">
        <f t="shared" si="4"/>
        <v>0</v>
      </c>
      <c r="AN336" s="40" t="str">
        <f t="shared" si="5"/>
        <v/>
      </c>
    </row>
    <row r="337" ht="15.75" customHeight="1">
      <c r="A337" s="32" t="s">
        <v>30</v>
      </c>
      <c r="B337" s="34">
        <f t="shared" si="6"/>
        <v>44897</v>
      </c>
      <c r="C337" s="35">
        <v>12.0</v>
      </c>
      <c r="D337" s="35" t="s">
        <v>34</v>
      </c>
      <c r="E337" s="37"/>
      <c r="F337" s="23"/>
      <c r="H337" s="24"/>
      <c r="J337" s="24"/>
      <c r="L337" s="25">
        <v>0.0</v>
      </c>
      <c r="N337" s="26">
        <v>0.0</v>
      </c>
      <c r="P337" s="24"/>
      <c r="R337" s="26">
        <v>0.0</v>
      </c>
      <c r="T337" s="24"/>
      <c r="V337" s="24"/>
      <c r="W337" s="27"/>
      <c r="X337" s="23"/>
      <c r="Z337" s="24"/>
      <c r="AB337" s="24"/>
      <c r="AD337" s="24"/>
      <c r="AF337" s="24"/>
      <c r="AH337" s="24"/>
      <c r="AI337" s="27"/>
      <c r="AJ337" s="39">
        <f t="shared" si="1"/>
        <v>0</v>
      </c>
      <c r="AK337" s="35">
        <f t="shared" si="2"/>
        <v>0</v>
      </c>
      <c r="AL337" s="35">
        <f t="shared" si="3"/>
        <v>0</v>
      </c>
      <c r="AM337" s="35">
        <f t="shared" si="4"/>
        <v>0</v>
      </c>
      <c r="AN337" s="40" t="str">
        <f t="shared" si="5"/>
        <v/>
      </c>
    </row>
    <row r="338" ht="15.75" customHeight="1">
      <c r="A338" s="48" t="s">
        <v>31</v>
      </c>
      <c r="B338" s="50">
        <f t="shared" si="6"/>
        <v>44898</v>
      </c>
      <c r="C338" s="51">
        <v>12.0</v>
      </c>
      <c r="D338" s="51" t="s">
        <v>34</v>
      </c>
      <c r="E338" s="53"/>
      <c r="F338" s="54"/>
      <c r="G338" s="56"/>
      <c r="H338" s="57"/>
      <c r="I338" s="56"/>
      <c r="J338" s="57"/>
      <c r="K338" s="56"/>
      <c r="L338" s="58">
        <v>0.0</v>
      </c>
      <c r="M338" s="56"/>
      <c r="N338" s="59">
        <v>0.0</v>
      </c>
      <c r="O338" s="56"/>
      <c r="P338" s="57"/>
      <c r="Q338" s="56"/>
      <c r="R338" s="59">
        <v>0.0</v>
      </c>
      <c r="S338" s="56"/>
      <c r="T338" s="57"/>
      <c r="U338" s="56"/>
      <c r="V338" s="57"/>
      <c r="W338" s="60"/>
      <c r="X338" s="54"/>
      <c r="Y338" s="56"/>
      <c r="Z338" s="57"/>
      <c r="AA338" s="56"/>
      <c r="AB338" s="57"/>
      <c r="AC338" s="56"/>
      <c r="AD338" s="57"/>
      <c r="AE338" s="56"/>
      <c r="AF338" s="57"/>
      <c r="AG338" s="56"/>
      <c r="AH338" s="57"/>
      <c r="AI338" s="60"/>
      <c r="AJ338" s="61">
        <f t="shared" si="1"/>
        <v>0</v>
      </c>
      <c r="AK338" s="51">
        <f t="shared" si="2"/>
        <v>0</v>
      </c>
      <c r="AL338" s="51">
        <f t="shared" si="3"/>
        <v>0</v>
      </c>
      <c r="AM338" s="51">
        <f t="shared" si="4"/>
        <v>0</v>
      </c>
      <c r="AN338" s="63" t="str">
        <f t="shared" si="5"/>
        <v/>
      </c>
    </row>
    <row r="339" ht="15.75" customHeight="1">
      <c r="A339" s="18" t="s">
        <v>20</v>
      </c>
      <c r="B339" s="64">
        <f t="shared" si="6"/>
        <v>44899</v>
      </c>
      <c r="C339" s="20">
        <v>13.0</v>
      </c>
      <c r="D339" s="20" t="s">
        <v>21</v>
      </c>
      <c r="E339" s="22"/>
      <c r="F339" s="23"/>
      <c r="H339" s="24"/>
      <c r="J339" s="24"/>
      <c r="L339" s="25">
        <v>0.0</v>
      </c>
      <c r="N339" s="26">
        <v>0.0</v>
      </c>
      <c r="P339" s="24"/>
      <c r="R339" s="26">
        <v>0.0</v>
      </c>
      <c r="T339" s="24"/>
      <c r="V339" s="24"/>
      <c r="W339" s="27"/>
      <c r="X339" s="23"/>
      <c r="Z339" s="24"/>
      <c r="AB339" s="24"/>
      <c r="AD339" s="24"/>
      <c r="AF339" s="24"/>
      <c r="AH339" s="24"/>
      <c r="AI339" s="27"/>
      <c r="AJ339" s="28">
        <f t="shared" si="1"/>
        <v>0</v>
      </c>
      <c r="AK339" s="20">
        <f t="shared" si="2"/>
        <v>0</v>
      </c>
      <c r="AL339" s="20">
        <f t="shared" si="3"/>
        <v>0</v>
      </c>
      <c r="AM339" s="20">
        <f t="shared" si="4"/>
        <v>0</v>
      </c>
      <c r="AN339" s="31" t="str">
        <f t="shared" si="5"/>
        <v/>
      </c>
    </row>
    <row r="340" ht="15.75" customHeight="1">
      <c r="A340" s="32" t="s">
        <v>22</v>
      </c>
      <c r="B340" s="34">
        <f t="shared" si="6"/>
        <v>44900</v>
      </c>
      <c r="C340" s="35">
        <v>13.0</v>
      </c>
      <c r="D340" s="35" t="s">
        <v>21</v>
      </c>
      <c r="E340" s="37"/>
      <c r="F340" s="23"/>
      <c r="H340" s="24"/>
      <c r="J340" s="24"/>
      <c r="L340" s="25">
        <v>0.0</v>
      </c>
      <c r="N340" s="26">
        <v>0.0</v>
      </c>
      <c r="P340" s="24"/>
      <c r="R340" s="26">
        <v>0.0</v>
      </c>
      <c r="T340" s="24"/>
      <c r="V340" s="24"/>
      <c r="W340" s="27"/>
      <c r="X340" s="23"/>
      <c r="Z340" s="24"/>
      <c r="AB340" s="24"/>
      <c r="AD340" s="24"/>
      <c r="AF340" s="24"/>
      <c r="AH340" s="24"/>
      <c r="AI340" s="27"/>
      <c r="AJ340" s="39">
        <f t="shared" si="1"/>
        <v>0</v>
      </c>
      <c r="AK340" s="35">
        <f t="shared" si="2"/>
        <v>0</v>
      </c>
      <c r="AL340" s="35">
        <f t="shared" si="3"/>
        <v>0</v>
      </c>
      <c r="AM340" s="35">
        <f t="shared" si="4"/>
        <v>0</v>
      </c>
      <c r="AN340" s="40" t="str">
        <f t="shared" si="5"/>
        <v/>
      </c>
    </row>
    <row r="341" ht="15.75" customHeight="1">
      <c r="A341" s="32" t="s">
        <v>24</v>
      </c>
      <c r="B341" s="34">
        <f t="shared" si="6"/>
        <v>44901</v>
      </c>
      <c r="C341" s="35">
        <v>13.0</v>
      </c>
      <c r="D341" s="35" t="s">
        <v>21</v>
      </c>
      <c r="E341" s="37"/>
      <c r="F341" s="23"/>
      <c r="H341" s="24"/>
      <c r="J341" s="24"/>
      <c r="L341" s="25">
        <v>0.0</v>
      </c>
      <c r="N341" s="26">
        <v>0.0</v>
      </c>
      <c r="P341" s="24"/>
      <c r="R341" s="26">
        <v>0.0</v>
      </c>
      <c r="T341" s="24"/>
      <c r="V341" s="24"/>
      <c r="W341" s="27"/>
      <c r="X341" s="23"/>
      <c r="Z341" s="24"/>
      <c r="AB341" s="24"/>
      <c r="AD341" s="24"/>
      <c r="AF341" s="24"/>
      <c r="AH341" s="24"/>
      <c r="AI341" s="27"/>
      <c r="AJ341" s="39">
        <f t="shared" si="1"/>
        <v>0</v>
      </c>
      <c r="AK341" s="35">
        <f t="shared" si="2"/>
        <v>0</v>
      </c>
      <c r="AL341" s="35">
        <f t="shared" si="3"/>
        <v>0</v>
      </c>
      <c r="AM341" s="35">
        <f t="shared" si="4"/>
        <v>0</v>
      </c>
      <c r="AN341" s="40" t="str">
        <f t="shared" si="5"/>
        <v/>
      </c>
    </row>
    <row r="342" ht="15.75" customHeight="1">
      <c r="A342" s="32" t="s">
        <v>28</v>
      </c>
      <c r="B342" s="34">
        <f t="shared" si="6"/>
        <v>44902</v>
      </c>
      <c r="C342" s="35">
        <v>13.0</v>
      </c>
      <c r="D342" s="35" t="s">
        <v>21</v>
      </c>
      <c r="E342" s="37"/>
      <c r="F342" s="23"/>
      <c r="H342" s="24"/>
      <c r="J342" s="24"/>
      <c r="L342" s="25">
        <v>0.0</v>
      </c>
      <c r="N342" s="26">
        <v>0.0</v>
      </c>
      <c r="P342" s="24"/>
      <c r="R342" s="26">
        <v>0.0</v>
      </c>
      <c r="T342" s="24"/>
      <c r="V342" s="24"/>
      <c r="W342" s="27"/>
      <c r="X342" s="23"/>
      <c r="Z342" s="24"/>
      <c r="AB342" s="24"/>
      <c r="AD342" s="24"/>
      <c r="AF342" s="24"/>
      <c r="AH342" s="24"/>
      <c r="AI342" s="27"/>
      <c r="AJ342" s="39">
        <f t="shared" si="1"/>
        <v>0</v>
      </c>
      <c r="AK342" s="35">
        <f t="shared" si="2"/>
        <v>0</v>
      </c>
      <c r="AL342" s="35">
        <f t="shared" si="3"/>
        <v>0</v>
      </c>
      <c r="AM342" s="35">
        <f t="shared" si="4"/>
        <v>0</v>
      </c>
      <c r="AN342" s="40" t="str">
        <f t="shared" si="5"/>
        <v/>
      </c>
    </row>
    <row r="343" ht="15.75" customHeight="1">
      <c r="A343" s="32" t="s">
        <v>29</v>
      </c>
      <c r="B343" s="34">
        <f t="shared" si="6"/>
        <v>44903</v>
      </c>
      <c r="C343" s="35">
        <v>13.0</v>
      </c>
      <c r="D343" s="35" t="s">
        <v>21</v>
      </c>
      <c r="E343" s="37"/>
      <c r="F343" s="23"/>
      <c r="H343" s="24"/>
      <c r="J343" s="24"/>
      <c r="L343" s="25">
        <v>0.0</v>
      </c>
      <c r="N343" s="26">
        <v>0.0</v>
      </c>
      <c r="P343" s="24"/>
      <c r="R343" s="26">
        <v>0.0</v>
      </c>
      <c r="T343" s="24"/>
      <c r="V343" s="24"/>
      <c r="W343" s="27"/>
      <c r="X343" s="23"/>
      <c r="Z343" s="24"/>
      <c r="AB343" s="24"/>
      <c r="AD343" s="24"/>
      <c r="AF343" s="24"/>
      <c r="AH343" s="24"/>
      <c r="AI343" s="27"/>
      <c r="AJ343" s="39">
        <f t="shared" si="1"/>
        <v>0</v>
      </c>
      <c r="AK343" s="35">
        <f t="shared" si="2"/>
        <v>0</v>
      </c>
      <c r="AL343" s="35">
        <f t="shared" si="3"/>
        <v>0</v>
      </c>
      <c r="AM343" s="35">
        <f t="shared" si="4"/>
        <v>0</v>
      </c>
      <c r="AN343" s="40" t="str">
        <f t="shared" si="5"/>
        <v/>
      </c>
    </row>
    <row r="344" ht="15.75" customHeight="1">
      <c r="A344" s="32" t="s">
        <v>30</v>
      </c>
      <c r="B344" s="34">
        <f t="shared" si="6"/>
        <v>44904</v>
      </c>
      <c r="C344" s="35">
        <v>13.0</v>
      </c>
      <c r="D344" s="35" t="s">
        <v>21</v>
      </c>
      <c r="E344" s="37"/>
      <c r="F344" s="23"/>
      <c r="H344" s="24"/>
      <c r="J344" s="24"/>
      <c r="L344" s="25">
        <v>0.0</v>
      </c>
      <c r="N344" s="26">
        <v>0.0</v>
      </c>
      <c r="P344" s="24"/>
      <c r="R344" s="26">
        <v>0.0</v>
      </c>
      <c r="T344" s="24"/>
      <c r="V344" s="24"/>
      <c r="W344" s="27"/>
      <c r="X344" s="23"/>
      <c r="Z344" s="24"/>
      <c r="AB344" s="24"/>
      <c r="AD344" s="24"/>
      <c r="AF344" s="24"/>
      <c r="AH344" s="24"/>
      <c r="AI344" s="27"/>
      <c r="AJ344" s="39">
        <f t="shared" si="1"/>
        <v>0</v>
      </c>
      <c r="AK344" s="35">
        <f t="shared" si="2"/>
        <v>0</v>
      </c>
      <c r="AL344" s="35">
        <f t="shared" si="3"/>
        <v>0</v>
      </c>
      <c r="AM344" s="35">
        <f t="shared" si="4"/>
        <v>0</v>
      </c>
      <c r="AN344" s="40" t="str">
        <f t="shared" si="5"/>
        <v/>
      </c>
    </row>
    <row r="345" ht="15.75" customHeight="1">
      <c r="A345" s="48" t="s">
        <v>31</v>
      </c>
      <c r="B345" s="50">
        <f t="shared" si="6"/>
        <v>44905</v>
      </c>
      <c r="C345" s="51">
        <v>13.0</v>
      </c>
      <c r="D345" s="51" t="s">
        <v>21</v>
      </c>
      <c r="E345" s="53"/>
      <c r="F345" s="54"/>
      <c r="G345" s="56"/>
      <c r="H345" s="57"/>
      <c r="I345" s="56"/>
      <c r="J345" s="57"/>
      <c r="K345" s="56"/>
      <c r="L345" s="58">
        <v>0.0</v>
      </c>
      <c r="M345" s="56"/>
      <c r="N345" s="59">
        <v>0.0</v>
      </c>
      <c r="O345" s="56"/>
      <c r="P345" s="57"/>
      <c r="Q345" s="56"/>
      <c r="R345" s="59">
        <v>0.0</v>
      </c>
      <c r="S345" s="56"/>
      <c r="T345" s="57"/>
      <c r="U345" s="56"/>
      <c r="V345" s="57"/>
      <c r="W345" s="60"/>
      <c r="X345" s="54"/>
      <c r="Y345" s="56"/>
      <c r="Z345" s="57"/>
      <c r="AA345" s="56"/>
      <c r="AB345" s="57"/>
      <c r="AC345" s="56"/>
      <c r="AD345" s="57"/>
      <c r="AE345" s="56"/>
      <c r="AF345" s="57"/>
      <c r="AG345" s="56"/>
      <c r="AH345" s="57"/>
      <c r="AI345" s="60"/>
      <c r="AJ345" s="61">
        <f t="shared" si="1"/>
        <v>0</v>
      </c>
      <c r="AK345" s="51">
        <f t="shared" si="2"/>
        <v>0</v>
      </c>
      <c r="AL345" s="51">
        <f t="shared" si="3"/>
        <v>0</v>
      </c>
      <c r="AM345" s="51">
        <f t="shared" si="4"/>
        <v>0</v>
      </c>
      <c r="AN345" s="63" t="str">
        <f t="shared" si="5"/>
        <v/>
      </c>
    </row>
    <row r="346" ht="15.75" customHeight="1">
      <c r="A346" s="18" t="s">
        <v>20</v>
      </c>
      <c r="B346" s="64">
        <f t="shared" si="6"/>
        <v>44906</v>
      </c>
      <c r="C346" s="20">
        <v>13.0</v>
      </c>
      <c r="D346" s="20" t="s">
        <v>32</v>
      </c>
      <c r="E346" s="22"/>
      <c r="F346" s="23"/>
      <c r="H346" s="24"/>
      <c r="J346" s="24"/>
      <c r="L346" s="25">
        <v>0.0</v>
      </c>
      <c r="N346" s="26">
        <v>0.0</v>
      </c>
      <c r="P346" s="24"/>
      <c r="R346" s="26">
        <v>0.0</v>
      </c>
      <c r="T346" s="24"/>
      <c r="V346" s="24"/>
      <c r="W346" s="27"/>
      <c r="X346" s="23"/>
      <c r="Z346" s="24"/>
      <c r="AB346" s="24"/>
      <c r="AD346" s="24"/>
      <c r="AF346" s="24"/>
      <c r="AH346" s="24"/>
      <c r="AI346" s="27"/>
      <c r="AJ346" s="28">
        <f t="shared" si="1"/>
        <v>0</v>
      </c>
      <c r="AK346" s="20">
        <f t="shared" si="2"/>
        <v>0</v>
      </c>
      <c r="AL346" s="20">
        <f t="shared" si="3"/>
        <v>0</v>
      </c>
      <c r="AM346" s="20">
        <f t="shared" si="4"/>
        <v>0</v>
      </c>
      <c r="AN346" s="31" t="str">
        <f t="shared" si="5"/>
        <v/>
      </c>
    </row>
    <row r="347" ht="15.75" customHeight="1">
      <c r="A347" s="32" t="s">
        <v>22</v>
      </c>
      <c r="B347" s="34">
        <f t="shared" si="6"/>
        <v>44907</v>
      </c>
      <c r="C347" s="35">
        <v>13.0</v>
      </c>
      <c r="D347" s="35" t="s">
        <v>32</v>
      </c>
      <c r="E347" s="37"/>
      <c r="F347" s="23"/>
      <c r="H347" s="24"/>
      <c r="J347" s="24"/>
      <c r="L347" s="25">
        <v>0.0</v>
      </c>
      <c r="N347" s="26">
        <v>0.0</v>
      </c>
      <c r="P347" s="24"/>
      <c r="R347" s="26">
        <v>0.0</v>
      </c>
      <c r="T347" s="24"/>
      <c r="V347" s="24"/>
      <c r="W347" s="27"/>
      <c r="X347" s="23"/>
      <c r="Z347" s="24"/>
      <c r="AB347" s="24"/>
      <c r="AD347" s="24"/>
      <c r="AF347" s="24"/>
      <c r="AH347" s="24"/>
      <c r="AI347" s="27"/>
      <c r="AJ347" s="39">
        <f t="shared" si="1"/>
        <v>0</v>
      </c>
      <c r="AK347" s="35">
        <f t="shared" si="2"/>
        <v>0</v>
      </c>
      <c r="AL347" s="35">
        <f t="shared" si="3"/>
        <v>0</v>
      </c>
      <c r="AM347" s="35">
        <f t="shared" si="4"/>
        <v>0</v>
      </c>
      <c r="AN347" s="40" t="str">
        <f t="shared" si="5"/>
        <v/>
      </c>
    </row>
    <row r="348" ht="15.75" customHeight="1">
      <c r="A348" s="32" t="s">
        <v>24</v>
      </c>
      <c r="B348" s="34">
        <f t="shared" si="6"/>
        <v>44908</v>
      </c>
      <c r="C348" s="35">
        <v>13.0</v>
      </c>
      <c r="D348" s="35" t="s">
        <v>32</v>
      </c>
      <c r="E348" s="37"/>
      <c r="F348" s="23"/>
      <c r="H348" s="24"/>
      <c r="J348" s="24"/>
      <c r="L348" s="25">
        <v>0.0</v>
      </c>
      <c r="N348" s="26">
        <v>0.0</v>
      </c>
      <c r="P348" s="24"/>
      <c r="R348" s="26">
        <v>0.0</v>
      </c>
      <c r="T348" s="24"/>
      <c r="V348" s="24"/>
      <c r="W348" s="27"/>
      <c r="X348" s="23"/>
      <c r="Z348" s="24"/>
      <c r="AB348" s="24"/>
      <c r="AD348" s="24"/>
      <c r="AF348" s="24"/>
      <c r="AH348" s="24"/>
      <c r="AI348" s="27"/>
      <c r="AJ348" s="39">
        <f t="shared" si="1"/>
        <v>0</v>
      </c>
      <c r="AK348" s="35">
        <f t="shared" si="2"/>
        <v>0</v>
      </c>
      <c r="AL348" s="35">
        <f t="shared" si="3"/>
        <v>0</v>
      </c>
      <c r="AM348" s="35">
        <f t="shared" si="4"/>
        <v>0</v>
      </c>
      <c r="AN348" s="40" t="str">
        <f t="shared" si="5"/>
        <v/>
      </c>
    </row>
    <row r="349" ht="15.75" customHeight="1">
      <c r="A349" s="32" t="s">
        <v>28</v>
      </c>
      <c r="B349" s="34">
        <f t="shared" si="6"/>
        <v>44909</v>
      </c>
      <c r="C349" s="35">
        <v>13.0</v>
      </c>
      <c r="D349" s="35" t="s">
        <v>32</v>
      </c>
      <c r="E349" s="37"/>
      <c r="F349" s="23"/>
      <c r="H349" s="24"/>
      <c r="J349" s="24"/>
      <c r="L349" s="25">
        <v>0.0</v>
      </c>
      <c r="N349" s="26">
        <v>0.0</v>
      </c>
      <c r="P349" s="24"/>
      <c r="R349" s="26">
        <v>0.0</v>
      </c>
      <c r="T349" s="24"/>
      <c r="V349" s="24"/>
      <c r="W349" s="27"/>
      <c r="X349" s="23"/>
      <c r="Z349" s="24"/>
      <c r="AB349" s="24"/>
      <c r="AD349" s="24"/>
      <c r="AF349" s="24"/>
      <c r="AH349" s="24"/>
      <c r="AI349" s="27"/>
      <c r="AJ349" s="39">
        <f t="shared" si="1"/>
        <v>0</v>
      </c>
      <c r="AK349" s="35">
        <f t="shared" si="2"/>
        <v>0</v>
      </c>
      <c r="AL349" s="35">
        <f t="shared" si="3"/>
        <v>0</v>
      </c>
      <c r="AM349" s="35">
        <f t="shared" si="4"/>
        <v>0</v>
      </c>
      <c r="AN349" s="40" t="str">
        <f t="shared" si="5"/>
        <v/>
      </c>
    </row>
    <row r="350" ht="15.75" customHeight="1">
      <c r="A350" s="32" t="s">
        <v>29</v>
      </c>
      <c r="B350" s="34">
        <f t="shared" si="6"/>
        <v>44910</v>
      </c>
      <c r="C350" s="35">
        <v>13.0</v>
      </c>
      <c r="D350" s="35" t="s">
        <v>32</v>
      </c>
      <c r="E350" s="37"/>
      <c r="F350" s="23"/>
      <c r="H350" s="24"/>
      <c r="J350" s="24"/>
      <c r="L350" s="25">
        <v>0.0</v>
      </c>
      <c r="N350" s="26">
        <v>0.0</v>
      </c>
      <c r="P350" s="24"/>
      <c r="R350" s="26">
        <v>0.0</v>
      </c>
      <c r="T350" s="24"/>
      <c r="V350" s="24"/>
      <c r="W350" s="27"/>
      <c r="X350" s="23"/>
      <c r="Z350" s="24"/>
      <c r="AB350" s="24"/>
      <c r="AD350" s="24"/>
      <c r="AF350" s="24"/>
      <c r="AH350" s="24"/>
      <c r="AI350" s="27"/>
      <c r="AJ350" s="39">
        <f t="shared" si="1"/>
        <v>0</v>
      </c>
      <c r="AK350" s="35">
        <f t="shared" si="2"/>
        <v>0</v>
      </c>
      <c r="AL350" s="35">
        <f t="shared" si="3"/>
        <v>0</v>
      </c>
      <c r="AM350" s="35">
        <f t="shared" si="4"/>
        <v>0</v>
      </c>
      <c r="AN350" s="40" t="str">
        <f t="shared" si="5"/>
        <v/>
      </c>
    </row>
    <row r="351" ht="15.75" customHeight="1">
      <c r="A351" s="32" t="s">
        <v>30</v>
      </c>
      <c r="B351" s="34">
        <f t="shared" si="6"/>
        <v>44911</v>
      </c>
      <c r="C351" s="35">
        <v>13.0</v>
      </c>
      <c r="D351" s="35" t="s">
        <v>32</v>
      </c>
      <c r="E351" s="37"/>
      <c r="F351" s="23"/>
      <c r="H351" s="24"/>
      <c r="J351" s="24"/>
      <c r="L351" s="25">
        <v>0.0</v>
      </c>
      <c r="N351" s="26">
        <v>0.0</v>
      </c>
      <c r="P351" s="24"/>
      <c r="R351" s="26">
        <v>0.0</v>
      </c>
      <c r="T351" s="24"/>
      <c r="V351" s="24"/>
      <c r="W351" s="27"/>
      <c r="X351" s="23"/>
      <c r="Z351" s="24"/>
      <c r="AB351" s="24"/>
      <c r="AD351" s="24"/>
      <c r="AF351" s="24"/>
      <c r="AH351" s="24"/>
      <c r="AI351" s="27"/>
      <c r="AJ351" s="39">
        <f t="shared" si="1"/>
        <v>0</v>
      </c>
      <c r="AK351" s="35">
        <f t="shared" si="2"/>
        <v>0</v>
      </c>
      <c r="AL351" s="35">
        <f t="shared" si="3"/>
        <v>0</v>
      </c>
      <c r="AM351" s="35">
        <f t="shared" si="4"/>
        <v>0</v>
      </c>
      <c r="AN351" s="40" t="str">
        <f t="shared" si="5"/>
        <v/>
      </c>
    </row>
    <row r="352" ht="15.75" customHeight="1">
      <c r="A352" s="48" t="s">
        <v>31</v>
      </c>
      <c r="B352" s="50">
        <f t="shared" si="6"/>
        <v>44912</v>
      </c>
      <c r="C352" s="51">
        <v>13.0</v>
      </c>
      <c r="D352" s="51" t="s">
        <v>32</v>
      </c>
      <c r="E352" s="53"/>
      <c r="F352" s="54"/>
      <c r="G352" s="56"/>
      <c r="H352" s="57"/>
      <c r="I352" s="56"/>
      <c r="J352" s="57"/>
      <c r="K352" s="56"/>
      <c r="L352" s="58">
        <v>0.0</v>
      </c>
      <c r="M352" s="56"/>
      <c r="N352" s="59">
        <v>0.0</v>
      </c>
      <c r="O352" s="56"/>
      <c r="P352" s="57"/>
      <c r="Q352" s="56"/>
      <c r="R352" s="59">
        <v>0.0</v>
      </c>
      <c r="S352" s="56"/>
      <c r="T352" s="57"/>
      <c r="U352" s="56"/>
      <c r="V352" s="57"/>
      <c r="W352" s="60"/>
      <c r="X352" s="54"/>
      <c r="Y352" s="56"/>
      <c r="Z352" s="57"/>
      <c r="AA352" s="56"/>
      <c r="AB352" s="57"/>
      <c r="AC352" s="56"/>
      <c r="AD352" s="57"/>
      <c r="AE352" s="56"/>
      <c r="AF352" s="57"/>
      <c r="AG352" s="56"/>
      <c r="AH352" s="57"/>
      <c r="AI352" s="60"/>
      <c r="AJ352" s="61">
        <f t="shared" si="1"/>
        <v>0</v>
      </c>
      <c r="AK352" s="51">
        <f t="shared" si="2"/>
        <v>0</v>
      </c>
      <c r="AL352" s="51">
        <f t="shared" si="3"/>
        <v>0</v>
      </c>
      <c r="AM352" s="51">
        <f t="shared" si="4"/>
        <v>0</v>
      </c>
      <c r="AN352" s="63" t="str">
        <f t="shared" si="5"/>
        <v/>
      </c>
    </row>
    <row r="353" ht="15.75" customHeight="1">
      <c r="A353" s="18" t="s">
        <v>20</v>
      </c>
      <c r="B353" s="64">
        <f t="shared" si="6"/>
        <v>44913</v>
      </c>
      <c r="C353" s="20">
        <v>13.0</v>
      </c>
      <c r="D353" s="20" t="s">
        <v>33</v>
      </c>
      <c r="E353" s="22"/>
      <c r="F353" s="23"/>
      <c r="H353" s="24"/>
      <c r="J353" s="24"/>
      <c r="L353" s="25">
        <v>0.0</v>
      </c>
      <c r="N353" s="26">
        <v>0.0</v>
      </c>
      <c r="P353" s="24"/>
      <c r="R353" s="26">
        <v>0.0</v>
      </c>
      <c r="T353" s="24"/>
      <c r="V353" s="24"/>
      <c r="W353" s="27"/>
      <c r="X353" s="23"/>
      <c r="Z353" s="24"/>
      <c r="AB353" s="24"/>
      <c r="AD353" s="24"/>
      <c r="AF353" s="24"/>
      <c r="AH353" s="24"/>
      <c r="AI353" s="27"/>
      <c r="AJ353" s="28">
        <f t="shared" si="1"/>
        <v>0</v>
      </c>
      <c r="AK353" s="20">
        <f t="shared" si="2"/>
        <v>0</v>
      </c>
      <c r="AL353" s="20">
        <f t="shared" si="3"/>
        <v>0</v>
      </c>
      <c r="AM353" s="20">
        <f t="shared" si="4"/>
        <v>0</v>
      </c>
      <c r="AN353" s="31" t="str">
        <f t="shared" si="5"/>
        <v/>
      </c>
    </row>
    <row r="354" ht="15.75" customHeight="1">
      <c r="A354" s="32" t="s">
        <v>22</v>
      </c>
      <c r="B354" s="34">
        <f t="shared" si="6"/>
        <v>44914</v>
      </c>
      <c r="C354" s="35">
        <v>13.0</v>
      </c>
      <c r="D354" s="35" t="s">
        <v>33</v>
      </c>
      <c r="E354" s="37"/>
      <c r="F354" s="23"/>
      <c r="H354" s="24"/>
      <c r="J354" s="24"/>
      <c r="L354" s="25">
        <v>0.0</v>
      </c>
      <c r="N354" s="26">
        <v>0.0</v>
      </c>
      <c r="P354" s="24"/>
      <c r="R354" s="26">
        <v>0.0</v>
      </c>
      <c r="T354" s="24"/>
      <c r="V354" s="24"/>
      <c r="W354" s="27"/>
      <c r="X354" s="23"/>
      <c r="Z354" s="24"/>
      <c r="AB354" s="24"/>
      <c r="AD354" s="24"/>
      <c r="AF354" s="24"/>
      <c r="AH354" s="24"/>
      <c r="AI354" s="27"/>
      <c r="AJ354" s="39">
        <f t="shared" si="1"/>
        <v>0</v>
      </c>
      <c r="AK354" s="35">
        <f t="shared" si="2"/>
        <v>0</v>
      </c>
      <c r="AL354" s="35">
        <f t="shared" si="3"/>
        <v>0</v>
      </c>
      <c r="AM354" s="35">
        <f t="shared" si="4"/>
        <v>0</v>
      </c>
      <c r="AN354" s="40" t="str">
        <f t="shared" si="5"/>
        <v/>
      </c>
    </row>
    <row r="355" ht="15.75" customHeight="1">
      <c r="A355" s="32" t="s">
        <v>24</v>
      </c>
      <c r="B355" s="34">
        <f t="shared" si="6"/>
        <v>44915</v>
      </c>
      <c r="C355" s="35">
        <v>13.0</v>
      </c>
      <c r="D355" s="35" t="s">
        <v>33</v>
      </c>
      <c r="E355" s="37"/>
      <c r="F355" s="23"/>
      <c r="H355" s="24"/>
      <c r="J355" s="24"/>
      <c r="L355" s="25">
        <v>0.0</v>
      </c>
      <c r="N355" s="26">
        <v>0.0</v>
      </c>
      <c r="P355" s="24"/>
      <c r="R355" s="26">
        <v>0.0</v>
      </c>
      <c r="T355" s="24"/>
      <c r="V355" s="24"/>
      <c r="W355" s="27"/>
      <c r="X355" s="23"/>
      <c r="Z355" s="24"/>
      <c r="AB355" s="24"/>
      <c r="AD355" s="24"/>
      <c r="AF355" s="24"/>
      <c r="AH355" s="24"/>
      <c r="AI355" s="27"/>
      <c r="AJ355" s="39">
        <f t="shared" si="1"/>
        <v>0</v>
      </c>
      <c r="AK355" s="35">
        <f t="shared" si="2"/>
        <v>0</v>
      </c>
      <c r="AL355" s="35">
        <f t="shared" si="3"/>
        <v>0</v>
      </c>
      <c r="AM355" s="35">
        <f t="shared" si="4"/>
        <v>0</v>
      </c>
      <c r="AN355" s="40" t="str">
        <f t="shared" si="5"/>
        <v/>
      </c>
    </row>
    <row r="356" ht="15.75" customHeight="1">
      <c r="A356" s="32" t="s">
        <v>28</v>
      </c>
      <c r="B356" s="34">
        <f t="shared" si="6"/>
        <v>44916</v>
      </c>
      <c r="C356" s="35">
        <v>13.0</v>
      </c>
      <c r="D356" s="35" t="s">
        <v>33</v>
      </c>
      <c r="E356" s="37"/>
      <c r="F356" s="23"/>
      <c r="H356" s="24"/>
      <c r="J356" s="24"/>
      <c r="L356" s="25">
        <v>0.0</v>
      </c>
      <c r="N356" s="26">
        <v>0.0</v>
      </c>
      <c r="P356" s="24"/>
      <c r="R356" s="26">
        <v>0.0</v>
      </c>
      <c r="T356" s="24"/>
      <c r="V356" s="24"/>
      <c r="W356" s="27"/>
      <c r="X356" s="23"/>
      <c r="Z356" s="24"/>
      <c r="AB356" s="24"/>
      <c r="AD356" s="24"/>
      <c r="AF356" s="24"/>
      <c r="AH356" s="24"/>
      <c r="AI356" s="27"/>
      <c r="AJ356" s="39">
        <f t="shared" si="1"/>
        <v>0</v>
      </c>
      <c r="AK356" s="35">
        <f t="shared" si="2"/>
        <v>0</v>
      </c>
      <c r="AL356" s="35">
        <f t="shared" si="3"/>
        <v>0</v>
      </c>
      <c r="AM356" s="35">
        <f t="shared" si="4"/>
        <v>0</v>
      </c>
      <c r="AN356" s="40" t="str">
        <f t="shared" si="5"/>
        <v/>
      </c>
    </row>
    <row r="357" ht="15.75" customHeight="1">
      <c r="A357" s="32" t="s">
        <v>29</v>
      </c>
      <c r="B357" s="34">
        <f t="shared" si="6"/>
        <v>44917</v>
      </c>
      <c r="C357" s="35">
        <v>13.0</v>
      </c>
      <c r="D357" s="35" t="s">
        <v>33</v>
      </c>
      <c r="E357" s="37"/>
      <c r="F357" s="23"/>
      <c r="H357" s="24"/>
      <c r="J357" s="24"/>
      <c r="L357" s="25">
        <v>0.0</v>
      </c>
      <c r="N357" s="26">
        <v>0.0</v>
      </c>
      <c r="P357" s="24"/>
      <c r="R357" s="26">
        <v>0.0</v>
      </c>
      <c r="T357" s="24"/>
      <c r="V357" s="24"/>
      <c r="W357" s="27"/>
      <c r="X357" s="23"/>
      <c r="Z357" s="24"/>
      <c r="AB357" s="24"/>
      <c r="AD357" s="24"/>
      <c r="AF357" s="24"/>
      <c r="AH357" s="24"/>
      <c r="AI357" s="27"/>
      <c r="AJ357" s="39">
        <f t="shared" si="1"/>
        <v>0</v>
      </c>
      <c r="AK357" s="35">
        <f t="shared" si="2"/>
        <v>0</v>
      </c>
      <c r="AL357" s="35">
        <f t="shared" si="3"/>
        <v>0</v>
      </c>
      <c r="AM357" s="35">
        <f t="shared" si="4"/>
        <v>0</v>
      </c>
      <c r="AN357" s="40" t="str">
        <f t="shared" si="5"/>
        <v/>
      </c>
    </row>
    <row r="358" ht="15.75" customHeight="1">
      <c r="A358" s="32" t="s">
        <v>30</v>
      </c>
      <c r="B358" s="34">
        <f t="shared" si="6"/>
        <v>44918</v>
      </c>
      <c r="C358" s="35">
        <v>13.0</v>
      </c>
      <c r="D358" s="35" t="s">
        <v>33</v>
      </c>
      <c r="E358" s="37"/>
      <c r="F358" s="23"/>
      <c r="H358" s="24"/>
      <c r="J358" s="24"/>
      <c r="L358" s="25">
        <v>0.0</v>
      </c>
      <c r="N358" s="26">
        <v>0.0</v>
      </c>
      <c r="P358" s="24"/>
      <c r="R358" s="26">
        <v>0.0</v>
      </c>
      <c r="T358" s="24"/>
      <c r="V358" s="24"/>
      <c r="W358" s="27"/>
      <c r="X358" s="23"/>
      <c r="Z358" s="24"/>
      <c r="AB358" s="24"/>
      <c r="AD358" s="24"/>
      <c r="AF358" s="24"/>
      <c r="AH358" s="24"/>
      <c r="AI358" s="27"/>
      <c r="AJ358" s="39">
        <f t="shared" si="1"/>
        <v>0</v>
      </c>
      <c r="AK358" s="35">
        <f t="shared" si="2"/>
        <v>0</v>
      </c>
      <c r="AL358" s="35">
        <f t="shared" si="3"/>
        <v>0</v>
      </c>
      <c r="AM358" s="35">
        <f t="shared" si="4"/>
        <v>0</v>
      </c>
      <c r="AN358" s="40" t="str">
        <f t="shared" si="5"/>
        <v/>
      </c>
    </row>
    <row r="359" ht="15.75" customHeight="1">
      <c r="A359" s="48" t="s">
        <v>31</v>
      </c>
      <c r="B359" s="50">
        <f t="shared" si="6"/>
        <v>44919</v>
      </c>
      <c r="C359" s="51">
        <v>13.0</v>
      </c>
      <c r="D359" s="51" t="s">
        <v>33</v>
      </c>
      <c r="E359" s="53"/>
      <c r="F359" s="54"/>
      <c r="G359" s="56"/>
      <c r="H359" s="57"/>
      <c r="I359" s="56"/>
      <c r="J359" s="57"/>
      <c r="K359" s="56"/>
      <c r="L359" s="58">
        <v>0.0</v>
      </c>
      <c r="M359" s="56"/>
      <c r="N359" s="59">
        <v>0.0</v>
      </c>
      <c r="O359" s="56"/>
      <c r="P359" s="57"/>
      <c r="Q359" s="56"/>
      <c r="R359" s="59">
        <v>0.0</v>
      </c>
      <c r="S359" s="56"/>
      <c r="T359" s="57"/>
      <c r="U359" s="56"/>
      <c r="V359" s="57"/>
      <c r="W359" s="60"/>
      <c r="X359" s="54"/>
      <c r="Y359" s="56"/>
      <c r="Z359" s="57"/>
      <c r="AA359" s="56"/>
      <c r="AB359" s="57"/>
      <c r="AC359" s="56"/>
      <c r="AD359" s="57"/>
      <c r="AE359" s="56"/>
      <c r="AF359" s="57"/>
      <c r="AG359" s="56"/>
      <c r="AH359" s="57"/>
      <c r="AI359" s="60"/>
      <c r="AJ359" s="61">
        <f t="shared" si="1"/>
        <v>0</v>
      </c>
      <c r="AK359" s="51">
        <f t="shared" si="2"/>
        <v>0</v>
      </c>
      <c r="AL359" s="51">
        <f t="shared" si="3"/>
        <v>0</v>
      </c>
      <c r="AM359" s="51">
        <f t="shared" si="4"/>
        <v>0</v>
      </c>
      <c r="AN359" s="63" t="str">
        <f t="shared" si="5"/>
        <v/>
      </c>
    </row>
    <row r="360" ht="15.75" customHeight="1">
      <c r="A360" s="105"/>
      <c r="B360" s="106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</row>
    <row r="361" ht="15.75" customHeight="1">
      <c r="A361" s="105"/>
      <c r="B361" s="106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8">
        <f t="shared" ref="AJ361:AM361" si="7">SUM(AJ3:AJ359)</f>
        <v>840665.89</v>
      </c>
      <c r="AK361" s="109">
        <f t="shared" si="7"/>
        <v>64340</v>
      </c>
      <c r="AL361" s="109">
        <f t="shared" si="7"/>
        <v>13045</v>
      </c>
      <c r="AM361" s="109">
        <f t="shared" si="7"/>
        <v>77385</v>
      </c>
      <c r="AN361" s="107"/>
    </row>
    <row r="362" ht="15.75" customHeight="1">
      <c r="A362" s="105"/>
      <c r="B362" s="106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10"/>
      <c r="AK362" s="111"/>
      <c r="AL362" s="107"/>
      <c r="AM362" s="107"/>
      <c r="AN362" s="107"/>
    </row>
    <row r="363" ht="15.75" customHeight="1">
      <c r="A363" s="105"/>
      <c r="B363" s="106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12"/>
      <c r="S363" s="113"/>
      <c r="T363" s="114"/>
      <c r="U363" s="114"/>
      <c r="V363" s="114"/>
      <c r="W363" s="115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6" t="s">
        <v>37</v>
      </c>
      <c r="AL363" s="117" t="s">
        <v>38</v>
      </c>
      <c r="AM363" s="107"/>
      <c r="AN363" s="107"/>
    </row>
    <row r="364" ht="15.75" customHeight="1">
      <c r="A364" s="105"/>
      <c r="B364" s="106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18"/>
      <c r="S364" s="119"/>
      <c r="T364" s="120"/>
      <c r="U364" s="120"/>
      <c r="V364" s="120"/>
      <c r="W364" s="121" t="s">
        <v>39</v>
      </c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>
        <f>sum(F3:K359)</f>
        <v>7898</v>
      </c>
      <c r="AK364" s="122">
        <f>G2</f>
        <v>17.88</v>
      </c>
      <c r="AL364" s="123">
        <f t="shared" ref="AL364:AL367" si="8">AK364*AJ364</f>
        <v>141216.24</v>
      </c>
      <c r="AM364" s="107"/>
      <c r="AN364" s="107"/>
    </row>
    <row r="365" ht="15.75" customHeight="1">
      <c r="A365" s="105"/>
      <c r="B365" s="106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18"/>
      <c r="S365" s="119"/>
      <c r="T365" s="120"/>
      <c r="U365" s="120"/>
      <c r="V365" s="120"/>
      <c r="W365" s="121" t="s">
        <v>40</v>
      </c>
      <c r="X365" s="120"/>
      <c r="Y365" s="120"/>
      <c r="Z365" s="120"/>
      <c r="AA365" s="120"/>
      <c r="AB365" s="120"/>
      <c r="AC365" s="120"/>
      <c r="AD365" s="120"/>
      <c r="AE365" s="120"/>
      <c r="AF365" s="120"/>
      <c r="AG365" s="120"/>
      <c r="AH365" s="120"/>
      <c r="AI365" s="120"/>
      <c r="AJ365" s="120">
        <f>sum(L3:Q359)-L324</f>
        <v>56442</v>
      </c>
      <c r="AK365" s="122">
        <f>M2</f>
        <v>11.35</v>
      </c>
      <c r="AL365" s="123">
        <f t="shared" si="8"/>
        <v>640616.7</v>
      </c>
      <c r="AM365" s="107"/>
      <c r="AN365" s="107"/>
    </row>
    <row r="366" ht="15.75" customHeight="1">
      <c r="A366" s="124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18"/>
      <c r="S366" s="119"/>
      <c r="T366" s="120"/>
      <c r="U366" s="120"/>
      <c r="V366" s="120"/>
      <c r="W366" s="121" t="s">
        <v>41</v>
      </c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  <c r="AI366" s="120"/>
      <c r="AJ366" s="120">
        <f>L324</f>
        <v>0</v>
      </c>
      <c r="AK366" s="122">
        <f>M2</f>
        <v>11.35</v>
      </c>
      <c r="AL366" s="123">
        <f t="shared" si="8"/>
        <v>0</v>
      </c>
      <c r="AM366" s="107"/>
      <c r="AN366" s="107"/>
    </row>
    <row r="367" ht="15.75" customHeight="1">
      <c r="A367" s="124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18"/>
      <c r="S367" s="119"/>
      <c r="T367" s="120"/>
      <c r="U367" s="120"/>
      <c r="V367" s="120"/>
      <c r="W367" s="121" t="s">
        <v>42</v>
      </c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0">
        <f>sum(R3:S359)</f>
        <v>13045</v>
      </c>
      <c r="AK367" s="122">
        <f>S2</f>
        <v>4.51</v>
      </c>
      <c r="AL367" s="123">
        <f t="shared" si="8"/>
        <v>58832.95</v>
      </c>
      <c r="AM367" s="107"/>
      <c r="AN367" s="107"/>
    </row>
    <row r="368" ht="15.75" customHeight="1">
      <c r="A368" s="124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18"/>
      <c r="S368" s="119"/>
      <c r="T368" s="120"/>
      <c r="U368" s="120"/>
      <c r="V368" s="120"/>
      <c r="W368" s="125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0"/>
      <c r="AK368" s="120"/>
      <c r="AL368" s="126"/>
      <c r="AM368" s="107"/>
      <c r="AN368" s="107"/>
    </row>
    <row r="369" ht="15.75" customHeight="1">
      <c r="A369" s="124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18"/>
      <c r="S369" s="119"/>
      <c r="T369" s="120"/>
      <c r="U369" s="120"/>
      <c r="V369" s="120"/>
      <c r="W369" s="121" t="s">
        <v>43</v>
      </c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0">
        <f>sum(AJ364:AJ366)</f>
        <v>64340</v>
      </c>
      <c r="AK369" s="120"/>
      <c r="AL369" s="126"/>
      <c r="AM369" s="107"/>
      <c r="AN369" s="107"/>
    </row>
    <row r="370" ht="15.75" customHeight="1">
      <c r="A370" s="124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18"/>
      <c r="S370" s="119"/>
      <c r="T370" s="120"/>
      <c r="U370" s="120"/>
      <c r="V370" s="120"/>
      <c r="W370" s="121" t="s">
        <v>44</v>
      </c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20"/>
      <c r="AJ370" s="120">
        <f>AJ369+AJ367</f>
        <v>77385</v>
      </c>
      <c r="AK370" s="120"/>
      <c r="AL370" s="123">
        <f>sum(AL364:AL367)</f>
        <v>840665.89</v>
      </c>
      <c r="AM370" s="107"/>
      <c r="AN370" s="107"/>
    </row>
    <row r="371" ht="15.75" customHeight="1">
      <c r="A371" s="124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18"/>
      <c r="S371" s="119"/>
      <c r="T371" s="120"/>
      <c r="U371" s="120"/>
      <c r="V371" s="120"/>
      <c r="W371" s="125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0"/>
      <c r="AK371" s="120"/>
      <c r="AL371" s="126"/>
      <c r="AM371" s="107"/>
      <c r="AN371" s="107"/>
    </row>
    <row r="372" ht="15.75" customHeight="1">
      <c r="A372" s="124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18"/>
      <c r="S372" s="119"/>
      <c r="T372" s="120"/>
      <c r="U372" s="120"/>
      <c r="V372" s="120"/>
      <c r="W372" s="121" t="s">
        <v>45</v>
      </c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7"/>
      <c r="AK372" s="128">
        <v>0.3</v>
      </c>
      <c r="AL372" s="123">
        <f>AL370*AK372</f>
        <v>252199.767</v>
      </c>
      <c r="AM372" s="107"/>
      <c r="AN372" s="107"/>
    </row>
    <row r="373" ht="15.75" customHeight="1">
      <c r="A373" s="124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18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29"/>
      <c r="AM373" s="107"/>
      <c r="AN373" s="107"/>
    </row>
    <row r="374" ht="15.75" customHeight="1">
      <c r="A374" s="124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18"/>
      <c r="S374" s="119"/>
      <c r="T374" s="119"/>
      <c r="U374" s="119"/>
      <c r="V374" s="119"/>
      <c r="W374" s="121" t="s">
        <v>46</v>
      </c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30" t="s">
        <v>47</v>
      </c>
      <c r="AK374" s="131">
        <f>AK364*(1-AK372)</f>
        <v>12.516</v>
      </c>
      <c r="AL374" s="123">
        <f t="shared" ref="AL374:AL377" si="9">AK374/(1-$AK$372)</f>
        <v>17.88</v>
      </c>
      <c r="AM374" s="107"/>
      <c r="AN374" s="107"/>
    </row>
    <row r="375" ht="15.75" customHeight="1">
      <c r="A375" s="124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18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30" t="s">
        <v>48</v>
      </c>
      <c r="AK375" s="131">
        <f>AK365*(1-AK372)</f>
        <v>7.945</v>
      </c>
      <c r="AL375" s="123">
        <f t="shared" si="9"/>
        <v>11.35</v>
      </c>
      <c r="AM375" s="107"/>
      <c r="AN375" s="107"/>
    </row>
    <row r="376" ht="15.75" customHeight="1">
      <c r="A376" s="124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18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30" t="s">
        <v>23</v>
      </c>
      <c r="AK376" s="132">
        <f>AK365*(1-AK372)</f>
        <v>7.945</v>
      </c>
      <c r="AL376" s="123">
        <f t="shared" si="9"/>
        <v>11.35</v>
      </c>
      <c r="AM376" s="107"/>
      <c r="AN376" s="107"/>
    </row>
    <row r="377" ht="15.75" customHeight="1">
      <c r="A377" s="124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33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5" t="s">
        <v>49</v>
      </c>
      <c r="AK377" s="136">
        <f>AK367*(1-AK372)</f>
        <v>3.157</v>
      </c>
      <c r="AL377" s="137">
        <f t="shared" si="9"/>
        <v>4.51</v>
      </c>
      <c r="AM377" s="107"/>
      <c r="AN377" s="107"/>
    </row>
    <row r="378" ht="15.75" customHeight="1">
      <c r="A378" s="124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</row>
    <row r="379" ht="15.75" customHeight="1">
      <c r="A379" s="124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</row>
    <row r="380" ht="15.75" customHeight="1">
      <c r="A380" s="124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</row>
    <row r="381" ht="15.75" customHeight="1">
      <c r="A381" s="124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</row>
    <row r="382" ht="15.75" customHeight="1">
      <c r="A382" s="124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</row>
    <row r="383" ht="15.75" customHeight="1">
      <c r="A383" s="124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</row>
    <row r="384" ht="15.75" customHeight="1">
      <c r="A384" s="124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</row>
    <row r="385" ht="15.75" customHeight="1">
      <c r="A385" s="124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</row>
    <row r="386" ht="15.75" customHeight="1">
      <c r="A386" s="124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</row>
    <row r="387" ht="15.75" customHeight="1">
      <c r="A387" s="124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</row>
    <row r="388" ht="15.75" customHeight="1">
      <c r="A388" s="124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</row>
    <row r="389" ht="15.75" customHeight="1">
      <c r="A389" s="124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</row>
    <row r="390" ht="15.75" customHeight="1">
      <c r="A390" s="124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</row>
    <row r="391" ht="15.75" customHeight="1">
      <c r="A391" s="124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</row>
    <row r="392" ht="15.75" customHeight="1">
      <c r="A392" s="124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</row>
    <row r="393" ht="15.75" customHeight="1">
      <c r="A393" s="124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</row>
    <row r="394" ht="15.75" customHeight="1">
      <c r="A394" s="124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</row>
    <row r="395" ht="15.75" customHeight="1">
      <c r="A395" s="124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</row>
    <row r="396" ht="15.75" customHeight="1">
      <c r="A396" s="124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</row>
    <row r="397" ht="15.75" customHeight="1">
      <c r="A397" s="124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</row>
    <row r="398" ht="15.75" customHeight="1">
      <c r="A398" s="124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</row>
    <row r="399" ht="15.75" customHeight="1">
      <c r="A399" s="124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</row>
    <row r="400" ht="15.75" customHeight="1">
      <c r="A400" s="124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</row>
    <row r="401" ht="15.75" customHeight="1">
      <c r="A401" s="124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</row>
    <row r="402" ht="15.75" customHeight="1">
      <c r="A402" s="124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</row>
    <row r="403" ht="15.75" customHeight="1">
      <c r="A403" s="124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</row>
    <row r="404" ht="15.75" customHeight="1">
      <c r="A404" s="124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</row>
    <row r="405" ht="15.75" customHeight="1">
      <c r="A405" s="124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</row>
    <row r="406" ht="15.75" customHeight="1">
      <c r="A406" s="124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</row>
    <row r="407" ht="15.75" customHeight="1">
      <c r="A407" s="124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</row>
    <row r="408" ht="15.75" customHeight="1">
      <c r="A408" s="124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</row>
    <row r="409" ht="15.75" customHeight="1">
      <c r="A409" s="124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</row>
    <row r="410" ht="15.75" customHeight="1">
      <c r="A410" s="124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</row>
    <row r="411" ht="15.75" customHeight="1">
      <c r="A411" s="124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</row>
    <row r="412" ht="15.75" customHeight="1">
      <c r="A412" s="124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</row>
    <row r="413" ht="15.75" customHeight="1">
      <c r="A413" s="124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</row>
    <row r="414" ht="15.75" customHeight="1">
      <c r="A414" s="124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</row>
    <row r="415" ht="15.75" customHeight="1">
      <c r="A415" s="124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</row>
    <row r="416" ht="15.75" customHeight="1">
      <c r="A416" s="124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</row>
    <row r="417" ht="15.75" customHeight="1">
      <c r="A417" s="124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</row>
    <row r="418" ht="15.75" customHeight="1">
      <c r="A418" s="124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</row>
    <row r="419" ht="15.75" customHeight="1">
      <c r="A419" s="124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</row>
    <row r="420" ht="15.75" customHeight="1">
      <c r="A420" s="124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</row>
    <row r="421" ht="15.75" customHeight="1">
      <c r="A421" s="124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</row>
    <row r="422" ht="15.75" customHeight="1">
      <c r="A422" s="124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</row>
    <row r="423" ht="15.75" customHeight="1">
      <c r="A423" s="124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</row>
    <row r="424" ht="15.75" customHeight="1">
      <c r="A424" s="124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</row>
    <row r="425" ht="15.75" customHeight="1">
      <c r="A425" s="124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</row>
    <row r="426" ht="15.75" customHeight="1">
      <c r="A426" s="124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</row>
    <row r="427" ht="15.75" customHeight="1">
      <c r="A427" s="124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</row>
    <row r="428" ht="15.75" customHeight="1">
      <c r="A428" s="124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</row>
    <row r="429" ht="15.75" customHeight="1">
      <c r="A429" s="124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</row>
    <row r="430" ht="15.75" customHeight="1">
      <c r="A430" s="124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</row>
    <row r="431" ht="15.75" customHeight="1">
      <c r="A431" s="124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</row>
    <row r="432" ht="15.75" customHeight="1">
      <c r="A432" s="124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</row>
    <row r="433" ht="15.75" customHeight="1">
      <c r="A433" s="124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</row>
    <row r="434" ht="15.75" customHeight="1">
      <c r="A434" s="124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</row>
    <row r="435" ht="15.75" customHeight="1">
      <c r="A435" s="124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</row>
    <row r="436" ht="15.75" customHeight="1">
      <c r="A436" s="124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</row>
    <row r="437" ht="15.75" customHeight="1">
      <c r="A437" s="124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</row>
    <row r="438" ht="15.75" customHeight="1">
      <c r="A438" s="124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</row>
    <row r="439" ht="15.75" customHeight="1">
      <c r="A439" s="124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</row>
    <row r="440" ht="15.75" customHeight="1">
      <c r="A440" s="124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</row>
    <row r="441" ht="15.75" customHeight="1">
      <c r="A441" s="124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</row>
    <row r="442" ht="15.75" customHeight="1">
      <c r="A442" s="124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</row>
    <row r="443" ht="15.75" customHeight="1">
      <c r="A443" s="124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</row>
    <row r="444" ht="15.75" customHeight="1">
      <c r="A444" s="124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</row>
    <row r="445" ht="15.75" customHeight="1">
      <c r="A445" s="124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</row>
    <row r="446" ht="15.75" customHeight="1">
      <c r="A446" s="124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</row>
    <row r="447" ht="15.75" customHeight="1">
      <c r="A447" s="124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</row>
    <row r="448" ht="15.75" customHeight="1">
      <c r="A448" s="124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</row>
    <row r="449" ht="15.75" customHeight="1">
      <c r="A449" s="124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</row>
    <row r="450" ht="15.75" customHeight="1">
      <c r="A450" s="124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</row>
    <row r="451" ht="15.75" customHeight="1">
      <c r="A451" s="124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</row>
    <row r="452" ht="15.75" customHeight="1">
      <c r="A452" s="124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</row>
    <row r="453" ht="15.75" customHeight="1">
      <c r="A453" s="124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</row>
    <row r="454" ht="15.75" customHeight="1">
      <c r="A454" s="124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</row>
    <row r="455" ht="15.75" customHeight="1">
      <c r="A455" s="124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</row>
    <row r="456" ht="15.75" customHeight="1">
      <c r="A456" s="124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</row>
    <row r="457" ht="15.75" customHeight="1">
      <c r="A457" s="124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</row>
    <row r="458" ht="15.75" customHeight="1">
      <c r="A458" s="124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</row>
    <row r="459" ht="15.75" customHeight="1">
      <c r="A459" s="124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</row>
    <row r="460" ht="15.75" customHeight="1">
      <c r="A460" s="124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</row>
    <row r="461" ht="15.75" customHeight="1">
      <c r="A461" s="124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</row>
    <row r="462" ht="15.75" customHeight="1">
      <c r="A462" s="124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</row>
    <row r="463" ht="15.75" customHeight="1">
      <c r="A463" s="124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</row>
    <row r="464" ht="15.75" customHeight="1">
      <c r="A464" s="124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</row>
    <row r="465" ht="15.75" customHeight="1">
      <c r="A465" s="124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</row>
    <row r="466" ht="15.75" customHeight="1">
      <c r="A466" s="124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</row>
    <row r="467" ht="15.75" customHeight="1">
      <c r="A467" s="124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</row>
    <row r="468" ht="15.75" customHeight="1">
      <c r="A468" s="124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</row>
    <row r="469" ht="15.75" customHeight="1">
      <c r="A469" s="124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</row>
    <row r="470" ht="15.75" customHeight="1">
      <c r="A470" s="124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</row>
    <row r="471" ht="15.75" customHeight="1">
      <c r="A471" s="124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</row>
    <row r="472" ht="15.75" customHeight="1">
      <c r="A472" s="124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</row>
    <row r="473" ht="15.75" customHeight="1">
      <c r="A473" s="124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</row>
    <row r="474" ht="15.75" customHeight="1">
      <c r="A474" s="124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</row>
    <row r="475" ht="15.75" customHeight="1">
      <c r="A475" s="124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</row>
    <row r="476" ht="15.75" customHeight="1">
      <c r="A476" s="124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</row>
    <row r="477" ht="15.75" customHeight="1">
      <c r="A477" s="124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</row>
    <row r="478" ht="15.75" customHeight="1">
      <c r="A478" s="124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</row>
    <row r="479" ht="15.75" customHeight="1">
      <c r="A479" s="124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</row>
    <row r="480" ht="15.75" customHeight="1">
      <c r="A480" s="124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</row>
    <row r="481" ht="15.75" customHeight="1">
      <c r="A481" s="124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</row>
    <row r="482" ht="15.75" customHeight="1">
      <c r="A482" s="124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</row>
    <row r="483" ht="15.75" customHeight="1">
      <c r="A483" s="124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</row>
    <row r="484" ht="15.75" customHeight="1">
      <c r="A484" s="124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</row>
    <row r="485" ht="15.75" customHeight="1">
      <c r="A485" s="124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</row>
    <row r="486" ht="15.75" customHeight="1">
      <c r="A486" s="124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</row>
    <row r="487" ht="15.75" customHeight="1">
      <c r="A487" s="124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</row>
    <row r="488" ht="15.75" customHeight="1">
      <c r="A488" s="124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</row>
    <row r="489" ht="15.75" customHeight="1">
      <c r="A489" s="124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</row>
    <row r="490" ht="15.75" customHeight="1">
      <c r="A490" s="124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</row>
    <row r="491" ht="15.75" customHeight="1">
      <c r="A491" s="124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</row>
    <row r="492" ht="15.75" customHeight="1">
      <c r="A492" s="124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</row>
    <row r="493" ht="15.75" customHeight="1">
      <c r="A493" s="124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</row>
    <row r="494" ht="15.75" customHeight="1">
      <c r="A494" s="124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</row>
    <row r="495" ht="15.75" customHeight="1">
      <c r="A495" s="124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</row>
    <row r="496" ht="15.75" customHeight="1">
      <c r="A496" s="124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</row>
    <row r="497" ht="15.75" customHeight="1">
      <c r="A497" s="124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</row>
    <row r="498" ht="15.75" customHeight="1">
      <c r="A498" s="124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</row>
    <row r="499" ht="15.75" customHeight="1">
      <c r="A499" s="124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</row>
    <row r="500" ht="15.75" customHeight="1">
      <c r="A500" s="124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</row>
    <row r="501" ht="15.75" customHeight="1">
      <c r="A501" s="124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</row>
    <row r="502" ht="15.75" customHeight="1">
      <c r="A502" s="124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</row>
    <row r="503" ht="15.75" customHeight="1">
      <c r="A503" s="124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</row>
    <row r="504" ht="15.75" customHeight="1">
      <c r="A504" s="124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</row>
    <row r="505" ht="15.75" customHeight="1">
      <c r="A505" s="124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</row>
    <row r="506" ht="15.75" customHeight="1">
      <c r="A506" s="124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</row>
    <row r="507" ht="15.75" customHeight="1">
      <c r="A507" s="124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</row>
    <row r="508" ht="15.75" customHeight="1">
      <c r="A508" s="124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</row>
    <row r="509" ht="15.75" customHeight="1">
      <c r="A509" s="124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</row>
    <row r="510" ht="15.75" customHeight="1">
      <c r="A510" s="124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</row>
    <row r="511" ht="15.75" customHeight="1">
      <c r="A511" s="124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</row>
    <row r="512" ht="15.75" customHeight="1">
      <c r="A512" s="124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</row>
    <row r="513" ht="15.75" customHeight="1">
      <c r="A513" s="124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</row>
    <row r="514" ht="15.75" customHeight="1">
      <c r="A514" s="124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</row>
    <row r="515" ht="15.75" customHeight="1">
      <c r="A515" s="124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</row>
    <row r="516" ht="15.75" customHeight="1">
      <c r="A516" s="124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</row>
    <row r="517" ht="15.75" customHeight="1">
      <c r="A517" s="124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</row>
    <row r="518" ht="15.75" customHeight="1">
      <c r="A518" s="124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</row>
    <row r="519" ht="15.75" customHeight="1">
      <c r="A519" s="124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</row>
    <row r="520" ht="15.75" customHeight="1">
      <c r="A520" s="124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</row>
    <row r="521" ht="15.75" customHeight="1">
      <c r="A521" s="124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</row>
    <row r="522" ht="15.75" customHeight="1">
      <c r="A522" s="124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</row>
    <row r="523" ht="15.75" customHeight="1">
      <c r="A523" s="124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</row>
    <row r="524" ht="15.75" customHeight="1">
      <c r="A524" s="124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</row>
    <row r="525" ht="15.75" customHeight="1">
      <c r="A525" s="124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</row>
    <row r="526" ht="15.75" customHeight="1">
      <c r="A526" s="124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</row>
    <row r="527" ht="15.75" customHeight="1">
      <c r="A527" s="124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</row>
    <row r="528" ht="15.75" customHeight="1">
      <c r="A528" s="124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</row>
    <row r="529" ht="15.75" customHeight="1">
      <c r="A529" s="124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</row>
    <row r="530" ht="15.75" customHeight="1">
      <c r="A530" s="124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</row>
    <row r="531" ht="15.75" customHeight="1">
      <c r="A531" s="124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</row>
    <row r="532" ht="15.75" customHeight="1">
      <c r="A532" s="124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</row>
    <row r="533" ht="15.75" customHeight="1">
      <c r="A533" s="124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</row>
    <row r="534" ht="15.75" customHeight="1">
      <c r="A534" s="124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</row>
    <row r="535" ht="15.75" customHeight="1">
      <c r="A535" s="124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</row>
    <row r="536" ht="15.75" customHeight="1">
      <c r="A536" s="124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</row>
    <row r="537" ht="15.75" customHeight="1">
      <c r="A537" s="124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</row>
    <row r="538" ht="15.75" customHeight="1">
      <c r="A538" s="124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</row>
    <row r="539" ht="15.75" customHeight="1">
      <c r="A539" s="124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</row>
    <row r="540" ht="15.75" customHeight="1">
      <c r="A540" s="124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</row>
    <row r="541" ht="15.75" customHeight="1">
      <c r="A541" s="124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</row>
    <row r="542" ht="15.75" customHeight="1">
      <c r="A542" s="124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</row>
    <row r="543" ht="15.75" customHeight="1">
      <c r="A543" s="124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</row>
    <row r="544" ht="15.75" customHeight="1">
      <c r="A544" s="124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</row>
    <row r="545" ht="15.75" customHeight="1">
      <c r="A545" s="124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</row>
    <row r="546" ht="15.75" customHeight="1">
      <c r="A546" s="124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</row>
    <row r="547" ht="15.75" customHeight="1">
      <c r="A547" s="124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</row>
    <row r="548" ht="15.75" customHeight="1">
      <c r="A548" s="124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</row>
    <row r="549" ht="15.75" customHeight="1">
      <c r="A549" s="124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</row>
    <row r="550" ht="15.75" customHeight="1">
      <c r="A550" s="124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</row>
    <row r="551" ht="15.75" customHeight="1">
      <c r="A551" s="124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</row>
    <row r="552" ht="15.75" customHeight="1">
      <c r="A552" s="124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</row>
    <row r="553" ht="15.75" customHeight="1">
      <c r="A553" s="124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</row>
    <row r="554" ht="15.75" customHeight="1">
      <c r="A554" s="124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</row>
    <row r="555" ht="15.75" customHeight="1">
      <c r="A555" s="124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</row>
    <row r="556" ht="15.75" customHeight="1">
      <c r="A556" s="124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</row>
    <row r="557" ht="15.75" customHeight="1">
      <c r="A557" s="124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</row>
    <row r="558" ht="15.75" customHeight="1">
      <c r="A558" s="124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</row>
    <row r="559" ht="15.75" customHeight="1">
      <c r="A559" s="124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</row>
    <row r="560" ht="15.75" customHeight="1">
      <c r="A560" s="124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</row>
    <row r="561" ht="15.75" customHeight="1">
      <c r="A561" s="124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</row>
    <row r="562" ht="15.75" customHeight="1">
      <c r="A562" s="124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</row>
    <row r="563" ht="15.75" customHeight="1">
      <c r="A563" s="124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</row>
    <row r="564" ht="15.75" customHeight="1">
      <c r="A564" s="124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</row>
    <row r="565" ht="15.75" customHeight="1">
      <c r="A565" s="124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</row>
    <row r="566" ht="15.75" customHeight="1">
      <c r="A566" s="124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</row>
    <row r="567" ht="15.75" customHeight="1">
      <c r="A567" s="124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</row>
    <row r="568" ht="15.75" customHeight="1">
      <c r="A568" s="124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</row>
    <row r="569" ht="15.75" customHeight="1">
      <c r="A569" s="124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</row>
    <row r="570" ht="15.75" customHeight="1">
      <c r="A570" s="124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</row>
    <row r="571" ht="15.75" customHeight="1">
      <c r="A571" s="124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</row>
    <row r="572" ht="15.75" customHeight="1">
      <c r="A572" s="124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</row>
    <row r="573" ht="15.75" customHeight="1">
      <c r="A573" s="124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</row>
    <row r="574" ht="15.75" customHeight="1">
      <c r="A574" s="124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</row>
    <row r="575" ht="15.75" customHeight="1">
      <c r="A575" s="124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</row>
    <row r="576" ht="15.75" customHeight="1">
      <c r="A576" s="124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</row>
    <row r="577" ht="15.75" customHeight="1">
      <c r="A577" s="124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</row>
    <row r="578" ht="15.75" customHeight="1">
      <c r="A578" s="124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</row>
    <row r="579" ht="15.75" customHeight="1">
      <c r="A579" s="124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</row>
    <row r="580" ht="15.75" customHeight="1">
      <c r="A580" s="124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</row>
    <row r="581" ht="15.75" customHeight="1">
      <c r="A581" s="124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</row>
    <row r="582" ht="15.75" customHeight="1">
      <c r="A582" s="124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</row>
    <row r="583" ht="15.75" customHeight="1">
      <c r="A583" s="124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</row>
    <row r="584" ht="15.75" customHeight="1">
      <c r="A584" s="124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</row>
    <row r="585" ht="15.75" customHeight="1">
      <c r="A585" s="124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</row>
    <row r="586" ht="15.75" customHeight="1">
      <c r="A586" s="124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</row>
    <row r="587" ht="15.75" customHeight="1">
      <c r="A587" s="124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</row>
    <row r="588" ht="15.75" customHeight="1">
      <c r="A588" s="124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</row>
    <row r="589" ht="15.75" customHeight="1">
      <c r="A589" s="124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</row>
    <row r="590" ht="15.75" customHeight="1">
      <c r="A590" s="124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</row>
    <row r="591" ht="15.75" customHeight="1">
      <c r="A591" s="124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</row>
    <row r="592" ht="15.75" customHeight="1">
      <c r="A592" s="124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</row>
    <row r="593" ht="15.75" customHeight="1">
      <c r="A593" s="124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</row>
    <row r="594" ht="15.75" customHeight="1">
      <c r="A594" s="124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</row>
    <row r="595" ht="15.75" customHeight="1">
      <c r="A595" s="124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</row>
    <row r="596" ht="15.75" customHeight="1">
      <c r="A596" s="124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</row>
    <row r="597" ht="15.75" customHeight="1">
      <c r="A597" s="124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</row>
    <row r="598" ht="15.75" customHeight="1">
      <c r="A598" s="124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</row>
    <row r="599" ht="15.75" customHeight="1">
      <c r="A599" s="124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</row>
    <row r="600" ht="15.75" customHeight="1">
      <c r="A600" s="124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</row>
    <row r="601" ht="15.75" customHeight="1">
      <c r="A601" s="124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</row>
    <row r="602" ht="15.75" customHeight="1">
      <c r="A602" s="124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</row>
    <row r="603" ht="15.75" customHeight="1">
      <c r="A603" s="124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</row>
    <row r="604" ht="15.75" customHeight="1">
      <c r="A604" s="124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</row>
    <row r="605" ht="15.75" customHeight="1">
      <c r="A605" s="124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</row>
    <row r="606" ht="15.75" customHeight="1">
      <c r="A606" s="124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</row>
    <row r="607" ht="15.75" customHeight="1">
      <c r="A607" s="124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</row>
    <row r="608" ht="15.75" customHeight="1">
      <c r="A608" s="124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</row>
    <row r="609" ht="15.75" customHeight="1">
      <c r="A609" s="124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</row>
    <row r="610" ht="15.75" customHeight="1">
      <c r="A610" s="124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</row>
    <row r="611" ht="15.75" customHeight="1">
      <c r="A611" s="124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</row>
    <row r="612" ht="15.75" customHeight="1">
      <c r="A612" s="124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</row>
    <row r="613" ht="15.75" customHeight="1">
      <c r="A613" s="124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</row>
    <row r="614" ht="15.75" customHeight="1">
      <c r="A614" s="124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</row>
    <row r="615" ht="15.75" customHeight="1">
      <c r="A615" s="124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</row>
    <row r="616" ht="15.75" customHeight="1">
      <c r="A616" s="124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</row>
    <row r="617" ht="15.75" customHeight="1">
      <c r="A617" s="124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</row>
    <row r="618" ht="15.75" customHeight="1">
      <c r="A618" s="124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</row>
    <row r="619" ht="15.75" customHeight="1">
      <c r="A619" s="124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</row>
    <row r="620" ht="15.75" customHeight="1">
      <c r="A620" s="124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</row>
    <row r="621" ht="15.75" customHeight="1">
      <c r="A621" s="124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</row>
    <row r="622" ht="15.75" customHeight="1">
      <c r="A622" s="124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</row>
    <row r="623" ht="15.75" customHeight="1">
      <c r="A623" s="124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</row>
    <row r="624" ht="15.75" customHeight="1">
      <c r="A624" s="124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</row>
    <row r="625" ht="15.75" customHeight="1">
      <c r="A625" s="124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</row>
    <row r="626" ht="15.75" customHeight="1">
      <c r="A626" s="124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</row>
    <row r="627" ht="15.75" customHeight="1">
      <c r="A627" s="124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</row>
    <row r="628" ht="15.75" customHeight="1">
      <c r="A628" s="124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</row>
    <row r="629" ht="15.75" customHeight="1">
      <c r="A629" s="124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</row>
    <row r="630" ht="15.75" customHeight="1">
      <c r="A630" s="124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</row>
    <row r="631" ht="15.75" customHeight="1">
      <c r="A631" s="124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</row>
    <row r="632" ht="15.75" customHeight="1">
      <c r="A632" s="124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</row>
    <row r="633" ht="15.75" customHeight="1">
      <c r="A633" s="124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</row>
    <row r="634" ht="15.75" customHeight="1">
      <c r="A634" s="124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</row>
    <row r="635" ht="15.75" customHeight="1">
      <c r="A635" s="124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</row>
    <row r="636" ht="15.75" customHeight="1">
      <c r="A636" s="124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</row>
    <row r="637" ht="15.75" customHeight="1">
      <c r="A637" s="124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</row>
    <row r="638" ht="15.75" customHeight="1">
      <c r="A638" s="124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</row>
    <row r="639" ht="15.75" customHeight="1">
      <c r="A639" s="124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</row>
    <row r="640" ht="15.75" customHeight="1">
      <c r="A640" s="124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</row>
    <row r="641" ht="15.75" customHeight="1">
      <c r="A641" s="124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</row>
    <row r="642" ht="15.75" customHeight="1">
      <c r="A642" s="124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</row>
    <row r="643" ht="15.75" customHeight="1">
      <c r="A643" s="124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</row>
    <row r="644" ht="15.75" customHeight="1">
      <c r="A644" s="124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</row>
    <row r="645" ht="15.75" customHeight="1">
      <c r="A645" s="124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</row>
    <row r="646" ht="15.75" customHeight="1">
      <c r="A646" s="124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</row>
    <row r="647" ht="15.75" customHeight="1">
      <c r="A647" s="124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</row>
    <row r="648" ht="15.75" customHeight="1">
      <c r="A648" s="124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</row>
    <row r="649" ht="15.75" customHeight="1">
      <c r="A649" s="124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</row>
    <row r="650" ht="15.75" customHeight="1">
      <c r="A650" s="124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</row>
    <row r="651" ht="15.75" customHeight="1">
      <c r="A651" s="124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</row>
    <row r="652" ht="15.75" customHeight="1">
      <c r="A652" s="124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</row>
    <row r="653" ht="15.75" customHeight="1">
      <c r="A653" s="124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</row>
    <row r="654" ht="15.75" customHeight="1">
      <c r="A654" s="124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</row>
    <row r="655" ht="15.75" customHeight="1">
      <c r="A655" s="124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</row>
    <row r="656" ht="15.75" customHeight="1">
      <c r="A656" s="124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</row>
    <row r="657" ht="15.75" customHeight="1">
      <c r="A657" s="124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</row>
    <row r="658" ht="15.75" customHeight="1">
      <c r="A658" s="124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</row>
    <row r="659" ht="15.75" customHeight="1">
      <c r="A659" s="124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</row>
    <row r="660" ht="15.75" customHeight="1">
      <c r="A660" s="124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</row>
    <row r="661" ht="15.75" customHeight="1">
      <c r="A661" s="124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</row>
    <row r="662" ht="15.75" customHeight="1">
      <c r="A662" s="124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</row>
    <row r="663" ht="15.75" customHeight="1">
      <c r="A663" s="124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</row>
    <row r="664" ht="15.75" customHeight="1">
      <c r="A664" s="124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</row>
    <row r="665" ht="15.75" customHeight="1">
      <c r="A665" s="124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</row>
    <row r="666" ht="15.75" customHeight="1">
      <c r="A666" s="124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</row>
    <row r="667" ht="15.75" customHeight="1">
      <c r="A667" s="124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</row>
    <row r="668" ht="15.75" customHeight="1">
      <c r="A668" s="124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</row>
    <row r="669" ht="15.75" customHeight="1">
      <c r="A669" s="124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</row>
    <row r="670" ht="15.75" customHeight="1">
      <c r="A670" s="124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</row>
    <row r="671" ht="15.75" customHeight="1">
      <c r="A671" s="124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</row>
    <row r="672" ht="15.75" customHeight="1">
      <c r="A672" s="124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</row>
    <row r="673" ht="15.75" customHeight="1">
      <c r="A673" s="124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</row>
    <row r="674" ht="15.75" customHeight="1">
      <c r="A674" s="124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</row>
    <row r="675" ht="15.75" customHeight="1">
      <c r="A675" s="124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</row>
    <row r="676" ht="15.75" customHeight="1">
      <c r="A676" s="124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</row>
    <row r="677" ht="15.75" customHeight="1">
      <c r="A677" s="124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</row>
    <row r="678" ht="15.75" customHeight="1">
      <c r="A678" s="124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</row>
    <row r="679" ht="15.75" customHeight="1">
      <c r="A679" s="124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</row>
    <row r="680" ht="15.75" customHeight="1">
      <c r="A680" s="124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</row>
    <row r="681" ht="15.75" customHeight="1">
      <c r="A681" s="124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</row>
    <row r="682" ht="15.75" customHeight="1">
      <c r="A682" s="124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</row>
    <row r="683" ht="15.75" customHeight="1">
      <c r="A683" s="124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</row>
    <row r="684" ht="15.75" customHeight="1">
      <c r="A684" s="124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</row>
    <row r="685" ht="15.75" customHeight="1">
      <c r="A685" s="124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</row>
    <row r="686" ht="15.75" customHeight="1">
      <c r="A686" s="124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</row>
    <row r="687" ht="15.75" customHeight="1">
      <c r="A687" s="124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</row>
    <row r="688" ht="15.75" customHeight="1">
      <c r="A688" s="124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</row>
    <row r="689" ht="15.75" customHeight="1">
      <c r="A689" s="124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</row>
    <row r="690" ht="15.75" customHeight="1">
      <c r="A690" s="124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</row>
    <row r="691" ht="15.75" customHeight="1">
      <c r="A691" s="124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</row>
    <row r="692" ht="15.75" customHeight="1">
      <c r="A692" s="124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</row>
    <row r="693" ht="15.75" customHeight="1">
      <c r="A693" s="124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</row>
    <row r="694" ht="15.75" customHeight="1">
      <c r="A694" s="124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</row>
    <row r="695" ht="15.75" customHeight="1">
      <c r="A695" s="124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</row>
    <row r="696" ht="15.75" customHeight="1">
      <c r="A696" s="124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</row>
    <row r="697" ht="15.75" customHeight="1">
      <c r="A697" s="124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</row>
    <row r="698" ht="15.75" customHeight="1">
      <c r="A698" s="124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</row>
    <row r="699" ht="15.75" customHeight="1">
      <c r="A699" s="124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</row>
    <row r="700" ht="15.75" customHeight="1">
      <c r="A700" s="124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</row>
    <row r="701" ht="15.75" customHeight="1">
      <c r="A701" s="124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</row>
    <row r="702" ht="15.75" customHeight="1">
      <c r="A702" s="124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</row>
    <row r="703" ht="15.75" customHeight="1">
      <c r="A703" s="124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</row>
    <row r="704" ht="15.75" customHeight="1">
      <c r="A704" s="124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</row>
    <row r="705" ht="15.75" customHeight="1">
      <c r="A705" s="124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</row>
    <row r="706" ht="15.75" customHeight="1">
      <c r="A706" s="124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</row>
    <row r="707" ht="15.75" customHeight="1">
      <c r="A707" s="124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</row>
    <row r="708" ht="15.75" customHeight="1">
      <c r="A708" s="124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</row>
    <row r="709" ht="15.75" customHeight="1">
      <c r="A709" s="124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</row>
    <row r="710" ht="15.75" customHeight="1">
      <c r="A710" s="124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</row>
    <row r="711" ht="15.75" customHeight="1">
      <c r="A711" s="124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</row>
    <row r="712" ht="15.75" customHeight="1">
      <c r="A712" s="124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</row>
    <row r="713" ht="15.75" customHeight="1">
      <c r="A713" s="124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</row>
    <row r="714" ht="15.75" customHeight="1">
      <c r="A714" s="124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</row>
    <row r="715" ht="15.75" customHeight="1">
      <c r="A715" s="124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</row>
    <row r="716" ht="15.75" customHeight="1">
      <c r="A716" s="124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</row>
    <row r="717" ht="15.75" customHeight="1">
      <c r="A717" s="124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</row>
    <row r="718" ht="15.75" customHeight="1">
      <c r="A718" s="124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</row>
    <row r="719" ht="15.75" customHeight="1">
      <c r="A719" s="124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</row>
    <row r="720" ht="15.75" customHeight="1">
      <c r="A720" s="124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</row>
    <row r="721" ht="15.75" customHeight="1">
      <c r="A721" s="124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</row>
    <row r="722" ht="15.75" customHeight="1">
      <c r="A722" s="124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</row>
    <row r="723" ht="15.75" customHeight="1">
      <c r="A723" s="124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</row>
    <row r="724" ht="15.75" customHeight="1">
      <c r="A724" s="124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</row>
    <row r="725" ht="15.75" customHeight="1">
      <c r="A725" s="124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</row>
    <row r="726" ht="15.75" customHeight="1">
      <c r="A726" s="124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</row>
    <row r="727" ht="15.75" customHeight="1">
      <c r="A727" s="124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</row>
    <row r="728" ht="15.75" customHeight="1">
      <c r="A728" s="124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</row>
    <row r="729" ht="15.75" customHeight="1">
      <c r="A729" s="124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</row>
    <row r="730" ht="15.75" customHeight="1">
      <c r="A730" s="124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</row>
    <row r="731" ht="15.75" customHeight="1">
      <c r="A731" s="124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</row>
    <row r="732" ht="15.75" customHeight="1">
      <c r="A732" s="124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</row>
    <row r="733" ht="15.75" customHeight="1">
      <c r="A733" s="124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</row>
    <row r="734" ht="15.75" customHeight="1">
      <c r="A734" s="124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</row>
    <row r="735" ht="15.75" customHeight="1">
      <c r="A735" s="124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</row>
    <row r="736" ht="15.75" customHeight="1">
      <c r="A736" s="124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</row>
    <row r="737" ht="15.75" customHeight="1">
      <c r="A737" s="124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</row>
    <row r="738" ht="15.75" customHeight="1">
      <c r="A738" s="124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</row>
    <row r="739" ht="15.75" customHeight="1">
      <c r="A739" s="124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</row>
    <row r="740" ht="15.75" customHeight="1">
      <c r="A740" s="124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</row>
    <row r="741" ht="15.75" customHeight="1">
      <c r="A741" s="124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</row>
    <row r="742" ht="15.75" customHeight="1">
      <c r="A742" s="124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</row>
    <row r="743" ht="15.75" customHeight="1">
      <c r="A743" s="124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</row>
    <row r="744" ht="15.75" customHeight="1">
      <c r="A744" s="124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</row>
    <row r="745" ht="15.75" customHeight="1">
      <c r="A745" s="124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</row>
    <row r="746" ht="15.75" customHeight="1">
      <c r="A746" s="124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</row>
    <row r="747" ht="15.75" customHeight="1">
      <c r="A747" s="124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</row>
    <row r="748" ht="15.75" customHeight="1">
      <c r="A748" s="124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</row>
    <row r="749" ht="15.75" customHeight="1">
      <c r="A749" s="124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</row>
    <row r="750" ht="15.75" customHeight="1">
      <c r="A750" s="124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</row>
    <row r="751" ht="15.75" customHeight="1">
      <c r="A751" s="124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</row>
    <row r="752" ht="15.75" customHeight="1">
      <c r="A752" s="124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</row>
    <row r="753" ht="15.75" customHeight="1">
      <c r="A753" s="124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</row>
    <row r="754" ht="15.75" customHeight="1">
      <c r="A754" s="124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</row>
    <row r="755" ht="15.75" customHeight="1">
      <c r="A755" s="124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</row>
    <row r="756" ht="15.75" customHeight="1">
      <c r="A756" s="124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</row>
    <row r="757" ht="15.75" customHeight="1">
      <c r="A757" s="124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</row>
    <row r="758" ht="15.75" customHeight="1">
      <c r="A758" s="124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</row>
    <row r="759" ht="15.75" customHeight="1">
      <c r="A759" s="124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</row>
    <row r="760" ht="15.75" customHeight="1">
      <c r="A760" s="124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</row>
    <row r="761" ht="15.75" customHeight="1">
      <c r="A761" s="124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</row>
    <row r="762" ht="15.75" customHeight="1">
      <c r="A762" s="124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</row>
    <row r="763" ht="15.75" customHeight="1">
      <c r="A763" s="124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</row>
    <row r="764" ht="15.75" customHeight="1">
      <c r="A764" s="124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</row>
    <row r="765" ht="15.75" customHeight="1">
      <c r="A765" s="124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</row>
    <row r="766" ht="15.75" customHeight="1">
      <c r="A766" s="124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</row>
    <row r="767" ht="15.75" customHeight="1">
      <c r="A767" s="124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</row>
    <row r="768" ht="15.75" customHeight="1">
      <c r="A768" s="124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</row>
    <row r="769" ht="15.75" customHeight="1">
      <c r="A769" s="124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</row>
    <row r="770" ht="15.75" customHeight="1">
      <c r="A770" s="124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</row>
    <row r="771" ht="15.75" customHeight="1">
      <c r="A771" s="124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</row>
    <row r="772" ht="15.75" customHeight="1">
      <c r="A772" s="124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</row>
    <row r="773" ht="15.75" customHeight="1">
      <c r="A773" s="124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</row>
    <row r="774" ht="15.75" customHeight="1">
      <c r="A774" s="124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</row>
    <row r="775" ht="15.75" customHeight="1">
      <c r="A775" s="124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</row>
    <row r="776" ht="15.75" customHeight="1">
      <c r="A776" s="124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</row>
    <row r="777" ht="15.75" customHeight="1">
      <c r="A777" s="124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</row>
    <row r="778" ht="15.75" customHeight="1">
      <c r="A778" s="124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</row>
    <row r="779" ht="15.75" customHeight="1">
      <c r="A779" s="124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</row>
    <row r="780" ht="15.75" customHeight="1">
      <c r="A780" s="124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</row>
    <row r="781" ht="15.75" customHeight="1">
      <c r="A781" s="124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</row>
    <row r="782" ht="15.75" customHeight="1">
      <c r="A782" s="124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</row>
    <row r="783" ht="15.75" customHeight="1">
      <c r="A783" s="124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</row>
    <row r="784" ht="15.75" customHeight="1">
      <c r="A784" s="124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</row>
    <row r="785" ht="15.75" customHeight="1">
      <c r="A785" s="124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</row>
    <row r="786" ht="15.75" customHeight="1">
      <c r="A786" s="124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</row>
    <row r="787" ht="15.75" customHeight="1">
      <c r="A787" s="124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</row>
    <row r="788" ht="15.75" customHeight="1">
      <c r="A788" s="124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</row>
    <row r="789" ht="15.75" customHeight="1">
      <c r="A789" s="124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</row>
    <row r="790" ht="15.75" customHeight="1">
      <c r="A790" s="124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</row>
    <row r="791" ht="15.75" customHeight="1">
      <c r="A791" s="124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</row>
    <row r="792" ht="15.75" customHeight="1">
      <c r="A792" s="124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</row>
    <row r="793" ht="15.75" customHeight="1">
      <c r="A793" s="124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</row>
    <row r="794" ht="15.75" customHeight="1">
      <c r="A794" s="124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</row>
    <row r="795" ht="15.75" customHeight="1">
      <c r="A795" s="124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</row>
    <row r="796" ht="15.75" customHeight="1">
      <c r="A796" s="124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</row>
    <row r="797" ht="15.75" customHeight="1">
      <c r="A797" s="124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</row>
    <row r="798" ht="15.75" customHeight="1">
      <c r="A798" s="124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</row>
    <row r="799" ht="15.75" customHeight="1">
      <c r="A799" s="124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</row>
    <row r="800" ht="15.75" customHeight="1">
      <c r="A800" s="124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</row>
    <row r="801" ht="15.75" customHeight="1">
      <c r="A801" s="124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</row>
    <row r="802" ht="15.75" customHeight="1">
      <c r="A802" s="124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</row>
    <row r="803" ht="15.75" customHeight="1">
      <c r="A803" s="124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</row>
    <row r="804" ht="15.75" customHeight="1">
      <c r="A804" s="124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</row>
    <row r="805" ht="15.75" customHeight="1">
      <c r="A805" s="124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</row>
    <row r="806" ht="15.75" customHeight="1">
      <c r="A806" s="124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</row>
    <row r="807" ht="15.75" customHeight="1">
      <c r="A807" s="124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</row>
    <row r="808" ht="15.75" customHeight="1">
      <c r="A808" s="124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</row>
    <row r="809" ht="15.75" customHeight="1">
      <c r="A809" s="124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</row>
    <row r="810" ht="15.75" customHeight="1">
      <c r="A810" s="124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</row>
    <row r="811" ht="15.75" customHeight="1">
      <c r="A811" s="124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</row>
    <row r="812" ht="15.75" customHeight="1">
      <c r="A812" s="124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</row>
    <row r="813" ht="15.75" customHeight="1">
      <c r="A813" s="124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</row>
    <row r="814" ht="15.75" customHeight="1">
      <c r="A814" s="124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</row>
    <row r="815" ht="15.75" customHeight="1">
      <c r="A815" s="124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</row>
    <row r="816" ht="15.75" customHeight="1">
      <c r="A816" s="124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</row>
    <row r="817" ht="15.75" customHeight="1">
      <c r="A817" s="124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</row>
    <row r="818" ht="15.75" customHeight="1">
      <c r="A818" s="124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</row>
    <row r="819" ht="15.75" customHeight="1">
      <c r="A819" s="124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</row>
    <row r="820" ht="15.75" customHeight="1">
      <c r="A820" s="124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</row>
    <row r="821" ht="15.75" customHeight="1">
      <c r="A821" s="124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</row>
    <row r="822" ht="15.75" customHeight="1">
      <c r="A822" s="124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</row>
    <row r="823" ht="15.75" customHeight="1">
      <c r="A823" s="124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</row>
    <row r="824" ht="15.75" customHeight="1">
      <c r="A824" s="124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</row>
    <row r="825" ht="15.75" customHeight="1">
      <c r="A825" s="124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</row>
    <row r="826" ht="15.75" customHeight="1">
      <c r="A826" s="124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</row>
    <row r="827" ht="15.75" customHeight="1">
      <c r="A827" s="124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</row>
    <row r="828" ht="15.75" customHeight="1">
      <c r="A828" s="124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</row>
    <row r="829" ht="15.75" customHeight="1">
      <c r="A829" s="124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</row>
    <row r="830" ht="15.75" customHeight="1">
      <c r="A830" s="124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</row>
    <row r="831" ht="15.75" customHeight="1">
      <c r="A831" s="124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</row>
    <row r="832" ht="15.75" customHeight="1">
      <c r="A832" s="124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</row>
    <row r="833" ht="15.75" customHeight="1">
      <c r="A833" s="124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</row>
    <row r="834" ht="15.75" customHeight="1">
      <c r="A834" s="124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</row>
    <row r="835" ht="15.75" customHeight="1">
      <c r="A835" s="124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</row>
    <row r="836" ht="15.75" customHeight="1">
      <c r="A836" s="124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</row>
    <row r="837" ht="15.75" customHeight="1">
      <c r="A837" s="124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</row>
    <row r="838" ht="15.75" customHeight="1">
      <c r="A838" s="124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</row>
    <row r="839" ht="15.75" customHeight="1">
      <c r="A839" s="124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</row>
    <row r="840" ht="15.75" customHeight="1">
      <c r="A840" s="124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</row>
    <row r="841" ht="15.75" customHeight="1">
      <c r="A841" s="124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</row>
    <row r="842" ht="15.75" customHeight="1">
      <c r="A842" s="124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</row>
    <row r="843" ht="15.75" customHeight="1">
      <c r="A843" s="124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</row>
    <row r="844" ht="15.75" customHeight="1">
      <c r="A844" s="124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</row>
    <row r="845" ht="15.75" customHeight="1">
      <c r="A845" s="124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</row>
    <row r="846" ht="15.75" customHeight="1">
      <c r="A846" s="124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</row>
    <row r="847" ht="15.75" customHeight="1">
      <c r="A847" s="124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</row>
    <row r="848" ht="15.75" customHeight="1">
      <c r="A848" s="124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</row>
    <row r="849" ht="15.75" customHeight="1">
      <c r="A849" s="124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</row>
    <row r="850" ht="15.75" customHeight="1">
      <c r="A850" s="124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</row>
    <row r="851" ht="15.75" customHeight="1">
      <c r="A851" s="124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</row>
    <row r="852" ht="15.75" customHeight="1">
      <c r="A852" s="124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</row>
    <row r="853" ht="15.75" customHeight="1">
      <c r="A853" s="124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</row>
    <row r="854" ht="15.75" customHeight="1">
      <c r="A854" s="124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</row>
    <row r="855" ht="15.75" customHeight="1">
      <c r="A855" s="124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</row>
    <row r="856" ht="15.75" customHeight="1">
      <c r="A856" s="124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</row>
    <row r="857" ht="15.75" customHeight="1">
      <c r="A857" s="124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</row>
    <row r="858" ht="15.75" customHeight="1">
      <c r="A858" s="124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</row>
    <row r="859" ht="15.75" customHeight="1">
      <c r="A859" s="124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</row>
    <row r="860" ht="15.75" customHeight="1">
      <c r="A860" s="124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</row>
    <row r="861" ht="15.75" customHeight="1">
      <c r="A861" s="124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</row>
    <row r="862" ht="15.75" customHeight="1">
      <c r="A862" s="124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</row>
    <row r="863" ht="15.75" customHeight="1">
      <c r="A863" s="124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</row>
    <row r="864" ht="15.75" customHeight="1">
      <c r="A864" s="124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</row>
    <row r="865" ht="15.75" customHeight="1">
      <c r="A865" s="124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</row>
    <row r="866" ht="15.75" customHeight="1">
      <c r="A866" s="124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</row>
    <row r="867" ht="15.75" customHeight="1">
      <c r="A867" s="124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</row>
    <row r="868" ht="15.75" customHeight="1">
      <c r="A868" s="124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</row>
    <row r="869" ht="15.75" customHeight="1">
      <c r="A869" s="124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</row>
    <row r="870" ht="15.75" customHeight="1">
      <c r="A870" s="124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</row>
    <row r="871" ht="15.75" customHeight="1">
      <c r="A871" s="124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</row>
    <row r="872" ht="15.75" customHeight="1">
      <c r="A872" s="124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</row>
    <row r="873" ht="15.75" customHeight="1">
      <c r="A873" s="124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</row>
    <row r="874" ht="15.75" customHeight="1">
      <c r="A874" s="124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</row>
    <row r="875" ht="15.75" customHeight="1">
      <c r="A875" s="124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</row>
    <row r="876" ht="15.75" customHeight="1">
      <c r="A876" s="124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</row>
    <row r="877" ht="15.75" customHeight="1">
      <c r="A877" s="124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</row>
    <row r="878" ht="15.75" customHeight="1">
      <c r="A878" s="124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</row>
    <row r="879" ht="15.75" customHeight="1">
      <c r="A879" s="124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</row>
    <row r="880" ht="15.75" customHeight="1">
      <c r="A880" s="124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</row>
    <row r="881" ht="15.75" customHeight="1">
      <c r="A881" s="124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</row>
    <row r="882" ht="15.75" customHeight="1">
      <c r="A882" s="124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</row>
    <row r="883" ht="15.75" customHeight="1">
      <c r="A883" s="124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</row>
    <row r="884" ht="15.75" customHeight="1">
      <c r="A884" s="124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</row>
    <row r="885" ht="15.75" customHeight="1">
      <c r="A885" s="124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</row>
    <row r="886" ht="15.75" customHeight="1">
      <c r="A886" s="124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</row>
    <row r="887" ht="15.75" customHeight="1">
      <c r="A887" s="124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</row>
    <row r="888" ht="15.75" customHeight="1">
      <c r="A888" s="124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</row>
    <row r="889" ht="15.75" customHeight="1">
      <c r="A889" s="124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</row>
    <row r="890" ht="15.75" customHeight="1">
      <c r="A890" s="124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</row>
    <row r="891" ht="15.75" customHeight="1">
      <c r="A891" s="124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</row>
    <row r="892" ht="15.75" customHeight="1">
      <c r="A892" s="124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</row>
    <row r="893" ht="15.75" customHeight="1">
      <c r="A893" s="124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</row>
    <row r="894" ht="15.75" customHeight="1">
      <c r="A894" s="124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</row>
    <row r="895" ht="15.75" customHeight="1">
      <c r="A895" s="124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</row>
    <row r="896" ht="15.75" customHeight="1">
      <c r="A896" s="124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</row>
    <row r="897" ht="15.75" customHeight="1">
      <c r="A897" s="124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</row>
    <row r="898" ht="15.75" customHeight="1">
      <c r="A898" s="124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</row>
    <row r="899" ht="15.75" customHeight="1">
      <c r="A899" s="124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</row>
    <row r="900" ht="15.75" customHeight="1">
      <c r="A900" s="124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</row>
    <row r="901" ht="15.75" customHeight="1">
      <c r="A901" s="124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</row>
    <row r="902" ht="15.75" customHeight="1">
      <c r="A902" s="124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</row>
    <row r="903" ht="15.75" customHeight="1">
      <c r="A903" s="124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</row>
    <row r="904" ht="15.75" customHeight="1">
      <c r="A904" s="124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</row>
    <row r="905" ht="15.75" customHeight="1">
      <c r="A905" s="124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</row>
    <row r="906" ht="15.75" customHeight="1">
      <c r="A906" s="124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</row>
    <row r="907" ht="15.75" customHeight="1">
      <c r="A907" s="124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</row>
    <row r="908" ht="15.75" customHeight="1">
      <c r="A908" s="124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</row>
    <row r="909" ht="15.75" customHeight="1">
      <c r="A909" s="124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</row>
    <row r="910" ht="15.75" customHeight="1">
      <c r="A910" s="124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</row>
    <row r="911" ht="15.75" customHeight="1">
      <c r="A911" s="124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</row>
    <row r="912" ht="15.75" customHeight="1">
      <c r="A912" s="124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</row>
    <row r="913" ht="15.75" customHeight="1">
      <c r="A913" s="124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</row>
    <row r="914" ht="15.75" customHeight="1">
      <c r="A914" s="124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</row>
    <row r="915" ht="15.75" customHeight="1">
      <c r="A915" s="124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</row>
    <row r="916" ht="15.75" customHeight="1">
      <c r="A916" s="124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</row>
    <row r="917" ht="15.75" customHeight="1">
      <c r="A917" s="124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</row>
    <row r="918" ht="15.75" customHeight="1">
      <c r="A918" s="124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</row>
    <row r="919" ht="15.75" customHeight="1">
      <c r="A919" s="124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</row>
    <row r="920" ht="15.75" customHeight="1">
      <c r="A920" s="124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</row>
    <row r="921" ht="15.75" customHeight="1">
      <c r="A921" s="124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</row>
    <row r="922" ht="15.75" customHeight="1">
      <c r="A922" s="124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</row>
    <row r="923" ht="15.75" customHeight="1">
      <c r="A923" s="124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</row>
    <row r="924" ht="15.75" customHeight="1">
      <c r="A924" s="124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</row>
    <row r="925" ht="15.75" customHeight="1">
      <c r="A925" s="124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</row>
    <row r="926" ht="15.75" customHeight="1">
      <c r="A926" s="124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</row>
    <row r="927" ht="15.75" customHeight="1">
      <c r="A927" s="124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</row>
    <row r="928" ht="15.75" customHeight="1">
      <c r="A928" s="124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</row>
    <row r="929" ht="15.75" customHeight="1">
      <c r="A929" s="124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</row>
    <row r="930" ht="15.75" customHeight="1">
      <c r="A930" s="124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</row>
    <row r="931" ht="15.75" customHeight="1">
      <c r="A931" s="124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</row>
    <row r="932" ht="15.75" customHeight="1">
      <c r="A932" s="124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</row>
    <row r="933" ht="15.75" customHeight="1">
      <c r="A933" s="124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</row>
    <row r="934" ht="15.75" customHeight="1">
      <c r="A934" s="124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</row>
    <row r="935" ht="15.75" customHeight="1">
      <c r="A935" s="124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</row>
    <row r="936" ht="15.75" customHeight="1">
      <c r="A936" s="124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</row>
    <row r="937" ht="15.75" customHeight="1">
      <c r="A937" s="124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</row>
    <row r="938" ht="15.75" customHeight="1">
      <c r="A938" s="124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</row>
    <row r="939" ht="15.75" customHeight="1">
      <c r="A939" s="124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</row>
    <row r="940" ht="15.75" customHeight="1">
      <c r="A940" s="124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</row>
    <row r="941" ht="15.75" customHeight="1">
      <c r="A941" s="124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</row>
    <row r="942" ht="15.75" customHeight="1">
      <c r="A942" s="124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</row>
    <row r="943" ht="15.75" customHeight="1">
      <c r="A943" s="124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</row>
    <row r="944" ht="15.75" customHeight="1">
      <c r="A944" s="124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</row>
    <row r="945" ht="15.75" customHeight="1">
      <c r="A945" s="124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</row>
    <row r="946" ht="15.75" customHeight="1">
      <c r="A946" s="124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</row>
    <row r="947" ht="15.75" customHeight="1">
      <c r="A947" s="124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</row>
    <row r="948" ht="15.75" customHeight="1">
      <c r="A948" s="124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</row>
    <row r="949" ht="15.75" customHeight="1">
      <c r="A949" s="124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</row>
    <row r="950" ht="15.75" customHeight="1">
      <c r="A950" s="124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</row>
    <row r="951" ht="15.75" customHeight="1">
      <c r="A951" s="124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</row>
    <row r="952" ht="15.75" customHeight="1">
      <c r="A952" s="124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</row>
    <row r="953" ht="15.75" customHeight="1">
      <c r="A953" s="124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</row>
    <row r="954" ht="15.75" customHeight="1">
      <c r="A954" s="124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</row>
    <row r="955" ht="15.75" customHeight="1">
      <c r="A955" s="124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</row>
    <row r="956" ht="15.75" customHeight="1">
      <c r="A956" s="124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</row>
    <row r="957" ht="15.75" customHeight="1">
      <c r="A957" s="124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</row>
    <row r="958" ht="15.75" customHeight="1">
      <c r="A958" s="124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</row>
    <row r="959" ht="15.75" customHeight="1">
      <c r="A959" s="124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</row>
    <row r="960" ht="15.75" customHeight="1">
      <c r="A960" s="124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</row>
    <row r="961" ht="15.75" customHeight="1">
      <c r="A961" s="124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</row>
    <row r="962" ht="15.75" customHeight="1">
      <c r="A962" s="124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</row>
    <row r="963" ht="15.75" customHeight="1">
      <c r="A963" s="124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</row>
    <row r="964" ht="15.75" customHeight="1">
      <c r="A964" s="124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</row>
    <row r="965" ht="15.75" customHeight="1">
      <c r="A965" s="124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</row>
    <row r="966" ht="15.75" customHeight="1">
      <c r="A966" s="124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</row>
    <row r="967" ht="15.75" customHeight="1">
      <c r="A967" s="124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</row>
    <row r="968" ht="15.75" customHeight="1">
      <c r="A968" s="124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</row>
    <row r="969" ht="15.75" customHeight="1">
      <c r="A969" s="124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</row>
    <row r="970" ht="15.75" customHeight="1">
      <c r="A970" s="124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</row>
    <row r="971" ht="15.75" customHeight="1">
      <c r="A971" s="124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</row>
    <row r="972" ht="15.75" customHeight="1">
      <c r="A972" s="124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</row>
    <row r="973" ht="15.75" customHeight="1">
      <c r="A973" s="124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</row>
    <row r="974" ht="15.75" customHeight="1">
      <c r="A974" s="124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</row>
    <row r="975" ht="15.75" customHeight="1">
      <c r="A975" s="124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</row>
    <row r="976" ht="15.75" customHeight="1">
      <c r="A976" s="124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</row>
    <row r="977" ht="15.75" customHeight="1">
      <c r="A977" s="124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</row>
    <row r="978" ht="15.75" customHeight="1">
      <c r="A978" s="124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</row>
    <row r="979" ht="15.75" customHeight="1">
      <c r="A979" s="124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</row>
    <row r="980" ht="15.75" customHeight="1">
      <c r="A980" s="124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</row>
    <row r="981" ht="15.75" customHeight="1">
      <c r="A981" s="124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</row>
    <row r="982" ht="15.75" customHeight="1">
      <c r="A982" s="124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</row>
    <row r="983" ht="15.75" customHeight="1">
      <c r="A983" s="124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</row>
    <row r="984" ht="15.75" customHeight="1">
      <c r="A984" s="124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</row>
    <row r="985" ht="15.75" customHeight="1">
      <c r="A985" s="124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</row>
    <row r="986" ht="15.75" customHeight="1">
      <c r="A986" s="124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</row>
    <row r="987" ht="15.75" customHeight="1">
      <c r="A987" s="124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</row>
    <row r="988" ht="15.75" customHeight="1">
      <c r="A988" s="124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</row>
    <row r="989" ht="15.75" customHeight="1">
      <c r="A989" s="124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</row>
    <row r="990" ht="15.75" customHeight="1">
      <c r="A990" s="124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</row>
    <row r="991" ht="15.75" customHeight="1">
      <c r="A991" s="124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</row>
    <row r="992" ht="15.75" customHeight="1">
      <c r="A992" s="124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</row>
    <row r="993" ht="15.75" customHeight="1">
      <c r="A993" s="124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</row>
    <row r="994" ht="15.75" customHeight="1">
      <c r="A994" s="124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</row>
    <row r="995" ht="15.75" customHeight="1">
      <c r="A995" s="124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</row>
    <row r="996" ht="15.75" customHeight="1">
      <c r="A996" s="124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</row>
    <row r="997" ht="15.75" customHeight="1">
      <c r="A997" s="124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</row>
    <row r="998" ht="15.75" customHeight="1">
      <c r="A998" s="124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</row>
    <row r="999" ht="15.75" customHeight="1">
      <c r="A999" s="124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</row>
  </sheetData>
  <mergeCells count="5360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D3:AE3"/>
    <mergeCell ref="AF3:AG3"/>
    <mergeCell ref="AD4:AE4"/>
    <mergeCell ref="AF4:AG4"/>
    <mergeCell ref="AH4:AI4"/>
    <mergeCell ref="AD5:AE5"/>
    <mergeCell ref="AF5:AG5"/>
    <mergeCell ref="AH5:AI5"/>
    <mergeCell ref="A1:E1"/>
    <mergeCell ref="F1:K1"/>
    <mergeCell ref="L1:W1"/>
    <mergeCell ref="X1:AI1"/>
    <mergeCell ref="AJ1:AN1"/>
    <mergeCell ref="F3:G3"/>
    <mergeCell ref="H3:I3"/>
    <mergeCell ref="AH3:AI3"/>
    <mergeCell ref="J3:K3"/>
    <mergeCell ref="L3:M3"/>
    <mergeCell ref="F4:G4"/>
    <mergeCell ref="H4:I4"/>
    <mergeCell ref="J4:K4"/>
    <mergeCell ref="L4:M4"/>
    <mergeCell ref="F5:G5"/>
    <mergeCell ref="L5:M5"/>
    <mergeCell ref="T8:U8"/>
    <mergeCell ref="V8:W8"/>
    <mergeCell ref="X8:Y8"/>
    <mergeCell ref="Z8:AA8"/>
    <mergeCell ref="AB8:AC8"/>
    <mergeCell ref="AD8:AE8"/>
    <mergeCell ref="AF8:AG8"/>
    <mergeCell ref="AH8:AI8"/>
    <mergeCell ref="F8:G8"/>
    <mergeCell ref="H8:I8"/>
    <mergeCell ref="J8:K8"/>
    <mergeCell ref="L8:M8"/>
    <mergeCell ref="N8:O8"/>
    <mergeCell ref="P8:Q8"/>
    <mergeCell ref="R8:S8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AF140:AG140"/>
    <mergeCell ref="AH140:AI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AF156:AG156"/>
    <mergeCell ref="AH156:AI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AF190:AG190"/>
    <mergeCell ref="AH190:AI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AF192:AG192"/>
    <mergeCell ref="AH192:AI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AF196:AG196"/>
    <mergeCell ref="AH196:AI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AF198:AG198"/>
    <mergeCell ref="AH198:AI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AF202:AG202"/>
    <mergeCell ref="AH202:AI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AF212:AG212"/>
    <mergeCell ref="AH212:AI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AF214:AG214"/>
    <mergeCell ref="AH214:AI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AF216:AG216"/>
    <mergeCell ref="AH216:AI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AF220:AG220"/>
    <mergeCell ref="AH220:AI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AF256:AG256"/>
    <mergeCell ref="AH256:AI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AF257:AG257"/>
    <mergeCell ref="AH257:AI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AF259:AG259"/>
    <mergeCell ref="AH259:AI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AF264:AG264"/>
    <mergeCell ref="AH264:AI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AF266:AG266"/>
    <mergeCell ref="AH266:AI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AF268:AG268"/>
    <mergeCell ref="AH268:AI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AF270:AG270"/>
    <mergeCell ref="AH270:AI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AF274:AG274"/>
    <mergeCell ref="AH274:AI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AF280:AG280"/>
    <mergeCell ref="AH280:AI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AF282:AG282"/>
    <mergeCell ref="AH282:AI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AF283:AG283"/>
    <mergeCell ref="AH283:AI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AF284:AG284"/>
    <mergeCell ref="AH284:AI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AF288:AG288"/>
    <mergeCell ref="AH288:AI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AF292:AG292"/>
    <mergeCell ref="AH292:AI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F300:G300"/>
    <mergeCell ref="H300:I300"/>
    <mergeCell ref="J300:K300"/>
    <mergeCell ref="L300:M300"/>
    <mergeCell ref="N300:O300"/>
    <mergeCell ref="P300:Q300"/>
    <mergeCell ref="R300:S300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AF358:AG358"/>
    <mergeCell ref="AH358:AI358"/>
    <mergeCell ref="F358:G358"/>
    <mergeCell ref="H358:I358"/>
    <mergeCell ref="J358:K358"/>
    <mergeCell ref="L358:M358"/>
    <mergeCell ref="N358:O358"/>
    <mergeCell ref="P358:Q358"/>
    <mergeCell ref="R358:S35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T6:U6"/>
    <mergeCell ref="V6:W6"/>
    <mergeCell ref="X6:Y6"/>
    <mergeCell ref="Z6:AA6"/>
    <mergeCell ref="AB6:AC6"/>
    <mergeCell ref="AD6:AE6"/>
    <mergeCell ref="AF6:AG6"/>
    <mergeCell ref="AH6:AI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AD7:AE7"/>
    <mergeCell ref="AF7:AG7"/>
    <mergeCell ref="AH7:AI7"/>
    <mergeCell ref="F7:G7"/>
    <mergeCell ref="H7:I7"/>
    <mergeCell ref="J7:K7"/>
    <mergeCell ref="L7:M7"/>
    <mergeCell ref="N7:O7"/>
    <mergeCell ref="P7:Q7"/>
    <mergeCell ref="R7:S7"/>
    <mergeCell ref="T359:U359"/>
    <mergeCell ref="V359:W359"/>
    <mergeCell ref="X359:Y359"/>
    <mergeCell ref="Z359:AA359"/>
    <mergeCell ref="AB359:AC359"/>
    <mergeCell ref="AD359:AE359"/>
    <mergeCell ref="AF359:AG359"/>
    <mergeCell ref="AH359:AI359"/>
    <mergeCell ref="F359:G359"/>
    <mergeCell ref="H359:I359"/>
    <mergeCell ref="J359:K359"/>
    <mergeCell ref="L359:M359"/>
    <mergeCell ref="N359:O359"/>
    <mergeCell ref="P359:Q359"/>
    <mergeCell ref="R359:S359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AF351:AG351"/>
    <mergeCell ref="AH351:AI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AF352:AG352"/>
    <mergeCell ref="AH352:AI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AF355:AG355"/>
    <mergeCell ref="AH355:AI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AF356:AG356"/>
    <mergeCell ref="AH356:AI356"/>
    <mergeCell ref="F356:G356"/>
    <mergeCell ref="H356:I356"/>
    <mergeCell ref="J356:K356"/>
    <mergeCell ref="L356:M356"/>
    <mergeCell ref="N356:O356"/>
    <mergeCell ref="P356:Q356"/>
    <mergeCell ref="R356:S356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AF316:AG316"/>
    <mergeCell ref="AH316:AI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AF318:AG318"/>
    <mergeCell ref="AH318:AI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AF320:AG320"/>
    <mergeCell ref="AH320:AI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AF322:AG322"/>
    <mergeCell ref="AH322:AI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AF324:AG324"/>
    <mergeCell ref="AH324:AI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AF325:AG325"/>
    <mergeCell ref="AH325:AI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AF326:AG326"/>
    <mergeCell ref="AH326:AI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AF327:AG327"/>
    <mergeCell ref="AH327:AI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AF328:AG328"/>
    <mergeCell ref="AH328:AI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AF329:AG329"/>
    <mergeCell ref="AH329:AI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AF331:AG331"/>
    <mergeCell ref="AH331:AI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AF333:AG333"/>
    <mergeCell ref="AH333:AI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AF334:AG334"/>
    <mergeCell ref="AH334:AI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AF335:AG335"/>
    <mergeCell ref="AH335:AI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AF336:AG336"/>
    <mergeCell ref="AH336:AI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AF337:AG337"/>
    <mergeCell ref="AH337:AI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AF338:AG338"/>
    <mergeCell ref="AH338:AI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AF340:AG340"/>
    <mergeCell ref="AH340:AI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AF342:AG342"/>
    <mergeCell ref="AH342:AI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AF343:AG343"/>
    <mergeCell ref="AH343:AI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AF345:AG345"/>
    <mergeCell ref="AH345:AI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AD346:AE346"/>
    <mergeCell ref="AF346:AG346"/>
    <mergeCell ref="AH346:AI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AF347:AG347"/>
    <mergeCell ref="AH347:AI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AF349:AG349"/>
    <mergeCell ref="AH349:AI349"/>
    <mergeCell ref="F349:G349"/>
    <mergeCell ref="H349:I349"/>
    <mergeCell ref="J349:K349"/>
    <mergeCell ref="L349:M349"/>
    <mergeCell ref="N349:O349"/>
    <mergeCell ref="P349:Q349"/>
    <mergeCell ref="R349:S34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11" width="3.67"/>
    <col customWidth="1" min="12" max="12" width="6.56"/>
    <col customWidth="1" min="13" max="13" width="5.0"/>
    <col customWidth="1" min="14" max="22" width="3.67"/>
    <col customWidth="1" min="23" max="25" width="3.0"/>
    <col customWidth="1" min="26" max="31" width="3.67"/>
    <col customWidth="1" hidden="1" min="32" max="37" width="3.67"/>
    <col customWidth="1" min="38" max="38" width="12.0"/>
    <col customWidth="1" min="39" max="39" width="10.44"/>
    <col customWidth="1" min="40" max="40" width="11.56"/>
    <col customWidth="1" min="41" max="41" width="11.44"/>
    <col customWidth="1" min="42" max="42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33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8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7" t="s">
        <v>4</v>
      </c>
      <c r="AM1" s="8"/>
      <c r="AN1" s="8"/>
      <c r="AO1" s="8"/>
      <c r="AP1" s="9"/>
    </row>
    <row r="2" ht="151.5" customHeight="1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2" t="s">
        <v>10</v>
      </c>
      <c r="G2" s="13">
        <v>17.88</v>
      </c>
      <c r="H2" s="14" t="s">
        <v>11</v>
      </c>
      <c r="I2" s="13">
        <v>17.88</v>
      </c>
      <c r="J2" s="14" t="s">
        <v>12</v>
      </c>
      <c r="K2" s="13">
        <v>17.88</v>
      </c>
      <c r="L2" s="41" t="s">
        <v>10</v>
      </c>
      <c r="M2" s="13">
        <v>11.35</v>
      </c>
      <c r="N2" s="14" t="s">
        <v>11</v>
      </c>
      <c r="O2" s="13">
        <v>11.35</v>
      </c>
      <c r="P2" s="14" t="s">
        <v>12</v>
      </c>
      <c r="Q2" s="13">
        <v>11.35</v>
      </c>
      <c r="R2" s="15" t="s">
        <v>13</v>
      </c>
      <c r="S2" s="13">
        <v>4.51</v>
      </c>
      <c r="T2" s="15" t="s">
        <v>25</v>
      </c>
      <c r="U2" s="13">
        <v>450.0</v>
      </c>
      <c r="V2" s="42" t="s">
        <v>26</v>
      </c>
      <c r="W2" s="43">
        <v>250.0</v>
      </c>
      <c r="X2" s="42" t="s">
        <v>27</v>
      </c>
      <c r="Y2" s="43">
        <v>8.0</v>
      </c>
      <c r="Z2" s="14" t="s">
        <v>10</v>
      </c>
      <c r="AA2" s="16">
        <f>M2</f>
        <v>11.35</v>
      </c>
      <c r="AB2" s="14" t="s">
        <v>11</v>
      </c>
      <c r="AC2" s="16">
        <f>O2</f>
        <v>11.35</v>
      </c>
      <c r="AD2" s="14" t="s">
        <v>12</v>
      </c>
      <c r="AE2" s="16">
        <f>Q2</f>
        <v>11.35</v>
      </c>
      <c r="AF2" s="16" t="s">
        <v>14</v>
      </c>
      <c r="AG2" s="16">
        <v>0.0</v>
      </c>
      <c r="AH2" s="16" t="s">
        <v>14</v>
      </c>
      <c r="AI2" s="16">
        <v>0.0</v>
      </c>
      <c r="AJ2" s="16" t="s">
        <v>14</v>
      </c>
      <c r="AK2" s="16">
        <v>0.0</v>
      </c>
      <c r="AL2" s="17" t="s">
        <v>15</v>
      </c>
      <c r="AM2" s="17" t="s">
        <v>16</v>
      </c>
      <c r="AN2" s="17" t="s">
        <v>17</v>
      </c>
      <c r="AO2" s="17" t="s">
        <v>18</v>
      </c>
      <c r="AP2" s="17" t="s">
        <v>19</v>
      </c>
    </row>
    <row r="3" ht="15.75" customHeight="1">
      <c r="A3" s="18" t="s">
        <v>20</v>
      </c>
      <c r="B3" s="19">
        <v>44563.0</v>
      </c>
      <c r="C3" s="20">
        <v>1.0</v>
      </c>
      <c r="D3" s="21" t="s">
        <v>21</v>
      </c>
      <c r="E3" s="22"/>
      <c r="F3" s="44">
        <v>0.0</v>
      </c>
      <c r="H3" s="45">
        <v>0.0</v>
      </c>
      <c r="J3" s="45">
        <v>0.0</v>
      </c>
      <c r="L3" s="46">
        <v>0.0</v>
      </c>
      <c r="M3" s="47"/>
      <c r="N3" s="49">
        <v>0.0</v>
      </c>
      <c r="O3" s="47"/>
      <c r="P3" s="49">
        <v>0.0</v>
      </c>
      <c r="Q3" s="47"/>
      <c r="R3" s="49">
        <v>0.0</v>
      </c>
      <c r="S3" s="47"/>
      <c r="T3" s="49">
        <v>0.0</v>
      </c>
      <c r="U3" s="47"/>
      <c r="V3" s="49">
        <v>0.0</v>
      </c>
      <c r="W3" s="47"/>
      <c r="X3" s="49">
        <v>0.0</v>
      </c>
      <c r="Y3" s="55"/>
      <c r="Z3" s="45">
        <v>0.0</v>
      </c>
      <c r="AB3" s="45">
        <v>0.0</v>
      </c>
      <c r="AD3" s="45">
        <v>0.0</v>
      </c>
      <c r="AF3" s="24"/>
      <c r="AH3" s="24"/>
      <c r="AJ3" s="24"/>
      <c r="AK3" s="27"/>
      <c r="AL3" s="28">
        <f t="shared" ref="AL3:AL359" si="1">(F3*G$2)+(H3*I$2)+(J3*K$2)+(L3*M$2)+(N3*O$2)+(P3*Q$2)+(R3*S$2)+(T3*U$2)+(V3*W$2)+(Z3*AA$2)+(AB3*AC$2)+(AD3*AE$2)+(AF3*AG$2)+(AH3*AI$2)+(AJ3*AK$2)+(X3*Y$2)</f>
        <v>0</v>
      </c>
      <c r="AM3" s="20">
        <f t="shared" ref="AM3:AM359" si="2">sum(F3,H3,J3,L3,N3,P3,R3,T3,V3,X3,Z3,AB3,AD3)</f>
        <v>0</v>
      </c>
      <c r="AN3" s="21">
        <v>0.0</v>
      </c>
      <c r="AO3" s="20">
        <f t="shared" ref="AO3:AO359" si="3">sum(F3:AK3)</f>
        <v>0</v>
      </c>
      <c r="AP3" s="31" t="str">
        <f t="shared" ref="AP3:AP359" si="4">iferror(AL3/AO3,"")</f>
        <v/>
      </c>
    </row>
    <row r="4" ht="15.75" customHeight="1">
      <c r="A4" s="32" t="s">
        <v>22</v>
      </c>
      <c r="B4" s="34">
        <f t="shared" ref="B4:B359" si="5">B3+1</f>
        <v>44564</v>
      </c>
      <c r="C4" s="35">
        <v>1.0</v>
      </c>
      <c r="D4" s="36" t="s">
        <v>21</v>
      </c>
      <c r="E4" s="37"/>
      <c r="F4" s="44">
        <v>0.0</v>
      </c>
      <c r="H4" s="45">
        <v>0.0</v>
      </c>
      <c r="J4" s="45">
        <v>0.0</v>
      </c>
      <c r="L4" s="66">
        <v>0.0</v>
      </c>
      <c r="N4" s="45">
        <v>0.0</v>
      </c>
      <c r="P4" s="45">
        <v>0.0</v>
      </c>
      <c r="R4" s="45">
        <v>0.0</v>
      </c>
      <c r="T4" s="45">
        <v>0.0</v>
      </c>
      <c r="V4" s="45">
        <v>0.0</v>
      </c>
      <c r="X4" s="45">
        <v>0.0</v>
      </c>
      <c r="Y4" s="27"/>
      <c r="Z4" s="45">
        <v>0.0</v>
      </c>
      <c r="AB4" s="45">
        <v>0.0</v>
      </c>
      <c r="AD4" s="45">
        <v>0.0</v>
      </c>
      <c r="AF4" s="24"/>
      <c r="AH4" s="24"/>
      <c r="AJ4" s="24"/>
      <c r="AK4" s="27"/>
      <c r="AL4" s="39">
        <f t="shared" si="1"/>
        <v>0</v>
      </c>
      <c r="AM4" s="35">
        <f t="shared" si="2"/>
        <v>0</v>
      </c>
      <c r="AN4" s="35">
        <v>0.0</v>
      </c>
      <c r="AO4" s="35">
        <f t="shared" si="3"/>
        <v>0</v>
      </c>
      <c r="AP4" s="40" t="str">
        <f t="shared" si="4"/>
        <v/>
      </c>
    </row>
    <row r="5" ht="15.75" customHeight="1">
      <c r="A5" s="32" t="s">
        <v>24</v>
      </c>
      <c r="B5" s="34">
        <f t="shared" si="5"/>
        <v>44565</v>
      </c>
      <c r="C5" s="35">
        <v>1.0</v>
      </c>
      <c r="D5" s="36" t="s">
        <v>21</v>
      </c>
      <c r="E5" s="37"/>
      <c r="F5" s="44">
        <v>0.0</v>
      </c>
      <c r="H5" s="45">
        <v>0.0</v>
      </c>
      <c r="J5" s="45">
        <v>0.0</v>
      </c>
      <c r="L5" s="66">
        <v>0.0</v>
      </c>
      <c r="N5" s="45">
        <v>0.0</v>
      </c>
      <c r="P5" s="67">
        <v>0.0</v>
      </c>
      <c r="R5" s="45">
        <v>0.0</v>
      </c>
      <c r="T5" s="67">
        <v>0.0</v>
      </c>
      <c r="V5" s="67">
        <v>0.0</v>
      </c>
      <c r="X5" s="45">
        <v>0.0</v>
      </c>
      <c r="Y5" s="27"/>
      <c r="Z5" s="45">
        <v>0.0</v>
      </c>
      <c r="AB5" s="45">
        <v>0.0</v>
      </c>
      <c r="AD5" s="45">
        <v>0.0</v>
      </c>
      <c r="AF5" s="24"/>
      <c r="AH5" s="24"/>
      <c r="AJ5" s="24"/>
      <c r="AK5" s="27"/>
      <c r="AL5" s="39">
        <f t="shared" si="1"/>
        <v>0</v>
      </c>
      <c r="AM5" s="35">
        <f t="shared" si="2"/>
        <v>0</v>
      </c>
      <c r="AN5" s="35">
        <v>0.0</v>
      </c>
      <c r="AO5" s="35">
        <f t="shared" si="3"/>
        <v>0</v>
      </c>
      <c r="AP5" s="40" t="str">
        <f t="shared" si="4"/>
        <v/>
      </c>
    </row>
    <row r="6" ht="15.75" customHeight="1">
      <c r="A6" s="32" t="s">
        <v>28</v>
      </c>
      <c r="B6" s="34">
        <f t="shared" si="5"/>
        <v>44566</v>
      </c>
      <c r="C6" s="35">
        <v>1.0</v>
      </c>
      <c r="D6" s="36" t="s">
        <v>21</v>
      </c>
      <c r="E6" s="37"/>
      <c r="F6" s="68">
        <v>0.0</v>
      </c>
      <c r="H6" s="67">
        <v>0.0</v>
      </c>
      <c r="J6" s="67">
        <v>0.0</v>
      </c>
      <c r="L6" s="66">
        <v>0.0</v>
      </c>
      <c r="N6" s="45">
        <v>0.0</v>
      </c>
      <c r="P6" s="67">
        <v>0.0</v>
      </c>
      <c r="R6" s="45">
        <v>0.0</v>
      </c>
      <c r="T6" s="67">
        <v>0.0</v>
      </c>
      <c r="V6" s="67">
        <v>0.0</v>
      </c>
      <c r="X6" s="45">
        <v>0.0</v>
      </c>
      <c r="Y6" s="27"/>
      <c r="Z6" s="45">
        <v>0.0</v>
      </c>
      <c r="AB6" s="45">
        <v>0.0</v>
      </c>
      <c r="AD6" s="45">
        <v>0.0</v>
      </c>
      <c r="AF6" s="24"/>
      <c r="AH6" s="24"/>
      <c r="AJ6" s="24"/>
      <c r="AK6" s="27"/>
      <c r="AL6" s="39">
        <f t="shared" si="1"/>
        <v>0</v>
      </c>
      <c r="AM6" s="35">
        <f t="shared" si="2"/>
        <v>0</v>
      </c>
      <c r="AN6" s="35">
        <v>0.0</v>
      </c>
      <c r="AO6" s="35">
        <f t="shared" si="3"/>
        <v>0</v>
      </c>
      <c r="AP6" s="40" t="str">
        <f t="shared" si="4"/>
        <v/>
      </c>
    </row>
    <row r="7" ht="15.75" customHeight="1">
      <c r="A7" s="32" t="s">
        <v>29</v>
      </c>
      <c r="B7" s="34">
        <f t="shared" si="5"/>
        <v>44567</v>
      </c>
      <c r="C7" s="35">
        <v>1.0</v>
      </c>
      <c r="D7" s="36" t="s">
        <v>21</v>
      </c>
      <c r="E7" s="37"/>
      <c r="F7" s="68">
        <v>0.0</v>
      </c>
      <c r="H7" s="67">
        <v>0.0</v>
      </c>
      <c r="J7" s="67">
        <v>0.0</v>
      </c>
      <c r="L7" s="66">
        <v>0.0</v>
      </c>
      <c r="N7" s="45">
        <v>0.0</v>
      </c>
      <c r="P7" s="67">
        <v>0.0</v>
      </c>
      <c r="R7" s="45">
        <v>0.0</v>
      </c>
      <c r="T7" s="67">
        <v>0.0</v>
      </c>
      <c r="V7" s="67">
        <v>0.0</v>
      </c>
      <c r="X7" s="45">
        <v>0.0</v>
      </c>
      <c r="Y7" s="27"/>
      <c r="Z7" s="67">
        <v>0.0</v>
      </c>
      <c r="AB7" s="67">
        <v>0.0</v>
      </c>
      <c r="AD7" s="67">
        <v>0.0</v>
      </c>
      <c r="AF7" s="24"/>
      <c r="AH7" s="24"/>
      <c r="AJ7" s="24"/>
      <c r="AK7" s="27"/>
      <c r="AL7" s="39">
        <f t="shared" si="1"/>
        <v>0</v>
      </c>
      <c r="AM7" s="35">
        <f t="shared" si="2"/>
        <v>0</v>
      </c>
      <c r="AN7" s="35">
        <v>0.0</v>
      </c>
      <c r="AO7" s="35">
        <f t="shared" si="3"/>
        <v>0</v>
      </c>
      <c r="AP7" s="40" t="str">
        <f t="shared" si="4"/>
        <v/>
      </c>
    </row>
    <row r="8" ht="15.75" customHeight="1">
      <c r="A8" s="32" t="s">
        <v>30</v>
      </c>
      <c r="B8" s="34">
        <f t="shared" si="5"/>
        <v>44568</v>
      </c>
      <c r="C8" s="35">
        <v>1.0</v>
      </c>
      <c r="D8" s="36" t="s">
        <v>21</v>
      </c>
      <c r="E8" s="37"/>
      <c r="F8" s="68">
        <v>0.0</v>
      </c>
      <c r="H8" s="67">
        <v>0.0</v>
      </c>
      <c r="J8" s="67">
        <v>0.0</v>
      </c>
      <c r="L8" s="66">
        <v>0.0</v>
      </c>
      <c r="N8" s="45">
        <v>0.0</v>
      </c>
      <c r="P8" s="67">
        <v>0.0</v>
      </c>
      <c r="R8" s="45">
        <v>0.0</v>
      </c>
      <c r="T8" s="67">
        <v>0.0</v>
      </c>
      <c r="V8" s="67">
        <v>0.0</v>
      </c>
      <c r="X8" s="45">
        <v>0.0</v>
      </c>
      <c r="Y8" s="27"/>
      <c r="Z8" s="67">
        <v>0.0</v>
      </c>
      <c r="AB8" s="67">
        <v>0.0</v>
      </c>
      <c r="AD8" s="67">
        <v>0.0</v>
      </c>
      <c r="AF8" s="24"/>
      <c r="AH8" s="24"/>
      <c r="AJ8" s="24"/>
      <c r="AK8" s="27"/>
      <c r="AL8" s="39">
        <f t="shared" si="1"/>
        <v>0</v>
      </c>
      <c r="AM8" s="35">
        <f t="shared" si="2"/>
        <v>0</v>
      </c>
      <c r="AN8" s="35">
        <v>0.0</v>
      </c>
      <c r="AO8" s="35">
        <f t="shared" si="3"/>
        <v>0</v>
      </c>
      <c r="AP8" s="40" t="str">
        <f t="shared" si="4"/>
        <v/>
      </c>
    </row>
    <row r="9" ht="15.75" customHeight="1">
      <c r="A9" s="48" t="s">
        <v>31</v>
      </c>
      <c r="B9" s="50">
        <f t="shared" si="5"/>
        <v>44569</v>
      </c>
      <c r="C9" s="51">
        <v>1.0</v>
      </c>
      <c r="D9" s="52" t="s">
        <v>21</v>
      </c>
      <c r="E9" s="53"/>
      <c r="F9" s="71">
        <v>0.0</v>
      </c>
      <c r="G9" s="56"/>
      <c r="H9" s="72">
        <v>0.0</v>
      </c>
      <c r="I9" s="56"/>
      <c r="J9" s="72">
        <v>0.0</v>
      </c>
      <c r="K9" s="56"/>
      <c r="L9" s="73">
        <v>0.0</v>
      </c>
      <c r="M9" s="56"/>
      <c r="N9" s="74">
        <v>0.0</v>
      </c>
      <c r="O9" s="56"/>
      <c r="P9" s="72">
        <v>0.0</v>
      </c>
      <c r="Q9" s="56"/>
      <c r="R9" s="74">
        <v>0.0</v>
      </c>
      <c r="S9" s="56"/>
      <c r="T9" s="74">
        <v>0.0</v>
      </c>
      <c r="U9" s="56"/>
      <c r="V9" s="74">
        <v>0.0</v>
      </c>
      <c r="W9" s="56"/>
      <c r="X9" s="74">
        <v>0.0</v>
      </c>
      <c r="Y9" s="60"/>
      <c r="Z9" s="72">
        <v>0.0</v>
      </c>
      <c r="AA9" s="56"/>
      <c r="AB9" s="72">
        <v>0.0</v>
      </c>
      <c r="AC9" s="56"/>
      <c r="AD9" s="72">
        <v>0.0</v>
      </c>
      <c r="AE9" s="56"/>
      <c r="AF9" s="57"/>
      <c r="AG9" s="56"/>
      <c r="AH9" s="57"/>
      <c r="AI9" s="56"/>
      <c r="AJ9" s="57"/>
      <c r="AK9" s="60"/>
      <c r="AL9" s="61">
        <f t="shared" si="1"/>
        <v>0</v>
      </c>
      <c r="AM9" s="51">
        <f t="shared" si="2"/>
        <v>0</v>
      </c>
      <c r="AN9" s="51">
        <v>0.0</v>
      </c>
      <c r="AO9" s="51">
        <f t="shared" si="3"/>
        <v>0</v>
      </c>
      <c r="AP9" s="63" t="str">
        <f t="shared" si="4"/>
        <v/>
      </c>
    </row>
    <row r="10" ht="15.75" customHeight="1">
      <c r="A10" s="18" t="s">
        <v>20</v>
      </c>
      <c r="B10" s="64">
        <f t="shared" si="5"/>
        <v>44570</v>
      </c>
      <c r="C10" s="20">
        <v>1.0</v>
      </c>
      <c r="D10" s="20" t="s">
        <v>32</v>
      </c>
      <c r="E10" s="22"/>
      <c r="F10" s="68">
        <v>0.0</v>
      </c>
      <c r="H10" s="67">
        <v>0.0</v>
      </c>
      <c r="J10" s="67">
        <v>0.0</v>
      </c>
      <c r="L10" s="46">
        <v>0.0</v>
      </c>
      <c r="M10" s="47"/>
      <c r="N10" s="49">
        <v>0.0</v>
      </c>
      <c r="O10" s="47"/>
      <c r="P10" s="49">
        <v>0.0</v>
      </c>
      <c r="Q10" s="47"/>
      <c r="R10" s="49">
        <v>0.0</v>
      </c>
      <c r="S10" s="47"/>
      <c r="T10" s="49">
        <v>0.0</v>
      </c>
      <c r="U10" s="47"/>
      <c r="V10" s="49">
        <v>0.0</v>
      </c>
      <c r="W10" s="47"/>
      <c r="X10" s="49">
        <v>0.0</v>
      </c>
      <c r="Y10" s="55"/>
      <c r="Z10" s="68">
        <v>0.0</v>
      </c>
      <c r="AB10" s="67">
        <v>0.0</v>
      </c>
      <c r="AD10" s="67">
        <v>0.0</v>
      </c>
      <c r="AF10" s="24"/>
      <c r="AH10" s="24"/>
      <c r="AJ10" s="24"/>
      <c r="AK10" s="27"/>
      <c r="AL10" s="28">
        <f t="shared" si="1"/>
        <v>0</v>
      </c>
      <c r="AM10" s="20">
        <f t="shared" si="2"/>
        <v>0</v>
      </c>
      <c r="AN10" s="20">
        <v>0.0</v>
      </c>
      <c r="AO10" s="20">
        <f t="shared" si="3"/>
        <v>0</v>
      </c>
      <c r="AP10" s="31" t="str">
        <f t="shared" si="4"/>
        <v/>
      </c>
    </row>
    <row r="11" ht="15.75" customHeight="1">
      <c r="A11" s="32" t="s">
        <v>22</v>
      </c>
      <c r="B11" s="34">
        <f t="shared" si="5"/>
        <v>44571</v>
      </c>
      <c r="C11" s="35">
        <v>1.0</v>
      </c>
      <c r="D11" s="35" t="s">
        <v>32</v>
      </c>
      <c r="E11" s="37"/>
      <c r="F11" s="68">
        <v>0.0</v>
      </c>
      <c r="H11" s="67">
        <v>0.0</v>
      </c>
      <c r="J11" s="67">
        <v>0.0</v>
      </c>
      <c r="L11" s="66">
        <v>0.0</v>
      </c>
      <c r="N11" s="45">
        <v>0.0</v>
      </c>
      <c r="P11" s="45">
        <v>0.0</v>
      </c>
      <c r="R11" s="45">
        <v>0.0</v>
      </c>
      <c r="T11" s="45">
        <v>0.0</v>
      </c>
      <c r="V11" s="45">
        <v>0.0</v>
      </c>
      <c r="X11" s="45">
        <v>0.0</v>
      </c>
      <c r="Y11" s="27"/>
      <c r="Z11" s="68">
        <v>0.0</v>
      </c>
      <c r="AB11" s="67">
        <v>0.0</v>
      </c>
      <c r="AD11" s="67">
        <v>0.0</v>
      </c>
      <c r="AF11" s="24"/>
      <c r="AH11" s="24"/>
      <c r="AJ11" s="24"/>
      <c r="AK11" s="27"/>
      <c r="AL11" s="39">
        <f t="shared" si="1"/>
        <v>0</v>
      </c>
      <c r="AM11" s="35">
        <f t="shared" si="2"/>
        <v>0</v>
      </c>
      <c r="AN11" s="35">
        <v>0.0</v>
      </c>
      <c r="AO11" s="35">
        <f t="shared" si="3"/>
        <v>0</v>
      </c>
      <c r="AP11" s="40" t="str">
        <f t="shared" si="4"/>
        <v/>
      </c>
    </row>
    <row r="12" ht="15.75" customHeight="1">
      <c r="A12" s="32" t="s">
        <v>24</v>
      </c>
      <c r="B12" s="34">
        <f t="shared" si="5"/>
        <v>44572</v>
      </c>
      <c r="C12" s="35">
        <v>1.0</v>
      </c>
      <c r="D12" s="35" t="s">
        <v>32</v>
      </c>
      <c r="E12" s="37"/>
      <c r="F12" s="68">
        <v>0.0</v>
      </c>
      <c r="H12" s="67">
        <v>0.0</v>
      </c>
      <c r="J12" s="67">
        <v>0.0</v>
      </c>
      <c r="L12" s="66">
        <v>0.0</v>
      </c>
      <c r="N12" s="45">
        <v>0.0</v>
      </c>
      <c r="P12" s="67">
        <v>0.0</v>
      </c>
      <c r="R12" s="45">
        <v>0.0</v>
      </c>
      <c r="T12" s="67">
        <v>0.0</v>
      </c>
      <c r="V12" s="67">
        <v>0.0</v>
      </c>
      <c r="X12" s="45">
        <v>0.0</v>
      </c>
      <c r="Y12" s="27"/>
      <c r="Z12" s="68">
        <v>0.0</v>
      </c>
      <c r="AB12" s="67">
        <v>0.0</v>
      </c>
      <c r="AD12" s="67">
        <v>0.0</v>
      </c>
      <c r="AF12" s="24"/>
      <c r="AH12" s="24"/>
      <c r="AJ12" s="24"/>
      <c r="AK12" s="27"/>
      <c r="AL12" s="39">
        <f t="shared" si="1"/>
        <v>0</v>
      </c>
      <c r="AM12" s="35">
        <f t="shared" si="2"/>
        <v>0</v>
      </c>
      <c r="AN12" s="35">
        <v>0.0</v>
      </c>
      <c r="AO12" s="35">
        <f t="shared" si="3"/>
        <v>0</v>
      </c>
      <c r="AP12" s="40" t="str">
        <f t="shared" si="4"/>
        <v/>
      </c>
    </row>
    <row r="13" ht="15.75" customHeight="1">
      <c r="A13" s="32" t="s">
        <v>28</v>
      </c>
      <c r="B13" s="34">
        <f t="shared" si="5"/>
        <v>44573</v>
      </c>
      <c r="C13" s="35">
        <v>1.0</v>
      </c>
      <c r="D13" s="35" t="s">
        <v>32</v>
      </c>
      <c r="E13" s="37"/>
      <c r="F13" s="68">
        <v>0.0</v>
      </c>
      <c r="H13" s="67">
        <v>0.0</v>
      </c>
      <c r="J13" s="67">
        <v>0.0</v>
      </c>
      <c r="L13" s="66">
        <v>0.0</v>
      </c>
      <c r="N13" s="45">
        <v>0.0</v>
      </c>
      <c r="P13" s="67">
        <v>0.0</v>
      </c>
      <c r="R13" s="45">
        <v>0.0</v>
      </c>
      <c r="T13" s="67">
        <v>0.0</v>
      </c>
      <c r="V13" s="67">
        <v>0.0</v>
      </c>
      <c r="X13" s="45">
        <v>0.0</v>
      </c>
      <c r="Y13" s="27"/>
      <c r="Z13" s="68">
        <v>0.0</v>
      </c>
      <c r="AB13" s="67">
        <v>0.0</v>
      </c>
      <c r="AD13" s="67">
        <v>0.0</v>
      </c>
      <c r="AF13" s="24"/>
      <c r="AH13" s="24"/>
      <c r="AJ13" s="24"/>
      <c r="AK13" s="27"/>
      <c r="AL13" s="39">
        <f t="shared" si="1"/>
        <v>0</v>
      </c>
      <c r="AM13" s="35">
        <f t="shared" si="2"/>
        <v>0</v>
      </c>
      <c r="AN13" s="35">
        <v>0.0</v>
      </c>
      <c r="AO13" s="35">
        <f t="shared" si="3"/>
        <v>0</v>
      </c>
      <c r="AP13" s="40" t="str">
        <f t="shared" si="4"/>
        <v/>
      </c>
    </row>
    <row r="14" ht="15.75" customHeight="1">
      <c r="A14" s="32" t="s">
        <v>29</v>
      </c>
      <c r="B14" s="34">
        <f t="shared" si="5"/>
        <v>44574</v>
      </c>
      <c r="C14" s="35">
        <v>1.0</v>
      </c>
      <c r="D14" s="35" t="s">
        <v>32</v>
      </c>
      <c r="E14" s="37"/>
      <c r="F14" s="68">
        <v>0.0</v>
      </c>
      <c r="H14" s="67">
        <v>0.0</v>
      </c>
      <c r="J14" s="67">
        <v>0.0</v>
      </c>
      <c r="L14" s="66">
        <v>0.0</v>
      </c>
      <c r="N14" s="45">
        <v>0.0</v>
      </c>
      <c r="P14" s="67">
        <v>0.0</v>
      </c>
      <c r="R14" s="45">
        <v>0.0</v>
      </c>
      <c r="T14" s="67">
        <v>0.0</v>
      </c>
      <c r="V14" s="67">
        <v>0.0</v>
      </c>
      <c r="X14" s="45">
        <v>0.0</v>
      </c>
      <c r="Y14" s="27"/>
      <c r="Z14" s="68">
        <v>0.0</v>
      </c>
      <c r="AB14" s="67">
        <v>0.0</v>
      </c>
      <c r="AD14" s="67">
        <v>0.0</v>
      </c>
      <c r="AF14" s="24"/>
      <c r="AH14" s="24"/>
      <c r="AJ14" s="24"/>
      <c r="AK14" s="27"/>
      <c r="AL14" s="39">
        <f t="shared" si="1"/>
        <v>0</v>
      </c>
      <c r="AM14" s="35">
        <f t="shared" si="2"/>
        <v>0</v>
      </c>
      <c r="AN14" s="35">
        <v>0.0</v>
      </c>
      <c r="AO14" s="35">
        <f t="shared" si="3"/>
        <v>0</v>
      </c>
      <c r="AP14" s="40" t="str">
        <f t="shared" si="4"/>
        <v/>
      </c>
    </row>
    <row r="15" ht="15.75" customHeight="1">
      <c r="A15" s="32" t="s">
        <v>30</v>
      </c>
      <c r="B15" s="34">
        <f t="shared" si="5"/>
        <v>44575</v>
      </c>
      <c r="C15" s="35">
        <v>1.0</v>
      </c>
      <c r="D15" s="35" t="s">
        <v>32</v>
      </c>
      <c r="E15" s="37"/>
      <c r="F15" s="68">
        <v>0.0</v>
      </c>
      <c r="H15" s="67">
        <v>0.0</v>
      </c>
      <c r="J15" s="67">
        <v>0.0</v>
      </c>
      <c r="L15" s="66">
        <v>0.0</v>
      </c>
      <c r="N15" s="45">
        <v>0.0</v>
      </c>
      <c r="P15" s="67">
        <v>0.0</v>
      </c>
      <c r="R15" s="45">
        <v>0.0</v>
      </c>
      <c r="T15" s="67">
        <v>0.0</v>
      </c>
      <c r="V15" s="67">
        <v>0.0</v>
      </c>
      <c r="X15" s="45">
        <v>0.0</v>
      </c>
      <c r="Y15" s="27"/>
      <c r="Z15" s="68">
        <v>0.0</v>
      </c>
      <c r="AB15" s="67">
        <v>0.0</v>
      </c>
      <c r="AD15" s="67">
        <v>0.0</v>
      </c>
      <c r="AF15" s="24"/>
      <c r="AH15" s="24"/>
      <c r="AJ15" s="24"/>
      <c r="AK15" s="27"/>
      <c r="AL15" s="39">
        <f t="shared" si="1"/>
        <v>0</v>
      </c>
      <c r="AM15" s="35">
        <f t="shared" si="2"/>
        <v>0</v>
      </c>
      <c r="AN15" s="35">
        <v>0.0</v>
      </c>
      <c r="AO15" s="35">
        <f t="shared" si="3"/>
        <v>0</v>
      </c>
      <c r="AP15" s="40" t="str">
        <f t="shared" si="4"/>
        <v/>
      </c>
    </row>
    <row r="16" ht="15.75" customHeight="1">
      <c r="A16" s="48" t="s">
        <v>31</v>
      </c>
      <c r="B16" s="50">
        <f t="shared" si="5"/>
        <v>44576</v>
      </c>
      <c r="C16" s="51">
        <v>1.0</v>
      </c>
      <c r="D16" s="51" t="s">
        <v>32</v>
      </c>
      <c r="E16" s="53"/>
      <c r="F16" s="71">
        <v>0.0</v>
      </c>
      <c r="G16" s="56"/>
      <c r="H16" s="72">
        <v>0.0</v>
      </c>
      <c r="I16" s="56"/>
      <c r="J16" s="72">
        <v>0.0</v>
      </c>
      <c r="K16" s="56"/>
      <c r="L16" s="73">
        <v>0.0</v>
      </c>
      <c r="M16" s="56"/>
      <c r="N16" s="74">
        <v>0.0</v>
      </c>
      <c r="O16" s="56"/>
      <c r="P16" s="72">
        <v>0.0</v>
      </c>
      <c r="Q16" s="56"/>
      <c r="R16" s="74">
        <v>0.0</v>
      </c>
      <c r="S16" s="56"/>
      <c r="T16" s="74">
        <v>0.0</v>
      </c>
      <c r="U16" s="56"/>
      <c r="V16" s="74">
        <v>0.0</v>
      </c>
      <c r="W16" s="56"/>
      <c r="X16" s="74">
        <v>0.0</v>
      </c>
      <c r="Y16" s="60"/>
      <c r="Z16" s="71">
        <v>0.0</v>
      </c>
      <c r="AA16" s="56"/>
      <c r="AB16" s="72">
        <v>0.0</v>
      </c>
      <c r="AC16" s="56"/>
      <c r="AD16" s="72">
        <v>0.0</v>
      </c>
      <c r="AE16" s="56"/>
      <c r="AF16" s="57"/>
      <c r="AG16" s="56"/>
      <c r="AH16" s="57"/>
      <c r="AI16" s="56"/>
      <c r="AJ16" s="57"/>
      <c r="AK16" s="60"/>
      <c r="AL16" s="61">
        <f t="shared" si="1"/>
        <v>0</v>
      </c>
      <c r="AM16" s="51">
        <f t="shared" si="2"/>
        <v>0</v>
      </c>
      <c r="AN16" s="51">
        <v>0.0</v>
      </c>
      <c r="AO16" s="51">
        <f t="shared" si="3"/>
        <v>0</v>
      </c>
      <c r="AP16" s="63" t="str">
        <f t="shared" si="4"/>
        <v/>
      </c>
    </row>
    <row r="17" ht="15.75" customHeight="1">
      <c r="A17" s="18" t="s">
        <v>20</v>
      </c>
      <c r="B17" s="64">
        <f t="shared" si="5"/>
        <v>44577</v>
      </c>
      <c r="C17" s="20">
        <v>1.0</v>
      </c>
      <c r="D17" s="20" t="s">
        <v>33</v>
      </c>
      <c r="E17" s="22"/>
      <c r="F17" s="44">
        <v>0.0</v>
      </c>
      <c r="H17" s="45">
        <v>0.0</v>
      </c>
      <c r="J17" s="45">
        <v>0.0</v>
      </c>
      <c r="L17" s="46">
        <v>15.0</v>
      </c>
      <c r="M17" s="47"/>
      <c r="N17" s="49">
        <v>15.0</v>
      </c>
      <c r="O17" s="47"/>
      <c r="P17" s="49">
        <v>0.0</v>
      </c>
      <c r="Q17" s="47"/>
      <c r="R17" s="49">
        <v>0.0</v>
      </c>
      <c r="S17" s="47"/>
      <c r="T17" s="49">
        <v>1.0</v>
      </c>
      <c r="U17" s="47"/>
      <c r="V17" s="49">
        <v>1.0</v>
      </c>
      <c r="W17" s="47"/>
      <c r="X17" s="49">
        <v>0.0</v>
      </c>
      <c r="Y17" s="55"/>
      <c r="Z17" s="44">
        <v>14.0</v>
      </c>
      <c r="AB17" s="45">
        <v>14.0</v>
      </c>
      <c r="AD17" s="45">
        <v>0.0</v>
      </c>
      <c r="AF17" s="24"/>
      <c r="AH17" s="24"/>
      <c r="AJ17" s="24"/>
      <c r="AK17" s="27"/>
      <c r="AL17" s="28">
        <f t="shared" si="1"/>
        <v>1358.3</v>
      </c>
      <c r="AM17" s="20">
        <f t="shared" si="2"/>
        <v>60</v>
      </c>
      <c r="AN17" s="20">
        <v>0.0</v>
      </c>
      <c r="AO17" s="20">
        <f t="shared" si="3"/>
        <v>60</v>
      </c>
      <c r="AP17" s="31">
        <f t="shared" si="4"/>
        <v>22.63833333</v>
      </c>
    </row>
    <row r="18" ht="15.75" customHeight="1">
      <c r="A18" s="32" t="s">
        <v>22</v>
      </c>
      <c r="B18" s="34">
        <f t="shared" si="5"/>
        <v>44578</v>
      </c>
      <c r="C18" s="35">
        <v>1.0</v>
      </c>
      <c r="D18" s="35" t="s">
        <v>33</v>
      </c>
      <c r="E18" s="37"/>
      <c r="F18" s="44">
        <v>0.0</v>
      </c>
      <c r="H18" s="45">
        <v>0.0</v>
      </c>
      <c r="J18" s="45">
        <v>0.0</v>
      </c>
      <c r="L18" s="66">
        <v>18.0</v>
      </c>
      <c r="N18" s="45">
        <v>18.0</v>
      </c>
      <c r="P18" s="45">
        <v>0.0</v>
      </c>
      <c r="R18" s="45">
        <v>0.0</v>
      </c>
      <c r="T18" s="45">
        <v>0.0</v>
      </c>
      <c r="V18" s="45">
        <v>0.0</v>
      </c>
      <c r="X18" s="45">
        <v>0.0</v>
      </c>
      <c r="Y18" s="27"/>
      <c r="Z18" s="44">
        <v>14.0</v>
      </c>
      <c r="AB18" s="45">
        <v>14.0</v>
      </c>
      <c r="AD18" s="45">
        <v>0.0</v>
      </c>
      <c r="AF18" s="24"/>
      <c r="AH18" s="24"/>
      <c r="AJ18" s="24"/>
      <c r="AK18" s="27"/>
      <c r="AL18" s="39">
        <f t="shared" si="1"/>
        <v>726.4</v>
      </c>
      <c r="AM18" s="35">
        <f t="shared" si="2"/>
        <v>64</v>
      </c>
      <c r="AN18" s="35">
        <v>0.0</v>
      </c>
      <c r="AO18" s="35">
        <f t="shared" si="3"/>
        <v>64</v>
      </c>
      <c r="AP18" s="40">
        <f t="shared" si="4"/>
        <v>11.35</v>
      </c>
    </row>
    <row r="19" ht="15.75" customHeight="1">
      <c r="A19" s="32" t="s">
        <v>24</v>
      </c>
      <c r="B19" s="34">
        <f t="shared" si="5"/>
        <v>44579</v>
      </c>
      <c r="C19" s="35">
        <v>1.0</v>
      </c>
      <c r="D19" s="35" t="s">
        <v>33</v>
      </c>
      <c r="E19" s="37"/>
      <c r="F19" s="68">
        <v>0.0</v>
      </c>
      <c r="H19" s="67">
        <v>0.0</v>
      </c>
      <c r="J19" s="67">
        <v>0.0</v>
      </c>
      <c r="L19" s="66">
        <v>18.0</v>
      </c>
      <c r="N19" s="45">
        <v>18.0</v>
      </c>
      <c r="P19" s="67">
        <v>0.0</v>
      </c>
      <c r="R19" s="45">
        <v>0.0</v>
      </c>
      <c r="T19" s="67">
        <v>0.0</v>
      </c>
      <c r="V19" s="67">
        <v>0.0</v>
      </c>
      <c r="X19" s="45">
        <v>0.0</v>
      </c>
      <c r="Y19" s="27"/>
      <c r="Z19" s="44">
        <v>14.0</v>
      </c>
      <c r="AB19" s="45">
        <v>14.0</v>
      </c>
      <c r="AD19" s="45">
        <v>0.0</v>
      </c>
      <c r="AF19" s="24"/>
      <c r="AH19" s="24"/>
      <c r="AJ19" s="24"/>
      <c r="AK19" s="27"/>
      <c r="AL19" s="39">
        <f t="shared" si="1"/>
        <v>726.4</v>
      </c>
      <c r="AM19" s="35">
        <f t="shared" si="2"/>
        <v>64</v>
      </c>
      <c r="AN19" s="35">
        <v>0.0</v>
      </c>
      <c r="AO19" s="35">
        <f t="shared" si="3"/>
        <v>64</v>
      </c>
      <c r="AP19" s="40">
        <f t="shared" si="4"/>
        <v>11.35</v>
      </c>
    </row>
    <row r="20" ht="15.75" customHeight="1">
      <c r="A20" s="32" t="s">
        <v>28</v>
      </c>
      <c r="B20" s="34">
        <f t="shared" si="5"/>
        <v>44580</v>
      </c>
      <c r="C20" s="35">
        <v>1.0</v>
      </c>
      <c r="D20" s="35" t="s">
        <v>33</v>
      </c>
      <c r="E20" s="37"/>
      <c r="F20" s="68">
        <v>0.0</v>
      </c>
      <c r="H20" s="67">
        <v>0.0</v>
      </c>
      <c r="J20" s="67">
        <v>0.0</v>
      </c>
      <c r="L20" s="66">
        <v>30.0</v>
      </c>
      <c r="N20" s="45">
        <v>20.0</v>
      </c>
      <c r="P20" s="67">
        <v>0.0</v>
      </c>
      <c r="R20" s="45">
        <v>0.0</v>
      </c>
      <c r="T20" s="67">
        <v>0.0</v>
      </c>
      <c r="V20" s="67">
        <v>0.0</v>
      </c>
      <c r="X20" s="45">
        <v>0.0</v>
      </c>
      <c r="Y20" s="27"/>
      <c r="Z20" s="44">
        <v>14.0</v>
      </c>
      <c r="AB20" s="45">
        <v>14.0</v>
      </c>
      <c r="AD20" s="45">
        <v>0.0</v>
      </c>
      <c r="AF20" s="24"/>
      <c r="AH20" s="24"/>
      <c r="AJ20" s="24"/>
      <c r="AK20" s="27"/>
      <c r="AL20" s="39">
        <f t="shared" si="1"/>
        <v>885.3</v>
      </c>
      <c r="AM20" s="35">
        <f t="shared" si="2"/>
        <v>78</v>
      </c>
      <c r="AN20" s="35">
        <v>0.0</v>
      </c>
      <c r="AO20" s="35">
        <f t="shared" si="3"/>
        <v>78</v>
      </c>
      <c r="AP20" s="40">
        <f t="shared" si="4"/>
        <v>11.35</v>
      </c>
    </row>
    <row r="21" ht="15.75" customHeight="1">
      <c r="A21" s="32" t="s">
        <v>29</v>
      </c>
      <c r="B21" s="34">
        <f t="shared" si="5"/>
        <v>44581</v>
      </c>
      <c r="C21" s="35">
        <v>1.0</v>
      </c>
      <c r="D21" s="35" t="s">
        <v>33</v>
      </c>
      <c r="E21" s="37"/>
      <c r="F21" s="68">
        <v>0.0</v>
      </c>
      <c r="H21" s="67">
        <v>0.0</v>
      </c>
      <c r="J21" s="67">
        <v>0.0</v>
      </c>
      <c r="L21" s="66">
        <v>30.0</v>
      </c>
      <c r="N21" s="45">
        <v>20.0</v>
      </c>
      <c r="P21" s="67">
        <v>0.0</v>
      </c>
      <c r="R21" s="45">
        <v>0.0</v>
      </c>
      <c r="T21" s="67">
        <v>0.0</v>
      </c>
      <c r="V21" s="67">
        <v>0.0</v>
      </c>
      <c r="X21" s="45">
        <v>0.0</v>
      </c>
      <c r="Y21" s="27"/>
      <c r="Z21" s="44">
        <v>14.0</v>
      </c>
      <c r="AB21" s="45">
        <v>14.0</v>
      </c>
      <c r="AD21" s="45">
        <v>0.0</v>
      </c>
      <c r="AF21" s="24"/>
      <c r="AH21" s="24"/>
      <c r="AJ21" s="24"/>
      <c r="AK21" s="27"/>
      <c r="AL21" s="39">
        <f t="shared" si="1"/>
        <v>885.3</v>
      </c>
      <c r="AM21" s="35">
        <f t="shared" si="2"/>
        <v>78</v>
      </c>
      <c r="AN21" s="35">
        <v>0.0</v>
      </c>
      <c r="AO21" s="35">
        <f t="shared" si="3"/>
        <v>78</v>
      </c>
      <c r="AP21" s="40">
        <f t="shared" si="4"/>
        <v>11.35</v>
      </c>
    </row>
    <row r="22" ht="15.75" customHeight="1">
      <c r="A22" s="32" t="s">
        <v>30</v>
      </c>
      <c r="B22" s="34">
        <f t="shared" si="5"/>
        <v>44582</v>
      </c>
      <c r="C22" s="35">
        <v>1.0</v>
      </c>
      <c r="D22" s="35" t="s">
        <v>33</v>
      </c>
      <c r="E22" s="37"/>
      <c r="F22" s="68">
        <v>0.0</v>
      </c>
      <c r="H22" s="67">
        <v>0.0</v>
      </c>
      <c r="J22" s="67">
        <v>0.0</v>
      </c>
      <c r="L22" s="66">
        <v>0.0</v>
      </c>
      <c r="N22" s="45">
        <v>0.0</v>
      </c>
      <c r="P22" s="67">
        <v>0.0</v>
      </c>
      <c r="R22" s="45">
        <v>0.0</v>
      </c>
      <c r="T22" s="67">
        <v>0.0</v>
      </c>
      <c r="V22" s="67">
        <v>0.0</v>
      </c>
      <c r="X22" s="45">
        <v>0.0</v>
      </c>
      <c r="Y22" s="27"/>
      <c r="Z22" s="44">
        <v>0.0</v>
      </c>
      <c r="AB22" s="45">
        <v>0.0</v>
      </c>
      <c r="AD22" s="45">
        <v>0.0</v>
      </c>
      <c r="AF22" s="24"/>
      <c r="AH22" s="24"/>
      <c r="AJ22" s="24"/>
      <c r="AK22" s="27"/>
      <c r="AL22" s="39">
        <f t="shared" si="1"/>
        <v>0</v>
      </c>
      <c r="AM22" s="35">
        <f t="shared" si="2"/>
        <v>0</v>
      </c>
      <c r="AN22" s="35">
        <v>0.0</v>
      </c>
      <c r="AO22" s="35">
        <f t="shared" si="3"/>
        <v>0</v>
      </c>
      <c r="AP22" s="40" t="str">
        <f t="shared" si="4"/>
        <v/>
      </c>
    </row>
    <row r="23" ht="15.75" customHeight="1">
      <c r="A23" s="48" t="s">
        <v>31</v>
      </c>
      <c r="B23" s="50">
        <f t="shared" si="5"/>
        <v>44583</v>
      </c>
      <c r="C23" s="51">
        <v>1.0</v>
      </c>
      <c r="D23" s="51" t="s">
        <v>33</v>
      </c>
      <c r="E23" s="53"/>
      <c r="F23" s="71">
        <v>0.0</v>
      </c>
      <c r="G23" s="56"/>
      <c r="H23" s="72">
        <v>0.0</v>
      </c>
      <c r="I23" s="56"/>
      <c r="J23" s="72">
        <v>0.0</v>
      </c>
      <c r="K23" s="56"/>
      <c r="L23" s="73">
        <v>0.0</v>
      </c>
      <c r="M23" s="56"/>
      <c r="N23" s="74">
        <v>0.0</v>
      </c>
      <c r="O23" s="56"/>
      <c r="P23" s="72">
        <v>0.0</v>
      </c>
      <c r="Q23" s="56"/>
      <c r="R23" s="74">
        <v>0.0</v>
      </c>
      <c r="S23" s="56"/>
      <c r="T23" s="74">
        <v>0.0</v>
      </c>
      <c r="U23" s="56"/>
      <c r="V23" s="74">
        <v>0.0</v>
      </c>
      <c r="W23" s="56"/>
      <c r="X23" s="74">
        <v>0.0</v>
      </c>
      <c r="Y23" s="60"/>
      <c r="Z23" s="75">
        <v>0.0</v>
      </c>
      <c r="AA23" s="56"/>
      <c r="AB23" s="74">
        <v>0.0</v>
      </c>
      <c r="AC23" s="56"/>
      <c r="AD23" s="74">
        <v>0.0</v>
      </c>
      <c r="AE23" s="56"/>
      <c r="AF23" s="57"/>
      <c r="AG23" s="56"/>
      <c r="AH23" s="57"/>
      <c r="AI23" s="56"/>
      <c r="AJ23" s="57"/>
      <c r="AK23" s="60"/>
      <c r="AL23" s="61">
        <f t="shared" si="1"/>
        <v>0</v>
      </c>
      <c r="AM23" s="51">
        <f t="shared" si="2"/>
        <v>0</v>
      </c>
      <c r="AN23" s="51">
        <v>0.0</v>
      </c>
      <c r="AO23" s="51">
        <f t="shared" si="3"/>
        <v>0</v>
      </c>
      <c r="AP23" s="63" t="str">
        <f t="shared" si="4"/>
        <v/>
      </c>
    </row>
    <row r="24" ht="15.75" customHeight="1">
      <c r="A24" s="76" t="s">
        <v>20</v>
      </c>
      <c r="B24" s="77">
        <f t="shared" si="5"/>
        <v>44584</v>
      </c>
      <c r="C24" s="78">
        <v>1.0</v>
      </c>
      <c r="D24" s="78" t="s">
        <v>34</v>
      </c>
      <c r="E24" s="79"/>
      <c r="F24" s="66">
        <v>0.0</v>
      </c>
      <c r="H24" s="80">
        <v>0.0</v>
      </c>
      <c r="J24" s="80">
        <v>0.0</v>
      </c>
      <c r="L24" s="46">
        <v>56.0</v>
      </c>
      <c r="M24" s="47"/>
      <c r="N24" s="49">
        <v>50.0</v>
      </c>
      <c r="O24" s="47"/>
      <c r="P24" s="49">
        <v>0.0</v>
      </c>
      <c r="Q24" s="47"/>
      <c r="R24" s="49">
        <v>0.0</v>
      </c>
      <c r="S24" s="47"/>
      <c r="T24" s="49">
        <v>1.0</v>
      </c>
      <c r="U24" s="47"/>
      <c r="V24" s="49">
        <v>1.0</v>
      </c>
      <c r="W24" s="47"/>
      <c r="X24" s="49">
        <v>0.0</v>
      </c>
      <c r="Y24" s="55"/>
      <c r="Z24" s="66">
        <v>27.0</v>
      </c>
      <c r="AB24" s="80">
        <v>27.0</v>
      </c>
      <c r="AD24" s="80">
        <v>0.0</v>
      </c>
      <c r="AF24" s="24"/>
      <c r="AH24" s="24"/>
      <c r="AJ24" s="24"/>
      <c r="AK24" s="27"/>
      <c r="AL24" s="28">
        <f t="shared" si="1"/>
        <v>2516</v>
      </c>
      <c r="AM24" s="20">
        <f t="shared" si="2"/>
        <v>162</v>
      </c>
      <c r="AN24" s="20">
        <v>0.0</v>
      </c>
      <c r="AO24" s="20">
        <f t="shared" si="3"/>
        <v>162</v>
      </c>
      <c r="AP24" s="31">
        <f t="shared" si="4"/>
        <v>15.5308642</v>
      </c>
    </row>
    <row r="25" ht="15.75" customHeight="1">
      <c r="A25" s="32" t="s">
        <v>22</v>
      </c>
      <c r="B25" s="34">
        <f t="shared" si="5"/>
        <v>44585</v>
      </c>
      <c r="C25" s="35">
        <v>1.0</v>
      </c>
      <c r="D25" s="35" t="s">
        <v>34</v>
      </c>
      <c r="E25" s="37"/>
      <c r="F25" s="44">
        <v>0.0</v>
      </c>
      <c r="H25" s="80">
        <v>0.0</v>
      </c>
      <c r="J25" s="45">
        <v>0.0</v>
      </c>
      <c r="L25" s="66">
        <v>57.0</v>
      </c>
      <c r="N25" s="45">
        <v>57.0</v>
      </c>
      <c r="P25" s="45">
        <v>0.0</v>
      </c>
      <c r="R25" s="45">
        <v>0.0</v>
      </c>
      <c r="T25" s="45">
        <v>0.0</v>
      </c>
      <c r="V25" s="45">
        <v>0.0</v>
      </c>
      <c r="X25" s="45">
        <v>0.0</v>
      </c>
      <c r="Y25" s="27"/>
      <c r="Z25" s="44">
        <v>27.0</v>
      </c>
      <c r="AB25" s="45">
        <v>27.0</v>
      </c>
      <c r="AD25" s="45">
        <v>0.0</v>
      </c>
      <c r="AF25" s="24"/>
      <c r="AH25" s="24"/>
      <c r="AJ25" s="24"/>
      <c r="AK25" s="27"/>
      <c r="AL25" s="39">
        <f t="shared" si="1"/>
        <v>1906.8</v>
      </c>
      <c r="AM25" s="35">
        <f t="shared" si="2"/>
        <v>168</v>
      </c>
      <c r="AN25" s="35">
        <v>0.0</v>
      </c>
      <c r="AO25" s="35">
        <f t="shared" si="3"/>
        <v>168</v>
      </c>
      <c r="AP25" s="40">
        <f t="shared" si="4"/>
        <v>11.35</v>
      </c>
    </row>
    <row r="26" ht="15.75" customHeight="1">
      <c r="A26" s="32" t="s">
        <v>24</v>
      </c>
      <c r="B26" s="34">
        <f t="shared" si="5"/>
        <v>44586</v>
      </c>
      <c r="C26" s="35">
        <v>1.0</v>
      </c>
      <c r="D26" s="35" t="s">
        <v>34</v>
      </c>
      <c r="E26" s="37"/>
      <c r="F26" s="44">
        <v>0.0</v>
      </c>
      <c r="H26" s="45">
        <v>0.0</v>
      </c>
      <c r="J26" s="45">
        <v>0.0</v>
      </c>
      <c r="L26" s="66">
        <v>57.0</v>
      </c>
      <c r="N26" s="45">
        <v>57.0</v>
      </c>
      <c r="P26" s="67">
        <v>0.0</v>
      </c>
      <c r="R26" s="45">
        <v>0.0</v>
      </c>
      <c r="T26" s="67">
        <v>0.0</v>
      </c>
      <c r="V26" s="67">
        <v>0.0</v>
      </c>
      <c r="X26" s="45">
        <v>0.0</v>
      </c>
      <c r="Y26" s="27"/>
      <c r="Z26" s="44">
        <v>27.0</v>
      </c>
      <c r="AB26" s="45">
        <v>27.0</v>
      </c>
      <c r="AD26" s="45">
        <v>0.0</v>
      </c>
      <c r="AF26" s="24"/>
      <c r="AH26" s="24"/>
      <c r="AJ26" s="24"/>
      <c r="AK26" s="27"/>
      <c r="AL26" s="39">
        <f t="shared" si="1"/>
        <v>1906.8</v>
      </c>
      <c r="AM26" s="35">
        <f t="shared" si="2"/>
        <v>168</v>
      </c>
      <c r="AN26" s="35">
        <v>0.0</v>
      </c>
      <c r="AO26" s="35">
        <f t="shared" si="3"/>
        <v>168</v>
      </c>
      <c r="AP26" s="40">
        <f t="shared" si="4"/>
        <v>11.35</v>
      </c>
    </row>
    <row r="27" ht="15.75" customHeight="1">
      <c r="A27" s="32" t="s">
        <v>28</v>
      </c>
      <c r="B27" s="34">
        <f t="shared" si="5"/>
        <v>44587</v>
      </c>
      <c r="C27" s="35">
        <v>1.0</v>
      </c>
      <c r="D27" s="35" t="s">
        <v>34</v>
      </c>
      <c r="E27" s="37"/>
      <c r="F27" s="44">
        <v>0.0</v>
      </c>
      <c r="H27" s="45">
        <v>0.0</v>
      </c>
      <c r="J27" s="45">
        <v>0.0</v>
      </c>
      <c r="L27" s="66">
        <v>57.0</v>
      </c>
      <c r="N27" s="45">
        <v>57.0</v>
      </c>
      <c r="P27" s="67">
        <v>0.0</v>
      </c>
      <c r="R27" s="45">
        <v>0.0</v>
      </c>
      <c r="T27" s="67">
        <v>0.0</v>
      </c>
      <c r="V27" s="67">
        <v>0.0</v>
      </c>
      <c r="X27" s="45">
        <v>0.0</v>
      </c>
      <c r="Y27" s="27"/>
      <c r="Z27" s="44">
        <v>27.0</v>
      </c>
      <c r="AB27" s="45">
        <v>27.0</v>
      </c>
      <c r="AD27" s="45">
        <v>0.0</v>
      </c>
      <c r="AF27" s="24"/>
      <c r="AH27" s="24"/>
      <c r="AJ27" s="24"/>
      <c r="AK27" s="27"/>
      <c r="AL27" s="39">
        <f t="shared" si="1"/>
        <v>1906.8</v>
      </c>
      <c r="AM27" s="35">
        <f t="shared" si="2"/>
        <v>168</v>
      </c>
      <c r="AN27" s="35">
        <v>0.0</v>
      </c>
      <c r="AO27" s="35">
        <f t="shared" si="3"/>
        <v>168</v>
      </c>
      <c r="AP27" s="40">
        <f t="shared" si="4"/>
        <v>11.35</v>
      </c>
    </row>
    <row r="28" ht="15.75" customHeight="1">
      <c r="A28" s="32" t="s">
        <v>29</v>
      </c>
      <c r="B28" s="34">
        <f t="shared" si="5"/>
        <v>44588</v>
      </c>
      <c r="C28" s="35">
        <v>1.0</v>
      </c>
      <c r="D28" s="35" t="s">
        <v>34</v>
      </c>
      <c r="E28" s="37"/>
      <c r="F28" s="44">
        <v>0.0</v>
      </c>
      <c r="H28" s="45">
        <v>0.0</v>
      </c>
      <c r="J28" s="45">
        <v>0.0</v>
      </c>
      <c r="L28" s="66">
        <v>57.0</v>
      </c>
      <c r="N28" s="45">
        <v>57.0</v>
      </c>
      <c r="P28" s="67">
        <v>0.0</v>
      </c>
      <c r="R28" s="45">
        <v>0.0</v>
      </c>
      <c r="T28" s="67">
        <v>0.0</v>
      </c>
      <c r="V28" s="67">
        <v>0.0</v>
      </c>
      <c r="X28" s="45">
        <v>0.0</v>
      </c>
      <c r="Y28" s="27"/>
      <c r="Z28" s="44">
        <v>27.0</v>
      </c>
      <c r="AB28" s="45">
        <v>27.0</v>
      </c>
      <c r="AD28" s="45">
        <v>0.0</v>
      </c>
      <c r="AF28" s="24"/>
      <c r="AH28" s="24"/>
      <c r="AJ28" s="24"/>
      <c r="AK28" s="27"/>
      <c r="AL28" s="39">
        <f t="shared" si="1"/>
        <v>1906.8</v>
      </c>
      <c r="AM28" s="35">
        <f t="shared" si="2"/>
        <v>168</v>
      </c>
      <c r="AN28" s="35">
        <v>0.0</v>
      </c>
      <c r="AO28" s="35">
        <f t="shared" si="3"/>
        <v>168</v>
      </c>
      <c r="AP28" s="40">
        <f t="shared" si="4"/>
        <v>11.35</v>
      </c>
    </row>
    <row r="29" ht="15.75" customHeight="1">
      <c r="A29" s="32" t="s">
        <v>30</v>
      </c>
      <c r="B29" s="34">
        <f t="shared" si="5"/>
        <v>44589</v>
      </c>
      <c r="C29" s="35">
        <v>1.0</v>
      </c>
      <c r="D29" s="35" t="s">
        <v>34</v>
      </c>
      <c r="E29" s="37"/>
      <c r="F29" s="44">
        <v>0.0</v>
      </c>
      <c r="H29" s="45">
        <v>0.0</v>
      </c>
      <c r="J29" s="45">
        <v>0.0</v>
      </c>
      <c r="L29" s="66">
        <v>57.0</v>
      </c>
      <c r="N29" s="45">
        <v>57.0</v>
      </c>
      <c r="P29" s="67">
        <v>0.0</v>
      </c>
      <c r="R29" s="45">
        <v>0.0</v>
      </c>
      <c r="T29" s="67">
        <v>0.0</v>
      </c>
      <c r="V29" s="67">
        <v>0.0</v>
      </c>
      <c r="X29" s="45">
        <v>0.0</v>
      </c>
      <c r="Y29" s="27"/>
      <c r="Z29" s="44">
        <v>27.0</v>
      </c>
      <c r="AB29" s="45">
        <v>27.0</v>
      </c>
      <c r="AD29" s="45">
        <v>0.0</v>
      </c>
      <c r="AF29" s="24"/>
      <c r="AH29" s="24"/>
      <c r="AJ29" s="24"/>
      <c r="AK29" s="27"/>
      <c r="AL29" s="39">
        <f t="shared" si="1"/>
        <v>1906.8</v>
      </c>
      <c r="AM29" s="35">
        <f t="shared" si="2"/>
        <v>168</v>
      </c>
      <c r="AN29" s="35">
        <v>0.0</v>
      </c>
      <c r="AO29" s="35">
        <f t="shared" si="3"/>
        <v>168</v>
      </c>
      <c r="AP29" s="40">
        <f t="shared" si="4"/>
        <v>11.35</v>
      </c>
    </row>
    <row r="30" ht="15.75" customHeight="1">
      <c r="A30" s="48" t="s">
        <v>31</v>
      </c>
      <c r="B30" s="50">
        <f t="shared" si="5"/>
        <v>44590</v>
      </c>
      <c r="C30" s="51">
        <v>1.0</v>
      </c>
      <c r="D30" s="51" t="s">
        <v>34</v>
      </c>
      <c r="E30" s="53"/>
      <c r="F30" s="75">
        <v>0.0</v>
      </c>
      <c r="G30" s="56"/>
      <c r="H30" s="74">
        <v>0.0</v>
      </c>
      <c r="I30" s="56"/>
      <c r="J30" s="74">
        <v>0.0</v>
      </c>
      <c r="K30" s="56"/>
      <c r="L30" s="73">
        <v>0.0</v>
      </c>
      <c r="M30" s="56"/>
      <c r="N30" s="74">
        <v>0.0</v>
      </c>
      <c r="O30" s="56"/>
      <c r="P30" s="72">
        <v>0.0</v>
      </c>
      <c r="Q30" s="56"/>
      <c r="R30" s="74">
        <v>0.0</v>
      </c>
      <c r="S30" s="56"/>
      <c r="T30" s="74">
        <v>0.0</v>
      </c>
      <c r="U30" s="56"/>
      <c r="V30" s="74">
        <v>0.0</v>
      </c>
      <c r="W30" s="56"/>
      <c r="X30" s="74">
        <v>0.0</v>
      </c>
      <c r="Y30" s="60"/>
      <c r="Z30" s="75">
        <v>0.0</v>
      </c>
      <c r="AA30" s="56"/>
      <c r="AB30" s="74">
        <v>0.0</v>
      </c>
      <c r="AC30" s="56"/>
      <c r="AD30" s="74">
        <v>0.0</v>
      </c>
      <c r="AE30" s="56"/>
      <c r="AF30" s="57"/>
      <c r="AG30" s="56"/>
      <c r="AH30" s="57"/>
      <c r="AI30" s="56"/>
      <c r="AJ30" s="57"/>
      <c r="AK30" s="60"/>
      <c r="AL30" s="61">
        <f t="shared" si="1"/>
        <v>0</v>
      </c>
      <c r="AM30" s="51">
        <f t="shared" si="2"/>
        <v>0</v>
      </c>
      <c r="AN30" s="51">
        <v>0.0</v>
      </c>
      <c r="AO30" s="51">
        <f t="shared" si="3"/>
        <v>0</v>
      </c>
      <c r="AP30" s="63" t="str">
        <f t="shared" si="4"/>
        <v/>
      </c>
    </row>
    <row r="31" ht="15.75" customHeight="1">
      <c r="A31" s="18" t="s">
        <v>20</v>
      </c>
      <c r="B31" s="64">
        <f t="shared" si="5"/>
        <v>44591</v>
      </c>
      <c r="C31" s="20">
        <v>2.0</v>
      </c>
      <c r="D31" s="20" t="s">
        <v>21</v>
      </c>
      <c r="E31" s="22"/>
      <c r="F31" s="44">
        <v>0.0</v>
      </c>
      <c r="H31" s="45">
        <v>0.0</v>
      </c>
      <c r="J31" s="45">
        <v>0.0</v>
      </c>
      <c r="L31" s="46">
        <v>59.0</v>
      </c>
      <c r="M31" s="47"/>
      <c r="N31" s="49">
        <v>59.0</v>
      </c>
      <c r="O31" s="47"/>
      <c r="P31" s="49">
        <v>0.0</v>
      </c>
      <c r="Q31" s="47"/>
      <c r="R31" s="49">
        <v>0.0</v>
      </c>
      <c r="S31" s="47"/>
      <c r="T31" s="49">
        <v>1.0</v>
      </c>
      <c r="U31" s="47"/>
      <c r="V31" s="49">
        <v>1.0</v>
      </c>
      <c r="W31" s="47"/>
      <c r="X31" s="49">
        <v>0.0</v>
      </c>
      <c r="Y31" s="55"/>
      <c r="Z31" s="44">
        <v>28.0</v>
      </c>
      <c r="AB31" s="45">
        <v>28.0</v>
      </c>
      <c r="AD31" s="45">
        <v>0.0</v>
      </c>
      <c r="AF31" s="24"/>
      <c r="AH31" s="24"/>
      <c r="AJ31" s="24"/>
      <c r="AK31" s="27"/>
      <c r="AL31" s="28">
        <f t="shared" si="1"/>
        <v>2674.9</v>
      </c>
      <c r="AM31" s="20">
        <f t="shared" si="2"/>
        <v>176</v>
      </c>
      <c r="AN31" s="20">
        <v>0.0</v>
      </c>
      <c r="AO31" s="20">
        <f t="shared" si="3"/>
        <v>176</v>
      </c>
      <c r="AP31" s="31">
        <f t="shared" si="4"/>
        <v>15.19829545</v>
      </c>
    </row>
    <row r="32" ht="15.75" customHeight="1">
      <c r="A32" s="32" t="s">
        <v>22</v>
      </c>
      <c r="B32" s="34">
        <f t="shared" si="5"/>
        <v>44592</v>
      </c>
      <c r="C32" s="35">
        <v>2.0</v>
      </c>
      <c r="D32" s="35" t="s">
        <v>21</v>
      </c>
      <c r="E32" s="37"/>
      <c r="F32" s="44">
        <v>0.0</v>
      </c>
      <c r="H32" s="45">
        <v>0.0</v>
      </c>
      <c r="J32" s="45">
        <v>0.0</v>
      </c>
      <c r="L32" s="66">
        <v>62.0</v>
      </c>
      <c r="N32" s="45">
        <v>62.0</v>
      </c>
      <c r="P32" s="45">
        <v>0.0</v>
      </c>
      <c r="R32" s="45">
        <v>0.0</v>
      </c>
      <c r="T32" s="45">
        <v>0.0</v>
      </c>
      <c r="V32" s="45">
        <v>0.0</v>
      </c>
      <c r="X32" s="45">
        <v>0.0</v>
      </c>
      <c r="Y32" s="27"/>
      <c r="Z32" s="44">
        <v>28.0</v>
      </c>
      <c r="AB32" s="45">
        <v>28.0</v>
      </c>
      <c r="AD32" s="45">
        <v>0.0</v>
      </c>
      <c r="AF32" s="24"/>
      <c r="AH32" s="24"/>
      <c r="AJ32" s="24"/>
      <c r="AK32" s="27"/>
      <c r="AL32" s="39">
        <f t="shared" si="1"/>
        <v>2043</v>
      </c>
      <c r="AM32" s="35">
        <f t="shared" si="2"/>
        <v>180</v>
      </c>
      <c r="AN32" s="35">
        <v>0.0</v>
      </c>
      <c r="AO32" s="35">
        <f t="shared" si="3"/>
        <v>180</v>
      </c>
      <c r="AP32" s="40">
        <f t="shared" si="4"/>
        <v>11.35</v>
      </c>
    </row>
    <row r="33" ht="15.75" customHeight="1">
      <c r="A33" s="32" t="s">
        <v>24</v>
      </c>
      <c r="B33" s="34">
        <f t="shared" si="5"/>
        <v>44593</v>
      </c>
      <c r="C33" s="35">
        <v>2.0</v>
      </c>
      <c r="D33" s="35" t="s">
        <v>21</v>
      </c>
      <c r="E33" s="37"/>
      <c r="F33" s="44">
        <v>0.0</v>
      </c>
      <c r="H33" s="45">
        <v>0.0</v>
      </c>
      <c r="J33" s="45">
        <v>0.0</v>
      </c>
      <c r="L33" s="66">
        <v>63.0</v>
      </c>
      <c r="N33" s="45">
        <v>63.0</v>
      </c>
      <c r="P33" s="67">
        <v>0.0</v>
      </c>
      <c r="R33" s="45">
        <v>0.0</v>
      </c>
      <c r="T33" s="67">
        <v>0.0</v>
      </c>
      <c r="V33" s="67">
        <v>0.0</v>
      </c>
      <c r="X33" s="45">
        <v>0.0</v>
      </c>
      <c r="Y33" s="27"/>
      <c r="Z33" s="44">
        <v>28.0</v>
      </c>
      <c r="AB33" s="45">
        <v>28.0</v>
      </c>
      <c r="AD33" s="45">
        <v>0.0</v>
      </c>
      <c r="AF33" s="24"/>
      <c r="AH33" s="24"/>
      <c r="AJ33" s="24"/>
      <c r="AK33" s="27"/>
      <c r="AL33" s="39">
        <f t="shared" si="1"/>
        <v>2065.7</v>
      </c>
      <c r="AM33" s="35">
        <f t="shared" si="2"/>
        <v>182</v>
      </c>
      <c r="AN33" s="35">
        <v>0.0</v>
      </c>
      <c r="AO33" s="35">
        <f t="shared" si="3"/>
        <v>182</v>
      </c>
      <c r="AP33" s="40">
        <f t="shared" si="4"/>
        <v>11.35</v>
      </c>
    </row>
    <row r="34" ht="15.75" customHeight="1">
      <c r="A34" s="32" t="s">
        <v>28</v>
      </c>
      <c r="B34" s="34">
        <f t="shared" si="5"/>
        <v>44594</v>
      </c>
      <c r="C34" s="35">
        <v>2.0</v>
      </c>
      <c r="D34" s="35" t="s">
        <v>21</v>
      </c>
      <c r="E34" s="37"/>
      <c r="F34" s="44">
        <v>0.0</v>
      </c>
      <c r="H34" s="45">
        <v>0.0</v>
      </c>
      <c r="J34" s="45">
        <v>0.0</v>
      </c>
      <c r="L34" s="66">
        <v>64.0</v>
      </c>
      <c r="N34" s="45">
        <v>64.0</v>
      </c>
      <c r="P34" s="67">
        <v>0.0</v>
      </c>
      <c r="R34" s="45">
        <v>0.0</v>
      </c>
      <c r="T34" s="67">
        <v>0.0</v>
      </c>
      <c r="V34" s="67">
        <v>0.0</v>
      </c>
      <c r="X34" s="45">
        <v>0.0</v>
      </c>
      <c r="Y34" s="27"/>
      <c r="Z34" s="44">
        <v>28.0</v>
      </c>
      <c r="AB34" s="45">
        <v>28.0</v>
      </c>
      <c r="AD34" s="45">
        <v>0.0</v>
      </c>
      <c r="AF34" s="24"/>
      <c r="AH34" s="24"/>
      <c r="AJ34" s="24"/>
      <c r="AK34" s="27"/>
      <c r="AL34" s="39">
        <f t="shared" si="1"/>
        <v>2088.4</v>
      </c>
      <c r="AM34" s="35">
        <f t="shared" si="2"/>
        <v>184</v>
      </c>
      <c r="AN34" s="35">
        <v>0.0</v>
      </c>
      <c r="AO34" s="35">
        <f t="shared" si="3"/>
        <v>184</v>
      </c>
      <c r="AP34" s="40">
        <f t="shared" si="4"/>
        <v>11.35</v>
      </c>
    </row>
    <row r="35" ht="15.75" customHeight="1">
      <c r="A35" s="32" t="s">
        <v>29</v>
      </c>
      <c r="B35" s="34">
        <f t="shared" si="5"/>
        <v>44595</v>
      </c>
      <c r="C35" s="35">
        <v>2.0</v>
      </c>
      <c r="D35" s="35" t="s">
        <v>21</v>
      </c>
      <c r="E35" s="37"/>
      <c r="F35" s="44">
        <v>0.0</v>
      </c>
      <c r="H35" s="45">
        <v>0.0</v>
      </c>
      <c r="J35" s="45">
        <v>0.0</v>
      </c>
      <c r="L35" s="66">
        <v>64.0</v>
      </c>
      <c r="N35" s="45">
        <v>64.0</v>
      </c>
      <c r="P35" s="67">
        <v>0.0</v>
      </c>
      <c r="R35" s="45">
        <v>0.0</v>
      </c>
      <c r="T35" s="67">
        <v>0.0</v>
      </c>
      <c r="V35" s="67">
        <v>0.0</v>
      </c>
      <c r="X35" s="45">
        <v>0.0</v>
      </c>
      <c r="Y35" s="27"/>
      <c r="Z35" s="44">
        <v>28.0</v>
      </c>
      <c r="AB35" s="45">
        <v>28.0</v>
      </c>
      <c r="AD35" s="45">
        <v>0.0</v>
      </c>
      <c r="AF35" s="24"/>
      <c r="AH35" s="24"/>
      <c r="AJ35" s="24"/>
      <c r="AK35" s="27"/>
      <c r="AL35" s="39">
        <f t="shared" si="1"/>
        <v>2088.4</v>
      </c>
      <c r="AM35" s="35">
        <f t="shared" si="2"/>
        <v>184</v>
      </c>
      <c r="AN35" s="35">
        <v>0.0</v>
      </c>
      <c r="AO35" s="35">
        <f t="shared" si="3"/>
        <v>184</v>
      </c>
      <c r="AP35" s="40">
        <f t="shared" si="4"/>
        <v>11.35</v>
      </c>
    </row>
    <row r="36" ht="15.75" customHeight="1">
      <c r="A36" s="32" t="s">
        <v>30</v>
      </c>
      <c r="B36" s="34">
        <f t="shared" si="5"/>
        <v>44596</v>
      </c>
      <c r="C36" s="35">
        <v>2.0</v>
      </c>
      <c r="D36" s="35" t="s">
        <v>21</v>
      </c>
      <c r="E36" s="37"/>
      <c r="F36" s="44">
        <v>0.0</v>
      </c>
      <c r="H36" s="45">
        <v>0.0</v>
      </c>
      <c r="J36" s="45">
        <v>0.0</v>
      </c>
      <c r="L36" s="66">
        <v>64.0</v>
      </c>
      <c r="N36" s="45">
        <v>64.0</v>
      </c>
      <c r="P36" s="67">
        <v>0.0</v>
      </c>
      <c r="R36" s="45">
        <v>0.0</v>
      </c>
      <c r="T36" s="67">
        <v>0.0</v>
      </c>
      <c r="V36" s="67">
        <v>0.0</v>
      </c>
      <c r="X36" s="45">
        <v>0.0</v>
      </c>
      <c r="Y36" s="27"/>
      <c r="Z36" s="44">
        <v>20.0</v>
      </c>
      <c r="AB36" s="45">
        <v>0.0</v>
      </c>
      <c r="AD36" s="81"/>
      <c r="AF36" s="24"/>
      <c r="AH36" s="24"/>
      <c r="AJ36" s="24"/>
      <c r="AK36" s="27"/>
      <c r="AL36" s="39">
        <f t="shared" si="1"/>
        <v>1679.8</v>
      </c>
      <c r="AM36" s="35">
        <f t="shared" si="2"/>
        <v>148</v>
      </c>
      <c r="AN36" s="35">
        <v>0.0</v>
      </c>
      <c r="AO36" s="35">
        <f t="shared" si="3"/>
        <v>148</v>
      </c>
      <c r="AP36" s="40">
        <f t="shared" si="4"/>
        <v>11.35</v>
      </c>
    </row>
    <row r="37" ht="15.75" customHeight="1">
      <c r="A37" s="48" t="s">
        <v>31</v>
      </c>
      <c r="B37" s="50">
        <f t="shared" si="5"/>
        <v>44597</v>
      </c>
      <c r="C37" s="51">
        <v>2.0</v>
      </c>
      <c r="D37" s="51" t="s">
        <v>21</v>
      </c>
      <c r="E37" s="53"/>
      <c r="F37" s="75">
        <v>0.0</v>
      </c>
      <c r="G37" s="56"/>
      <c r="H37" s="74">
        <v>0.0</v>
      </c>
      <c r="I37" s="56"/>
      <c r="J37" s="74">
        <v>0.0</v>
      </c>
      <c r="K37" s="56"/>
      <c r="L37" s="73">
        <v>0.0</v>
      </c>
      <c r="M37" s="56"/>
      <c r="N37" s="74">
        <v>0.0</v>
      </c>
      <c r="O37" s="56"/>
      <c r="P37" s="72">
        <v>0.0</v>
      </c>
      <c r="Q37" s="56"/>
      <c r="R37" s="74">
        <v>0.0</v>
      </c>
      <c r="S37" s="56"/>
      <c r="T37" s="74">
        <v>0.0</v>
      </c>
      <c r="U37" s="56"/>
      <c r="V37" s="74">
        <v>0.0</v>
      </c>
      <c r="W37" s="56"/>
      <c r="X37" s="74">
        <v>0.0</v>
      </c>
      <c r="Y37" s="60"/>
      <c r="Z37" s="75">
        <v>0.0</v>
      </c>
      <c r="AA37" s="56"/>
      <c r="AB37" s="74">
        <v>0.0</v>
      </c>
      <c r="AC37" s="56"/>
      <c r="AD37" s="74">
        <v>0.0</v>
      </c>
      <c r="AE37" s="56"/>
      <c r="AF37" s="57"/>
      <c r="AG37" s="56"/>
      <c r="AH37" s="57"/>
      <c r="AI37" s="56"/>
      <c r="AJ37" s="57"/>
      <c r="AK37" s="60"/>
      <c r="AL37" s="61">
        <f t="shared" si="1"/>
        <v>0</v>
      </c>
      <c r="AM37" s="51">
        <f t="shared" si="2"/>
        <v>0</v>
      </c>
      <c r="AN37" s="51">
        <v>0.0</v>
      </c>
      <c r="AO37" s="51">
        <f t="shared" si="3"/>
        <v>0</v>
      </c>
      <c r="AP37" s="63" t="str">
        <f t="shared" si="4"/>
        <v/>
      </c>
    </row>
    <row r="38" ht="15.75" customHeight="1">
      <c r="A38" s="18" t="s">
        <v>20</v>
      </c>
      <c r="B38" s="64">
        <f t="shared" si="5"/>
        <v>44598</v>
      </c>
      <c r="C38" s="20">
        <v>2.0</v>
      </c>
      <c r="D38" s="20" t="s">
        <v>32</v>
      </c>
      <c r="E38" s="22"/>
      <c r="F38" s="44">
        <v>0.0</v>
      </c>
      <c r="H38" s="45">
        <v>0.0</v>
      </c>
      <c r="J38" s="45">
        <v>0.0</v>
      </c>
      <c r="L38" s="46">
        <v>79.0</v>
      </c>
      <c r="M38" s="47"/>
      <c r="N38" s="49">
        <v>79.0</v>
      </c>
      <c r="O38" s="47"/>
      <c r="P38" s="49">
        <v>0.0</v>
      </c>
      <c r="Q38" s="47"/>
      <c r="R38" s="49">
        <v>0.0</v>
      </c>
      <c r="S38" s="47"/>
      <c r="T38" s="49">
        <v>1.0</v>
      </c>
      <c r="U38" s="47"/>
      <c r="V38" s="49">
        <v>1.0</v>
      </c>
      <c r="W38" s="47"/>
      <c r="X38" s="49">
        <v>0.0</v>
      </c>
      <c r="Y38" s="55"/>
      <c r="Z38" s="44">
        <v>28.0</v>
      </c>
      <c r="AB38" s="45">
        <v>28.0</v>
      </c>
      <c r="AD38" s="45">
        <v>0.0</v>
      </c>
      <c r="AF38" s="24"/>
      <c r="AH38" s="24"/>
      <c r="AJ38" s="24"/>
      <c r="AK38" s="27"/>
      <c r="AL38" s="28">
        <f t="shared" si="1"/>
        <v>3128.9</v>
      </c>
      <c r="AM38" s="20">
        <f t="shared" si="2"/>
        <v>216</v>
      </c>
      <c r="AN38" s="20">
        <v>0.0</v>
      </c>
      <c r="AO38" s="20">
        <f t="shared" si="3"/>
        <v>216</v>
      </c>
      <c r="AP38" s="31">
        <f t="shared" si="4"/>
        <v>14.48564815</v>
      </c>
    </row>
    <row r="39" ht="15.75" customHeight="1">
      <c r="A39" s="32" t="s">
        <v>22</v>
      </c>
      <c r="B39" s="34">
        <f t="shared" si="5"/>
        <v>44599</v>
      </c>
      <c r="C39" s="35">
        <v>2.0</v>
      </c>
      <c r="D39" s="35" t="s">
        <v>32</v>
      </c>
      <c r="E39" s="37"/>
      <c r="F39" s="44">
        <v>0.0</v>
      </c>
      <c r="H39" s="45">
        <v>0.0</v>
      </c>
      <c r="J39" s="45">
        <v>0.0</v>
      </c>
      <c r="L39" s="66">
        <v>79.0</v>
      </c>
      <c r="N39" s="45">
        <v>79.0</v>
      </c>
      <c r="P39" s="45">
        <v>0.0</v>
      </c>
      <c r="R39" s="45">
        <v>0.0</v>
      </c>
      <c r="T39" s="45">
        <v>0.0</v>
      </c>
      <c r="V39" s="45">
        <v>0.0</v>
      </c>
      <c r="X39" s="45">
        <v>0.0</v>
      </c>
      <c r="Y39" s="27"/>
      <c r="Z39" s="44">
        <v>28.0</v>
      </c>
      <c r="AB39" s="45">
        <v>28.0</v>
      </c>
      <c r="AD39" s="45">
        <v>0.0</v>
      </c>
      <c r="AF39" s="24"/>
      <c r="AH39" s="24"/>
      <c r="AJ39" s="24"/>
      <c r="AK39" s="27"/>
      <c r="AL39" s="39">
        <f t="shared" si="1"/>
        <v>2428.9</v>
      </c>
      <c r="AM39" s="35">
        <f t="shared" si="2"/>
        <v>214</v>
      </c>
      <c r="AN39" s="35">
        <v>0.0</v>
      </c>
      <c r="AO39" s="35">
        <f t="shared" si="3"/>
        <v>214</v>
      </c>
      <c r="AP39" s="40">
        <f t="shared" si="4"/>
        <v>11.35</v>
      </c>
    </row>
    <row r="40" ht="15.75" customHeight="1">
      <c r="A40" s="32" t="s">
        <v>24</v>
      </c>
      <c r="B40" s="34">
        <f t="shared" si="5"/>
        <v>44600</v>
      </c>
      <c r="C40" s="35">
        <v>2.0</v>
      </c>
      <c r="D40" s="35" t="s">
        <v>32</v>
      </c>
      <c r="E40" s="37"/>
      <c r="F40" s="44">
        <v>0.0</v>
      </c>
      <c r="H40" s="45">
        <v>0.0</v>
      </c>
      <c r="J40" s="45">
        <v>0.0</v>
      </c>
      <c r="L40" s="66">
        <v>81.0</v>
      </c>
      <c r="N40" s="45">
        <v>81.0</v>
      </c>
      <c r="P40" s="67">
        <v>0.0</v>
      </c>
      <c r="R40" s="45">
        <v>0.0</v>
      </c>
      <c r="T40" s="67">
        <v>0.0</v>
      </c>
      <c r="V40" s="67">
        <v>0.0</v>
      </c>
      <c r="X40" s="45">
        <v>0.0</v>
      </c>
      <c r="Y40" s="27"/>
      <c r="Z40" s="44">
        <v>28.0</v>
      </c>
      <c r="AB40" s="45">
        <v>28.0</v>
      </c>
      <c r="AD40" s="45">
        <v>0.0</v>
      </c>
      <c r="AF40" s="24"/>
      <c r="AH40" s="24"/>
      <c r="AJ40" s="24"/>
      <c r="AK40" s="27"/>
      <c r="AL40" s="39">
        <f t="shared" si="1"/>
        <v>2474.3</v>
      </c>
      <c r="AM40" s="35">
        <f t="shared" si="2"/>
        <v>218</v>
      </c>
      <c r="AN40" s="35">
        <v>0.0</v>
      </c>
      <c r="AO40" s="35">
        <f t="shared" si="3"/>
        <v>218</v>
      </c>
      <c r="AP40" s="40">
        <f t="shared" si="4"/>
        <v>11.35</v>
      </c>
    </row>
    <row r="41" ht="15.75" customHeight="1">
      <c r="A41" s="32" t="s">
        <v>28</v>
      </c>
      <c r="B41" s="34">
        <f t="shared" si="5"/>
        <v>44601</v>
      </c>
      <c r="C41" s="35">
        <v>2.0</v>
      </c>
      <c r="D41" s="35" t="s">
        <v>32</v>
      </c>
      <c r="E41" s="37"/>
      <c r="F41" s="44">
        <v>0.0</v>
      </c>
      <c r="H41" s="45">
        <v>0.0</v>
      </c>
      <c r="J41" s="45">
        <v>0.0</v>
      </c>
      <c r="L41" s="66">
        <v>81.0</v>
      </c>
      <c r="N41" s="45">
        <v>81.0</v>
      </c>
      <c r="P41" s="67">
        <v>0.0</v>
      </c>
      <c r="R41" s="45">
        <v>0.0</v>
      </c>
      <c r="T41" s="67">
        <v>0.0</v>
      </c>
      <c r="V41" s="67">
        <v>0.0</v>
      </c>
      <c r="X41" s="45">
        <v>0.0</v>
      </c>
      <c r="Y41" s="27"/>
      <c r="Z41" s="44">
        <v>28.0</v>
      </c>
      <c r="AB41" s="45">
        <v>28.0</v>
      </c>
      <c r="AD41" s="45">
        <v>0.0</v>
      </c>
      <c r="AF41" s="81"/>
      <c r="AH41" s="81"/>
      <c r="AJ41" s="81"/>
      <c r="AK41" s="27"/>
      <c r="AL41" s="82">
        <f t="shared" si="1"/>
        <v>2474.3</v>
      </c>
      <c r="AM41" s="35">
        <f t="shared" si="2"/>
        <v>218</v>
      </c>
      <c r="AN41" s="35">
        <v>0.0</v>
      </c>
      <c r="AO41" s="35">
        <f t="shared" si="3"/>
        <v>218</v>
      </c>
      <c r="AP41" s="40">
        <f t="shared" si="4"/>
        <v>11.35</v>
      </c>
    </row>
    <row r="42" ht="15.75" customHeight="1">
      <c r="A42" s="32" t="s">
        <v>29</v>
      </c>
      <c r="B42" s="34">
        <f t="shared" si="5"/>
        <v>44602</v>
      </c>
      <c r="C42" s="35">
        <v>2.0</v>
      </c>
      <c r="D42" s="35" t="s">
        <v>32</v>
      </c>
      <c r="E42" s="37"/>
      <c r="F42" s="44">
        <v>0.0</v>
      </c>
      <c r="H42" s="45">
        <v>0.0</v>
      </c>
      <c r="J42" s="45">
        <v>0.0</v>
      </c>
      <c r="L42" s="66">
        <v>60.0</v>
      </c>
      <c r="N42" s="45">
        <v>60.0</v>
      </c>
      <c r="P42" s="67">
        <v>0.0</v>
      </c>
      <c r="R42" s="45">
        <v>0.0</v>
      </c>
      <c r="T42" s="67">
        <v>0.0</v>
      </c>
      <c r="V42" s="67">
        <v>0.0</v>
      </c>
      <c r="X42" s="45">
        <v>0.0</v>
      </c>
      <c r="Y42" s="27"/>
      <c r="Z42" s="44">
        <v>28.0</v>
      </c>
      <c r="AB42" s="45">
        <v>28.0</v>
      </c>
      <c r="AD42" s="45">
        <v>0.0</v>
      </c>
      <c r="AF42" s="24"/>
      <c r="AH42" s="24"/>
      <c r="AJ42" s="24"/>
      <c r="AK42" s="27"/>
      <c r="AL42" s="39">
        <f t="shared" si="1"/>
        <v>1997.6</v>
      </c>
      <c r="AM42" s="35">
        <f t="shared" si="2"/>
        <v>176</v>
      </c>
      <c r="AN42" s="35">
        <v>0.0</v>
      </c>
      <c r="AO42" s="35">
        <f t="shared" si="3"/>
        <v>176</v>
      </c>
      <c r="AP42" s="40">
        <f t="shared" si="4"/>
        <v>11.35</v>
      </c>
    </row>
    <row r="43" ht="15.75" customHeight="1">
      <c r="A43" s="32" t="s">
        <v>30</v>
      </c>
      <c r="B43" s="34">
        <f t="shared" si="5"/>
        <v>44603</v>
      </c>
      <c r="C43" s="35">
        <v>2.0</v>
      </c>
      <c r="D43" s="35" t="s">
        <v>32</v>
      </c>
      <c r="E43" s="37"/>
      <c r="F43" s="44">
        <v>0.0</v>
      </c>
      <c r="H43" s="45">
        <v>0.0</v>
      </c>
      <c r="J43" s="45">
        <v>0.0</v>
      </c>
      <c r="L43" s="66">
        <v>0.0</v>
      </c>
      <c r="N43" s="45">
        <v>0.0</v>
      </c>
      <c r="P43" s="67">
        <v>0.0</v>
      </c>
      <c r="R43" s="45">
        <v>0.0</v>
      </c>
      <c r="T43" s="67">
        <v>0.0</v>
      </c>
      <c r="V43" s="67">
        <v>0.0</v>
      </c>
      <c r="X43" s="45">
        <v>0.0</v>
      </c>
      <c r="Y43" s="27"/>
      <c r="Z43" s="44">
        <v>0.0</v>
      </c>
      <c r="AB43" s="45">
        <v>0.0</v>
      </c>
      <c r="AD43" s="45">
        <v>0.0</v>
      </c>
      <c r="AF43" s="24"/>
      <c r="AH43" s="24"/>
      <c r="AJ43" s="24"/>
      <c r="AK43" s="27"/>
      <c r="AL43" s="39">
        <f t="shared" si="1"/>
        <v>0</v>
      </c>
      <c r="AM43" s="35">
        <f t="shared" si="2"/>
        <v>0</v>
      </c>
      <c r="AN43" s="35">
        <v>0.0</v>
      </c>
      <c r="AO43" s="35">
        <f t="shared" si="3"/>
        <v>0</v>
      </c>
      <c r="AP43" s="40" t="str">
        <f t="shared" si="4"/>
        <v/>
      </c>
    </row>
    <row r="44" ht="15.75" customHeight="1">
      <c r="A44" s="48" t="s">
        <v>31</v>
      </c>
      <c r="B44" s="50">
        <f t="shared" si="5"/>
        <v>44604</v>
      </c>
      <c r="C44" s="51">
        <v>2.0</v>
      </c>
      <c r="D44" s="51" t="s">
        <v>32</v>
      </c>
      <c r="E44" s="53"/>
      <c r="F44" s="75">
        <v>0.0</v>
      </c>
      <c r="G44" s="56"/>
      <c r="H44" s="74">
        <v>0.0</v>
      </c>
      <c r="I44" s="56"/>
      <c r="J44" s="74">
        <v>0.0</v>
      </c>
      <c r="K44" s="56"/>
      <c r="L44" s="73">
        <v>0.0</v>
      </c>
      <c r="M44" s="56"/>
      <c r="N44" s="74">
        <v>0.0</v>
      </c>
      <c r="O44" s="56"/>
      <c r="P44" s="72">
        <v>0.0</v>
      </c>
      <c r="Q44" s="56"/>
      <c r="R44" s="74">
        <v>0.0</v>
      </c>
      <c r="S44" s="56"/>
      <c r="T44" s="74"/>
      <c r="U44" s="56"/>
      <c r="V44" s="74">
        <v>0.0</v>
      </c>
      <c r="W44" s="56"/>
      <c r="X44" s="74">
        <v>0.0</v>
      </c>
      <c r="Y44" s="60"/>
      <c r="Z44" s="75">
        <v>0.0</v>
      </c>
      <c r="AA44" s="56"/>
      <c r="AB44" s="74">
        <v>0.0</v>
      </c>
      <c r="AC44" s="56"/>
      <c r="AD44" s="74">
        <v>0.0</v>
      </c>
      <c r="AE44" s="56"/>
      <c r="AF44" s="57"/>
      <c r="AG44" s="56"/>
      <c r="AH44" s="57"/>
      <c r="AI44" s="56"/>
      <c r="AJ44" s="57"/>
      <c r="AK44" s="60"/>
      <c r="AL44" s="61">
        <f t="shared" si="1"/>
        <v>0</v>
      </c>
      <c r="AM44" s="51">
        <f t="shared" si="2"/>
        <v>0</v>
      </c>
      <c r="AN44" s="51">
        <v>0.0</v>
      </c>
      <c r="AO44" s="51">
        <f t="shared" si="3"/>
        <v>0</v>
      </c>
      <c r="AP44" s="63" t="str">
        <f t="shared" si="4"/>
        <v/>
      </c>
    </row>
    <row r="45" ht="15.75" customHeight="1">
      <c r="A45" s="18" t="s">
        <v>20</v>
      </c>
      <c r="B45" s="64">
        <f t="shared" si="5"/>
        <v>44605</v>
      </c>
      <c r="C45" s="20">
        <v>2.0</v>
      </c>
      <c r="D45" s="20" t="s">
        <v>33</v>
      </c>
      <c r="E45" s="22"/>
      <c r="F45" s="44">
        <v>0.0</v>
      </c>
      <c r="H45" s="45">
        <v>40.0</v>
      </c>
      <c r="J45" s="45">
        <v>0.0</v>
      </c>
      <c r="L45" s="46">
        <v>40.0</v>
      </c>
      <c r="M45" s="47"/>
      <c r="N45" s="49">
        <v>40.0</v>
      </c>
      <c r="O45" s="47"/>
      <c r="P45" s="49">
        <v>0.0</v>
      </c>
      <c r="Q45" s="47"/>
      <c r="R45" s="49">
        <v>0.0</v>
      </c>
      <c r="S45" s="47"/>
      <c r="T45" s="49">
        <v>1.0</v>
      </c>
      <c r="U45" s="47"/>
      <c r="V45" s="49">
        <v>1.0</v>
      </c>
      <c r="W45" s="47"/>
      <c r="X45" s="49">
        <v>0.0</v>
      </c>
      <c r="Y45" s="55"/>
      <c r="Z45" s="44">
        <v>29.0</v>
      </c>
      <c r="AB45" s="45">
        <v>29.0</v>
      </c>
      <c r="AD45" s="45">
        <v>0.0</v>
      </c>
      <c r="AF45" s="24"/>
      <c r="AH45" s="24"/>
      <c r="AJ45" s="24"/>
      <c r="AK45" s="27"/>
      <c r="AL45" s="28">
        <f t="shared" si="1"/>
        <v>2981.5</v>
      </c>
      <c r="AM45" s="20">
        <f t="shared" si="2"/>
        <v>180</v>
      </c>
      <c r="AN45" s="20">
        <v>0.0</v>
      </c>
      <c r="AO45" s="20">
        <f t="shared" si="3"/>
        <v>180</v>
      </c>
      <c r="AP45" s="31">
        <f t="shared" si="4"/>
        <v>16.56388889</v>
      </c>
    </row>
    <row r="46" ht="15.75" customHeight="1">
      <c r="A46" s="32" t="s">
        <v>22</v>
      </c>
      <c r="B46" s="34">
        <f t="shared" si="5"/>
        <v>44606</v>
      </c>
      <c r="C46" s="35">
        <v>2.0</v>
      </c>
      <c r="D46" s="35" t="s">
        <v>33</v>
      </c>
      <c r="E46" s="37"/>
      <c r="F46" s="44">
        <v>102.0</v>
      </c>
      <c r="H46" s="45">
        <v>102.0</v>
      </c>
      <c r="J46" s="45">
        <v>0.0</v>
      </c>
      <c r="L46" s="66">
        <v>30.0</v>
      </c>
      <c r="N46" s="45">
        <v>30.0</v>
      </c>
      <c r="P46" s="45">
        <v>0.0</v>
      </c>
      <c r="R46" s="45">
        <v>0.0</v>
      </c>
      <c r="T46" s="45">
        <v>0.0</v>
      </c>
      <c r="V46" s="45">
        <v>0.0</v>
      </c>
      <c r="X46" s="45">
        <v>0.0</v>
      </c>
      <c r="Y46" s="27"/>
      <c r="Z46" s="44">
        <v>0.0</v>
      </c>
      <c r="AB46" s="45">
        <v>0.0</v>
      </c>
      <c r="AD46" s="45">
        <v>0.0</v>
      </c>
      <c r="AF46" s="83"/>
      <c r="AH46" s="83"/>
      <c r="AJ46" s="83"/>
      <c r="AK46" s="27"/>
      <c r="AL46" s="84">
        <f t="shared" si="1"/>
        <v>4328.52</v>
      </c>
      <c r="AM46" s="35">
        <f t="shared" si="2"/>
        <v>264</v>
      </c>
      <c r="AN46" s="35">
        <v>0.0</v>
      </c>
      <c r="AO46" s="35">
        <f t="shared" si="3"/>
        <v>264</v>
      </c>
      <c r="AP46" s="40">
        <f t="shared" si="4"/>
        <v>16.39590909</v>
      </c>
    </row>
    <row r="47" ht="15.75" customHeight="1">
      <c r="A47" s="32" t="s">
        <v>24</v>
      </c>
      <c r="B47" s="34">
        <f t="shared" si="5"/>
        <v>44607</v>
      </c>
      <c r="C47" s="35">
        <v>2.0</v>
      </c>
      <c r="D47" s="35" t="s">
        <v>33</v>
      </c>
      <c r="E47" s="37"/>
      <c r="F47" s="66">
        <v>102.0</v>
      </c>
      <c r="H47" s="80">
        <v>102.0</v>
      </c>
      <c r="J47" s="80">
        <v>0.0</v>
      </c>
      <c r="L47" s="66">
        <v>45.0</v>
      </c>
      <c r="N47" s="45">
        <v>98.0</v>
      </c>
      <c r="P47" s="67">
        <v>98.0</v>
      </c>
      <c r="R47" s="45">
        <v>0.0</v>
      </c>
      <c r="T47" s="67">
        <v>0.0</v>
      </c>
      <c r="V47" s="67">
        <v>0.0</v>
      </c>
      <c r="X47" s="45">
        <v>0.0</v>
      </c>
      <c r="Y47" s="27"/>
      <c r="Z47" s="66">
        <v>0.0</v>
      </c>
      <c r="AB47" s="80">
        <v>28.0</v>
      </c>
      <c r="AD47" s="80">
        <v>0.0</v>
      </c>
      <c r="AF47" s="24"/>
      <c r="AH47" s="24"/>
      <c r="AJ47" s="24"/>
      <c r="AK47" s="27"/>
      <c r="AL47" s="39">
        <f t="shared" si="1"/>
        <v>6700.67</v>
      </c>
      <c r="AM47" s="35">
        <f t="shared" si="2"/>
        <v>473</v>
      </c>
      <c r="AN47" s="35">
        <v>0.0</v>
      </c>
      <c r="AO47" s="35">
        <f t="shared" si="3"/>
        <v>473</v>
      </c>
      <c r="AP47" s="40">
        <f t="shared" si="4"/>
        <v>14.16632135</v>
      </c>
    </row>
    <row r="48" ht="15.75" customHeight="1">
      <c r="A48" s="32" t="s">
        <v>28</v>
      </c>
      <c r="B48" s="34">
        <f t="shared" si="5"/>
        <v>44608</v>
      </c>
      <c r="C48" s="35">
        <v>2.0</v>
      </c>
      <c r="D48" s="35" t="s">
        <v>33</v>
      </c>
      <c r="E48" s="37"/>
      <c r="F48" s="44">
        <v>102.0</v>
      </c>
      <c r="H48" s="45">
        <v>102.0</v>
      </c>
      <c r="J48" s="45">
        <v>0.0</v>
      </c>
      <c r="L48" s="66">
        <v>98.0</v>
      </c>
      <c r="N48" s="45">
        <v>98.0</v>
      </c>
      <c r="P48" s="67">
        <v>0.0</v>
      </c>
      <c r="R48" s="45">
        <v>0.0</v>
      </c>
      <c r="T48" s="67">
        <v>0.0</v>
      </c>
      <c r="V48" s="67">
        <v>0.0</v>
      </c>
      <c r="X48" s="45">
        <v>0.0</v>
      </c>
      <c r="Y48" s="27"/>
      <c r="Z48" s="44">
        <v>28.0</v>
      </c>
      <c r="AB48" s="45">
        <v>28.0</v>
      </c>
      <c r="AD48" s="45">
        <v>0.0</v>
      </c>
      <c r="AF48" s="24"/>
      <c r="AH48" s="24"/>
      <c r="AJ48" s="24"/>
      <c r="AK48" s="27"/>
      <c r="AL48" s="39">
        <f t="shared" si="1"/>
        <v>6507.72</v>
      </c>
      <c r="AM48" s="35">
        <f t="shared" si="2"/>
        <v>456</v>
      </c>
      <c r="AN48" s="35">
        <v>0.0</v>
      </c>
      <c r="AO48" s="35">
        <f t="shared" si="3"/>
        <v>456</v>
      </c>
      <c r="AP48" s="40">
        <f t="shared" si="4"/>
        <v>14.27131579</v>
      </c>
    </row>
    <row r="49" ht="15.75" customHeight="1">
      <c r="A49" s="32" t="s">
        <v>29</v>
      </c>
      <c r="B49" s="34">
        <f t="shared" si="5"/>
        <v>44609</v>
      </c>
      <c r="C49" s="35">
        <v>2.0</v>
      </c>
      <c r="D49" s="35" t="s">
        <v>33</v>
      </c>
      <c r="E49" s="37"/>
      <c r="F49" s="44">
        <v>102.0</v>
      </c>
      <c r="H49" s="45">
        <v>102.0</v>
      </c>
      <c r="J49" s="45">
        <v>0.0</v>
      </c>
      <c r="L49" s="66">
        <v>140.0</v>
      </c>
      <c r="N49" s="45">
        <v>140.0</v>
      </c>
      <c r="P49" s="67">
        <v>0.0</v>
      </c>
      <c r="R49" s="45">
        <v>0.0</v>
      </c>
      <c r="T49" s="67">
        <v>0.0</v>
      </c>
      <c r="V49" s="67">
        <v>0.0</v>
      </c>
      <c r="X49" s="45">
        <v>0.0</v>
      </c>
      <c r="Y49" s="27"/>
      <c r="Z49" s="44">
        <v>28.0</v>
      </c>
      <c r="AB49" s="45">
        <v>28.0</v>
      </c>
      <c r="AD49" s="45">
        <v>0.0</v>
      </c>
      <c r="AF49" s="24"/>
      <c r="AH49" s="24"/>
      <c r="AJ49" s="24"/>
      <c r="AK49" s="27"/>
      <c r="AL49" s="39">
        <f t="shared" si="1"/>
        <v>7461.12</v>
      </c>
      <c r="AM49" s="35">
        <f t="shared" si="2"/>
        <v>540</v>
      </c>
      <c r="AN49" s="35">
        <v>0.0</v>
      </c>
      <c r="AO49" s="35">
        <f t="shared" si="3"/>
        <v>540</v>
      </c>
      <c r="AP49" s="40">
        <f t="shared" si="4"/>
        <v>13.81688889</v>
      </c>
    </row>
    <row r="50" ht="15.75" customHeight="1">
      <c r="A50" s="32" t="s">
        <v>30</v>
      </c>
      <c r="B50" s="34">
        <f t="shared" si="5"/>
        <v>44610</v>
      </c>
      <c r="C50" s="35">
        <v>2.0</v>
      </c>
      <c r="D50" s="35" t="s">
        <v>33</v>
      </c>
      <c r="E50" s="37"/>
      <c r="F50" s="44">
        <v>102.0</v>
      </c>
      <c r="H50" s="45">
        <v>102.0</v>
      </c>
      <c r="J50" s="45">
        <v>0.0</v>
      </c>
      <c r="L50" s="66">
        <v>140.0</v>
      </c>
      <c r="N50" s="45">
        <v>140.0</v>
      </c>
      <c r="P50" s="67">
        <v>0.0</v>
      </c>
      <c r="R50" s="45">
        <v>0.0</v>
      </c>
      <c r="T50" s="67">
        <v>0.0</v>
      </c>
      <c r="V50" s="67">
        <v>0.0</v>
      </c>
      <c r="X50" s="45">
        <v>0.0</v>
      </c>
      <c r="Y50" s="27"/>
      <c r="Z50" s="44">
        <v>20.0</v>
      </c>
      <c r="AB50" s="45">
        <v>20.0</v>
      </c>
      <c r="AD50" s="45">
        <v>0.0</v>
      </c>
      <c r="AF50" s="24"/>
      <c r="AH50" s="24"/>
      <c r="AJ50" s="24"/>
      <c r="AK50" s="27"/>
      <c r="AL50" s="39">
        <f t="shared" si="1"/>
        <v>7279.52</v>
      </c>
      <c r="AM50" s="35">
        <f t="shared" si="2"/>
        <v>524</v>
      </c>
      <c r="AN50" s="35">
        <v>0.0</v>
      </c>
      <c r="AO50" s="35">
        <f t="shared" si="3"/>
        <v>524</v>
      </c>
      <c r="AP50" s="40">
        <f t="shared" si="4"/>
        <v>13.89221374</v>
      </c>
    </row>
    <row r="51" ht="15.75" customHeight="1">
      <c r="A51" s="48" t="s">
        <v>31</v>
      </c>
      <c r="B51" s="50">
        <f t="shared" si="5"/>
        <v>44611</v>
      </c>
      <c r="C51" s="51">
        <v>2.0</v>
      </c>
      <c r="D51" s="51" t="s">
        <v>33</v>
      </c>
      <c r="E51" s="53"/>
      <c r="F51" s="75">
        <v>80.0</v>
      </c>
      <c r="G51" s="56"/>
      <c r="H51" s="74">
        <v>120.0</v>
      </c>
      <c r="I51" s="56"/>
      <c r="J51" s="74">
        <v>100.0</v>
      </c>
      <c r="K51" s="56"/>
      <c r="L51" s="73">
        <v>40.0</v>
      </c>
      <c r="M51" s="56"/>
      <c r="N51" s="74">
        <v>140.0</v>
      </c>
      <c r="O51" s="56"/>
      <c r="P51" s="72">
        <v>140.0</v>
      </c>
      <c r="Q51" s="56"/>
      <c r="R51" s="74">
        <v>0.0</v>
      </c>
      <c r="S51" s="56"/>
      <c r="T51" s="74">
        <v>0.0</v>
      </c>
      <c r="U51" s="56"/>
      <c r="V51" s="74">
        <v>0.0</v>
      </c>
      <c r="W51" s="56"/>
      <c r="X51" s="74">
        <v>0.0</v>
      </c>
      <c r="Y51" s="60"/>
      <c r="Z51" s="75">
        <v>0.0</v>
      </c>
      <c r="AA51" s="56"/>
      <c r="AB51" s="74">
        <v>0.0</v>
      </c>
      <c r="AC51" s="56"/>
      <c r="AD51" s="74">
        <v>0.0</v>
      </c>
      <c r="AE51" s="56"/>
      <c r="AF51" s="57"/>
      <c r="AG51" s="56"/>
      <c r="AH51" s="57"/>
      <c r="AI51" s="56"/>
      <c r="AJ51" s="57"/>
      <c r="AK51" s="60"/>
      <c r="AL51" s="61">
        <f t="shared" si="1"/>
        <v>8996</v>
      </c>
      <c r="AM51" s="51">
        <f t="shared" si="2"/>
        <v>620</v>
      </c>
      <c r="AN51" s="51">
        <v>0.0</v>
      </c>
      <c r="AO51" s="51">
        <f t="shared" si="3"/>
        <v>620</v>
      </c>
      <c r="AP51" s="63">
        <f t="shared" si="4"/>
        <v>14.50967742</v>
      </c>
    </row>
    <row r="52" ht="15.75" customHeight="1">
      <c r="A52" s="18" t="s">
        <v>20</v>
      </c>
      <c r="B52" s="64">
        <f t="shared" si="5"/>
        <v>44612</v>
      </c>
      <c r="C52" s="20">
        <v>2.0</v>
      </c>
      <c r="D52" s="20" t="s">
        <v>34</v>
      </c>
      <c r="E52" s="22"/>
      <c r="F52" s="44">
        <v>123.0</v>
      </c>
      <c r="H52" s="45">
        <v>123.0</v>
      </c>
      <c r="J52" s="45">
        <v>0.0</v>
      </c>
      <c r="L52" s="46">
        <v>140.0</v>
      </c>
      <c r="M52" s="47"/>
      <c r="N52" s="49">
        <v>140.0</v>
      </c>
      <c r="O52" s="47"/>
      <c r="P52" s="49">
        <v>0.0</v>
      </c>
      <c r="Q52" s="47"/>
      <c r="R52" s="49">
        <v>0.0</v>
      </c>
      <c r="S52" s="47"/>
      <c r="T52" s="49">
        <v>1.0</v>
      </c>
      <c r="U52" s="47"/>
      <c r="V52" s="49">
        <v>1.0</v>
      </c>
      <c r="W52" s="47"/>
      <c r="X52" s="49">
        <v>0.0</v>
      </c>
      <c r="Y52" s="55"/>
      <c r="Z52" s="44">
        <v>31.0</v>
      </c>
      <c r="AB52" s="45">
        <v>31.0</v>
      </c>
      <c r="AD52" s="45">
        <v>0.0</v>
      </c>
      <c r="AF52" s="24"/>
      <c r="AH52" s="24"/>
      <c r="AJ52" s="24"/>
      <c r="AK52" s="27"/>
      <c r="AL52" s="28">
        <f t="shared" si="1"/>
        <v>8980.18</v>
      </c>
      <c r="AM52" s="20">
        <f t="shared" si="2"/>
        <v>590</v>
      </c>
      <c r="AN52" s="20">
        <v>0.0</v>
      </c>
      <c r="AO52" s="20">
        <f t="shared" si="3"/>
        <v>590</v>
      </c>
      <c r="AP52" s="31">
        <f t="shared" si="4"/>
        <v>15.22064407</v>
      </c>
    </row>
    <row r="53" ht="15.75" customHeight="1">
      <c r="A53" s="32" t="s">
        <v>22</v>
      </c>
      <c r="B53" s="34">
        <f t="shared" si="5"/>
        <v>44613</v>
      </c>
      <c r="C53" s="35">
        <v>2.0</v>
      </c>
      <c r="D53" s="35" t="s">
        <v>34</v>
      </c>
      <c r="E53" s="37"/>
      <c r="F53" s="44">
        <v>124.0</v>
      </c>
      <c r="H53" s="45">
        <v>124.0</v>
      </c>
      <c r="J53" s="45">
        <v>0.0</v>
      </c>
      <c r="L53" s="66">
        <v>140.0</v>
      </c>
      <c r="N53" s="45">
        <v>140.0</v>
      </c>
      <c r="P53" s="45">
        <v>0.0</v>
      </c>
      <c r="R53" s="45">
        <v>0.0</v>
      </c>
      <c r="T53" s="45">
        <v>0.0</v>
      </c>
      <c r="V53" s="45">
        <v>0.0</v>
      </c>
      <c r="X53" s="45">
        <v>0.0</v>
      </c>
      <c r="Y53" s="27"/>
      <c r="Z53" s="44">
        <v>31.0</v>
      </c>
      <c r="AB53" s="45">
        <v>31.0</v>
      </c>
      <c r="AD53" s="45">
        <v>0.0</v>
      </c>
      <c r="AF53" s="24"/>
      <c r="AH53" s="24"/>
      <c r="AJ53" s="24"/>
      <c r="AK53" s="27"/>
      <c r="AL53" s="39">
        <f t="shared" si="1"/>
        <v>8315.94</v>
      </c>
      <c r="AM53" s="35">
        <f t="shared" si="2"/>
        <v>590</v>
      </c>
      <c r="AN53" s="35">
        <v>0.0</v>
      </c>
      <c r="AO53" s="35">
        <f t="shared" si="3"/>
        <v>590</v>
      </c>
      <c r="AP53" s="40">
        <f t="shared" si="4"/>
        <v>14.09481356</v>
      </c>
    </row>
    <row r="54" ht="15.75" customHeight="1">
      <c r="A54" s="32" t="s">
        <v>24</v>
      </c>
      <c r="B54" s="34">
        <f t="shared" si="5"/>
        <v>44614</v>
      </c>
      <c r="C54" s="35">
        <v>2.0</v>
      </c>
      <c r="D54" s="35" t="s">
        <v>34</v>
      </c>
      <c r="E54" s="37"/>
      <c r="F54" s="44">
        <v>125.0</v>
      </c>
      <c r="H54" s="45">
        <v>125.0</v>
      </c>
      <c r="J54" s="45">
        <v>0.0</v>
      </c>
      <c r="L54" s="66">
        <v>160.0</v>
      </c>
      <c r="N54" s="45">
        <v>160.0</v>
      </c>
      <c r="P54" s="67">
        <v>0.0</v>
      </c>
      <c r="R54" s="45">
        <v>0.0</v>
      </c>
      <c r="T54" s="67">
        <v>0.0</v>
      </c>
      <c r="V54" s="67">
        <v>0.0</v>
      </c>
      <c r="X54" s="45">
        <v>0.0</v>
      </c>
      <c r="Y54" s="27"/>
      <c r="Z54" s="44">
        <v>36.0</v>
      </c>
      <c r="AB54" s="45">
        <v>36.0</v>
      </c>
      <c r="AD54" s="45">
        <v>0.0</v>
      </c>
      <c r="AF54" s="24"/>
      <c r="AH54" s="24"/>
      <c r="AJ54" s="24"/>
      <c r="AK54" s="27"/>
      <c r="AL54" s="39">
        <f t="shared" si="1"/>
        <v>8919.2</v>
      </c>
      <c r="AM54" s="35">
        <f t="shared" si="2"/>
        <v>642</v>
      </c>
      <c r="AN54" s="35">
        <v>0.0</v>
      </c>
      <c r="AO54" s="35">
        <f t="shared" si="3"/>
        <v>642</v>
      </c>
      <c r="AP54" s="40">
        <f t="shared" si="4"/>
        <v>13.89283489</v>
      </c>
    </row>
    <row r="55" ht="15.75" customHeight="1">
      <c r="A55" s="32" t="s">
        <v>28</v>
      </c>
      <c r="B55" s="34">
        <f t="shared" si="5"/>
        <v>44615</v>
      </c>
      <c r="C55" s="35">
        <v>2.0</v>
      </c>
      <c r="D55" s="35" t="s">
        <v>34</v>
      </c>
      <c r="E55" s="37"/>
      <c r="F55" s="44">
        <v>125.0</v>
      </c>
      <c r="H55" s="45">
        <v>125.0</v>
      </c>
      <c r="J55" s="45">
        <v>0.0</v>
      </c>
      <c r="L55" s="66">
        <v>160.0</v>
      </c>
      <c r="N55" s="45">
        <v>160.0</v>
      </c>
      <c r="P55" s="67">
        <v>0.0</v>
      </c>
      <c r="R55" s="45">
        <v>0.0</v>
      </c>
      <c r="T55" s="67">
        <v>0.0</v>
      </c>
      <c r="V55" s="67">
        <v>0.0</v>
      </c>
      <c r="X55" s="45">
        <v>0.0</v>
      </c>
      <c r="Y55" s="27"/>
      <c r="Z55" s="44">
        <v>36.0</v>
      </c>
      <c r="AB55" s="45">
        <v>36.0</v>
      </c>
      <c r="AD55" s="45">
        <v>0.0</v>
      </c>
      <c r="AF55" s="24"/>
      <c r="AH55" s="24"/>
      <c r="AJ55" s="24"/>
      <c r="AK55" s="27"/>
      <c r="AL55" s="39">
        <f t="shared" si="1"/>
        <v>8919.2</v>
      </c>
      <c r="AM55" s="35">
        <f t="shared" si="2"/>
        <v>642</v>
      </c>
      <c r="AN55" s="35">
        <v>0.0</v>
      </c>
      <c r="AO55" s="35">
        <f t="shared" si="3"/>
        <v>642</v>
      </c>
      <c r="AP55" s="40">
        <f t="shared" si="4"/>
        <v>13.89283489</v>
      </c>
    </row>
    <row r="56" ht="15.75" customHeight="1">
      <c r="A56" s="32" t="s">
        <v>29</v>
      </c>
      <c r="B56" s="34">
        <f t="shared" si="5"/>
        <v>44616</v>
      </c>
      <c r="C56" s="35">
        <v>2.0</v>
      </c>
      <c r="D56" s="35" t="s">
        <v>34</v>
      </c>
      <c r="E56" s="37"/>
      <c r="F56" s="44">
        <v>127.0</v>
      </c>
      <c r="H56" s="45">
        <v>127.0</v>
      </c>
      <c r="J56" s="45">
        <v>0.0</v>
      </c>
      <c r="L56" s="66">
        <v>160.0</v>
      </c>
      <c r="N56" s="45">
        <v>160.0</v>
      </c>
      <c r="P56" s="67">
        <v>0.0</v>
      </c>
      <c r="R56" s="45">
        <v>0.0</v>
      </c>
      <c r="T56" s="67">
        <v>0.0</v>
      </c>
      <c r="V56" s="67">
        <v>0.0</v>
      </c>
      <c r="X56" s="45">
        <v>0.0</v>
      </c>
      <c r="Y56" s="27"/>
      <c r="Z56" s="44">
        <v>36.0</v>
      </c>
      <c r="AB56" s="45">
        <v>36.0</v>
      </c>
      <c r="AD56" s="45">
        <v>0.0</v>
      </c>
      <c r="AF56" s="24"/>
      <c r="AH56" s="24"/>
      <c r="AJ56" s="24"/>
      <c r="AK56" s="27"/>
      <c r="AL56" s="39">
        <f t="shared" si="1"/>
        <v>8990.72</v>
      </c>
      <c r="AM56" s="35">
        <f t="shared" si="2"/>
        <v>646</v>
      </c>
      <c r="AN56" s="35">
        <v>0.0</v>
      </c>
      <c r="AO56" s="35">
        <f t="shared" si="3"/>
        <v>646</v>
      </c>
      <c r="AP56" s="40">
        <f t="shared" si="4"/>
        <v>13.91752322</v>
      </c>
    </row>
    <row r="57" ht="15.75" customHeight="1">
      <c r="A57" s="32" t="s">
        <v>30</v>
      </c>
      <c r="B57" s="34">
        <f t="shared" si="5"/>
        <v>44617</v>
      </c>
      <c r="C57" s="35">
        <v>2.0</v>
      </c>
      <c r="D57" s="35" t="s">
        <v>34</v>
      </c>
      <c r="E57" s="37"/>
      <c r="F57" s="44">
        <v>127.0</v>
      </c>
      <c r="H57" s="45">
        <v>127.0</v>
      </c>
      <c r="J57" s="45">
        <v>0.0</v>
      </c>
      <c r="L57" s="66">
        <v>80.0</v>
      </c>
      <c r="N57" s="45">
        <v>80.0</v>
      </c>
      <c r="P57" s="67">
        <v>0.0</v>
      </c>
      <c r="R57" s="45">
        <v>0.0</v>
      </c>
      <c r="T57" s="67">
        <v>0.0</v>
      </c>
      <c r="V57" s="67">
        <v>0.0</v>
      </c>
      <c r="X57" s="45">
        <v>0.0</v>
      </c>
      <c r="Y57" s="27"/>
      <c r="Z57" s="44">
        <v>36.0</v>
      </c>
      <c r="AB57" s="45">
        <v>36.0</v>
      </c>
      <c r="AD57" s="45">
        <v>0.0</v>
      </c>
      <c r="AF57" s="24"/>
      <c r="AH57" s="24"/>
      <c r="AJ57" s="24"/>
      <c r="AK57" s="27"/>
      <c r="AL57" s="39">
        <f t="shared" si="1"/>
        <v>7174.72</v>
      </c>
      <c r="AM57" s="35">
        <f t="shared" si="2"/>
        <v>486</v>
      </c>
      <c r="AN57" s="35">
        <v>0.0</v>
      </c>
      <c r="AO57" s="35">
        <f t="shared" si="3"/>
        <v>486</v>
      </c>
      <c r="AP57" s="40">
        <f t="shared" si="4"/>
        <v>14.76279835</v>
      </c>
    </row>
    <row r="58" ht="15.75" customHeight="1">
      <c r="A58" s="48" t="s">
        <v>31</v>
      </c>
      <c r="B58" s="50">
        <f t="shared" si="5"/>
        <v>44618</v>
      </c>
      <c r="C58" s="51">
        <v>2.0</v>
      </c>
      <c r="D58" s="51" t="s">
        <v>34</v>
      </c>
      <c r="E58" s="53"/>
      <c r="F58" s="75">
        <v>127.0</v>
      </c>
      <c r="G58" s="56"/>
      <c r="H58" s="74">
        <v>127.0</v>
      </c>
      <c r="I58" s="56"/>
      <c r="J58" s="74">
        <v>0.0</v>
      </c>
      <c r="K58" s="56"/>
      <c r="L58" s="73">
        <v>120.0</v>
      </c>
      <c r="M58" s="56"/>
      <c r="N58" s="74">
        <v>210.0</v>
      </c>
      <c r="O58" s="56"/>
      <c r="P58" s="72">
        <v>210.0</v>
      </c>
      <c r="Q58" s="56"/>
      <c r="R58" s="74">
        <v>0.0</v>
      </c>
      <c r="S58" s="56"/>
      <c r="T58" s="74">
        <v>0.0</v>
      </c>
      <c r="U58" s="56"/>
      <c r="V58" s="74">
        <v>0.0</v>
      </c>
      <c r="W58" s="56"/>
      <c r="X58" s="74">
        <v>0.0</v>
      </c>
      <c r="Y58" s="60"/>
      <c r="Z58" s="75">
        <v>0.0</v>
      </c>
      <c r="AA58" s="56"/>
      <c r="AB58" s="74">
        <v>0.0</v>
      </c>
      <c r="AC58" s="56"/>
      <c r="AD58" s="74">
        <v>0.0</v>
      </c>
      <c r="AE58" s="56"/>
      <c r="AF58" s="57"/>
      <c r="AG58" s="56"/>
      <c r="AH58" s="57"/>
      <c r="AI58" s="56"/>
      <c r="AJ58" s="57"/>
      <c r="AK58" s="60"/>
      <c r="AL58" s="61">
        <f t="shared" si="1"/>
        <v>10670.52</v>
      </c>
      <c r="AM58" s="51">
        <f t="shared" si="2"/>
        <v>794</v>
      </c>
      <c r="AN58" s="51">
        <v>0.0</v>
      </c>
      <c r="AO58" s="51">
        <f t="shared" si="3"/>
        <v>794</v>
      </c>
      <c r="AP58" s="63">
        <f t="shared" si="4"/>
        <v>13.43894207</v>
      </c>
    </row>
    <row r="59" ht="15.75" customHeight="1">
      <c r="A59" s="18" t="s">
        <v>20</v>
      </c>
      <c r="B59" s="64">
        <f t="shared" si="5"/>
        <v>44619</v>
      </c>
      <c r="C59" s="20">
        <v>3.0</v>
      </c>
      <c r="D59" s="20" t="s">
        <v>21</v>
      </c>
      <c r="E59" s="22"/>
      <c r="F59" s="44">
        <v>127.0</v>
      </c>
      <c r="H59" s="45">
        <v>127.0</v>
      </c>
      <c r="J59" s="45">
        <v>0.0</v>
      </c>
      <c r="L59" s="46">
        <v>210.0</v>
      </c>
      <c r="M59" s="47"/>
      <c r="N59" s="49">
        <v>210.0</v>
      </c>
      <c r="O59" s="47"/>
      <c r="P59" s="49">
        <v>0.0</v>
      </c>
      <c r="Q59" s="47"/>
      <c r="R59" s="49">
        <v>0.0</v>
      </c>
      <c r="S59" s="47"/>
      <c r="T59" s="49">
        <v>1.0</v>
      </c>
      <c r="U59" s="47"/>
      <c r="V59" s="49">
        <v>1.0</v>
      </c>
      <c r="W59" s="47"/>
      <c r="X59" s="49">
        <v>0.0</v>
      </c>
      <c r="Y59" s="55"/>
      <c r="Z59" s="44">
        <v>31.0</v>
      </c>
      <c r="AB59" s="45">
        <v>31.0</v>
      </c>
      <c r="AD59" s="45">
        <v>0.0</v>
      </c>
      <c r="AF59" s="24"/>
      <c r="AH59" s="24"/>
      <c r="AJ59" s="24"/>
      <c r="AK59" s="27"/>
      <c r="AL59" s="28">
        <f t="shared" si="1"/>
        <v>10712.22</v>
      </c>
      <c r="AM59" s="20">
        <f t="shared" si="2"/>
        <v>738</v>
      </c>
      <c r="AN59" s="20">
        <v>0.0</v>
      </c>
      <c r="AO59" s="20">
        <f t="shared" si="3"/>
        <v>738</v>
      </c>
      <c r="AP59" s="31">
        <f t="shared" si="4"/>
        <v>14.51520325</v>
      </c>
    </row>
    <row r="60" ht="15.75" customHeight="1">
      <c r="A60" s="32" t="s">
        <v>22</v>
      </c>
      <c r="B60" s="34">
        <f t="shared" si="5"/>
        <v>44620</v>
      </c>
      <c r="C60" s="35">
        <v>3.0</v>
      </c>
      <c r="D60" s="35" t="s">
        <v>21</v>
      </c>
      <c r="E60" s="37"/>
      <c r="F60" s="44">
        <v>127.0</v>
      </c>
      <c r="H60" s="45">
        <v>127.0</v>
      </c>
      <c r="J60" s="45">
        <v>0.0</v>
      </c>
      <c r="L60" s="66">
        <v>210.0</v>
      </c>
      <c r="N60" s="45">
        <v>210.0</v>
      </c>
      <c r="P60" s="45">
        <v>0.0</v>
      </c>
      <c r="R60" s="45">
        <v>0.0</v>
      </c>
      <c r="T60" s="45">
        <v>0.0</v>
      </c>
      <c r="V60" s="45">
        <v>0.0</v>
      </c>
      <c r="X60" s="45">
        <v>0.0</v>
      </c>
      <c r="Y60" s="27"/>
      <c r="Z60" s="44">
        <v>21.0</v>
      </c>
      <c r="AB60" s="45">
        <v>21.0</v>
      </c>
      <c r="AD60" s="45">
        <v>0.0</v>
      </c>
      <c r="AF60" s="24"/>
      <c r="AH60" s="24"/>
      <c r="AJ60" s="24"/>
      <c r="AK60" s="27"/>
      <c r="AL60" s="39">
        <f t="shared" si="1"/>
        <v>9785.22</v>
      </c>
      <c r="AM60" s="35">
        <f t="shared" si="2"/>
        <v>716</v>
      </c>
      <c r="AN60" s="35">
        <v>0.0</v>
      </c>
      <c r="AO60" s="35">
        <f t="shared" si="3"/>
        <v>716</v>
      </c>
      <c r="AP60" s="40">
        <f t="shared" si="4"/>
        <v>13.66650838</v>
      </c>
    </row>
    <row r="61" ht="15.75" customHeight="1">
      <c r="A61" s="32" t="s">
        <v>24</v>
      </c>
      <c r="B61" s="34">
        <f t="shared" si="5"/>
        <v>44621</v>
      </c>
      <c r="C61" s="35">
        <v>3.0</v>
      </c>
      <c r="D61" s="35" t="s">
        <v>21</v>
      </c>
      <c r="E61" s="37"/>
      <c r="F61" s="44">
        <v>127.0</v>
      </c>
      <c r="H61" s="45">
        <v>127.0</v>
      </c>
      <c r="J61" s="45">
        <v>0.0</v>
      </c>
      <c r="L61" s="66">
        <v>210.0</v>
      </c>
      <c r="N61" s="45">
        <v>210.0</v>
      </c>
      <c r="P61" s="67">
        <v>0.0</v>
      </c>
      <c r="R61" s="45">
        <v>0.0</v>
      </c>
      <c r="T61" s="67">
        <v>0.0</v>
      </c>
      <c r="V61" s="67">
        <v>0.0</v>
      </c>
      <c r="X61" s="45">
        <v>0.0</v>
      </c>
      <c r="Y61" s="27"/>
      <c r="Z61" s="44">
        <v>21.0</v>
      </c>
      <c r="AB61" s="45">
        <v>21.0</v>
      </c>
      <c r="AD61" s="45">
        <v>0.0</v>
      </c>
      <c r="AF61" s="24"/>
      <c r="AH61" s="24"/>
      <c r="AJ61" s="24"/>
      <c r="AK61" s="27"/>
      <c r="AL61" s="39">
        <f t="shared" si="1"/>
        <v>9785.22</v>
      </c>
      <c r="AM61" s="35">
        <f t="shared" si="2"/>
        <v>716</v>
      </c>
      <c r="AN61" s="35">
        <v>0.0</v>
      </c>
      <c r="AO61" s="35">
        <f t="shared" si="3"/>
        <v>716</v>
      </c>
      <c r="AP61" s="40">
        <f t="shared" si="4"/>
        <v>13.66650838</v>
      </c>
    </row>
    <row r="62" ht="15.75" customHeight="1">
      <c r="A62" s="32" t="s">
        <v>28</v>
      </c>
      <c r="B62" s="34">
        <f t="shared" si="5"/>
        <v>44622</v>
      </c>
      <c r="C62" s="35">
        <v>3.0</v>
      </c>
      <c r="D62" s="35" t="s">
        <v>21</v>
      </c>
      <c r="E62" s="37"/>
      <c r="F62" s="44">
        <v>0.0</v>
      </c>
      <c r="H62" s="45">
        <v>0.0</v>
      </c>
      <c r="J62" s="45">
        <v>0.0</v>
      </c>
      <c r="L62" s="66">
        <v>210.0</v>
      </c>
      <c r="N62" s="45">
        <v>210.0</v>
      </c>
      <c r="P62" s="67">
        <v>0.0</v>
      </c>
      <c r="R62" s="45">
        <v>0.0</v>
      </c>
      <c r="T62" s="67">
        <v>0.0</v>
      </c>
      <c r="V62" s="67">
        <v>0.0</v>
      </c>
      <c r="X62" s="45">
        <v>0.0</v>
      </c>
      <c r="Y62" s="27"/>
      <c r="Z62" s="44">
        <v>21.0</v>
      </c>
      <c r="AB62" s="45">
        <v>21.0</v>
      </c>
      <c r="AD62" s="45">
        <v>0.0</v>
      </c>
      <c r="AF62" s="24"/>
      <c r="AH62" s="24"/>
      <c r="AJ62" s="24"/>
      <c r="AK62" s="27"/>
      <c r="AL62" s="39">
        <f t="shared" si="1"/>
        <v>5243.7</v>
      </c>
      <c r="AM62" s="35">
        <f t="shared" si="2"/>
        <v>462</v>
      </c>
      <c r="AN62" s="35">
        <v>0.0</v>
      </c>
      <c r="AO62" s="35">
        <f t="shared" si="3"/>
        <v>462</v>
      </c>
      <c r="AP62" s="40">
        <f t="shared" si="4"/>
        <v>11.35</v>
      </c>
    </row>
    <row r="63" ht="15.75" customHeight="1">
      <c r="A63" s="32" t="s">
        <v>29</v>
      </c>
      <c r="B63" s="34">
        <f t="shared" si="5"/>
        <v>44623</v>
      </c>
      <c r="C63" s="35">
        <v>3.0</v>
      </c>
      <c r="D63" s="35" t="s">
        <v>21</v>
      </c>
      <c r="E63" s="37"/>
      <c r="F63" s="44">
        <v>127.0</v>
      </c>
      <c r="H63" s="45">
        <v>127.0</v>
      </c>
      <c r="J63" s="45">
        <v>0.0</v>
      </c>
      <c r="L63" s="66">
        <v>210.0</v>
      </c>
      <c r="N63" s="45">
        <v>210.0</v>
      </c>
      <c r="P63" s="67">
        <v>0.0</v>
      </c>
      <c r="R63" s="45">
        <v>0.0</v>
      </c>
      <c r="T63" s="67">
        <v>0.0</v>
      </c>
      <c r="V63" s="67">
        <v>0.0</v>
      </c>
      <c r="X63" s="45">
        <v>0.0</v>
      </c>
      <c r="Y63" s="27"/>
      <c r="Z63" s="44">
        <v>26.0</v>
      </c>
      <c r="AB63" s="45">
        <v>26.0</v>
      </c>
      <c r="AD63" s="45">
        <v>0.0</v>
      </c>
      <c r="AF63" s="24"/>
      <c r="AH63" s="24"/>
      <c r="AJ63" s="24"/>
      <c r="AK63" s="27"/>
      <c r="AL63" s="39">
        <f t="shared" si="1"/>
        <v>9898.72</v>
      </c>
      <c r="AM63" s="35">
        <f t="shared" si="2"/>
        <v>726</v>
      </c>
      <c r="AN63" s="35">
        <v>0.0</v>
      </c>
      <c r="AO63" s="35">
        <f t="shared" si="3"/>
        <v>726</v>
      </c>
      <c r="AP63" s="40">
        <f t="shared" si="4"/>
        <v>13.63460055</v>
      </c>
    </row>
    <row r="64" ht="15.75" customHeight="1">
      <c r="A64" s="32" t="s">
        <v>30</v>
      </c>
      <c r="B64" s="34">
        <f t="shared" si="5"/>
        <v>44624</v>
      </c>
      <c r="C64" s="35">
        <v>3.0</v>
      </c>
      <c r="D64" s="35" t="s">
        <v>21</v>
      </c>
      <c r="E64" s="37"/>
      <c r="F64" s="44">
        <v>95.0</v>
      </c>
      <c r="H64" s="45">
        <v>95.0</v>
      </c>
      <c r="J64" s="45">
        <v>0.0</v>
      </c>
      <c r="L64" s="66">
        <v>130.0</v>
      </c>
      <c r="N64" s="45">
        <v>175.0</v>
      </c>
      <c r="P64" s="67">
        <v>175.0</v>
      </c>
      <c r="R64" s="45">
        <v>0.0</v>
      </c>
      <c r="T64" s="67">
        <v>0.0</v>
      </c>
      <c r="V64" s="67">
        <v>0.0</v>
      </c>
      <c r="X64" s="45">
        <v>0.0</v>
      </c>
      <c r="Y64" s="27"/>
      <c r="Z64" s="44">
        <v>12.0</v>
      </c>
      <c r="AB64" s="45">
        <v>12.0</v>
      </c>
      <c r="AD64" s="45">
        <v>0.0</v>
      </c>
      <c r="AF64" s="24"/>
      <c r="AH64" s="24"/>
      <c r="AJ64" s="24"/>
      <c r="AK64" s="27"/>
      <c r="AL64" s="39">
        <f t="shared" si="1"/>
        <v>9117.6</v>
      </c>
      <c r="AM64" s="35">
        <f t="shared" si="2"/>
        <v>694</v>
      </c>
      <c r="AN64" s="35">
        <v>0.0</v>
      </c>
      <c r="AO64" s="35">
        <f t="shared" si="3"/>
        <v>694</v>
      </c>
      <c r="AP64" s="40">
        <f t="shared" si="4"/>
        <v>13.13775216</v>
      </c>
    </row>
    <row r="65" ht="15.75" customHeight="1">
      <c r="A65" s="48" t="s">
        <v>31</v>
      </c>
      <c r="B65" s="50">
        <f t="shared" si="5"/>
        <v>44625</v>
      </c>
      <c r="C65" s="51">
        <v>3.0</v>
      </c>
      <c r="D65" s="51" t="s">
        <v>21</v>
      </c>
      <c r="E65" s="53"/>
      <c r="F65" s="75">
        <v>95.0</v>
      </c>
      <c r="G65" s="56"/>
      <c r="H65" s="74">
        <v>95.0</v>
      </c>
      <c r="I65" s="56"/>
      <c r="J65" s="74">
        <v>0.0</v>
      </c>
      <c r="K65" s="56"/>
      <c r="L65" s="73">
        <v>260.0</v>
      </c>
      <c r="M65" s="56"/>
      <c r="N65" s="74">
        <v>260.0</v>
      </c>
      <c r="O65" s="56"/>
      <c r="P65" s="72">
        <v>0.0</v>
      </c>
      <c r="Q65" s="56"/>
      <c r="R65" s="74">
        <v>0.0</v>
      </c>
      <c r="S65" s="56"/>
      <c r="T65" s="74">
        <v>0.0</v>
      </c>
      <c r="U65" s="56"/>
      <c r="V65" s="74">
        <v>0.0</v>
      </c>
      <c r="W65" s="56"/>
      <c r="X65" s="74">
        <v>0.0</v>
      </c>
      <c r="Y65" s="60"/>
      <c r="Z65" s="75">
        <v>0.0</v>
      </c>
      <c r="AA65" s="56"/>
      <c r="AB65" s="74">
        <v>0.0</v>
      </c>
      <c r="AC65" s="56"/>
      <c r="AD65" s="74">
        <v>0.0</v>
      </c>
      <c r="AE65" s="56"/>
      <c r="AF65" s="57"/>
      <c r="AG65" s="56"/>
      <c r="AH65" s="57"/>
      <c r="AI65" s="56"/>
      <c r="AJ65" s="57"/>
      <c r="AK65" s="60"/>
      <c r="AL65" s="61">
        <f t="shared" si="1"/>
        <v>9299.2</v>
      </c>
      <c r="AM65" s="51">
        <f t="shared" si="2"/>
        <v>710</v>
      </c>
      <c r="AN65" s="51">
        <v>0.0</v>
      </c>
      <c r="AO65" s="51">
        <f t="shared" si="3"/>
        <v>710</v>
      </c>
      <c r="AP65" s="63">
        <f t="shared" si="4"/>
        <v>13.09746479</v>
      </c>
    </row>
    <row r="66" ht="15.75" customHeight="1">
      <c r="A66" s="18" t="s">
        <v>20</v>
      </c>
      <c r="B66" s="64">
        <f t="shared" si="5"/>
        <v>44626</v>
      </c>
      <c r="C66" s="20">
        <v>3.0</v>
      </c>
      <c r="D66" s="20" t="s">
        <v>32</v>
      </c>
      <c r="E66" s="22"/>
      <c r="F66" s="44">
        <v>0.0</v>
      </c>
      <c r="H66" s="45">
        <v>118.0</v>
      </c>
      <c r="J66" s="45">
        <v>118.0</v>
      </c>
      <c r="L66" s="46">
        <v>270.0</v>
      </c>
      <c r="M66" s="47"/>
      <c r="N66" s="49">
        <v>270.0</v>
      </c>
      <c r="O66" s="47"/>
      <c r="P66" s="49">
        <v>0.0</v>
      </c>
      <c r="Q66" s="47"/>
      <c r="R66" s="49">
        <v>0.0</v>
      </c>
      <c r="S66" s="47"/>
      <c r="T66" s="49">
        <v>1.0</v>
      </c>
      <c r="U66" s="47"/>
      <c r="V66" s="49">
        <v>1.0</v>
      </c>
      <c r="W66" s="47"/>
      <c r="X66" s="49">
        <v>0.0</v>
      </c>
      <c r="Y66" s="55"/>
      <c r="Z66" s="44">
        <v>26.0</v>
      </c>
      <c r="AB66" s="45">
        <v>26.0</v>
      </c>
      <c r="AD66" s="45">
        <v>0.0</v>
      </c>
      <c r="AF66" s="24"/>
      <c r="AH66" s="24"/>
      <c r="AJ66" s="24"/>
      <c r="AK66" s="27"/>
      <c r="AL66" s="28">
        <f t="shared" si="1"/>
        <v>11638.88</v>
      </c>
      <c r="AM66" s="20">
        <f t="shared" si="2"/>
        <v>830</v>
      </c>
      <c r="AN66" s="20">
        <v>0.0</v>
      </c>
      <c r="AO66" s="20">
        <f t="shared" si="3"/>
        <v>830</v>
      </c>
      <c r="AP66" s="31">
        <f t="shared" si="4"/>
        <v>14.02274699</v>
      </c>
    </row>
    <row r="67" ht="15.75" customHeight="1">
      <c r="A67" s="32" t="s">
        <v>22</v>
      </c>
      <c r="B67" s="34">
        <f t="shared" si="5"/>
        <v>44627</v>
      </c>
      <c r="C67" s="35">
        <v>3.0</v>
      </c>
      <c r="D67" s="35" t="s">
        <v>32</v>
      </c>
      <c r="E67" s="37"/>
      <c r="F67" s="44">
        <v>112.0</v>
      </c>
      <c r="H67" s="45">
        <v>112.0</v>
      </c>
      <c r="J67" s="45">
        <v>0.0</v>
      </c>
      <c r="L67" s="66">
        <v>270.0</v>
      </c>
      <c r="N67" s="45">
        <v>270.0</v>
      </c>
      <c r="P67" s="45">
        <v>0.0</v>
      </c>
      <c r="R67" s="45">
        <v>0.0</v>
      </c>
      <c r="T67" s="45">
        <v>0.0</v>
      </c>
      <c r="V67" s="45">
        <v>0.0</v>
      </c>
      <c r="X67" s="45">
        <v>0.0</v>
      </c>
      <c r="Y67" s="27"/>
      <c r="Z67" s="44">
        <v>26.0</v>
      </c>
      <c r="AB67" s="45">
        <v>26.0</v>
      </c>
      <c r="AD67" s="45">
        <v>0.0</v>
      </c>
      <c r="AF67" s="24"/>
      <c r="AH67" s="24"/>
      <c r="AJ67" s="24"/>
      <c r="AK67" s="27"/>
      <c r="AL67" s="39">
        <f t="shared" si="1"/>
        <v>10724.32</v>
      </c>
      <c r="AM67" s="35">
        <f t="shared" si="2"/>
        <v>816</v>
      </c>
      <c r="AN67" s="35">
        <v>0.0</v>
      </c>
      <c r="AO67" s="35">
        <f t="shared" si="3"/>
        <v>816</v>
      </c>
      <c r="AP67" s="40">
        <f t="shared" si="4"/>
        <v>13.14254902</v>
      </c>
    </row>
    <row r="68" ht="15.75" customHeight="1">
      <c r="A68" s="32" t="s">
        <v>24</v>
      </c>
      <c r="B68" s="34">
        <f t="shared" si="5"/>
        <v>44628</v>
      </c>
      <c r="C68" s="35">
        <v>3.0</v>
      </c>
      <c r="D68" s="35" t="s">
        <v>32</v>
      </c>
      <c r="E68" s="37"/>
      <c r="F68" s="44">
        <v>112.0</v>
      </c>
      <c r="H68" s="45">
        <v>112.0</v>
      </c>
      <c r="J68" s="45">
        <v>0.0</v>
      </c>
      <c r="L68" s="66">
        <v>276.0</v>
      </c>
      <c r="N68" s="45">
        <v>276.0</v>
      </c>
      <c r="P68" s="67">
        <v>0.0</v>
      </c>
      <c r="R68" s="45">
        <v>0.0</v>
      </c>
      <c r="T68" s="67">
        <v>0.0</v>
      </c>
      <c r="V68" s="67">
        <v>0.0</v>
      </c>
      <c r="X68" s="45">
        <v>0.0</v>
      </c>
      <c r="Y68" s="27"/>
      <c r="Z68" s="44">
        <v>26.0</v>
      </c>
      <c r="AB68" s="45">
        <v>26.0</v>
      </c>
      <c r="AD68" s="45">
        <v>0.0</v>
      </c>
      <c r="AF68" s="24"/>
      <c r="AH68" s="24"/>
      <c r="AJ68" s="24"/>
      <c r="AK68" s="27"/>
      <c r="AL68" s="39">
        <f t="shared" si="1"/>
        <v>10860.52</v>
      </c>
      <c r="AM68" s="35">
        <f t="shared" si="2"/>
        <v>828</v>
      </c>
      <c r="AN68" s="35">
        <v>0.0</v>
      </c>
      <c r="AO68" s="35">
        <f t="shared" si="3"/>
        <v>828</v>
      </c>
      <c r="AP68" s="40">
        <f t="shared" si="4"/>
        <v>13.11657005</v>
      </c>
    </row>
    <row r="69" ht="15.75" customHeight="1">
      <c r="A69" s="32" t="s">
        <v>28</v>
      </c>
      <c r="B69" s="34">
        <f t="shared" si="5"/>
        <v>44629</v>
      </c>
      <c r="C69" s="35">
        <v>3.0</v>
      </c>
      <c r="D69" s="35" t="s">
        <v>32</v>
      </c>
      <c r="E69" s="37"/>
      <c r="F69" s="44">
        <v>112.0</v>
      </c>
      <c r="H69" s="45">
        <v>112.0</v>
      </c>
      <c r="J69" s="45">
        <v>0.0</v>
      </c>
      <c r="L69" s="66">
        <v>276.0</v>
      </c>
      <c r="N69" s="45">
        <v>276.0</v>
      </c>
      <c r="P69" s="67">
        <v>0.0</v>
      </c>
      <c r="R69" s="45">
        <v>0.0</v>
      </c>
      <c r="T69" s="67">
        <v>0.0</v>
      </c>
      <c r="V69" s="67">
        <v>0.0</v>
      </c>
      <c r="X69" s="45">
        <v>0.0</v>
      </c>
      <c r="Y69" s="27"/>
      <c r="Z69" s="44">
        <v>26.0</v>
      </c>
      <c r="AB69" s="45">
        <v>26.0</v>
      </c>
      <c r="AD69" s="45">
        <v>0.0</v>
      </c>
      <c r="AF69" s="24"/>
      <c r="AH69" s="24"/>
      <c r="AJ69" s="24"/>
      <c r="AK69" s="27"/>
      <c r="AL69" s="39">
        <f t="shared" si="1"/>
        <v>10860.52</v>
      </c>
      <c r="AM69" s="35">
        <f t="shared" si="2"/>
        <v>828</v>
      </c>
      <c r="AN69" s="35">
        <v>0.0</v>
      </c>
      <c r="AO69" s="35">
        <f t="shared" si="3"/>
        <v>828</v>
      </c>
      <c r="AP69" s="40">
        <f t="shared" si="4"/>
        <v>13.11657005</v>
      </c>
    </row>
    <row r="70" ht="15.75" customHeight="1">
      <c r="A70" s="32" t="s">
        <v>29</v>
      </c>
      <c r="B70" s="34">
        <f t="shared" si="5"/>
        <v>44630</v>
      </c>
      <c r="C70" s="35">
        <v>3.0</v>
      </c>
      <c r="D70" s="35" t="s">
        <v>32</v>
      </c>
      <c r="E70" s="37"/>
      <c r="F70" s="44">
        <v>112.0</v>
      </c>
      <c r="H70" s="45">
        <v>112.0</v>
      </c>
      <c r="J70" s="45">
        <v>112.0</v>
      </c>
      <c r="L70" s="66">
        <v>276.0</v>
      </c>
      <c r="N70" s="45">
        <v>276.0</v>
      </c>
      <c r="P70" s="67">
        <v>0.0</v>
      </c>
      <c r="R70" s="45">
        <v>0.0</v>
      </c>
      <c r="T70" s="67">
        <v>0.0</v>
      </c>
      <c r="V70" s="67">
        <v>0.0</v>
      </c>
      <c r="X70" s="45">
        <v>0.0</v>
      </c>
      <c r="Y70" s="27"/>
      <c r="Z70" s="44">
        <v>26.0</v>
      </c>
      <c r="AB70" s="45">
        <v>26.0</v>
      </c>
      <c r="AD70" s="45">
        <v>0.0</v>
      </c>
      <c r="AF70" s="24"/>
      <c r="AH70" s="24"/>
      <c r="AJ70" s="24"/>
      <c r="AK70" s="27"/>
      <c r="AL70" s="39">
        <f t="shared" si="1"/>
        <v>12863.08</v>
      </c>
      <c r="AM70" s="35">
        <f t="shared" si="2"/>
        <v>940</v>
      </c>
      <c r="AN70" s="35">
        <v>0.0</v>
      </c>
      <c r="AO70" s="35">
        <f t="shared" si="3"/>
        <v>940</v>
      </c>
      <c r="AP70" s="40">
        <f t="shared" si="4"/>
        <v>13.68412766</v>
      </c>
    </row>
    <row r="71" ht="15.75" customHeight="1">
      <c r="A71" s="32" t="s">
        <v>30</v>
      </c>
      <c r="B71" s="34">
        <f t="shared" si="5"/>
        <v>44631</v>
      </c>
      <c r="C71" s="35">
        <v>3.0</v>
      </c>
      <c r="D71" s="35" t="s">
        <v>32</v>
      </c>
      <c r="E71" s="37"/>
      <c r="F71" s="44">
        <v>112.0</v>
      </c>
      <c r="H71" s="45">
        <v>112.0</v>
      </c>
      <c r="J71" s="45">
        <v>0.0</v>
      </c>
      <c r="L71" s="66">
        <v>276.0</v>
      </c>
      <c r="N71" s="45">
        <v>276.0</v>
      </c>
      <c r="P71" s="67">
        <v>0.0</v>
      </c>
      <c r="R71" s="45">
        <v>0.0</v>
      </c>
      <c r="T71" s="67">
        <v>0.0</v>
      </c>
      <c r="V71" s="67">
        <v>0.0</v>
      </c>
      <c r="X71" s="45">
        <v>0.0</v>
      </c>
      <c r="Y71" s="27"/>
      <c r="Z71" s="44">
        <v>13.0</v>
      </c>
      <c r="AB71" s="45">
        <v>13.0</v>
      </c>
      <c r="AD71" s="45">
        <v>0.0</v>
      </c>
      <c r="AF71" s="24"/>
      <c r="AH71" s="24"/>
      <c r="AJ71" s="24"/>
      <c r="AK71" s="27"/>
      <c r="AL71" s="39">
        <f t="shared" si="1"/>
        <v>10565.42</v>
      </c>
      <c r="AM71" s="35">
        <f t="shared" si="2"/>
        <v>802</v>
      </c>
      <c r="AN71" s="35">
        <v>0.0</v>
      </c>
      <c r="AO71" s="35">
        <f t="shared" si="3"/>
        <v>802</v>
      </c>
      <c r="AP71" s="40">
        <f t="shared" si="4"/>
        <v>13.1738404</v>
      </c>
    </row>
    <row r="72" ht="15.75" customHeight="1">
      <c r="A72" s="48" t="s">
        <v>31</v>
      </c>
      <c r="B72" s="50">
        <f t="shared" si="5"/>
        <v>44632</v>
      </c>
      <c r="C72" s="51">
        <v>3.0</v>
      </c>
      <c r="D72" s="51" t="s">
        <v>32</v>
      </c>
      <c r="E72" s="53"/>
      <c r="F72" s="75">
        <v>112.0</v>
      </c>
      <c r="G72" s="56"/>
      <c r="H72" s="74">
        <v>112.0</v>
      </c>
      <c r="I72" s="56"/>
      <c r="J72" s="74">
        <v>0.0</v>
      </c>
      <c r="K72" s="56"/>
      <c r="L72" s="73">
        <v>276.0</v>
      </c>
      <c r="M72" s="56"/>
      <c r="N72" s="74">
        <v>276.0</v>
      </c>
      <c r="O72" s="56"/>
      <c r="P72" s="72">
        <v>0.0</v>
      </c>
      <c r="Q72" s="56"/>
      <c r="R72" s="74">
        <v>0.0</v>
      </c>
      <c r="S72" s="56"/>
      <c r="T72" s="74">
        <v>0.0</v>
      </c>
      <c r="U72" s="56"/>
      <c r="V72" s="74">
        <v>0.0</v>
      </c>
      <c r="W72" s="56"/>
      <c r="X72" s="74">
        <v>0.0</v>
      </c>
      <c r="Y72" s="60"/>
      <c r="Z72" s="75">
        <v>24.0</v>
      </c>
      <c r="AA72" s="56"/>
      <c r="AB72" s="74">
        <v>24.0</v>
      </c>
      <c r="AC72" s="56"/>
      <c r="AD72" s="74">
        <v>0.0</v>
      </c>
      <c r="AE72" s="56"/>
      <c r="AF72" s="57"/>
      <c r="AG72" s="56"/>
      <c r="AH72" s="57"/>
      <c r="AI72" s="56"/>
      <c r="AJ72" s="57"/>
      <c r="AK72" s="60"/>
      <c r="AL72" s="61">
        <f t="shared" si="1"/>
        <v>10815.12</v>
      </c>
      <c r="AM72" s="51">
        <f t="shared" si="2"/>
        <v>824</v>
      </c>
      <c r="AN72" s="51">
        <v>0.0</v>
      </c>
      <c r="AO72" s="51">
        <f t="shared" si="3"/>
        <v>824</v>
      </c>
      <c r="AP72" s="63">
        <f t="shared" si="4"/>
        <v>13.12514563</v>
      </c>
    </row>
    <row r="73" ht="15.75" customHeight="1">
      <c r="A73" s="18" t="s">
        <v>20</v>
      </c>
      <c r="B73" s="64">
        <f t="shared" si="5"/>
        <v>44633</v>
      </c>
      <c r="C73" s="20">
        <v>3.0</v>
      </c>
      <c r="D73" s="20" t="s">
        <v>33</v>
      </c>
      <c r="E73" s="22"/>
      <c r="F73" s="44">
        <v>105.0</v>
      </c>
      <c r="H73" s="45">
        <v>105.0</v>
      </c>
      <c r="J73" s="45">
        <v>0.0</v>
      </c>
      <c r="L73" s="46">
        <v>287.0</v>
      </c>
      <c r="M73" s="47"/>
      <c r="N73" s="49">
        <v>287.0</v>
      </c>
      <c r="O73" s="47"/>
      <c r="P73" s="49">
        <v>0.0</v>
      </c>
      <c r="Q73" s="47"/>
      <c r="R73" s="49">
        <v>0.0</v>
      </c>
      <c r="S73" s="47"/>
      <c r="T73" s="49">
        <v>1.0</v>
      </c>
      <c r="U73" s="47"/>
      <c r="V73" s="49">
        <v>1.0</v>
      </c>
      <c r="W73" s="47"/>
      <c r="X73" s="49">
        <v>0.0</v>
      </c>
      <c r="Y73" s="55"/>
      <c r="Z73" s="44">
        <v>24.0</v>
      </c>
      <c r="AB73" s="45">
        <v>24.0</v>
      </c>
      <c r="AD73" s="45">
        <v>0.0</v>
      </c>
      <c r="AF73" s="24"/>
      <c r="AH73" s="24"/>
      <c r="AJ73" s="24"/>
      <c r="AK73" s="27"/>
      <c r="AL73" s="28">
        <f t="shared" si="1"/>
        <v>11514.5</v>
      </c>
      <c r="AM73" s="20">
        <f t="shared" si="2"/>
        <v>834</v>
      </c>
      <c r="AN73" s="20">
        <v>0.0</v>
      </c>
      <c r="AO73" s="20">
        <f t="shared" si="3"/>
        <v>834</v>
      </c>
      <c r="AP73" s="31">
        <f t="shared" si="4"/>
        <v>13.80635492</v>
      </c>
    </row>
    <row r="74" ht="15.75" customHeight="1">
      <c r="A74" s="32" t="s">
        <v>22</v>
      </c>
      <c r="B74" s="34">
        <f t="shared" si="5"/>
        <v>44634</v>
      </c>
      <c r="C74" s="35">
        <v>3.0</v>
      </c>
      <c r="D74" s="35" t="s">
        <v>33</v>
      </c>
      <c r="E74" s="37"/>
      <c r="F74" s="44">
        <v>0.0</v>
      </c>
      <c r="H74" s="45">
        <v>105.0</v>
      </c>
      <c r="J74" s="45">
        <v>105.0</v>
      </c>
      <c r="L74" s="66">
        <v>287.0</v>
      </c>
      <c r="N74" s="45">
        <v>287.0</v>
      </c>
      <c r="P74" s="45">
        <v>0.0</v>
      </c>
      <c r="R74" s="45">
        <v>0.0</v>
      </c>
      <c r="T74" s="45">
        <v>0.0</v>
      </c>
      <c r="V74" s="45">
        <v>0.0</v>
      </c>
      <c r="X74" s="45">
        <v>0.0</v>
      </c>
      <c r="Y74" s="27"/>
      <c r="Z74" s="44">
        <v>24.0</v>
      </c>
      <c r="AB74" s="45">
        <v>24.0</v>
      </c>
      <c r="AD74" s="45">
        <v>0.0</v>
      </c>
      <c r="AF74" s="24"/>
      <c r="AH74" s="24"/>
      <c r="AJ74" s="24"/>
      <c r="AK74" s="27"/>
      <c r="AL74" s="39">
        <f t="shared" si="1"/>
        <v>10814.5</v>
      </c>
      <c r="AM74" s="35">
        <f t="shared" si="2"/>
        <v>832</v>
      </c>
      <c r="AN74" s="35">
        <v>0.0</v>
      </c>
      <c r="AO74" s="35">
        <f t="shared" si="3"/>
        <v>832</v>
      </c>
      <c r="AP74" s="40">
        <f t="shared" si="4"/>
        <v>12.99819712</v>
      </c>
    </row>
    <row r="75" ht="15.75" customHeight="1">
      <c r="A75" s="32" t="s">
        <v>24</v>
      </c>
      <c r="B75" s="34">
        <f t="shared" si="5"/>
        <v>44635</v>
      </c>
      <c r="C75" s="35">
        <v>3.0</v>
      </c>
      <c r="D75" s="35" t="s">
        <v>33</v>
      </c>
      <c r="E75" s="37"/>
      <c r="F75" s="44">
        <v>0.0</v>
      </c>
      <c r="H75" s="45">
        <v>105.0</v>
      </c>
      <c r="J75" s="45">
        <v>112.0</v>
      </c>
      <c r="L75" s="66">
        <v>287.0</v>
      </c>
      <c r="N75" s="45">
        <v>287.0</v>
      </c>
      <c r="P75" s="67">
        <v>0.0</v>
      </c>
      <c r="R75" s="45">
        <v>0.0</v>
      </c>
      <c r="T75" s="67">
        <v>0.0</v>
      </c>
      <c r="V75" s="67">
        <v>0.0</v>
      </c>
      <c r="X75" s="45">
        <v>0.0</v>
      </c>
      <c r="Y75" s="27"/>
      <c r="Z75" s="44">
        <v>24.0</v>
      </c>
      <c r="AB75" s="45">
        <v>24.0</v>
      </c>
      <c r="AD75" s="45">
        <v>0.0</v>
      </c>
      <c r="AF75" s="24"/>
      <c r="AH75" s="24"/>
      <c r="AJ75" s="24"/>
      <c r="AK75" s="27"/>
      <c r="AL75" s="39">
        <f t="shared" si="1"/>
        <v>10939.66</v>
      </c>
      <c r="AM75" s="35">
        <f t="shared" si="2"/>
        <v>839</v>
      </c>
      <c r="AN75" s="35">
        <v>0.0</v>
      </c>
      <c r="AO75" s="35">
        <f t="shared" si="3"/>
        <v>839</v>
      </c>
      <c r="AP75" s="40">
        <f t="shared" si="4"/>
        <v>13.03892729</v>
      </c>
    </row>
    <row r="76" ht="15.75" customHeight="1">
      <c r="A76" s="32" t="s">
        <v>28</v>
      </c>
      <c r="B76" s="34">
        <f t="shared" si="5"/>
        <v>44636</v>
      </c>
      <c r="C76" s="35">
        <v>3.0</v>
      </c>
      <c r="D76" s="35" t="s">
        <v>33</v>
      </c>
      <c r="E76" s="37"/>
      <c r="F76" s="44">
        <v>0.0</v>
      </c>
      <c r="H76" s="45">
        <v>0.0</v>
      </c>
      <c r="J76" s="45">
        <v>0.0</v>
      </c>
      <c r="L76" s="66">
        <v>0.0</v>
      </c>
      <c r="N76" s="45">
        <v>0.0</v>
      </c>
      <c r="P76" s="67">
        <v>0.0</v>
      </c>
      <c r="R76" s="45">
        <v>0.0</v>
      </c>
      <c r="T76" s="67">
        <v>0.0</v>
      </c>
      <c r="V76" s="67">
        <v>0.0</v>
      </c>
      <c r="X76" s="45">
        <v>0.0</v>
      </c>
      <c r="Y76" s="27"/>
      <c r="Z76" s="44">
        <v>0.0</v>
      </c>
      <c r="AB76" s="45">
        <v>0.0</v>
      </c>
      <c r="AD76" s="45">
        <v>0.0</v>
      </c>
      <c r="AF76" s="24"/>
      <c r="AH76" s="24"/>
      <c r="AJ76" s="24"/>
      <c r="AK76" s="27"/>
      <c r="AL76" s="39">
        <f t="shared" si="1"/>
        <v>0</v>
      </c>
      <c r="AM76" s="35">
        <f t="shared" si="2"/>
        <v>0</v>
      </c>
      <c r="AN76" s="35">
        <v>0.0</v>
      </c>
      <c r="AO76" s="35">
        <f t="shared" si="3"/>
        <v>0</v>
      </c>
      <c r="AP76" s="40" t="str">
        <f t="shared" si="4"/>
        <v/>
      </c>
    </row>
    <row r="77" ht="15.75" customHeight="1">
      <c r="A77" s="32" t="s">
        <v>29</v>
      </c>
      <c r="B77" s="34">
        <f t="shared" si="5"/>
        <v>44637</v>
      </c>
      <c r="C77" s="35">
        <v>3.0</v>
      </c>
      <c r="D77" s="35" t="s">
        <v>33</v>
      </c>
      <c r="E77" s="37"/>
      <c r="F77" s="44">
        <v>105.0</v>
      </c>
      <c r="H77" s="45">
        <v>105.0</v>
      </c>
      <c r="J77" s="45">
        <v>0.0</v>
      </c>
      <c r="L77" s="66">
        <v>287.0</v>
      </c>
      <c r="N77" s="45">
        <v>287.0</v>
      </c>
      <c r="P77" s="67">
        <v>0.0</v>
      </c>
      <c r="R77" s="45">
        <v>0.0</v>
      </c>
      <c r="T77" s="67">
        <v>0.0</v>
      </c>
      <c r="V77" s="67">
        <v>0.0</v>
      </c>
      <c r="X77" s="45">
        <v>0.0</v>
      </c>
      <c r="Y77" s="27"/>
      <c r="Z77" s="44">
        <v>24.0</v>
      </c>
      <c r="AB77" s="45">
        <v>24.0</v>
      </c>
      <c r="AD77" s="45">
        <v>0.0</v>
      </c>
      <c r="AF77" s="24"/>
      <c r="AH77" s="24"/>
      <c r="AJ77" s="24"/>
      <c r="AK77" s="27"/>
      <c r="AL77" s="39">
        <f t="shared" si="1"/>
        <v>10814.5</v>
      </c>
      <c r="AM77" s="35">
        <f t="shared" si="2"/>
        <v>832</v>
      </c>
      <c r="AN77" s="35">
        <v>0.0</v>
      </c>
      <c r="AO77" s="35">
        <f t="shared" si="3"/>
        <v>832</v>
      </c>
      <c r="AP77" s="40">
        <f t="shared" si="4"/>
        <v>12.99819712</v>
      </c>
    </row>
    <row r="78" ht="15.75" customHeight="1">
      <c r="A78" s="32" t="s">
        <v>30</v>
      </c>
      <c r="B78" s="34">
        <f t="shared" si="5"/>
        <v>44638</v>
      </c>
      <c r="C78" s="35">
        <v>3.0</v>
      </c>
      <c r="D78" s="35" t="s">
        <v>33</v>
      </c>
      <c r="E78" s="37"/>
      <c r="F78" s="44">
        <v>105.0</v>
      </c>
      <c r="H78" s="45">
        <v>105.0</v>
      </c>
      <c r="J78" s="45">
        <v>0.0</v>
      </c>
      <c r="L78" s="66">
        <v>287.0</v>
      </c>
      <c r="N78" s="45">
        <v>287.0</v>
      </c>
      <c r="P78" s="67">
        <v>0.0</v>
      </c>
      <c r="R78" s="45">
        <v>0.0</v>
      </c>
      <c r="T78" s="67">
        <v>0.0</v>
      </c>
      <c r="V78" s="67">
        <v>0.0</v>
      </c>
      <c r="X78" s="45">
        <v>0.0</v>
      </c>
      <c r="Y78" s="27"/>
      <c r="Z78" s="44">
        <v>15.0</v>
      </c>
      <c r="AB78" s="45">
        <v>24.0</v>
      </c>
      <c r="AD78" s="45">
        <v>0.0</v>
      </c>
      <c r="AF78" s="24"/>
      <c r="AH78" s="24"/>
      <c r="AJ78" s="24"/>
      <c r="AK78" s="27"/>
      <c r="AL78" s="39">
        <f t="shared" si="1"/>
        <v>10712.35</v>
      </c>
      <c r="AM78" s="35">
        <f t="shared" si="2"/>
        <v>823</v>
      </c>
      <c r="AN78" s="35">
        <v>0.0</v>
      </c>
      <c r="AO78" s="35">
        <f t="shared" si="3"/>
        <v>823</v>
      </c>
      <c r="AP78" s="40">
        <f t="shared" si="4"/>
        <v>13.01622114</v>
      </c>
    </row>
    <row r="79" ht="15.75" customHeight="1">
      <c r="A79" s="48" t="s">
        <v>31</v>
      </c>
      <c r="B79" s="50">
        <f t="shared" si="5"/>
        <v>44639</v>
      </c>
      <c r="C79" s="51">
        <v>3.0</v>
      </c>
      <c r="D79" s="51" t="s">
        <v>33</v>
      </c>
      <c r="E79" s="53"/>
      <c r="F79" s="75">
        <v>105.0</v>
      </c>
      <c r="G79" s="56"/>
      <c r="H79" s="74">
        <v>105.0</v>
      </c>
      <c r="I79" s="56"/>
      <c r="J79" s="74">
        <v>0.0</v>
      </c>
      <c r="K79" s="56"/>
      <c r="L79" s="73">
        <v>287.0</v>
      </c>
      <c r="M79" s="56"/>
      <c r="N79" s="74">
        <v>287.0</v>
      </c>
      <c r="O79" s="56"/>
      <c r="P79" s="72">
        <v>0.0</v>
      </c>
      <c r="Q79" s="56"/>
      <c r="R79" s="74">
        <v>0.0</v>
      </c>
      <c r="S79" s="56"/>
      <c r="T79" s="74">
        <v>0.0</v>
      </c>
      <c r="U79" s="56"/>
      <c r="V79" s="74">
        <v>0.0</v>
      </c>
      <c r="W79" s="56"/>
      <c r="X79" s="74">
        <v>0.0</v>
      </c>
      <c r="Y79" s="60"/>
      <c r="Z79" s="75">
        <v>6.0</v>
      </c>
      <c r="AA79" s="56"/>
      <c r="AB79" s="74">
        <v>6.0</v>
      </c>
      <c r="AC79" s="56"/>
      <c r="AD79" s="74">
        <v>0.0</v>
      </c>
      <c r="AE79" s="56"/>
      <c r="AF79" s="57"/>
      <c r="AG79" s="56"/>
      <c r="AH79" s="57"/>
      <c r="AI79" s="56"/>
      <c r="AJ79" s="57"/>
      <c r="AK79" s="60"/>
      <c r="AL79" s="61">
        <f t="shared" si="1"/>
        <v>10405.9</v>
      </c>
      <c r="AM79" s="51">
        <f t="shared" si="2"/>
        <v>796</v>
      </c>
      <c r="AN79" s="51">
        <v>0.0</v>
      </c>
      <c r="AO79" s="51">
        <f t="shared" si="3"/>
        <v>796</v>
      </c>
      <c r="AP79" s="63">
        <f t="shared" si="4"/>
        <v>13.07273869</v>
      </c>
    </row>
    <row r="80" ht="15.75" customHeight="1">
      <c r="A80" s="18" t="s">
        <v>20</v>
      </c>
      <c r="B80" s="64">
        <f t="shared" si="5"/>
        <v>44640</v>
      </c>
      <c r="C80" s="20">
        <v>3.0</v>
      </c>
      <c r="D80" s="20" t="s">
        <v>34</v>
      </c>
      <c r="E80" s="22"/>
      <c r="F80" s="44">
        <v>105.0</v>
      </c>
      <c r="H80" s="45">
        <v>105.0</v>
      </c>
      <c r="J80" s="45">
        <v>0.0</v>
      </c>
      <c r="L80" s="46">
        <v>287.0</v>
      </c>
      <c r="M80" s="47"/>
      <c r="N80" s="49">
        <v>287.0</v>
      </c>
      <c r="O80" s="47"/>
      <c r="P80" s="49">
        <v>0.0</v>
      </c>
      <c r="Q80" s="47"/>
      <c r="R80" s="49">
        <v>0.0</v>
      </c>
      <c r="S80" s="47"/>
      <c r="T80" s="49">
        <v>1.0</v>
      </c>
      <c r="U80" s="47"/>
      <c r="V80" s="49">
        <v>1.0</v>
      </c>
      <c r="W80" s="47"/>
      <c r="X80" s="49">
        <v>0.0</v>
      </c>
      <c r="Y80" s="55"/>
      <c r="Z80" s="44">
        <v>23.0</v>
      </c>
      <c r="AB80" s="45">
        <v>23.0</v>
      </c>
      <c r="AD80" s="45">
        <v>0.0</v>
      </c>
      <c r="AF80" s="24"/>
      <c r="AH80" s="24"/>
      <c r="AJ80" s="24"/>
      <c r="AK80" s="27"/>
      <c r="AL80" s="28">
        <f t="shared" si="1"/>
        <v>11491.8</v>
      </c>
      <c r="AM80" s="20">
        <f t="shared" si="2"/>
        <v>832</v>
      </c>
      <c r="AN80" s="20">
        <v>0.0</v>
      </c>
      <c r="AO80" s="20">
        <f t="shared" si="3"/>
        <v>832</v>
      </c>
      <c r="AP80" s="31">
        <f t="shared" si="4"/>
        <v>13.81225962</v>
      </c>
    </row>
    <row r="81" ht="15.75" customHeight="1">
      <c r="A81" s="32" t="s">
        <v>22</v>
      </c>
      <c r="B81" s="34">
        <f t="shared" si="5"/>
        <v>44641</v>
      </c>
      <c r="C81" s="35">
        <v>3.0</v>
      </c>
      <c r="D81" s="35" t="s">
        <v>34</v>
      </c>
      <c r="E81" s="37"/>
      <c r="F81" s="44">
        <v>0.0</v>
      </c>
      <c r="H81" s="45">
        <v>0.0</v>
      </c>
      <c r="J81" s="45">
        <v>0.0</v>
      </c>
      <c r="L81" s="66">
        <v>0.0</v>
      </c>
      <c r="N81" s="45">
        <v>0.0</v>
      </c>
      <c r="P81" s="45">
        <v>0.0</v>
      </c>
      <c r="R81" s="45">
        <v>0.0</v>
      </c>
      <c r="T81" s="45">
        <v>0.0</v>
      </c>
      <c r="V81" s="45">
        <v>0.0</v>
      </c>
      <c r="X81" s="45">
        <v>0.0</v>
      </c>
      <c r="Y81" s="27"/>
      <c r="Z81" s="44">
        <v>40.0</v>
      </c>
      <c r="AB81" s="45">
        <v>40.0</v>
      </c>
      <c r="AD81" s="45">
        <v>0.0</v>
      </c>
      <c r="AF81" s="24"/>
      <c r="AH81" s="24"/>
      <c r="AJ81" s="24"/>
      <c r="AK81" s="27"/>
      <c r="AL81" s="39">
        <f t="shared" si="1"/>
        <v>908</v>
      </c>
      <c r="AM81" s="35">
        <f t="shared" si="2"/>
        <v>80</v>
      </c>
      <c r="AN81" s="35">
        <v>0.0</v>
      </c>
      <c r="AO81" s="35">
        <f t="shared" si="3"/>
        <v>80</v>
      </c>
      <c r="AP81" s="40">
        <f t="shared" si="4"/>
        <v>11.35</v>
      </c>
    </row>
    <row r="82" ht="15.75" customHeight="1">
      <c r="A82" s="32" t="s">
        <v>24</v>
      </c>
      <c r="B82" s="34">
        <f t="shared" si="5"/>
        <v>44642</v>
      </c>
      <c r="C82" s="35">
        <v>3.0</v>
      </c>
      <c r="D82" s="35" t="s">
        <v>34</v>
      </c>
      <c r="E82" s="37"/>
      <c r="F82" s="44">
        <v>0.0</v>
      </c>
      <c r="H82" s="45">
        <v>95.0</v>
      </c>
      <c r="J82" s="45">
        <v>95.0</v>
      </c>
      <c r="L82" s="66">
        <v>290.0</v>
      </c>
      <c r="N82" s="45">
        <v>290.0</v>
      </c>
      <c r="P82" s="67">
        <v>0.0</v>
      </c>
      <c r="R82" s="45">
        <v>0.0</v>
      </c>
      <c r="T82" s="67">
        <v>0.0</v>
      </c>
      <c r="V82" s="67">
        <v>0.0</v>
      </c>
      <c r="X82" s="45">
        <v>0.0</v>
      </c>
      <c r="Y82" s="27"/>
      <c r="Z82" s="44">
        <v>23.0</v>
      </c>
      <c r="AB82" s="45">
        <v>23.0</v>
      </c>
      <c r="AD82" s="45">
        <v>0.0</v>
      </c>
      <c r="AF82" s="24"/>
      <c r="AH82" s="24"/>
      <c r="AJ82" s="24"/>
      <c r="AK82" s="27"/>
      <c r="AL82" s="39">
        <f t="shared" si="1"/>
        <v>10502.3</v>
      </c>
      <c r="AM82" s="35">
        <f t="shared" si="2"/>
        <v>816</v>
      </c>
      <c r="AN82" s="35">
        <v>0.0</v>
      </c>
      <c r="AO82" s="35">
        <f t="shared" si="3"/>
        <v>816</v>
      </c>
      <c r="AP82" s="40">
        <f t="shared" si="4"/>
        <v>12.87046569</v>
      </c>
    </row>
    <row r="83" ht="15.75" customHeight="1">
      <c r="A83" s="32" t="s">
        <v>28</v>
      </c>
      <c r="B83" s="34">
        <f t="shared" si="5"/>
        <v>44643</v>
      </c>
      <c r="C83" s="35">
        <v>3.0</v>
      </c>
      <c r="D83" s="35" t="s">
        <v>34</v>
      </c>
      <c r="E83" s="37"/>
      <c r="F83" s="44">
        <v>0.0</v>
      </c>
      <c r="H83" s="45">
        <v>95.0</v>
      </c>
      <c r="J83" s="45">
        <v>95.0</v>
      </c>
      <c r="L83" s="66">
        <v>290.0</v>
      </c>
      <c r="N83" s="45">
        <v>290.0</v>
      </c>
      <c r="P83" s="67">
        <v>0.0</v>
      </c>
      <c r="R83" s="45">
        <v>0.0</v>
      </c>
      <c r="T83" s="67">
        <v>0.0</v>
      </c>
      <c r="V83" s="67">
        <v>0.0</v>
      </c>
      <c r="X83" s="45">
        <v>0.0</v>
      </c>
      <c r="Y83" s="27"/>
      <c r="Z83" s="44">
        <v>23.0</v>
      </c>
      <c r="AB83" s="45">
        <v>23.0</v>
      </c>
      <c r="AD83" s="45">
        <v>0.0</v>
      </c>
      <c r="AF83" s="24"/>
      <c r="AH83" s="24"/>
      <c r="AJ83" s="24"/>
      <c r="AK83" s="27"/>
      <c r="AL83" s="39">
        <f t="shared" si="1"/>
        <v>10502.3</v>
      </c>
      <c r="AM83" s="35">
        <f t="shared" si="2"/>
        <v>816</v>
      </c>
      <c r="AN83" s="35">
        <v>0.0</v>
      </c>
      <c r="AO83" s="35">
        <f t="shared" si="3"/>
        <v>816</v>
      </c>
      <c r="AP83" s="40">
        <f t="shared" si="4"/>
        <v>12.87046569</v>
      </c>
    </row>
    <row r="84" ht="15.75" customHeight="1">
      <c r="A84" s="32" t="s">
        <v>29</v>
      </c>
      <c r="B84" s="34">
        <f t="shared" si="5"/>
        <v>44644</v>
      </c>
      <c r="C84" s="35">
        <v>3.0</v>
      </c>
      <c r="D84" s="35" t="s">
        <v>34</v>
      </c>
      <c r="E84" s="37"/>
      <c r="F84" s="44">
        <v>95.0</v>
      </c>
      <c r="H84" s="45">
        <v>95.0</v>
      </c>
      <c r="J84" s="45">
        <v>0.0</v>
      </c>
      <c r="L84" s="66">
        <v>290.0</v>
      </c>
      <c r="N84" s="45">
        <v>290.0</v>
      </c>
      <c r="P84" s="67">
        <v>0.0</v>
      </c>
      <c r="R84" s="45">
        <v>0.0</v>
      </c>
      <c r="T84" s="67">
        <v>0.0</v>
      </c>
      <c r="V84" s="67">
        <v>0.0</v>
      </c>
      <c r="X84" s="45">
        <v>0.0</v>
      </c>
      <c r="Y84" s="27"/>
      <c r="Z84" s="44">
        <v>23.0</v>
      </c>
      <c r="AB84" s="45">
        <v>23.0</v>
      </c>
      <c r="AD84" s="45">
        <v>0.0</v>
      </c>
      <c r="AF84" s="24"/>
      <c r="AH84" s="24"/>
      <c r="AJ84" s="24"/>
      <c r="AK84" s="27"/>
      <c r="AL84" s="39">
        <f t="shared" si="1"/>
        <v>10502.3</v>
      </c>
      <c r="AM84" s="35">
        <f t="shared" si="2"/>
        <v>816</v>
      </c>
      <c r="AN84" s="35">
        <v>0.0</v>
      </c>
      <c r="AO84" s="35">
        <f t="shared" si="3"/>
        <v>816</v>
      </c>
      <c r="AP84" s="40">
        <f t="shared" si="4"/>
        <v>12.87046569</v>
      </c>
    </row>
    <row r="85" ht="15.75" customHeight="1">
      <c r="A85" s="32" t="s">
        <v>30</v>
      </c>
      <c r="B85" s="34">
        <f t="shared" si="5"/>
        <v>44645</v>
      </c>
      <c r="C85" s="35">
        <v>3.0</v>
      </c>
      <c r="D85" s="35" t="s">
        <v>34</v>
      </c>
      <c r="E85" s="37"/>
      <c r="F85" s="44">
        <v>0.0</v>
      </c>
      <c r="H85" s="45">
        <v>95.0</v>
      </c>
      <c r="J85" s="45">
        <v>95.0</v>
      </c>
      <c r="L85" s="66">
        <v>290.0</v>
      </c>
      <c r="N85" s="45">
        <v>290.0</v>
      </c>
      <c r="P85" s="67">
        <v>0.0</v>
      </c>
      <c r="R85" s="45">
        <v>0.0</v>
      </c>
      <c r="T85" s="67">
        <v>0.0</v>
      </c>
      <c r="V85" s="67">
        <v>0.0</v>
      </c>
      <c r="X85" s="45">
        <v>0.0</v>
      </c>
      <c r="Y85" s="27"/>
      <c r="Z85" s="44">
        <v>23.0</v>
      </c>
      <c r="AB85" s="45">
        <v>23.0</v>
      </c>
      <c r="AD85" s="45">
        <v>0.0</v>
      </c>
      <c r="AF85" s="24"/>
      <c r="AH85" s="24"/>
      <c r="AJ85" s="24"/>
      <c r="AK85" s="27"/>
      <c r="AL85" s="39">
        <f t="shared" si="1"/>
        <v>10502.3</v>
      </c>
      <c r="AM85" s="35">
        <f t="shared" si="2"/>
        <v>816</v>
      </c>
      <c r="AN85" s="35">
        <v>0.0</v>
      </c>
      <c r="AO85" s="35">
        <f t="shared" si="3"/>
        <v>816</v>
      </c>
      <c r="AP85" s="40">
        <f t="shared" si="4"/>
        <v>12.87046569</v>
      </c>
    </row>
    <row r="86" ht="15.75" customHeight="1">
      <c r="A86" s="48" t="s">
        <v>31</v>
      </c>
      <c r="B86" s="50">
        <f t="shared" si="5"/>
        <v>44646</v>
      </c>
      <c r="C86" s="51">
        <v>3.0</v>
      </c>
      <c r="D86" s="51" t="s">
        <v>34</v>
      </c>
      <c r="E86" s="53"/>
      <c r="F86" s="75">
        <v>95.0</v>
      </c>
      <c r="G86" s="56"/>
      <c r="H86" s="74">
        <v>65.0</v>
      </c>
      <c r="I86" s="56"/>
      <c r="J86" s="74">
        <v>95.0</v>
      </c>
      <c r="K86" s="56"/>
      <c r="L86" s="73">
        <v>290.0</v>
      </c>
      <c r="M86" s="56"/>
      <c r="N86" s="74">
        <v>290.0</v>
      </c>
      <c r="O86" s="56"/>
      <c r="P86" s="72">
        <v>0.0</v>
      </c>
      <c r="Q86" s="56"/>
      <c r="R86" s="74">
        <v>0.0</v>
      </c>
      <c r="S86" s="56"/>
      <c r="T86" s="74">
        <v>0.0</v>
      </c>
      <c r="U86" s="56"/>
      <c r="V86" s="74">
        <v>0.0</v>
      </c>
      <c r="W86" s="56"/>
      <c r="X86" s="74">
        <v>0.0</v>
      </c>
      <c r="Y86" s="60"/>
      <c r="Z86" s="75">
        <v>2.0</v>
      </c>
      <c r="AA86" s="56"/>
      <c r="AB86" s="74">
        <v>2.0</v>
      </c>
      <c r="AC86" s="56"/>
      <c r="AD86" s="74">
        <v>0.0</v>
      </c>
      <c r="AE86" s="56"/>
      <c r="AF86" s="57"/>
      <c r="AG86" s="56"/>
      <c r="AH86" s="57"/>
      <c r="AI86" s="56"/>
      <c r="AJ86" s="57"/>
      <c r="AK86" s="60"/>
      <c r="AL86" s="61">
        <f t="shared" si="1"/>
        <v>11187.8</v>
      </c>
      <c r="AM86" s="51">
        <f t="shared" si="2"/>
        <v>839</v>
      </c>
      <c r="AN86" s="51">
        <v>0.0</v>
      </c>
      <c r="AO86" s="51">
        <f t="shared" si="3"/>
        <v>839</v>
      </c>
      <c r="AP86" s="63">
        <f t="shared" si="4"/>
        <v>13.33468415</v>
      </c>
    </row>
    <row r="87" ht="15.75" customHeight="1">
      <c r="A87" s="18" t="s">
        <v>20</v>
      </c>
      <c r="B87" s="64">
        <f t="shared" si="5"/>
        <v>44647</v>
      </c>
      <c r="C87" s="20">
        <v>4.0</v>
      </c>
      <c r="D87" s="20" t="s">
        <v>21</v>
      </c>
      <c r="E87" s="22"/>
      <c r="F87" s="44">
        <v>0.0</v>
      </c>
      <c r="H87" s="45">
        <v>0.0</v>
      </c>
      <c r="J87" s="45">
        <v>0.0</v>
      </c>
      <c r="L87" s="46">
        <v>290.0</v>
      </c>
      <c r="M87" s="47"/>
      <c r="N87" s="49">
        <v>290.0</v>
      </c>
      <c r="O87" s="47"/>
      <c r="P87" s="49">
        <v>0.0</v>
      </c>
      <c r="Q87" s="47"/>
      <c r="R87" s="49">
        <v>0.0</v>
      </c>
      <c r="S87" s="47"/>
      <c r="T87" s="49">
        <v>1.0</v>
      </c>
      <c r="U87" s="47"/>
      <c r="V87" s="49">
        <v>1.0</v>
      </c>
      <c r="W87" s="47"/>
      <c r="X87" s="49">
        <v>0.0</v>
      </c>
      <c r="Y87" s="55"/>
      <c r="Z87" s="44">
        <v>25.0</v>
      </c>
      <c r="AB87" s="45">
        <v>25.0</v>
      </c>
      <c r="AD87" s="45">
        <v>0.0</v>
      </c>
      <c r="AF87" s="24"/>
      <c r="AH87" s="24"/>
      <c r="AJ87" s="24"/>
      <c r="AK87" s="27"/>
      <c r="AL87" s="28">
        <f t="shared" si="1"/>
        <v>7850.5</v>
      </c>
      <c r="AM87" s="20">
        <f t="shared" si="2"/>
        <v>632</v>
      </c>
      <c r="AN87" s="20">
        <v>0.0</v>
      </c>
      <c r="AO87" s="20">
        <f t="shared" si="3"/>
        <v>632</v>
      </c>
      <c r="AP87" s="31">
        <f t="shared" si="4"/>
        <v>12.42167722</v>
      </c>
    </row>
    <row r="88" ht="15.75" customHeight="1">
      <c r="A88" s="32" t="s">
        <v>22</v>
      </c>
      <c r="B88" s="34">
        <f t="shared" si="5"/>
        <v>44648</v>
      </c>
      <c r="C88" s="35">
        <v>4.0</v>
      </c>
      <c r="D88" s="35" t="s">
        <v>21</v>
      </c>
      <c r="E88" s="37"/>
      <c r="F88" s="44">
        <v>0.0</v>
      </c>
      <c r="H88" s="45">
        <v>0.0</v>
      </c>
      <c r="J88" s="45">
        <v>0.0</v>
      </c>
      <c r="L88" s="66">
        <v>240.0</v>
      </c>
      <c r="N88" s="45">
        <v>240.0</v>
      </c>
      <c r="P88" s="45">
        <v>0.0</v>
      </c>
      <c r="R88" s="45">
        <v>0.0</v>
      </c>
      <c r="T88" s="45">
        <v>0.0</v>
      </c>
      <c r="V88" s="45">
        <v>0.0</v>
      </c>
      <c r="X88" s="45">
        <v>0.0</v>
      </c>
      <c r="Y88" s="27"/>
      <c r="Z88" s="44">
        <v>30.0</v>
      </c>
      <c r="AB88" s="45">
        <v>30.0</v>
      </c>
      <c r="AD88" s="45">
        <v>0.0</v>
      </c>
      <c r="AF88" s="24"/>
      <c r="AH88" s="24"/>
      <c r="AJ88" s="24"/>
      <c r="AK88" s="27"/>
      <c r="AL88" s="39">
        <f t="shared" si="1"/>
        <v>6129</v>
      </c>
      <c r="AM88" s="35">
        <f t="shared" si="2"/>
        <v>540</v>
      </c>
      <c r="AN88" s="35">
        <v>0.0</v>
      </c>
      <c r="AO88" s="35">
        <f t="shared" si="3"/>
        <v>540</v>
      </c>
      <c r="AP88" s="40">
        <f t="shared" si="4"/>
        <v>11.35</v>
      </c>
    </row>
    <row r="89" ht="15.75" customHeight="1">
      <c r="A89" s="32" t="s">
        <v>24</v>
      </c>
      <c r="B89" s="34">
        <f t="shared" si="5"/>
        <v>44649</v>
      </c>
      <c r="C89" s="35">
        <v>4.0</v>
      </c>
      <c r="D89" s="35" t="s">
        <v>21</v>
      </c>
      <c r="E89" s="37"/>
      <c r="F89" s="44">
        <v>0.0</v>
      </c>
      <c r="H89" s="45">
        <v>0.0</v>
      </c>
      <c r="J89" s="45">
        <v>0.0</v>
      </c>
      <c r="L89" s="66">
        <v>240.0</v>
      </c>
      <c r="N89" s="45">
        <v>240.0</v>
      </c>
      <c r="P89" s="67">
        <v>0.0</v>
      </c>
      <c r="R89" s="45">
        <v>0.0</v>
      </c>
      <c r="T89" s="67">
        <v>0.0</v>
      </c>
      <c r="V89" s="67">
        <v>0.0</v>
      </c>
      <c r="X89" s="45">
        <v>0.0</v>
      </c>
      <c r="Y89" s="27"/>
      <c r="Z89" s="44">
        <v>30.0</v>
      </c>
      <c r="AB89" s="45">
        <v>30.0</v>
      </c>
      <c r="AD89" s="45">
        <v>0.0</v>
      </c>
      <c r="AF89" s="24"/>
      <c r="AH89" s="24"/>
      <c r="AJ89" s="24"/>
      <c r="AK89" s="27"/>
      <c r="AL89" s="39">
        <f t="shared" si="1"/>
        <v>6129</v>
      </c>
      <c r="AM89" s="35">
        <f t="shared" si="2"/>
        <v>540</v>
      </c>
      <c r="AN89" s="35">
        <v>0.0</v>
      </c>
      <c r="AO89" s="35">
        <f t="shared" si="3"/>
        <v>540</v>
      </c>
      <c r="AP89" s="40">
        <f t="shared" si="4"/>
        <v>11.35</v>
      </c>
    </row>
    <row r="90" ht="15.75" customHeight="1">
      <c r="A90" s="32" t="s">
        <v>28</v>
      </c>
      <c r="B90" s="34">
        <f t="shared" si="5"/>
        <v>44650</v>
      </c>
      <c r="C90" s="35">
        <v>4.0</v>
      </c>
      <c r="D90" s="35" t="s">
        <v>21</v>
      </c>
      <c r="E90" s="37"/>
      <c r="F90" s="44">
        <v>0.0</v>
      </c>
      <c r="H90" s="45">
        <v>0.0</v>
      </c>
      <c r="J90" s="45">
        <v>0.0</v>
      </c>
      <c r="L90" s="66">
        <v>240.0</v>
      </c>
      <c r="N90" s="45">
        <v>240.0</v>
      </c>
      <c r="P90" s="67">
        <v>0.0</v>
      </c>
      <c r="R90" s="45">
        <v>0.0</v>
      </c>
      <c r="T90" s="67">
        <v>0.0</v>
      </c>
      <c r="V90" s="67">
        <v>0.0</v>
      </c>
      <c r="X90" s="45">
        <v>0.0</v>
      </c>
      <c r="Y90" s="27"/>
      <c r="Z90" s="44">
        <v>30.0</v>
      </c>
      <c r="AB90" s="45">
        <v>30.0</v>
      </c>
      <c r="AD90" s="45">
        <v>0.0</v>
      </c>
      <c r="AF90" s="24"/>
      <c r="AH90" s="24"/>
      <c r="AJ90" s="24"/>
      <c r="AK90" s="27"/>
      <c r="AL90" s="39">
        <f t="shared" si="1"/>
        <v>6129</v>
      </c>
      <c r="AM90" s="35">
        <f t="shared" si="2"/>
        <v>540</v>
      </c>
      <c r="AN90" s="35">
        <v>0.0</v>
      </c>
      <c r="AO90" s="35">
        <f t="shared" si="3"/>
        <v>540</v>
      </c>
      <c r="AP90" s="40">
        <f t="shared" si="4"/>
        <v>11.35</v>
      </c>
    </row>
    <row r="91" ht="15.75" customHeight="1">
      <c r="A91" s="32" t="s">
        <v>29</v>
      </c>
      <c r="B91" s="34">
        <f t="shared" si="5"/>
        <v>44651</v>
      </c>
      <c r="C91" s="35">
        <v>4.0</v>
      </c>
      <c r="D91" s="35" t="s">
        <v>21</v>
      </c>
      <c r="E91" s="37"/>
      <c r="F91" s="44">
        <v>0.0</v>
      </c>
      <c r="H91" s="45">
        <v>0.0</v>
      </c>
      <c r="J91" s="45">
        <v>0.0</v>
      </c>
      <c r="L91" s="66">
        <v>240.0</v>
      </c>
      <c r="N91" s="45">
        <v>240.0</v>
      </c>
      <c r="P91" s="67">
        <v>0.0</v>
      </c>
      <c r="R91" s="45">
        <v>0.0</v>
      </c>
      <c r="T91" s="67">
        <v>0.0</v>
      </c>
      <c r="V91" s="67">
        <v>0.0</v>
      </c>
      <c r="X91" s="45">
        <v>0.0</v>
      </c>
      <c r="Y91" s="27"/>
      <c r="Z91" s="44">
        <v>30.0</v>
      </c>
      <c r="AB91" s="45">
        <v>30.0</v>
      </c>
      <c r="AD91" s="45">
        <v>0.0</v>
      </c>
      <c r="AF91" s="24"/>
      <c r="AH91" s="24"/>
      <c r="AJ91" s="24"/>
      <c r="AK91" s="27"/>
      <c r="AL91" s="39">
        <f t="shared" si="1"/>
        <v>6129</v>
      </c>
      <c r="AM91" s="35">
        <f t="shared" si="2"/>
        <v>540</v>
      </c>
      <c r="AN91" s="35">
        <v>0.0</v>
      </c>
      <c r="AO91" s="35">
        <f t="shared" si="3"/>
        <v>540</v>
      </c>
      <c r="AP91" s="40">
        <f t="shared" si="4"/>
        <v>11.35</v>
      </c>
    </row>
    <row r="92" ht="15.75" customHeight="1">
      <c r="A92" s="32" t="s">
        <v>30</v>
      </c>
      <c r="B92" s="34">
        <f t="shared" si="5"/>
        <v>44652</v>
      </c>
      <c r="C92" s="35">
        <v>4.0</v>
      </c>
      <c r="D92" s="35" t="s">
        <v>21</v>
      </c>
      <c r="E92" s="37"/>
      <c r="F92" s="44">
        <v>0.0</v>
      </c>
      <c r="H92" s="45">
        <v>0.0</v>
      </c>
      <c r="J92" s="45">
        <v>0.0</v>
      </c>
      <c r="L92" s="66">
        <v>240.0</v>
      </c>
      <c r="N92" s="45">
        <v>240.0</v>
      </c>
      <c r="P92" s="67">
        <v>0.0</v>
      </c>
      <c r="R92" s="45">
        <v>0.0</v>
      </c>
      <c r="T92" s="67">
        <v>0.0</v>
      </c>
      <c r="V92" s="67">
        <v>0.0</v>
      </c>
      <c r="X92" s="45">
        <v>0.0</v>
      </c>
      <c r="Y92" s="27"/>
      <c r="Z92" s="44">
        <v>30.0</v>
      </c>
      <c r="AB92" s="45">
        <v>22.0</v>
      </c>
      <c r="AD92" s="45">
        <v>0.0</v>
      </c>
      <c r="AF92" s="24"/>
      <c r="AH92" s="24"/>
      <c r="AJ92" s="24"/>
      <c r="AK92" s="27"/>
      <c r="AL92" s="39">
        <f t="shared" si="1"/>
        <v>6038.2</v>
      </c>
      <c r="AM92" s="35">
        <f t="shared" si="2"/>
        <v>532</v>
      </c>
      <c r="AN92" s="35">
        <v>0.0</v>
      </c>
      <c r="AO92" s="35">
        <f t="shared" si="3"/>
        <v>532</v>
      </c>
      <c r="AP92" s="40">
        <f t="shared" si="4"/>
        <v>11.35</v>
      </c>
    </row>
    <row r="93" ht="15.75" customHeight="1">
      <c r="A93" s="48" t="s">
        <v>31</v>
      </c>
      <c r="B93" s="50">
        <f t="shared" si="5"/>
        <v>44653</v>
      </c>
      <c r="C93" s="51">
        <v>4.0</v>
      </c>
      <c r="D93" s="51" t="s">
        <v>21</v>
      </c>
      <c r="E93" s="53"/>
      <c r="F93" s="75">
        <v>0.0</v>
      </c>
      <c r="G93" s="56"/>
      <c r="H93" s="74">
        <v>0.0</v>
      </c>
      <c r="I93" s="56"/>
      <c r="J93" s="74">
        <v>0.0</v>
      </c>
      <c r="K93" s="56"/>
      <c r="L93" s="73">
        <v>240.0</v>
      </c>
      <c r="M93" s="56"/>
      <c r="N93" s="74">
        <v>240.0</v>
      </c>
      <c r="O93" s="56"/>
      <c r="P93" s="72">
        <v>0.0</v>
      </c>
      <c r="Q93" s="56"/>
      <c r="R93" s="74">
        <v>0.0</v>
      </c>
      <c r="S93" s="56"/>
      <c r="T93" s="74">
        <v>0.0</v>
      </c>
      <c r="U93" s="56"/>
      <c r="V93" s="74">
        <v>0.0</v>
      </c>
      <c r="W93" s="56"/>
      <c r="X93" s="74">
        <v>0.0</v>
      </c>
      <c r="Y93" s="60"/>
      <c r="Z93" s="75">
        <v>8.0</v>
      </c>
      <c r="AA93" s="56"/>
      <c r="AB93" s="74">
        <v>8.0</v>
      </c>
      <c r="AC93" s="56"/>
      <c r="AD93" s="74">
        <v>0.0</v>
      </c>
      <c r="AE93" s="56"/>
      <c r="AF93" s="57"/>
      <c r="AG93" s="56"/>
      <c r="AH93" s="57"/>
      <c r="AI93" s="56"/>
      <c r="AJ93" s="57"/>
      <c r="AK93" s="60"/>
      <c r="AL93" s="61">
        <f t="shared" si="1"/>
        <v>5629.6</v>
      </c>
      <c r="AM93" s="51">
        <f t="shared" si="2"/>
        <v>496</v>
      </c>
      <c r="AN93" s="51">
        <v>0.0</v>
      </c>
      <c r="AO93" s="51">
        <f t="shared" si="3"/>
        <v>496</v>
      </c>
      <c r="AP93" s="63">
        <f t="shared" si="4"/>
        <v>11.35</v>
      </c>
    </row>
    <row r="94" ht="15.75" customHeight="1">
      <c r="A94" s="18" t="s">
        <v>20</v>
      </c>
      <c r="B94" s="64">
        <f t="shared" si="5"/>
        <v>44654</v>
      </c>
      <c r="C94" s="20">
        <v>4.0</v>
      </c>
      <c r="D94" s="20" t="s">
        <v>32</v>
      </c>
      <c r="E94" s="22"/>
      <c r="F94" s="44">
        <v>0.0</v>
      </c>
      <c r="H94" s="45">
        <v>0.0</v>
      </c>
      <c r="J94" s="45">
        <v>0.0</v>
      </c>
      <c r="L94" s="46">
        <v>240.0</v>
      </c>
      <c r="M94" s="47"/>
      <c r="N94" s="49">
        <v>240.0</v>
      </c>
      <c r="O94" s="47"/>
      <c r="P94" s="49">
        <v>0.0</v>
      </c>
      <c r="Q94" s="47"/>
      <c r="R94" s="49">
        <v>0.0</v>
      </c>
      <c r="S94" s="47"/>
      <c r="T94" s="49">
        <v>1.0</v>
      </c>
      <c r="U94" s="47"/>
      <c r="V94" s="49">
        <v>1.0</v>
      </c>
      <c r="W94" s="47"/>
      <c r="X94" s="49">
        <v>0.0</v>
      </c>
      <c r="Y94" s="55"/>
      <c r="Z94" s="44">
        <v>29.0</v>
      </c>
      <c r="AB94" s="45">
        <v>29.0</v>
      </c>
      <c r="AD94" s="45">
        <v>0.0</v>
      </c>
      <c r="AF94" s="24"/>
      <c r="AH94" s="24"/>
      <c r="AJ94" s="24"/>
      <c r="AK94" s="27"/>
      <c r="AL94" s="28">
        <f t="shared" si="1"/>
        <v>6806.3</v>
      </c>
      <c r="AM94" s="20">
        <f t="shared" si="2"/>
        <v>540</v>
      </c>
      <c r="AN94" s="20">
        <v>0.0</v>
      </c>
      <c r="AO94" s="20">
        <f t="shared" si="3"/>
        <v>540</v>
      </c>
      <c r="AP94" s="31">
        <f t="shared" si="4"/>
        <v>12.60425926</v>
      </c>
    </row>
    <row r="95" ht="15.75" customHeight="1">
      <c r="A95" s="32" t="s">
        <v>22</v>
      </c>
      <c r="B95" s="34">
        <f t="shared" si="5"/>
        <v>44655</v>
      </c>
      <c r="C95" s="35">
        <v>4.0</v>
      </c>
      <c r="D95" s="35" t="s">
        <v>32</v>
      </c>
      <c r="E95" s="37"/>
      <c r="F95" s="44">
        <v>0.0</v>
      </c>
      <c r="H95" s="45">
        <v>0.0</v>
      </c>
      <c r="J95" s="45">
        <v>0.0</v>
      </c>
      <c r="L95" s="66">
        <v>220.0</v>
      </c>
      <c r="N95" s="45">
        <v>220.0</v>
      </c>
      <c r="P95" s="45">
        <v>0.0</v>
      </c>
      <c r="R95" s="45">
        <v>0.0</v>
      </c>
      <c r="T95" s="45">
        <v>0.0</v>
      </c>
      <c r="V95" s="45">
        <v>0.0</v>
      </c>
      <c r="X95" s="45">
        <v>0.0</v>
      </c>
      <c r="Y95" s="27"/>
      <c r="Z95" s="44">
        <v>26.0</v>
      </c>
      <c r="AB95" s="45">
        <v>26.0</v>
      </c>
      <c r="AD95" s="45">
        <v>0.0</v>
      </c>
      <c r="AF95" s="24"/>
      <c r="AH95" s="24"/>
      <c r="AJ95" s="24"/>
      <c r="AK95" s="27"/>
      <c r="AL95" s="39">
        <f t="shared" si="1"/>
        <v>5584.2</v>
      </c>
      <c r="AM95" s="35">
        <f t="shared" si="2"/>
        <v>492</v>
      </c>
      <c r="AN95" s="35">
        <v>0.0</v>
      </c>
      <c r="AO95" s="35">
        <f t="shared" si="3"/>
        <v>492</v>
      </c>
      <c r="AP95" s="40">
        <f t="shared" si="4"/>
        <v>11.35</v>
      </c>
    </row>
    <row r="96" ht="15.75" customHeight="1">
      <c r="A96" s="32" t="s">
        <v>24</v>
      </c>
      <c r="B96" s="34">
        <f t="shared" si="5"/>
        <v>44656</v>
      </c>
      <c r="C96" s="35">
        <v>4.0</v>
      </c>
      <c r="D96" s="35" t="s">
        <v>32</v>
      </c>
      <c r="E96" s="37"/>
      <c r="F96" s="44">
        <v>0.0</v>
      </c>
      <c r="H96" s="45">
        <v>0.0</v>
      </c>
      <c r="J96" s="45">
        <v>0.0</v>
      </c>
      <c r="L96" s="66">
        <v>0.0</v>
      </c>
      <c r="N96" s="45">
        <v>0.0</v>
      </c>
      <c r="P96" s="67">
        <v>0.0</v>
      </c>
      <c r="R96" s="45">
        <v>0.0</v>
      </c>
      <c r="T96" s="67">
        <v>0.0</v>
      </c>
      <c r="V96" s="67">
        <v>0.0</v>
      </c>
      <c r="X96" s="45">
        <v>0.0</v>
      </c>
      <c r="Y96" s="27"/>
      <c r="Z96" s="44">
        <v>0.0</v>
      </c>
      <c r="AB96" s="45">
        <v>0.0</v>
      </c>
      <c r="AD96" s="45">
        <v>0.0</v>
      </c>
      <c r="AF96" s="24"/>
      <c r="AH96" s="24"/>
      <c r="AJ96" s="24"/>
      <c r="AK96" s="27"/>
      <c r="AL96" s="39">
        <f t="shared" si="1"/>
        <v>0</v>
      </c>
      <c r="AM96" s="35">
        <f t="shared" si="2"/>
        <v>0</v>
      </c>
      <c r="AN96" s="35">
        <v>0.0</v>
      </c>
      <c r="AO96" s="35">
        <f t="shared" si="3"/>
        <v>0</v>
      </c>
      <c r="AP96" s="40" t="str">
        <f t="shared" si="4"/>
        <v/>
      </c>
    </row>
    <row r="97" ht="15.75" customHeight="1">
      <c r="A97" s="32" t="s">
        <v>28</v>
      </c>
      <c r="B97" s="34">
        <f t="shared" si="5"/>
        <v>44657</v>
      </c>
      <c r="C97" s="35">
        <v>4.0</v>
      </c>
      <c r="D97" s="35" t="s">
        <v>32</v>
      </c>
      <c r="E97" s="37"/>
      <c r="F97" s="44">
        <v>0.0</v>
      </c>
      <c r="H97" s="45">
        <v>0.0</v>
      </c>
      <c r="J97" s="45">
        <v>0.0</v>
      </c>
      <c r="L97" s="66">
        <v>70.0</v>
      </c>
      <c r="N97" s="45">
        <v>70.0</v>
      </c>
      <c r="P97" s="67">
        <v>0.0</v>
      </c>
      <c r="R97" s="45">
        <v>0.0</v>
      </c>
      <c r="T97" s="67">
        <v>0.0</v>
      </c>
      <c r="V97" s="67">
        <v>0.0</v>
      </c>
      <c r="X97" s="45">
        <v>0.0</v>
      </c>
      <c r="Y97" s="27"/>
      <c r="Z97" s="44">
        <v>21.0</v>
      </c>
      <c r="AB97" s="45">
        <v>21.0</v>
      </c>
      <c r="AD97" s="45">
        <v>0.0</v>
      </c>
      <c r="AF97" s="24"/>
      <c r="AH97" s="24"/>
      <c r="AJ97" s="24"/>
      <c r="AK97" s="27"/>
      <c r="AL97" s="39">
        <f t="shared" si="1"/>
        <v>2065.7</v>
      </c>
      <c r="AM97" s="35">
        <f t="shared" si="2"/>
        <v>182</v>
      </c>
      <c r="AN97" s="35">
        <v>0.0</v>
      </c>
      <c r="AO97" s="35">
        <f t="shared" si="3"/>
        <v>182</v>
      </c>
      <c r="AP97" s="40">
        <f t="shared" si="4"/>
        <v>11.35</v>
      </c>
    </row>
    <row r="98" ht="15.75" customHeight="1">
      <c r="A98" s="32" t="s">
        <v>29</v>
      </c>
      <c r="B98" s="34">
        <f t="shared" si="5"/>
        <v>44658</v>
      </c>
      <c r="C98" s="35">
        <v>4.0</v>
      </c>
      <c r="D98" s="35" t="s">
        <v>32</v>
      </c>
      <c r="E98" s="37"/>
      <c r="F98" s="44">
        <v>0.0</v>
      </c>
      <c r="H98" s="45">
        <v>0.0</v>
      </c>
      <c r="J98" s="45">
        <v>0.0</v>
      </c>
      <c r="L98" s="66">
        <v>70.0</v>
      </c>
      <c r="N98" s="45">
        <v>70.0</v>
      </c>
      <c r="P98" s="67">
        <v>0.0</v>
      </c>
      <c r="R98" s="45">
        <v>0.0</v>
      </c>
      <c r="T98" s="67">
        <v>0.0</v>
      </c>
      <c r="V98" s="67">
        <v>0.0</v>
      </c>
      <c r="X98" s="45">
        <v>0.0</v>
      </c>
      <c r="Y98" s="27"/>
      <c r="Z98" s="44">
        <v>21.0</v>
      </c>
      <c r="AB98" s="45">
        <v>21.0</v>
      </c>
      <c r="AD98" s="45">
        <v>0.0</v>
      </c>
      <c r="AF98" s="24"/>
      <c r="AH98" s="24"/>
      <c r="AJ98" s="24"/>
      <c r="AK98" s="27"/>
      <c r="AL98" s="39">
        <f t="shared" si="1"/>
        <v>2065.7</v>
      </c>
      <c r="AM98" s="35">
        <f t="shared" si="2"/>
        <v>182</v>
      </c>
      <c r="AN98" s="35">
        <v>0.0</v>
      </c>
      <c r="AO98" s="35">
        <f t="shared" si="3"/>
        <v>182</v>
      </c>
      <c r="AP98" s="40">
        <f t="shared" si="4"/>
        <v>11.35</v>
      </c>
    </row>
    <row r="99" ht="15.75" customHeight="1">
      <c r="A99" s="32" t="s">
        <v>30</v>
      </c>
      <c r="B99" s="34">
        <f t="shared" si="5"/>
        <v>44659</v>
      </c>
      <c r="C99" s="35">
        <v>4.0</v>
      </c>
      <c r="D99" s="35" t="s">
        <v>32</v>
      </c>
      <c r="E99" s="37"/>
      <c r="F99" s="44">
        <v>0.0</v>
      </c>
      <c r="H99" s="45">
        <v>0.0</v>
      </c>
      <c r="J99" s="45">
        <v>0.0</v>
      </c>
      <c r="L99" s="66">
        <v>77.0</v>
      </c>
      <c r="N99" s="45">
        <v>77.0</v>
      </c>
      <c r="P99" s="67">
        <v>0.0</v>
      </c>
      <c r="R99" s="45">
        <v>0.0</v>
      </c>
      <c r="T99" s="67">
        <v>0.0</v>
      </c>
      <c r="V99" s="67">
        <v>0.0</v>
      </c>
      <c r="X99" s="45">
        <v>0.0</v>
      </c>
      <c r="Y99" s="27"/>
      <c r="Z99" s="44">
        <v>22.0</v>
      </c>
      <c r="AB99" s="45">
        <v>22.0</v>
      </c>
      <c r="AD99" s="45">
        <v>0.0</v>
      </c>
      <c r="AF99" s="24"/>
      <c r="AH99" s="24"/>
      <c r="AJ99" s="24"/>
      <c r="AK99" s="27"/>
      <c r="AL99" s="39">
        <f t="shared" si="1"/>
        <v>2247.3</v>
      </c>
      <c r="AM99" s="35">
        <f t="shared" si="2"/>
        <v>198</v>
      </c>
      <c r="AN99" s="35">
        <v>0.0</v>
      </c>
      <c r="AO99" s="35">
        <f t="shared" si="3"/>
        <v>198</v>
      </c>
      <c r="AP99" s="40">
        <f t="shared" si="4"/>
        <v>11.35</v>
      </c>
    </row>
    <row r="100" ht="15.75" customHeight="1">
      <c r="A100" s="48" t="s">
        <v>31</v>
      </c>
      <c r="B100" s="50">
        <f t="shared" si="5"/>
        <v>44660</v>
      </c>
      <c r="C100" s="51">
        <v>4.0</v>
      </c>
      <c r="D100" s="51" t="s">
        <v>32</v>
      </c>
      <c r="E100" s="53"/>
      <c r="F100" s="75">
        <v>0.0</v>
      </c>
      <c r="G100" s="56"/>
      <c r="H100" s="74">
        <v>0.0</v>
      </c>
      <c r="I100" s="56"/>
      <c r="J100" s="74">
        <v>0.0</v>
      </c>
      <c r="K100" s="56"/>
      <c r="L100" s="73">
        <v>0.0</v>
      </c>
      <c r="M100" s="56"/>
      <c r="N100" s="74">
        <v>0.0</v>
      </c>
      <c r="O100" s="56"/>
      <c r="P100" s="72">
        <v>0.0</v>
      </c>
      <c r="Q100" s="56"/>
      <c r="R100" s="74">
        <v>0.0</v>
      </c>
      <c r="S100" s="56"/>
      <c r="T100" s="74">
        <v>0.0</v>
      </c>
      <c r="U100" s="56"/>
      <c r="V100" s="74">
        <v>0.0</v>
      </c>
      <c r="W100" s="56"/>
      <c r="X100" s="74">
        <v>0.0</v>
      </c>
      <c r="Y100" s="60"/>
      <c r="Z100" s="75">
        <v>0.0</v>
      </c>
      <c r="AA100" s="56"/>
      <c r="AB100" s="74">
        <v>0.0</v>
      </c>
      <c r="AC100" s="56"/>
      <c r="AD100" s="74">
        <v>0.0</v>
      </c>
      <c r="AE100" s="56"/>
      <c r="AF100" s="57"/>
      <c r="AG100" s="56"/>
      <c r="AH100" s="57"/>
      <c r="AI100" s="56"/>
      <c r="AJ100" s="57"/>
      <c r="AK100" s="60"/>
      <c r="AL100" s="61">
        <f t="shared" si="1"/>
        <v>0</v>
      </c>
      <c r="AM100" s="51">
        <f t="shared" si="2"/>
        <v>0</v>
      </c>
      <c r="AN100" s="51">
        <v>0.0</v>
      </c>
      <c r="AO100" s="51">
        <f t="shared" si="3"/>
        <v>0</v>
      </c>
      <c r="AP100" s="63" t="str">
        <f t="shared" si="4"/>
        <v/>
      </c>
    </row>
    <row r="101" ht="15.75" customHeight="1">
      <c r="A101" s="18" t="s">
        <v>20</v>
      </c>
      <c r="B101" s="64">
        <f t="shared" si="5"/>
        <v>44661</v>
      </c>
      <c r="C101" s="20">
        <v>4.0</v>
      </c>
      <c r="D101" s="20" t="s">
        <v>33</v>
      </c>
      <c r="E101" s="22"/>
      <c r="F101" s="44">
        <v>0.0</v>
      </c>
      <c r="H101" s="45">
        <v>0.0</v>
      </c>
      <c r="J101" s="45">
        <v>0.0</v>
      </c>
      <c r="L101" s="46">
        <v>77.0</v>
      </c>
      <c r="M101" s="47"/>
      <c r="N101" s="49">
        <v>77.0</v>
      </c>
      <c r="O101" s="47"/>
      <c r="P101" s="49">
        <v>0.0</v>
      </c>
      <c r="Q101" s="47"/>
      <c r="R101" s="49">
        <v>0.0</v>
      </c>
      <c r="S101" s="47"/>
      <c r="T101" s="49">
        <v>1.0</v>
      </c>
      <c r="U101" s="47"/>
      <c r="V101" s="49">
        <v>1.0</v>
      </c>
      <c r="W101" s="47"/>
      <c r="X101" s="49">
        <v>0.0</v>
      </c>
      <c r="Y101" s="55"/>
      <c r="Z101" s="44">
        <v>26.0</v>
      </c>
      <c r="AB101" s="45">
        <v>26.0</v>
      </c>
      <c r="AD101" s="45">
        <v>0.0</v>
      </c>
      <c r="AF101" s="24"/>
      <c r="AH101" s="24"/>
      <c r="AJ101" s="24"/>
      <c r="AK101" s="27"/>
      <c r="AL101" s="28">
        <f t="shared" si="1"/>
        <v>3038.1</v>
      </c>
      <c r="AM101" s="20">
        <f t="shared" si="2"/>
        <v>208</v>
      </c>
      <c r="AN101" s="20">
        <v>0.0</v>
      </c>
      <c r="AO101" s="20">
        <f t="shared" si="3"/>
        <v>208</v>
      </c>
      <c r="AP101" s="31">
        <f t="shared" si="4"/>
        <v>14.60625</v>
      </c>
    </row>
    <row r="102" ht="15.75" customHeight="1">
      <c r="A102" s="32" t="s">
        <v>22</v>
      </c>
      <c r="B102" s="34">
        <f t="shared" si="5"/>
        <v>44662</v>
      </c>
      <c r="C102" s="35">
        <v>4.0</v>
      </c>
      <c r="D102" s="35" t="s">
        <v>33</v>
      </c>
      <c r="E102" s="37"/>
      <c r="F102" s="44">
        <v>0.0</v>
      </c>
      <c r="H102" s="45">
        <v>0.0</v>
      </c>
      <c r="J102" s="45">
        <v>0.0</v>
      </c>
      <c r="L102" s="66">
        <v>77.0</v>
      </c>
      <c r="N102" s="45">
        <v>77.0</v>
      </c>
      <c r="P102" s="45">
        <v>0.0</v>
      </c>
      <c r="R102" s="45">
        <v>0.0</v>
      </c>
      <c r="T102" s="45">
        <v>0.0</v>
      </c>
      <c r="V102" s="45">
        <v>0.0</v>
      </c>
      <c r="X102" s="45">
        <v>0.0</v>
      </c>
      <c r="Y102" s="27"/>
      <c r="Z102" s="44">
        <v>26.0</v>
      </c>
      <c r="AB102" s="45">
        <v>26.0</v>
      </c>
      <c r="AD102" s="45">
        <v>0.0</v>
      </c>
      <c r="AF102" s="24"/>
      <c r="AH102" s="24"/>
      <c r="AJ102" s="24"/>
      <c r="AK102" s="27"/>
      <c r="AL102" s="39">
        <f t="shared" si="1"/>
        <v>2338.1</v>
      </c>
      <c r="AM102" s="35">
        <f t="shared" si="2"/>
        <v>206</v>
      </c>
      <c r="AN102" s="35">
        <v>0.0</v>
      </c>
      <c r="AO102" s="35">
        <f t="shared" si="3"/>
        <v>206</v>
      </c>
      <c r="AP102" s="40">
        <f t="shared" si="4"/>
        <v>11.35</v>
      </c>
    </row>
    <row r="103" ht="15.75" customHeight="1">
      <c r="A103" s="32" t="s">
        <v>24</v>
      </c>
      <c r="B103" s="34">
        <f t="shared" si="5"/>
        <v>44663</v>
      </c>
      <c r="C103" s="35">
        <v>4.0</v>
      </c>
      <c r="D103" s="35" t="s">
        <v>33</v>
      </c>
      <c r="E103" s="37"/>
      <c r="F103" s="44">
        <v>0.0</v>
      </c>
      <c r="H103" s="45">
        <v>0.0</v>
      </c>
      <c r="J103" s="45">
        <v>0.0</v>
      </c>
      <c r="L103" s="66">
        <v>77.0</v>
      </c>
      <c r="N103" s="45">
        <v>77.0</v>
      </c>
      <c r="P103" s="67">
        <v>0.0</v>
      </c>
      <c r="R103" s="45">
        <v>0.0</v>
      </c>
      <c r="T103" s="67">
        <v>0.0</v>
      </c>
      <c r="V103" s="67">
        <v>0.0</v>
      </c>
      <c r="X103" s="45">
        <v>0.0</v>
      </c>
      <c r="Y103" s="27"/>
      <c r="Z103" s="44">
        <v>26.0</v>
      </c>
      <c r="AB103" s="45">
        <v>26.0</v>
      </c>
      <c r="AD103" s="45">
        <v>0.0</v>
      </c>
      <c r="AF103" s="24"/>
      <c r="AH103" s="24"/>
      <c r="AJ103" s="24"/>
      <c r="AK103" s="27"/>
      <c r="AL103" s="39">
        <f t="shared" si="1"/>
        <v>2338.1</v>
      </c>
      <c r="AM103" s="35">
        <f t="shared" si="2"/>
        <v>206</v>
      </c>
      <c r="AN103" s="35">
        <v>0.0</v>
      </c>
      <c r="AO103" s="35">
        <f t="shared" si="3"/>
        <v>206</v>
      </c>
      <c r="AP103" s="40">
        <f t="shared" si="4"/>
        <v>11.35</v>
      </c>
    </row>
    <row r="104" ht="15.75" customHeight="1">
      <c r="A104" s="32" t="s">
        <v>28</v>
      </c>
      <c r="B104" s="34">
        <f t="shared" si="5"/>
        <v>44664</v>
      </c>
      <c r="C104" s="35">
        <v>4.0</v>
      </c>
      <c r="D104" s="35" t="s">
        <v>33</v>
      </c>
      <c r="E104" s="37"/>
      <c r="F104" s="44">
        <v>0.0</v>
      </c>
      <c r="H104" s="45">
        <v>0.0</v>
      </c>
      <c r="J104" s="45">
        <v>0.0</v>
      </c>
      <c r="L104" s="66">
        <v>77.0</v>
      </c>
      <c r="N104" s="45">
        <v>77.0</v>
      </c>
      <c r="P104" s="67">
        <v>0.0</v>
      </c>
      <c r="R104" s="45">
        <v>0.0</v>
      </c>
      <c r="T104" s="67">
        <v>0.0</v>
      </c>
      <c r="V104" s="67">
        <v>0.0</v>
      </c>
      <c r="X104" s="45">
        <v>0.0</v>
      </c>
      <c r="Y104" s="27"/>
      <c r="Z104" s="44">
        <v>27.0</v>
      </c>
      <c r="AB104" s="45">
        <v>27.0</v>
      </c>
      <c r="AD104" s="45">
        <v>0.0</v>
      </c>
      <c r="AF104" s="24"/>
      <c r="AH104" s="24"/>
      <c r="AJ104" s="24"/>
      <c r="AK104" s="27"/>
      <c r="AL104" s="39">
        <f t="shared" si="1"/>
        <v>2360.8</v>
      </c>
      <c r="AM104" s="35">
        <f t="shared" si="2"/>
        <v>208</v>
      </c>
      <c r="AN104" s="35">
        <v>0.0</v>
      </c>
      <c r="AO104" s="35">
        <f t="shared" si="3"/>
        <v>208</v>
      </c>
      <c r="AP104" s="40">
        <f t="shared" si="4"/>
        <v>11.35</v>
      </c>
    </row>
    <row r="105" ht="15.75" customHeight="1">
      <c r="A105" s="32" t="s">
        <v>29</v>
      </c>
      <c r="B105" s="34">
        <f t="shared" si="5"/>
        <v>44665</v>
      </c>
      <c r="C105" s="35">
        <v>4.0</v>
      </c>
      <c r="D105" s="35" t="s">
        <v>33</v>
      </c>
      <c r="E105" s="37"/>
      <c r="F105" s="44">
        <v>0.0</v>
      </c>
      <c r="H105" s="45">
        <v>0.0</v>
      </c>
      <c r="J105" s="45">
        <v>0.0</v>
      </c>
      <c r="L105" s="66">
        <v>77.0</v>
      </c>
      <c r="N105" s="45">
        <v>77.0</v>
      </c>
      <c r="P105" s="67">
        <v>0.0</v>
      </c>
      <c r="R105" s="45">
        <v>0.0</v>
      </c>
      <c r="T105" s="67">
        <v>0.0</v>
      </c>
      <c r="V105" s="67">
        <v>0.0</v>
      </c>
      <c r="X105" s="45">
        <v>0.0</v>
      </c>
      <c r="Y105" s="27"/>
      <c r="Z105" s="44">
        <v>27.0</v>
      </c>
      <c r="AB105" s="45">
        <v>27.0</v>
      </c>
      <c r="AD105" s="45">
        <v>0.0</v>
      </c>
      <c r="AF105" s="24"/>
      <c r="AH105" s="24"/>
      <c r="AJ105" s="24"/>
      <c r="AK105" s="27"/>
      <c r="AL105" s="39">
        <f t="shared" si="1"/>
        <v>2360.8</v>
      </c>
      <c r="AM105" s="35">
        <f t="shared" si="2"/>
        <v>208</v>
      </c>
      <c r="AN105" s="35">
        <v>0.0</v>
      </c>
      <c r="AO105" s="35">
        <f t="shared" si="3"/>
        <v>208</v>
      </c>
      <c r="AP105" s="40">
        <f t="shared" si="4"/>
        <v>11.35</v>
      </c>
    </row>
    <row r="106" ht="15.75" customHeight="1">
      <c r="A106" s="32" t="s">
        <v>30</v>
      </c>
      <c r="B106" s="34">
        <f t="shared" si="5"/>
        <v>44666</v>
      </c>
      <c r="C106" s="35">
        <v>4.0</v>
      </c>
      <c r="D106" s="35" t="s">
        <v>33</v>
      </c>
      <c r="E106" s="37"/>
      <c r="F106" s="44">
        <v>0.0</v>
      </c>
      <c r="H106" s="45">
        <v>0.0</v>
      </c>
      <c r="J106" s="45">
        <v>0.0</v>
      </c>
      <c r="L106" s="66">
        <v>77.0</v>
      </c>
      <c r="N106" s="45">
        <v>77.0</v>
      </c>
      <c r="P106" s="67">
        <v>0.0</v>
      </c>
      <c r="R106" s="45">
        <v>0.0</v>
      </c>
      <c r="T106" s="67">
        <v>0.0</v>
      </c>
      <c r="V106" s="67">
        <v>0.0</v>
      </c>
      <c r="X106" s="45">
        <v>0.0</v>
      </c>
      <c r="Y106" s="27"/>
      <c r="Z106" s="44">
        <v>18.0</v>
      </c>
      <c r="AB106" s="45">
        <v>18.0</v>
      </c>
      <c r="AD106" s="45">
        <v>0.0</v>
      </c>
      <c r="AF106" s="24"/>
      <c r="AH106" s="24"/>
      <c r="AJ106" s="24"/>
      <c r="AK106" s="27"/>
      <c r="AL106" s="39">
        <f t="shared" si="1"/>
        <v>2156.5</v>
      </c>
      <c r="AM106" s="35">
        <f t="shared" si="2"/>
        <v>190</v>
      </c>
      <c r="AN106" s="35">
        <v>0.0</v>
      </c>
      <c r="AO106" s="35">
        <f t="shared" si="3"/>
        <v>190</v>
      </c>
      <c r="AP106" s="40">
        <f t="shared" si="4"/>
        <v>11.35</v>
      </c>
    </row>
    <row r="107" ht="15.75" customHeight="1">
      <c r="A107" s="48" t="s">
        <v>31</v>
      </c>
      <c r="B107" s="50">
        <f t="shared" si="5"/>
        <v>44667</v>
      </c>
      <c r="C107" s="51">
        <v>4.0</v>
      </c>
      <c r="D107" s="51" t="s">
        <v>33</v>
      </c>
      <c r="E107" s="53"/>
      <c r="F107" s="75">
        <v>0.0</v>
      </c>
      <c r="G107" s="56"/>
      <c r="H107" s="74">
        <v>0.0</v>
      </c>
      <c r="I107" s="56"/>
      <c r="J107" s="74">
        <v>0.0</v>
      </c>
      <c r="K107" s="56"/>
      <c r="L107" s="73">
        <v>0.0</v>
      </c>
      <c r="M107" s="56"/>
      <c r="N107" s="74">
        <v>0.0</v>
      </c>
      <c r="O107" s="56"/>
      <c r="P107" s="72">
        <v>0.0</v>
      </c>
      <c r="Q107" s="56"/>
      <c r="R107" s="74">
        <v>0.0</v>
      </c>
      <c r="S107" s="56"/>
      <c r="T107" s="74">
        <v>0.0</v>
      </c>
      <c r="U107" s="56"/>
      <c r="V107" s="74">
        <v>0.0</v>
      </c>
      <c r="W107" s="56"/>
      <c r="X107" s="74">
        <v>0.0</v>
      </c>
      <c r="Y107" s="60"/>
      <c r="Z107" s="75">
        <v>0.0</v>
      </c>
      <c r="AA107" s="56"/>
      <c r="AB107" s="74">
        <v>0.0</v>
      </c>
      <c r="AC107" s="56"/>
      <c r="AD107" s="74">
        <v>0.0</v>
      </c>
      <c r="AE107" s="56"/>
      <c r="AF107" s="57"/>
      <c r="AG107" s="56"/>
      <c r="AH107" s="57"/>
      <c r="AI107" s="56"/>
      <c r="AJ107" s="57"/>
      <c r="AK107" s="60"/>
      <c r="AL107" s="61">
        <f t="shared" si="1"/>
        <v>0</v>
      </c>
      <c r="AM107" s="51">
        <f t="shared" si="2"/>
        <v>0</v>
      </c>
      <c r="AN107" s="51">
        <v>0.0</v>
      </c>
      <c r="AO107" s="51">
        <f t="shared" si="3"/>
        <v>0</v>
      </c>
      <c r="AP107" s="63" t="str">
        <f t="shared" si="4"/>
        <v/>
      </c>
    </row>
    <row r="108" ht="15.75" customHeight="1">
      <c r="A108" s="18" t="s">
        <v>20</v>
      </c>
      <c r="B108" s="64">
        <f t="shared" si="5"/>
        <v>44668</v>
      </c>
      <c r="C108" s="20">
        <v>4.0</v>
      </c>
      <c r="D108" s="20" t="s">
        <v>34</v>
      </c>
      <c r="E108" s="22"/>
      <c r="F108" s="44">
        <v>0.0</v>
      </c>
      <c r="H108" s="45">
        <v>0.0</v>
      </c>
      <c r="J108" s="45">
        <v>0.0</v>
      </c>
      <c r="L108" s="46">
        <v>77.0</v>
      </c>
      <c r="M108" s="47"/>
      <c r="N108" s="49">
        <v>77.0</v>
      </c>
      <c r="O108" s="47"/>
      <c r="P108" s="49">
        <v>0.0</v>
      </c>
      <c r="Q108" s="47"/>
      <c r="R108" s="49">
        <v>35.0</v>
      </c>
      <c r="S108" s="47"/>
      <c r="T108" s="49">
        <v>1.0</v>
      </c>
      <c r="U108" s="47"/>
      <c r="V108" s="49">
        <v>1.0</v>
      </c>
      <c r="W108" s="47"/>
      <c r="X108" s="49">
        <v>0.0</v>
      </c>
      <c r="Y108" s="55"/>
      <c r="Z108" s="44">
        <v>26.0</v>
      </c>
      <c r="AB108" s="45">
        <v>26.0</v>
      </c>
      <c r="AD108" s="45">
        <v>0.0</v>
      </c>
      <c r="AF108" s="24"/>
      <c r="AH108" s="24"/>
      <c r="AJ108" s="24"/>
      <c r="AK108" s="27"/>
      <c r="AL108" s="28">
        <f t="shared" si="1"/>
        <v>3195.95</v>
      </c>
      <c r="AM108" s="20">
        <f t="shared" si="2"/>
        <v>243</v>
      </c>
      <c r="AN108" s="20">
        <v>0.0</v>
      </c>
      <c r="AO108" s="20">
        <f t="shared" si="3"/>
        <v>243</v>
      </c>
      <c r="AP108" s="31">
        <f t="shared" si="4"/>
        <v>13.15205761</v>
      </c>
    </row>
    <row r="109" ht="15.75" customHeight="1">
      <c r="A109" s="32" t="s">
        <v>22</v>
      </c>
      <c r="B109" s="34">
        <f t="shared" si="5"/>
        <v>44669</v>
      </c>
      <c r="C109" s="35">
        <v>4.0</v>
      </c>
      <c r="D109" s="35" t="s">
        <v>34</v>
      </c>
      <c r="E109" s="37"/>
      <c r="F109" s="44">
        <v>0.0</v>
      </c>
      <c r="H109" s="45">
        <v>0.0</v>
      </c>
      <c r="J109" s="45">
        <v>0.0</v>
      </c>
      <c r="L109" s="66">
        <v>77.0</v>
      </c>
      <c r="N109" s="45">
        <v>77.0</v>
      </c>
      <c r="P109" s="45">
        <v>0.0</v>
      </c>
      <c r="R109" s="45">
        <v>50.0</v>
      </c>
      <c r="T109" s="45">
        <v>0.0</v>
      </c>
      <c r="V109" s="45">
        <v>0.0</v>
      </c>
      <c r="X109" s="45">
        <v>0.0</v>
      </c>
      <c r="Y109" s="27"/>
      <c r="Z109" s="44">
        <v>26.0</v>
      </c>
      <c r="AB109" s="45">
        <v>26.0</v>
      </c>
      <c r="AD109" s="45">
        <v>0.0</v>
      </c>
      <c r="AF109" s="24"/>
      <c r="AH109" s="24"/>
      <c r="AJ109" s="24"/>
      <c r="AK109" s="27"/>
      <c r="AL109" s="39">
        <f t="shared" si="1"/>
        <v>2563.6</v>
      </c>
      <c r="AM109" s="35">
        <f t="shared" si="2"/>
        <v>256</v>
      </c>
      <c r="AN109" s="35">
        <v>0.0</v>
      </c>
      <c r="AO109" s="35">
        <f t="shared" si="3"/>
        <v>256</v>
      </c>
      <c r="AP109" s="40">
        <f t="shared" si="4"/>
        <v>10.0140625</v>
      </c>
    </row>
    <row r="110" ht="15.75" customHeight="1">
      <c r="A110" s="32" t="s">
        <v>24</v>
      </c>
      <c r="B110" s="34">
        <f t="shared" si="5"/>
        <v>44670</v>
      </c>
      <c r="C110" s="35">
        <v>4.0</v>
      </c>
      <c r="D110" s="35" t="s">
        <v>34</v>
      </c>
      <c r="E110" s="37"/>
      <c r="F110" s="44">
        <v>0.0</v>
      </c>
      <c r="H110" s="45">
        <v>0.0</v>
      </c>
      <c r="J110" s="45">
        <v>0.0</v>
      </c>
      <c r="L110" s="66">
        <v>77.0</v>
      </c>
      <c r="N110" s="45">
        <v>77.0</v>
      </c>
      <c r="P110" s="67">
        <v>0.0</v>
      </c>
      <c r="R110" s="45">
        <v>0.0</v>
      </c>
      <c r="T110" s="67">
        <v>0.0</v>
      </c>
      <c r="V110" s="67">
        <v>0.0</v>
      </c>
      <c r="X110" s="45">
        <v>0.0</v>
      </c>
      <c r="Y110" s="27"/>
      <c r="Z110" s="44">
        <v>26.0</v>
      </c>
      <c r="AB110" s="45">
        <v>26.0</v>
      </c>
      <c r="AD110" s="45">
        <v>0.0</v>
      </c>
      <c r="AF110" s="24"/>
      <c r="AH110" s="24"/>
      <c r="AJ110" s="24"/>
      <c r="AK110" s="27"/>
      <c r="AL110" s="39">
        <f t="shared" si="1"/>
        <v>2338.1</v>
      </c>
      <c r="AM110" s="35">
        <f t="shared" si="2"/>
        <v>206</v>
      </c>
      <c r="AN110" s="35">
        <v>0.0</v>
      </c>
      <c r="AO110" s="35">
        <f t="shared" si="3"/>
        <v>206</v>
      </c>
      <c r="AP110" s="40">
        <f t="shared" si="4"/>
        <v>11.35</v>
      </c>
    </row>
    <row r="111" ht="15.75" customHeight="1">
      <c r="A111" s="32" t="s">
        <v>28</v>
      </c>
      <c r="B111" s="34">
        <f t="shared" si="5"/>
        <v>44671</v>
      </c>
      <c r="C111" s="35">
        <v>4.0</v>
      </c>
      <c r="D111" s="35" t="s">
        <v>34</v>
      </c>
      <c r="E111" s="37"/>
      <c r="F111" s="44">
        <v>0.0</v>
      </c>
      <c r="H111" s="45">
        <v>0.0</v>
      </c>
      <c r="J111" s="45">
        <v>0.0</v>
      </c>
      <c r="L111" s="66">
        <v>77.0</v>
      </c>
      <c r="N111" s="45">
        <v>77.0</v>
      </c>
      <c r="P111" s="67">
        <v>0.0</v>
      </c>
      <c r="R111" s="45">
        <v>35.0</v>
      </c>
      <c r="T111" s="67">
        <v>0.0</v>
      </c>
      <c r="V111" s="67">
        <v>0.0</v>
      </c>
      <c r="X111" s="45">
        <v>0.0</v>
      </c>
      <c r="Y111" s="27"/>
      <c r="Z111" s="44">
        <v>25.0</v>
      </c>
      <c r="AB111" s="45">
        <v>25.0</v>
      </c>
      <c r="AD111" s="45">
        <v>0.0</v>
      </c>
      <c r="AF111" s="24"/>
      <c r="AH111" s="24"/>
      <c r="AJ111" s="24"/>
      <c r="AK111" s="27"/>
      <c r="AL111" s="39">
        <f t="shared" si="1"/>
        <v>2473.25</v>
      </c>
      <c r="AM111" s="35">
        <f t="shared" si="2"/>
        <v>239</v>
      </c>
      <c r="AN111" s="35">
        <v>0.0</v>
      </c>
      <c r="AO111" s="35">
        <f t="shared" si="3"/>
        <v>239</v>
      </c>
      <c r="AP111" s="40">
        <f t="shared" si="4"/>
        <v>10.34832636</v>
      </c>
    </row>
    <row r="112" ht="15.75" customHeight="1">
      <c r="A112" s="32" t="s">
        <v>29</v>
      </c>
      <c r="B112" s="34">
        <f t="shared" si="5"/>
        <v>44672</v>
      </c>
      <c r="C112" s="35">
        <v>4.0</v>
      </c>
      <c r="D112" s="35" t="s">
        <v>34</v>
      </c>
      <c r="E112" s="37"/>
      <c r="F112" s="44">
        <v>0.0</v>
      </c>
      <c r="H112" s="45">
        <v>0.0</v>
      </c>
      <c r="J112" s="45">
        <v>0.0</v>
      </c>
      <c r="L112" s="66">
        <v>77.0</v>
      </c>
      <c r="N112" s="45">
        <v>77.0</v>
      </c>
      <c r="P112" s="67">
        <v>0.0</v>
      </c>
      <c r="R112" s="45">
        <v>35.0</v>
      </c>
      <c r="T112" s="67">
        <v>0.0</v>
      </c>
      <c r="V112" s="67">
        <v>0.0</v>
      </c>
      <c r="X112" s="45">
        <v>0.0</v>
      </c>
      <c r="Y112" s="27"/>
      <c r="Z112" s="44">
        <v>25.0</v>
      </c>
      <c r="AB112" s="45">
        <v>25.0</v>
      </c>
      <c r="AD112" s="45">
        <v>0.0</v>
      </c>
      <c r="AF112" s="24"/>
      <c r="AH112" s="24"/>
      <c r="AJ112" s="24"/>
      <c r="AK112" s="27"/>
      <c r="AL112" s="39">
        <f t="shared" si="1"/>
        <v>2473.25</v>
      </c>
      <c r="AM112" s="35">
        <f t="shared" si="2"/>
        <v>239</v>
      </c>
      <c r="AN112" s="35">
        <v>0.0</v>
      </c>
      <c r="AO112" s="35">
        <f t="shared" si="3"/>
        <v>239</v>
      </c>
      <c r="AP112" s="40">
        <f t="shared" si="4"/>
        <v>10.34832636</v>
      </c>
    </row>
    <row r="113" ht="15.75" customHeight="1">
      <c r="A113" s="32" t="s">
        <v>30</v>
      </c>
      <c r="B113" s="34">
        <f t="shared" si="5"/>
        <v>44673</v>
      </c>
      <c r="C113" s="35">
        <v>4.0</v>
      </c>
      <c r="D113" s="35" t="s">
        <v>34</v>
      </c>
      <c r="E113" s="37"/>
      <c r="F113" s="44">
        <v>0.0</v>
      </c>
      <c r="H113" s="45">
        <v>0.0</v>
      </c>
      <c r="J113" s="45">
        <v>0.0</v>
      </c>
      <c r="L113" s="66">
        <v>77.0</v>
      </c>
      <c r="N113" s="45">
        <v>77.0</v>
      </c>
      <c r="P113" s="67">
        <v>0.0</v>
      </c>
      <c r="R113" s="45">
        <v>0.0</v>
      </c>
      <c r="T113" s="67">
        <v>0.0</v>
      </c>
      <c r="V113" s="67">
        <v>0.0</v>
      </c>
      <c r="X113" s="45">
        <v>0.0</v>
      </c>
      <c r="Y113" s="27"/>
      <c r="Z113" s="44">
        <v>25.0</v>
      </c>
      <c r="AB113" s="45">
        <v>25.0</v>
      </c>
      <c r="AD113" s="45">
        <v>0.0</v>
      </c>
      <c r="AF113" s="24"/>
      <c r="AH113" s="24"/>
      <c r="AJ113" s="24"/>
      <c r="AK113" s="27"/>
      <c r="AL113" s="39">
        <f t="shared" si="1"/>
        <v>2315.4</v>
      </c>
      <c r="AM113" s="35">
        <f t="shared" si="2"/>
        <v>204</v>
      </c>
      <c r="AN113" s="35">
        <v>0.0</v>
      </c>
      <c r="AO113" s="35">
        <f t="shared" si="3"/>
        <v>204</v>
      </c>
      <c r="AP113" s="40">
        <f t="shared" si="4"/>
        <v>11.35</v>
      </c>
    </row>
    <row r="114" ht="15.75" customHeight="1">
      <c r="A114" s="48" t="s">
        <v>31</v>
      </c>
      <c r="B114" s="50">
        <f t="shared" si="5"/>
        <v>44674</v>
      </c>
      <c r="C114" s="51">
        <v>4.0</v>
      </c>
      <c r="D114" s="51" t="s">
        <v>34</v>
      </c>
      <c r="E114" s="53"/>
      <c r="F114" s="75">
        <v>0.0</v>
      </c>
      <c r="G114" s="56"/>
      <c r="H114" s="74">
        <v>0.0</v>
      </c>
      <c r="I114" s="56"/>
      <c r="J114" s="74">
        <v>0.0</v>
      </c>
      <c r="K114" s="56"/>
      <c r="L114" s="73">
        <v>0.0</v>
      </c>
      <c r="M114" s="56"/>
      <c r="N114" s="74">
        <v>0.0</v>
      </c>
      <c r="O114" s="56"/>
      <c r="P114" s="72">
        <v>0.0</v>
      </c>
      <c r="Q114" s="56"/>
      <c r="R114" s="74">
        <v>0.0</v>
      </c>
      <c r="S114" s="56"/>
      <c r="T114" s="74">
        <v>0.0</v>
      </c>
      <c r="U114" s="56"/>
      <c r="V114" s="74">
        <v>0.0</v>
      </c>
      <c r="W114" s="56"/>
      <c r="X114" s="74">
        <v>0.0</v>
      </c>
      <c r="Y114" s="60"/>
      <c r="Z114" s="75">
        <v>0.0</v>
      </c>
      <c r="AA114" s="56"/>
      <c r="AB114" s="74">
        <v>0.0</v>
      </c>
      <c r="AC114" s="56"/>
      <c r="AD114" s="74">
        <v>0.0</v>
      </c>
      <c r="AE114" s="56"/>
      <c r="AF114" s="57"/>
      <c r="AG114" s="56"/>
      <c r="AH114" s="57"/>
      <c r="AI114" s="56"/>
      <c r="AJ114" s="57"/>
      <c r="AK114" s="60"/>
      <c r="AL114" s="61">
        <f t="shared" si="1"/>
        <v>0</v>
      </c>
      <c r="AM114" s="51">
        <f t="shared" si="2"/>
        <v>0</v>
      </c>
      <c r="AN114" s="51">
        <v>0.0</v>
      </c>
      <c r="AO114" s="51">
        <f t="shared" si="3"/>
        <v>0</v>
      </c>
      <c r="AP114" s="63" t="str">
        <f t="shared" si="4"/>
        <v/>
      </c>
    </row>
    <row r="115" ht="15.75" customHeight="1">
      <c r="A115" s="18" t="s">
        <v>20</v>
      </c>
      <c r="B115" s="64">
        <f t="shared" si="5"/>
        <v>44675</v>
      </c>
      <c r="C115" s="20">
        <v>5.0</v>
      </c>
      <c r="D115" s="20" t="s">
        <v>21</v>
      </c>
      <c r="E115" s="22"/>
      <c r="F115" s="66">
        <v>0.0</v>
      </c>
      <c r="H115" s="80">
        <v>0.0</v>
      </c>
      <c r="J115" s="80">
        <v>0.0</v>
      </c>
      <c r="L115" s="46">
        <v>77.0</v>
      </c>
      <c r="M115" s="47"/>
      <c r="N115" s="49">
        <v>77.0</v>
      </c>
      <c r="O115" s="47"/>
      <c r="P115" s="49">
        <v>0.0</v>
      </c>
      <c r="Q115" s="47"/>
      <c r="R115" s="49">
        <v>35.0</v>
      </c>
      <c r="S115" s="47"/>
      <c r="T115" s="49">
        <v>1.0</v>
      </c>
      <c r="U115" s="47"/>
      <c r="V115" s="49">
        <v>1.0</v>
      </c>
      <c r="W115" s="47"/>
      <c r="X115" s="49">
        <v>0.0</v>
      </c>
      <c r="Y115" s="55"/>
      <c r="Z115" s="66">
        <v>23.0</v>
      </c>
      <c r="AB115" s="80">
        <v>23.0</v>
      </c>
      <c r="AD115" s="80">
        <v>0.0</v>
      </c>
      <c r="AF115" s="24"/>
      <c r="AH115" s="24"/>
      <c r="AJ115" s="24"/>
      <c r="AK115" s="27"/>
      <c r="AL115" s="28">
        <f t="shared" si="1"/>
        <v>3127.85</v>
      </c>
      <c r="AM115" s="20">
        <f t="shared" si="2"/>
        <v>237</v>
      </c>
      <c r="AN115" s="20">
        <v>0.0</v>
      </c>
      <c r="AO115" s="20">
        <f t="shared" si="3"/>
        <v>237</v>
      </c>
      <c r="AP115" s="31">
        <f t="shared" si="4"/>
        <v>13.19767932</v>
      </c>
    </row>
    <row r="116" ht="15.75" customHeight="1">
      <c r="A116" s="32" t="s">
        <v>22</v>
      </c>
      <c r="B116" s="34">
        <f t="shared" si="5"/>
        <v>44676</v>
      </c>
      <c r="C116" s="35">
        <v>5.0</v>
      </c>
      <c r="D116" s="35" t="s">
        <v>21</v>
      </c>
      <c r="E116" s="37"/>
      <c r="F116" s="66">
        <v>0.0</v>
      </c>
      <c r="H116" s="80">
        <v>0.0</v>
      </c>
      <c r="J116" s="80">
        <v>0.0</v>
      </c>
      <c r="L116" s="66">
        <v>77.0</v>
      </c>
      <c r="N116" s="45">
        <v>77.0</v>
      </c>
      <c r="P116" s="45">
        <v>0.0</v>
      </c>
      <c r="R116" s="45">
        <v>35.0</v>
      </c>
      <c r="T116" s="45">
        <v>0.0</v>
      </c>
      <c r="V116" s="45">
        <v>0.0</v>
      </c>
      <c r="X116" s="45">
        <v>0.0</v>
      </c>
      <c r="Y116" s="27"/>
      <c r="Z116" s="66">
        <v>23.0</v>
      </c>
      <c r="AB116" s="80">
        <v>23.0</v>
      </c>
      <c r="AD116" s="80">
        <v>0.0</v>
      </c>
      <c r="AF116" s="24"/>
      <c r="AH116" s="24"/>
      <c r="AJ116" s="24"/>
      <c r="AK116" s="27"/>
      <c r="AL116" s="39">
        <f t="shared" si="1"/>
        <v>2427.85</v>
      </c>
      <c r="AM116" s="35">
        <f t="shared" si="2"/>
        <v>235</v>
      </c>
      <c r="AN116" s="35">
        <v>0.0</v>
      </c>
      <c r="AO116" s="35">
        <f t="shared" si="3"/>
        <v>235</v>
      </c>
      <c r="AP116" s="40">
        <f t="shared" si="4"/>
        <v>10.3312766</v>
      </c>
    </row>
    <row r="117" ht="15.75" customHeight="1">
      <c r="A117" s="32" t="s">
        <v>24</v>
      </c>
      <c r="B117" s="34">
        <f t="shared" si="5"/>
        <v>44677</v>
      </c>
      <c r="C117" s="35">
        <v>5.0</v>
      </c>
      <c r="D117" s="35" t="s">
        <v>21</v>
      </c>
      <c r="E117" s="37"/>
      <c r="F117" s="66">
        <v>0.0</v>
      </c>
      <c r="H117" s="80">
        <v>0.0</v>
      </c>
      <c r="J117" s="80">
        <v>0.0</v>
      </c>
      <c r="L117" s="66">
        <v>77.0</v>
      </c>
      <c r="N117" s="45">
        <v>77.0</v>
      </c>
      <c r="P117" s="67">
        <v>0.0</v>
      </c>
      <c r="R117" s="45">
        <v>35.0</v>
      </c>
      <c r="T117" s="67">
        <v>0.0</v>
      </c>
      <c r="V117" s="67">
        <v>0.0</v>
      </c>
      <c r="X117" s="45">
        <v>0.0</v>
      </c>
      <c r="Y117" s="27"/>
      <c r="Z117" s="66">
        <v>23.0</v>
      </c>
      <c r="AB117" s="80">
        <v>23.0</v>
      </c>
      <c r="AD117" s="80">
        <v>0.0</v>
      </c>
      <c r="AF117" s="24"/>
      <c r="AH117" s="24"/>
      <c r="AJ117" s="24"/>
      <c r="AK117" s="27"/>
      <c r="AL117" s="39">
        <f t="shared" si="1"/>
        <v>2427.85</v>
      </c>
      <c r="AM117" s="35">
        <f t="shared" si="2"/>
        <v>235</v>
      </c>
      <c r="AN117" s="35">
        <v>0.0</v>
      </c>
      <c r="AO117" s="35">
        <f t="shared" si="3"/>
        <v>235</v>
      </c>
      <c r="AP117" s="40">
        <f t="shared" si="4"/>
        <v>10.3312766</v>
      </c>
    </row>
    <row r="118" ht="15.75" customHeight="1">
      <c r="A118" s="32" t="s">
        <v>28</v>
      </c>
      <c r="B118" s="34">
        <f t="shared" si="5"/>
        <v>44678</v>
      </c>
      <c r="C118" s="35">
        <v>5.0</v>
      </c>
      <c r="D118" s="35" t="s">
        <v>21</v>
      </c>
      <c r="E118" s="37"/>
      <c r="F118" s="66">
        <v>0.0</v>
      </c>
      <c r="H118" s="80">
        <v>0.0</v>
      </c>
      <c r="J118" s="80">
        <v>0.0</v>
      </c>
      <c r="L118" s="66">
        <v>77.0</v>
      </c>
      <c r="N118" s="45">
        <v>77.0</v>
      </c>
      <c r="P118" s="67">
        <v>0.0</v>
      </c>
      <c r="R118" s="45">
        <v>35.0</v>
      </c>
      <c r="T118" s="67">
        <v>0.0</v>
      </c>
      <c r="V118" s="67">
        <v>0.0</v>
      </c>
      <c r="X118" s="45">
        <v>0.0</v>
      </c>
      <c r="Y118" s="27"/>
      <c r="Z118" s="66">
        <v>23.0</v>
      </c>
      <c r="AB118" s="80">
        <v>23.0</v>
      </c>
      <c r="AD118" s="80">
        <v>0.0</v>
      </c>
      <c r="AF118" s="24"/>
      <c r="AH118" s="24"/>
      <c r="AJ118" s="24"/>
      <c r="AK118" s="27"/>
      <c r="AL118" s="39">
        <f t="shared" si="1"/>
        <v>2427.85</v>
      </c>
      <c r="AM118" s="35">
        <f t="shared" si="2"/>
        <v>235</v>
      </c>
      <c r="AN118" s="35">
        <v>0.0</v>
      </c>
      <c r="AO118" s="35">
        <f t="shared" si="3"/>
        <v>235</v>
      </c>
      <c r="AP118" s="40">
        <f t="shared" si="4"/>
        <v>10.3312766</v>
      </c>
    </row>
    <row r="119" ht="15.75" customHeight="1">
      <c r="A119" s="32" t="s">
        <v>29</v>
      </c>
      <c r="B119" s="34">
        <f t="shared" si="5"/>
        <v>44679</v>
      </c>
      <c r="C119" s="35">
        <v>5.0</v>
      </c>
      <c r="D119" s="35" t="s">
        <v>21</v>
      </c>
      <c r="E119" s="37"/>
      <c r="F119" s="66">
        <v>0.0</v>
      </c>
      <c r="H119" s="80">
        <v>0.0</v>
      </c>
      <c r="J119" s="80">
        <v>0.0</v>
      </c>
      <c r="L119" s="66">
        <v>77.0</v>
      </c>
      <c r="N119" s="45">
        <v>77.0</v>
      </c>
      <c r="P119" s="67">
        <v>0.0</v>
      </c>
      <c r="R119" s="45">
        <v>35.0</v>
      </c>
      <c r="T119" s="67">
        <v>0.0</v>
      </c>
      <c r="V119" s="67">
        <v>0.0</v>
      </c>
      <c r="X119" s="45">
        <v>0.0</v>
      </c>
      <c r="Y119" s="27"/>
      <c r="Z119" s="66">
        <v>23.0</v>
      </c>
      <c r="AB119" s="80">
        <v>23.0</v>
      </c>
      <c r="AD119" s="80">
        <v>0.0</v>
      </c>
      <c r="AF119" s="24"/>
      <c r="AH119" s="24"/>
      <c r="AJ119" s="24"/>
      <c r="AK119" s="27"/>
      <c r="AL119" s="39">
        <f t="shared" si="1"/>
        <v>2427.85</v>
      </c>
      <c r="AM119" s="35">
        <f t="shared" si="2"/>
        <v>235</v>
      </c>
      <c r="AN119" s="35">
        <v>0.0</v>
      </c>
      <c r="AO119" s="35">
        <f t="shared" si="3"/>
        <v>235</v>
      </c>
      <c r="AP119" s="40">
        <f t="shared" si="4"/>
        <v>10.3312766</v>
      </c>
    </row>
    <row r="120" ht="15.75" customHeight="1">
      <c r="A120" s="32" t="s">
        <v>30</v>
      </c>
      <c r="B120" s="34">
        <f t="shared" si="5"/>
        <v>44680</v>
      </c>
      <c r="C120" s="35">
        <v>5.0</v>
      </c>
      <c r="D120" s="35" t="s">
        <v>21</v>
      </c>
      <c r="E120" s="37"/>
      <c r="F120" s="44">
        <v>0.0</v>
      </c>
      <c r="H120" s="45">
        <v>0.0</v>
      </c>
      <c r="J120" s="45">
        <v>0.0</v>
      </c>
      <c r="L120" s="66">
        <v>77.0</v>
      </c>
      <c r="N120" s="45">
        <v>77.0</v>
      </c>
      <c r="P120" s="67">
        <v>0.0</v>
      </c>
      <c r="R120" s="45">
        <v>0.0</v>
      </c>
      <c r="T120" s="67">
        <v>0.0</v>
      </c>
      <c r="V120" s="67">
        <v>0.0</v>
      </c>
      <c r="X120" s="45">
        <v>0.0</v>
      </c>
      <c r="Y120" s="27"/>
      <c r="Z120" s="44">
        <v>23.0</v>
      </c>
      <c r="AB120" s="45">
        <v>23.0</v>
      </c>
      <c r="AD120" s="45">
        <v>0.0</v>
      </c>
      <c r="AF120" s="24"/>
      <c r="AH120" s="24"/>
      <c r="AJ120" s="24"/>
      <c r="AK120" s="27"/>
      <c r="AL120" s="39">
        <f t="shared" si="1"/>
        <v>2270</v>
      </c>
      <c r="AM120" s="35">
        <f t="shared" si="2"/>
        <v>200</v>
      </c>
      <c r="AN120" s="35">
        <v>0.0</v>
      </c>
      <c r="AO120" s="35">
        <f t="shared" si="3"/>
        <v>200</v>
      </c>
      <c r="AP120" s="40">
        <f t="shared" si="4"/>
        <v>11.35</v>
      </c>
    </row>
    <row r="121" ht="15.75" customHeight="1">
      <c r="A121" s="48" t="s">
        <v>31</v>
      </c>
      <c r="B121" s="50">
        <f t="shared" si="5"/>
        <v>44681</v>
      </c>
      <c r="C121" s="51">
        <v>5.0</v>
      </c>
      <c r="D121" s="51" t="s">
        <v>21</v>
      </c>
      <c r="E121" s="53"/>
      <c r="F121" s="91"/>
      <c r="G121" s="56"/>
      <c r="H121" s="92"/>
      <c r="I121" s="56"/>
      <c r="J121" s="92"/>
      <c r="K121" s="56"/>
      <c r="L121" s="73"/>
      <c r="M121" s="56"/>
      <c r="N121" s="74"/>
      <c r="O121" s="56"/>
      <c r="P121" s="72"/>
      <c r="Q121" s="56"/>
      <c r="R121" s="74"/>
      <c r="S121" s="56"/>
      <c r="T121" s="74"/>
      <c r="U121" s="56"/>
      <c r="V121" s="74"/>
      <c r="W121" s="56"/>
      <c r="X121" s="74">
        <v>0.0</v>
      </c>
      <c r="Y121" s="60"/>
      <c r="Z121" s="91"/>
      <c r="AA121" s="56"/>
      <c r="AB121" s="92"/>
      <c r="AC121" s="56"/>
      <c r="AD121" s="92"/>
      <c r="AE121" s="56"/>
      <c r="AF121" s="57"/>
      <c r="AG121" s="56"/>
      <c r="AH121" s="57"/>
      <c r="AI121" s="56"/>
      <c r="AJ121" s="57"/>
      <c r="AK121" s="60"/>
      <c r="AL121" s="61">
        <f t="shared" si="1"/>
        <v>0</v>
      </c>
      <c r="AM121" s="51">
        <f t="shared" si="2"/>
        <v>0</v>
      </c>
      <c r="AN121" s="51">
        <v>0.0</v>
      </c>
      <c r="AO121" s="51">
        <f t="shared" si="3"/>
        <v>0</v>
      </c>
      <c r="AP121" s="63" t="str">
        <f t="shared" si="4"/>
        <v/>
      </c>
    </row>
    <row r="122" ht="15.75" customHeight="1">
      <c r="A122" s="18" t="s">
        <v>20</v>
      </c>
      <c r="B122" s="64">
        <f t="shared" si="5"/>
        <v>44682</v>
      </c>
      <c r="C122" s="20">
        <v>5.0</v>
      </c>
      <c r="D122" s="20" t="s">
        <v>32</v>
      </c>
      <c r="E122" s="22"/>
      <c r="F122" s="44">
        <v>0.0</v>
      </c>
      <c r="H122" s="45">
        <v>0.0</v>
      </c>
      <c r="J122" s="45">
        <v>0.0</v>
      </c>
      <c r="L122" s="46">
        <v>77.0</v>
      </c>
      <c r="M122" s="47"/>
      <c r="N122" s="49">
        <v>77.0</v>
      </c>
      <c r="O122" s="47"/>
      <c r="P122" s="49">
        <v>0.0</v>
      </c>
      <c r="Q122" s="47"/>
      <c r="R122" s="49">
        <v>0.0</v>
      </c>
      <c r="S122" s="47"/>
      <c r="T122" s="49">
        <v>1.0</v>
      </c>
      <c r="U122" s="47"/>
      <c r="V122" s="49">
        <v>1.0</v>
      </c>
      <c r="W122" s="47"/>
      <c r="X122" s="49">
        <v>0.0</v>
      </c>
      <c r="Y122" s="55"/>
      <c r="Z122" s="44">
        <v>23.0</v>
      </c>
      <c r="AB122" s="45">
        <v>23.0</v>
      </c>
      <c r="AD122" s="45">
        <v>0.0</v>
      </c>
      <c r="AF122" s="24"/>
      <c r="AH122" s="24"/>
      <c r="AJ122" s="24"/>
      <c r="AK122" s="27"/>
      <c r="AL122" s="28">
        <f t="shared" si="1"/>
        <v>2970</v>
      </c>
      <c r="AM122" s="20">
        <f t="shared" si="2"/>
        <v>202</v>
      </c>
      <c r="AN122" s="20">
        <v>0.0</v>
      </c>
      <c r="AO122" s="20">
        <f t="shared" si="3"/>
        <v>202</v>
      </c>
      <c r="AP122" s="31">
        <f t="shared" si="4"/>
        <v>14.7029703</v>
      </c>
    </row>
    <row r="123" ht="15.75" customHeight="1">
      <c r="A123" s="32" t="s">
        <v>22</v>
      </c>
      <c r="B123" s="34">
        <f t="shared" si="5"/>
        <v>44683</v>
      </c>
      <c r="C123" s="35">
        <v>5.0</v>
      </c>
      <c r="D123" s="35" t="s">
        <v>32</v>
      </c>
      <c r="E123" s="37"/>
      <c r="F123" s="44">
        <v>0.0</v>
      </c>
      <c r="H123" s="45">
        <v>0.0</v>
      </c>
      <c r="J123" s="45">
        <v>0.0</v>
      </c>
      <c r="L123" s="66">
        <v>77.0</v>
      </c>
      <c r="N123" s="45">
        <v>77.0</v>
      </c>
      <c r="P123" s="45">
        <v>0.0</v>
      </c>
      <c r="R123" s="45">
        <v>35.0</v>
      </c>
      <c r="T123" s="45">
        <v>0.0</v>
      </c>
      <c r="V123" s="45">
        <v>0.0</v>
      </c>
      <c r="X123" s="45">
        <v>0.0</v>
      </c>
      <c r="Y123" s="27"/>
      <c r="Z123" s="44">
        <v>23.0</v>
      </c>
      <c r="AB123" s="45">
        <v>23.0</v>
      </c>
      <c r="AD123" s="45">
        <v>0.0</v>
      </c>
      <c r="AF123" s="24"/>
      <c r="AH123" s="24"/>
      <c r="AJ123" s="24"/>
      <c r="AK123" s="27"/>
      <c r="AL123" s="39">
        <f t="shared" si="1"/>
        <v>2427.85</v>
      </c>
      <c r="AM123" s="35">
        <f t="shared" si="2"/>
        <v>235</v>
      </c>
      <c r="AN123" s="35">
        <v>0.0</v>
      </c>
      <c r="AO123" s="35">
        <f t="shared" si="3"/>
        <v>235</v>
      </c>
      <c r="AP123" s="40">
        <f t="shared" si="4"/>
        <v>10.3312766</v>
      </c>
    </row>
    <row r="124" ht="15.75" customHeight="1">
      <c r="A124" s="32" t="s">
        <v>24</v>
      </c>
      <c r="B124" s="34">
        <f t="shared" si="5"/>
        <v>44684</v>
      </c>
      <c r="C124" s="35">
        <v>5.0</v>
      </c>
      <c r="D124" s="35" t="s">
        <v>32</v>
      </c>
      <c r="E124" s="37"/>
      <c r="F124" s="44">
        <v>0.0</v>
      </c>
      <c r="H124" s="45">
        <v>0.0</v>
      </c>
      <c r="J124" s="45">
        <v>0.0</v>
      </c>
      <c r="L124" s="66">
        <v>77.0</v>
      </c>
      <c r="N124" s="45">
        <v>77.0</v>
      </c>
      <c r="P124" s="67">
        <v>0.0</v>
      </c>
      <c r="R124" s="45">
        <v>0.0</v>
      </c>
      <c r="T124" s="67">
        <v>0.0</v>
      </c>
      <c r="V124" s="67">
        <v>0.0</v>
      </c>
      <c r="X124" s="45">
        <v>0.0</v>
      </c>
      <c r="Y124" s="27"/>
      <c r="Z124" s="44">
        <v>23.0</v>
      </c>
      <c r="AB124" s="45">
        <v>23.0</v>
      </c>
      <c r="AD124" s="45">
        <v>0.0</v>
      </c>
      <c r="AF124" s="24"/>
      <c r="AH124" s="24"/>
      <c r="AJ124" s="24"/>
      <c r="AK124" s="27"/>
      <c r="AL124" s="39">
        <f t="shared" si="1"/>
        <v>2270</v>
      </c>
      <c r="AM124" s="35">
        <f t="shared" si="2"/>
        <v>200</v>
      </c>
      <c r="AN124" s="35">
        <v>0.0</v>
      </c>
      <c r="AO124" s="35">
        <f t="shared" si="3"/>
        <v>200</v>
      </c>
      <c r="AP124" s="40">
        <f t="shared" si="4"/>
        <v>11.35</v>
      </c>
    </row>
    <row r="125" ht="15.75" customHeight="1">
      <c r="A125" s="32" t="s">
        <v>28</v>
      </c>
      <c r="B125" s="34">
        <f t="shared" si="5"/>
        <v>44685</v>
      </c>
      <c r="C125" s="35">
        <v>5.0</v>
      </c>
      <c r="D125" s="35" t="s">
        <v>32</v>
      </c>
      <c r="E125" s="37"/>
      <c r="F125" s="44">
        <v>0.0</v>
      </c>
      <c r="H125" s="45">
        <v>0.0</v>
      </c>
      <c r="J125" s="45">
        <v>0.0</v>
      </c>
      <c r="L125" s="66">
        <v>77.0</v>
      </c>
      <c r="N125" s="45">
        <v>77.0</v>
      </c>
      <c r="P125" s="67">
        <v>0.0</v>
      </c>
      <c r="R125" s="45">
        <v>35.0</v>
      </c>
      <c r="T125" s="67">
        <v>0.0</v>
      </c>
      <c r="V125" s="67">
        <v>0.0</v>
      </c>
      <c r="X125" s="45">
        <v>0.0</v>
      </c>
      <c r="Y125" s="27"/>
      <c r="Z125" s="44">
        <v>23.0</v>
      </c>
      <c r="AB125" s="45">
        <v>23.0</v>
      </c>
      <c r="AD125" s="45">
        <v>0.0</v>
      </c>
      <c r="AF125" s="24"/>
      <c r="AH125" s="24"/>
      <c r="AJ125" s="24"/>
      <c r="AK125" s="27"/>
      <c r="AL125" s="39">
        <f t="shared" si="1"/>
        <v>2427.85</v>
      </c>
      <c r="AM125" s="35">
        <f t="shared" si="2"/>
        <v>235</v>
      </c>
      <c r="AN125" s="35">
        <v>0.0</v>
      </c>
      <c r="AO125" s="35">
        <f t="shared" si="3"/>
        <v>235</v>
      </c>
      <c r="AP125" s="40">
        <f t="shared" si="4"/>
        <v>10.3312766</v>
      </c>
    </row>
    <row r="126" ht="15.75" customHeight="1">
      <c r="A126" s="32" t="s">
        <v>29</v>
      </c>
      <c r="B126" s="34">
        <f t="shared" si="5"/>
        <v>44686</v>
      </c>
      <c r="C126" s="35">
        <v>5.0</v>
      </c>
      <c r="D126" s="35" t="s">
        <v>32</v>
      </c>
      <c r="E126" s="37"/>
      <c r="F126" s="44">
        <v>0.0</v>
      </c>
      <c r="H126" s="45">
        <v>0.0</v>
      </c>
      <c r="J126" s="45">
        <v>0.0</v>
      </c>
      <c r="L126" s="66">
        <v>77.0</v>
      </c>
      <c r="N126" s="45">
        <v>77.0</v>
      </c>
      <c r="P126" s="67">
        <v>0.0</v>
      </c>
      <c r="R126" s="45">
        <v>35.0</v>
      </c>
      <c r="T126" s="67">
        <v>0.0</v>
      </c>
      <c r="V126" s="67">
        <v>0.0</v>
      </c>
      <c r="X126" s="45">
        <v>0.0</v>
      </c>
      <c r="Y126" s="27"/>
      <c r="Z126" s="44">
        <v>23.0</v>
      </c>
      <c r="AB126" s="45">
        <v>23.0</v>
      </c>
      <c r="AD126" s="45">
        <v>0.0</v>
      </c>
      <c r="AF126" s="24"/>
      <c r="AH126" s="24"/>
      <c r="AJ126" s="24"/>
      <c r="AK126" s="27"/>
      <c r="AL126" s="39">
        <f t="shared" si="1"/>
        <v>2427.85</v>
      </c>
      <c r="AM126" s="35">
        <f t="shared" si="2"/>
        <v>235</v>
      </c>
      <c r="AN126" s="35">
        <v>0.0</v>
      </c>
      <c r="AO126" s="35">
        <f t="shared" si="3"/>
        <v>235</v>
      </c>
      <c r="AP126" s="40">
        <f t="shared" si="4"/>
        <v>10.3312766</v>
      </c>
    </row>
    <row r="127" ht="15.75" customHeight="1">
      <c r="A127" s="32" t="s">
        <v>30</v>
      </c>
      <c r="B127" s="34">
        <f t="shared" si="5"/>
        <v>44687</v>
      </c>
      <c r="C127" s="35">
        <v>5.0</v>
      </c>
      <c r="D127" s="35" t="s">
        <v>32</v>
      </c>
      <c r="E127" s="37"/>
      <c r="F127" s="44">
        <v>0.0</v>
      </c>
      <c r="H127" s="45">
        <v>0.0</v>
      </c>
      <c r="J127" s="45">
        <v>0.0</v>
      </c>
      <c r="L127" s="66">
        <v>77.0</v>
      </c>
      <c r="N127" s="45">
        <v>77.0</v>
      </c>
      <c r="P127" s="67">
        <v>0.0</v>
      </c>
      <c r="R127" s="45">
        <v>0.0</v>
      </c>
      <c r="T127" s="67">
        <v>0.0</v>
      </c>
      <c r="V127" s="67">
        <v>0.0</v>
      </c>
      <c r="X127" s="45">
        <v>0.0</v>
      </c>
      <c r="Y127" s="27"/>
      <c r="Z127" s="44">
        <v>13.0</v>
      </c>
      <c r="AB127" s="45">
        <v>13.0</v>
      </c>
      <c r="AD127" s="45">
        <v>0.0</v>
      </c>
      <c r="AF127" s="24"/>
      <c r="AH127" s="24"/>
      <c r="AJ127" s="24"/>
      <c r="AK127" s="27"/>
      <c r="AL127" s="39">
        <f t="shared" si="1"/>
        <v>2043</v>
      </c>
      <c r="AM127" s="35">
        <f t="shared" si="2"/>
        <v>180</v>
      </c>
      <c r="AN127" s="35">
        <v>0.0</v>
      </c>
      <c r="AO127" s="35">
        <f t="shared" si="3"/>
        <v>180</v>
      </c>
      <c r="AP127" s="40">
        <f t="shared" si="4"/>
        <v>11.35</v>
      </c>
    </row>
    <row r="128" ht="15.75" customHeight="1">
      <c r="A128" s="48" t="s">
        <v>31</v>
      </c>
      <c r="B128" s="50">
        <f t="shared" si="5"/>
        <v>44688</v>
      </c>
      <c r="C128" s="51">
        <v>5.0</v>
      </c>
      <c r="D128" s="51" t="s">
        <v>32</v>
      </c>
      <c r="E128" s="53"/>
      <c r="F128" s="75">
        <v>0.0</v>
      </c>
      <c r="G128" s="56"/>
      <c r="H128" s="74">
        <v>0.0</v>
      </c>
      <c r="I128" s="56"/>
      <c r="J128" s="74">
        <v>0.0</v>
      </c>
      <c r="K128" s="56"/>
      <c r="L128" s="73">
        <v>0.0</v>
      </c>
      <c r="M128" s="56"/>
      <c r="N128" s="74">
        <v>0.0</v>
      </c>
      <c r="O128" s="56"/>
      <c r="P128" s="72">
        <v>0.0</v>
      </c>
      <c r="Q128" s="56"/>
      <c r="R128" s="74">
        <v>0.0</v>
      </c>
      <c r="S128" s="56"/>
      <c r="T128" s="74">
        <v>0.0</v>
      </c>
      <c r="U128" s="56"/>
      <c r="V128" s="74">
        <v>0.0</v>
      </c>
      <c r="W128" s="56"/>
      <c r="X128" s="74">
        <v>0.0</v>
      </c>
      <c r="Y128" s="60"/>
      <c r="Z128" s="75">
        <v>0.0</v>
      </c>
      <c r="AA128" s="56"/>
      <c r="AB128" s="74">
        <v>0.0</v>
      </c>
      <c r="AC128" s="56"/>
      <c r="AD128" s="74">
        <v>0.0</v>
      </c>
      <c r="AE128" s="56"/>
      <c r="AF128" s="57"/>
      <c r="AG128" s="56"/>
      <c r="AH128" s="57"/>
      <c r="AI128" s="56"/>
      <c r="AJ128" s="57"/>
      <c r="AK128" s="60"/>
      <c r="AL128" s="61">
        <f t="shared" si="1"/>
        <v>0</v>
      </c>
      <c r="AM128" s="51">
        <f t="shared" si="2"/>
        <v>0</v>
      </c>
      <c r="AN128" s="51">
        <v>0.0</v>
      </c>
      <c r="AO128" s="51">
        <f t="shared" si="3"/>
        <v>0</v>
      </c>
      <c r="AP128" s="63" t="str">
        <f t="shared" si="4"/>
        <v/>
      </c>
    </row>
    <row r="129" ht="15.75" customHeight="1">
      <c r="A129" s="18" t="s">
        <v>20</v>
      </c>
      <c r="B129" s="64">
        <f t="shared" si="5"/>
        <v>44689</v>
      </c>
      <c r="C129" s="20">
        <v>5.0</v>
      </c>
      <c r="D129" s="20" t="s">
        <v>33</v>
      </c>
      <c r="E129" s="22"/>
      <c r="F129" s="44">
        <v>0.0</v>
      </c>
      <c r="H129" s="45">
        <v>0.0</v>
      </c>
      <c r="J129" s="45">
        <v>0.0</v>
      </c>
      <c r="L129" s="46">
        <v>77.0</v>
      </c>
      <c r="M129" s="47"/>
      <c r="N129" s="49">
        <v>77.0</v>
      </c>
      <c r="O129" s="47"/>
      <c r="P129" s="49">
        <v>0.0</v>
      </c>
      <c r="Q129" s="47"/>
      <c r="R129" s="49">
        <v>35.0</v>
      </c>
      <c r="S129" s="47"/>
      <c r="T129" s="49">
        <v>1.0</v>
      </c>
      <c r="U129" s="47"/>
      <c r="V129" s="49">
        <v>1.0</v>
      </c>
      <c r="W129" s="47"/>
      <c r="X129" s="49">
        <v>0.0</v>
      </c>
      <c r="Y129" s="55"/>
      <c r="Z129" s="44">
        <v>25.0</v>
      </c>
      <c r="AB129" s="45">
        <v>25.0</v>
      </c>
      <c r="AD129" s="45">
        <v>0.0</v>
      </c>
      <c r="AF129" s="24"/>
      <c r="AH129" s="24"/>
      <c r="AJ129" s="24"/>
      <c r="AK129" s="27"/>
      <c r="AL129" s="28">
        <f t="shared" si="1"/>
        <v>3173.25</v>
      </c>
      <c r="AM129" s="20">
        <f t="shared" si="2"/>
        <v>241</v>
      </c>
      <c r="AN129" s="20">
        <v>0.0</v>
      </c>
      <c r="AO129" s="20">
        <f t="shared" si="3"/>
        <v>241</v>
      </c>
      <c r="AP129" s="31">
        <f t="shared" si="4"/>
        <v>13.16701245</v>
      </c>
    </row>
    <row r="130" ht="15.75" customHeight="1">
      <c r="A130" s="32" t="s">
        <v>22</v>
      </c>
      <c r="B130" s="34">
        <f t="shared" si="5"/>
        <v>44690</v>
      </c>
      <c r="C130" s="35">
        <v>5.0</v>
      </c>
      <c r="D130" s="35" t="s">
        <v>33</v>
      </c>
      <c r="E130" s="37"/>
      <c r="F130" s="44">
        <v>0.0</v>
      </c>
      <c r="H130" s="45">
        <v>0.0</v>
      </c>
      <c r="J130" s="45">
        <v>0.0</v>
      </c>
      <c r="L130" s="66">
        <v>77.0</v>
      </c>
      <c r="N130" s="45">
        <v>77.0</v>
      </c>
      <c r="P130" s="45">
        <v>0.0</v>
      </c>
      <c r="R130" s="45">
        <v>35.0</v>
      </c>
      <c r="T130" s="45">
        <v>0.0</v>
      </c>
      <c r="V130" s="45">
        <v>0.0</v>
      </c>
      <c r="X130" s="45">
        <v>0.0</v>
      </c>
      <c r="Y130" s="27"/>
      <c r="Z130" s="44">
        <v>25.0</v>
      </c>
      <c r="AB130" s="45">
        <v>25.0</v>
      </c>
      <c r="AD130" s="45">
        <v>0.0</v>
      </c>
      <c r="AF130" s="24"/>
      <c r="AH130" s="24"/>
      <c r="AJ130" s="24"/>
      <c r="AK130" s="27"/>
      <c r="AL130" s="39">
        <f t="shared" si="1"/>
        <v>2473.25</v>
      </c>
      <c r="AM130" s="35">
        <f t="shared" si="2"/>
        <v>239</v>
      </c>
      <c r="AN130" s="35">
        <v>0.0</v>
      </c>
      <c r="AO130" s="35">
        <f t="shared" si="3"/>
        <v>239</v>
      </c>
      <c r="AP130" s="40">
        <f t="shared" si="4"/>
        <v>10.34832636</v>
      </c>
    </row>
    <row r="131" ht="15.75" customHeight="1">
      <c r="A131" s="32" t="s">
        <v>24</v>
      </c>
      <c r="B131" s="34">
        <f t="shared" si="5"/>
        <v>44691</v>
      </c>
      <c r="C131" s="35">
        <v>5.0</v>
      </c>
      <c r="D131" s="35" t="s">
        <v>33</v>
      </c>
      <c r="E131" s="37"/>
      <c r="F131" s="44">
        <v>0.0</v>
      </c>
      <c r="H131" s="45">
        <v>0.0</v>
      </c>
      <c r="J131" s="45">
        <v>0.0</v>
      </c>
      <c r="L131" s="66">
        <v>77.0</v>
      </c>
      <c r="N131" s="45">
        <v>77.0</v>
      </c>
      <c r="P131" s="67">
        <v>0.0</v>
      </c>
      <c r="R131" s="45">
        <v>0.0</v>
      </c>
      <c r="T131" s="67">
        <v>0.0</v>
      </c>
      <c r="V131" s="67">
        <v>0.0</v>
      </c>
      <c r="X131" s="45">
        <v>0.0</v>
      </c>
      <c r="Y131" s="27"/>
      <c r="Z131" s="44">
        <v>25.0</v>
      </c>
      <c r="AB131" s="45">
        <v>25.0</v>
      </c>
      <c r="AD131" s="45">
        <v>0.0</v>
      </c>
      <c r="AF131" s="24"/>
      <c r="AH131" s="24"/>
      <c r="AJ131" s="24"/>
      <c r="AK131" s="27"/>
      <c r="AL131" s="39">
        <f t="shared" si="1"/>
        <v>2315.4</v>
      </c>
      <c r="AM131" s="35">
        <f t="shared" si="2"/>
        <v>204</v>
      </c>
      <c r="AN131" s="35">
        <v>0.0</v>
      </c>
      <c r="AO131" s="35">
        <f t="shared" si="3"/>
        <v>204</v>
      </c>
      <c r="AP131" s="40">
        <f t="shared" si="4"/>
        <v>11.35</v>
      </c>
    </row>
    <row r="132" ht="15.75" customHeight="1">
      <c r="A132" s="32" t="s">
        <v>28</v>
      </c>
      <c r="B132" s="34">
        <f t="shared" si="5"/>
        <v>44692</v>
      </c>
      <c r="C132" s="35">
        <v>5.0</v>
      </c>
      <c r="D132" s="35" t="s">
        <v>33</v>
      </c>
      <c r="E132" s="37"/>
      <c r="F132" s="44">
        <v>0.0</v>
      </c>
      <c r="H132" s="45">
        <v>0.0</v>
      </c>
      <c r="J132" s="45">
        <v>0.0</v>
      </c>
      <c r="L132" s="66">
        <v>77.0</v>
      </c>
      <c r="N132" s="45">
        <v>77.0</v>
      </c>
      <c r="P132" s="67">
        <v>0.0</v>
      </c>
      <c r="R132" s="45">
        <v>35.0</v>
      </c>
      <c r="T132" s="67">
        <v>0.0</v>
      </c>
      <c r="V132" s="67">
        <v>0.0</v>
      </c>
      <c r="X132" s="45">
        <v>0.0</v>
      </c>
      <c r="Y132" s="27"/>
      <c r="Z132" s="44">
        <v>25.0</v>
      </c>
      <c r="AB132" s="45">
        <v>25.0</v>
      </c>
      <c r="AD132" s="45">
        <v>0.0</v>
      </c>
      <c r="AF132" s="24"/>
      <c r="AH132" s="24"/>
      <c r="AJ132" s="24"/>
      <c r="AK132" s="27"/>
      <c r="AL132" s="39">
        <f t="shared" si="1"/>
        <v>2473.25</v>
      </c>
      <c r="AM132" s="35">
        <f t="shared" si="2"/>
        <v>239</v>
      </c>
      <c r="AN132" s="35">
        <v>0.0</v>
      </c>
      <c r="AO132" s="35">
        <f t="shared" si="3"/>
        <v>239</v>
      </c>
      <c r="AP132" s="40">
        <f t="shared" si="4"/>
        <v>10.34832636</v>
      </c>
    </row>
    <row r="133" ht="15.75" customHeight="1">
      <c r="A133" s="32" t="s">
        <v>29</v>
      </c>
      <c r="B133" s="34">
        <f t="shared" si="5"/>
        <v>44693</v>
      </c>
      <c r="C133" s="35">
        <v>5.0</v>
      </c>
      <c r="D133" s="35" t="s">
        <v>33</v>
      </c>
      <c r="E133" s="37"/>
      <c r="F133" s="44">
        <v>0.0</v>
      </c>
      <c r="H133" s="45">
        <v>0.0</v>
      </c>
      <c r="J133" s="45">
        <v>0.0</v>
      </c>
      <c r="L133" s="66">
        <v>77.0</v>
      </c>
      <c r="N133" s="45">
        <v>77.0</v>
      </c>
      <c r="P133" s="67">
        <v>0.0</v>
      </c>
      <c r="R133" s="45">
        <v>0.0</v>
      </c>
      <c r="T133" s="67">
        <v>0.0</v>
      </c>
      <c r="V133" s="67">
        <v>0.0</v>
      </c>
      <c r="X133" s="45">
        <v>0.0</v>
      </c>
      <c r="Y133" s="27"/>
      <c r="Z133" s="44">
        <v>25.0</v>
      </c>
      <c r="AB133" s="45">
        <v>25.0</v>
      </c>
      <c r="AD133" s="45">
        <v>0.0</v>
      </c>
      <c r="AF133" s="24"/>
      <c r="AH133" s="24"/>
      <c r="AJ133" s="24"/>
      <c r="AK133" s="27"/>
      <c r="AL133" s="39">
        <f t="shared" si="1"/>
        <v>2315.4</v>
      </c>
      <c r="AM133" s="35">
        <f t="shared" si="2"/>
        <v>204</v>
      </c>
      <c r="AN133" s="35">
        <v>0.0</v>
      </c>
      <c r="AO133" s="35">
        <f t="shared" si="3"/>
        <v>204</v>
      </c>
      <c r="AP133" s="40">
        <f t="shared" si="4"/>
        <v>11.35</v>
      </c>
    </row>
    <row r="134" ht="15.75" customHeight="1">
      <c r="A134" s="32" t="s">
        <v>30</v>
      </c>
      <c r="B134" s="34">
        <f t="shared" si="5"/>
        <v>44694</v>
      </c>
      <c r="C134" s="35">
        <v>5.0</v>
      </c>
      <c r="D134" s="35" t="s">
        <v>33</v>
      </c>
      <c r="E134" s="37"/>
      <c r="F134" s="44">
        <v>0.0</v>
      </c>
      <c r="H134" s="45">
        <v>0.0</v>
      </c>
      <c r="J134" s="45">
        <v>0.0</v>
      </c>
      <c r="L134" s="66">
        <v>77.0</v>
      </c>
      <c r="N134" s="45">
        <v>77.0</v>
      </c>
      <c r="P134" s="67">
        <v>0.0</v>
      </c>
      <c r="R134" s="45">
        <v>0.0</v>
      </c>
      <c r="T134" s="67">
        <v>0.0</v>
      </c>
      <c r="V134" s="67">
        <v>0.0</v>
      </c>
      <c r="X134" s="45">
        <v>0.0</v>
      </c>
      <c r="Y134" s="27"/>
      <c r="Z134" s="44">
        <v>18.0</v>
      </c>
      <c r="AB134" s="45">
        <v>25.0</v>
      </c>
      <c r="AD134" s="45">
        <v>0.0</v>
      </c>
      <c r="AF134" s="24"/>
      <c r="AH134" s="24"/>
      <c r="AJ134" s="24"/>
      <c r="AK134" s="27"/>
      <c r="AL134" s="39">
        <f t="shared" si="1"/>
        <v>2235.95</v>
      </c>
      <c r="AM134" s="35">
        <f t="shared" si="2"/>
        <v>197</v>
      </c>
      <c r="AN134" s="35">
        <v>0.0</v>
      </c>
      <c r="AO134" s="35">
        <f t="shared" si="3"/>
        <v>197</v>
      </c>
      <c r="AP134" s="40">
        <f t="shared" si="4"/>
        <v>11.35</v>
      </c>
    </row>
    <row r="135" ht="15.75" customHeight="1">
      <c r="A135" s="48" t="s">
        <v>31</v>
      </c>
      <c r="B135" s="50">
        <f t="shared" si="5"/>
        <v>44695</v>
      </c>
      <c r="C135" s="51">
        <v>5.0</v>
      </c>
      <c r="D135" s="51" t="s">
        <v>33</v>
      </c>
      <c r="E135" s="53"/>
      <c r="F135" s="75">
        <v>0.0</v>
      </c>
      <c r="G135" s="56"/>
      <c r="H135" s="74">
        <v>0.0</v>
      </c>
      <c r="I135" s="56"/>
      <c r="J135" s="74">
        <v>0.0</v>
      </c>
      <c r="K135" s="56"/>
      <c r="L135" s="73">
        <v>0.0</v>
      </c>
      <c r="M135" s="56"/>
      <c r="N135" s="74">
        <v>0.0</v>
      </c>
      <c r="O135" s="56"/>
      <c r="P135" s="72">
        <v>0.0</v>
      </c>
      <c r="Q135" s="56"/>
      <c r="R135" s="74">
        <v>0.0</v>
      </c>
      <c r="S135" s="56"/>
      <c r="T135" s="74">
        <v>0.0</v>
      </c>
      <c r="U135" s="56"/>
      <c r="V135" s="74">
        <v>0.0</v>
      </c>
      <c r="W135" s="56"/>
      <c r="X135" s="74">
        <v>0.0</v>
      </c>
      <c r="Y135" s="60"/>
      <c r="Z135" s="75">
        <v>0.0</v>
      </c>
      <c r="AA135" s="56"/>
      <c r="AB135" s="74">
        <v>0.0</v>
      </c>
      <c r="AC135" s="56"/>
      <c r="AD135" s="74">
        <v>0.0</v>
      </c>
      <c r="AE135" s="56"/>
      <c r="AF135" s="57"/>
      <c r="AG135" s="56"/>
      <c r="AH135" s="57"/>
      <c r="AI135" s="56"/>
      <c r="AJ135" s="57"/>
      <c r="AK135" s="60"/>
      <c r="AL135" s="61">
        <f t="shared" si="1"/>
        <v>0</v>
      </c>
      <c r="AM135" s="51">
        <f t="shared" si="2"/>
        <v>0</v>
      </c>
      <c r="AN135" s="51">
        <v>0.0</v>
      </c>
      <c r="AO135" s="51">
        <f t="shared" si="3"/>
        <v>0</v>
      </c>
      <c r="AP135" s="63" t="str">
        <f t="shared" si="4"/>
        <v/>
      </c>
    </row>
    <row r="136" ht="15.75" customHeight="1">
      <c r="A136" s="18" t="s">
        <v>20</v>
      </c>
      <c r="B136" s="64">
        <f t="shared" si="5"/>
        <v>44696</v>
      </c>
      <c r="C136" s="20">
        <v>5.0</v>
      </c>
      <c r="D136" s="20" t="s">
        <v>34</v>
      </c>
      <c r="E136" s="22"/>
      <c r="F136" s="44">
        <v>0.0</v>
      </c>
      <c r="H136" s="45">
        <v>0.0</v>
      </c>
      <c r="J136" s="45">
        <v>0.0</v>
      </c>
      <c r="L136" s="46">
        <v>77.0</v>
      </c>
      <c r="M136" s="47"/>
      <c r="N136" s="49">
        <v>77.0</v>
      </c>
      <c r="O136" s="47"/>
      <c r="P136" s="49">
        <v>0.0</v>
      </c>
      <c r="Q136" s="47"/>
      <c r="R136" s="49">
        <v>35.0</v>
      </c>
      <c r="S136" s="47"/>
      <c r="T136" s="49">
        <v>1.0</v>
      </c>
      <c r="U136" s="47"/>
      <c r="V136" s="49">
        <v>1.0</v>
      </c>
      <c r="W136" s="47"/>
      <c r="X136" s="49">
        <v>0.0</v>
      </c>
      <c r="Y136" s="55"/>
      <c r="Z136" s="44">
        <v>28.0</v>
      </c>
      <c r="AB136" s="45">
        <v>28.0</v>
      </c>
      <c r="AD136" s="45">
        <v>0.0</v>
      </c>
      <c r="AF136" s="24"/>
      <c r="AH136" s="24"/>
      <c r="AJ136" s="24"/>
      <c r="AK136" s="27"/>
      <c r="AL136" s="28">
        <f t="shared" si="1"/>
        <v>3241.35</v>
      </c>
      <c r="AM136" s="20">
        <f t="shared" si="2"/>
        <v>247</v>
      </c>
      <c r="AN136" s="20">
        <v>0.0</v>
      </c>
      <c r="AO136" s="20">
        <f t="shared" si="3"/>
        <v>247</v>
      </c>
      <c r="AP136" s="31">
        <f t="shared" si="4"/>
        <v>13.12287449</v>
      </c>
    </row>
    <row r="137" ht="15.75" customHeight="1">
      <c r="A137" s="32" t="s">
        <v>22</v>
      </c>
      <c r="B137" s="34">
        <f t="shared" si="5"/>
        <v>44697</v>
      </c>
      <c r="C137" s="35">
        <v>5.0</v>
      </c>
      <c r="D137" s="35" t="s">
        <v>34</v>
      </c>
      <c r="E137" s="37"/>
      <c r="F137" s="68">
        <v>0.0</v>
      </c>
      <c r="H137" s="67">
        <v>0.0</v>
      </c>
      <c r="J137" s="67">
        <v>0.0</v>
      </c>
      <c r="L137" s="66">
        <v>77.0</v>
      </c>
      <c r="N137" s="45">
        <v>77.0</v>
      </c>
      <c r="P137" s="45">
        <v>0.0</v>
      </c>
      <c r="R137" s="45">
        <v>35.0</v>
      </c>
      <c r="T137" s="45">
        <v>0.0</v>
      </c>
      <c r="V137" s="45">
        <v>0.0</v>
      </c>
      <c r="X137" s="45">
        <v>0.0</v>
      </c>
      <c r="Y137" s="27"/>
      <c r="Z137" s="68">
        <v>28.0</v>
      </c>
      <c r="AB137" s="67">
        <v>28.0</v>
      </c>
      <c r="AD137" s="67">
        <v>0.0</v>
      </c>
      <c r="AF137" s="24"/>
      <c r="AH137" s="24"/>
      <c r="AJ137" s="24"/>
      <c r="AK137" s="27"/>
      <c r="AL137" s="39">
        <f t="shared" si="1"/>
        <v>2541.35</v>
      </c>
      <c r="AM137" s="35">
        <f t="shared" si="2"/>
        <v>245</v>
      </c>
      <c r="AN137" s="35">
        <v>0.0</v>
      </c>
      <c r="AO137" s="35">
        <f t="shared" si="3"/>
        <v>245</v>
      </c>
      <c r="AP137" s="40">
        <f t="shared" si="4"/>
        <v>10.37285714</v>
      </c>
    </row>
    <row r="138" ht="15.75" customHeight="1">
      <c r="A138" s="32" t="s">
        <v>24</v>
      </c>
      <c r="B138" s="34">
        <f t="shared" si="5"/>
        <v>44698</v>
      </c>
      <c r="C138" s="35">
        <v>5.0</v>
      </c>
      <c r="D138" s="35" t="s">
        <v>34</v>
      </c>
      <c r="E138" s="37"/>
      <c r="F138" s="68">
        <v>0.0</v>
      </c>
      <c r="H138" s="67">
        <v>0.0</v>
      </c>
      <c r="J138" s="67">
        <v>0.0</v>
      </c>
      <c r="L138" s="66">
        <v>77.0</v>
      </c>
      <c r="N138" s="45">
        <v>77.0</v>
      </c>
      <c r="P138" s="67">
        <v>0.0</v>
      </c>
      <c r="R138" s="45">
        <v>0.0</v>
      </c>
      <c r="T138" s="45">
        <v>0.0</v>
      </c>
      <c r="V138" s="45">
        <v>0.0</v>
      </c>
      <c r="X138" s="45">
        <v>0.0</v>
      </c>
      <c r="Y138" s="27"/>
      <c r="Z138" s="44">
        <v>29.0</v>
      </c>
      <c r="AB138" s="45">
        <v>29.0</v>
      </c>
      <c r="AD138" s="67">
        <v>0.0</v>
      </c>
      <c r="AF138" s="24"/>
      <c r="AH138" s="24"/>
      <c r="AJ138" s="24"/>
      <c r="AK138" s="27"/>
      <c r="AL138" s="39">
        <f t="shared" si="1"/>
        <v>2406.2</v>
      </c>
      <c r="AM138" s="35">
        <f t="shared" si="2"/>
        <v>212</v>
      </c>
      <c r="AN138" s="35">
        <v>0.0</v>
      </c>
      <c r="AO138" s="35">
        <f t="shared" si="3"/>
        <v>212</v>
      </c>
      <c r="AP138" s="40">
        <f t="shared" si="4"/>
        <v>11.35</v>
      </c>
    </row>
    <row r="139" ht="15.75" customHeight="1">
      <c r="A139" s="32" t="s">
        <v>28</v>
      </c>
      <c r="B139" s="34">
        <f t="shared" si="5"/>
        <v>44699</v>
      </c>
      <c r="C139" s="35">
        <v>5.0</v>
      </c>
      <c r="D139" s="35" t="s">
        <v>34</v>
      </c>
      <c r="E139" s="37"/>
      <c r="F139" s="68">
        <v>0.0</v>
      </c>
      <c r="H139" s="67">
        <v>0.0</v>
      </c>
      <c r="J139" s="67">
        <v>0.0</v>
      </c>
      <c r="L139" s="66">
        <v>77.0</v>
      </c>
      <c r="N139" s="45">
        <v>77.0</v>
      </c>
      <c r="P139" s="67">
        <v>0.0</v>
      </c>
      <c r="R139" s="45">
        <v>35.0</v>
      </c>
      <c r="T139" s="45">
        <v>0.0</v>
      </c>
      <c r="V139" s="45">
        <v>0.0</v>
      </c>
      <c r="X139" s="45">
        <v>0.0</v>
      </c>
      <c r="Y139" s="27"/>
      <c r="Z139" s="44">
        <v>29.0</v>
      </c>
      <c r="AB139" s="45">
        <v>29.0</v>
      </c>
      <c r="AD139" s="67">
        <v>0.0</v>
      </c>
      <c r="AF139" s="24"/>
      <c r="AH139" s="24"/>
      <c r="AJ139" s="24"/>
      <c r="AK139" s="27"/>
      <c r="AL139" s="39">
        <f t="shared" si="1"/>
        <v>2564.05</v>
      </c>
      <c r="AM139" s="35">
        <f t="shared" si="2"/>
        <v>247</v>
      </c>
      <c r="AN139" s="35">
        <v>0.0</v>
      </c>
      <c r="AO139" s="35">
        <f t="shared" si="3"/>
        <v>247</v>
      </c>
      <c r="AP139" s="40">
        <f t="shared" si="4"/>
        <v>10.38076923</v>
      </c>
    </row>
    <row r="140" ht="15.75" customHeight="1">
      <c r="A140" s="32" t="s">
        <v>29</v>
      </c>
      <c r="B140" s="34">
        <f t="shared" si="5"/>
        <v>44700</v>
      </c>
      <c r="C140" s="35">
        <v>5.0</v>
      </c>
      <c r="D140" s="35" t="s">
        <v>34</v>
      </c>
      <c r="E140" s="37"/>
      <c r="F140" s="68">
        <v>0.0</v>
      </c>
      <c r="H140" s="67">
        <v>0.0</v>
      </c>
      <c r="J140" s="67">
        <v>0.0</v>
      </c>
      <c r="L140" s="66">
        <v>77.0</v>
      </c>
      <c r="N140" s="45">
        <v>77.0</v>
      </c>
      <c r="P140" s="67">
        <v>0.0</v>
      </c>
      <c r="R140" s="45">
        <v>35.0</v>
      </c>
      <c r="T140" s="45">
        <v>0.0</v>
      </c>
      <c r="V140" s="45">
        <v>0.0</v>
      </c>
      <c r="X140" s="45">
        <v>0.0</v>
      </c>
      <c r="Y140" s="27"/>
      <c r="Z140" s="44">
        <v>29.0</v>
      </c>
      <c r="AB140" s="45">
        <v>29.0</v>
      </c>
      <c r="AD140" s="67">
        <v>0.0</v>
      </c>
      <c r="AF140" s="24"/>
      <c r="AH140" s="24"/>
      <c r="AJ140" s="24"/>
      <c r="AK140" s="27"/>
      <c r="AL140" s="39">
        <f t="shared" si="1"/>
        <v>2564.05</v>
      </c>
      <c r="AM140" s="35">
        <f t="shared" si="2"/>
        <v>247</v>
      </c>
      <c r="AN140" s="35">
        <v>0.0</v>
      </c>
      <c r="AO140" s="35">
        <f t="shared" si="3"/>
        <v>247</v>
      </c>
      <c r="AP140" s="40">
        <f t="shared" si="4"/>
        <v>10.38076923</v>
      </c>
    </row>
    <row r="141" ht="15.75" customHeight="1">
      <c r="A141" s="32" t="s">
        <v>30</v>
      </c>
      <c r="B141" s="34">
        <f t="shared" si="5"/>
        <v>44701</v>
      </c>
      <c r="C141" s="35">
        <v>5.0</v>
      </c>
      <c r="D141" s="35" t="s">
        <v>34</v>
      </c>
      <c r="E141" s="37"/>
      <c r="F141" s="68">
        <v>0.0</v>
      </c>
      <c r="H141" s="67">
        <v>0.0</v>
      </c>
      <c r="J141" s="67">
        <v>0.0</v>
      </c>
      <c r="L141" s="66">
        <v>77.0</v>
      </c>
      <c r="N141" s="45">
        <v>77.0</v>
      </c>
      <c r="P141" s="67">
        <v>0.0</v>
      </c>
      <c r="R141" s="45">
        <v>0.0</v>
      </c>
      <c r="T141" s="45">
        <v>0.0</v>
      </c>
      <c r="V141" s="45">
        <v>0.0</v>
      </c>
      <c r="X141" s="45">
        <v>0.0</v>
      </c>
      <c r="Y141" s="27"/>
      <c r="Z141" s="44">
        <v>17.0</v>
      </c>
      <c r="AB141" s="45">
        <v>17.0</v>
      </c>
      <c r="AD141" s="67">
        <v>0.0</v>
      </c>
      <c r="AF141" s="24"/>
      <c r="AH141" s="24"/>
      <c r="AJ141" s="24"/>
      <c r="AK141" s="27"/>
      <c r="AL141" s="39">
        <f t="shared" si="1"/>
        <v>2133.8</v>
      </c>
      <c r="AM141" s="35">
        <f t="shared" si="2"/>
        <v>188</v>
      </c>
      <c r="AN141" s="35">
        <v>0.0</v>
      </c>
      <c r="AO141" s="35">
        <f t="shared" si="3"/>
        <v>188</v>
      </c>
      <c r="AP141" s="40">
        <f t="shared" si="4"/>
        <v>11.35</v>
      </c>
    </row>
    <row r="142" ht="15.75" customHeight="1">
      <c r="A142" s="48" t="s">
        <v>31</v>
      </c>
      <c r="B142" s="50">
        <f t="shared" si="5"/>
        <v>44702</v>
      </c>
      <c r="C142" s="51">
        <v>5.0</v>
      </c>
      <c r="D142" s="51" t="s">
        <v>34</v>
      </c>
      <c r="E142" s="53"/>
      <c r="F142" s="71">
        <v>0.0</v>
      </c>
      <c r="G142" s="56"/>
      <c r="H142" s="72">
        <v>0.0</v>
      </c>
      <c r="I142" s="56"/>
      <c r="J142" s="72">
        <v>0.0</v>
      </c>
      <c r="K142" s="56"/>
      <c r="L142" s="73">
        <v>0.0</v>
      </c>
      <c r="M142" s="56"/>
      <c r="N142" s="74">
        <v>0.0</v>
      </c>
      <c r="O142" s="56"/>
      <c r="P142" s="72">
        <v>0.0</v>
      </c>
      <c r="Q142" s="56"/>
      <c r="R142" s="74">
        <v>0.0</v>
      </c>
      <c r="S142" s="56"/>
      <c r="T142" s="74">
        <v>0.0</v>
      </c>
      <c r="U142" s="56"/>
      <c r="V142" s="74">
        <v>0.0</v>
      </c>
      <c r="W142" s="56"/>
      <c r="X142" s="74">
        <v>0.0</v>
      </c>
      <c r="Y142" s="60"/>
      <c r="Z142" s="75">
        <v>0.0</v>
      </c>
      <c r="AA142" s="56"/>
      <c r="AB142" s="74">
        <v>0.0</v>
      </c>
      <c r="AC142" s="56"/>
      <c r="AD142" s="72">
        <v>0.0</v>
      </c>
      <c r="AE142" s="56"/>
      <c r="AF142" s="57"/>
      <c r="AG142" s="56"/>
      <c r="AH142" s="57"/>
      <c r="AI142" s="56"/>
      <c r="AJ142" s="57"/>
      <c r="AK142" s="60"/>
      <c r="AL142" s="61">
        <f t="shared" si="1"/>
        <v>0</v>
      </c>
      <c r="AM142" s="51">
        <f t="shared" si="2"/>
        <v>0</v>
      </c>
      <c r="AN142" s="51">
        <v>0.0</v>
      </c>
      <c r="AO142" s="51">
        <f t="shared" si="3"/>
        <v>0</v>
      </c>
      <c r="AP142" s="63" t="str">
        <f t="shared" si="4"/>
        <v/>
      </c>
    </row>
    <row r="143" ht="15.75" customHeight="1">
      <c r="A143" s="18" t="s">
        <v>20</v>
      </c>
      <c r="B143" s="64">
        <f t="shared" si="5"/>
        <v>44703</v>
      </c>
      <c r="C143" s="20">
        <v>6.0</v>
      </c>
      <c r="D143" s="20" t="s">
        <v>21</v>
      </c>
      <c r="E143" s="22"/>
      <c r="F143" s="44">
        <v>0.0</v>
      </c>
      <c r="H143" s="45">
        <v>0.0</v>
      </c>
      <c r="J143" s="45">
        <v>0.0</v>
      </c>
      <c r="L143" s="46">
        <v>77.0</v>
      </c>
      <c r="M143" s="47"/>
      <c r="N143" s="49">
        <v>77.0</v>
      </c>
      <c r="O143" s="47"/>
      <c r="P143" s="49">
        <v>0.0</v>
      </c>
      <c r="Q143" s="47"/>
      <c r="R143" s="49">
        <v>35.0</v>
      </c>
      <c r="S143" s="47"/>
      <c r="T143" s="49">
        <v>1.0</v>
      </c>
      <c r="U143" s="47"/>
      <c r="V143" s="49">
        <v>1.0</v>
      </c>
      <c r="W143" s="47"/>
      <c r="X143" s="49">
        <v>0.0</v>
      </c>
      <c r="Y143" s="55"/>
      <c r="Z143" s="44">
        <v>28.0</v>
      </c>
      <c r="AB143" s="45">
        <v>28.0</v>
      </c>
      <c r="AD143" s="45">
        <v>0.0</v>
      </c>
      <c r="AF143" s="24"/>
      <c r="AH143" s="24"/>
      <c r="AJ143" s="24"/>
      <c r="AK143" s="27"/>
      <c r="AL143" s="28">
        <f t="shared" si="1"/>
        <v>3241.35</v>
      </c>
      <c r="AM143" s="20">
        <f t="shared" si="2"/>
        <v>247</v>
      </c>
      <c r="AN143" s="20">
        <v>0.0</v>
      </c>
      <c r="AO143" s="20">
        <f t="shared" si="3"/>
        <v>247</v>
      </c>
      <c r="AP143" s="31">
        <f t="shared" si="4"/>
        <v>13.12287449</v>
      </c>
    </row>
    <row r="144" ht="15.75" customHeight="1">
      <c r="A144" s="32" t="s">
        <v>22</v>
      </c>
      <c r="B144" s="34">
        <f t="shared" si="5"/>
        <v>44704</v>
      </c>
      <c r="C144" s="35">
        <v>6.0</v>
      </c>
      <c r="D144" s="35" t="s">
        <v>21</v>
      </c>
      <c r="E144" s="37"/>
      <c r="F144" s="44">
        <v>0.0</v>
      </c>
      <c r="H144" s="45">
        <v>0.0</v>
      </c>
      <c r="J144" s="45">
        <v>0.0</v>
      </c>
      <c r="L144" s="66">
        <v>77.0</v>
      </c>
      <c r="N144" s="45">
        <v>77.0</v>
      </c>
      <c r="P144" s="45">
        <v>0.0</v>
      </c>
      <c r="R144" s="45">
        <v>35.0</v>
      </c>
      <c r="T144" s="45">
        <v>0.0</v>
      </c>
      <c r="V144" s="45">
        <v>0.0</v>
      </c>
      <c r="X144" s="45">
        <v>0.0</v>
      </c>
      <c r="Y144" s="27"/>
      <c r="Z144" s="44">
        <v>29.0</v>
      </c>
      <c r="AB144" s="45">
        <v>29.0</v>
      </c>
      <c r="AD144" s="45">
        <v>0.0</v>
      </c>
      <c r="AF144" s="24"/>
      <c r="AH144" s="24"/>
      <c r="AJ144" s="24"/>
      <c r="AK144" s="27"/>
      <c r="AL144" s="39">
        <f t="shared" si="1"/>
        <v>2564.05</v>
      </c>
      <c r="AM144" s="35">
        <f t="shared" si="2"/>
        <v>247</v>
      </c>
      <c r="AN144" s="35">
        <v>0.0</v>
      </c>
      <c r="AO144" s="35">
        <f t="shared" si="3"/>
        <v>247</v>
      </c>
      <c r="AP144" s="40">
        <f t="shared" si="4"/>
        <v>10.38076923</v>
      </c>
    </row>
    <row r="145" ht="15.75" customHeight="1">
      <c r="A145" s="32" t="s">
        <v>24</v>
      </c>
      <c r="B145" s="34">
        <f t="shared" si="5"/>
        <v>44705</v>
      </c>
      <c r="C145" s="35">
        <v>6.0</v>
      </c>
      <c r="D145" s="35" t="s">
        <v>21</v>
      </c>
      <c r="E145" s="37"/>
      <c r="F145" s="44">
        <v>0.0</v>
      </c>
      <c r="H145" s="45">
        <v>0.0</v>
      </c>
      <c r="J145" s="45">
        <v>0.0</v>
      </c>
      <c r="L145" s="66">
        <v>77.0</v>
      </c>
      <c r="N145" s="45">
        <v>77.0</v>
      </c>
      <c r="P145" s="45">
        <v>0.0</v>
      </c>
      <c r="R145" s="45">
        <v>0.0</v>
      </c>
      <c r="T145" s="45">
        <v>0.0</v>
      </c>
      <c r="V145" s="45">
        <v>0.0</v>
      </c>
      <c r="X145" s="45">
        <v>0.0</v>
      </c>
      <c r="Y145" s="27"/>
      <c r="Z145" s="44">
        <v>29.0</v>
      </c>
      <c r="AB145" s="45">
        <v>29.0</v>
      </c>
      <c r="AD145" s="45">
        <v>0.0</v>
      </c>
      <c r="AF145" s="24"/>
      <c r="AH145" s="24"/>
      <c r="AJ145" s="24"/>
      <c r="AK145" s="27"/>
      <c r="AL145" s="39">
        <f t="shared" si="1"/>
        <v>2406.2</v>
      </c>
      <c r="AM145" s="35">
        <f t="shared" si="2"/>
        <v>212</v>
      </c>
      <c r="AN145" s="35">
        <v>0.0</v>
      </c>
      <c r="AO145" s="35">
        <f t="shared" si="3"/>
        <v>212</v>
      </c>
      <c r="AP145" s="40">
        <f t="shared" si="4"/>
        <v>11.35</v>
      </c>
    </row>
    <row r="146" ht="15.75" customHeight="1">
      <c r="A146" s="32" t="s">
        <v>28</v>
      </c>
      <c r="B146" s="34">
        <f t="shared" si="5"/>
        <v>44706</v>
      </c>
      <c r="C146" s="35">
        <v>6.0</v>
      </c>
      <c r="D146" s="35" t="s">
        <v>21</v>
      </c>
      <c r="E146" s="37"/>
      <c r="F146" s="44">
        <v>0.0</v>
      </c>
      <c r="H146" s="45">
        <v>0.0</v>
      </c>
      <c r="J146" s="45">
        <v>0.0</v>
      </c>
      <c r="L146" s="66">
        <v>0.0</v>
      </c>
      <c r="N146" s="45">
        <v>77.0</v>
      </c>
      <c r="P146" s="45">
        <v>50.0</v>
      </c>
      <c r="R146" s="45">
        <v>50.0</v>
      </c>
      <c r="T146" s="45">
        <v>0.0</v>
      </c>
      <c r="V146" s="45">
        <v>0.0</v>
      </c>
      <c r="X146" s="45">
        <v>35.0</v>
      </c>
      <c r="Y146" s="27"/>
      <c r="Z146" s="44">
        <v>0.0</v>
      </c>
      <c r="AB146" s="45">
        <v>29.0</v>
      </c>
      <c r="AD146" s="45">
        <v>0.0</v>
      </c>
      <c r="AF146" s="24"/>
      <c r="AH146" s="24"/>
      <c r="AJ146" s="24"/>
      <c r="AK146" s="27"/>
      <c r="AL146" s="39">
        <f t="shared" si="1"/>
        <v>2276.1</v>
      </c>
      <c r="AM146" s="35">
        <f t="shared" si="2"/>
        <v>241</v>
      </c>
      <c r="AN146" s="35">
        <v>0.0</v>
      </c>
      <c r="AO146" s="35">
        <f t="shared" si="3"/>
        <v>241</v>
      </c>
      <c r="AP146" s="40">
        <f t="shared" si="4"/>
        <v>9.44439834</v>
      </c>
    </row>
    <row r="147" ht="15.75" customHeight="1">
      <c r="A147" s="32" t="s">
        <v>29</v>
      </c>
      <c r="B147" s="34">
        <f t="shared" si="5"/>
        <v>44707</v>
      </c>
      <c r="C147" s="35">
        <v>6.0</v>
      </c>
      <c r="D147" s="35" t="s">
        <v>21</v>
      </c>
      <c r="E147" s="37"/>
      <c r="F147" s="44">
        <v>0.0</v>
      </c>
      <c r="H147" s="45">
        <v>0.0</v>
      </c>
      <c r="J147" s="45">
        <v>0.0</v>
      </c>
      <c r="L147" s="66">
        <v>77.0</v>
      </c>
      <c r="N147" s="45">
        <v>77.0</v>
      </c>
      <c r="P147" s="45">
        <v>0.0</v>
      </c>
      <c r="R147" s="45">
        <v>35.0</v>
      </c>
      <c r="T147" s="45">
        <v>0.0</v>
      </c>
      <c r="V147" s="45">
        <v>0.0</v>
      </c>
      <c r="X147" s="45">
        <v>0.0</v>
      </c>
      <c r="Y147" s="27"/>
      <c r="Z147" s="44">
        <v>29.0</v>
      </c>
      <c r="AB147" s="45">
        <v>29.0</v>
      </c>
      <c r="AD147" s="45">
        <v>0.0</v>
      </c>
      <c r="AF147" s="24"/>
      <c r="AH147" s="24"/>
      <c r="AJ147" s="24"/>
      <c r="AK147" s="27"/>
      <c r="AL147" s="39">
        <f t="shared" si="1"/>
        <v>2564.05</v>
      </c>
      <c r="AM147" s="35">
        <f t="shared" si="2"/>
        <v>247</v>
      </c>
      <c r="AN147" s="35">
        <v>0.0</v>
      </c>
      <c r="AO147" s="35">
        <f t="shared" si="3"/>
        <v>247</v>
      </c>
      <c r="AP147" s="40">
        <f t="shared" si="4"/>
        <v>10.38076923</v>
      </c>
    </row>
    <row r="148" ht="15.75" customHeight="1">
      <c r="A148" s="32" t="s">
        <v>30</v>
      </c>
      <c r="B148" s="34">
        <f t="shared" si="5"/>
        <v>44708</v>
      </c>
      <c r="C148" s="35">
        <v>6.0</v>
      </c>
      <c r="D148" s="35" t="s">
        <v>21</v>
      </c>
      <c r="E148" s="37"/>
      <c r="F148" s="44">
        <v>0.0</v>
      </c>
      <c r="H148" s="45">
        <v>0.0</v>
      </c>
      <c r="J148" s="45">
        <v>0.0</v>
      </c>
      <c r="L148" s="66">
        <v>77.0</v>
      </c>
      <c r="N148" s="45">
        <v>77.0</v>
      </c>
      <c r="P148" s="45">
        <v>0.0</v>
      </c>
      <c r="R148" s="45">
        <v>35.0</v>
      </c>
      <c r="T148" s="45">
        <v>0.0</v>
      </c>
      <c r="V148" s="45">
        <v>0.0</v>
      </c>
      <c r="X148" s="45">
        <v>0.0</v>
      </c>
      <c r="Y148" s="27"/>
      <c r="Z148" s="44">
        <v>20.0</v>
      </c>
      <c r="AB148" s="45">
        <v>20.0</v>
      </c>
      <c r="AD148" s="81"/>
      <c r="AF148" s="24"/>
      <c r="AH148" s="24"/>
      <c r="AJ148" s="24"/>
      <c r="AK148" s="27"/>
      <c r="AL148" s="39">
        <f t="shared" si="1"/>
        <v>2359.75</v>
      </c>
      <c r="AM148" s="35">
        <f t="shared" si="2"/>
        <v>229</v>
      </c>
      <c r="AN148" s="35">
        <v>0.0</v>
      </c>
      <c r="AO148" s="35">
        <f t="shared" si="3"/>
        <v>229</v>
      </c>
      <c r="AP148" s="40">
        <f t="shared" si="4"/>
        <v>10.30458515</v>
      </c>
    </row>
    <row r="149" ht="15.75" customHeight="1">
      <c r="A149" s="48" t="s">
        <v>31</v>
      </c>
      <c r="B149" s="50">
        <f t="shared" si="5"/>
        <v>44709</v>
      </c>
      <c r="C149" s="51">
        <v>6.0</v>
      </c>
      <c r="D149" s="51" t="s">
        <v>21</v>
      </c>
      <c r="E149" s="53"/>
      <c r="F149" s="75">
        <v>0.0</v>
      </c>
      <c r="G149" s="56"/>
      <c r="H149" s="74">
        <v>0.0</v>
      </c>
      <c r="I149" s="56"/>
      <c r="J149" s="74">
        <v>0.0</v>
      </c>
      <c r="K149" s="56"/>
      <c r="L149" s="73">
        <v>0.0</v>
      </c>
      <c r="M149" s="56"/>
      <c r="N149" s="74">
        <v>0.0</v>
      </c>
      <c r="O149" s="56"/>
      <c r="P149" s="74">
        <v>0.0</v>
      </c>
      <c r="Q149" s="56"/>
      <c r="R149" s="74">
        <v>0.0</v>
      </c>
      <c r="S149" s="56"/>
      <c r="T149" s="74">
        <v>0.0</v>
      </c>
      <c r="U149" s="56"/>
      <c r="V149" s="74">
        <v>0.0</v>
      </c>
      <c r="W149" s="56"/>
      <c r="X149" s="74">
        <v>0.0</v>
      </c>
      <c r="Y149" s="60"/>
      <c r="Z149" s="75">
        <v>0.0</v>
      </c>
      <c r="AA149" s="56"/>
      <c r="AB149" s="74">
        <v>0.0</v>
      </c>
      <c r="AC149" s="56"/>
      <c r="AD149" s="74">
        <v>0.0</v>
      </c>
      <c r="AE149" s="56"/>
      <c r="AF149" s="57"/>
      <c r="AG149" s="56"/>
      <c r="AH149" s="57"/>
      <c r="AI149" s="56"/>
      <c r="AJ149" s="57"/>
      <c r="AK149" s="60"/>
      <c r="AL149" s="61">
        <f t="shared" si="1"/>
        <v>0</v>
      </c>
      <c r="AM149" s="51">
        <f t="shared" si="2"/>
        <v>0</v>
      </c>
      <c r="AN149" s="51">
        <v>0.0</v>
      </c>
      <c r="AO149" s="51">
        <f t="shared" si="3"/>
        <v>0</v>
      </c>
      <c r="AP149" s="63" t="str">
        <f t="shared" si="4"/>
        <v/>
      </c>
    </row>
    <row r="150" ht="15.75" customHeight="1">
      <c r="A150" s="18" t="s">
        <v>20</v>
      </c>
      <c r="B150" s="64">
        <f t="shared" si="5"/>
        <v>44710</v>
      </c>
      <c r="C150" s="20">
        <v>6.0</v>
      </c>
      <c r="D150" s="20" t="s">
        <v>32</v>
      </c>
      <c r="E150" s="22"/>
      <c r="F150" s="44">
        <v>0.0</v>
      </c>
      <c r="H150" s="45">
        <v>0.0</v>
      </c>
      <c r="J150" s="45">
        <v>0.0</v>
      </c>
      <c r="L150" s="46">
        <v>0.0</v>
      </c>
      <c r="M150" s="47"/>
      <c r="N150" s="49">
        <v>77.0</v>
      </c>
      <c r="O150" s="47"/>
      <c r="P150" s="49">
        <v>50.0</v>
      </c>
      <c r="Q150" s="47"/>
      <c r="R150" s="49">
        <v>50.0</v>
      </c>
      <c r="S150" s="47"/>
      <c r="T150" s="49">
        <v>1.0</v>
      </c>
      <c r="U150" s="47"/>
      <c r="V150" s="49">
        <v>1.0</v>
      </c>
      <c r="W150" s="47"/>
      <c r="X150" s="49">
        <v>35.0</v>
      </c>
      <c r="Y150" s="55"/>
      <c r="Z150" s="44">
        <v>0.0</v>
      </c>
      <c r="AB150" s="45">
        <v>29.0</v>
      </c>
      <c r="AD150" s="45">
        <v>0.0</v>
      </c>
      <c r="AF150" s="24"/>
      <c r="AH150" s="24"/>
      <c r="AJ150" s="24"/>
      <c r="AK150" s="27"/>
      <c r="AL150" s="28">
        <f t="shared" si="1"/>
        <v>2976.1</v>
      </c>
      <c r="AM150" s="20">
        <f t="shared" si="2"/>
        <v>243</v>
      </c>
      <c r="AN150" s="20">
        <v>0.0</v>
      </c>
      <c r="AO150" s="20">
        <f t="shared" si="3"/>
        <v>243</v>
      </c>
      <c r="AP150" s="31">
        <f t="shared" si="4"/>
        <v>12.2473251</v>
      </c>
    </row>
    <row r="151" ht="15.75" customHeight="1">
      <c r="A151" s="32" t="s">
        <v>22</v>
      </c>
      <c r="B151" s="34">
        <f t="shared" si="5"/>
        <v>44711</v>
      </c>
      <c r="C151" s="35">
        <v>6.0</v>
      </c>
      <c r="D151" s="35" t="s">
        <v>32</v>
      </c>
      <c r="E151" s="37"/>
      <c r="F151" s="44">
        <v>0.0</v>
      </c>
      <c r="H151" s="45">
        <v>0.0</v>
      </c>
      <c r="J151" s="45">
        <v>0.0</v>
      </c>
      <c r="L151" s="66">
        <v>77.0</v>
      </c>
      <c r="N151" s="45">
        <v>77.0</v>
      </c>
      <c r="P151" s="45">
        <v>0.0</v>
      </c>
      <c r="R151" s="45">
        <v>0.0</v>
      </c>
      <c r="T151" s="45">
        <v>0.0</v>
      </c>
      <c r="V151" s="45">
        <v>0.0</v>
      </c>
      <c r="X151" s="45">
        <v>0.0</v>
      </c>
      <c r="Y151" s="27"/>
      <c r="Z151" s="44">
        <v>29.0</v>
      </c>
      <c r="AB151" s="45">
        <v>29.0</v>
      </c>
      <c r="AD151" s="45">
        <v>0.0</v>
      </c>
      <c r="AF151" s="24"/>
      <c r="AH151" s="24"/>
      <c r="AJ151" s="24"/>
      <c r="AK151" s="27"/>
      <c r="AL151" s="39">
        <f t="shared" si="1"/>
        <v>2406.2</v>
      </c>
      <c r="AM151" s="35">
        <f t="shared" si="2"/>
        <v>212</v>
      </c>
      <c r="AN151" s="35">
        <v>0.0</v>
      </c>
      <c r="AO151" s="35">
        <f t="shared" si="3"/>
        <v>212</v>
      </c>
      <c r="AP151" s="40">
        <f t="shared" si="4"/>
        <v>11.35</v>
      </c>
    </row>
    <row r="152" ht="15.75" customHeight="1">
      <c r="A152" s="32" t="s">
        <v>24</v>
      </c>
      <c r="B152" s="34">
        <f t="shared" si="5"/>
        <v>44712</v>
      </c>
      <c r="C152" s="35">
        <v>6.0</v>
      </c>
      <c r="D152" s="35" t="s">
        <v>32</v>
      </c>
      <c r="E152" s="37"/>
      <c r="F152" s="44">
        <v>0.0</v>
      </c>
      <c r="H152" s="45">
        <v>0.0</v>
      </c>
      <c r="J152" s="45">
        <v>0.0</v>
      </c>
      <c r="L152" s="66">
        <v>77.0</v>
      </c>
      <c r="N152" s="45">
        <v>77.0</v>
      </c>
      <c r="P152" s="45">
        <v>0.0</v>
      </c>
      <c r="R152" s="45">
        <v>0.0</v>
      </c>
      <c r="T152" s="45">
        <v>0.0</v>
      </c>
      <c r="V152" s="45">
        <v>0.0</v>
      </c>
      <c r="X152" s="45">
        <v>0.0</v>
      </c>
      <c r="Y152" s="27"/>
      <c r="Z152" s="44">
        <v>29.0</v>
      </c>
      <c r="AB152" s="45">
        <v>29.0</v>
      </c>
      <c r="AD152" s="45">
        <v>0.0</v>
      </c>
      <c r="AF152" s="24"/>
      <c r="AH152" s="24"/>
      <c r="AJ152" s="24"/>
      <c r="AK152" s="27"/>
      <c r="AL152" s="39">
        <f t="shared" si="1"/>
        <v>2406.2</v>
      </c>
      <c r="AM152" s="35">
        <f t="shared" si="2"/>
        <v>212</v>
      </c>
      <c r="AN152" s="35">
        <v>0.0</v>
      </c>
      <c r="AO152" s="35">
        <f t="shared" si="3"/>
        <v>212</v>
      </c>
      <c r="AP152" s="40">
        <f t="shared" si="4"/>
        <v>11.35</v>
      </c>
    </row>
    <row r="153" ht="15.75" customHeight="1">
      <c r="A153" s="32" t="s">
        <v>28</v>
      </c>
      <c r="B153" s="34">
        <f t="shared" si="5"/>
        <v>44713</v>
      </c>
      <c r="C153" s="35">
        <v>6.0</v>
      </c>
      <c r="D153" s="35" t="s">
        <v>32</v>
      </c>
      <c r="E153" s="37"/>
      <c r="F153" s="44">
        <v>0.0</v>
      </c>
      <c r="H153" s="45">
        <v>0.0</v>
      </c>
      <c r="J153" s="45">
        <v>0.0</v>
      </c>
      <c r="L153" s="66">
        <v>0.0</v>
      </c>
      <c r="N153" s="45">
        <v>77.0</v>
      </c>
      <c r="P153" s="45">
        <v>50.0</v>
      </c>
      <c r="R153" s="45">
        <v>50.0</v>
      </c>
      <c r="T153" s="45">
        <v>0.0</v>
      </c>
      <c r="V153" s="45">
        <v>0.0</v>
      </c>
      <c r="X153" s="45">
        <v>35.0</v>
      </c>
      <c r="Y153" s="27"/>
      <c r="Z153" s="44">
        <v>0.0</v>
      </c>
      <c r="AB153" s="45">
        <v>29.0</v>
      </c>
      <c r="AD153" s="45">
        <v>0.0</v>
      </c>
      <c r="AF153" s="24"/>
      <c r="AH153" s="24"/>
      <c r="AJ153" s="24"/>
      <c r="AK153" s="27"/>
      <c r="AL153" s="39">
        <f t="shared" si="1"/>
        <v>2276.1</v>
      </c>
      <c r="AM153" s="35">
        <f t="shared" si="2"/>
        <v>241</v>
      </c>
      <c r="AN153" s="35">
        <v>0.0</v>
      </c>
      <c r="AO153" s="35">
        <f t="shared" si="3"/>
        <v>241</v>
      </c>
      <c r="AP153" s="40">
        <f t="shared" si="4"/>
        <v>9.44439834</v>
      </c>
    </row>
    <row r="154" ht="15.75" customHeight="1">
      <c r="A154" s="32" t="s">
        <v>29</v>
      </c>
      <c r="B154" s="34">
        <f t="shared" si="5"/>
        <v>44714</v>
      </c>
      <c r="C154" s="35">
        <v>6.0</v>
      </c>
      <c r="D154" s="35" t="s">
        <v>32</v>
      </c>
      <c r="E154" s="37"/>
      <c r="F154" s="44">
        <v>0.0</v>
      </c>
      <c r="H154" s="45">
        <v>0.0</v>
      </c>
      <c r="J154" s="45">
        <v>0.0</v>
      </c>
      <c r="L154" s="66">
        <v>30.0</v>
      </c>
      <c r="N154" s="45">
        <v>30.0</v>
      </c>
      <c r="P154" s="45">
        <v>0.0</v>
      </c>
      <c r="R154" s="45">
        <v>0.0</v>
      </c>
      <c r="T154" s="45">
        <v>0.0</v>
      </c>
      <c r="V154" s="45">
        <v>0.0</v>
      </c>
      <c r="X154" s="45">
        <v>0.0</v>
      </c>
      <c r="Y154" s="27"/>
      <c r="Z154" s="44">
        <v>35.0</v>
      </c>
      <c r="AB154" s="45">
        <v>35.0</v>
      </c>
      <c r="AD154" s="81"/>
      <c r="AF154" s="24"/>
      <c r="AH154" s="24"/>
      <c r="AJ154" s="24"/>
      <c r="AK154" s="27"/>
      <c r="AL154" s="39">
        <f t="shared" si="1"/>
        <v>1475.5</v>
      </c>
      <c r="AM154" s="35">
        <f t="shared" si="2"/>
        <v>130</v>
      </c>
      <c r="AN154" s="35">
        <v>0.0</v>
      </c>
      <c r="AO154" s="35">
        <f t="shared" si="3"/>
        <v>130</v>
      </c>
      <c r="AP154" s="40">
        <f t="shared" si="4"/>
        <v>11.35</v>
      </c>
    </row>
    <row r="155" ht="15.75" customHeight="1">
      <c r="A155" s="32" t="s">
        <v>30</v>
      </c>
      <c r="B155" s="34">
        <f t="shared" si="5"/>
        <v>44715</v>
      </c>
      <c r="C155" s="35">
        <v>6.0</v>
      </c>
      <c r="D155" s="35" t="s">
        <v>32</v>
      </c>
      <c r="E155" s="37"/>
      <c r="F155" s="44">
        <v>0.0</v>
      </c>
      <c r="H155" s="45">
        <v>0.0</v>
      </c>
      <c r="J155" s="45">
        <v>0.0</v>
      </c>
      <c r="L155" s="66">
        <v>0.0</v>
      </c>
      <c r="N155" s="45">
        <v>0.0</v>
      </c>
      <c r="P155" s="45">
        <v>0.0</v>
      </c>
      <c r="R155" s="45">
        <v>0.0</v>
      </c>
      <c r="T155" s="45">
        <v>0.0</v>
      </c>
      <c r="V155" s="45">
        <v>0.0</v>
      </c>
      <c r="X155" s="45">
        <v>25.0</v>
      </c>
      <c r="Y155" s="27"/>
      <c r="Z155" s="44">
        <v>0.0</v>
      </c>
      <c r="AB155" s="45">
        <v>25.0</v>
      </c>
      <c r="AD155" s="45">
        <v>0.0</v>
      </c>
      <c r="AF155" s="24"/>
      <c r="AH155" s="24"/>
      <c r="AJ155" s="24"/>
      <c r="AK155" s="27"/>
      <c r="AL155" s="39">
        <f t="shared" si="1"/>
        <v>483.75</v>
      </c>
      <c r="AM155" s="35">
        <f t="shared" si="2"/>
        <v>50</v>
      </c>
      <c r="AN155" s="35">
        <v>0.0</v>
      </c>
      <c r="AO155" s="35">
        <f t="shared" si="3"/>
        <v>50</v>
      </c>
      <c r="AP155" s="40">
        <f t="shared" si="4"/>
        <v>9.675</v>
      </c>
    </row>
    <row r="156" ht="15.75" customHeight="1">
      <c r="A156" s="48" t="s">
        <v>31</v>
      </c>
      <c r="B156" s="50">
        <f t="shared" si="5"/>
        <v>44716</v>
      </c>
      <c r="C156" s="51">
        <v>6.0</v>
      </c>
      <c r="D156" s="51" t="s">
        <v>32</v>
      </c>
      <c r="E156" s="53"/>
      <c r="F156" s="75">
        <v>0.0</v>
      </c>
      <c r="G156" s="56"/>
      <c r="H156" s="74">
        <v>0.0</v>
      </c>
      <c r="I156" s="56"/>
      <c r="J156" s="74">
        <v>0.0</v>
      </c>
      <c r="K156" s="56"/>
      <c r="L156" s="73">
        <v>77.0</v>
      </c>
      <c r="M156" s="56"/>
      <c r="N156" s="74">
        <v>77.0</v>
      </c>
      <c r="O156" s="56"/>
      <c r="P156" s="74">
        <v>0.0</v>
      </c>
      <c r="Q156" s="56"/>
      <c r="R156" s="74">
        <v>0.0</v>
      </c>
      <c r="S156" s="56"/>
      <c r="T156" s="74">
        <v>0.0</v>
      </c>
      <c r="U156" s="56"/>
      <c r="V156" s="74">
        <v>0.0</v>
      </c>
      <c r="W156" s="56"/>
      <c r="X156" s="74">
        <v>0.0</v>
      </c>
      <c r="Y156" s="60"/>
      <c r="Z156" s="75">
        <v>0.0</v>
      </c>
      <c r="AA156" s="56"/>
      <c r="AB156" s="74">
        <v>0.0</v>
      </c>
      <c r="AC156" s="56"/>
      <c r="AD156" s="74">
        <v>0.0</v>
      </c>
      <c r="AE156" s="56"/>
      <c r="AF156" s="57"/>
      <c r="AG156" s="56"/>
      <c r="AH156" s="57"/>
      <c r="AI156" s="56"/>
      <c r="AJ156" s="57"/>
      <c r="AK156" s="60"/>
      <c r="AL156" s="61">
        <f t="shared" si="1"/>
        <v>1747.9</v>
      </c>
      <c r="AM156" s="51">
        <f t="shared" si="2"/>
        <v>154</v>
      </c>
      <c r="AN156" s="51">
        <v>0.0</v>
      </c>
      <c r="AO156" s="51">
        <f t="shared" si="3"/>
        <v>154</v>
      </c>
      <c r="AP156" s="63">
        <f t="shared" si="4"/>
        <v>11.35</v>
      </c>
    </row>
    <row r="157" ht="15.75" customHeight="1">
      <c r="A157" s="18" t="s">
        <v>20</v>
      </c>
      <c r="B157" s="64">
        <f t="shared" si="5"/>
        <v>44717</v>
      </c>
      <c r="C157" s="20">
        <v>6.0</v>
      </c>
      <c r="D157" s="20" t="s">
        <v>33</v>
      </c>
      <c r="E157" s="85" t="s">
        <v>35</v>
      </c>
      <c r="F157" s="44">
        <v>0.0</v>
      </c>
      <c r="H157" s="45">
        <v>0.0</v>
      </c>
      <c r="J157" s="45">
        <v>0.0</v>
      </c>
      <c r="L157" s="46">
        <v>0.0</v>
      </c>
      <c r="M157" s="47"/>
      <c r="N157" s="49">
        <v>77.0</v>
      </c>
      <c r="O157" s="47"/>
      <c r="P157" s="49">
        <v>50.0</v>
      </c>
      <c r="Q157" s="47"/>
      <c r="R157" s="49">
        <v>50.0</v>
      </c>
      <c r="S157" s="47"/>
      <c r="T157" s="49">
        <v>1.0</v>
      </c>
      <c r="U157" s="47"/>
      <c r="V157" s="49">
        <v>1.0</v>
      </c>
      <c r="W157" s="47"/>
      <c r="X157" s="49">
        <v>35.0</v>
      </c>
      <c r="Y157" s="55"/>
      <c r="Z157" s="44">
        <v>0.0</v>
      </c>
      <c r="AB157" s="45">
        <v>35.0</v>
      </c>
      <c r="AD157" s="45">
        <v>0.0</v>
      </c>
      <c r="AF157" s="24"/>
      <c r="AH157" s="24"/>
      <c r="AJ157" s="24"/>
      <c r="AK157" s="27"/>
      <c r="AL157" s="28">
        <f t="shared" si="1"/>
        <v>3044.2</v>
      </c>
      <c r="AM157" s="20">
        <f t="shared" si="2"/>
        <v>249</v>
      </c>
      <c r="AN157" s="20">
        <v>0.0</v>
      </c>
      <c r="AO157" s="20">
        <f t="shared" si="3"/>
        <v>249</v>
      </c>
      <c r="AP157" s="31">
        <f t="shared" si="4"/>
        <v>12.22570281</v>
      </c>
    </row>
    <row r="158" ht="15.75" customHeight="1">
      <c r="A158" s="32" t="s">
        <v>22</v>
      </c>
      <c r="B158" s="34">
        <f t="shared" si="5"/>
        <v>44718</v>
      </c>
      <c r="C158" s="35">
        <v>6.0</v>
      </c>
      <c r="D158" s="35" t="s">
        <v>33</v>
      </c>
      <c r="E158" s="87" t="s">
        <v>35</v>
      </c>
      <c r="F158" s="44">
        <v>0.0</v>
      </c>
      <c r="H158" s="45">
        <v>0.0</v>
      </c>
      <c r="J158" s="45">
        <v>0.0</v>
      </c>
      <c r="L158" s="66">
        <v>0.0</v>
      </c>
      <c r="N158" s="45">
        <v>77.0</v>
      </c>
      <c r="P158" s="45">
        <v>50.0</v>
      </c>
      <c r="R158" s="45">
        <v>50.0</v>
      </c>
      <c r="T158" s="45">
        <v>0.0</v>
      </c>
      <c r="V158" s="45">
        <v>0.0</v>
      </c>
      <c r="X158" s="45">
        <v>35.0</v>
      </c>
      <c r="Y158" s="27"/>
      <c r="Z158" s="44">
        <v>0.0</v>
      </c>
      <c r="AB158" s="45">
        <v>35.0</v>
      </c>
      <c r="AD158" s="45">
        <v>0.0</v>
      </c>
      <c r="AF158" s="24"/>
      <c r="AH158" s="24"/>
      <c r="AJ158" s="24"/>
      <c r="AK158" s="27"/>
      <c r="AL158" s="39">
        <f t="shared" si="1"/>
        <v>2344.2</v>
      </c>
      <c r="AM158" s="35">
        <f t="shared" si="2"/>
        <v>247</v>
      </c>
      <c r="AN158" s="35">
        <v>0.0</v>
      </c>
      <c r="AO158" s="35">
        <f t="shared" si="3"/>
        <v>247</v>
      </c>
      <c r="AP158" s="40">
        <f t="shared" si="4"/>
        <v>9.490688259</v>
      </c>
    </row>
    <row r="159" ht="15.75" customHeight="1">
      <c r="A159" s="32" t="s">
        <v>24</v>
      </c>
      <c r="B159" s="34">
        <f t="shared" si="5"/>
        <v>44719</v>
      </c>
      <c r="C159" s="35">
        <v>6.0</v>
      </c>
      <c r="D159" s="35" t="s">
        <v>33</v>
      </c>
      <c r="E159" s="87" t="s">
        <v>35</v>
      </c>
      <c r="F159" s="44">
        <v>0.0</v>
      </c>
      <c r="H159" s="45">
        <v>0.0</v>
      </c>
      <c r="J159" s="45">
        <v>0.0</v>
      </c>
      <c r="L159" s="66">
        <v>77.0</v>
      </c>
      <c r="N159" s="45">
        <v>77.0</v>
      </c>
      <c r="P159" s="45">
        <v>0.0</v>
      </c>
      <c r="R159" s="45">
        <v>0.0</v>
      </c>
      <c r="T159" s="45">
        <v>0.0</v>
      </c>
      <c r="V159" s="45">
        <v>0.0</v>
      </c>
      <c r="X159" s="45">
        <v>0.0</v>
      </c>
      <c r="Y159" s="27"/>
      <c r="Z159" s="44">
        <v>35.0</v>
      </c>
      <c r="AB159" s="45">
        <v>35.0</v>
      </c>
      <c r="AD159" s="45">
        <v>0.0</v>
      </c>
      <c r="AF159" s="24"/>
      <c r="AH159" s="24"/>
      <c r="AJ159" s="24"/>
      <c r="AK159" s="27"/>
      <c r="AL159" s="39">
        <f t="shared" si="1"/>
        <v>2542.4</v>
      </c>
      <c r="AM159" s="35">
        <f t="shared" si="2"/>
        <v>224</v>
      </c>
      <c r="AN159" s="35">
        <v>0.0</v>
      </c>
      <c r="AO159" s="35">
        <f t="shared" si="3"/>
        <v>224</v>
      </c>
      <c r="AP159" s="40">
        <f t="shared" si="4"/>
        <v>11.35</v>
      </c>
    </row>
    <row r="160" ht="15.75" customHeight="1">
      <c r="A160" s="32" t="s">
        <v>28</v>
      </c>
      <c r="B160" s="34">
        <f t="shared" si="5"/>
        <v>44720</v>
      </c>
      <c r="C160" s="35">
        <v>6.0</v>
      </c>
      <c r="D160" s="35" t="s">
        <v>33</v>
      </c>
      <c r="E160" s="87" t="s">
        <v>35</v>
      </c>
      <c r="F160" s="44">
        <v>0.0</v>
      </c>
      <c r="H160" s="45">
        <v>0.0</v>
      </c>
      <c r="J160" s="45">
        <v>0.0</v>
      </c>
      <c r="L160" s="66">
        <v>0.0</v>
      </c>
      <c r="N160" s="45">
        <v>77.0</v>
      </c>
      <c r="P160" s="45">
        <v>50.0</v>
      </c>
      <c r="R160" s="45">
        <v>50.0</v>
      </c>
      <c r="T160" s="45">
        <v>0.0</v>
      </c>
      <c r="V160" s="45">
        <v>0.0</v>
      </c>
      <c r="X160" s="45">
        <v>35.0</v>
      </c>
      <c r="Y160" s="27"/>
      <c r="Z160" s="44">
        <v>0.0</v>
      </c>
      <c r="AB160" s="45">
        <v>35.0</v>
      </c>
      <c r="AD160" s="45">
        <v>0.0</v>
      </c>
      <c r="AF160" s="24"/>
      <c r="AH160" s="24"/>
      <c r="AJ160" s="24"/>
      <c r="AK160" s="27"/>
      <c r="AL160" s="39">
        <f t="shared" si="1"/>
        <v>2344.2</v>
      </c>
      <c r="AM160" s="35">
        <f t="shared" si="2"/>
        <v>247</v>
      </c>
      <c r="AN160" s="35">
        <v>0.0</v>
      </c>
      <c r="AO160" s="35">
        <f t="shared" si="3"/>
        <v>247</v>
      </c>
      <c r="AP160" s="40">
        <f t="shared" si="4"/>
        <v>9.490688259</v>
      </c>
    </row>
    <row r="161" ht="15.75" customHeight="1">
      <c r="A161" s="32" t="s">
        <v>29</v>
      </c>
      <c r="B161" s="34">
        <f t="shared" si="5"/>
        <v>44721</v>
      </c>
      <c r="C161" s="35">
        <v>6.0</v>
      </c>
      <c r="D161" s="35" t="s">
        <v>33</v>
      </c>
      <c r="E161" s="87" t="s">
        <v>35</v>
      </c>
      <c r="F161" s="44">
        <v>0.0</v>
      </c>
      <c r="H161" s="45">
        <v>0.0</v>
      </c>
      <c r="J161" s="45">
        <v>0.0</v>
      </c>
      <c r="L161" s="66">
        <v>77.0</v>
      </c>
      <c r="N161" s="45">
        <v>77.0</v>
      </c>
      <c r="P161" s="45">
        <v>0.0</v>
      </c>
      <c r="R161" s="45">
        <v>0.0</v>
      </c>
      <c r="T161" s="45">
        <v>0.0</v>
      </c>
      <c r="V161" s="45">
        <v>0.0</v>
      </c>
      <c r="X161" s="45">
        <v>0.0</v>
      </c>
      <c r="Y161" s="27"/>
      <c r="Z161" s="44">
        <v>35.0</v>
      </c>
      <c r="AB161" s="45">
        <v>35.0</v>
      </c>
      <c r="AD161" s="45">
        <v>0.0</v>
      </c>
      <c r="AF161" s="24"/>
      <c r="AH161" s="24"/>
      <c r="AJ161" s="24"/>
      <c r="AK161" s="27"/>
      <c r="AL161" s="39">
        <f t="shared" si="1"/>
        <v>2542.4</v>
      </c>
      <c r="AM161" s="35">
        <f t="shared" si="2"/>
        <v>224</v>
      </c>
      <c r="AN161" s="35">
        <v>0.0</v>
      </c>
      <c r="AO161" s="35">
        <f t="shared" si="3"/>
        <v>224</v>
      </c>
      <c r="AP161" s="40">
        <f t="shared" si="4"/>
        <v>11.35</v>
      </c>
    </row>
    <row r="162" ht="15.75" customHeight="1">
      <c r="A162" s="32" t="s">
        <v>30</v>
      </c>
      <c r="B162" s="34">
        <f t="shared" si="5"/>
        <v>44722</v>
      </c>
      <c r="C162" s="35">
        <v>6.0</v>
      </c>
      <c r="D162" s="35" t="s">
        <v>33</v>
      </c>
      <c r="E162" s="87" t="s">
        <v>35</v>
      </c>
      <c r="F162" s="44">
        <v>0.0</v>
      </c>
      <c r="H162" s="45">
        <v>0.0</v>
      </c>
      <c r="J162" s="45">
        <v>0.0</v>
      </c>
      <c r="L162" s="66">
        <v>77.0</v>
      </c>
      <c r="N162" s="45">
        <v>77.0</v>
      </c>
      <c r="P162" s="45">
        <v>0.0</v>
      </c>
      <c r="R162" s="45">
        <v>0.0</v>
      </c>
      <c r="T162" s="45">
        <v>0.0</v>
      </c>
      <c r="V162" s="45">
        <v>0.0</v>
      </c>
      <c r="X162" s="45">
        <v>0.0</v>
      </c>
      <c r="Y162" s="27"/>
      <c r="Z162" s="44">
        <v>20.0</v>
      </c>
      <c r="AB162" s="45">
        <v>20.0</v>
      </c>
      <c r="AD162" s="45">
        <v>0.0</v>
      </c>
      <c r="AF162" s="24"/>
      <c r="AH162" s="24"/>
      <c r="AJ162" s="24"/>
      <c r="AK162" s="27"/>
      <c r="AL162" s="39">
        <f t="shared" si="1"/>
        <v>2201.9</v>
      </c>
      <c r="AM162" s="35">
        <f t="shared" si="2"/>
        <v>194</v>
      </c>
      <c r="AN162" s="35">
        <v>0.0</v>
      </c>
      <c r="AO162" s="35">
        <f t="shared" si="3"/>
        <v>194</v>
      </c>
      <c r="AP162" s="40">
        <f t="shared" si="4"/>
        <v>11.35</v>
      </c>
    </row>
    <row r="163" ht="15.75" customHeight="1">
      <c r="A163" s="48" t="s">
        <v>31</v>
      </c>
      <c r="B163" s="50">
        <f t="shared" si="5"/>
        <v>44723</v>
      </c>
      <c r="C163" s="51">
        <v>6.0</v>
      </c>
      <c r="D163" s="51" t="s">
        <v>33</v>
      </c>
      <c r="E163" s="88" t="s">
        <v>35</v>
      </c>
      <c r="F163" s="75">
        <v>0.0</v>
      </c>
      <c r="G163" s="56"/>
      <c r="H163" s="74">
        <v>0.0</v>
      </c>
      <c r="I163" s="56"/>
      <c r="J163" s="74">
        <v>0.0</v>
      </c>
      <c r="K163" s="56"/>
      <c r="L163" s="73">
        <v>0.0</v>
      </c>
      <c r="M163" s="56"/>
      <c r="N163" s="74">
        <v>0.0</v>
      </c>
      <c r="O163" s="56"/>
      <c r="P163" s="74">
        <v>0.0</v>
      </c>
      <c r="Q163" s="56"/>
      <c r="R163" s="74">
        <v>0.0</v>
      </c>
      <c r="S163" s="56"/>
      <c r="T163" s="74">
        <v>0.0</v>
      </c>
      <c r="U163" s="56"/>
      <c r="V163" s="74">
        <v>0.0</v>
      </c>
      <c r="W163" s="56"/>
      <c r="X163" s="74">
        <v>0.0</v>
      </c>
      <c r="Y163" s="60"/>
      <c r="Z163" s="75">
        <v>0.0</v>
      </c>
      <c r="AA163" s="56"/>
      <c r="AB163" s="74">
        <v>0.0</v>
      </c>
      <c r="AC163" s="56"/>
      <c r="AD163" s="74">
        <v>0.0</v>
      </c>
      <c r="AE163" s="56"/>
      <c r="AF163" s="57"/>
      <c r="AG163" s="56"/>
      <c r="AH163" s="57"/>
      <c r="AI163" s="56"/>
      <c r="AJ163" s="57"/>
      <c r="AK163" s="60"/>
      <c r="AL163" s="61">
        <f t="shared" si="1"/>
        <v>0</v>
      </c>
      <c r="AM163" s="51">
        <f t="shared" si="2"/>
        <v>0</v>
      </c>
      <c r="AN163" s="51">
        <v>0.0</v>
      </c>
      <c r="AO163" s="51">
        <f t="shared" si="3"/>
        <v>0</v>
      </c>
      <c r="AP163" s="63" t="str">
        <f t="shared" si="4"/>
        <v/>
      </c>
    </row>
    <row r="164" ht="15.75" customHeight="1">
      <c r="A164" s="18" t="s">
        <v>20</v>
      </c>
      <c r="B164" s="64">
        <f t="shared" si="5"/>
        <v>44724</v>
      </c>
      <c r="C164" s="20">
        <v>6.0</v>
      </c>
      <c r="D164" s="20" t="s">
        <v>34</v>
      </c>
      <c r="E164" s="90" t="s">
        <v>35</v>
      </c>
      <c r="F164" s="44">
        <v>0.0</v>
      </c>
      <c r="H164" s="45">
        <v>0.0</v>
      </c>
      <c r="J164" s="45">
        <v>0.0</v>
      </c>
      <c r="L164" s="46">
        <v>0.0</v>
      </c>
      <c r="M164" s="47"/>
      <c r="N164" s="49">
        <v>77.0</v>
      </c>
      <c r="O164" s="47"/>
      <c r="P164" s="49">
        <v>50.0</v>
      </c>
      <c r="Q164" s="47"/>
      <c r="R164" s="49">
        <v>50.0</v>
      </c>
      <c r="S164" s="47"/>
      <c r="T164" s="49">
        <v>1.0</v>
      </c>
      <c r="U164" s="47"/>
      <c r="V164" s="49">
        <v>1.0</v>
      </c>
      <c r="W164" s="47"/>
      <c r="X164" s="49">
        <v>38.0</v>
      </c>
      <c r="Y164" s="55"/>
      <c r="Z164" s="44">
        <v>0.0</v>
      </c>
      <c r="AB164" s="45">
        <v>38.0</v>
      </c>
      <c r="AD164" s="45">
        <v>0.0</v>
      </c>
      <c r="AF164" s="24"/>
      <c r="AH164" s="24"/>
      <c r="AJ164" s="24"/>
      <c r="AK164" s="27"/>
      <c r="AL164" s="28">
        <f t="shared" si="1"/>
        <v>3102.25</v>
      </c>
      <c r="AM164" s="20">
        <f t="shared" si="2"/>
        <v>255</v>
      </c>
      <c r="AN164" s="20">
        <v>0.0</v>
      </c>
      <c r="AO164" s="20">
        <f t="shared" si="3"/>
        <v>255</v>
      </c>
      <c r="AP164" s="31">
        <f t="shared" si="4"/>
        <v>12.16568627</v>
      </c>
    </row>
    <row r="165" ht="15.75" customHeight="1">
      <c r="A165" s="32" t="s">
        <v>22</v>
      </c>
      <c r="B165" s="34">
        <f t="shared" si="5"/>
        <v>44725</v>
      </c>
      <c r="C165" s="35">
        <v>6.0</v>
      </c>
      <c r="D165" s="35" t="s">
        <v>34</v>
      </c>
      <c r="E165" s="87" t="s">
        <v>35</v>
      </c>
      <c r="F165" s="44">
        <v>0.0</v>
      </c>
      <c r="H165" s="45">
        <v>0.0</v>
      </c>
      <c r="J165" s="45">
        <v>0.0</v>
      </c>
      <c r="L165" s="66">
        <v>0.0</v>
      </c>
      <c r="N165" s="45">
        <v>77.0</v>
      </c>
      <c r="P165" s="45">
        <v>50.0</v>
      </c>
      <c r="R165" s="45">
        <v>50.0</v>
      </c>
      <c r="T165" s="45">
        <v>0.0</v>
      </c>
      <c r="V165" s="45">
        <v>0.0</v>
      </c>
      <c r="X165" s="45">
        <v>30.0</v>
      </c>
      <c r="Y165" s="27"/>
      <c r="Z165" s="44">
        <v>0.0</v>
      </c>
      <c r="AB165" s="45">
        <v>30.0</v>
      </c>
      <c r="AD165" s="45">
        <v>0.0</v>
      </c>
      <c r="AF165" s="24"/>
      <c r="AH165" s="24"/>
      <c r="AJ165" s="24"/>
      <c r="AK165" s="27"/>
      <c r="AL165" s="39">
        <f t="shared" si="1"/>
        <v>2247.45</v>
      </c>
      <c r="AM165" s="35">
        <f t="shared" si="2"/>
        <v>237</v>
      </c>
      <c r="AN165" s="35">
        <v>0.0</v>
      </c>
      <c r="AO165" s="35">
        <f t="shared" si="3"/>
        <v>237</v>
      </c>
      <c r="AP165" s="40">
        <f t="shared" si="4"/>
        <v>9.482911392</v>
      </c>
    </row>
    <row r="166" ht="15.75" customHeight="1">
      <c r="A166" s="32" t="s">
        <v>24</v>
      </c>
      <c r="B166" s="34">
        <f t="shared" si="5"/>
        <v>44726</v>
      </c>
      <c r="C166" s="35">
        <v>6.0</v>
      </c>
      <c r="D166" s="35" t="s">
        <v>34</v>
      </c>
      <c r="E166" s="87" t="s">
        <v>35</v>
      </c>
      <c r="F166" s="44">
        <v>0.0</v>
      </c>
      <c r="H166" s="45">
        <v>0.0</v>
      </c>
      <c r="J166" s="45">
        <v>0.0</v>
      </c>
      <c r="L166" s="66">
        <v>0.0</v>
      </c>
      <c r="N166" s="45">
        <v>77.0</v>
      </c>
      <c r="P166" s="45">
        <v>50.0</v>
      </c>
      <c r="R166" s="45">
        <v>50.0</v>
      </c>
      <c r="T166" s="45">
        <v>0.0</v>
      </c>
      <c r="V166" s="45">
        <v>0.0</v>
      </c>
      <c r="X166" s="45">
        <v>30.0</v>
      </c>
      <c r="Y166" s="27"/>
      <c r="Z166" s="44">
        <v>0.0</v>
      </c>
      <c r="AB166" s="45">
        <v>30.0</v>
      </c>
      <c r="AD166" s="45">
        <v>0.0</v>
      </c>
      <c r="AF166" s="24"/>
      <c r="AH166" s="24"/>
      <c r="AJ166" s="24"/>
      <c r="AK166" s="27"/>
      <c r="AL166" s="39">
        <f t="shared" si="1"/>
        <v>2247.45</v>
      </c>
      <c r="AM166" s="35">
        <f t="shared" si="2"/>
        <v>237</v>
      </c>
      <c r="AN166" s="35">
        <v>0.0</v>
      </c>
      <c r="AO166" s="35">
        <f t="shared" si="3"/>
        <v>237</v>
      </c>
      <c r="AP166" s="40">
        <f t="shared" si="4"/>
        <v>9.482911392</v>
      </c>
    </row>
    <row r="167" ht="15.75" customHeight="1">
      <c r="A167" s="32" t="s">
        <v>28</v>
      </c>
      <c r="B167" s="34">
        <f t="shared" si="5"/>
        <v>44727</v>
      </c>
      <c r="C167" s="35">
        <v>6.0</v>
      </c>
      <c r="D167" s="35" t="s">
        <v>34</v>
      </c>
      <c r="E167" s="87" t="s">
        <v>35</v>
      </c>
      <c r="F167" s="44">
        <v>0.0</v>
      </c>
      <c r="H167" s="45">
        <v>0.0</v>
      </c>
      <c r="J167" s="45">
        <v>0.0</v>
      </c>
      <c r="L167" s="66">
        <v>77.0</v>
      </c>
      <c r="N167" s="45">
        <v>77.0</v>
      </c>
      <c r="P167" s="45">
        <v>0.0</v>
      </c>
      <c r="R167" s="45">
        <v>0.0</v>
      </c>
      <c r="T167" s="45">
        <v>0.0</v>
      </c>
      <c r="V167" s="45">
        <v>0.0</v>
      </c>
      <c r="X167" s="45">
        <v>0.0</v>
      </c>
      <c r="Y167" s="27"/>
      <c r="Z167" s="44">
        <v>30.0</v>
      </c>
      <c r="AB167" s="45">
        <v>30.0</v>
      </c>
      <c r="AD167" s="45">
        <v>0.0</v>
      </c>
      <c r="AF167" s="24"/>
      <c r="AH167" s="24"/>
      <c r="AJ167" s="24"/>
      <c r="AK167" s="27"/>
      <c r="AL167" s="39">
        <f t="shared" si="1"/>
        <v>2428.9</v>
      </c>
      <c r="AM167" s="35">
        <f t="shared" si="2"/>
        <v>214</v>
      </c>
      <c r="AN167" s="35">
        <v>0.0</v>
      </c>
      <c r="AO167" s="35">
        <f t="shared" si="3"/>
        <v>214</v>
      </c>
      <c r="AP167" s="40">
        <f t="shared" si="4"/>
        <v>11.35</v>
      </c>
    </row>
    <row r="168" ht="15.75" customHeight="1">
      <c r="A168" s="32" t="s">
        <v>29</v>
      </c>
      <c r="B168" s="34">
        <f t="shared" si="5"/>
        <v>44728</v>
      </c>
      <c r="C168" s="35">
        <v>6.0</v>
      </c>
      <c r="D168" s="35" t="s">
        <v>34</v>
      </c>
      <c r="E168" s="87" t="s">
        <v>35</v>
      </c>
      <c r="F168" s="44">
        <v>0.0</v>
      </c>
      <c r="H168" s="45">
        <v>0.0</v>
      </c>
      <c r="J168" s="45">
        <v>0.0</v>
      </c>
      <c r="L168" s="66">
        <v>0.0</v>
      </c>
      <c r="N168" s="45">
        <v>77.0</v>
      </c>
      <c r="P168" s="45">
        <v>50.0</v>
      </c>
      <c r="R168" s="45">
        <v>50.0</v>
      </c>
      <c r="T168" s="45">
        <v>0.0</v>
      </c>
      <c r="V168" s="45">
        <v>0.0</v>
      </c>
      <c r="X168" s="45">
        <v>30.0</v>
      </c>
      <c r="Y168" s="27"/>
      <c r="Z168" s="44">
        <v>0.0</v>
      </c>
      <c r="AB168" s="45">
        <v>30.0</v>
      </c>
      <c r="AD168" s="45">
        <v>0.0</v>
      </c>
      <c r="AF168" s="24"/>
      <c r="AH168" s="24"/>
      <c r="AJ168" s="24"/>
      <c r="AK168" s="27"/>
      <c r="AL168" s="39">
        <f t="shared" si="1"/>
        <v>2247.45</v>
      </c>
      <c r="AM168" s="35">
        <f t="shared" si="2"/>
        <v>237</v>
      </c>
      <c r="AN168" s="35">
        <v>0.0</v>
      </c>
      <c r="AO168" s="35">
        <f t="shared" si="3"/>
        <v>237</v>
      </c>
      <c r="AP168" s="40">
        <f t="shared" si="4"/>
        <v>9.482911392</v>
      </c>
    </row>
    <row r="169" ht="15.75" customHeight="1">
      <c r="A169" s="32" t="s">
        <v>30</v>
      </c>
      <c r="B169" s="34">
        <f t="shared" si="5"/>
        <v>44729</v>
      </c>
      <c r="C169" s="35">
        <v>6.0</v>
      </c>
      <c r="D169" s="35" t="s">
        <v>34</v>
      </c>
      <c r="E169" s="87" t="s">
        <v>35</v>
      </c>
      <c r="F169" s="44">
        <v>0.0</v>
      </c>
      <c r="H169" s="45">
        <v>0.0</v>
      </c>
      <c r="J169" s="45">
        <v>0.0</v>
      </c>
      <c r="L169" s="66">
        <v>77.0</v>
      </c>
      <c r="N169" s="45">
        <v>77.0</v>
      </c>
      <c r="P169" s="45">
        <v>0.0</v>
      </c>
      <c r="R169" s="45">
        <v>0.0</v>
      </c>
      <c r="T169" s="45">
        <v>0.0</v>
      </c>
      <c r="V169" s="45">
        <v>0.0</v>
      </c>
      <c r="X169" s="45">
        <v>0.0</v>
      </c>
      <c r="Y169" s="27"/>
      <c r="Z169" s="44">
        <v>30.0</v>
      </c>
      <c r="AB169" s="45">
        <v>30.0</v>
      </c>
      <c r="AD169" s="45">
        <v>0.0</v>
      </c>
      <c r="AF169" s="24"/>
      <c r="AH169" s="24"/>
      <c r="AJ169" s="24"/>
      <c r="AK169" s="27"/>
      <c r="AL169" s="39">
        <f t="shared" si="1"/>
        <v>2428.9</v>
      </c>
      <c r="AM169" s="35">
        <f t="shared" si="2"/>
        <v>214</v>
      </c>
      <c r="AN169" s="35">
        <v>0.0</v>
      </c>
      <c r="AO169" s="35">
        <f t="shared" si="3"/>
        <v>214</v>
      </c>
      <c r="AP169" s="40">
        <f t="shared" si="4"/>
        <v>11.35</v>
      </c>
    </row>
    <row r="170" ht="15.75" customHeight="1">
      <c r="A170" s="48" t="s">
        <v>31</v>
      </c>
      <c r="B170" s="50">
        <f t="shared" si="5"/>
        <v>44730</v>
      </c>
      <c r="C170" s="51">
        <v>6.0</v>
      </c>
      <c r="D170" s="51" t="s">
        <v>34</v>
      </c>
      <c r="E170" s="88" t="s">
        <v>35</v>
      </c>
      <c r="F170" s="75">
        <v>0.0</v>
      </c>
      <c r="G170" s="56"/>
      <c r="H170" s="74">
        <v>0.0</v>
      </c>
      <c r="I170" s="56"/>
      <c r="J170" s="74">
        <v>0.0</v>
      </c>
      <c r="K170" s="56"/>
      <c r="L170" s="73">
        <v>0.0</v>
      </c>
      <c r="M170" s="56"/>
      <c r="N170" s="74">
        <v>0.0</v>
      </c>
      <c r="O170" s="56"/>
      <c r="P170" s="74">
        <v>0.0</v>
      </c>
      <c r="Q170" s="56"/>
      <c r="R170" s="74">
        <v>0.0</v>
      </c>
      <c r="S170" s="56"/>
      <c r="T170" s="74">
        <v>0.0</v>
      </c>
      <c r="U170" s="56"/>
      <c r="V170" s="74">
        <v>0.0</v>
      </c>
      <c r="W170" s="56"/>
      <c r="X170" s="74">
        <v>0.0</v>
      </c>
      <c r="Y170" s="60"/>
      <c r="Z170" s="75">
        <v>0.0</v>
      </c>
      <c r="AA170" s="56"/>
      <c r="AB170" s="74">
        <v>0.0</v>
      </c>
      <c r="AC170" s="56"/>
      <c r="AD170" s="74">
        <v>0.0</v>
      </c>
      <c r="AE170" s="56"/>
      <c r="AF170" s="57"/>
      <c r="AG170" s="56"/>
      <c r="AH170" s="57"/>
      <c r="AI170" s="56"/>
      <c r="AJ170" s="57"/>
      <c r="AK170" s="60"/>
      <c r="AL170" s="61">
        <f t="shared" si="1"/>
        <v>0</v>
      </c>
      <c r="AM170" s="51">
        <f t="shared" si="2"/>
        <v>0</v>
      </c>
      <c r="AN170" s="51">
        <v>0.0</v>
      </c>
      <c r="AO170" s="51">
        <f t="shared" si="3"/>
        <v>0</v>
      </c>
      <c r="AP170" s="63" t="str">
        <f t="shared" si="4"/>
        <v/>
      </c>
    </row>
    <row r="171" ht="15.75" customHeight="1">
      <c r="A171" s="18" t="s">
        <v>20</v>
      </c>
      <c r="B171" s="64">
        <f t="shared" si="5"/>
        <v>44731</v>
      </c>
      <c r="C171" s="20">
        <v>7.0</v>
      </c>
      <c r="D171" s="20" t="s">
        <v>21</v>
      </c>
      <c r="E171" s="90" t="s">
        <v>35</v>
      </c>
      <c r="F171" s="44">
        <v>0.0</v>
      </c>
      <c r="H171" s="45">
        <v>0.0</v>
      </c>
      <c r="J171" s="45">
        <v>0.0</v>
      </c>
      <c r="L171" s="46">
        <v>0.0</v>
      </c>
      <c r="M171" s="47"/>
      <c r="N171" s="49">
        <v>77.0</v>
      </c>
      <c r="O171" s="47"/>
      <c r="P171" s="49">
        <v>50.0</v>
      </c>
      <c r="Q171" s="47"/>
      <c r="R171" s="49">
        <v>50.0</v>
      </c>
      <c r="S171" s="47"/>
      <c r="T171" s="49">
        <v>1.0</v>
      </c>
      <c r="U171" s="47"/>
      <c r="V171" s="49">
        <v>1.0</v>
      </c>
      <c r="W171" s="47"/>
      <c r="X171" s="49">
        <v>28.0</v>
      </c>
      <c r="Y171" s="55"/>
      <c r="Z171" s="44">
        <v>0.0</v>
      </c>
      <c r="AB171" s="45">
        <v>28.0</v>
      </c>
      <c r="AD171" s="45">
        <v>0.0</v>
      </c>
      <c r="AF171" s="24"/>
      <c r="AH171" s="24"/>
      <c r="AJ171" s="24"/>
      <c r="AK171" s="27"/>
      <c r="AL171" s="28">
        <f t="shared" si="1"/>
        <v>2908.75</v>
      </c>
      <c r="AM171" s="20">
        <f t="shared" si="2"/>
        <v>235</v>
      </c>
      <c r="AN171" s="20">
        <v>0.0</v>
      </c>
      <c r="AO171" s="20">
        <f t="shared" si="3"/>
        <v>235</v>
      </c>
      <c r="AP171" s="31">
        <f t="shared" si="4"/>
        <v>12.37765957</v>
      </c>
    </row>
    <row r="172" ht="15.75" customHeight="1">
      <c r="A172" s="32" t="s">
        <v>22</v>
      </c>
      <c r="B172" s="34">
        <f t="shared" si="5"/>
        <v>44732</v>
      </c>
      <c r="C172" s="35">
        <v>7.0</v>
      </c>
      <c r="D172" s="35" t="s">
        <v>21</v>
      </c>
      <c r="E172" s="87" t="s">
        <v>35</v>
      </c>
      <c r="F172" s="44">
        <v>0.0</v>
      </c>
      <c r="H172" s="45">
        <v>0.0</v>
      </c>
      <c r="J172" s="45">
        <v>0.0</v>
      </c>
      <c r="L172" s="66">
        <v>0.0</v>
      </c>
      <c r="N172" s="45">
        <v>77.0</v>
      </c>
      <c r="P172" s="45">
        <v>50.0</v>
      </c>
      <c r="R172" s="45">
        <v>50.0</v>
      </c>
      <c r="T172" s="45">
        <v>0.0</v>
      </c>
      <c r="V172" s="45">
        <v>0.0</v>
      </c>
      <c r="X172" s="45">
        <v>28.0</v>
      </c>
      <c r="Y172" s="27"/>
      <c r="Z172" s="44">
        <v>0.0</v>
      </c>
      <c r="AB172" s="45">
        <v>28.0</v>
      </c>
      <c r="AD172" s="45">
        <v>0.0</v>
      </c>
      <c r="AF172" s="24"/>
      <c r="AH172" s="24"/>
      <c r="AJ172" s="24"/>
      <c r="AK172" s="27"/>
      <c r="AL172" s="39">
        <f t="shared" si="1"/>
        <v>2208.75</v>
      </c>
      <c r="AM172" s="35">
        <f t="shared" si="2"/>
        <v>233</v>
      </c>
      <c r="AN172" s="35">
        <v>0.0</v>
      </c>
      <c r="AO172" s="35">
        <f t="shared" si="3"/>
        <v>233</v>
      </c>
      <c r="AP172" s="40">
        <f t="shared" si="4"/>
        <v>9.479613734</v>
      </c>
    </row>
    <row r="173" ht="15.75" customHeight="1">
      <c r="A173" s="32" t="s">
        <v>24</v>
      </c>
      <c r="B173" s="34">
        <f t="shared" si="5"/>
        <v>44733</v>
      </c>
      <c r="C173" s="35">
        <v>7.0</v>
      </c>
      <c r="D173" s="35" t="s">
        <v>21</v>
      </c>
      <c r="E173" s="87" t="s">
        <v>35</v>
      </c>
      <c r="F173" s="44">
        <v>0.0</v>
      </c>
      <c r="H173" s="45">
        <v>0.0</v>
      </c>
      <c r="J173" s="45">
        <v>0.0</v>
      </c>
      <c r="L173" s="66">
        <v>77.0</v>
      </c>
      <c r="N173" s="45">
        <v>77.0</v>
      </c>
      <c r="P173" s="45">
        <v>0.0</v>
      </c>
      <c r="R173" s="45">
        <v>0.0</v>
      </c>
      <c r="T173" s="45">
        <v>0.0</v>
      </c>
      <c r="V173" s="45">
        <v>0.0</v>
      </c>
      <c r="X173" s="45">
        <v>0.0</v>
      </c>
      <c r="Y173" s="27"/>
      <c r="Z173" s="44">
        <v>30.0</v>
      </c>
      <c r="AB173" s="45">
        <v>30.0</v>
      </c>
      <c r="AD173" s="45">
        <v>0.0</v>
      </c>
      <c r="AF173" s="24"/>
      <c r="AH173" s="24"/>
      <c r="AJ173" s="24"/>
      <c r="AK173" s="27"/>
      <c r="AL173" s="39">
        <f t="shared" si="1"/>
        <v>2428.9</v>
      </c>
      <c r="AM173" s="35">
        <f t="shared" si="2"/>
        <v>214</v>
      </c>
      <c r="AN173" s="35">
        <v>0.0</v>
      </c>
      <c r="AO173" s="35">
        <f t="shared" si="3"/>
        <v>214</v>
      </c>
      <c r="AP173" s="40">
        <f t="shared" si="4"/>
        <v>11.35</v>
      </c>
    </row>
    <row r="174" ht="15.75" customHeight="1">
      <c r="A174" s="32" t="s">
        <v>28</v>
      </c>
      <c r="B174" s="34">
        <f t="shared" si="5"/>
        <v>44734</v>
      </c>
      <c r="C174" s="35">
        <v>7.0</v>
      </c>
      <c r="D174" s="35" t="s">
        <v>21</v>
      </c>
      <c r="E174" s="87" t="s">
        <v>35</v>
      </c>
      <c r="F174" s="44">
        <v>0.0</v>
      </c>
      <c r="H174" s="45">
        <v>0.0</v>
      </c>
      <c r="J174" s="45">
        <v>0.0</v>
      </c>
      <c r="L174" s="66">
        <v>0.0</v>
      </c>
      <c r="N174" s="45">
        <v>77.0</v>
      </c>
      <c r="P174" s="45">
        <v>50.0</v>
      </c>
      <c r="R174" s="45">
        <v>50.0</v>
      </c>
      <c r="T174" s="45">
        <v>0.0</v>
      </c>
      <c r="V174" s="45">
        <v>0.0</v>
      </c>
      <c r="X174" s="45">
        <v>28.0</v>
      </c>
      <c r="Y174" s="27"/>
      <c r="Z174" s="44">
        <v>0.0</v>
      </c>
      <c r="AB174" s="45">
        <v>28.0</v>
      </c>
      <c r="AD174" s="45">
        <v>0.0</v>
      </c>
      <c r="AF174" s="24"/>
      <c r="AH174" s="24"/>
      <c r="AJ174" s="24"/>
      <c r="AK174" s="27"/>
      <c r="AL174" s="39">
        <f t="shared" si="1"/>
        <v>2208.75</v>
      </c>
      <c r="AM174" s="35">
        <f t="shared" si="2"/>
        <v>233</v>
      </c>
      <c r="AN174" s="35">
        <v>0.0</v>
      </c>
      <c r="AO174" s="35">
        <f t="shared" si="3"/>
        <v>233</v>
      </c>
      <c r="AP174" s="40">
        <f t="shared" si="4"/>
        <v>9.479613734</v>
      </c>
    </row>
    <row r="175" ht="15.75" customHeight="1">
      <c r="A175" s="32" t="s">
        <v>29</v>
      </c>
      <c r="B175" s="34">
        <f t="shared" si="5"/>
        <v>44735</v>
      </c>
      <c r="C175" s="35">
        <v>7.0</v>
      </c>
      <c r="D175" s="35" t="s">
        <v>21</v>
      </c>
      <c r="E175" s="87" t="s">
        <v>35</v>
      </c>
      <c r="F175" s="44">
        <v>0.0</v>
      </c>
      <c r="H175" s="45">
        <v>0.0</v>
      </c>
      <c r="J175" s="45">
        <v>0.0</v>
      </c>
      <c r="L175" s="66">
        <v>0.0</v>
      </c>
      <c r="N175" s="45">
        <v>77.0</v>
      </c>
      <c r="P175" s="45">
        <v>50.0</v>
      </c>
      <c r="R175" s="45">
        <v>50.0</v>
      </c>
      <c r="T175" s="45">
        <v>0.0</v>
      </c>
      <c r="V175" s="45">
        <v>0.0</v>
      </c>
      <c r="X175" s="45">
        <v>28.0</v>
      </c>
      <c r="Y175" s="27"/>
      <c r="Z175" s="44">
        <v>0.0</v>
      </c>
      <c r="AB175" s="45">
        <v>28.0</v>
      </c>
      <c r="AD175" s="45">
        <v>0.0</v>
      </c>
      <c r="AF175" s="24"/>
      <c r="AH175" s="24"/>
      <c r="AJ175" s="24"/>
      <c r="AK175" s="27"/>
      <c r="AL175" s="39">
        <f t="shared" si="1"/>
        <v>2208.75</v>
      </c>
      <c r="AM175" s="35">
        <f t="shared" si="2"/>
        <v>233</v>
      </c>
      <c r="AN175" s="35">
        <v>0.0</v>
      </c>
      <c r="AO175" s="35">
        <f t="shared" si="3"/>
        <v>233</v>
      </c>
      <c r="AP175" s="40">
        <f t="shared" si="4"/>
        <v>9.479613734</v>
      </c>
    </row>
    <row r="176" ht="15.75" customHeight="1">
      <c r="A176" s="32" t="s">
        <v>30</v>
      </c>
      <c r="B176" s="34">
        <f t="shared" si="5"/>
        <v>44736</v>
      </c>
      <c r="C176" s="35">
        <v>7.0</v>
      </c>
      <c r="D176" s="35" t="s">
        <v>21</v>
      </c>
      <c r="E176" s="87" t="s">
        <v>35</v>
      </c>
      <c r="F176" s="44">
        <v>0.0</v>
      </c>
      <c r="H176" s="45">
        <v>0.0</v>
      </c>
      <c r="J176" s="45">
        <v>0.0</v>
      </c>
      <c r="L176" s="66">
        <v>77.0</v>
      </c>
      <c r="N176" s="45">
        <v>77.0</v>
      </c>
      <c r="P176" s="45">
        <v>0.0</v>
      </c>
      <c r="R176" s="45">
        <v>0.0</v>
      </c>
      <c r="T176" s="45">
        <v>0.0</v>
      </c>
      <c r="V176" s="45">
        <v>0.0</v>
      </c>
      <c r="X176" s="45">
        <v>0.0</v>
      </c>
      <c r="Y176" s="27"/>
      <c r="Z176" s="44">
        <v>20.0</v>
      </c>
      <c r="AB176" s="45">
        <v>20.0</v>
      </c>
      <c r="AD176" s="45">
        <v>0.0</v>
      </c>
      <c r="AF176" s="24"/>
      <c r="AH176" s="24"/>
      <c r="AJ176" s="24"/>
      <c r="AK176" s="27"/>
      <c r="AL176" s="39">
        <f t="shared" si="1"/>
        <v>2201.9</v>
      </c>
      <c r="AM176" s="35">
        <f t="shared" si="2"/>
        <v>194</v>
      </c>
      <c r="AN176" s="35">
        <v>0.0</v>
      </c>
      <c r="AO176" s="35">
        <f t="shared" si="3"/>
        <v>194</v>
      </c>
      <c r="AP176" s="40">
        <f t="shared" si="4"/>
        <v>11.35</v>
      </c>
    </row>
    <row r="177" ht="15.75" customHeight="1">
      <c r="A177" s="48" t="s">
        <v>31</v>
      </c>
      <c r="B177" s="50">
        <f t="shared" si="5"/>
        <v>44737</v>
      </c>
      <c r="C177" s="51">
        <v>7.0</v>
      </c>
      <c r="D177" s="51" t="s">
        <v>21</v>
      </c>
      <c r="E177" s="88" t="s">
        <v>35</v>
      </c>
      <c r="F177" s="75">
        <v>0.0</v>
      </c>
      <c r="G177" s="56"/>
      <c r="H177" s="74">
        <v>0.0</v>
      </c>
      <c r="I177" s="56"/>
      <c r="J177" s="74">
        <v>0.0</v>
      </c>
      <c r="K177" s="56"/>
      <c r="L177" s="73">
        <v>0.0</v>
      </c>
      <c r="M177" s="56"/>
      <c r="N177" s="74">
        <v>0.0</v>
      </c>
      <c r="O177" s="56"/>
      <c r="P177" s="74">
        <v>0.0</v>
      </c>
      <c r="Q177" s="56"/>
      <c r="R177" s="74">
        <v>0.0</v>
      </c>
      <c r="S177" s="56"/>
      <c r="T177" s="74">
        <v>0.0</v>
      </c>
      <c r="U177" s="56"/>
      <c r="V177" s="74">
        <v>0.0</v>
      </c>
      <c r="W177" s="56"/>
      <c r="X177" s="74">
        <v>0.0</v>
      </c>
      <c r="Y177" s="60"/>
      <c r="Z177" s="75">
        <v>0.0</v>
      </c>
      <c r="AA177" s="56"/>
      <c r="AB177" s="74">
        <v>0.0</v>
      </c>
      <c r="AC177" s="56"/>
      <c r="AD177" s="74">
        <v>0.0</v>
      </c>
      <c r="AE177" s="56"/>
      <c r="AF177" s="57"/>
      <c r="AG177" s="56"/>
      <c r="AH177" s="57"/>
      <c r="AI177" s="56"/>
      <c r="AJ177" s="57"/>
      <c r="AK177" s="60"/>
      <c r="AL177" s="61">
        <f t="shared" si="1"/>
        <v>0</v>
      </c>
      <c r="AM177" s="51">
        <f t="shared" si="2"/>
        <v>0</v>
      </c>
      <c r="AN177" s="51">
        <v>0.0</v>
      </c>
      <c r="AO177" s="51">
        <f t="shared" si="3"/>
        <v>0</v>
      </c>
      <c r="AP177" s="63" t="str">
        <f t="shared" si="4"/>
        <v/>
      </c>
    </row>
    <row r="178" ht="15.75" customHeight="1">
      <c r="A178" s="18" t="s">
        <v>20</v>
      </c>
      <c r="B178" s="64">
        <f t="shared" si="5"/>
        <v>44738</v>
      </c>
      <c r="C178" s="20">
        <v>7.0</v>
      </c>
      <c r="D178" s="20" t="s">
        <v>32</v>
      </c>
      <c r="E178" s="90" t="s">
        <v>35</v>
      </c>
      <c r="F178" s="44">
        <v>0.0</v>
      </c>
      <c r="H178" s="45">
        <v>0.0</v>
      </c>
      <c r="J178" s="45">
        <v>0.0</v>
      </c>
      <c r="L178" s="46">
        <v>0.0</v>
      </c>
      <c r="M178" s="47"/>
      <c r="N178" s="49">
        <v>77.0</v>
      </c>
      <c r="O178" s="47"/>
      <c r="P178" s="49">
        <v>50.0</v>
      </c>
      <c r="Q178" s="47"/>
      <c r="R178" s="49">
        <v>50.0</v>
      </c>
      <c r="S178" s="47"/>
      <c r="T178" s="49">
        <v>1.0</v>
      </c>
      <c r="U178" s="47"/>
      <c r="V178" s="49">
        <v>1.0</v>
      </c>
      <c r="W178" s="47"/>
      <c r="X178" s="49">
        <v>31.0</v>
      </c>
      <c r="Y178" s="55"/>
      <c r="Z178" s="44">
        <v>0.0</v>
      </c>
      <c r="AB178" s="45">
        <v>31.0</v>
      </c>
      <c r="AD178" s="45">
        <v>0.0</v>
      </c>
      <c r="AF178" s="81"/>
      <c r="AH178" s="81"/>
      <c r="AJ178" s="81"/>
      <c r="AK178" s="27"/>
      <c r="AL178" s="93">
        <f t="shared" si="1"/>
        <v>2966.8</v>
      </c>
      <c r="AM178" s="20">
        <f t="shared" si="2"/>
        <v>241</v>
      </c>
      <c r="AN178" s="20">
        <v>0.0</v>
      </c>
      <c r="AO178" s="20">
        <f t="shared" si="3"/>
        <v>241</v>
      </c>
      <c r="AP178" s="31">
        <f t="shared" si="4"/>
        <v>12.31037344</v>
      </c>
    </row>
    <row r="179" ht="15.75" customHeight="1">
      <c r="A179" s="32" t="s">
        <v>22</v>
      </c>
      <c r="B179" s="34">
        <f t="shared" si="5"/>
        <v>44739</v>
      </c>
      <c r="C179" s="35">
        <v>7.0</v>
      </c>
      <c r="D179" s="35" t="s">
        <v>32</v>
      </c>
      <c r="E179" s="87" t="s">
        <v>35</v>
      </c>
      <c r="F179" s="44">
        <v>0.0</v>
      </c>
      <c r="H179" s="45">
        <v>0.0</v>
      </c>
      <c r="J179" s="45">
        <v>0.0</v>
      </c>
      <c r="L179" s="66">
        <v>0.0</v>
      </c>
      <c r="N179" s="45">
        <v>77.0</v>
      </c>
      <c r="P179" s="45">
        <v>50.0</v>
      </c>
      <c r="R179" s="45">
        <v>50.0</v>
      </c>
      <c r="T179" s="45">
        <v>0.0</v>
      </c>
      <c r="V179" s="45">
        <v>0.0</v>
      </c>
      <c r="X179" s="45">
        <v>31.0</v>
      </c>
      <c r="Y179" s="27"/>
      <c r="Z179" s="44">
        <v>0.0</v>
      </c>
      <c r="AB179" s="45">
        <v>31.0</v>
      </c>
      <c r="AD179" s="45">
        <v>0.0</v>
      </c>
      <c r="AF179" s="81"/>
      <c r="AH179" s="81"/>
      <c r="AJ179" s="81"/>
      <c r="AK179" s="27"/>
      <c r="AL179" s="82">
        <f t="shared" si="1"/>
        <v>2266.8</v>
      </c>
      <c r="AM179" s="35">
        <f t="shared" si="2"/>
        <v>239</v>
      </c>
      <c r="AN179" s="35">
        <v>0.0</v>
      </c>
      <c r="AO179" s="35">
        <f t="shared" si="3"/>
        <v>239</v>
      </c>
      <c r="AP179" s="40">
        <f t="shared" si="4"/>
        <v>9.484518828</v>
      </c>
    </row>
    <row r="180" ht="15.75" customHeight="1">
      <c r="A180" s="32" t="s">
        <v>24</v>
      </c>
      <c r="B180" s="34">
        <f t="shared" si="5"/>
        <v>44740</v>
      </c>
      <c r="C180" s="35">
        <v>7.0</v>
      </c>
      <c r="D180" s="35" t="s">
        <v>32</v>
      </c>
      <c r="E180" s="87" t="s">
        <v>35</v>
      </c>
      <c r="F180" s="44">
        <v>0.0</v>
      </c>
      <c r="H180" s="45">
        <v>0.0</v>
      </c>
      <c r="J180" s="45">
        <v>0.0</v>
      </c>
      <c r="L180" s="66">
        <v>0.0</v>
      </c>
      <c r="N180" s="45">
        <v>77.0</v>
      </c>
      <c r="P180" s="45">
        <v>50.0</v>
      </c>
      <c r="R180" s="45">
        <v>50.0</v>
      </c>
      <c r="T180" s="45">
        <v>0.0</v>
      </c>
      <c r="V180" s="45">
        <v>0.0</v>
      </c>
      <c r="X180" s="45">
        <v>31.0</v>
      </c>
      <c r="Y180" s="27"/>
      <c r="Z180" s="44">
        <v>0.0</v>
      </c>
      <c r="AB180" s="45">
        <v>31.0</v>
      </c>
      <c r="AD180" s="45">
        <v>0.0</v>
      </c>
      <c r="AF180" s="81"/>
      <c r="AH180" s="81"/>
      <c r="AJ180" s="81"/>
      <c r="AK180" s="27"/>
      <c r="AL180" s="82">
        <f t="shared" si="1"/>
        <v>2266.8</v>
      </c>
      <c r="AM180" s="35">
        <f t="shared" si="2"/>
        <v>239</v>
      </c>
      <c r="AN180" s="35">
        <v>0.0</v>
      </c>
      <c r="AO180" s="35">
        <f t="shared" si="3"/>
        <v>239</v>
      </c>
      <c r="AP180" s="40">
        <f t="shared" si="4"/>
        <v>9.484518828</v>
      </c>
    </row>
    <row r="181" ht="15.75" customHeight="1">
      <c r="A181" s="32" t="s">
        <v>28</v>
      </c>
      <c r="B181" s="34">
        <f t="shared" si="5"/>
        <v>44741</v>
      </c>
      <c r="C181" s="35">
        <v>7.0</v>
      </c>
      <c r="D181" s="35" t="s">
        <v>32</v>
      </c>
      <c r="E181" s="87" t="s">
        <v>35</v>
      </c>
      <c r="F181" s="44">
        <v>0.0</v>
      </c>
      <c r="H181" s="45">
        <v>0.0</v>
      </c>
      <c r="J181" s="45">
        <v>0.0</v>
      </c>
      <c r="L181" s="66">
        <v>0.0</v>
      </c>
      <c r="N181" s="45">
        <v>77.0</v>
      </c>
      <c r="P181" s="45">
        <v>50.0</v>
      </c>
      <c r="R181" s="45">
        <v>50.0</v>
      </c>
      <c r="T181" s="45">
        <v>0.0</v>
      </c>
      <c r="V181" s="45">
        <v>0.0</v>
      </c>
      <c r="X181" s="45">
        <v>31.0</v>
      </c>
      <c r="Y181" s="27"/>
      <c r="Z181" s="44">
        <v>0.0</v>
      </c>
      <c r="AB181" s="45">
        <v>31.0</v>
      </c>
      <c r="AD181" s="45">
        <v>0.0</v>
      </c>
      <c r="AF181" s="81"/>
      <c r="AH181" s="81"/>
      <c r="AJ181" s="81"/>
      <c r="AK181" s="27"/>
      <c r="AL181" s="82">
        <f t="shared" si="1"/>
        <v>2266.8</v>
      </c>
      <c r="AM181" s="35">
        <f t="shared" si="2"/>
        <v>239</v>
      </c>
      <c r="AN181" s="35">
        <v>0.0</v>
      </c>
      <c r="AO181" s="35">
        <f t="shared" si="3"/>
        <v>239</v>
      </c>
      <c r="AP181" s="40">
        <f t="shared" si="4"/>
        <v>9.484518828</v>
      </c>
    </row>
    <row r="182" ht="15.75" customHeight="1">
      <c r="A182" s="32" t="s">
        <v>29</v>
      </c>
      <c r="B182" s="34">
        <f t="shared" si="5"/>
        <v>44742</v>
      </c>
      <c r="C182" s="35">
        <v>7.0</v>
      </c>
      <c r="D182" s="35" t="s">
        <v>32</v>
      </c>
      <c r="E182" s="87" t="s">
        <v>35</v>
      </c>
      <c r="F182" s="44">
        <v>0.0</v>
      </c>
      <c r="H182" s="45">
        <v>0.0</v>
      </c>
      <c r="J182" s="45">
        <v>0.0</v>
      </c>
      <c r="L182" s="66">
        <v>0.0</v>
      </c>
      <c r="N182" s="45">
        <v>77.0</v>
      </c>
      <c r="P182" s="45">
        <v>50.0</v>
      </c>
      <c r="R182" s="45">
        <v>50.0</v>
      </c>
      <c r="T182" s="45">
        <v>0.0</v>
      </c>
      <c r="V182" s="45">
        <v>0.0</v>
      </c>
      <c r="X182" s="45">
        <v>31.0</v>
      </c>
      <c r="Y182" s="27"/>
      <c r="Z182" s="44">
        <v>0.0</v>
      </c>
      <c r="AB182" s="45">
        <v>31.0</v>
      </c>
      <c r="AD182" s="45">
        <v>0.0</v>
      </c>
      <c r="AF182" s="81"/>
      <c r="AH182" s="81"/>
      <c r="AJ182" s="81"/>
      <c r="AK182" s="27"/>
      <c r="AL182" s="82">
        <f t="shared" si="1"/>
        <v>2266.8</v>
      </c>
      <c r="AM182" s="35">
        <f t="shared" si="2"/>
        <v>239</v>
      </c>
      <c r="AN182" s="35">
        <v>0.0</v>
      </c>
      <c r="AO182" s="35">
        <f t="shared" si="3"/>
        <v>239</v>
      </c>
      <c r="AP182" s="40">
        <f t="shared" si="4"/>
        <v>9.484518828</v>
      </c>
    </row>
    <row r="183" ht="15.75" customHeight="1">
      <c r="A183" s="32" t="s">
        <v>30</v>
      </c>
      <c r="B183" s="34">
        <f t="shared" si="5"/>
        <v>44743</v>
      </c>
      <c r="C183" s="35">
        <v>7.0</v>
      </c>
      <c r="D183" s="35" t="s">
        <v>32</v>
      </c>
      <c r="E183" s="87" t="s">
        <v>35</v>
      </c>
      <c r="F183" s="44">
        <v>0.0</v>
      </c>
      <c r="H183" s="45">
        <v>0.0</v>
      </c>
      <c r="J183" s="45">
        <v>0.0</v>
      </c>
      <c r="L183" s="66">
        <v>77.0</v>
      </c>
      <c r="N183" s="45">
        <v>77.0</v>
      </c>
      <c r="P183" s="45">
        <v>0.0</v>
      </c>
      <c r="R183" s="45">
        <v>0.0</v>
      </c>
      <c r="T183" s="45">
        <v>0.0</v>
      </c>
      <c r="V183" s="45">
        <v>0.0</v>
      </c>
      <c r="X183" s="45">
        <v>0.0</v>
      </c>
      <c r="Y183" s="27"/>
      <c r="Z183" s="44">
        <v>20.0</v>
      </c>
      <c r="AB183" s="45">
        <v>20.0</v>
      </c>
      <c r="AD183" s="45">
        <v>0.0</v>
      </c>
      <c r="AF183" s="81"/>
      <c r="AH183" s="81"/>
      <c r="AJ183" s="81"/>
      <c r="AK183" s="27"/>
      <c r="AL183" s="82">
        <f t="shared" si="1"/>
        <v>2201.9</v>
      </c>
      <c r="AM183" s="35">
        <f t="shared" si="2"/>
        <v>194</v>
      </c>
      <c r="AN183" s="35">
        <v>0.0</v>
      </c>
      <c r="AO183" s="35">
        <f t="shared" si="3"/>
        <v>194</v>
      </c>
      <c r="AP183" s="40">
        <f t="shared" si="4"/>
        <v>11.35</v>
      </c>
    </row>
    <row r="184" ht="15.75" customHeight="1">
      <c r="A184" s="48" t="s">
        <v>31</v>
      </c>
      <c r="B184" s="50">
        <f t="shared" si="5"/>
        <v>44744</v>
      </c>
      <c r="C184" s="51">
        <v>7.0</v>
      </c>
      <c r="D184" s="51" t="s">
        <v>32</v>
      </c>
      <c r="E184" s="88" t="s">
        <v>35</v>
      </c>
      <c r="F184" s="75">
        <v>0.0</v>
      </c>
      <c r="G184" s="56"/>
      <c r="H184" s="74">
        <v>0.0</v>
      </c>
      <c r="I184" s="56"/>
      <c r="J184" s="74">
        <v>0.0</v>
      </c>
      <c r="K184" s="56"/>
      <c r="L184" s="73">
        <v>0.0</v>
      </c>
      <c r="M184" s="56"/>
      <c r="N184" s="74">
        <v>0.0</v>
      </c>
      <c r="O184" s="56"/>
      <c r="P184" s="74">
        <v>0.0</v>
      </c>
      <c r="Q184" s="56"/>
      <c r="R184" s="74">
        <v>0.0</v>
      </c>
      <c r="S184" s="56"/>
      <c r="T184" s="74">
        <v>0.0</v>
      </c>
      <c r="U184" s="56"/>
      <c r="V184" s="74">
        <v>0.0</v>
      </c>
      <c r="W184" s="56"/>
      <c r="X184" s="74">
        <v>0.0</v>
      </c>
      <c r="Y184" s="60"/>
      <c r="Z184" s="75">
        <v>0.0</v>
      </c>
      <c r="AA184" s="56"/>
      <c r="AB184" s="74">
        <v>0.0</v>
      </c>
      <c r="AC184" s="56"/>
      <c r="AD184" s="74">
        <v>0.0</v>
      </c>
      <c r="AE184" s="56"/>
      <c r="AF184" s="92"/>
      <c r="AG184" s="56"/>
      <c r="AH184" s="92"/>
      <c r="AI184" s="56"/>
      <c r="AJ184" s="92"/>
      <c r="AK184" s="60"/>
      <c r="AL184" s="94">
        <f t="shared" si="1"/>
        <v>0</v>
      </c>
      <c r="AM184" s="51">
        <f t="shared" si="2"/>
        <v>0</v>
      </c>
      <c r="AN184" s="51">
        <v>0.0</v>
      </c>
      <c r="AO184" s="51">
        <f t="shared" si="3"/>
        <v>0</v>
      </c>
      <c r="AP184" s="63" t="str">
        <f t="shared" si="4"/>
        <v/>
      </c>
    </row>
    <row r="185" ht="15.75" customHeight="1">
      <c r="A185" s="18" t="s">
        <v>20</v>
      </c>
      <c r="B185" s="64">
        <f t="shared" si="5"/>
        <v>44745</v>
      </c>
      <c r="C185" s="20">
        <v>7.0</v>
      </c>
      <c r="D185" s="20" t="s">
        <v>33</v>
      </c>
      <c r="E185" s="90" t="s">
        <v>35</v>
      </c>
      <c r="F185" s="44">
        <v>0.0</v>
      </c>
      <c r="H185" s="45">
        <v>0.0</v>
      </c>
      <c r="J185" s="45">
        <v>0.0</v>
      </c>
      <c r="L185" s="46">
        <v>0.0</v>
      </c>
      <c r="M185" s="47"/>
      <c r="N185" s="49">
        <v>77.0</v>
      </c>
      <c r="O185" s="47"/>
      <c r="P185" s="49">
        <v>50.0</v>
      </c>
      <c r="Q185" s="47"/>
      <c r="R185" s="49">
        <v>50.0</v>
      </c>
      <c r="S185" s="47"/>
      <c r="T185" s="49">
        <v>1.0</v>
      </c>
      <c r="U185" s="47"/>
      <c r="V185" s="49">
        <v>1.0</v>
      </c>
      <c r="W185" s="47"/>
      <c r="X185" s="49">
        <v>33.0</v>
      </c>
      <c r="Y185" s="55"/>
      <c r="Z185" s="44">
        <v>0.0</v>
      </c>
      <c r="AB185" s="45">
        <v>33.0</v>
      </c>
      <c r="AD185" s="45">
        <v>0.0</v>
      </c>
      <c r="AF185" s="24"/>
      <c r="AH185" s="24"/>
      <c r="AJ185" s="24"/>
      <c r="AK185" s="27"/>
      <c r="AL185" s="28">
        <f t="shared" si="1"/>
        <v>3005.5</v>
      </c>
      <c r="AM185" s="20">
        <f t="shared" si="2"/>
        <v>245</v>
      </c>
      <c r="AN185" s="20">
        <v>0.0</v>
      </c>
      <c r="AO185" s="20">
        <f t="shared" si="3"/>
        <v>245</v>
      </c>
      <c r="AP185" s="31">
        <f t="shared" si="4"/>
        <v>12.26734694</v>
      </c>
    </row>
    <row r="186" ht="15.75" customHeight="1">
      <c r="A186" s="32" t="s">
        <v>22</v>
      </c>
      <c r="B186" s="34">
        <f t="shared" si="5"/>
        <v>44746</v>
      </c>
      <c r="C186" s="35">
        <v>7.0</v>
      </c>
      <c r="D186" s="35" t="s">
        <v>33</v>
      </c>
      <c r="E186" s="87" t="s">
        <v>35</v>
      </c>
      <c r="F186" s="44">
        <v>0.0</v>
      </c>
      <c r="H186" s="45">
        <v>0.0</v>
      </c>
      <c r="J186" s="45">
        <v>0.0</v>
      </c>
      <c r="L186" s="66">
        <v>77.0</v>
      </c>
      <c r="N186" s="45">
        <v>77.0</v>
      </c>
      <c r="P186" s="45">
        <v>0.0</v>
      </c>
      <c r="R186" s="45">
        <v>0.0</v>
      </c>
      <c r="T186" s="45">
        <v>0.0</v>
      </c>
      <c r="V186" s="45">
        <v>0.0</v>
      </c>
      <c r="X186" s="45">
        <v>0.0</v>
      </c>
      <c r="Y186" s="27"/>
      <c r="Z186" s="44">
        <v>27.0</v>
      </c>
      <c r="AB186" s="45">
        <v>27.0</v>
      </c>
      <c r="AD186" s="45">
        <v>0.0</v>
      </c>
      <c r="AF186" s="24"/>
      <c r="AH186" s="24"/>
      <c r="AJ186" s="24"/>
      <c r="AK186" s="27"/>
      <c r="AL186" s="39">
        <f t="shared" si="1"/>
        <v>2360.8</v>
      </c>
      <c r="AM186" s="35">
        <f t="shared" si="2"/>
        <v>208</v>
      </c>
      <c r="AN186" s="35">
        <v>0.0</v>
      </c>
      <c r="AO186" s="35">
        <f t="shared" si="3"/>
        <v>208</v>
      </c>
      <c r="AP186" s="40">
        <f t="shared" si="4"/>
        <v>11.35</v>
      </c>
    </row>
    <row r="187" ht="15.75" customHeight="1">
      <c r="A187" s="32" t="s">
        <v>24</v>
      </c>
      <c r="B187" s="34">
        <f t="shared" si="5"/>
        <v>44747</v>
      </c>
      <c r="C187" s="35">
        <v>7.0</v>
      </c>
      <c r="D187" s="35" t="s">
        <v>33</v>
      </c>
      <c r="E187" s="87" t="s">
        <v>35</v>
      </c>
      <c r="F187" s="44">
        <v>0.0</v>
      </c>
      <c r="H187" s="45">
        <v>0.0</v>
      </c>
      <c r="J187" s="45">
        <v>0.0</v>
      </c>
      <c r="L187" s="66">
        <v>0.0</v>
      </c>
      <c r="N187" s="45">
        <v>77.0</v>
      </c>
      <c r="P187" s="45">
        <v>50.0</v>
      </c>
      <c r="R187" s="45">
        <v>50.0</v>
      </c>
      <c r="T187" s="45">
        <v>0.0</v>
      </c>
      <c r="V187" s="45">
        <v>0.0</v>
      </c>
      <c r="X187" s="45">
        <v>27.0</v>
      </c>
      <c r="Y187" s="27"/>
      <c r="Z187" s="44">
        <v>0.0</v>
      </c>
      <c r="AB187" s="45">
        <v>27.0</v>
      </c>
      <c r="AD187" s="45">
        <v>0.0</v>
      </c>
      <c r="AF187" s="24"/>
      <c r="AH187" s="24"/>
      <c r="AJ187" s="24"/>
      <c r="AK187" s="27"/>
      <c r="AL187" s="39">
        <f t="shared" si="1"/>
        <v>2189.4</v>
      </c>
      <c r="AM187" s="35">
        <f t="shared" si="2"/>
        <v>231</v>
      </c>
      <c r="AN187" s="35">
        <v>0.0</v>
      </c>
      <c r="AO187" s="35">
        <f t="shared" si="3"/>
        <v>231</v>
      </c>
      <c r="AP187" s="40">
        <f t="shared" si="4"/>
        <v>9.477922078</v>
      </c>
    </row>
    <row r="188" ht="15.75" customHeight="1">
      <c r="A188" s="32" t="s">
        <v>28</v>
      </c>
      <c r="B188" s="34">
        <f t="shared" si="5"/>
        <v>44748</v>
      </c>
      <c r="C188" s="35">
        <v>7.0</v>
      </c>
      <c r="D188" s="35" t="s">
        <v>33</v>
      </c>
      <c r="E188" s="87" t="s">
        <v>35</v>
      </c>
      <c r="F188" s="44">
        <v>0.0</v>
      </c>
      <c r="H188" s="45">
        <v>0.0</v>
      </c>
      <c r="J188" s="45">
        <v>0.0</v>
      </c>
      <c r="L188" s="66">
        <v>0.0</v>
      </c>
      <c r="N188" s="45">
        <v>77.0</v>
      </c>
      <c r="P188" s="45">
        <v>50.0</v>
      </c>
      <c r="R188" s="45">
        <v>50.0</v>
      </c>
      <c r="T188" s="45">
        <v>0.0</v>
      </c>
      <c r="V188" s="45">
        <v>0.0</v>
      </c>
      <c r="X188" s="45">
        <v>27.0</v>
      </c>
      <c r="Y188" s="27"/>
      <c r="Z188" s="44">
        <v>0.0</v>
      </c>
      <c r="AB188" s="45">
        <v>27.0</v>
      </c>
      <c r="AD188" s="45">
        <v>0.0</v>
      </c>
      <c r="AF188" s="24"/>
      <c r="AH188" s="24"/>
      <c r="AJ188" s="24"/>
      <c r="AK188" s="27"/>
      <c r="AL188" s="39">
        <f t="shared" si="1"/>
        <v>2189.4</v>
      </c>
      <c r="AM188" s="35">
        <f t="shared" si="2"/>
        <v>231</v>
      </c>
      <c r="AN188" s="35">
        <v>0.0</v>
      </c>
      <c r="AO188" s="35">
        <f t="shared" si="3"/>
        <v>231</v>
      </c>
      <c r="AP188" s="40">
        <f t="shared" si="4"/>
        <v>9.477922078</v>
      </c>
    </row>
    <row r="189" ht="15.75" customHeight="1">
      <c r="A189" s="32" t="s">
        <v>29</v>
      </c>
      <c r="B189" s="34">
        <f t="shared" si="5"/>
        <v>44749</v>
      </c>
      <c r="C189" s="35">
        <v>7.0</v>
      </c>
      <c r="D189" s="35" t="s">
        <v>33</v>
      </c>
      <c r="E189" s="87" t="s">
        <v>35</v>
      </c>
      <c r="F189" s="44">
        <v>0.0</v>
      </c>
      <c r="H189" s="45">
        <v>0.0</v>
      </c>
      <c r="J189" s="45">
        <v>0.0</v>
      </c>
      <c r="L189" s="66">
        <v>0.0</v>
      </c>
      <c r="N189" s="45">
        <v>77.0</v>
      </c>
      <c r="P189" s="45">
        <v>50.0</v>
      </c>
      <c r="R189" s="45">
        <v>50.0</v>
      </c>
      <c r="T189" s="45">
        <v>0.0</v>
      </c>
      <c r="V189" s="45">
        <v>0.0</v>
      </c>
      <c r="X189" s="45">
        <v>27.0</v>
      </c>
      <c r="Y189" s="27"/>
      <c r="Z189" s="44">
        <v>0.0</v>
      </c>
      <c r="AB189" s="45">
        <v>27.0</v>
      </c>
      <c r="AD189" s="45">
        <v>0.0</v>
      </c>
      <c r="AF189" s="24"/>
      <c r="AH189" s="24"/>
      <c r="AJ189" s="24"/>
      <c r="AK189" s="27"/>
      <c r="AL189" s="39">
        <f t="shared" si="1"/>
        <v>2189.4</v>
      </c>
      <c r="AM189" s="35">
        <f t="shared" si="2"/>
        <v>231</v>
      </c>
      <c r="AN189" s="35">
        <v>0.0</v>
      </c>
      <c r="AO189" s="35">
        <f t="shared" si="3"/>
        <v>231</v>
      </c>
      <c r="AP189" s="40">
        <f t="shared" si="4"/>
        <v>9.477922078</v>
      </c>
    </row>
    <row r="190" ht="15.75" customHeight="1">
      <c r="A190" s="32" t="s">
        <v>30</v>
      </c>
      <c r="B190" s="34">
        <f t="shared" si="5"/>
        <v>44750</v>
      </c>
      <c r="C190" s="35">
        <v>7.0</v>
      </c>
      <c r="D190" s="35" t="s">
        <v>33</v>
      </c>
      <c r="E190" s="87" t="s">
        <v>35</v>
      </c>
      <c r="F190" s="44">
        <v>0.0</v>
      </c>
      <c r="H190" s="45">
        <v>0.0</v>
      </c>
      <c r="J190" s="45">
        <v>0.0</v>
      </c>
      <c r="L190" s="66">
        <v>77.0</v>
      </c>
      <c r="N190" s="45">
        <v>77.0</v>
      </c>
      <c r="P190" s="45">
        <v>0.0</v>
      </c>
      <c r="R190" s="45">
        <v>0.0</v>
      </c>
      <c r="T190" s="45">
        <v>0.0</v>
      </c>
      <c r="V190" s="45">
        <v>0.0</v>
      </c>
      <c r="X190" s="45">
        <v>0.0</v>
      </c>
      <c r="Y190" s="27"/>
      <c r="Z190" s="44">
        <v>20.0</v>
      </c>
      <c r="AB190" s="45">
        <v>20.0</v>
      </c>
      <c r="AD190" s="45">
        <v>0.0</v>
      </c>
      <c r="AF190" s="24"/>
      <c r="AH190" s="24"/>
      <c r="AJ190" s="24"/>
      <c r="AK190" s="27"/>
      <c r="AL190" s="39">
        <f t="shared" si="1"/>
        <v>2201.9</v>
      </c>
      <c r="AM190" s="35">
        <f t="shared" si="2"/>
        <v>194</v>
      </c>
      <c r="AN190" s="35">
        <v>0.0</v>
      </c>
      <c r="AO190" s="35">
        <f t="shared" si="3"/>
        <v>194</v>
      </c>
      <c r="AP190" s="40">
        <f t="shared" si="4"/>
        <v>11.35</v>
      </c>
    </row>
    <row r="191" ht="15.75" customHeight="1">
      <c r="A191" s="48" t="s">
        <v>31</v>
      </c>
      <c r="B191" s="50">
        <f t="shared" si="5"/>
        <v>44751</v>
      </c>
      <c r="C191" s="51">
        <v>7.0</v>
      </c>
      <c r="D191" s="51" t="s">
        <v>33</v>
      </c>
      <c r="E191" s="88" t="s">
        <v>35</v>
      </c>
      <c r="F191" s="75">
        <v>0.0</v>
      </c>
      <c r="G191" s="56"/>
      <c r="H191" s="74">
        <v>0.0</v>
      </c>
      <c r="I191" s="56"/>
      <c r="J191" s="74">
        <v>0.0</v>
      </c>
      <c r="K191" s="56"/>
      <c r="L191" s="73">
        <v>0.0</v>
      </c>
      <c r="M191" s="56"/>
      <c r="N191" s="74">
        <v>0.0</v>
      </c>
      <c r="O191" s="56"/>
      <c r="P191" s="74">
        <v>0.0</v>
      </c>
      <c r="Q191" s="56"/>
      <c r="R191" s="74">
        <v>0.0</v>
      </c>
      <c r="S191" s="56"/>
      <c r="T191" s="74">
        <v>0.0</v>
      </c>
      <c r="U191" s="56"/>
      <c r="V191" s="74">
        <v>0.0</v>
      </c>
      <c r="W191" s="56"/>
      <c r="X191" s="74">
        <v>0.0</v>
      </c>
      <c r="Y191" s="60"/>
      <c r="Z191" s="75">
        <v>0.0</v>
      </c>
      <c r="AA191" s="56"/>
      <c r="AB191" s="74">
        <v>0.0</v>
      </c>
      <c r="AC191" s="56"/>
      <c r="AD191" s="74">
        <v>0.0</v>
      </c>
      <c r="AE191" s="56"/>
      <c r="AF191" s="57"/>
      <c r="AG191" s="56"/>
      <c r="AH191" s="57"/>
      <c r="AI191" s="56"/>
      <c r="AJ191" s="57"/>
      <c r="AK191" s="60"/>
      <c r="AL191" s="61">
        <f t="shared" si="1"/>
        <v>0</v>
      </c>
      <c r="AM191" s="51">
        <f t="shared" si="2"/>
        <v>0</v>
      </c>
      <c r="AN191" s="51">
        <v>0.0</v>
      </c>
      <c r="AO191" s="51">
        <f t="shared" si="3"/>
        <v>0</v>
      </c>
      <c r="AP191" s="63" t="str">
        <f t="shared" si="4"/>
        <v/>
      </c>
    </row>
    <row r="192" ht="15.75" customHeight="1">
      <c r="A192" s="18" t="s">
        <v>20</v>
      </c>
      <c r="B192" s="64">
        <f t="shared" si="5"/>
        <v>44752</v>
      </c>
      <c r="C192" s="20">
        <v>7.0</v>
      </c>
      <c r="D192" s="20" t="s">
        <v>34</v>
      </c>
      <c r="E192" s="90" t="s">
        <v>35</v>
      </c>
      <c r="F192" s="44">
        <v>0.0</v>
      </c>
      <c r="H192" s="45">
        <v>0.0</v>
      </c>
      <c r="J192" s="45">
        <v>0.0</v>
      </c>
      <c r="L192" s="46">
        <v>0.0</v>
      </c>
      <c r="M192" s="47"/>
      <c r="N192" s="49">
        <v>0.0</v>
      </c>
      <c r="O192" s="47"/>
      <c r="P192" s="49">
        <v>0.0</v>
      </c>
      <c r="Q192" s="47"/>
      <c r="R192" s="49">
        <v>0.0</v>
      </c>
      <c r="S192" s="47"/>
      <c r="T192" s="49">
        <v>1.0</v>
      </c>
      <c r="U192" s="47"/>
      <c r="V192" s="49">
        <v>1.0</v>
      </c>
      <c r="W192" s="47"/>
      <c r="X192" s="49">
        <v>0.0</v>
      </c>
      <c r="Y192" s="55"/>
      <c r="Z192" s="44">
        <v>0.0</v>
      </c>
      <c r="AB192" s="45">
        <v>0.0</v>
      </c>
      <c r="AD192" s="45">
        <v>0.0</v>
      </c>
      <c r="AF192" s="24"/>
      <c r="AH192" s="24"/>
      <c r="AJ192" s="24"/>
      <c r="AK192" s="27"/>
      <c r="AL192" s="28">
        <f t="shared" si="1"/>
        <v>700</v>
      </c>
      <c r="AM192" s="20">
        <f t="shared" si="2"/>
        <v>2</v>
      </c>
      <c r="AN192" s="20">
        <v>0.0</v>
      </c>
      <c r="AO192" s="20">
        <f t="shared" si="3"/>
        <v>2</v>
      </c>
      <c r="AP192" s="31">
        <f t="shared" si="4"/>
        <v>350</v>
      </c>
    </row>
    <row r="193" ht="15.75" customHeight="1">
      <c r="A193" s="32" t="s">
        <v>22</v>
      </c>
      <c r="B193" s="34">
        <f t="shared" si="5"/>
        <v>44753</v>
      </c>
      <c r="C193" s="35">
        <v>7.0</v>
      </c>
      <c r="D193" s="35" t="s">
        <v>34</v>
      </c>
      <c r="E193" s="87" t="s">
        <v>35</v>
      </c>
      <c r="F193" s="44">
        <v>0.0</v>
      </c>
      <c r="H193" s="45">
        <v>0.0</v>
      </c>
      <c r="J193" s="45">
        <v>0.0</v>
      </c>
      <c r="L193" s="66">
        <v>25.0</v>
      </c>
      <c r="N193" s="45">
        <v>25.0</v>
      </c>
      <c r="P193" s="45">
        <v>0.0</v>
      </c>
      <c r="R193" s="45">
        <v>0.0</v>
      </c>
      <c r="T193" s="45">
        <v>0.0</v>
      </c>
      <c r="V193" s="45">
        <v>0.0</v>
      </c>
      <c r="X193" s="45">
        <v>0.0</v>
      </c>
      <c r="Y193" s="27"/>
      <c r="Z193" s="44">
        <v>20.0</v>
      </c>
      <c r="AB193" s="45">
        <v>20.0</v>
      </c>
      <c r="AD193" s="45">
        <v>0.0</v>
      </c>
      <c r="AF193" s="24"/>
      <c r="AH193" s="24"/>
      <c r="AJ193" s="24"/>
      <c r="AK193" s="27"/>
      <c r="AL193" s="39">
        <f t="shared" si="1"/>
        <v>1021.5</v>
      </c>
      <c r="AM193" s="35">
        <f t="shared" si="2"/>
        <v>90</v>
      </c>
      <c r="AN193" s="35">
        <v>0.0</v>
      </c>
      <c r="AO193" s="35">
        <f t="shared" si="3"/>
        <v>90</v>
      </c>
      <c r="AP193" s="40">
        <f t="shared" si="4"/>
        <v>11.35</v>
      </c>
    </row>
    <row r="194" ht="15.75" customHeight="1">
      <c r="A194" s="32" t="s">
        <v>24</v>
      </c>
      <c r="B194" s="34">
        <f t="shared" si="5"/>
        <v>44754</v>
      </c>
      <c r="C194" s="35">
        <v>7.0</v>
      </c>
      <c r="D194" s="35" t="s">
        <v>34</v>
      </c>
      <c r="E194" s="87" t="s">
        <v>35</v>
      </c>
      <c r="F194" s="44">
        <v>0.0</v>
      </c>
      <c r="H194" s="45">
        <v>0.0</v>
      </c>
      <c r="J194" s="45">
        <v>0.0</v>
      </c>
      <c r="L194" s="66">
        <v>0.0</v>
      </c>
      <c r="N194" s="45">
        <v>77.0</v>
      </c>
      <c r="P194" s="45">
        <v>0.0</v>
      </c>
      <c r="R194" s="45">
        <v>50.0</v>
      </c>
      <c r="T194" s="45">
        <v>0.0</v>
      </c>
      <c r="V194" s="45">
        <v>0.0</v>
      </c>
      <c r="X194" s="45">
        <v>30.0</v>
      </c>
      <c r="Y194" s="27"/>
      <c r="Z194" s="44">
        <v>0.0</v>
      </c>
      <c r="AB194" s="45">
        <v>30.0</v>
      </c>
      <c r="AD194" s="45">
        <v>0.0</v>
      </c>
      <c r="AF194" s="24"/>
      <c r="AH194" s="24"/>
      <c r="AJ194" s="24"/>
      <c r="AK194" s="27"/>
      <c r="AL194" s="39">
        <f t="shared" si="1"/>
        <v>1679.95</v>
      </c>
      <c r="AM194" s="35">
        <f t="shared" si="2"/>
        <v>187</v>
      </c>
      <c r="AN194" s="35">
        <v>0.0</v>
      </c>
      <c r="AO194" s="35">
        <f t="shared" si="3"/>
        <v>187</v>
      </c>
      <c r="AP194" s="40">
        <f t="shared" si="4"/>
        <v>8.98368984</v>
      </c>
    </row>
    <row r="195" ht="15.75" customHeight="1">
      <c r="A195" s="32" t="s">
        <v>28</v>
      </c>
      <c r="B195" s="34">
        <f t="shared" si="5"/>
        <v>44755</v>
      </c>
      <c r="C195" s="35">
        <v>7.0</v>
      </c>
      <c r="D195" s="35" t="s">
        <v>34</v>
      </c>
      <c r="E195" s="87" t="s">
        <v>35</v>
      </c>
      <c r="F195" s="44">
        <v>0.0</v>
      </c>
      <c r="H195" s="45">
        <v>0.0</v>
      </c>
      <c r="J195" s="45">
        <v>0.0</v>
      </c>
      <c r="L195" s="66">
        <v>0.0</v>
      </c>
      <c r="N195" s="45">
        <v>77.0</v>
      </c>
      <c r="P195" s="45">
        <v>50.0</v>
      </c>
      <c r="R195" s="45">
        <v>50.0</v>
      </c>
      <c r="T195" s="45">
        <v>0.0</v>
      </c>
      <c r="V195" s="45">
        <v>0.0</v>
      </c>
      <c r="X195" s="45">
        <v>33.0</v>
      </c>
      <c r="Y195" s="27"/>
      <c r="Z195" s="44">
        <v>0.0</v>
      </c>
      <c r="AB195" s="45">
        <v>33.0</v>
      </c>
      <c r="AD195" s="45">
        <v>0.0</v>
      </c>
      <c r="AF195" s="24"/>
      <c r="AH195" s="24"/>
      <c r="AJ195" s="24"/>
      <c r="AK195" s="27"/>
      <c r="AL195" s="39">
        <f t="shared" si="1"/>
        <v>2305.5</v>
      </c>
      <c r="AM195" s="35">
        <f t="shared" si="2"/>
        <v>243</v>
      </c>
      <c r="AN195" s="35">
        <v>0.0</v>
      </c>
      <c r="AO195" s="35">
        <f t="shared" si="3"/>
        <v>243</v>
      </c>
      <c r="AP195" s="40">
        <f t="shared" si="4"/>
        <v>9.487654321</v>
      </c>
    </row>
    <row r="196" ht="15.75" customHeight="1">
      <c r="A196" s="32" t="s">
        <v>29</v>
      </c>
      <c r="B196" s="34">
        <f t="shared" si="5"/>
        <v>44756</v>
      </c>
      <c r="C196" s="35">
        <v>7.0</v>
      </c>
      <c r="D196" s="35" t="s">
        <v>34</v>
      </c>
      <c r="E196" s="87" t="s">
        <v>35</v>
      </c>
      <c r="F196" s="44">
        <v>0.0</v>
      </c>
      <c r="H196" s="45">
        <v>0.0</v>
      </c>
      <c r="J196" s="45">
        <v>0.0</v>
      </c>
      <c r="L196" s="66">
        <v>0.0</v>
      </c>
      <c r="N196" s="45">
        <v>77.0</v>
      </c>
      <c r="P196" s="45">
        <v>50.0</v>
      </c>
      <c r="R196" s="45">
        <v>50.0</v>
      </c>
      <c r="T196" s="45">
        <v>0.0</v>
      </c>
      <c r="V196" s="45">
        <v>0.0</v>
      </c>
      <c r="X196" s="45">
        <v>33.0</v>
      </c>
      <c r="Y196" s="27"/>
      <c r="Z196" s="44">
        <v>0.0</v>
      </c>
      <c r="AB196" s="45">
        <v>33.0</v>
      </c>
      <c r="AD196" s="45">
        <v>0.0</v>
      </c>
      <c r="AF196" s="24"/>
      <c r="AH196" s="24"/>
      <c r="AJ196" s="24"/>
      <c r="AK196" s="27"/>
      <c r="AL196" s="39">
        <f t="shared" si="1"/>
        <v>2305.5</v>
      </c>
      <c r="AM196" s="35">
        <f t="shared" si="2"/>
        <v>243</v>
      </c>
      <c r="AN196" s="35">
        <v>0.0</v>
      </c>
      <c r="AO196" s="35">
        <f t="shared" si="3"/>
        <v>243</v>
      </c>
      <c r="AP196" s="40">
        <f t="shared" si="4"/>
        <v>9.487654321</v>
      </c>
    </row>
    <row r="197" ht="15.75" customHeight="1">
      <c r="A197" s="32" t="s">
        <v>30</v>
      </c>
      <c r="B197" s="34">
        <f t="shared" si="5"/>
        <v>44757</v>
      </c>
      <c r="C197" s="35">
        <v>7.0</v>
      </c>
      <c r="D197" s="35" t="s">
        <v>34</v>
      </c>
      <c r="E197" s="87" t="s">
        <v>35</v>
      </c>
      <c r="F197" s="44">
        <v>0.0</v>
      </c>
      <c r="H197" s="45">
        <v>0.0</v>
      </c>
      <c r="J197" s="45">
        <v>0.0</v>
      </c>
      <c r="L197" s="66">
        <v>30.0</v>
      </c>
      <c r="N197" s="45">
        <v>100.0</v>
      </c>
      <c r="P197" s="45">
        <v>50.0</v>
      </c>
      <c r="R197" s="45">
        <v>50.0</v>
      </c>
      <c r="T197" s="45">
        <v>0.0</v>
      </c>
      <c r="V197" s="45">
        <v>0.0</v>
      </c>
      <c r="X197" s="45">
        <v>0.0</v>
      </c>
      <c r="Y197" s="27"/>
      <c r="Z197" s="44">
        <v>20.0</v>
      </c>
      <c r="AB197" s="45">
        <v>20.0</v>
      </c>
      <c r="AD197" s="45">
        <v>0.0</v>
      </c>
      <c r="AF197" s="24"/>
      <c r="AH197" s="24"/>
      <c r="AJ197" s="24"/>
      <c r="AK197" s="27"/>
      <c r="AL197" s="39">
        <f t="shared" si="1"/>
        <v>2722.5</v>
      </c>
      <c r="AM197" s="35">
        <f t="shared" si="2"/>
        <v>270</v>
      </c>
      <c r="AN197" s="35">
        <v>0.0</v>
      </c>
      <c r="AO197" s="35">
        <f t="shared" si="3"/>
        <v>270</v>
      </c>
      <c r="AP197" s="40">
        <f t="shared" si="4"/>
        <v>10.08333333</v>
      </c>
    </row>
    <row r="198" ht="15.75" customHeight="1">
      <c r="A198" s="48" t="s">
        <v>31</v>
      </c>
      <c r="B198" s="50">
        <f t="shared" si="5"/>
        <v>44758</v>
      </c>
      <c r="C198" s="51">
        <v>7.0</v>
      </c>
      <c r="D198" s="51" t="s">
        <v>34</v>
      </c>
      <c r="E198" s="88" t="s">
        <v>35</v>
      </c>
      <c r="F198" s="75">
        <v>0.0</v>
      </c>
      <c r="G198" s="56"/>
      <c r="H198" s="74">
        <v>0.0</v>
      </c>
      <c r="I198" s="56"/>
      <c r="J198" s="74">
        <v>0.0</v>
      </c>
      <c r="K198" s="56"/>
      <c r="L198" s="73">
        <v>30.0</v>
      </c>
      <c r="M198" s="56"/>
      <c r="N198" s="74">
        <v>30.0</v>
      </c>
      <c r="O198" s="56"/>
      <c r="P198" s="74">
        <v>0.0</v>
      </c>
      <c r="Q198" s="56"/>
      <c r="R198" s="74">
        <v>0.0</v>
      </c>
      <c r="S198" s="56"/>
      <c r="T198" s="74">
        <v>0.0</v>
      </c>
      <c r="U198" s="56"/>
      <c r="V198" s="74">
        <v>0.0</v>
      </c>
      <c r="W198" s="56"/>
      <c r="X198" s="74">
        <v>0.0</v>
      </c>
      <c r="Y198" s="60"/>
      <c r="Z198" s="75">
        <v>0.0</v>
      </c>
      <c r="AA198" s="56"/>
      <c r="AB198" s="74">
        <v>0.0</v>
      </c>
      <c r="AC198" s="56"/>
      <c r="AD198" s="74">
        <v>0.0</v>
      </c>
      <c r="AE198" s="56"/>
      <c r="AF198" s="57"/>
      <c r="AG198" s="56"/>
      <c r="AH198" s="57"/>
      <c r="AI198" s="56"/>
      <c r="AJ198" s="57"/>
      <c r="AK198" s="60"/>
      <c r="AL198" s="61">
        <f t="shared" si="1"/>
        <v>681</v>
      </c>
      <c r="AM198" s="51">
        <f t="shared" si="2"/>
        <v>60</v>
      </c>
      <c r="AN198" s="51">
        <v>0.0</v>
      </c>
      <c r="AO198" s="51">
        <f t="shared" si="3"/>
        <v>60</v>
      </c>
      <c r="AP198" s="63">
        <f t="shared" si="4"/>
        <v>11.35</v>
      </c>
    </row>
    <row r="199" ht="15.75" customHeight="1">
      <c r="A199" s="18" t="s">
        <v>20</v>
      </c>
      <c r="B199" s="64">
        <f t="shared" si="5"/>
        <v>44759</v>
      </c>
      <c r="C199" s="20">
        <v>8.0</v>
      </c>
      <c r="D199" s="20" t="s">
        <v>21</v>
      </c>
      <c r="E199" s="90" t="s">
        <v>35</v>
      </c>
      <c r="F199" s="44">
        <v>0.0</v>
      </c>
      <c r="H199" s="45">
        <v>0.0</v>
      </c>
      <c r="J199" s="45">
        <v>0.0</v>
      </c>
      <c r="L199" s="46">
        <v>0.0</v>
      </c>
      <c r="M199" s="47"/>
      <c r="N199" s="49">
        <v>100.0</v>
      </c>
      <c r="O199" s="47"/>
      <c r="P199" s="49">
        <v>50.0</v>
      </c>
      <c r="Q199" s="47"/>
      <c r="R199" s="49">
        <v>50.0</v>
      </c>
      <c r="S199" s="47"/>
      <c r="T199" s="49">
        <v>1.0</v>
      </c>
      <c r="U199" s="47"/>
      <c r="V199" s="49">
        <v>1.0</v>
      </c>
      <c r="W199" s="47"/>
      <c r="X199" s="49">
        <v>32.0</v>
      </c>
      <c r="Y199" s="55"/>
      <c r="Z199" s="44">
        <v>0.0</v>
      </c>
      <c r="AB199" s="45">
        <v>32.0</v>
      </c>
      <c r="AD199" s="45">
        <v>0.0</v>
      </c>
      <c r="AF199" s="24"/>
      <c r="AH199" s="24"/>
      <c r="AJ199" s="24"/>
      <c r="AK199" s="27"/>
      <c r="AL199" s="28">
        <f t="shared" si="1"/>
        <v>3247.2</v>
      </c>
      <c r="AM199" s="20">
        <f t="shared" si="2"/>
        <v>266</v>
      </c>
      <c r="AN199" s="20">
        <v>0.0</v>
      </c>
      <c r="AO199" s="20">
        <f t="shared" si="3"/>
        <v>266</v>
      </c>
      <c r="AP199" s="31">
        <f t="shared" si="4"/>
        <v>12.2075188</v>
      </c>
    </row>
    <row r="200" ht="15.75" customHeight="1">
      <c r="A200" s="32" t="s">
        <v>22</v>
      </c>
      <c r="B200" s="34">
        <f t="shared" si="5"/>
        <v>44760</v>
      </c>
      <c r="C200" s="35">
        <v>8.0</v>
      </c>
      <c r="D200" s="35" t="s">
        <v>21</v>
      </c>
      <c r="E200" s="87" t="s">
        <v>35</v>
      </c>
      <c r="F200" s="44">
        <v>0.0</v>
      </c>
      <c r="H200" s="45">
        <v>0.0</v>
      </c>
      <c r="J200" s="45">
        <v>0.0</v>
      </c>
      <c r="L200" s="66">
        <v>0.0</v>
      </c>
      <c r="N200" s="45">
        <v>100.0</v>
      </c>
      <c r="P200" s="45">
        <v>50.0</v>
      </c>
      <c r="R200" s="45">
        <v>50.0</v>
      </c>
      <c r="T200" s="45">
        <v>0.0</v>
      </c>
      <c r="V200" s="45">
        <v>0.0</v>
      </c>
      <c r="X200" s="45">
        <v>32.0</v>
      </c>
      <c r="Y200" s="27"/>
      <c r="Z200" s="44">
        <v>0.0</v>
      </c>
      <c r="AB200" s="45">
        <v>32.0</v>
      </c>
      <c r="AD200" s="45">
        <v>0.0</v>
      </c>
      <c r="AF200" s="24"/>
      <c r="AH200" s="24"/>
      <c r="AJ200" s="24"/>
      <c r="AK200" s="27"/>
      <c r="AL200" s="39">
        <f t="shared" si="1"/>
        <v>2547.2</v>
      </c>
      <c r="AM200" s="35">
        <f t="shared" si="2"/>
        <v>264</v>
      </c>
      <c r="AN200" s="35">
        <v>0.0</v>
      </c>
      <c r="AO200" s="35">
        <f t="shared" si="3"/>
        <v>264</v>
      </c>
      <c r="AP200" s="40">
        <f t="shared" si="4"/>
        <v>9.648484848</v>
      </c>
    </row>
    <row r="201" ht="15.75" customHeight="1">
      <c r="A201" s="32" t="s">
        <v>24</v>
      </c>
      <c r="B201" s="34">
        <f t="shared" si="5"/>
        <v>44761</v>
      </c>
      <c r="C201" s="35">
        <v>8.0</v>
      </c>
      <c r="D201" s="35" t="s">
        <v>21</v>
      </c>
      <c r="E201" s="87" t="s">
        <v>35</v>
      </c>
      <c r="F201" s="44">
        <v>0.0</v>
      </c>
      <c r="H201" s="45">
        <v>0.0</v>
      </c>
      <c r="J201" s="45">
        <v>0.0</v>
      </c>
      <c r="L201" s="66">
        <v>0.0</v>
      </c>
      <c r="N201" s="45">
        <v>100.0</v>
      </c>
      <c r="P201" s="45">
        <v>90.0</v>
      </c>
      <c r="R201" s="45">
        <v>50.0</v>
      </c>
      <c r="T201" s="45">
        <v>0.0</v>
      </c>
      <c r="V201" s="45">
        <v>0.0</v>
      </c>
      <c r="X201" s="45">
        <v>32.0</v>
      </c>
      <c r="Y201" s="27"/>
      <c r="Z201" s="44">
        <v>0.0</v>
      </c>
      <c r="AB201" s="45">
        <v>32.0</v>
      </c>
      <c r="AD201" s="45">
        <v>0.0</v>
      </c>
      <c r="AF201" s="24"/>
      <c r="AH201" s="24"/>
      <c r="AJ201" s="24"/>
      <c r="AK201" s="27"/>
      <c r="AL201" s="39">
        <f t="shared" si="1"/>
        <v>3001.2</v>
      </c>
      <c r="AM201" s="35">
        <f t="shared" si="2"/>
        <v>304</v>
      </c>
      <c r="AN201" s="35">
        <v>0.0</v>
      </c>
      <c r="AO201" s="35">
        <f t="shared" si="3"/>
        <v>304</v>
      </c>
      <c r="AP201" s="40">
        <f t="shared" si="4"/>
        <v>9.872368421</v>
      </c>
    </row>
    <row r="202" ht="15.75" customHeight="1">
      <c r="A202" s="32" t="s">
        <v>28</v>
      </c>
      <c r="B202" s="34">
        <f t="shared" si="5"/>
        <v>44762</v>
      </c>
      <c r="C202" s="35">
        <v>8.0</v>
      </c>
      <c r="D202" s="35" t="s">
        <v>21</v>
      </c>
      <c r="E202" s="87" t="s">
        <v>35</v>
      </c>
      <c r="F202" s="44">
        <v>0.0</v>
      </c>
      <c r="H202" s="45">
        <v>0.0</v>
      </c>
      <c r="J202" s="45">
        <v>0.0</v>
      </c>
      <c r="L202" s="66">
        <v>0.0</v>
      </c>
      <c r="N202" s="45">
        <v>100.0</v>
      </c>
      <c r="P202" s="45">
        <v>90.0</v>
      </c>
      <c r="R202" s="45">
        <v>50.0</v>
      </c>
      <c r="T202" s="45">
        <v>0.0</v>
      </c>
      <c r="V202" s="45">
        <v>0.0</v>
      </c>
      <c r="X202" s="45">
        <v>32.0</v>
      </c>
      <c r="Y202" s="27"/>
      <c r="Z202" s="44">
        <v>0.0</v>
      </c>
      <c r="AB202" s="45">
        <v>32.0</v>
      </c>
      <c r="AD202" s="45">
        <v>0.0</v>
      </c>
      <c r="AF202" s="24"/>
      <c r="AH202" s="24"/>
      <c r="AJ202" s="24"/>
      <c r="AK202" s="27"/>
      <c r="AL202" s="39">
        <f t="shared" si="1"/>
        <v>3001.2</v>
      </c>
      <c r="AM202" s="35">
        <f t="shared" si="2"/>
        <v>304</v>
      </c>
      <c r="AN202" s="35">
        <v>0.0</v>
      </c>
      <c r="AO202" s="35">
        <f t="shared" si="3"/>
        <v>304</v>
      </c>
      <c r="AP202" s="40">
        <f t="shared" si="4"/>
        <v>9.872368421</v>
      </c>
    </row>
    <row r="203" ht="15.75" customHeight="1">
      <c r="A203" s="32" t="s">
        <v>29</v>
      </c>
      <c r="B203" s="34">
        <f t="shared" si="5"/>
        <v>44763</v>
      </c>
      <c r="C203" s="35">
        <v>8.0</v>
      </c>
      <c r="D203" s="35" t="s">
        <v>21</v>
      </c>
      <c r="E203" s="87" t="s">
        <v>35</v>
      </c>
      <c r="F203" s="44">
        <v>0.0</v>
      </c>
      <c r="H203" s="45">
        <v>0.0</v>
      </c>
      <c r="J203" s="45">
        <v>0.0</v>
      </c>
      <c r="L203" s="66">
        <v>0.0</v>
      </c>
      <c r="N203" s="45">
        <v>100.0</v>
      </c>
      <c r="P203" s="45">
        <v>90.0</v>
      </c>
      <c r="R203" s="45">
        <v>50.0</v>
      </c>
      <c r="T203" s="45">
        <v>0.0</v>
      </c>
      <c r="V203" s="45">
        <v>0.0</v>
      </c>
      <c r="X203" s="45">
        <v>32.0</v>
      </c>
      <c r="Y203" s="27"/>
      <c r="Z203" s="44">
        <v>0.0</v>
      </c>
      <c r="AB203" s="45">
        <v>32.0</v>
      </c>
      <c r="AD203" s="45">
        <v>0.0</v>
      </c>
      <c r="AF203" s="24"/>
      <c r="AH203" s="24"/>
      <c r="AJ203" s="24"/>
      <c r="AK203" s="27"/>
      <c r="AL203" s="39">
        <f t="shared" si="1"/>
        <v>3001.2</v>
      </c>
      <c r="AM203" s="35">
        <f t="shared" si="2"/>
        <v>304</v>
      </c>
      <c r="AN203" s="35">
        <v>0.0</v>
      </c>
      <c r="AO203" s="35">
        <f t="shared" si="3"/>
        <v>304</v>
      </c>
      <c r="AP203" s="40">
        <f t="shared" si="4"/>
        <v>9.872368421</v>
      </c>
    </row>
    <row r="204" ht="15.75" customHeight="1">
      <c r="A204" s="32" t="s">
        <v>30</v>
      </c>
      <c r="B204" s="34">
        <f t="shared" si="5"/>
        <v>44764</v>
      </c>
      <c r="C204" s="35">
        <v>8.0</v>
      </c>
      <c r="D204" s="35" t="s">
        <v>21</v>
      </c>
      <c r="E204" s="87" t="s">
        <v>35</v>
      </c>
      <c r="F204" s="44">
        <v>0.0</v>
      </c>
      <c r="H204" s="45">
        <v>0.0</v>
      </c>
      <c r="J204" s="45">
        <v>0.0</v>
      </c>
      <c r="L204" s="66">
        <v>100.0</v>
      </c>
      <c r="N204" s="45">
        <v>100.0</v>
      </c>
      <c r="P204" s="45">
        <v>0.0</v>
      </c>
      <c r="R204" s="45">
        <v>0.0</v>
      </c>
      <c r="T204" s="45">
        <v>0.0</v>
      </c>
      <c r="V204" s="45">
        <v>0.0</v>
      </c>
      <c r="X204" s="45">
        <v>0.0</v>
      </c>
      <c r="Y204" s="27"/>
      <c r="Z204" s="44">
        <v>20.0</v>
      </c>
      <c r="AB204" s="45">
        <v>20.0</v>
      </c>
      <c r="AD204" s="45">
        <v>0.0</v>
      </c>
      <c r="AF204" s="24"/>
      <c r="AH204" s="24"/>
      <c r="AJ204" s="24"/>
      <c r="AK204" s="27"/>
      <c r="AL204" s="39">
        <f t="shared" si="1"/>
        <v>2724</v>
      </c>
      <c r="AM204" s="35">
        <f t="shared" si="2"/>
        <v>240</v>
      </c>
      <c r="AN204" s="35">
        <v>0.0</v>
      </c>
      <c r="AO204" s="35">
        <f t="shared" si="3"/>
        <v>240</v>
      </c>
      <c r="AP204" s="40">
        <f t="shared" si="4"/>
        <v>11.35</v>
      </c>
    </row>
    <row r="205" ht="15.75" customHeight="1">
      <c r="A205" s="48" t="s">
        <v>31</v>
      </c>
      <c r="B205" s="50">
        <f t="shared" si="5"/>
        <v>44765</v>
      </c>
      <c r="C205" s="51">
        <v>8.0</v>
      </c>
      <c r="D205" s="51" t="s">
        <v>21</v>
      </c>
      <c r="E205" s="88" t="s">
        <v>35</v>
      </c>
      <c r="F205" s="75">
        <v>0.0</v>
      </c>
      <c r="G205" s="56"/>
      <c r="H205" s="74">
        <v>0.0</v>
      </c>
      <c r="I205" s="56"/>
      <c r="J205" s="74">
        <v>0.0</v>
      </c>
      <c r="K205" s="56"/>
      <c r="L205" s="73">
        <v>0.0</v>
      </c>
      <c r="M205" s="56"/>
      <c r="N205" s="74">
        <v>0.0</v>
      </c>
      <c r="O205" s="56"/>
      <c r="P205" s="74">
        <v>0.0</v>
      </c>
      <c r="Q205" s="56"/>
      <c r="R205" s="74">
        <v>0.0</v>
      </c>
      <c r="S205" s="56"/>
      <c r="T205" s="74">
        <v>0.0</v>
      </c>
      <c r="U205" s="56"/>
      <c r="V205" s="74">
        <v>0.0</v>
      </c>
      <c r="W205" s="56"/>
      <c r="X205" s="74">
        <v>0.0</v>
      </c>
      <c r="Y205" s="60"/>
      <c r="Z205" s="75">
        <v>0.0</v>
      </c>
      <c r="AA205" s="56"/>
      <c r="AB205" s="74">
        <v>0.0</v>
      </c>
      <c r="AC205" s="56"/>
      <c r="AD205" s="74">
        <v>0.0</v>
      </c>
      <c r="AE205" s="56"/>
      <c r="AF205" s="57"/>
      <c r="AG205" s="56"/>
      <c r="AH205" s="57"/>
      <c r="AI205" s="56"/>
      <c r="AJ205" s="57"/>
      <c r="AK205" s="60"/>
      <c r="AL205" s="61">
        <f t="shared" si="1"/>
        <v>0</v>
      </c>
      <c r="AM205" s="51">
        <f t="shared" si="2"/>
        <v>0</v>
      </c>
      <c r="AN205" s="51">
        <v>0.0</v>
      </c>
      <c r="AO205" s="51">
        <f t="shared" si="3"/>
        <v>0</v>
      </c>
      <c r="AP205" s="63" t="str">
        <f t="shared" si="4"/>
        <v/>
      </c>
    </row>
    <row r="206" ht="15.75" customHeight="1">
      <c r="A206" s="18" t="s">
        <v>20</v>
      </c>
      <c r="B206" s="64">
        <f t="shared" si="5"/>
        <v>44766</v>
      </c>
      <c r="C206" s="20">
        <v>8.0</v>
      </c>
      <c r="D206" s="20" t="s">
        <v>32</v>
      </c>
      <c r="E206" s="90" t="s">
        <v>35</v>
      </c>
      <c r="F206" s="44">
        <v>0.0</v>
      </c>
      <c r="H206" s="45">
        <v>0.0</v>
      </c>
      <c r="J206" s="45">
        <v>0.0</v>
      </c>
      <c r="L206" s="46">
        <v>0.0</v>
      </c>
      <c r="M206" s="47"/>
      <c r="N206" s="49">
        <v>100.0</v>
      </c>
      <c r="O206" s="47"/>
      <c r="P206" s="49">
        <v>65.0</v>
      </c>
      <c r="Q206" s="47"/>
      <c r="R206" s="49">
        <v>0.0</v>
      </c>
      <c r="S206" s="47"/>
      <c r="T206" s="49">
        <v>1.0</v>
      </c>
      <c r="U206" s="47"/>
      <c r="V206" s="49">
        <v>1.0</v>
      </c>
      <c r="W206" s="47"/>
      <c r="X206" s="49">
        <v>32.0</v>
      </c>
      <c r="Y206" s="55"/>
      <c r="Z206" s="44">
        <v>0.0</v>
      </c>
      <c r="AB206" s="45">
        <v>32.0</v>
      </c>
      <c r="AD206" s="45">
        <v>0.0</v>
      </c>
      <c r="AF206" s="24"/>
      <c r="AH206" s="24"/>
      <c r="AJ206" s="24"/>
      <c r="AK206" s="27"/>
      <c r="AL206" s="28">
        <f t="shared" si="1"/>
        <v>3191.95</v>
      </c>
      <c r="AM206" s="20">
        <f t="shared" si="2"/>
        <v>231</v>
      </c>
      <c r="AN206" s="20">
        <v>0.0</v>
      </c>
      <c r="AO206" s="20">
        <f t="shared" si="3"/>
        <v>231</v>
      </c>
      <c r="AP206" s="31">
        <f t="shared" si="4"/>
        <v>13.81796537</v>
      </c>
    </row>
    <row r="207" ht="15.75" customHeight="1">
      <c r="A207" s="32" t="s">
        <v>22</v>
      </c>
      <c r="B207" s="34">
        <f t="shared" si="5"/>
        <v>44767</v>
      </c>
      <c r="C207" s="35">
        <v>8.0</v>
      </c>
      <c r="D207" s="35" t="s">
        <v>32</v>
      </c>
      <c r="E207" s="87" t="s">
        <v>35</v>
      </c>
      <c r="F207" s="44">
        <v>0.0</v>
      </c>
      <c r="H207" s="45">
        <v>0.0</v>
      </c>
      <c r="J207" s="45">
        <v>0.0</v>
      </c>
      <c r="L207" s="66">
        <v>0.0</v>
      </c>
      <c r="N207" s="45">
        <v>100.0</v>
      </c>
      <c r="P207" s="45">
        <v>65.0</v>
      </c>
      <c r="R207" s="45">
        <v>50.0</v>
      </c>
      <c r="T207" s="45">
        <v>0.0</v>
      </c>
      <c r="V207" s="45">
        <v>0.0</v>
      </c>
      <c r="X207" s="45">
        <v>32.0</v>
      </c>
      <c r="Y207" s="27"/>
      <c r="Z207" s="44">
        <v>0.0</v>
      </c>
      <c r="AB207" s="45">
        <v>32.0</v>
      </c>
      <c r="AD207" s="45">
        <v>0.0</v>
      </c>
      <c r="AF207" s="24"/>
      <c r="AH207" s="24"/>
      <c r="AJ207" s="24"/>
      <c r="AK207" s="27"/>
      <c r="AL207" s="39">
        <f t="shared" si="1"/>
        <v>2717.45</v>
      </c>
      <c r="AM207" s="35">
        <f t="shared" si="2"/>
        <v>279</v>
      </c>
      <c r="AN207" s="35">
        <v>0.0</v>
      </c>
      <c r="AO207" s="35">
        <f t="shared" si="3"/>
        <v>279</v>
      </c>
      <c r="AP207" s="40">
        <f t="shared" si="4"/>
        <v>9.739964158</v>
      </c>
    </row>
    <row r="208" ht="15.75" customHeight="1">
      <c r="A208" s="32" t="s">
        <v>24</v>
      </c>
      <c r="B208" s="34">
        <f t="shared" si="5"/>
        <v>44768</v>
      </c>
      <c r="C208" s="35">
        <v>8.0</v>
      </c>
      <c r="D208" s="35" t="s">
        <v>32</v>
      </c>
      <c r="E208" s="87" t="s">
        <v>35</v>
      </c>
      <c r="F208" s="44">
        <v>0.0</v>
      </c>
      <c r="H208" s="45">
        <v>0.0</v>
      </c>
      <c r="J208" s="45">
        <v>0.0</v>
      </c>
      <c r="L208" s="66">
        <v>0.0</v>
      </c>
      <c r="N208" s="45">
        <v>100.0</v>
      </c>
      <c r="P208" s="45">
        <v>65.0</v>
      </c>
      <c r="R208" s="45">
        <v>0.0</v>
      </c>
      <c r="T208" s="45">
        <v>0.0</v>
      </c>
      <c r="V208" s="45">
        <v>0.0</v>
      </c>
      <c r="X208" s="45">
        <v>32.0</v>
      </c>
      <c r="Y208" s="27"/>
      <c r="Z208" s="44">
        <v>0.0</v>
      </c>
      <c r="AB208" s="45">
        <v>32.0</v>
      </c>
      <c r="AD208" s="45">
        <v>0.0</v>
      </c>
      <c r="AF208" s="24"/>
      <c r="AH208" s="24"/>
      <c r="AJ208" s="24"/>
      <c r="AK208" s="27"/>
      <c r="AL208" s="39">
        <f t="shared" si="1"/>
        <v>2491.95</v>
      </c>
      <c r="AM208" s="35">
        <f t="shared" si="2"/>
        <v>229</v>
      </c>
      <c r="AN208" s="35">
        <v>0.0</v>
      </c>
      <c r="AO208" s="35">
        <f t="shared" si="3"/>
        <v>229</v>
      </c>
      <c r="AP208" s="40">
        <f t="shared" si="4"/>
        <v>10.88187773</v>
      </c>
    </row>
    <row r="209" ht="15.75" customHeight="1">
      <c r="A209" s="32" t="s">
        <v>28</v>
      </c>
      <c r="B209" s="34">
        <f t="shared" si="5"/>
        <v>44769</v>
      </c>
      <c r="C209" s="35">
        <v>8.0</v>
      </c>
      <c r="D209" s="35" t="s">
        <v>32</v>
      </c>
      <c r="E209" s="87" t="s">
        <v>35</v>
      </c>
      <c r="F209" s="44">
        <v>0.0</v>
      </c>
      <c r="H209" s="45">
        <v>0.0</v>
      </c>
      <c r="J209" s="45">
        <v>0.0</v>
      </c>
      <c r="L209" s="66">
        <v>0.0</v>
      </c>
      <c r="N209" s="45">
        <v>100.0</v>
      </c>
      <c r="P209" s="45">
        <v>65.0</v>
      </c>
      <c r="R209" s="45">
        <v>50.0</v>
      </c>
      <c r="T209" s="45">
        <v>0.0</v>
      </c>
      <c r="V209" s="45">
        <v>0.0</v>
      </c>
      <c r="X209" s="45">
        <v>32.0</v>
      </c>
      <c r="Y209" s="27"/>
      <c r="Z209" s="44">
        <v>0.0</v>
      </c>
      <c r="AB209" s="45">
        <v>32.0</v>
      </c>
      <c r="AD209" s="45">
        <v>0.0</v>
      </c>
      <c r="AF209" s="24"/>
      <c r="AH209" s="24"/>
      <c r="AJ209" s="24"/>
      <c r="AK209" s="27"/>
      <c r="AL209" s="39">
        <f t="shared" si="1"/>
        <v>2717.45</v>
      </c>
      <c r="AM209" s="35">
        <f t="shared" si="2"/>
        <v>279</v>
      </c>
      <c r="AN209" s="35">
        <v>0.0</v>
      </c>
      <c r="AO209" s="35">
        <f t="shared" si="3"/>
        <v>279</v>
      </c>
      <c r="AP209" s="40">
        <f t="shared" si="4"/>
        <v>9.739964158</v>
      </c>
    </row>
    <row r="210" ht="15.75" customHeight="1">
      <c r="A210" s="32" t="s">
        <v>29</v>
      </c>
      <c r="B210" s="34">
        <f t="shared" si="5"/>
        <v>44770</v>
      </c>
      <c r="C210" s="35">
        <v>8.0</v>
      </c>
      <c r="D210" s="35" t="s">
        <v>32</v>
      </c>
      <c r="E210" s="87" t="s">
        <v>35</v>
      </c>
      <c r="F210" s="44">
        <v>0.0</v>
      </c>
      <c r="H210" s="45">
        <v>0.0</v>
      </c>
      <c r="J210" s="45">
        <v>0.0</v>
      </c>
      <c r="L210" s="66">
        <v>0.0</v>
      </c>
      <c r="N210" s="45">
        <v>100.0</v>
      </c>
      <c r="P210" s="45">
        <v>65.0</v>
      </c>
      <c r="R210" s="45">
        <v>50.0</v>
      </c>
      <c r="T210" s="45">
        <v>0.0</v>
      </c>
      <c r="V210" s="45">
        <v>0.0</v>
      </c>
      <c r="X210" s="45">
        <v>32.0</v>
      </c>
      <c r="Y210" s="27"/>
      <c r="Z210" s="44">
        <v>0.0</v>
      </c>
      <c r="AB210" s="45">
        <v>32.0</v>
      </c>
      <c r="AD210" s="45">
        <v>0.0</v>
      </c>
      <c r="AF210" s="24"/>
      <c r="AH210" s="24"/>
      <c r="AJ210" s="24"/>
      <c r="AK210" s="27"/>
      <c r="AL210" s="39">
        <f t="shared" si="1"/>
        <v>2717.45</v>
      </c>
      <c r="AM210" s="35">
        <f t="shared" si="2"/>
        <v>279</v>
      </c>
      <c r="AN210" s="35">
        <v>0.0</v>
      </c>
      <c r="AO210" s="35">
        <f t="shared" si="3"/>
        <v>279</v>
      </c>
      <c r="AP210" s="40">
        <f t="shared" si="4"/>
        <v>9.739964158</v>
      </c>
    </row>
    <row r="211" ht="15.75" customHeight="1">
      <c r="A211" s="32" t="s">
        <v>30</v>
      </c>
      <c r="B211" s="34">
        <f t="shared" si="5"/>
        <v>44771</v>
      </c>
      <c r="C211" s="35">
        <v>8.0</v>
      </c>
      <c r="D211" s="35" t="s">
        <v>32</v>
      </c>
      <c r="E211" s="87" t="s">
        <v>35</v>
      </c>
      <c r="F211" s="44">
        <v>0.0</v>
      </c>
      <c r="H211" s="45">
        <v>0.0</v>
      </c>
      <c r="J211" s="45">
        <v>0.0</v>
      </c>
      <c r="L211" s="66">
        <v>100.0</v>
      </c>
      <c r="N211" s="45">
        <v>100.0</v>
      </c>
      <c r="P211" s="45">
        <v>0.0</v>
      </c>
      <c r="R211" s="45">
        <v>0.0</v>
      </c>
      <c r="T211" s="45">
        <v>0.0</v>
      </c>
      <c r="V211" s="45">
        <v>0.0</v>
      </c>
      <c r="X211" s="45">
        <v>0.0</v>
      </c>
      <c r="Y211" s="27"/>
      <c r="Z211" s="44">
        <v>13.0</v>
      </c>
      <c r="AB211" s="45">
        <v>13.0</v>
      </c>
      <c r="AD211" s="45">
        <v>0.0</v>
      </c>
      <c r="AF211" s="24"/>
      <c r="AH211" s="24"/>
      <c r="AJ211" s="24"/>
      <c r="AK211" s="27"/>
      <c r="AL211" s="39">
        <f t="shared" si="1"/>
        <v>2565.1</v>
      </c>
      <c r="AM211" s="35">
        <f t="shared" si="2"/>
        <v>226</v>
      </c>
      <c r="AN211" s="35">
        <v>0.0</v>
      </c>
      <c r="AO211" s="35">
        <f t="shared" si="3"/>
        <v>226</v>
      </c>
      <c r="AP211" s="40">
        <f t="shared" si="4"/>
        <v>11.35</v>
      </c>
    </row>
    <row r="212" ht="15.75" customHeight="1">
      <c r="A212" s="48" t="s">
        <v>31</v>
      </c>
      <c r="B212" s="50">
        <f t="shared" si="5"/>
        <v>44772</v>
      </c>
      <c r="C212" s="51">
        <v>8.0</v>
      </c>
      <c r="D212" s="51" t="s">
        <v>32</v>
      </c>
      <c r="E212" s="88" t="s">
        <v>35</v>
      </c>
      <c r="F212" s="75">
        <v>0.0</v>
      </c>
      <c r="G212" s="56"/>
      <c r="H212" s="74">
        <v>0.0</v>
      </c>
      <c r="I212" s="56"/>
      <c r="J212" s="74">
        <v>0.0</v>
      </c>
      <c r="K212" s="56"/>
      <c r="L212" s="73">
        <v>0.0</v>
      </c>
      <c r="M212" s="56"/>
      <c r="N212" s="74">
        <v>0.0</v>
      </c>
      <c r="O212" s="56"/>
      <c r="P212" s="74">
        <v>0.0</v>
      </c>
      <c r="Q212" s="56"/>
      <c r="R212" s="74">
        <v>0.0</v>
      </c>
      <c r="S212" s="56"/>
      <c r="T212" s="74">
        <v>0.0</v>
      </c>
      <c r="U212" s="56"/>
      <c r="V212" s="74">
        <v>0.0</v>
      </c>
      <c r="W212" s="56"/>
      <c r="X212" s="74">
        <v>0.0</v>
      </c>
      <c r="Y212" s="60"/>
      <c r="Z212" s="75">
        <v>0.0</v>
      </c>
      <c r="AA212" s="56"/>
      <c r="AB212" s="74">
        <v>0.0</v>
      </c>
      <c r="AC212" s="56"/>
      <c r="AD212" s="74">
        <v>0.0</v>
      </c>
      <c r="AE212" s="56"/>
      <c r="AF212" s="57"/>
      <c r="AG212" s="56"/>
      <c r="AH212" s="57"/>
      <c r="AI212" s="56"/>
      <c r="AJ212" s="57"/>
      <c r="AK212" s="60"/>
      <c r="AL212" s="61">
        <f t="shared" si="1"/>
        <v>0</v>
      </c>
      <c r="AM212" s="51">
        <f t="shared" si="2"/>
        <v>0</v>
      </c>
      <c r="AN212" s="51">
        <v>0.0</v>
      </c>
      <c r="AO212" s="51">
        <f t="shared" si="3"/>
        <v>0</v>
      </c>
      <c r="AP212" s="63" t="str">
        <f t="shared" si="4"/>
        <v/>
      </c>
    </row>
    <row r="213" ht="15.75" customHeight="1">
      <c r="A213" s="18" t="s">
        <v>20</v>
      </c>
      <c r="B213" s="64">
        <f t="shared" si="5"/>
        <v>44773</v>
      </c>
      <c r="C213" s="20">
        <v>8.0</v>
      </c>
      <c r="D213" s="20" t="s">
        <v>33</v>
      </c>
      <c r="E213" s="90" t="s">
        <v>35</v>
      </c>
      <c r="F213" s="44">
        <v>0.0</v>
      </c>
      <c r="H213" s="45">
        <v>0.0</v>
      </c>
      <c r="J213" s="45">
        <v>0.0</v>
      </c>
      <c r="L213" s="46">
        <v>0.0</v>
      </c>
      <c r="M213" s="47"/>
      <c r="N213" s="49">
        <v>100.0</v>
      </c>
      <c r="O213" s="47"/>
      <c r="P213" s="49">
        <v>65.0</v>
      </c>
      <c r="Q213" s="47"/>
      <c r="R213" s="49">
        <v>50.0</v>
      </c>
      <c r="S213" s="47"/>
      <c r="T213" s="49">
        <v>1.0</v>
      </c>
      <c r="U213" s="47"/>
      <c r="V213" s="49">
        <v>1.0</v>
      </c>
      <c r="W213" s="47"/>
      <c r="X213" s="49">
        <v>28.0</v>
      </c>
      <c r="Y213" s="55"/>
      <c r="Z213" s="44">
        <v>0.0</v>
      </c>
      <c r="AB213" s="45">
        <v>28.0</v>
      </c>
      <c r="AD213" s="45">
        <v>0.0</v>
      </c>
      <c r="AF213" s="24"/>
      <c r="AH213" s="24"/>
      <c r="AJ213" s="24"/>
      <c r="AK213" s="27"/>
      <c r="AL213" s="28">
        <f t="shared" si="1"/>
        <v>3340.05</v>
      </c>
      <c r="AM213" s="20">
        <f t="shared" si="2"/>
        <v>273</v>
      </c>
      <c r="AN213" s="20">
        <v>0.0</v>
      </c>
      <c r="AO213" s="20">
        <f t="shared" si="3"/>
        <v>273</v>
      </c>
      <c r="AP213" s="31">
        <f t="shared" si="4"/>
        <v>12.23461538</v>
      </c>
    </row>
    <row r="214" ht="15.75" customHeight="1">
      <c r="A214" s="32" t="s">
        <v>22</v>
      </c>
      <c r="B214" s="34">
        <f t="shared" si="5"/>
        <v>44774</v>
      </c>
      <c r="C214" s="35">
        <v>8.0</v>
      </c>
      <c r="D214" s="35" t="s">
        <v>33</v>
      </c>
      <c r="E214" s="87" t="s">
        <v>35</v>
      </c>
      <c r="F214" s="44">
        <v>0.0</v>
      </c>
      <c r="H214" s="45">
        <v>0.0</v>
      </c>
      <c r="J214" s="45">
        <v>0.0</v>
      </c>
      <c r="L214" s="66">
        <v>0.0</v>
      </c>
      <c r="N214" s="45">
        <v>100.0</v>
      </c>
      <c r="P214" s="45">
        <v>65.0</v>
      </c>
      <c r="R214" s="45">
        <v>50.0</v>
      </c>
      <c r="T214" s="45">
        <v>0.0</v>
      </c>
      <c r="V214" s="45">
        <v>0.0</v>
      </c>
      <c r="X214" s="45">
        <v>28.0</v>
      </c>
      <c r="Y214" s="27"/>
      <c r="Z214" s="44">
        <v>0.0</v>
      </c>
      <c r="AB214" s="45">
        <v>28.0</v>
      </c>
      <c r="AD214" s="45">
        <v>0.0</v>
      </c>
      <c r="AF214" s="24"/>
      <c r="AH214" s="24"/>
      <c r="AJ214" s="24"/>
      <c r="AK214" s="27"/>
      <c r="AL214" s="39">
        <f t="shared" si="1"/>
        <v>2640.05</v>
      </c>
      <c r="AM214" s="35">
        <f t="shared" si="2"/>
        <v>271</v>
      </c>
      <c r="AN214" s="35">
        <v>0.0</v>
      </c>
      <c r="AO214" s="35">
        <f t="shared" si="3"/>
        <v>271</v>
      </c>
      <c r="AP214" s="40">
        <f t="shared" si="4"/>
        <v>9.741881919</v>
      </c>
    </row>
    <row r="215" ht="15.75" customHeight="1">
      <c r="A215" s="32" t="s">
        <v>24</v>
      </c>
      <c r="B215" s="34">
        <f t="shared" si="5"/>
        <v>44775</v>
      </c>
      <c r="C215" s="35">
        <v>8.0</v>
      </c>
      <c r="D215" s="35" t="s">
        <v>33</v>
      </c>
      <c r="E215" s="87" t="s">
        <v>35</v>
      </c>
      <c r="F215" s="44">
        <v>0.0</v>
      </c>
      <c r="H215" s="45">
        <v>0.0</v>
      </c>
      <c r="J215" s="45">
        <v>0.0</v>
      </c>
      <c r="L215" s="66">
        <v>0.0</v>
      </c>
      <c r="N215" s="45">
        <v>100.0</v>
      </c>
      <c r="P215" s="45">
        <v>65.0</v>
      </c>
      <c r="R215" s="45">
        <v>0.0</v>
      </c>
      <c r="T215" s="45">
        <v>0.0</v>
      </c>
      <c r="V215" s="45">
        <v>0.0</v>
      </c>
      <c r="X215" s="45">
        <v>28.0</v>
      </c>
      <c r="Y215" s="27"/>
      <c r="Z215" s="44">
        <v>0.0</v>
      </c>
      <c r="AB215" s="45">
        <v>28.0</v>
      </c>
      <c r="AD215" s="45">
        <v>0.0</v>
      </c>
      <c r="AF215" s="24"/>
      <c r="AH215" s="24"/>
      <c r="AJ215" s="24"/>
      <c r="AK215" s="27"/>
      <c r="AL215" s="39">
        <f t="shared" si="1"/>
        <v>2414.55</v>
      </c>
      <c r="AM215" s="35">
        <f t="shared" si="2"/>
        <v>221</v>
      </c>
      <c r="AN215" s="35">
        <v>0.0</v>
      </c>
      <c r="AO215" s="35">
        <f t="shared" si="3"/>
        <v>221</v>
      </c>
      <c r="AP215" s="40">
        <f t="shared" si="4"/>
        <v>10.92556561</v>
      </c>
    </row>
    <row r="216" ht="15.75" customHeight="1">
      <c r="A216" s="32" t="s">
        <v>28</v>
      </c>
      <c r="B216" s="34">
        <f t="shared" si="5"/>
        <v>44776</v>
      </c>
      <c r="C216" s="35">
        <v>8.0</v>
      </c>
      <c r="D216" s="35" t="s">
        <v>33</v>
      </c>
      <c r="E216" s="87" t="s">
        <v>35</v>
      </c>
      <c r="F216" s="44">
        <v>0.0</v>
      </c>
      <c r="H216" s="45">
        <v>0.0</v>
      </c>
      <c r="J216" s="45">
        <v>0.0</v>
      </c>
      <c r="L216" s="66">
        <v>0.0</v>
      </c>
      <c r="N216" s="45">
        <v>100.0</v>
      </c>
      <c r="P216" s="45">
        <v>65.0</v>
      </c>
      <c r="R216" s="45">
        <v>50.0</v>
      </c>
      <c r="T216" s="45">
        <v>0.0</v>
      </c>
      <c r="V216" s="45">
        <v>0.0</v>
      </c>
      <c r="X216" s="45">
        <v>26.0</v>
      </c>
      <c r="Y216" s="27"/>
      <c r="Z216" s="44">
        <v>0.0</v>
      </c>
      <c r="AB216" s="45">
        <v>26.0</v>
      </c>
      <c r="AD216" s="45">
        <v>0.0</v>
      </c>
      <c r="AF216" s="24"/>
      <c r="AH216" s="24"/>
      <c r="AJ216" s="24"/>
      <c r="AK216" s="27"/>
      <c r="AL216" s="39">
        <f t="shared" si="1"/>
        <v>2601.35</v>
      </c>
      <c r="AM216" s="35">
        <f t="shared" si="2"/>
        <v>267</v>
      </c>
      <c r="AN216" s="35">
        <v>0.0</v>
      </c>
      <c r="AO216" s="35">
        <f t="shared" si="3"/>
        <v>267</v>
      </c>
      <c r="AP216" s="40">
        <f t="shared" si="4"/>
        <v>9.742883895</v>
      </c>
    </row>
    <row r="217" ht="15.75" customHeight="1">
      <c r="A217" s="32" t="s">
        <v>29</v>
      </c>
      <c r="B217" s="34">
        <f t="shared" si="5"/>
        <v>44777</v>
      </c>
      <c r="C217" s="35">
        <v>8.0</v>
      </c>
      <c r="D217" s="35" t="s">
        <v>33</v>
      </c>
      <c r="E217" s="87" t="s">
        <v>35</v>
      </c>
      <c r="F217" s="44">
        <v>0.0</v>
      </c>
      <c r="H217" s="45">
        <v>0.0</v>
      </c>
      <c r="J217" s="45">
        <v>0.0</v>
      </c>
      <c r="L217" s="66">
        <v>0.0</v>
      </c>
      <c r="N217" s="45">
        <v>100.0</v>
      </c>
      <c r="P217" s="45">
        <v>65.0</v>
      </c>
      <c r="R217" s="45">
        <v>50.0</v>
      </c>
      <c r="T217" s="45">
        <v>0.0</v>
      </c>
      <c r="V217" s="45">
        <v>0.0</v>
      </c>
      <c r="X217" s="45">
        <v>26.0</v>
      </c>
      <c r="Y217" s="27"/>
      <c r="Z217" s="44">
        <v>0.0</v>
      </c>
      <c r="AB217" s="45">
        <v>26.0</v>
      </c>
      <c r="AD217" s="45">
        <v>0.0</v>
      </c>
      <c r="AF217" s="24"/>
      <c r="AH217" s="24"/>
      <c r="AJ217" s="24"/>
      <c r="AK217" s="27"/>
      <c r="AL217" s="39">
        <f t="shared" si="1"/>
        <v>2601.35</v>
      </c>
      <c r="AM217" s="35">
        <f t="shared" si="2"/>
        <v>267</v>
      </c>
      <c r="AN217" s="35">
        <v>0.0</v>
      </c>
      <c r="AO217" s="35">
        <f t="shared" si="3"/>
        <v>267</v>
      </c>
      <c r="AP217" s="40">
        <f t="shared" si="4"/>
        <v>9.742883895</v>
      </c>
    </row>
    <row r="218" ht="15.75" customHeight="1">
      <c r="A218" s="32" t="s">
        <v>30</v>
      </c>
      <c r="B218" s="34">
        <f t="shared" si="5"/>
        <v>44778</v>
      </c>
      <c r="C218" s="35">
        <v>8.0</v>
      </c>
      <c r="D218" s="35" t="s">
        <v>33</v>
      </c>
      <c r="E218" s="87" t="s">
        <v>35</v>
      </c>
      <c r="F218" s="44">
        <v>0.0</v>
      </c>
      <c r="H218" s="45">
        <v>0.0</v>
      </c>
      <c r="J218" s="45">
        <v>0.0</v>
      </c>
      <c r="L218" s="66">
        <v>100.0</v>
      </c>
      <c r="N218" s="45">
        <v>100.0</v>
      </c>
      <c r="P218" s="45">
        <v>0.0</v>
      </c>
      <c r="R218" s="45">
        <v>0.0</v>
      </c>
      <c r="T218" s="45">
        <v>0.0</v>
      </c>
      <c r="V218" s="45">
        <v>0.0</v>
      </c>
      <c r="X218" s="45">
        <v>0.0</v>
      </c>
      <c r="Y218" s="27"/>
      <c r="Z218" s="44">
        <v>13.0</v>
      </c>
      <c r="AB218" s="45">
        <v>13.0</v>
      </c>
      <c r="AD218" s="45">
        <v>0.0</v>
      </c>
      <c r="AF218" s="24"/>
      <c r="AH218" s="24"/>
      <c r="AJ218" s="24"/>
      <c r="AK218" s="27"/>
      <c r="AL218" s="39">
        <f t="shared" si="1"/>
        <v>2565.1</v>
      </c>
      <c r="AM218" s="35">
        <f t="shared" si="2"/>
        <v>226</v>
      </c>
      <c r="AN218" s="35">
        <v>0.0</v>
      </c>
      <c r="AO218" s="35">
        <f t="shared" si="3"/>
        <v>226</v>
      </c>
      <c r="AP218" s="40">
        <f t="shared" si="4"/>
        <v>11.35</v>
      </c>
    </row>
    <row r="219" ht="15.75" customHeight="1">
      <c r="A219" s="48" t="s">
        <v>31</v>
      </c>
      <c r="B219" s="50">
        <f t="shared" si="5"/>
        <v>44779</v>
      </c>
      <c r="C219" s="51">
        <v>8.0</v>
      </c>
      <c r="D219" s="51" t="s">
        <v>33</v>
      </c>
      <c r="E219" s="88" t="s">
        <v>35</v>
      </c>
      <c r="F219" s="75">
        <v>0.0</v>
      </c>
      <c r="G219" s="56"/>
      <c r="H219" s="74">
        <v>0.0</v>
      </c>
      <c r="I219" s="56"/>
      <c r="J219" s="74">
        <v>0.0</v>
      </c>
      <c r="K219" s="56"/>
      <c r="L219" s="73">
        <v>0.0</v>
      </c>
      <c r="M219" s="56"/>
      <c r="N219" s="74">
        <v>0.0</v>
      </c>
      <c r="O219" s="56"/>
      <c r="P219" s="74">
        <v>0.0</v>
      </c>
      <c r="Q219" s="56"/>
      <c r="R219" s="74">
        <v>0.0</v>
      </c>
      <c r="S219" s="56"/>
      <c r="T219" s="74">
        <v>0.0</v>
      </c>
      <c r="U219" s="56"/>
      <c r="V219" s="74">
        <v>0.0</v>
      </c>
      <c r="W219" s="56"/>
      <c r="X219" s="74">
        <v>0.0</v>
      </c>
      <c r="Y219" s="60"/>
      <c r="Z219" s="75">
        <v>0.0</v>
      </c>
      <c r="AA219" s="56"/>
      <c r="AB219" s="74">
        <v>0.0</v>
      </c>
      <c r="AC219" s="56"/>
      <c r="AD219" s="74">
        <v>0.0</v>
      </c>
      <c r="AE219" s="56"/>
      <c r="AF219" s="57"/>
      <c r="AG219" s="56"/>
      <c r="AH219" s="57"/>
      <c r="AI219" s="56"/>
      <c r="AJ219" s="57"/>
      <c r="AK219" s="60"/>
      <c r="AL219" s="61">
        <f t="shared" si="1"/>
        <v>0</v>
      </c>
      <c r="AM219" s="51">
        <f t="shared" si="2"/>
        <v>0</v>
      </c>
      <c r="AN219" s="51">
        <v>0.0</v>
      </c>
      <c r="AO219" s="51">
        <f t="shared" si="3"/>
        <v>0</v>
      </c>
      <c r="AP219" s="63" t="str">
        <f t="shared" si="4"/>
        <v/>
      </c>
    </row>
    <row r="220" ht="15.75" customHeight="1">
      <c r="A220" s="18" t="s">
        <v>20</v>
      </c>
      <c r="B220" s="64">
        <f t="shared" si="5"/>
        <v>44780</v>
      </c>
      <c r="C220" s="20">
        <v>8.0</v>
      </c>
      <c r="D220" s="20" t="s">
        <v>34</v>
      </c>
      <c r="E220" s="90" t="s">
        <v>35</v>
      </c>
      <c r="F220" s="95">
        <v>0.0</v>
      </c>
      <c r="H220" s="96">
        <v>0.0</v>
      </c>
      <c r="J220" s="96">
        <v>0.0</v>
      </c>
      <c r="L220" s="97">
        <v>0.0</v>
      </c>
      <c r="M220" s="47"/>
      <c r="N220" s="98">
        <v>100.0</v>
      </c>
      <c r="O220" s="47"/>
      <c r="P220" s="98">
        <v>65.0</v>
      </c>
      <c r="Q220" s="47"/>
      <c r="R220" s="98">
        <v>50.0</v>
      </c>
      <c r="S220" s="47"/>
      <c r="T220" s="98">
        <v>1.0</v>
      </c>
      <c r="U220" s="47"/>
      <c r="V220" s="98">
        <v>1.0</v>
      </c>
      <c r="W220" s="47"/>
      <c r="X220" s="98">
        <v>27.0</v>
      </c>
      <c r="Y220" s="55"/>
      <c r="Z220" s="95">
        <v>0.0</v>
      </c>
      <c r="AB220" s="96">
        <v>27.0</v>
      </c>
      <c r="AD220" s="96">
        <v>0.0</v>
      </c>
      <c r="AF220" s="24"/>
      <c r="AH220" s="24"/>
      <c r="AJ220" s="24"/>
      <c r="AK220" s="27"/>
      <c r="AL220" s="28">
        <f t="shared" si="1"/>
        <v>3320.7</v>
      </c>
      <c r="AM220" s="20">
        <f t="shared" si="2"/>
        <v>271</v>
      </c>
      <c r="AN220" s="20">
        <v>0.0</v>
      </c>
      <c r="AO220" s="20">
        <f t="shared" si="3"/>
        <v>271</v>
      </c>
      <c r="AP220" s="31">
        <f t="shared" si="4"/>
        <v>12.25350554</v>
      </c>
    </row>
    <row r="221" ht="15.75" customHeight="1">
      <c r="A221" s="32" t="s">
        <v>22</v>
      </c>
      <c r="B221" s="34">
        <f t="shared" si="5"/>
        <v>44781</v>
      </c>
      <c r="C221" s="35">
        <v>8.0</v>
      </c>
      <c r="D221" s="35" t="s">
        <v>34</v>
      </c>
      <c r="E221" s="87" t="s">
        <v>35</v>
      </c>
      <c r="F221" s="95">
        <v>0.0</v>
      </c>
      <c r="H221" s="96">
        <v>0.0</v>
      </c>
      <c r="J221" s="96">
        <v>0.0</v>
      </c>
      <c r="L221" s="99">
        <v>0.0</v>
      </c>
      <c r="N221" s="96">
        <v>100.0</v>
      </c>
      <c r="P221" s="96">
        <v>65.0</v>
      </c>
      <c r="R221" s="96">
        <v>0.0</v>
      </c>
      <c r="T221" s="96">
        <v>0.0</v>
      </c>
      <c r="V221" s="96">
        <v>0.0</v>
      </c>
      <c r="X221" s="96">
        <v>27.0</v>
      </c>
      <c r="Y221" s="27"/>
      <c r="Z221" s="95">
        <v>0.0</v>
      </c>
      <c r="AB221" s="96">
        <v>27.0</v>
      </c>
      <c r="AD221" s="96">
        <v>0.0</v>
      </c>
      <c r="AF221" s="24"/>
      <c r="AH221" s="24"/>
      <c r="AJ221" s="24"/>
      <c r="AK221" s="27"/>
      <c r="AL221" s="39">
        <f t="shared" si="1"/>
        <v>2395.2</v>
      </c>
      <c r="AM221" s="35">
        <f t="shared" si="2"/>
        <v>219</v>
      </c>
      <c r="AN221" s="35">
        <v>0.0</v>
      </c>
      <c r="AO221" s="35">
        <f t="shared" si="3"/>
        <v>219</v>
      </c>
      <c r="AP221" s="40">
        <f t="shared" si="4"/>
        <v>10.9369863</v>
      </c>
    </row>
    <row r="222" ht="15.75" customHeight="1">
      <c r="A222" s="32" t="s">
        <v>24</v>
      </c>
      <c r="B222" s="34">
        <f t="shared" si="5"/>
        <v>44782</v>
      </c>
      <c r="C222" s="35">
        <v>8.0</v>
      </c>
      <c r="D222" s="35" t="s">
        <v>34</v>
      </c>
      <c r="E222" s="87" t="s">
        <v>35</v>
      </c>
      <c r="F222" s="95">
        <v>0.0</v>
      </c>
      <c r="H222" s="96">
        <v>0.0</v>
      </c>
      <c r="J222" s="96">
        <v>0.0</v>
      </c>
      <c r="L222" s="99">
        <v>0.0</v>
      </c>
      <c r="N222" s="96">
        <v>100.0</v>
      </c>
      <c r="P222" s="96">
        <v>65.0</v>
      </c>
      <c r="R222" s="96">
        <v>50.0</v>
      </c>
      <c r="T222" s="96">
        <v>0.0</v>
      </c>
      <c r="V222" s="96">
        <v>0.0</v>
      </c>
      <c r="X222" s="96">
        <v>27.0</v>
      </c>
      <c r="Y222" s="27"/>
      <c r="Z222" s="95">
        <v>0.0</v>
      </c>
      <c r="AB222" s="96">
        <v>27.0</v>
      </c>
      <c r="AD222" s="96">
        <v>0.0</v>
      </c>
      <c r="AF222" s="24"/>
      <c r="AH222" s="24"/>
      <c r="AJ222" s="24"/>
      <c r="AK222" s="27"/>
      <c r="AL222" s="39">
        <f t="shared" si="1"/>
        <v>2620.7</v>
      </c>
      <c r="AM222" s="35">
        <f t="shared" si="2"/>
        <v>269</v>
      </c>
      <c r="AN222" s="35">
        <v>0.0</v>
      </c>
      <c r="AO222" s="35">
        <f t="shared" si="3"/>
        <v>269</v>
      </c>
      <c r="AP222" s="40">
        <f t="shared" si="4"/>
        <v>9.742379182</v>
      </c>
    </row>
    <row r="223" ht="15.75" customHeight="1">
      <c r="A223" s="32" t="s">
        <v>28</v>
      </c>
      <c r="B223" s="34">
        <f t="shared" si="5"/>
        <v>44783</v>
      </c>
      <c r="C223" s="35">
        <v>8.0</v>
      </c>
      <c r="D223" s="35" t="s">
        <v>34</v>
      </c>
      <c r="E223" s="87" t="s">
        <v>35</v>
      </c>
      <c r="F223" s="95">
        <v>0.0</v>
      </c>
      <c r="H223" s="96">
        <v>0.0</v>
      </c>
      <c r="J223" s="96">
        <v>0.0</v>
      </c>
      <c r="L223" s="99">
        <v>0.0</v>
      </c>
      <c r="N223" s="96">
        <v>100.0</v>
      </c>
      <c r="P223" s="96">
        <v>65.0</v>
      </c>
      <c r="R223" s="96">
        <v>50.0</v>
      </c>
      <c r="T223" s="96">
        <v>0.0</v>
      </c>
      <c r="V223" s="96">
        <v>0.0</v>
      </c>
      <c r="X223" s="96">
        <v>27.0</v>
      </c>
      <c r="Y223" s="27"/>
      <c r="Z223" s="95">
        <v>0.0</v>
      </c>
      <c r="AB223" s="96">
        <v>27.0</v>
      </c>
      <c r="AD223" s="96">
        <v>0.0</v>
      </c>
      <c r="AF223" s="24"/>
      <c r="AH223" s="24"/>
      <c r="AJ223" s="24"/>
      <c r="AK223" s="27"/>
      <c r="AL223" s="39">
        <f t="shared" si="1"/>
        <v>2620.7</v>
      </c>
      <c r="AM223" s="35">
        <f t="shared" si="2"/>
        <v>269</v>
      </c>
      <c r="AN223" s="35">
        <v>0.0</v>
      </c>
      <c r="AO223" s="35">
        <f t="shared" si="3"/>
        <v>269</v>
      </c>
      <c r="AP223" s="40">
        <f t="shared" si="4"/>
        <v>9.742379182</v>
      </c>
    </row>
    <row r="224" ht="15.75" customHeight="1">
      <c r="A224" s="32" t="s">
        <v>29</v>
      </c>
      <c r="B224" s="34">
        <f t="shared" si="5"/>
        <v>44784</v>
      </c>
      <c r="C224" s="35">
        <v>8.0</v>
      </c>
      <c r="D224" s="35" t="s">
        <v>34</v>
      </c>
      <c r="E224" s="87" t="s">
        <v>35</v>
      </c>
      <c r="F224" s="95">
        <v>0.0</v>
      </c>
      <c r="H224" s="96">
        <v>0.0</v>
      </c>
      <c r="J224" s="96">
        <v>0.0</v>
      </c>
      <c r="L224" s="99">
        <v>0.0</v>
      </c>
      <c r="N224" s="96">
        <v>100.0</v>
      </c>
      <c r="P224" s="96">
        <v>65.0</v>
      </c>
      <c r="R224" s="96">
        <v>50.0</v>
      </c>
      <c r="T224" s="96">
        <v>0.0</v>
      </c>
      <c r="V224" s="96">
        <v>0.0</v>
      </c>
      <c r="X224" s="96">
        <v>27.0</v>
      </c>
      <c r="Y224" s="27"/>
      <c r="Z224" s="95">
        <v>0.0</v>
      </c>
      <c r="AB224" s="96">
        <v>27.0</v>
      </c>
      <c r="AD224" s="96">
        <v>0.0</v>
      </c>
      <c r="AF224" s="24"/>
      <c r="AH224" s="24"/>
      <c r="AJ224" s="24"/>
      <c r="AK224" s="27"/>
      <c r="AL224" s="39">
        <f t="shared" si="1"/>
        <v>2620.7</v>
      </c>
      <c r="AM224" s="35">
        <f t="shared" si="2"/>
        <v>269</v>
      </c>
      <c r="AN224" s="35">
        <v>0.0</v>
      </c>
      <c r="AO224" s="35">
        <f t="shared" si="3"/>
        <v>269</v>
      </c>
      <c r="AP224" s="40">
        <f t="shared" si="4"/>
        <v>9.742379182</v>
      </c>
    </row>
    <row r="225" ht="15.75" customHeight="1">
      <c r="A225" s="32" t="s">
        <v>30</v>
      </c>
      <c r="B225" s="34">
        <f t="shared" si="5"/>
        <v>44785</v>
      </c>
      <c r="C225" s="35">
        <v>8.0</v>
      </c>
      <c r="D225" s="35" t="s">
        <v>34</v>
      </c>
      <c r="E225" s="87" t="s">
        <v>35</v>
      </c>
      <c r="F225" s="95">
        <v>0.0</v>
      </c>
      <c r="H225" s="96">
        <v>0.0</v>
      </c>
      <c r="J225" s="96">
        <v>0.0</v>
      </c>
      <c r="L225" s="99">
        <v>100.0</v>
      </c>
      <c r="N225" s="96">
        <v>100.0</v>
      </c>
      <c r="P225" s="96">
        <v>0.0</v>
      </c>
      <c r="R225" s="96">
        <v>0.0</v>
      </c>
      <c r="T225" s="96">
        <v>0.0</v>
      </c>
      <c r="V225" s="96">
        <v>0.0</v>
      </c>
      <c r="X225" s="96">
        <v>0.0</v>
      </c>
      <c r="Y225" s="27"/>
      <c r="Z225" s="95">
        <v>12.0</v>
      </c>
      <c r="AB225" s="96">
        <v>12.0</v>
      </c>
      <c r="AD225" s="96">
        <v>0.0</v>
      </c>
      <c r="AF225" s="24"/>
      <c r="AH225" s="24"/>
      <c r="AJ225" s="24"/>
      <c r="AK225" s="27"/>
      <c r="AL225" s="39">
        <f t="shared" si="1"/>
        <v>2542.4</v>
      </c>
      <c r="AM225" s="35">
        <f t="shared" si="2"/>
        <v>224</v>
      </c>
      <c r="AN225" s="35">
        <v>0.0</v>
      </c>
      <c r="AO225" s="35">
        <f t="shared" si="3"/>
        <v>224</v>
      </c>
      <c r="AP225" s="40">
        <f t="shared" si="4"/>
        <v>11.35</v>
      </c>
    </row>
    <row r="226" ht="15.75" customHeight="1">
      <c r="A226" s="48" t="s">
        <v>31</v>
      </c>
      <c r="B226" s="50">
        <f t="shared" si="5"/>
        <v>44786</v>
      </c>
      <c r="C226" s="51">
        <v>8.0</v>
      </c>
      <c r="D226" s="51" t="s">
        <v>34</v>
      </c>
      <c r="E226" s="88" t="s">
        <v>35</v>
      </c>
      <c r="F226" s="101">
        <v>0.0</v>
      </c>
      <c r="G226" s="56"/>
      <c r="H226" s="102">
        <v>0.0</v>
      </c>
      <c r="I226" s="56"/>
      <c r="J226" s="102">
        <v>0.0</v>
      </c>
      <c r="K226" s="56"/>
      <c r="L226" s="103">
        <v>0.0</v>
      </c>
      <c r="M226" s="56"/>
      <c r="N226" s="102">
        <v>0.0</v>
      </c>
      <c r="O226" s="56"/>
      <c r="P226" s="102">
        <v>0.0</v>
      </c>
      <c r="Q226" s="56"/>
      <c r="R226" s="102">
        <v>0.0</v>
      </c>
      <c r="S226" s="56"/>
      <c r="T226" s="102">
        <v>0.0</v>
      </c>
      <c r="U226" s="56"/>
      <c r="V226" s="102">
        <v>0.0</v>
      </c>
      <c r="W226" s="56"/>
      <c r="X226" s="102">
        <v>0.0</v>
      </c>
      <c r="Y226" s="60"/>
      <c r="Z226" s="101">
        <v>0.0</v>
      </c>
      <c r="AA226" s="56"/>
      <c r="AB226" s="102">
        <v>0.0</v>
      </c>
      <c r="AC226" s="56"/>
      <c r="AD226" s="102">
        <v>0.0</v>
      </c>
      <c r="AE226" s="56"/>
      <c r="AF226" s="57"/>
      <c r="AG226" s="56"/>
      <c r="AH226" s="57"/>
      <c r="AI226" s="56"/>
      <c r="AJ226" s="57"/>
      <c r="AK226" s="60"/>
      <c r="AL226" s="61">
        <f t="shared" si="1"/>
        <v>0</v>
      </c>
      <c r="AM226" s="51">
        <f t="shared" si="2"/>
        <v>0</v>
      </c>
      <c r="AN226" s="51">
        <v>0.0</v>
      </c>
      <c r="AO226" s="51">
        <f t="shared" si="3"/>
        <v>0</v>
      </c>
      <c r="AP226" s="63" t="str">
        <f t="shared" si="4"/>
        <v/>
      </c>
    </row>
    <row r="227" ht="15.75" customHeight="1">
      <c r="A227" s="18" t="s">
        <v>20</v>
      </c>
      <c r="B227" s="64">
        <f t="shared" si="5"/>
        <v>44787</v>
      </c>
      <c r="C227" s="20">
        <v>9.0</v>
      </c>
      <c r="D227" s="20" t="s">
        <v>21</v>
      </c>
      <c r="E227" s="90" t="s">
        <v>35</v>
      </c>
      <c r="F227" s="44">
        <v>0.0</v>
      </c>
      <c r="H227" s="45">
        <v>0.0</v>
      </c>
      <c r="J227" s="45">
        <v>0.0</v>
      </c>
      <c r="L227" s="46">
        <v>0.0</v>
      </c>
      <c r="M227" s="47"/>
      <c r="N227" s="49">
        <v>100.0</v>
      </c>
      <c r="O227" s="47"/>
      <c r="P227" s="49">
        <v>65.0</v>
      </c>
      <c r="Q227" s="47"/>
      <c r="R227" s="49">
        <v>50.0</v>
      </c>
      <c r="S227" s="47"/>
      <c r="T227" s="49">
        <v>1.0</v>
      </c>
      <c r="U227" s="47"/>
      <c r="V227" s="49">
        <v>1.0</v>
      </c>
      <c r="W227" s="47"/>
      <c r="X227" s="49">
        <v>0.0</v>
      </c>
      <c r="Y227" s="55"/>
      <c r="Z227" s="44">
        <v>25.0</v>
      </c>
      <c r="AB227" s="45">
        <v>25.0</v>
      </c>
      <c r="AD227" s="45">
        <v>0.0</v>
      </c>
      <c r="AF227" s="24"/>
      <c r="AH227" s="24"/>
      <c r="AJ227" s="24"/>
      <c r="AK227" s="27"/>
      <c r="AL227" s="28">
        <f t="shared" si="1"/>
        <v>3365.75</v>
      </c>
      <c r="AM227" s="20">
        <f t="shared" si="2"/>
        <v>267</v>
      </c>
      <c r="AN227" s="20">
        <v>0.0</v>
      </c>
      <c r="AO227" s="20">
        <f t="shared" si="3"/>
        <v>267</v>
      </c>
      <c r="AP227" s="31">
        <f t="shared" si="4"/>
        <v>12.60580524</v>
      </c>
    </row>
    <row r="228" ht="15.75" customHeight="1">
      <c r="A228" s="32" t="s">
        <v>22</v>
      </c>
      <c r="B228" s="34">
        <f t="shared" si="5"/>
        <v>44788</v>
      </c>
      <c r="C228" s="35">
        <v>9.0</v>
      </c>
      <c r="D228" s="35" t="s">
        <v>21</v>
      </c>
      <c r="E228" s="87" t="s">
        <v>35</v>
      </c>
      <c r="F228" s="44">
        <v>0.0</v>
      </c>
      <c r="H228" s="45">
        <v>0.0</v>
      </c>
      <c r="J228" s="45">
        <v>0.0</v>
      </c>
      <c r="L228" s="66">
        <v>0.0</v>
      </c>
      <c r="N228" s="45">
        <v>100.0</v>
      </c>
      <c r="P228" s="45">
        <v>65.0</v>
      </c>
      <c r="R228" s="45">
        <v>50.0</v>
      </c>
      <c r="T228" s="45">
        <v>0.0</v>
      </c>
      <c r="V228" s="45">
        <v>0.0</v>
      </c>
      <c r="X228" s="45">
        <v>0.0</v>
      </c>
      <c r="Y228" s="27"/>
      <c r="Z228" s="44">
        <v>25.0</v>
      </c>
      <c r="AB228" s="45">
        <v>25.0</v>
      </c>
      <c r="AD228" s="45">
        <v>0.0</v>
      </c>
      <c r="AF228" s="24"/>
      <c r="AH228" s="24"/>
      <c r="AJ228" s="24"/>
      <c r="AK228" s="27"/>
      <c r="AL228" s="39">
        <f t="shared" si="1"/>
        <v>2665.75</v>
      </c>
      <c r="AM228" s="35">
        <f t="shared" si="2"/>
        <v>265</v>
      </c>
      <c r="AN228" s="35">
        <v>0.0</v>
      </c>
      <c r="AO228" s="35">
        <f t="shared" si="3"/>
        <v>265</v>
      </c>
      <c r="AP228" s="40">
        <f t="shared" si="4"/>
        <v>10.05943396</v>
      </c>
    </row>
    <row r="229" ht="15.75" customHeight="1">
      <c r="A229" s="32" t="s">
        <v>24</v>
      </c>
      <c r="B229" s="34">
        <f t="shared" si="5"/>
        <v>44789</v>
      </c>
      <c r="C229" s="35">
        <v>9.0</v>
      </c>
      <c r="D229" s="35" t="s">
        <v>21</v>
      </c>
      <c r="E229" s="87" t="s">
        <v>35</v>
      </c>
      <c r="F229" s="44">
        <v>0.0</v>
      </c>
      <c r="H229" s="45">
        <v>0.0</v>
      </c>
      <c r="J229" s="45">
        <v>0.0</v>
      </c>
      <c r="L229" s="66">
        <v>0.0</v>
      </c>
      <c r="N229" s="45">
        <v>100.0</v>
      </c>
      <c r="P229" s="45">
        <v>65.0</v>
      </c>
      <c r="R229" s="45">
        <v>50.0</v>
      </c>
      <c r="T229" s="45">
        <v>0.0</v>
      </c>
      <c r="V229" s="45">
        <v>0.0</v>
      </c>
      <c r="X229" s="45">
        <v>0.0</v>
      </c>
      <c r="Y229" s="27"/>
      <c r="Z229" s="44">
        <v>27.0</v>
      </c>
      <c r="AB229" s="45">
        <v>27.0</v>
      </c>
      <c r="AD229" s="45">
        <v>0.0</v>
      </c>
      <c r="AF229" s="24"/>
      <c r="AH229" s="24"/>
      <c r="AJ229" s="24"/>
      <c r="AK229" s="27"/>
      <c r="AL229" s="39">
        <f t="shared" si="1"/>
        <v>2711.15</v>
      </c>
      <c r="AM229" s="35">
        <f t="shared" si="2"/>
        <v>269</v>
      </c>
      <c r="AN229" s="35">
        <v>0.0</v>
      </c>
      <c r="AO229" s="35">
        <f t="shared" si="3"/>
        <v>269</v>
      </c>
      <c r="AP229" s="40">
        <f t="shared" si="4"/>
        <v>10.07862454</v>
      </c>
    </row>
    <row r="230" ht="15.75" customHeight="1">
      <c r="A230" s="32" t="s">
        <v>28</v>
      </c>
      <c r="B230" s="34">
        <f t="shared" si="5"/>
        <v>44790</v>
      </c>
      <c r="C230" s="35">
        <v>9.0</v>
      </c>
      <c r="D230" s="35" t="s">
        <v>21</v>
      </c>
      <c r="E230" s="87" t="s">
        <v>35</v>
      </c>
      <c r="F230" s="44">
        <v>0.0</v>
      </c>
      <c r="H230" s="45">
        <v>0.0</v>
      </c>
      <c r="J230" s="45">
        <v>0.0</v>
      </c>
      <c r="L230" s="66">
        <v>0.0</v>
      </c>
      <c r="N230" s="45">
        <v>100.0</v>
      </c>
      <c r="P230" s="45">
        <v>65.0</v>
      </c>
      <c r="R230" s="45">
        <v>50.0</v>
      </c>
      <c r="T230" s="45">
        <v>0.0</v>
      </c>
      <c r="V230" s="45">
        <v>0.0</v>
      </c>
      <c r="X230" s="45">
        <v>0.0</v>
      </c>
      <c r="Y230" s="27"/>
      <c r="Z230" s="44">
        <v>27.0</v>
      </c>
      <c r="AB230" s="45">
        <v>27.0</v>
      </c>
      <c r="AD230" s="45">
        <v>0.0</v>
      </c>
      <c r="AF230" s="24"/>
      <c r="AH230" s="24"/>
      <c r="AJ230" s="24"/>
      <c r="AK230" s="27"/>
      <c r="AL230" s="39">
        <f t="shared" si="1"/>
        <v>2711.15</v>
      </c>
      <c r="AM230" s="35">
        <f t="shared" si="2"/>
        <v>269</v>
      </c>
      <c r="AN230" s="35">
        <v>0.0</v>
      </c>
      <c r="AO230" s="35">
        <f t="shared" si="3"/>
        <v>269</v>
      </c>
      <c r="AP230" s="40">
        <f t="shared" si="4"/>
        <v>10.07862454</v>
      </c>
    </row>
    <row r="231" ht="15.75" customHeight="1">
      <c r="A231" s="32" t="s">
        <v>29</v>
      </c>
      <c r="B231" s="34">
        <f t="shared" si="5"/>
        <v>44791</v>
      </c>
      <c r="C231" s="35">
        <v>9.0</v>
      </c>
      <c r="D231" s="35" t="s">
        <v>21</v>
      </c>
      <c r="E231" s="87" t="s">
        <v>35</v>
      </c>
      <c r="F231" s="44">
        <v>0.0</v>
      </c>
      <c r="H231" s="45">
        <v>0.0</v>
      </c>
      <c r="J231" s="45">
        <v>0.0</v>
      </c>
      <c r="L231" s="66">
        <v>0.0</v>
      </c>
      <c r="N231" s="45">
        <v>100.0</v>
      </c>
      <c r="P231" s="45">
        <v>65.0</v>
      </c>
      <c r="R231" s="45">
        <v>50.0</v>
      </c>
      <c r="T231" s="45">
        <v>0.0</v>
      </c>
      <c r="V231" s="45">
        <v>0.0</v>
      </c>
      <c r="X231" s="45">
        <v>0.0</v>
      </c>
      <c r="Y231" s="27"/>
      <c r="Z231" s="44">
        <v>27.0</v>
      </c>
      <c r="AB231" s="45">
        <v>27.0</v>
      </c>
      <c r="AD231" s="45">
        <v>0.0</v>
      </c>
      <c r="AF231" s="24"/>
      <c r="AH231" s="24"/>
      <c r="AJ231" s="24"/>
      <c r="AK231" s="27"/>
      <c r="AL231" s="39">
        <f t="shared" si="1"/>
        <v>2711.15</v>
      </c>
      <c r="AM231" s="35">
        <f t="shared" si="2"/>
        <v>269</v>
      </c>
      <c r="AN231" s="35">
        <v>0.0</v>
      </c>
      <c r="AO231" s="35">
        <f t="shared" si="3"/>
        <v>269</v>
      </c>
      <c r="AP231" s="40">
        <f t="shared" si="4"/>
        <v>10.07862454</v>
      </c>
    </row>
    <row r="232" ht="15.75" customHeight="1">
      <c r="A232" s="32" t="s">
        <v>30</v>
      </c>
      <c r="B232" s="34">
        <f t="shared" si="5"/>
        <v>44792</v>
      </c>
      <c r="C232" s="35">
        <v>9.0</v>
      </c>
      <c r="D232" s="35" t="s">
        <v>21</v>
      </c>
      <c r="E232" s="87" t="s">
        <v>35</v>
      </c>
      <c r="F232" s="44">
        <v>0.0</v>
      </c>
      <c r="H232" s="45">
        <v>0.0</v>
      </c>
      <c r="J232" s="45">
        <v>0.0</v>
      </c>
      <c r="L232" s="66">
        <v>100.0</v>
      </c>
      <c r="N232" s="45">
        <v>100.0</v>
      </c>
      <c r="P232" s="45">
        <v>0.0</v>
      </c>
      <c r="R232" s="45">
        <v>0.0</v>
      </c>
      <c r="T232" s="45">
        <v>0.0</v>
      </c>
      <c r="V232" s="45">
        <v>0.0</v>
      </c>
      <c r="X232" s="45">
        <v>0.0</v>
      </c>
      <c r="Y232" s="27"/>
      <c r="Z232" s="44">
        <v>6.0</v>
      </c>
      <c r="AB232" s="45">
        <v>6.0</v>
      </c>
      <c r="AD232" s="45">
        <v>0.0</v>
      </c>
      <c r="AF232" s="24"/>
      <c r="AH232" s="24"/>
      <c r="AJ232" s="24"/>
      <c r="AK232" s="27"/>
      <c r="AL232" s="39">
        <f t="shared" si="1"/>
        <v>2406.2</v>
      </c>
      <c r="AM232" s="35">
        <f t="shared" si="2"/>
        <v>212</v>
      </c>
      <c r="AN232" s="35">
        <v>0.0</v>
      </c>
      <c r="AO232" s="35">
        <f t="shared" si="3"/>
        <v>212</v>
      </c>
      <c r="AP232" s="40">
        <f t="shared" si="4"/>
        <v>11.35</v>
      </c>
    </row>
    <row r="233" ht="15.75" customHeight="1">
      <c r="A233" s="48" t="s">
        <v>31</v>
      </c>
      <c r="B233" s="50">
        <f t="shared" si="5"/>
        <v>44793</v>
      </c>
      <c r="C233" s="51">
        <v>9.0</v>
      </c>
      <c r="D233" s="51" t="s">
        <v>21</v>
      </c>
      <c r="E233" s="88" t="s">
        <v>35</v>
      </c>
      <c r="F233" s="75">
        <v>0.0</v>
      </c>
      <c r="G233" s="56"/>
      <c r="H233" s="74">
        <v>0.0</v>
      </c>
      <c r="I233" s="56"/>
      <c r="J233" s="74">
        <v>0.0</v>
      </c>
      <c r="K233" s="56"/>
      <c r="L233" s="73">
        <v>0.0</v>
      </c>
      <c r="M233" s="56"/>
      <c r="N233" s="74">
        <v>0.0</v>
      </c>
      <c r="O233" s="56"/>
      <c r="P233" s="74">
        <v>0.0</v>
      </c>
      <c r="Q233" s="56"/>
      <c r="R233" s="74">
        <v>0.0</v>
      </c>
      <c r="S233" s="56"/>
      <c r="T233" s="74">
        <v>0.0</v>
      </c>
      <c r="U233" s="56"/>
      <c r="V233" s="74">
        <v>0.0</v>
      </c>
      <c r="W233" s="56"/>
      <c r="X233" s="74">
        <v>0.0</v>
      </c>
      <c r="Y233" s="60"/>
      <c r="Z233" s="75">
        <v>0.0</v>
      </c>
      <c r="AA233" s="56"/>
      <c r="AB233" s="74">
        <v>0.0</v>
      </c>
      <c r="AC233" s="56"/>
      <c r="AD233" s="74">
        <v>0.0</v>
      </c>
      <c r="AE233" s="56"/>
      <c r="AF233" s="57"/>
      <c r="AG233" s="56"/>
      <c r="AH233" s="57"/>
      <c r="AI233" s="56"/>
      <c r="AJ233" s="57"/>
      <c r="AK233" s="60"/>
      <c r="AL233" s="61">
        <f t="shared" si="1"/>
        <v>0</v>
      </c>
      <c r="AM233" s="51">
        <f t="shared" si="2"/>
        <v>0</v>
      </c>
      <c r="AN233" s="51">
        <v>0.0</v>
      </c>
      <c r="AO233" s="51">
        <f t="shared" si="3"/>
        <v>0</v>
      </c>
      <c r="AP233" s="63" t="str">
        <f t="shared" si="4"/>
        <v/>
      </c>
    </row>
    <row r="234" ht="15.75" customHeight="1">
      <c r="A234" s="18" t="s">
        <v>20</v>
      </c>
      <c r="B234" s="64">
        <f t="shared" si="5"/>
        <v>44794</v>
      </c>
      <c r="C234" s="20">
        <v>9.0</v>
      </c>
      <c r="D234" s="20" t="s">
        <v>32</v>
      </c>
      <c r="E234" s="90" t="s">
        <v>35</v>
      </c>
      <c r="F234" s="44">
        <v>0.0</v>
      </c>
      <c r="H234" s="45">
        <v>0.0</v>
      </c>
      <c r="J234" s="45">
        <v>0.0</v>
      </c>
      <c r="L234" s="46">
        <v>0.0</v>
      </c>
      <c r="M234" s="47"/>
      <c r="N234" s="49">
        <v>100.0</v>
      </c>
      <c r="O234" s="47"/>
      <c r="P234" s="49">
        <v>65.0</v>
      </c>
      <c r="Q234" s="47"/>
      <c r="R234" s="49">
        <v>50.0</v>
      </c>
      <c r="S234" s="47"/>
      <c r="T234" s="49">
        <v>1.0</v>
      </c>
      <c r="U234" s="47"/>
      <c r="V234" s="49">
        <v>1.0</v>
      </c>
      <c r="W234" s="47"/>
      <c r="X234" s="49">
        <v>25.0</v>
      </c>
      <c r="Y234" s="55"/>
      <c r="Z234" s="44">
        <v>0.0</v>
      </c>
      <c r="AB234" s="45">
        <v>25.0</v>
      </c>
      <c r="AD234" s="45">
        <v>0.0</v>
      </c>
      <c r="AF234" s="24"/>
      <c r="AH234" s="24"/>
      <c r="AJ234" s="24"/>
      <c r="AK234" s="27"/>
      <c r="AL234" s="28">
        <f t="shared" si="1"/>
        <v>3282</v>
      </c>
      <c r="AM234" s="20">
        <f t="shared" si="2"/>
        <v>267</v>
      </c>
      <c r="AN234" s="20">
        <v>0.0</v>
      </c>
      <c r="AO234" s="20">
        <f t="shared" si="3"/>
        <v>267</v>
      </c>
      <c r="AP234" s="31">
        <f t="shared" si="4"/>
        <v>12.29213483</v>
      </c>
    </row>
    <row r="235" ht="15.75" customHeight="1">
      <c r="A235" s="32" t="s">
        <v>22</v>
      </c>
      <c r="B235" s="34">
        <f t="shared" si="5"/>
        <v>44795</v>
      </c>
      <c r="C235" s="35">
        <v>9.0</v>
      </c>
      <c r="D235" s="35" t="s">
        <v>32</v>
      </c>
      <c r="E235" s="87" t="s">
        <v>35</v>
      </c>
      <c r="F235" s="44">
        <v>0.0</v>
      </c>
      <c r="H235" s="45">
        <v>0.0</v>
      </c>
      <c r="J235" s="45">
        <v>0.0</v>
      </c>
      <c r="L235" s="66">
        <v>100.0</v>
      </c>
      <c r="N235" s="45">
        <v>100.0</v>
      </c>
      <c r="P235" s="45">
        <v>45.0</v>
      </c>
      <c r="R235" s="45">
        <v>0.0</v>
      </c>
      <c r="T235" s="45">
        <v>0.0</v>
      </c>
      <c r="V235" s="45">
        <v>0.0</v>
      </c>
      <c r="X235" s="45">
        <v>0.0</v>
      </c>
      <c r="Y235" s="27"/>
      <c r="Z235" s="44">
        <v>25.0</v>
      </c>
      <c r="AB235" s="45">
        <v>25.0</v>
      </c>
      <c r="AD235" s="45">
        <v>0.0</v>
      </c>
      <c r="AF235" s="24"/>
      <c r="AH235" s="24"/>
      <c r="AJ235" s="24"/>
      <c r="AK235" s="27"/>
      <c r="AL235" s="39">
        <f t="shared" si="1"/>
        <v>3348.25</v>
      </c>
      <c r="AM235" s="35">
        <f t="shared" si="2"/>
        <v>295</v>
      </c>
      <c r="AN235" s="35">
        <v>0.0</v>
      </c>
      <c r="AO235" s="35">
        <f t="shared" si="3"/>
        <v>295</v>
      </c>
      <c r="AP235" s="40">
        <f t="shared" si="4"/>
        <v>11.35</v>
      </c>
    </row>
    <row r="236" ht="15.75" customHeight="1">
      <c r="A236" s="32" t="s">
        <v>24</v>
      </c>
      <c r="B236" s="34">
        <f t="shared" si="5"/>
        <v>44796</v>
      </c>
      <c r="C236" s="35">
        <v>9.0</v>
      </c>
      <c r="D236" s="35" t="s">
        <v>32</v>
      </c>
      <c r="E236" s="87" t="s">
        <v>35</v>
      </c>
      <c r="F236" s="44">
        <v>0.0</v>
      </c>
      <c r="H236" s="45">
        <v>0.0</v>
      </c>
      <c r="J236" s="45">
        <v>0.0</v>
      </c>
      <c r="L236" s="66">
        <v>60.0</v>
      </c>
      <c r="N236" s="45">
        <v>60.0</v>
      </c>
      <c r="P236" s="45">
        <v>0.0</v>
      </c>
      <c r="R236" s="45">
        <v>0.0</v>
      </c>
      <c r="T236" s="45">
        <v>0.0</v>
      </c>
      <c r="V236" s="45">
        <v>0.0</v>
      </c>
      <c r="X236" s="45">
        <v>0.0</v>
      </c>
      <c r="Y236" s="27"/>
      <c r="Z236" s="44">
        <v>25.0</v>
      </c>
      <c r="AB236" s="45">
        <v>25.0</v>
      </c>
      <c r="AD236" s="45">
        <v>0.0</v>
      </c>
      <c r="AF236" s="24"/>
      <c r="AH236" s="24"/>
      <c r="AJ236" s="24"/>
      <c r="AK236" s="27"/>
      <c r="AL236" s="39">
        <f t="shared" si="1"/>
        <v>1929.5</v>
      </c>
      <c r="AM236" s="35">
        <f t="shared" si="2"/>
        <v>170</v>
      </c>
      <c r="AN236" s="35">
        <v>0.0</v>
      </c>
      <c r="AO236" s="35">
        <f t="shared" si="3"/>
        <v>170</v>
      </c>
      <c r="AP236" s="40">
        <f t="shared" si="4"/>
        <v>11.35</v>
      </c>
    </row>
    <row r="237" ht="15.75" customHeight="1">
      <c r="A237" s="32" t="s">
        <v>28</v>
      </c>
      <c r="B237" s="34">
        <f t="shared" si="5"/>
        <v>44797</v>
      </c>
      <c r="C237" s="35">
        <v>9.0</v>
      </c>
      <c r="D237" s="35" t="s">
        <v>32</v>
      </c>
      <c r="E237" s="87" t="s">
        <v>35</v>
      </c>
      <c r="F237" s="44">
        <v>0.0</v>
      </c>
      <c r="H237" s="45">
        <v>0.0</v>
      </c>
      <c r="J237" s="45">
        <v>0.0</v>
      </c>
      <c r="L237" s="66">
        <v>60.0</v>
      </c>
      <c r="N237" s="45">
        <v>60.0</v>
      </c>
      <c r="P237" s="45">
        <v>0.0</v>
      </c>
      <c r="R237" s="45">
        <v>0.0</v>
      </c>
      <c r="T237" s="45">
        <v>0.0</v>
      </c>
      <c r="V237" s="45">
        <v>0.0</v>
      </c>
      <c r="X237" s="45">
        <v>0.0</v>
      </c>
      <c r="Y237" s="27"/>
      <c r="Z237" s="44">
        <v>26.0</v>
      </c>
      <c r="AB237" s="45">
        <v>26.0</v>
      </c>
      <c r="AD237" s="45">
        <v>0.0</v>
      </c>
      <c r="AF237" s="24"/>
      <c r="AH237" s="24"/>
      <c r="AJ237" s="24"/>
      <c r="AK237" s="27"/>
      <c r="AL237" s="39">
        <f t="shared" si="1"/>
        <v>1952.2</v>
      </c>
      <c r="AM237" s="35">
        <f t="shared" si="2"/>
        <v>172</v>
      </c>
      <c r="AN237" s="35">
        <v>0.0</v>
      </c>
      <c r="AO237" s="35">
        <f t="shared" si="3"/>
        <v>172</v>
      </c>
      <c r="AP237" s="40">
        <f t="shared" si="4"/>
        <v>11.35</v>
      </c>
    </row>
    <row r="238" ht="15.75" customHeight="1">
      <c r="A238" s="32" t="s">
        <v>29</v>
      </c>
      <c r="B238" s="34">
        <f t="shared" si="5"/>
        <v>44798</v>
      </c>
      <c r="C238" s="35">
        <v>9.0</v>
      </c>
      <c r="D238" s="35" t="s">
        <v>32</v>
      </c>
      <c r="E238" s="87" t="s">
        <v>35</v>
      </c>
      <c r="F238" s="44">
        <v>0.0</v>
      </c>
      <c r="H238" s="45">
        <v>0.0</v>
      </c>
      <c r="J238" s="45">
        <v>0.0</v>
      </c>
      <c r="L238" s="66">
        <v>0.0</v>
      </c>
      <c r="N238" s="45">
        <v>0.0</v>
      </c>
      <c r="P238" s="45">
        <v>0.0</v>
      </c>
      <c r="R238" s="45">
        <v>0.0</v>
      </c>
      <c r="T238" s="45">
        <v>0.0</v>
      </c>
      <c r="V238" s="45">
        <v>0.0</v>
      </c>
      <c r="X238" s="45">
        <v>0.0</v>
      </c>
      <c r="Y238" s="27"/>
      <c r="Z238" s="44">
        <v>0.0</v>
      </c>
      <c r="AB238" s="45">
        <v>0.0</v>
      </c>
      <c r="AD238" s="45">
        <v>0.0</v>
      </c>
      <c r="AF238" s="24"/>
      <c r="AH238" s="24"/>
      <c r="AJ238" s="24"/>
      <c r="AK238" s="27"/>
      <c r="AL238" s="39">
        <f t="shared" si="1"/>
        <v>0</v>
      </c>
      <c r="AM238" s="35">
        <f t="shared" si="2"/>
        <v>0</v>
      </c>
      <c r="AN238" s="35">
        <v>0.0</v>
      </c>
      <c r="AO238" s="35">
        <f t="shared" si="3"/>
        <v>0</v>
      </c>
      <c r="AP238" s="40" t="str">
        <f t="shared" si="4"/>
        <v/>
      </c>
    </row>
    <row r="239" ht="15.75" customHeight="1">
      <c r="A239" s="32" t="s">
        <v>30</v>
      </c>
      <c r="B239" s="34">
        <f t="shared" si="5"/>
        <v>44799</v>
      </c>
      <c r="C239" s="35">
        <v>9.0</v>
      </c>
      <c r="D239" s="35" t="s">
        <v>32</v>
      </c>
      <c r="E239" s="87" t="s">
        <v>35</v>
      </c>
      <c r="F239" s="44">
        <v>0.0</v>
      </c>
      <c r="H239" s="45">
        <v>0.0</v>
      </c>
      <c r="J239" s="45">
        <v>0.0</v>
      </c>
      <c r="L239" s="66">
        <v>0.0</v>
      </c>
      <c r="N239" s="45">
        <v>0.0</v>
      </c>
      <c r="P239" s="45">
        <v>0.0</v>
      </c>
      <c r="R239" s="45">
        <v>0.0</v>
      </c>
      <c r="T239" s="45">
        <v>0.0</v>
      </c>
      <c r="V239" s="45">
        <v>0.0</v>
      </c>
      <c r="X239" s="45">
        <v>0.0</v>
      </c>
      <c r="Y239" s="27"/>
      <c r="Z239" s="44">
        <v>0.0</v>
      </c>
      <c r="AB239" s="45">
        <v>0.0</v>
      </c>
      <c r="AD239" s="45">
        <v>0.0</v>
      </c>
      <c r="AF239" s="24"/>
      <c r="AH239" s="24"/>
      <c r="AJ239" s="24"/>
      <c r="AK239" s="27"/>
      <c r="AL239" s="39">
        <f t="shared" si="1"/>
        <v>0</v>
      </c>
      <c r="AM239" s="35">
        <f t="shared" si="2"/>
        <v>0</v>
      </c>
      <c r="AN239" s="35">
        <v>0.0</v>
      </c>
      <c r="AO239" s="35">
        <f t="shared" si="3"/>
        <v>0</v>
      </c>
      <c r="AP239" s="40" t="str">
        <f t="shared" si="4"/>
        <v/>
      </c>
    </row>
    <row r="240" ht="15.75" customHeight="1">
      <c r="A240" s="48" t="s">
        <v>31</v>
      </c>
      <c r="B240" s="50">
        <f t="shared" si="5"/>
        <v>44800</v>
      </c>
      <c r="C240" s="51">
        <v>9.0</v>
      </c>
      <c r="D240" s="51" t="s">
        <v>32</v>
      </c>
      <c r="E240" s="88" t="s">
        <v>35</v>
      </c>
      <c r="F240" s="75">
        <v>0.0</v>
      </c>
      <c r="G240" s="56"/>
      <c r="H240" s="74">
        <v>0.0</v>
      </c>
      <c r="I240" s="56"/>
      <c r="J240" s="74">
        <v>0.0</v>
      </c>
      <c r="K240" s="56"/>
      <c r="L240" s="73">
        <v>0.0</v>
      </c>
      <c r="M240" s="56"/>
      <c r="N240" s="74">
        <v>0.0</v>
      </c>
      <c r="O240" s="56"/>
      <c r="P240" s="74">
        <v>0.0</v>
      </c>
      <c r="Q240" s="56"/>
      <c r="R240" s="74">
        <v>0.0</v>
      </c>
      <c r="S240" s="56"/>
      <c r="T240" s="74">
        <v>0.0</v>
      </c>
      <c r="U240" s="56"/>
      <c r="V240" s="74">
        <v>0.0</v>
      </c>
      <c r="W240" s="56"/>
      <c r="X240" s="74">
        <v>0.0</v>
      </c>
      <c r="Y240" s="60"/>
      <c r="Z240" s="75">
        <v>0.0</v>
      </c>
      <c r="AA240" s="56"/>
      <c r="AB240" s="74">
        <v>0.0</v>
      </c>
      <c r="AC240" s="56"/>
      <c r="AD240" s="74">
        <v>0.0</v>
      </c>
      <c r="AE240" s="56"/>
      <c r="AF240" s="57"/>
      <c r="AG240" s="56"/>
      <c r="AH240" s="57"/>
      <c r="AI240" s="56"/>
      <c r="AJ240" s="57"/>
      <c r="AK240" s="60"/>
      <c r="AL240" s="61">
        <f t="shared" si="1"/>
        <v>0</v>
      </c>
      <c r="AM240" s="51">
        <f t="shared" si="2"/>
        <v>0</v>
      </c>
      <c r="AN240" s="51">
        <v>0.0</v>
      </c>
      <c r="AO240" s="51">
        <f t="shared" si="3"/>
        <v>0</v>
      </c>
      <c r="AP240" s="63" t="str">
        <f t="shared" si="4"/>
        <v/>
      </c>
    </row>
    <row r="241" ht="15.75" customHeight="1">
      <c r="A241" s="18" t="s">
        <v>20</v>
      </c>
      <c r="B241" s="64">
        <f t="shared" si="5"/>
        <v>44801</v>
      </c>
      <c r="C241" s="20">
        <v>9.0</v>
      </c>
      <c r="D241" s="20" t="s">
        <v>33</v>
      </c>
      <c r="E241" s="22"/>
      <c r="F241" s="44">
        <v>0.0</v>
      </c>
      <c r="H241" s="45">
        <v>0.0</v>
      </c>
      <c r="J241" s="45">
        <v>0.0</v>
      </c>
      <c r="L241" s="46">
        <v>80.0</v>
      </c>
      <c r="M241" s="47"/>
      <c r="N241" s="49">
        <v>80.0</v>
      </c>
      <c r="O241" s="47"/>
      <c r="P241" s="49">
        <v>0.0</v>
      </c>
      <c r="Q241" s="47"/>
      <c r="R241" s="49">
        <v>0.0</v>
      </c>
      <c r="S241" s="47"/>
      <c r="T241" s="49">
        <v>1.0</v>
      </c>
      <c r="U241" s="47"/>
      <c r="V241" s="49">
        <v>1.0</v>
      </c>
      <c r="W241" s="47"/>
      <c r="X241" s="49">
        <v>0.0</v>
      </c>
      <c r="Y241" s="55"/>
      <c r="Z241" s="44">
        <v>26.0</v>
      </c>
      <c r="AB241" s="45">
        <v>26.0</v>
      </c>
      <c r="AD241" s="45">
        <v>0.0</v>
      </c>
      <c r="AF241" s="24"/>
      <c r="AH241" s="24"/>
      <c r="AJ241" s="24"/>
      <c r="AK241" s="27"/>
      <c r="AL241" s="28">
        <f t="shared" si="1"/>
        <v>3106.2</v>
      </c>
      <c r="AM241" s="20">
        <f t="shared" si="2"/>
        <v>214</v>
      </c>
      <c r="AN241" s="20">
        <v>0.0</v>
      </c>
      <c r="AO241" s="20">
        <f t="shared" si="3"/>
        <v>214</v>
      </c>
      <c r="AP241" s="31">
        <f t="shared" si="4"/>
        <v>14.51495327</v>
      </c>
    </row>
    <row r="242" ht="15.75" customHeight="1">
      <c r="A242" s="32" t="s">
        <v>22</v>
      </c>
      <c r="B242" s="34">
        <f t="shared" si="5"/>
        <v>44802</v>
      </c>
      <c r="C242" s="35">
        <v>9.0</v>
      </c>
      <c r="D242" s="35" t="s">
        <v>33</v>
      </c>
      <c r="E242" s="37"/>
      <c r="F242" s="44">
        <v>0.0</v>
      </c>
      <c r="H242" s="45">
        <v>0.0</v>
      </c>
      <c r="J242" s="45">
        <v>0.0</v>
      </c>
      <c r="L242" s="66">
        <v>80.0</v>
      </c>
      <c r="N242" s="45">
        <v>80.0</v>
      </c>
      <c r="P242" s="45">
        <v>0.0</v>
      </c>
      <c r="R242" s="45">
        <v>0.0</v>
      </c>
      <c r="T242" s="45">
        <v>0.0</v>
      </c>
      <c r="V242" s="45">
        <v>0.0</v>
      </c>
      <c r="X242" s="45">
        <v>0.0</v>
      </c>
      <c r="Y242" s="27"/>
      <c r="Z242" s="44">
        <v>26.0</v>
      </c>
      <c r="AB242" s="45">
        <v>26.0</v>
      </c>
      <c r="AD242" s="45">
        <v>0.0</v>
      </c>
      <c r="AF242" s="24"/>
      <c r="AH242" s="24"/>
      <c r="AJ242" s="24"/>
      <c r="AK242" s="27"/>
      <c r="AL242" s="39">
        <f t="shared" si="1"/>
        <v>2406.2</v>
      </c>
      <c r="AM242" s="35">
        <f t="shared" si="2"/>
        <v>212</v>
      </c>
      <c r="AN242" s="35">
        <v>0.0</v>
      </c>
      <c r="AO242" s="35">
        <f t="shared" si="3"/>
        <v>212</v>
      </c>
      <c r="AP242" s="40">
        <f t="shared" si="4"/>
        <v>11.35</v>
      </c>
    </row>
    <row r="243" ht="15.75" customHeight="1">
      <c r="A243" s="32" t="s">
        <v>24</v>
      </c>
      <c r="B243" s="34">
        <f t="shared" si="5"/>
        <v>44803</v>
      </c>
      <c r="C243" s="35">
        <v>9.0</v>
      </c>
      <c r="D243" s="35" t="s">
        <v>33</v>
      </c>
      <c r="E243" s="37"/>
      <c r="F243" s="44">
        <v>0.0</v>
      </c>
      <c r="H243" s="45">
        <v>0.0</v>
      </c>
      <c r="J243" s="45">
        <v>0.0</v>
      </c>
      <c r="L243" s="66">
        <v>80.0</v>
      </c>
      <c r="N243" s="45">
        <v>80.0</v>
      </c>
      <c r="P243" s="45">
        <v>0.0</v>
      </c>
      <c r="R243" s="45">
        <v>0.0</v>
      </c>
      <c r="T243" s="45">
        <v>0.0</v>
      </c>
      <c r="V243" s="45">
        <v>0.0</v>
      </c>
      <c r="X243" s="45">
        <v>0.0</v>
      </c>
      <c r="Y243" s="27"/>
      <c r="Z243" s="44">
        <v>26.0</v>
      </c>
      <c r="AB243" s="45">
        <v>26.0</v>
      </c>
      <c r="AD243" s="45">
        <v>0.0</v>
      </c>
      <c r="AF243" s="24"/>
      <c r="AH243" s="24"/>
      <c r="AJ243" s="24"/>
      <c r="AK243" s="27"/>
      <c r="AL243" s="39">
        <f t="shared" si="1"/>
        <v>2406.2</v>
      </c>
      <c r="AM243" s="35">
        <f t="shared" si="2"/>
        <v>212</v>
      </c>
      <c r="AN243" s="35">
        <v>0.0</v>
      </c>
      <c r="AO243" s="35">
        <f t="shared" si="3"/>
        <v>212</v>
      </c>
      <c r="AP243" s="40">
        <f t="shared" si="4"/>
        <v>11.35</v>
      </c>
    </row>
    <row r="244" ht="15.75" customHeight="1">
      <c r="A244" s="32" t="s">
        <v>28</v>
      </c>
      <c r="B244" s="34">
        <f t="shared" si="5"/>
        <v>44804</v>
      </c>
      <c r="C244" s="35">
        <v>9.0</v>
      </c>
      <c r="D244" s="35" t="s">
        <v>33</v>
      </c>
      <c r="E244" s="37"/>
      <c r="F244" s="44">
        <v>0.0</v>
      </c>
      <c r="H244" s="45">
        <v>0.0</v>
      </c>
      <c r="J244" s="45">
        <v>0.0</v>
      </c>
      <c r="L244" s="66">
        <v>80.0</v>
      </c>
      <c r="N244" s="45">
        <v>80.0</v>
      </c>
      <c r="P244" s="45">
        <v>0.0</v>
      </c>
      <c r="R244" s="45">
        <v>0.0</v>
      </c>
      <c r="T244" s="45">
        <v>0.0</v>
      </c>
      <c r="V244" s="45">
        <v>0.0</v>
      </c>
      <c r="X244" s="45">
        <v>0.0</v>
      </c>
      <c r="Y244" s="27"/>
      <c r="Z244" s="44">
        <v>26.0</v>
      </c>
      <c r="AB244" s="45">
        <v>26.0</v>
      </c>
      <c r="AD244" s="45">
        <v>0.0</v>
      </c>
      <c r="AF244" s="24"/>
      <c r="AH244" s="24"/>
      <c r="AJ244" s="24"/>
      <c r="AK244" s="27"/>
      <c r="AL244" s="39">
        <f t="shared" si="1"/>
        <v>2406.2</v>
      </c>
      <c r="AM244" s="35">
        <f t="shared" si="2"/>
        <v>212</v>
      </c>
      <c r="AN244" s="35">
        <v>0.0</v>
      </c>
      <c r="AO244" s="35">
        <f t="shared" si="3"/>
        <v>212</v>
      </c>
      <c r="AP244" s="40">
        <f t="shared" si="4"/>
        <v>11.35</v>
      </c>
    </row>
    <row r="245" ht="15.75" customHeight="1">
      <c r="A245" s="32" t="s">
        <v>29</v>
      </c>
      <c r="B245" s="34">
        <f t="shared" si="5"/>
        <v>44805</v>
      </c>
      <c r="C245" s="35">
        <v>9.0</v>
      </c>
      <c r="D245" s="35" t="s">
        <v>33</v>
      </c>
      <c r="E245" s="37"/>
      <c r="F245" s="44">
        <v>0.0</v>
      </c>
      <c r="H245" s="45">
        <v>0.0</v>
      </c>
      <c r="J245" s="45">
        <v>0.0</v>
      </c>
      <c r="L245" s="66">
        <v>80.0</v>
      </c>
      <c r="N245" s="45">
        <v>80.0</v>
      </c>
      <c r="P245" s="45">
        <v>0.0</v>
      </c>
      <c r="R245" s="45">
        <v>0.0</v>
      </c>
      <c r="T245" s="45">
        <v>0.0</v>
      </c>
      <c r="V245" s="45">
        <v>0.0</v>
      </c>
      <c r="X245" s="45">
        <v>0.0</v>
      </c>
      <c r="Y245" s="27"/>
      <c r="Z245" s="44">
        <v>26.0</v>
      </c>
      <c r="AB245" s="45">
        <v>26.0</v>
      </c>
      <c r="AD245" s="45">
        <v>0.0</v>
      </c>
      <c r="AF245" s="24"/>
      <c r="AH245" s="24"/>
      <c r="AJ245" s="24"/>
      <c r="AK245" s="27"/>
      <c r="AL245" s="39">
        <f t="shared" si="1"/>
        <v>2406.2</v>
      </c>
      <c r="AM245" s="35">
        <f t="shared" si="2"/>
        <v>212</v>
      </c>
      <c r="AN245" s="35">
        <v>0.0</v>
      </c>
      <c r="AO245" s="35">
        <f t="shared" si="3"/>
        <v>212</v>
      </c>
      <c r="AP245" s="40">
        <f t="shared" si="4"/>
        <v>11.35</v>
      </c>
    </row>
    <row r="246" ht="15.75" customHeight="1">
      <c r="A246" s="32" t="s">
        <v>30</v>
      </c>
      <c r="B246" s="34">
        <f t="shared" si="5"/>
        <v>44806</v>
      </c>
      <c r="C246" s="35">
        <v>9.0</v>
      </c>
      <c r="D246" s="35" t="s">
        <v>33</v>
      </c>
      <c r="E246" s="37"/>
      <c r="F246" s="44">
        <v>0.0</v>
      </c>
      <c r="H246" s="45">
        <v>0.0</v>
      </c>
      <c r="J246" s="45">
        <v>0.0</v>
      </c>
      <c r="L246" s="66">
        <v>80.0</v>
      </c>
      <c r="N246" s="45">
        <v>80.0</v>
      </c>
      <c r="P246" s="45">
        <v>0.0</v>
      </c>
      <c r="R246" s="45">
        <v>0.0</v>
      </c>
      <c r="T246" s="45">
        <v>0.0</v>
      </c>
      <c r="V246" s="45">
        <v>0.0</v>
      </c>
      <c r="X246" s="45">
        <v>0.0</v>
      </c>
      <c r="Y246" s="27"/>
      <c r="Z246" s="44">
        <v>10.0</v>
      </c>
      <c r="AB246" s="45">
        <v>10.0</v>
      </c>
      <c r="AD246" s="45">
        <v>0.0</v>
      </c>
      <c r="AF246" s="24"/>
      <c r="AH246" s="24"/>
      <c r="AJ246" s="24"/>
      <c r="AK246" s="27"/>
      <c r="AL246" s="39">
        <f t="shared" si="1"/>
        <v>2043</v>
      </c>
      <c r="AM246" s="35">
        <f t="shared" si="2"/>
        <v>180</v>
      </c>
      <c r="AN246" s="35">
        <v>0.0</v>
      </c>
      <c r="AO246" s="35">
        <f t="shared" si="3"/>
        <v>180</v>
      </c>
      <c r="AP246" s="40">
        <f t="shared" si="4"/>
        <v>11.35</v>
      </c>
    </row>
    <row r="247" ht="15.75" customHeight="1">
      <c r="A247" s="48" t="s">
        <v>31</v>
      </c>
      <c r="B247" s="50">
        <f t="shared" si="5"/>
        <v>44807</v>
      </c>
      <c r="C247" s="51">
        <v>9.0</v>
      </c>
      <c r="D247" s="51" t="s">
        <v>33</v>
      </c>
      <c r="E247" s="53"/>
      <c r="F247" s="75">
        <v>0.0</v>
      </c>
      <c r="G247" s="56"/>
      <c r="H247" s="74">
        <v>0.0</v>
      </c>
      <c r="I247" s="56"/>
      <c r="J247" s="74">
        <v>0.0</v>
      </c>
      <c r="K247" s="56"/>
      <c r="L247" s="73">
        <v>0.0</v>
      </c>
      <c r="M247" s="56"/>
      <c r="N247" s="74">
        <v>0.0</v>
      </c>
      <c r="O247" s="56"/>
      <c r="P247" s="74">
        <v>0.0</v>
      </c>
      <c r="Q247" s="56"/>
      <c r="R247" s="74">
        <v>0.0</v>
      </c>
      <c r="S247" s="56"/>
      <c r="T247" s="74">
        <v>0.0</v>
      </c>
      <c r="U247" s="56"/>
      <c r="V247" s="74">
        <v>0.0</v>
      </c>
      <c r="W247" s="56"/>
      <c r="X247" s="74">
        <v>0.0</v>
      </c>
      <c r="Y247" s="60"/>
      <c r="Z247" s="75">
        <v>0.0</v>
      </c>
      <c r="AA247" s="56"/>
      <c r="AB247" s="74">
        <v>0.0</v>
      </c>
      <c r="AC247" s="56"/>
      <c r="AD247" s="74">
        <v>0.0</v>
      </c>
      <c r="AE247" s="56"/>
      <c r="AF247" s="57"/>
      <c r="AG247" s="56"/>
      <c r="AH247" s="57"/>
      <c r="AI247" s="56"/>
      <c r="AJ247" s="57"/>
      <c r="AK247" s="60"/>
      <c r="AL247" s="61">
        <f t="shared" si="1"/>
        <v>0</v>
      </c>
      <c r="AM247" s="51">
        <f t="shared" si="2"/>
        <v>0</v>
      </c>
      <c r="AN247" s="51">
        <v>0.0</v>
      </c>
      <c r="AO247" s="51">
        <f t="shared" si="3"/>
        <v>0</v>
      </c>
      <c r="AP247" s="63" t="str">
        <f t="shared" si="4"/>
        <v/>
      </c>
    </row>
    <row r="248" ht="15.75" customHeight="1">
      <c r="A248" s="18" t="s">
        <v>20</v>
      </c>
      <c r="B248" s="64">
        <f t="shared" si="5"/>
        <v>44808</v>
      </c>
      <c r="C248" s="20">
        <v>9.0</v>
      </c>
      <c r="D248" s="20" t="s">
        <v>34</v>
      </c>
      <c r="E248" s="22"/>
      <c r="F248" s="95">
        <v>0.0</v>
      </c>
      <c r="H248" s="96">
        <v>0.0</v>
      </c>
      <c r="J248" s="96">
        <v>0.0</v>
      </c>
      <c r="L248" s="97">
        <v>80.0</v>
      </c>
      <c r="M248" s="47"/>
      <c r="N248" s="98">
        <v>80.0</v>
      </c>
      <c r="O248" s="47"/>
      <c r="P248" s="98">
        <v>0.0</v>
      </c>
      <c r="Q248" s="47"/>
      <c r="R248" s="98">
        <v>0.0</v>
      </c>
      <c r="S248" s="47"/>
      <c r="T248" s="98">
        <v>1.0</v>
      </c>
      <c r="U248" s="47"/>
      <c r="V248" s="98">
        <v>1.0</v>
      </c>
      <c r="W248" s="47"/>
      <c r="X248" s="98">
        <v>0.0</v>
      </c>
      <c r="Y248" s="55"/>
      <c r="Z248" s="95">
        <v>26.0</v>
      </c>
      <c r="AB248" s="96">
        <v>26.0</v>
      </c>
      <c r="AD248" s="96">
        <v>0.0</v>
      </c>
      <c r="AF248" s="24"/>
      <c r="AH248" s="24"/>
      <c r="AJ248" s="24"/>
      <c r="AK248" s="27"/>
      <c r="AL248" s="28">
        <f t="shared" si="1"/>
        <v>3106.2</v>
      </c>
      <c r="AM248" s="20">
        <f t="shared" si="2"/>
        <v>214</v>
      </c>
      <c r="AN248" s="20">
        <v>0.0</v>
      </c>
      <c r="AO248" s="20">
        <f t="shared" si="3"/>
        <v>214</v>
      </c>
      <c r="AP248" s="31">
        <f t="shared" si="4"/>
        <v>14.51495327</v>
      </c>
    </row>
    <row r="249" ht="15.75" customHeight="1">
      <c r="A249" s="32" t="s">
        <v>22</v>
      </c>
      <c r="B249" s="34">
        <f t="shared" si="5"/>
        <v>44809</v>
      </c>
      <c r="C249" s="35">
        <v>9.0</v>
      </c>
      <c r="D249" s="35" t="s">
        <v>34</v>
      </c>
      <c r="E249" s="37"/>
      <c r="F249" s="95">
        <v>0.0</v>
      </c>
      <c r="H249" s="96">
        <v>0.0</v>
      </c>
      <c r="J249" s="96">
        <v>0.0</v>
      </c>
      <c r="L249" s="99">
        <v>80.0</v>
      </c>
      <c r="N249" s="96">
        <v>80.0</v>
      </c>
      <c r="P249" s="96">
        <v>0.0</v>
      </c>
      <c r="R249" s="96">
        <v>0.0</v>
      </c>
      <c r="T249" s="96">
        <v>0.0</v>
      </c>
      <c r="V249" s="96">
        <v>0.0</v>
      </c>
      <c r="X249" s="96">
        <v>0.0</v>
      </c>
      <c r="Y249" s="27"/>
      <c r="Z249" s="95">
        <v>26.0</v>
      </c>
      <c r="AB249" s="96">
        <v>26.0</v>
      </c>
      <c r="AD249" s="96">
        <v>0.0</v>
      </c>
      <c r="AF249" s="24"/>
      <c r="AH249" s="24"/>
      <c r="AJ249" s="24"/>
      <c r="AK249" s="27"/>
      <c r="AL249" s="39">
        <f t="shared" si="1"/>
        <v>2406.2</v>
      </c>
      <c r="AM249" s="35">
        <f t="shared" si="2"/>
        <v>212</v>
      </c>
      <c r="AN249" s="35">
        <v>0.0</v>
      </c>
      <c r="AO249" s="35">
        <f t="shared" si="3"/>
        <v>212</v>
      </c>
      <c r="AP249" s="40">
        <f t="shared" si="4"/>
        <v>11.35</v>
      </c>
    </row>
    <row r="250" ht="15.75" customHeight="1">
      <c r="A250" s="32" t="s">
        <v>24</v>
      </c>
      <c r="B250" s="34">
        <f t="shared" si="5"/>
        <v>44810</v>
      </c>
      <c r="C250" s="35">
        <v>9.0</v>
      </c>
      <c r="D250" s="35" t="s">
        <v>34</v>
      </c>
      <c r="E250" s="37"/>
      <c r="F250" s="95">
        <v>0.0</v>
      </c>
      <c r="H250" s="96">
        <v>0.0</v>
      </c>
      <c r="J250" s="96">
        <v>0.0</v>
      </c>
      <c r="L250" s="99">
        <v>80.0</v>
      </c>
      <c r="N250" s="96">
        <v>80.0</v>
      </c>
      <c r="P250" s="96">
        <v>0.0</v>
      </c>
      <c r="R250" s="96">
        <v>0.0</v>
      </c>
      <c r="T250" s="96">
        <v>0.0</v>
      </c>
      <c r="V250" s="96">
        <v>0.0</v>
      </c>
      <c r="X250" s="96">
        <v>0.0</v>
      </c>
      <c r="Y250" s="27"/>
      <c r="Z250" s="95">
        <v>26.0</v>
      </c>
      <c r="AB250" s="96">
        <v>26.0</v>
      </c>
      <c r="AD250" s="96">
        <v>0.0</v>
      </c>
      <c r="AF250" s="24"/>
      <c r="AH250" s="24"/>
      <c r="AJ250" s="24"/>
      <c r="AK250" s="27"/>
      <c r="AL250" s="39">
        <f t="shared" si="1"/>
        <v>2406.2</v>
      </c>
      <c r="AM250" s="35">
        <f t="shared" si="2"/>
        <v>212</v>
      </c>
      <c r="AN250" s="35">
        <v>0.0</v>
      </c>
      <c r="AO250" s="35">
        <f t="shared" si="3"/>
        <v>212</v>
      </c>
      <c r="AP250" s="40">
        <f t="shared" si="4"/>
        <v>11.35</v>
      </c>
    </row>
    <row r="251" ht="15.75" customHeight="1">
      <c r="A251" s="32" t="s">
        <v>28</v>
      </c>
      <c r="B251" s="34">
        <f t="shared" si="5"/>
        <v>44811</v>
      </c>
      <c r="C251" s="35">
        <v>9.0</v>
      </c>
      <c r="D251" s="35" t="s">
        <v>34</v>
      </c>
      <c r="E251" s="37"/>
      <c r="F251" s="95">
        <v>0.0</v>
      </c>
      <c r="H251" s="96">
        <v>0.0</v>
      </c>
      <c r="J251" s="96">
        <v>0.0</v>
      </c>
      <c r="L251" s="99">
        <v>80.0</v>
      </c>
      <c r="N251" s="96">
        <v>80.0</v>
      </c>
      <c r="P251" s="96">
        <v>0.0</v>
      </c>
      <c r="R251" s="96">
        <v>0.0</v>
      </c>
      <c r="T251" s="96">
        <v>0.0</v>
      </c>
      <c r="V251" s="96">
        <v>0.0</v>
      </c>
      <c r="X251" s="96">
        <v>0.0</v>
      </c>
      <c r="Y251" s="27"/>
      <c r="Z251" s="95">
        <v>26.0</v>
      </c>
      <c r="AB251" s="96">
        <v>26.0</v>
      </c>
      <c r="AD251" s="96">
        <v>0.0</v>
      </c>
      <c r="AF251" s="24"/>
      <c r="AH251" s="24"/>
      <c r="AJ251" s="24"/>
      <c r="AK251" s="27"/>
      <c r="AL251" s="39">
        <f t="shared" si="1"/>
        <v>2406.2</v>
      </c>
      <c r="AM251" s="35">
        <f t="shared" si="2"/>
        <v>212</v>
      </c>
      <c r="AN251" s="35">
        <v>0.0</v>
      </c>
      <c r="AO251" s="35">
        <f t="shared" si="3"/>
        <v>212</v>
      </c>
      <c r="AP251" s="40">
        <f t="shared" si="4"/>
        <v>11.35</v>
      </c>
    </row>
    <row r="252" ht="15.75" customHeight="1">
      <c r="A252" s="32" t="s">
        <v>29</v>
      </c>
      <c r="B252" s="34">
        <f t="shared" si="5"/>
        <v>44812</v>
      </c>
      <c r="C252" s="35">
        <v>9.0</v>
      </c>
      <c r="D252" s="35" t="s">
        <v>34</v>
      </c>
      <c r="E252" s="37"/>
      <c r="F252" s="95">
        <v>0.0</v>
      </c>
      <c r="H252" s="96">
        <v>0.0</v>
      </c>
      <c r="J252" s="96">
        <v>0.0</v>
      </c>
      <c r="L252" s="99">
        <v>80.0</v>
      </c>
      <c r="N252" s="96">
        <v>80.0</v>
      </c>
      <c r="P252" s="96">
        <v>0.0</v>
      </c>
      <c r="R252" s="96">
        <v>0.0</v>
      </c>
      <c r="T252" s="96">
        <v>0.0</v>
      </c>
      <c r="V252" s="96">
        <v>0.0</v>
      </c>
      <c r="X252" s="96">
        <v>0.0</v>
      </c>
      <c r="Y252" s="27"/>
      <c r="Z252" s="95">
        <v>26.0</v>
      </c>
      <c r="AB252" s="96">
        <v>26.0</v>
      </c>
      <c r="AD252" s="96">
        <v>0.0</v>
      </c>
      <c r="AF252" s="24"/>
      <c r="AH252" s="24"/>
      <c r="AJ252" s="24"/>
      <c r="AK252" s="27"/>
      <c r="AL252" s="39">
        <f t="shared" si="1"/>
        <v>2406.2</v>
      </c>
      <c r="AM252" s="35">
        <f t="shared" si="2"/>
        <v>212</v>
      </c>
      <c r="AN252" s="35">
        <v>0.0</v>
      </c>
      <c r="AO252" s="35">
        <f t="shared" si="3"/>
        <v>212</v>
      </c>
      <c r="AP252" s="40">
        <f t="shared" si="4"/>
        <v>11.35</v>
      </c>
    </row>
    <row r="253" ht="15.75" customHeight="1">
      <c r="A253" s="32" t="s">
        <v>30</v>
      </c>
      <c r="B253" s="34">
        <f t="shared" si="5"/>
        <v>44813</v>
      </c>
      <c r="C253" s="35">
        <v>9.0</v>
      </c>
      <c r="D253" s="35" t="s">
        <v>34</v>
      </c>
      <c r="E253" s="37"/>
      <c r="F253" s="95">
        <v>0.0</v>
      </c>
      <c r="H253" s="96">
        <v>0.0</v>
      </c>
      <c r="J253" s="96">
        <v>0.0</v>
      </c>
      <c r="L253" s="99">
        <v>80.0</v>
      </c>
      <c r="N253" s="96">
        <v>80.0</v>
      </c>
      <c r="P253" s="96">
        <v>0.0</v>
      </c>
      <c r="R253" s="96">
        <v>0.0</v>
      </c>
      <c r="T253" s="96">
        <v>0.0</v>
      </c>
      <c r="V253" s="96">
        <v>0.0</v>
      </c>
      <c r="X253" s="96">
        <v>0.0</v>
      </c>
      <c r="Y253" s="27"/>
      <c r="Z253" s="95">
        <v>15.0</v>
      </c>
      <c r="AB253" s="96">
        <v>15.0</v>
      </c>
      <c r="AD253" s="96">
        <v>0.0</v>
      </c>
      <c r="AF253" s="62"/>
      <c r="AH253" s="62"/>
      <c r="AJ253" s="62"/>
      <c r="AK253" s="27"/>
      <c r="AL253" s="104">
        <f t="shared" si="1"/>
        <v>2156.5</v>
      </c>
      <c r="AM253" s="35">
        <f t="shared" si="2"/>
        <v>190</v>
      </c>
      <c r="AN253" s="35">
        <v>0.0</v>
      </c>
      <c r="AO253" s="35">
        <f t="shared" si="3"/>
        <v>190</v>
      </c>
      <c r="AP253" s="40">
        <f t="shared" si="4"/>
        <v>11.35</v>
      </c>
    </row>
    <row r="254" ht="15.75" customHeight="1">
      <c r="A254" s="48" t="s">
        <v>31</v>
      </c>
      <c r="B254" s="50">
        <f t="shared" si="5"/>
        <v>44814</v>
      </c>
      <c r="C254" s="51">
        <v>9.0</v>
      </c>
      <c r="D254" s="51" t="s">
        <v>34</v>
      </c>
      <c r="E254" s="53"/>
      <c r="F254" s="101">
        <v>0.0</v>
      </c>
      <c r="G254" s="56"/>
      <c r="H254" s="102">
        <v>0.0</v>
      </c>
      <c r="I254" s="56"/>
      <c r="J254" s="102">
        <v>0.0</v>
      </c>
      <c r="K254" s="56"/>
      <c r="L254" s="103">
        <v>0.0</v>
      </c>
      <c r="M254" s="56"/>
      <c r="N254" s="102">
        <v>0.0</v>
      </c>
      <c r="O254" s="56"/>
      <c r="P254" s="102">
        <v>0.0</v>
      </c>
      <c r="Q254" s="56"/>
      <c r="R254" s="102">
        <v>0.0</v>
      </c>
      <c r="S254" s="56"/>
      <c r="T254" s="102">
        <v>0.0</v>
      </c>
      <c r="U254" s="56"/>
      <c r="V254" s="102">
        <v>0.0</v>
      </c>
      <c r="W254" s="56"/>
      <c r="X254" s="102">
        <v>0.0</v>
      </c>
      <c r="Y254" s="60"/>
      <c r="Z254" s="101">
        <v>0.0</v>
      </c>
      <c r="AA254" s="56"/>
      <c r="AB254" s="102">
        <v>0.0</v>
      </c>
      <c r="AC254" s="56"/>
      <c r="AD254" s="102">
        <v>0.0</v>
      </c>
      <c r="AE254" s="56"/>
      <c r="AF254" s="57"/>
      <c r="AG254" s="56"/>
      <c r="AH254" s="57"/>
      <c r="AI254" s="56"/>
      <c r="AJ254" s="57"/>
      <c r="AK254" s="60"/>
      <c r="AL254" s="61">
        <f t="shared" si="1"/>
        <v>0</v>
      </c>
      <c r="AM254" s="51">
        <f t="shared" si="2"/>
        <v>0</v>
      </c>
      <c r="AN254" s="51">
        <v>0.0</v>
      </c>
      <c r="AO254" s="51">
        <f t="shared" si="3"/>
        <v>0</v>
      </c>
      <c r="AP254" s="63" t="str">
        <f t="shared" si="4"/>
        <v/>
      </c>
    </row>
    <row r="255" ht="15.75" customHeight="1">
      <c r="A255" s="18" t="s">
        <v>20</v>
      </c>
      <c r="B255" s="64">
        <f t="shared" si="5"/>
        <v>44815</v>
      </c>
      <c r="C255" s="20">
        <v>10.0</v>
      </c>
      <c r="D255" s="20" t="s">
        <v>21</v>
      </c>
      <c r="E255" s="22"/>
      <c r="F255" s="95">
        <v>0.0</v>
      </c>
      <c r="H255" s="96">
        <v>0.0</v>
      </c>
      <c r="J255" s="96">
        <v>0.0</v>
      </c>
      <c r="L255" s="97">
        <v>30.0</v>
      </c>
      <c r="M255" s="47"/>
      <c r="N255" s="98">
        <v>30.0</v>
      </c>
      <c r="O255" s="47"/>
      <c r="P255" s="98">
        <v>0.0</v>
      </c>
      <c r="Q255" s="47"/>
      <c r="R255" s="98">
        <v>0.0</v>
      </c>
      <c r="S255" s="47"/>
      <c r="T255" s="98">
        <v>1.0</v>
      </c>
      <c r="U255" s="47"/>
      <c r="V255" s="98">
        <v>1.0</v>
      </c>
      <c r="W255" s="47"/>
      <c r="X255" s="98">
        <v>0.0</v>
      </c>
      <c r="Y255" s="55"/>
      <c r="Z255" s="95">
        <v>25.0</v>
      </c>
      <c r="AB255" s="96">
        <v>25.0</v>
      </c>
      <c r="AD255" s="96">
        <v>0.0</v>
      </c>
      <c r="AF255" s="24"/>
      <c r="AH255" s="24"/>
      <c r="AJ255" s="24"/>
      <c r="AK255" s="27"/>
      <c r="AL255" s="28">
        <f t="shared" si="1"/>
        <v>1948.5</v>
      </c>
      <c r="AM255" s="20">
        <f t="shared" si="2"/>
        <v>112</v>
      </c>
      <c r="AN255" s="20">
        <v>0.0</v>
      </c>
      <c r="AO255" s="20">
        <f t="shared" si="3"/>
        <v>112</v>
      </c>
      <c r="AP255" s="31">
        <f t="shared" si="4"/>
        <v>17.39732143</v>
      </c>
    </row>
    <row r="256" ht="15.75" customHeight="1">
      <c r="A256" s="32" t="s">
        <v>22</v>
      </c>
      <c r="B256" s="34">
        <f t="shared" si="5"/>
        <v>44816</v>
      </c>
      <c r="C256" s="35">
        <v>10.0</v>
      </c>
      <c r="D256" s="35" t="s">
        <v>21</v>
      </c>
      <c r="E256" s="37"/>
      <c r="F256" s="95">
        <v>0.0</v>
      </c>
      <c r="H256" s="96">
        <v>0.0</v>
      </c>
      <c r="J256" s="96">
        <v>0.0</v>
      </c>
      <c r="L256" s="99">
        <v>90.0</v>
      </c>
      <c r="N256" s="96">
        <v>90.0</v>
      </c>
      <c r="P256" s="96">
        <v>0.0</v>
      </c>
      <c r="R256" s="96">
        <v>0.0</v>
      </c>
      <c r="T256" s="96">
        <v>0.0</v>
      </c>
      <c r="V256" s="96">
        <v>0.0</v>
      </c>
      <c r="X256" s="96">
        <v>0.0</v>
      </c>
      <c r="Y256" s="27"/>
      <c r="Z256" s="95">
        <v>25.0</v>
      </c>
      <c r="AB256" s="96">
        <v>25.0</v>
      </c>
      <c r="AD256" s="96">
        <v>0.0</v>
      </c>
      <c r="AF256" s="24"/>
      <c r="AH256" s="24"/>
      <c r="AJ256" s="24"/>
      <c r="AK256" s="27"/>
      <c r="AL256" s="39">
        <f t="shared" si="1"/>
        <v>2610.5</v>
      </c>
      <c r="AM256" s="35">
        <f t="shared" si="2"/>
        <v>230</v>
      </c>
      <c r="AN256" s="35">
        <v>0.0</v>
      </c>
      <c r="AO256" s="35">
        <f t="shared" si="3"/>
        <v>230</v>
      </c>
      <c r="AP256" s="40">
        <f t="shared" si="4"/>
        <v>11.35</v>
      </c>
    </row>
    <row r="257" ht="15.75" customHeight="1">
      <c r="A257" s="32" t="s">
        <v>24</v>
      </c>
      <c r="B257" s="34">
        <f t="shared" si="5"/>
        <v>44817</v>
      </c>
      <c r="C257" s="35">
        <v>10.0</v>
      </c>
      <c r="D257" s="35" t="s">
        <v>21</v>
      </c>
      <c r="E257" s="37"/>
      <c r="F257" s="95">
        <v>0.0</v>
      </c>
      <c r="H257" s="96">
        <v>0.0</v>
      </c>
      <c r="J257" s="96">
        <v>0.0</v>
      </c>
      <c r="L257" s="99">
        <v>90.0</v>
      </c>
      <c r="N257" s="96">
        <v>90.0</v>
      </c>
      <c r="P257" s="96">
        <v>0.0</v>
      </c>
      <c r="R257" s="96">
        <v>0.0</v>
      </c>
      <c r="T257" s="96">
        <v>0.0</v>
      </c>
      <c r="V257" s="96">
        <v>0.0</v>
      </c>
      <c r="X257" s="96">
        <v>0.0</v>
      </c>
      <c r="Y257" s="27"/>
      <c r="Z257" s="95">
        <v>25.0</v>
      </c>
      <c r="AB257" s="96">
        <v>25.0</v>
      </c>
      <c r="AD257" s="96">
        <v>0.0</v>
      </c>
      <c r="AF257" s="24"/>
      <c r="AH257" s="24"/>
      <c r="AJ257" s="24"/>
      <c r="AK257" s="27"/>
      <c r="AL257" s="39">
        <f t="shared" si="1"/>
        <v>2610.5</v>
      </c>
      <c r="AM257" s="35">
        <f t="shared" si="2"/>
        <v>230</v>
      </c>
      <c r="AN257" s="35">
        <v>0.0</v>
      </c>
      <c r="AO257" s="35">
        <f t="shared" si="3"/>
        <v>230</v>
      </c>
      <c r="AP257" s="40">
        <f t="shared" si="4"/>
        <v>11.35</v>
      </c>
    </row>
    <row r="258" ht="15.75" customHeight="1">
      <c r="A258" s="32" t="s">
        <v>28</v>
      </c>
      <c r="B258" s="34">
        <f t="shared" si="5"/>
        <v>44818</v>
      </c>
      <c r="C258" s="35">
        <v>10.0</v>
      </c>
      <c r="D258" s="35" t="s">
        <v>21</v>
      </c>
      <c r="E258" s="37"/>
      <c r="F258" s="95">
        <v>0.0</v>
      </c>
      <c r="H258" s="96">
        <v>0.0</v>
      </c>
      <c r="J258" s="96">
        <v>0.0</v>
      </c>
      <c r="L258" s="99">
        <v>90.0</v>
      </c>
      <c r="N258" s="96">
        <v>90.0</v>
      </c>
      <c r="P258" s="96">
        <v>0.0</v>
      </c>
      <c r="R258" s="96">
        <v>0.0</v>
      </c>
      <c r="T258" s="96">
        <v>0.0</v>
      </c>
      <c r="V258" s="96">
        <v>0.0</v>
      </c>
      <c r="X258" s="96">
        <v>0.0</v>
      </c>
      <c r="Y258" s="27"/>
      <c r="Z258" s="95">
        <v>25.0</v>
      </c>
      <c r="AB258" s="96">
        <v>25.0</v>
      </c>
      <c r="AD258" s="96">
        <v>0.0</v>
      </c>
      <c r="AF258" s="24"/>
      <c r="AH258" s="24"/>
      <c r="AJ258" s="24"/>
      <c r="AK258" s="27"/>
      <c r="AL258" s="39">
        <f t="shared" si="1"/>
        <v>2610.5</v>
      </c>
      <c r="AM258" s="35">
        <f t="shared" si="2"/>
        <v>230</v>
      </c>
      <c r="AN258" s="35">
        <v>0.0</v>
      </c>
      <c r="AO258" s="35">
        <f t="shared" si="3"/>
        <v>230</v>
      </c>
      <c r="AP258" s="40">
        <f t="shared" si="4"/>
        <v>11.35</v>
      </c>
    </row>
    <row r="259" ht="15.75" customHeight="1">
      <c r="A259" s="32" t="s">
        <v>29</v>
      </c>
      <c r="B259" s="34">
        <f t="shared" si="5"/>
        <v>44819</v>
      </c>
      <c r="C259" s="35">
        <v>10.0</v>
      </c>
      <c r="D259" s="35" t="s">
        <v>21</v>
      </c>
      <c r="E259" s="37"/>
      <c r="F259" s="95">
        <v>0.0</v>
      </c>
      <c r="H259" s="96">
        <v>0.0</v>
      </c>
      <c r="J259" s="96">
        <v>0.0</v>
      </c>
      <c r="L259" s="99">
        <v>90.0</v>
      </c>
      <c r="N259" s="96">
        <v>90.0</v>
      </c>
      <c r="P259" s="96">
        <v>0.0</v>
      </c>
      <c r="R259" s="96">
        <v>0.0</v>
      </c>
      <c r="T259" s="96">
        <v>0.0</v>
      </c>
      <c r="V259" s="96">
        <v>0.0</v>
      </c>
      <c r="X259" s="96">
        <v>0.0</v>
      </c>
      <c r="Y259" s="27"/>
      <c r="Z259" s="95">
        <v>25.0</v>
      </c>
      <c r="AB259" s="96">
        <v>25.0</v>
      </c>
      <c r="AD259" s="96">
        <v>0.0</v>
      </c>
      <c r="AF259" s="24"/>
      <c r="AH259" s="24"/>
      <c r="AJ259" s="24"/>
      <c r="AK259" s="27"/>
      <c r="AL259" s="39">
        <f t="shared" si="1"/>
        <v>2610.5</v>
      </c>
      <c r="AM259" s="35">
        <f t="shared" si="2"/>
        <v>230</v>
      </c>
      <c r="AN259" s="35">
        <v>0.0</v>
      </c>
      <c r="AO259" s="35">
        <f t="shared" si="3"/>
        <v>230</v>
      </c>
      <c r="AP259" s="40">
        <f t="shared" si="4"/>
        <v>11.35</v>
      </c>
    </row>
    <row r="260" ht="15.75" customHeight="1">
      <c r="A260" s="32" t="s">
        <v>30</v>
      </c>
      <c r="B260" s="34">
        <f t="shared" si="5"/>
        <v>44820</v>
      </c>
      <c r="C260" s="35">
        <v>10.0</v>
      </c>
      <c r="D260" s="35" t="s">
        <v>21</v>
      </c>
      <c r="E260" s="37"/>
      <c r="F260" s="95">
        <v>0.0</v>
      </c>
      <c r="H260" s="96">
        <v>0.0</v>
      </c>
      <c r="J260" s="96">
        <v>0.0</v>
      </c>
      <c r="L260" s="99">
        <v>90.0</v>
      </c>
      <c r="N260" s="96">
        <v>90.0</v>
      </c>
      <c r="P260" s="96">
        <v>0.0</v>
      </c>
      <c r="R260" s="96">
        <v>50.0</v>
      </c>
      <c r="T260" s="96">
        <v>0.0</v>
      </c>
      <c r="V260" s="96">
        <v>0.0</v>
      </c>
      <c r="X260" s="96">
        <v>0.0</v>
      </c>
      <c r="Y260" s="27"/>
      <c r="Z260" s="95">
        <v>4.0</v>
      </c>
      <c r="AB260" s="96">
        <v>4.0</v>
      </c>
      <c r="AD260" s="96">
        <v>0.0</v>
      </c>
      <c r="AF260" s="24"/>
      <c r="AH260" s="24"/>
      <c r="AJ260" s="24"/>
      <c r="AK260" s="27"/>
      <c r="AL260" s="39">
        <f t="shared" si="1"/>
        <v>2359.3</v>
      </c>
      <c r="AM260" s="35">
        <f t="shared" si="2"/>
        <v>238</v>
      </c>
      <c r="AN260" s="35">
        <v>0.0</v>
      </c>
      <c r="AO260" s="35">
        <f t="shared" si="3"/>
        <v>238</v>
      </c>
      <c r="AP260" s="40">
        <f t="shared" si="4"/>
        <v>9.91302521</v>
      </c>
    </row>
    <row r="261" ht="15.75" customHeight="1">
      <c r="A261" s="48" t="s">
        <v>31</v>
      </c>
      <c r="B261" s="50">
        <f t="shared" si="5"/>
        <v>44821</v>
      </c>
      <c r="C261" s="51">
        <v>10.0</v>
      </c>
      <c r="D261" s="51" t="s">
        <v>21</v>
      </c>
      <c r="E261" s="53"/>
      <c r="F261" s="101">
        <v>0.0</v>
      </c>
      <c r="G261" s="56"/>
      <c r="H261" s="102">
        <v>0.0</v>
      </c>
      <c r="I261" s="56"/>
      <c r="J261" s="102">
        <v>0.0</v>
      </c>
      <c r="K261" s="56"/>
      <c r="L261" s="103">
        <v>0.0</v>
      </c>
      <c r="M261" s="56"/>
      <c r="N261" s="102">
        <v>0.0</v>
      </c>
      <c r="O261" s="56"/>
      <c r="P261" s="102">
        <v>0.0</v>
      </c>
      <c r="Q261" s="56"/>
      <c r="R261" s="102">
        <v>0.0</v>
      </c>
      <c r="S261" s="56"/>
      <c r="T261" s="102">
        <v>0.0</v>
      </c>
      <c r="U261" s="56"/>
      <c r="V261" s="102">
        <v>0.0</v>
      </c>
      <c r="W261" s="56"/>
      <c r="X261" s="102">
        <v>0.0</v>
      </c>
      <c r="Y261" s="60"/>
      <c r="Z261" s="101">
        <v>0.0</v>
      </c>
      <c r="AA261" s="56"/>
      <c r="AB261" s="102">
        <v>0.0</v>
      </c>
      <c r="AC261" s="56"/>
      <c r="AD261" s="102">
        <v>0.0</v>
      </c>
      <c r="AE261" s="56"/>
      <c r="AF261" s="57"/>
      <c r="AG261" s="56"/>
      <c r="AH261" s="57"/>
      <c r="AI261" s="56"/>
      <c r="AJ261" s="57"/>
      <c r="AK261" s="60"/>
      <c r="AL261" s="61">
        <f t="shared" si="1"/>
        <v>0</v>
      </c>
      <c r="AM261" s="51">
        <f t="shared" si="2"/>
        <v>0</v>
      </c>
      <c r="AN261" s="51">
        <v>0.0</v>
      </c>
      <c r="AO261" s="51">
        <f t="shared" si="3"/>
        <v>0</v>
      </c>
      <c r="AP261" s="63" t="str">
        <f t="shared" si="4"/>
        <v/>
      </c>
    </row>
    <row r="262" ht="15.75" customHeight="1">
      <c r="A262" s="18" t="s">
        <v>20</v>
      </c>
      <c r="B262" s="64">
        <f t="shared" si="5"/>
        <v>44822</v>
      </c>
      <c r="C262" s="20">
        <v>10.0</v>
      </c>
      <c r="D262" s="20" t="s">
        <v>32</v>
      </c>
      <c r="E262" s="22"/>
      <c r="F262" s="95">
        <v>0.0</v>
      </c>
      <c r="H262" s="96">
        <v>0.0</v>
      </c>
      <c r="J262" s="96">
        <v>0.0</v>
      </c>
      <c r="L262" s="97">
        <v>90.0</v>
      </c>
      <c r="M262" s="47"/>
      <c r="N262" s="98">
        <v>90.0</v>
      </c>
      <c r="O262" s="47"/>
      <c r="P262" s="98">
        <v>0.0</v>
      </c>
      <c r="Q262" s="47"/>
      <c r="R262" s="98">
        <v>0.0</v>
      </c>
      <c r="S262" s="47"/>
      <c r="T262" s="98">
        <v>1.0</v>
      </c>
      <c r="U262" s="47"/>
      <c r="V262" s="98">
        <v>1.0</v>
      </c>
      <c r="W262" s="47"/>
      <c r="X262" s="98">
        <v>0.0</v>
      </c>
      <c r="Y262" s="55"/>
      <c r="Z262" s="95">
        <v>25.0</v>
      </c>
      <c r="AB262" s="96">
        <v>25.0</v>
      </c>
      <c r="AD262" s="96">
        <v>0.0</v>
      </c>
      <c r="AF262" s="24"/>
      <c r="AH262" s="24"/>
      <c r="AJ262" s="24"/>
      <c r="AK262" s="27"/>
      <c r="AL262" s="28">
        <f t="shared" si="1"/>
        <v>3310.5</v>
      </c>
      <c r="AM262" s="20">
        <f t="shared" si="2"/>
        <v>232</v>
      </c>
      <c r="AN262" s="20">
        <v>0.0</v>
      </c>
      <c r="AO262" s="20">
        <f t="shared" si="3"/>
        <v>232</v>
      </c>
      <c r="AP262" s="31">
        <f t="shared" si="4"/>
        <v>14.26939655</v>
      </c>
    </row>
    <row r="263" ht="15.75" customHeight="1">
      <c r="A263" s="32" t="s">
        <v>22</v>
      </c>
      <c r="B263" s="34">
        <f t="shared" si="5"/>
        <v>44823</v>
      </c>
      <c r="C263" s="35">
        <v>10.0</v>
      </c>
      <c r="D263" s="35" t="s">
        <v>32</v>
      </c>
      <c r="E263" s="37"/>
      <c r="F263" s="95">
        <v>0.0</v>
      </c>
      <c r="H263" s="96">
        <v>0.0</v>
      </c>
      <c r="J263" s="96">
        <v>0.0</v>
      </c>
      <c r="L263" s="99">
        <v>90.0</v>
      </c>
      <c r="N263" s="96">
        <v>90.0</v>
      </c>
      <c r="P263" s="96">
        <v>0.0</v>
      </c>
      <c r="R263" s="96">
        <v>40.0</v>
      </c>
      <c r="T263" s="96">
        <v>0.0</v>
      </c>
      <c r="V263" s="96">
        <v>0.0</v>
      </c>
      <c r="X263" s="96">
        <v>0.0</v>
      </c>
      <c r="Y263" s="27"/>
      <c r="Z263" s="95">
        <v>24.0</v>
      </c>
      <c r="AB263" s="96">
        <v>24.0</v>
      </c>
      <c r="AD263" s="96">
        <v>0.0</v>
      </c>
      <c r="AF263" s="24"/>
      <c r="AH263" s="24"/>
      <c r="AJ263" s="24"/>
      <c r="AK263" s="27"/>
      <c r="AL263" s="39">
        <f t="shared" si="1"/>
        <v>2768.2</v>
      </c>
      <c r="AM263" s="35">
        <f t="shared" si="2"/>
        <v>268</v>
      </c>
      <c r="AN263" s="35">
        <v>0.0</v>
      </c>
      <c r="AO263" s="35">
        <f t="shared" si="3"/>
        <v>268</v>
      </c>
      <c r="AP263" s="40">
        <f t="shared" si="4"/>
        <v>10.32910448</v>
      </c>
    </row>
    <row r="264" ht="15.75" customHeight="1">
      <c r="A264" s="32" t="s">
        <v>24</v>
      </c>
      <c r="B264" s="34">
        <f t="shared" si="5"/>
        <v>44824</v>
      </c>
      <c r="C264" s="35">
        <v>10.0</v>
      </c>
      <c r="D264" s="35" t="s">
        <v>32</v>
      </c>
      <c r="E264" s="37"/>
      <c r="F264" s="95">
        <v>0.0</v>
      </c>
      <c r="H264" s="96">
        <v>0.0</v>
      </c>
      <c r="J264" s="96">
        <v>0.0</v>
      </c>
      <c r="L264" s="99">
        <v>90.0</v>
      </c>
      <c r="N264" s="96">
        <v>90.0</v>
      </c>
      <c r="P264" s="96">
        <v>0.0</v>
      </c>
      <c r="R264" s="96">
        <v>0.0</v>
      </c>
      <c r="T264" s="96">
        <v>0.0</v>
      </c>
      <c r="V264" s="96">
        <v>0.0</v>
      </c>
      <c r="X264" s="96">
        <v>0.0</v>
      </c>
      <c r="Y264" s="27"/>
      <c r="Z264" s="95">
        <v>24.0</v>
      </c>
      <c r="AB264" s="96">
        <v>24.0</v>
      </c>
      <c r="AD264" s="96">
        <v>0.0</v>
      </c>
      <c r="AF264" s="24"/>
      <c r="AH264" s="24"/>
      <c r="AJ264" s="24"/>
      <c r="AK264" s="27"/>
      <c r="AL264" s="39">
        <f t="shared" si="1"/>
        <v>2587.8</v>
      </c>
      <c r="AM264" s="35">
        <f t="shared" si="2"/>
        <v>228</v>
      </c>
      <c r="AN264" s="35">
        <v>0.0</v>
      </c>
      <c r="AO264" s="35">
        <f t="shared" si="3"/>
        <v>228</v>
      </c>
      <c r="AP264" s="40">
        <f t="shared" si="4"/>
        <v>11.35</v>
      </c>
    </row>
    <row r="265" ht="15.75" customHeight="1">
      <c r="A265" s="32" t="s">
        <v>28</v>
      </c>
      <c r="B265" s="34">
        <f t="shared" si="5"/>
        <v>44825</v>
      </c>
      <c r="C265" s="35">
        <v>10.0</v>
      </c>
      <c r="D265" s="35" t="s">
        <v>32</v>
      </c>
      <c r="E265" s="37"/>
      <c r="F265" s="95">
        <v>0.0</v>
      </c>
      <c r="H265" s="96">
        <v>0.0</v>
      </c>
      <c r="J265" s="96">
        <v>0.0</v>
      </c>
      <c r="L265" s="99">
        <v>90.0</v>
      </c>
      <c r="N265" s="96">
        <v>90.0</v>
      </c>
      <c r="P265" s="96">
        <v>0.0</v>
      </c>
      <c r="R265" s="96">
        <v>0.0</v>
      </c>
      <c r="T265" s="96">
        <v>0.0</v>
      </c>
      <c r="V265" s="96">
        <v>0.0</v>
      </c>
      <c r="X265" s="96">
        <v>0.0</v>
      </c>
      <c r="Y265" s="27"/>
      <c r="Z265" s="95">
        <v>24.0</v>
      </c>
      <c r="AB265" s="96">
        <v>24.0</v>
      </c>
      <c r="AD265" s="96">
        <v>0.0</v>
      </c>
      <c r="AF265" s="24"/>
      <c r="AH265" s="24"/>
      <c r="AJ265" s="24"/>
      <c r="AK265" s="27"/>
      <c r="AL265" s="39">
        <f t="shared" si="1"/>
        <v>2587.8</v>
      </c>
      <c r="AM265" s="35">
        <f t="shared" si="2"/>
        <v>228</v>
      </c>
      <c r="AN265" s="35">
        <v>0.0</v>
      </c>
      <c r="AO265" s="35">
        <f t="shared" si="3"/>
        <v>228</v>
      </c>
      <c r="AP265" s="40">
        <f t="shared" si="4"/>
        <v>11.35</v>
      </c>
    </row>
    <row r="266" ht="15.75" customHeight="1">
      <c r="A266" s="32" t="s">
        <v>29</v>
      </c>
      <c r="B266" s="34">
        <f t="shared" si="5"/>
        <v>44826</v>
      </c>
      <c r="C266" s="35">
        <v>10.0</v>
      </c>
      <c r="D266" s="35" t="s">
        <v>32</v>
      </c>
      <c r="E266" s="37"/>
      <c r="F266" s="95">
        <v>0.0</v>
      </c>
      <c r="H266" s="96">
        <v>0.0</v>
      </c>
      <c r="J266" s="96">
        <v>0.0</v>
      </c>
      <c r="L266" s="99">
        <v>90.0</v>
      </c>
      <c r="N266" s="96">
        <v>90.0</v>
      </c>
      <c r="P266" s="96">
        <v>0.0</v>
      </c>
      <c r="R266" s="96">
        <v>0.0</v>
      </c>
      <c r="T266" s="96">
        <v>0.0</v>
      </c>
      <c r="V266" s="96">
        <v>0.0</v>
      </c>
      <c r="X266" s="96">
        <v>0.0</v>
      </c>
      <c r="Y266" s="27"/>
      <c r="Z266" s="95">
        <v>24.0</v>
      </c>
      <c r="AB266" s="96">
        <v>24.0</v>
      </c>
      <c r="AD266" s="96">
        <v>0.0</v>
      </c>
      <c r="AF266" s="24"/>
      <c r="AH266" s="24"/>
      <c r="AJ266" s="24"/>
      <c r="AK266" s="27"/>
      <c r="AL266" s="39">
        <f t="shared" si="1"/>
        <v>2587.8</v>
      </c>
      <c r="AM266" s="35">
        <f t="shared" si="2"/>
        <v>228</v>
      </c>
      <c r="AN266" s="35">
        <v>0.0</v>
      </c>
      <c r="AO266" s="35">
        <f t="shared" si="3"/>
        <v>228</v>
      </c>
      <c r="AP266" s="40">
        <f t="shared" si="4"/>
        <v>11.35</v>
      </c>
    </row>
    <row r="267" ht="15.75" customHeight="1">
      <c r="A267" s="32" t="s">
        <v>30</v>
      </c>
      <c r="B267" s="34">
        <f t="shared" si="5"/>
        <v>44827</v>
      </c>
      <c r="C267" s="35">
        <v>10.0</v>
      </c>
      <c r="D267" s="35" t="s">
        <v>32</v>
      </c>
      <c r="E267" s="37"/>
      <c r="F267" s="95">
        <v>0.0</v>
      </c>
      <c r="H267" s="96">
        <v>0.0</v>
      </c>
      <c r="J267" s="96">
        <v>0.0</v>
      </c>
      <c r="L267" s="99">
        <v>90.0</v>
      </c>
      <c r="N267" s="96">
        <v>90.0</v>
      </c>
      <c r="P267" s="96">
        <v>0.0</v>
      </c>
      <c r="R267" s="96">
        <v>0.0</v>
      </c>
      <c r="T267" s="96">
        <v>0.0</v>
      </c>
      <c r="V267" s="96">
        <v>0.0</v>
      </c>
      <c r="X267" s="96">
        <v>0.0</v>
      </c>
      <c r="Y267" s="27"/>
      <c r="Z267" s="95">
        <v>3.0</v>
      </c>
      <c r="AB267" s="96">
        <v>3.0</v>
      </c>
      <c r="AD267" s="96">
        <v>0.0</v>
      </c>
      <c r="AF267" s="24"/>
      <c r="AH267" s="24"/>
      <c r="AJ267" s="24"/>
      <c r="AK267" s="27"/>
      <c r="AL267" s="39">
        <f t="shared" si="1"/>
        <v>2111.1</v>
      </c>
      <c r="AM267" s="35">
        <f t="shared" si="2"/>
        <v>186</v>
      </c>
      <c r="AN267" s="35">
        <v>0.0</v>
      </c>
      <c r="AO267" s="35">
        <f t="shared" si="3"/>
        <v>186</v>
      </c>
      <c r="AP267" s="40">
        <f t="shared" si="4"/>
        <v>11.35</v>
      </c>
    </row>
    <row r="268" ht="15.75" customHeight="1">
      <c r="A268" s="48" t="s">
        <v>31</v>
      </c>
      <c r="B268" s="50">
        <f t="shared" si="5"/>
        <v>44828</v>
      </c>
      <c r="C268" s="51">
        <v>10.0</v>
      </c>
      <c r="D268" s="51" t="s">
        <v>32</v>
      </c>
      <c r="E268" s="53"/>
      <c r="F268" s="101">
        <v>0.0</v>
      </c>
      <c r="G268" s="56"/>
      <c r="H268" s="102">
        <v>0.0</v>
      </c>
      <c r="I268" s="56"/>
      <c r="J268" s="102">
        <v>0.0</v>
      </c>
      <c r="K268" s="56"/>
      <c r="L268" s="103">
        <v>0.0</v>
      </c>
      <c r="M268" s="56"/>
      <c r="N268" s="102">
        <v>0.0</v>
      </c>
      <c r="O268" s="56"/>
      <c r="P268" s="102">
        <v>0.0</v>
      </c>
      <c r="Q268" s="56"/>
      <c r="R268" s="102">
        <v>0.0</v>
      </c>
      <c r="S268" s="56"/>
      <c r="T268" s="102">
        <v>0.0</v>
      </c>
      <c r="U268" s="56"/>
      <c r="V268" s="102">
        <v>0.0</v>
      </c>
      <c r="W268" s="56"/>
      <c r="X268" s="102">
        <v>0.0</v>
      </c>
      <c r="Y268" s="60"/>
      <c r="Z268" s="101">
        <v>0.0</v>
      </c>
      <c r="AA268" s="56"/>
      <c r="AB268" s="102">
        <v>0.0</v>
      </c>
      <c r="AC268" s="56"/>
      <c r="AD268" s="102">
        <v>0.0</v>
      </c>
      <c r="AE268" s="56"/>
      <c r="AF268" s="57"/>
      <c r="AG268" s="56"/>
      <c r="AH268" s="57"/>
      <c r="AI268" s="56"/>
      <c r="AJ268" s="57"/>
      <c r="AK268" s="60"/>
      <c r="AL268" s="61">
        <f t="shared" si="1"/>
        <v>0</v>
      </c>
      <c r="AM268" s="51">
        <f t="shared" si="2"/>
        <v>0</v>
      </c>
      <c r="AN268" s="51">
        <v>0.0</v>
      </c>
      <c r="AO268" s="51">
        <f t="shared" si="3"/>
        <v>0</v>
      </c>
      <c r="AP268" s="63" t="str">
        <f t="shared" si="4"/>
        <v/>
      </c>
    </row>
    <row r="269" ht="15.75" customHeight="1">
      <c r="A269" s="18" t="s">
        <v>20</v>
      </c>
      <c r="B269" s="64">
        <f t="shared" si="5"/>
        <v>44829</v>
      </c>
      <c r="C269" s="20">
        <v>10.0</v>
      </c>
      <c r="D269" s="20" t="s">
        <v>33</v>
      </c>
      <c r="E269" s="22"/>
      <c r="F269" s="95">
        <v>0.0</v>
      </c>
      <c r="H269" s="96">
        <v>0.0</v>
      </c>
      <c r="J269" s="96">
        <v>0.0</v>
      </c>
      <c r="L269" s="97">
        <v>90.0</v>
      </c>
      <c r="M269" s="47"/>
      <c r="N269" s="98">
        <v>90.0</v>
      </c>
      <c r="O269" s="47"/>
      <c r="P269" s="98">
        <v>0.0</v>
      </c>
      <c r="Q269" s="47"/>
      <c r="R269" s="98">
        <v>0.0</v>
      </c>
      <c r="S269" s="47"/>
      <c r="T269" s="98">
        <v>1.0</v>
      </c>
      <c r="U269" s="47"/>
      <c r="V269" s="98">
        <v>1.0</v>
      </c>
      <c r="W269" s="47"/>
      <c r="X269" s="98">
        <v>0.0</v>
      </c>
      <c r="Y269" s="55"/>
      <c r="Z269" s="95">
        <v>24.0</v>
      </c>
      <c r="AB269" s="96">
        <v>24.0</v>
      </c>
      <c r="AD269" s="96">
        <v>0.0</v>
      </c>
      <c r="AF269" s="24"/>
      <c r="AH269" s="24"/>
      <c r="AJ269" s="24"/>
      <c r="AK269" s="27"/>
      <c r="AL269" s="28">
        <f t="shared" si="1"/>
        <v>3287.8</v>
      </c>
      <c r="AM269" s="20">
        <f t="shared" si="2"/>
        <v>230</v>
      </c>
      <c r="AN269" s="20">
        <v>0.0</v>
      </c>
      <c r="AO269" s="20">
        <f t="shared" si="3"/>
        <v>230</v>
      </c>
      <c r="AP269" s="31">
        <f t="shared" si="4"/>
        <v>14.29478261</v>
      </c>
    </row>
    <row r="270" ht="15.75" customHeight="1">
      <c r="A270" s="32" t="s">
        <v>22</v>
      </c>
      <c r="B270" s="34">
        <f t="shared" si="5"/>
        <v>44830</v>
      </c>
      <c r="C270" s="35">
        <v>10.0</v>
      </c>
      <c r="D270" s="35" t="s">
        <v>33</v>
      </c>
      <c r="E270" s="37"/>
      <c r="F270" s="95">
        <v>0.0</v>
      </c>
      <c r="H270" s="96">
        <v>0.0</v>
      </c>
      <c r="J270" s="96">
        <v>0.0</v>
      </c>
      <c r="L270" s="99">
        <v>105.0</v>
      </c>
      <c r="N270" s="96">
        <v>105.0</v>
      </c>
      <c r="P270" s="96">
        <v>0.0</v>
      </c>
      <c r="R270" s="96">
        <v>0.0</v>
      </c>
      <c r="T270" s="96">
        <v>0.0</v>
      </c>
      <c r="V270" s="96">
        <v>0.0</v>
      </c>
      <c r="X270" s="96">
        <v>0.0</v>
      </c>
      <c r="Y270" s="27"/>
      <c r="Z270" s="95">
        <v>24.0</v>
      </c>
      <c r="AB270" s="96">
        <v>24.0</v>
      </c>
      <c r="AD270" s="96">
        <v>0.0</v>
      </c>
      <c r="AF270" s="24"/>
      <c r="AH270" s="24"/>
      <c r="AJ270" s="24"/>
      <c r="AK270" s="27"/>
      <c r="AL270" s="39">
        <f t="shared" si="1"/>
        <v>2928.3</v>
      </c>
      <c r="AM270" s="35">
        <f t="shared" si="2"/>
        <v>258</v>
      </c>
      <c r="AN270" s="35">
        <v>0.0</v>
      </c>
      <c r="AO270" s="35">
        <f t="shared" si="3"/>
        <v>258</v>
      </c>
      <c r="AP270" s="40">
        <f t="shared" si="4"/>
        <v>11.35</v>
      </c>
    </row>
    <row r="271" ht="15.75" customHeight="1">
      <c r="A271" s="32" t="s">
        <v>24</v>
      </c>
      <c r="B271" s="34">
        <f t="shared" si="5"/>
        <v>44831</v>
      </c>
      <c r="C271" s="35">
        <v>10.0</v>
      </c>
      <c r="D271" s="35" t="s">
        <v>33</v>
      </c>
      <c r="E271" s="37"/>
      <c r="F271" s="95">
        <v>0.0</v>
      </c>
      <c r="H271" s="96">
        <v>0.0</v>
      </c>
      <c r="J271" s="96">
        <v>0.0</v>
      </c>
      <c r="L271" s="99">
        <v>105.0</v>
      </c>
      <c r="N271" s="96">
        <v>105.0</v>
      </c>
      <c r="P271" s="96">
        <v>0.0</v>
      </c>
      <c r="R271" s="96">
        <v>0.0</v>
      </c>
      <c r="T271" s="96">
        <v>0.0</v>
      </c>
      <c r="V271" s="96">
        <v>0.0</v>
      </c>
      <c r="X271" s="96">
        <v>0.0</v>
      </c>
      <c r="Y271" s="27"/>
      <c r="Z271" s="95">
        <v>24.0</v>
      </c>
      <c r="AB271" s="96">
        <v>24.0</v>
      </c>
      <c r="AD271" s="96">
        <v>0.0</v>
      </c>
      <c r="AF271" s="24"/>
      <c r="AH271" s="24"/>
      <c r="AJ271" s="24"/>
      <c r="AK271" s="27"/>
      <c r="AL271" s="39">
        <f t="shared" si="1"/>
        <v>2928.3</v>
      </c>
      <c r="AM271" s="35">
        <f t="shared" si="2"/>
        <v>258</v>
      </c>
      <c r="AN271" s="35">
        <v>0.0</v>
      </c>
      <c r="AO271" s="35">
        <f t="shared" si="3"/>
        <v>258</v>
      </c>
      <c r="AP271" s="40">
        <f t="shared" si="4"/>
        <v>11.35</v>
      </c>
    </row>
    <row r="272" ht="15.75" customHeight="1">
      <c r="A272" s="32" t="s">
        <v>28</v>
      </c>
      <c r="B272" s="34">
        <f t="shared" si="5"/>
        <v>44832</v>
      </c>
      <c r="C272" s="35">
        <v>10.0</v>
      </c>
      <c r="D272" s="35" t="s">
        <v>33</v>
      </c>
      <c r="E272" s="37"/>
      <c r="F272" s="95">
        <v>0.0</v>
      </c>
      <c r="H272" s="96">
        <v>0.0</v>
      </c>
      <c r="J272" s="96">
        <v>0.0</v>
      </c>
      <c r="L272" s="99">
        <v>105.0</v>
      </c>
      <c r="N272" s="96">
        <v>105.0</v>
      </c>
      <c r="P272" s="96">
        <v>0.0</v>
      </c>
      <c r="R272" s="96">
        <v>0.0</v>
      </c>
      <c r="T272" s="96">
        <v>0.0</v>
      </c>
      <c r="V272" s="96">
        <v>0.0</v>
      </c>
      <c r="X272" s="96">
        <v>0.0</v>
      </c>
      <c r="Y272" s="27"/>
      <c r="Z272" s="95">
        <v>24.0</v>
      </c>
      <c r="AB272" s="96">
        <v>24.0</v>
      </c>
      <c r="AD272" s="96">
        <v>0.0</v>
      </c>
      <c r="AF272" s="24"/>
      <c r="AH272" s="24"/>
      <c r="AJ272" s="24"/>
      <c r="AK272" s="27"/>
      <c r="AL272" s="39">
        <f t="shared" si="1"/>
        <v>2928.3</v>
      </c>
      <c r="AM272" s="35">
        <f t="shared" si="2"/>
        <v>258</v>
      </c>
      <c r="AN272" s="35">
        <v>0.0</v>
      </c>
      <c r="AO272" s="35">
        <f t="shared" si="3"/>
        <v>258</v>
      </c>
      <c r="AP272" s="40">
        <f t="shared" si="4"/>
        <v>11.35</v>
      </c>
    </row>
    <row r="273" ht="15.75" customHeight="1">
      <c r="A273" s="32" t="s">
        <v>29</v>
      </c>
      <c r="B273" s="34">
        <f t="shared" si="5"/>
        <v>44833</v>
      </c>
      <c r="C273" s="35">
        <v>10.0</v>
      </c>
      <c r="D273" s="35" t="s">
        <v>33</v>
      </c>
      <c r="E273" s="37"/>
      <c r="F273" s="95">
        <v>0.0</v>
      </c>
      <c r="H273" s="96">
        <v>0.0</v>
      </c>
      <c r="J273" s="96">
        <v>0.0</v>
      </c>
      <c r="L273" s="99">
        <v>105.0</v>
      </c>
      <c r="N273" s="96">
        <v>105.0</v>
      </c>
      <c r="P273" s="96">
        <v>0.0</v>
      </c>
      <c r="R273" s="96">
        <v>0.0</v>
      </c>
      <c r="T273" s="96">
        <v>0.0</v>
      </c>
      <c r="V273" s="96">
        <v>0.0</v>
      </c>
      <c r="X273" s="96">
        <v>0.0</v>
      </c>
      <c r="Y273" s="27"/>
      <c r="Z273" s="95">
        <v>24.0</v>
      </c>
      <c r="AB273" s="96">
        <v>24.0</v>
      </c>
      <c r="AD273" s="96">
        <v>0.0</v>
      </c>
      <c r="AF273" s="24"/>
      <c r="AH273" s="24"/>
      <c r="AJ273" s="24"/>
      <c r="AK273" s="27"/>
      <c r="AL273" s="39">
        <f t="shared" si="1"/>
        <v>2928.3</v>
      </c>
      <c r="AM273" s="35">
        <f t="shared" si="2"/>
        <v>258</v>
      </c>
      <c r="AN273" s="35">
        <v>0.0</v>
      </c>
      <c r="AO273" s="35">
        <f t="shared" si="3"/>
        <v>258</v>
      </c>
      <c r="AP273" s="40">
        <f t="shared" si="4"/>
        <v>11.35</v>
      </c>
    </row>
    <row r="274" ht="15.75" customHeight="1">
      <c r="A274" s="32" t="s">
        <v>30</v>
      </c>
      <c r="B274" s="34">
        <f t="shared" si="5"/>
        <v>44834</v>
      </c>
      <c r="C274" s="35">
        <v>10.0</v>
      </c>
      <c r="D274" s="35" t="s">
        <v>33</v>
      </c>
      <c r="E274" s="37"/>
      <c r="F274" s="95">
        <v>0.0</v>
      </c>
      <c r="H274" s="96">
        <v>0.0</v>
      </c>
      <c r="J274" s="96">
        <v>0.0</v>
      </c>
      <c r="L274" s="99">
        <v>105.0</v>
      </c>
      <c r="N274" s="96">
        <v>105.0</v>
      </c>
      <c r="P274" s="96">
        <v>0.0</v>
      </c>
      <c r="R274" s="96">
        <v>0.0</v>
      </c>
      <c r="T274" s="96">
        <v>0.0</v>
      </c>
      <c r="V274" s="96">
        <v>0.0</v>
      </c>
      <c r="X274" s="96">
        <v>0.0</v>
      </c>
      <c r="Y274" s="27"/>
      <c r="Z274" s="95">
        <v>4.0</v>
      </c>
      <c r="AB274" s="96">
        <v>4.0</v>
      </c>
      <c r="AD274" s="96">
        <v>0.0</v>
      </c>
      <c r="AF274" s="24"/>
      <c r="AH274" s="24"/>
      <c r="AJ274" s="24"/>
      <c r="AK274" s="27"/>
      <c r="AL274" s="39">
        <f t="shared" si="1"/>
        <v>2474.3</v>
      </c>
      <c r="AM274" s="35">
        <f t="shared" si="2"/>
        <v>218</v>
      </c>
      <c r="AN274" s="35">
        <v>0.0</v>
      </c>
      <c r="AO274" s="35">
        <f t="shared" si="3"/>
        <v>218</v>
      </c>
      <c r="AP274" s="40">
        <f t="shared" si="4"/>
        <v>11.35</v>
      </c>
    </row>
    <row r="275" ht="15.75" customHeight="1">
      <c r="A275" s="48" t="s">
        <v>31</v>
      </c>
      <c r="B275" s="50">
        <f t="shared" si="5"/>
        <v>44835</v>
      </c>
      <c r="C275" s="51">
        <v>10.0</v>
      </c>
      <c r="D275" s="51" t="s">
        <v>33</v>
      </c>
      <c r="E275" s="53"/>
      <c r="F275" s="101">
        <v>0.0</v>
      </c>
      <c r="G275" s="56"/>
      <c r="H275" s="102">
        <v>0.0</v>
      </c>
      <c r="I275" s="56"/>
      <c r="J275" s="102">
        <v>0.0</v>
      </c>
      <c r="K275" s="56"/>
      <c r="L275" s="103">
        <v>0.0</v>
      </c>
      <c r="M275" s="56"/>
      <c r="N275" s="102">
        <v>0.0</v>
      </c>
      <c r="O275" s="56"/>
      <c r="P275" s="102">
        <v>0.0</v>
      </c>
      <c r="Q275" s="56"/>
      <c r="R275" s="102">
        <v>0.0</v>
      </c>
      <c r="S275" s="56"/>
      <c r="T275" s="102">
        <v>0.0</v>
      </c>
      <c r="U275" s="56"/>
      <c r="V275" s="102">
        <v>0.0</v>
      </c>
      <c r="W275" s="56"/>
      <c r="X275" s="102">
        <v>0.0</v>
      </c>
      <c r="Y275" s="60"/>
      <c r="Z275" s="101">
        <v>0.0</v>
      </c>
      <c r="AA275" s="56"/>
      <c r="AB275" s="102">
        <v>0.0</v>
      </c>
      <c r="AC275" s="56"/>
      <c r="AD275" s="102">
        <v>0.0</v>
      </c>
      <c r="AE275" s="56"/>
      <c r="AF275" s="57"/>
      <c r="AG275" s="56"/>
      <c r="AH275" s="57"/>
      <c r="AI275" s="56"/>
      <c r="AJ275" s="57"/>
      <c r="AK275" s="60"/>
      <c r="AL275" s="61">
        <f t="shared" si="1"/>
        <v>0</v>
      </c>
      <c r="AM275" s="51">
        <f t="shared" si="2"/>
        <v>0</v>
      </c>
      <c r="AN275" s="51">
        <v>0.0</v>
      </c>
      <c r="AO275" s="51">
        <f t="shared" si="3"/>
        <v>0</v>
      </c>
      <c r="AP275" s="63" t="str">
        <f t="shared" si="4"/>
        <v/>
      </c>
    </row>
    <row r="276" ht="15.75" customHeight="1">
      <c r="A276" s="18" t="s">
        <v>20</v>
      </c>
      <c r="B276" s="64">
        <f t="shared" si="5"/>
        <v>44836</v>
      </c>
      <c r="C276" s="20">
        <v>10.0</v>
      </c>
      <c r="D276" s="20" t="s">
        <v>34</v>
      </c>
      <c r="E276" s="22"/>
      <c r="F276" s="95">
        <v>0.0</v>
      </c>
      <c r="H276" s="96">
        <v>0.0</v>
      </c>
      <c r="J276" s="96">
        <v>0.0</v>
      </c>
      <c r="L276" s="97">
        <v>105.0</v>
      </c>
      <c r="M276" s="47"/>
      <c r="N276" s="98">
        <v>105.0</v>
      </c>
      <c r="O276" s="47"/>
      <c r="P276" s="98">
        <v>0.0</v>
      </c>
      <c r="Q276" s="47"/>
      <c r="R276" s="98">
        <v>0.0</v>
      </c>
      <c r="S276" s="47"/>
      <c r="T276" s="98">
        <v>1.0</v>
      </c>
      <c r="U276" s="47"/>
      <c r="V276" s="98">
        <v>1.0</v>
      </c>
      <c r="W276" s="47"/>
      <c r="X276" s="98">
        <v>0.0</v>
      </c>
      <c r="Y276" s="55"/>
      <c r="Z276" s="95">
        <v>21.0</v>
      </c>
      <c r="AB276" s="96">
        <v>21.0</v>
      </c>
      <c r="AD276" s="96">
        <v>0.0</v>
      </c>
      <c r="AF276" s="24"/>
      <c r="AH276" s="24"/>
      <c r="AJ276" s="24"/>
      <c r="AK276" s="27"/>
      <c r="AL276" s="28">
        <f t="shared" si="1"/>
        <v>3560.2</v>
      </c>
      <c r="AM276" s="20">
        <f t="shared" si="2"/>
        <v>254</v>
      </c>
      <c r="AN276" s="20">
        <v>0.0</v>
      </c>
      <c r="AO276" s="20">
        <f t="shared" si="3"/>
        <v>254</v>
      </c>
      <c r="AP276" s="31">
        <f t="shared" si="4"/>
        <v>14.01653543</v>
      </c>
    </row>
    <row r="277" ht="15.75" customHeight="1">
      <c r="A277" s="32" t="s">
        <v>22</v>
      </c>
      <c r="B277" s="34">
        <f t="shared" si="5"/>
        <v>44837</v>
      </c>
      <c r="C277" s="35">
        <v>10.0</v>
      </c>
      <c r="D277" s="35" t="s">
        <v>34</v>
      </c>
      <c r="E277" s="37"/>
      <c r="F277" s="95">
        <v>0.0</v>
      </c>
      <c r="H277" s="96">
        <v>0.0</v>
      </c>
      <c r="J277" s="96">
        <v>0.0</v>
      </c>
      <c r="L277" s="99">
        <v>105.0</v>
      </c>
      <c r="N277" s="96">
        <v>105.0</v>
      </c>
      <c r="P277" s="96">
        <v>0.0</v>
      </c>
      <c r="R277" s="96">
        <v>0.0</v>
      </c>
      <c r="T277" s="96">
        <v>0.0</v>
      </c>
      <c r="V277" s="96">
        <v>0.0</v>
      </c>
      <c r="X277" s="96">
        <v>0.0</v>
      </c>
      <c r="Y277" s="27"/>
      <c r="Z277" s="95">
        <v>21.0</v>
      </c>
      <c r="AB277" s="96">
        <v>21.0</v>
      </c>
      <c r="AD277" s="96">
        <v>0.0</v>
      </c>
      <c r="AF277" s="24"/>
      <c r="AH277" s="24"/>
      <c r="AJ277" s="24"/>
      <c r="AK277" s="27"/>
      <c r="AL277" s="39">
        <f t="shared" si="1"/>
        <v>2860.2</v>
      </c>
      <c r="AM277" s="35">
        <f t="shared" si="2"/>
        <v>252</v>
      </c>
      <c r="AN277" s="35">
        <v>0.0</v>
      </c>
      <c r="AO277" s="35">
        <f t="shared" si="3"/>
        <v>252</v>
      </c>
      <c r="AP277" s="40">
        <f t="shared" si="4"/>
        <v>11.35</v>
      </c>
    </row>
    <row r="278" ht="15.75" customHeight="1">
      <c r="A278" s="32" t="s">
        <v>24</v>
      </c>
      <c r="B278" s="34">
        <f t="shared" si="5"/>
        <v>44838</v>
      </c>
      <c r="C278" s="35">
        <v>10.0</v>
      </c>
      <c r="D278" s="35" t="s">
        <v>34</v>
      </c>
      <c r="E278" s="37"/>
      <c r="F278" s="95">
        <v>0.0</v>
      </c>
      <c r="H278" s="96">
        <v>0.0</v>
      </c>
      <c r="J278" s="96">
        <v>0.0</v>
      </c>
      <c r="L278" s="99">
        <v>105.0</v>
      </c>
      <c r="N278" s="96">
        <v>105.0</v>
      </c>
      <c r="P278" s="96">
        <v>0.0</v>
      </c>
      <c r="R278" s="96">
        <v>0.0</v>
      </c>
      <c r="T278" s="96">
        <v>0.0</v>
      </c>
      <c r="V278" s="96">
        <v>0.0</v>
      </c>
      <c r="X278" s="96">
        <v>0.0</v>
      </c>
      <c r="Y278" s="27"/>
      <c r="Z278" s="95">
        <v>21.0</v>
      </c>
      <c r="AB278" s="96">
        <v>21.0</v>
      </c>
      <c r="AD278" s="96">
        <v>0.0</v>
      </c>
      <c r="AF278" s="24"/>
      <c r="AH278" s="24"/>
      <c r="AJ278" s="24"/>
      <c r="AK278" s="27"/>
      <c r="AL278" s="39">
        <f t="shared" si="1"/>
        <v>2860.2</v>
      </c>
      <c r="AM278" s="35">
        <f t="shared" si="2"/>
        <v>252</v>
      </c>
      <c r="AN278" s="35">
        <v>0.0</v>
      </c>
      <c r="AO278" s="35">
        <f t="shared" si="3"/>
        <v>252</v>
      </c>
      <c r="AP278" s="40">
        <f t="shared" si="4"/>
        <v>11.35</v>
      </c>
    </row>
    <row r="279" ht="15.75" customHeight="1">
      <c r="A279" s="32" t="s">
        <v>28</v>
      </c>
      <c r="B279" s="34">
        <f t="shared" si="5"/>
        <v>44839</v>
      </c>
      <c r="C279" s="35">
        <v>10.0</v>
      </c>
      <c r="D279" s="35" t="s">
        <v>34</v>
      </c>
      <c r="E279" s="37"/>
      <c r="F279" s="95">
        <v>0.0</v>
      </c>
      <c r="H279" s="96">
        <v>0.0</v>
      </c>
      <c r="J279" s="96">
        <v>0.0</v>
      </c>
      <c r="L279" s="99">
        <v>105.0</v>
      </c>
      <c r="N279" s="96">
        <v>105.0</v>
      </c>
      <c r="P279" s="96">
        <v>0.0</v>
      </c>
      <c r="R279" s="96">
        <v>0.0</v>
      </c>
      <c r="T279" s="96">
        <v>0.0</v>
      </c>
      <c r="V279" s="96">
        <v>0.0</v>
      </c>
      <c r="X279" s="96">
        <v>0.0</v>
      </c>
      <c r="Y279" s="27"/>
      <c r="Z279" s="95">
        <v>0.0</v>
      </c>
      <c r="AB279" s="96">
        <v>0.0</v>
      </c>
      <c r="AD279" s="96">
        <v>0.0</v>
      </c>
      <c r="AF279" s="24"/>
      <c r="AH279" s="24"/>
      <c r="AJ279" s="24"/>
      <c r="AK279" s="27"/>
      <c r="AL279" s="39">
        <f t="shared" si="1"/>
        <v>2383.5</v>
      </c>
      <c r="AM279" s="35">
        <f t="shared" si="2"/>
        <v>210</v>
      </c>
      <c r="AN279" s="35">
        <v>0.0</v>
      </c>
      <c r="AO279" s="35">
        <f t="shared" si="3"/>
        <v>210</v>
      </c>
      <c r="AP279" s="40">
        <f t="shared" si="4"/>
        <v>11.35</v>
      </c>
    </row>
    <row r="280" ht="15.75" customHeight="1">
      <c r="A280" s="32" t="s">
        <v>29</v>
      </c>
      <c r="B280" s="34">
        <f t="shared" si="5"/>
        <v>44840</v>
      </c>
      <c r="C280" s="35">
        <v>10.0</v>
      </c>
      <c r="D280" s="35" t="s">
        <v>34</v>
      </c>
      <c r="E280" s="37"/>
      <c r="F280" s="95">
        <v>0.0</v>
      </c>
      <c r="H280" s="96">
        <v>0.0</v>
      </c>
      <c r="J280" s="96">
        <v>0.0</v>
      </c>
      <c r="L280" s="99">
        <v>105.0</v>
      </c>
      <c r="N280" s="96">
        <v>105.0</v>
      </c>
      <c r="P280" s="96">
        <v>0.0</v>
      </c>
      <c r="R280" s="96">
        <v>0.0</v>
      </c>
      <c r="T280" s="96">
        <v>0.0</v>
      </c>
      <c r="V280" s="96">
        <v>0.0</v>
      </c>
      <c r="X280" s="96">
        <v>0.0</v>
      </c>
      <c r="Y280" s="27"/>
      <c r="Z280" s="95">
        <v>0.0</v>
      </c>
      <c r="AB280" s="96">
        <v>0.0</v>
      </c>
      <c r="AD280" s="96">
        <v>0.0</v>
      </c>
      <c r="AF280" s="24"/>
      <c r="AH280" s="24"/>
      <c r="AJ280" s="24"/>
      <c r="AK280" s="27"/>
      <c r="AL280" s="39">
        <f t="shared" si="1"/>
        <v>2383.5</v>
      </c>
      <c r="AM280" s="35">
        <f t="shared" si="2"/>
        <v>210</v>
      </c>
      <c r="AN280" s="35">
        <v>0.0</v>
      </c>
      <c r="AO280" s="35">
        <f t="shared" si="3"/>
        <v>210</v>
      </c>
      <c r="AP280" s="40">
        <f t="shared" si="4"/>
        <v>11.35</v>
      </c>
    </row>
    <row r="281" ht="15.75" customHeight="1">
      <c r="A281" s="32" t="s">
        <v>30</v>
      </c>
      <c r="B281" s="34">
        <f t="shared" si="5"/>
        <v>44841</v>
      </c>
      <c r="C281" s="35">
        <v>10.0</v>
      </c>
      <c r="D281" s="35" t="s">
        <v>34</v>
      </c>
      <c r="E281" s="37"/>
      <c r="F281" s="95">
        <v>0.0</v>
      </c>
      <c r="H281" s="96">
        <v>0.0</v>
      </c>
      <c r="J281" s="96">
        <v>0.0</v>
      </c>
      <c r="L281" s="99">
        <v>105.0</v>
      </c>
      <c r="N281" s="96">
        <v>105.0</v>
      </c>
      <c r="P281" s="96">
        <v>0.0</v>
      </c>
      <c r="R281" s="96">
        <v>0.0</v>
      </c>
      <c r="T281" s="96">
        <v>0.0</v>
      </c>
      <c r="V281" s="96">
        <v>0.0</v>
      </c>
      <c r="X281" s="96">
        <v>0.0</v>
      </c>
      <c r="Y281" s="27"/>
      <c r="Z281" s="95">
        <v>0.0</v>
      </c>
      <c r="AB281" s="96">
        <v>0.0</v>
      </c>
      <c r="AD281" s="96">
        <v>0.0</v>
      </c>
      <c r="AF281" s="24"/>
      <c r="AH281" s="24"/>
      <c r="AJ281" s="24"/>
      <c r="AK281" s="27"/>
      <c r="AL281" s="39">
        <f t="shared" si="1"/>
        <v>2383.5</v>
      </c>
      <c r="AM281" s="35">
        <f t="shared" si="2"/>
        <v>210</v>
      </c>
      <c r="AN281" s="35">
        <v>0.0</v>
      </c>
      <c r="AO281" s="35">
        <f t="shared" si="3"/>
        <v>210</v>
      </c>
      <c r="AP281" s="40">
        <f t="shared" si="4"/>
        <v>11.35</v>
      </c>
    </row>
    <row r="282" ht="15.75" customHeight="1">
      <c r="A282" s="48" t="s">
        <v>31</v>
      </c>
      <c r="B282" s="50">
        <f t="shared" si="5"/>
        <v>44842</v>
      </c>
      <c r="C282" s="51">
        <v>10.0</v>
      </c>
      <c r="D282" s="51" t="s">
        <v>34</v>
      </c>
      <c r="E282" s="53"/>
      <c r="F282" s="101">
        <v>0.0</v>
      </c>
      <c r="G282" s="56"/>
      <c r="H282" s="102">
        <v>0.0</v>
      </c>
      <c r="I282" s="56"/>
      <c r="J282" s="102">
        <v>0.0</v>
      </c>
      <c r="K282" s="56"/>
      <c r="L282" s="103">
        <v>0.0</v>
      </c>
      <c r="M282" s="56"/>
      <c r="N282" s="102">
        <v>0.0</v>
      </c>
      <c r="O282" s="56"/>
      <c r="P282" s="102">
        <v>0.0</v>
      </c>
      <c r="Q282" s="56"/>
      <c r="R282" s="102">
        <v>0.0</v>
      </c>
      <c r="S282" s="56"/>
      <c r="T282" s="102">
        <v>0.0</v>
      </c>
      <c r="U282" s="56"/>
      <c r="V282" s="102">
        <v>0.0</v>
      </c>
      <c r="W282" s="56"/>
      <c r="X282" s="102">
        <v>0.0</v>
      </c>
      <c r="Y282" s="60"/>
      <c r="Z282" s="101">
        <v>0.0</v>
      </c>
      <c r="AA282" s="56"/>
      <c r="AB282" s="102">
        <v>0.0</v>
      </c>
      <c r="AC282" s="56"/>
      <c r="AD282" s="102">
        <v>0.0</v>
      </c>
      <c r="AE282" s="56"/>
      <c r="AF282" s="57"/>
      <c r="AG282" s="56"/>
      <c r="AH282" s="57"/>
      <c r="AI282" s="56"/>
      <c r="AJ282" s="57"/>
      <c r="AK282" s="60"/>
      <c r="AL282" s="61">
        <f t="shared" si="1"/>
        <v>0</v>
      </c>
      <c r="AM282" s="51">
        <f t="shared" si="2"/>
        <v>0</v>
      </c>
      <c r="AN282" s="51">
        <v>0.0</v>
      </c>
      <c r="AO282" s="51">
        <f t="shared" si="3"/>
        <v>0</v>
      </c>
      <c r="AP282" s="63" t="str">
        <f t="shared" si="4"/>
        <v/>
      </c>
    </row>
    <row r="283" ht="15.75" customHeight="1">
      <c r="A283" s="18" t="s">
        <v>20</v>
      </c>
      <c r="B283" s="64">
        <f t="shared" si="5"/>
        <v>44843</v>
      </c>
      <c r="C283" s="20">
        <v>11.0</v>
      </c>
      <c r="D283" s="20" t="s">
        <v>21</v>
      </c>
      <c r="E283" s="22"/>
      <c r="F283" s="95">
        <v>0.0</v>
      </c>
      <c r="H283" s="96">
        <v>0.0</v>
      </c>
      <c r="J283" s="96">
        <v>0.0</v>
      </c>
      <c r="L283" s="97">
        <v>50.0</v>
      </c>
      <c r="M283" s="47"/>
      <c r="N283" s="98">
        <v>50.0</v>
      </c>
      <c r="O283" s="47"/>
      <c r="P283" s="98">
        <v>0.0</v>
      </c>
      <c r="Q283" s="47"/>
      <c r="R283" s="98">
        <v>0.0</v>
      </c>
      <c r="S283" s="47"/>
      <c r="T283" s="98">
        <v>1.0</v>
      </c>
      <c r="U283" s="47"/>
      <c r="V283" s="98">
        <v>1.0</v>
      </c>
      <c r="W283" s="47"/>
      <c r="X283" s="98">
        <v>0.0</v>
      </c>
      <c r="Y283" s="55"/>
      <c r="Z283" s="95">
        <v>18.0</v>
      </c>
      <c r="AB283" s="96">
        <v>18.0</v>
      </c>
      <c r="AD283" s="96">
        <v>0.0</v>
      </c>
      <c r="AF283" s="24"/>
      <c r="AH283" s="24"/>
      <c r="AJ283" s="24"/>
      <c r="AK283" s="27"/>
      <c r="AL283" s="28">
        <f t="shared" si="1"/>
        <v>2243.6</v>
      </c>
      <c r="AM283" s="20">
        <f t="shared" si="2"/>
        <v>138</v>
      </c>
      <c r="AN283" s="20">
        <v>0.0</v>
      </c>
      <c r="AO283" s="20">
        <f t="shared" si="3"/>
        <v>138</v>
      </c>
      <c r="AP283" s="31">
        <f t="shared" si="4"/>
        <v>16.25797101</v>
      </c>
    </row>
    <row r="284" ht="15.75" customHeight="1">
      <c r="A284" s="32" t="s">
        <v>22</v>
      </c>
      <c r="B284" s="34">
        <f t="shared" si="5"/>
        <v>44844</v>
      </c>
      <c r="C284" s="35">
        <v>11.0</v>
      </c>
      <c r="D284" s="35" t="s">
        <v>21</v>
      </c>
      <c r="E284" s="37"/>
      <c r="F284" s="95">
        <v>0.0</v>
      </c>
      <c r="H284" s="96">
        <v>0.0</v>
      </c>
      <c r="J284" s="96">
        <v>0.0</v>
      </c>
      <c r="L284" s="99">
        <v>50.0</v>
      </c>
      <c r="N284" s="96">
        <v>50.0</v>
      </c>
      <c r="P284" s="96">
        <v>0.0</v>
      </c>
      <c r="R284" s="96">
        <v>0.0</v>
      </c>
      <c r="T284" s="96">
        <v>0.0</v>
      </c>
      <c r="V284" s="96">
        <v>0.0</v>
      </c>
      <c r="X284" s="96">
        <v>0.0</v>
      </c>
      <c r="Y284" s="27"/>
      <c r="Z284" s="95">
        <v>18.0</v>
      </c>
      <c r="AB284" s="96">
        <v>18.0</v>
      </c>
      <c r="AD284" s="96">
        <v>0.0</v>
      </c>
      <c r="AF284" s="24"/>
      <c r="AH284" s="24"/>
      <c r="AJ284" s="24"/>
      <c r="AK284" s="27"/>
      <c r="AL284" s="39">
        <f t="shared" si="1"/>
        <v>1543.6</v>
      </c>
      <c r="AM284" s="35">
        <f t="shared" si="2"/>
        <v>136</v>
      </c>
      <c r="AN284" s="35">
        <v>0.0</v>
      </c>
      <c r="AO284" s="35">
        <f t="shared" si="3"/>
        <v>136</v>
      </c>
      <c r="AP284" s="40">
        <f t="shared" si="4"/>
        <v>11.35</v>
      </c>
    </row>
    <row r="285" ht="15.75" customHeight="1">
      <c r="A285" s="32" t="s">
        <v>24</v>
      </c>
      <c r="B285" s="34">
        <f t="shared" si="5"/>
        <v>44845</v>
      </c>
      <c r="C285" s="35">
        <v>11.0</v>
      </c>
      <c r="D285" s="35" t="s">
        <v>21</v>
      </c>
      <c r="E285" s="37"/>
      <c r="F285" s="95">
        <v>0.0</v>
      </c>
      <c r="H285" s="96">
        <v>0.0</v>
      </c>
      <c r="J285" s="96">
        <v>0.0</v>
      </c>
      <c r="L285" s="99">
        <v>50.0</v>
      </c>
      <c r="N285" s="96">
        <v>50.0</v>
      </c>
      <c r="P285" s="96">
        <v>0.0</v>
      </c>
      <c r="R285" s="96">
        <v>0.0</v>
      </c>
      <c r="T285" s="96">
        <v>0.0</v>
      </c>
      <c r="V285" s="96">
        <v>0.0</v>
      </c>
      <c r="X285" s="96">
        <v>0.0</v>
      </c>
      <c r="Y285" s="27"/>
      <c r="Z285" s="95">
        <v>18.0</v>
      </c>
      <c r="AB285" s="96">
        <v>18.0</v>
      </c>
      <c r="AD285" s="96">
        <v>0.0</v>
      </c>
      <c r="AF285" s="24"/>
      <c r="AH285" s="24"/>
      <c r="AJ285" s="24"/>
      <c r="AK285" s="27"/>
      <c r="AL285" s="39">
        <f t="shared" si="1"/>
        <v>1543.6</v>
      </c>
      <c r="AM285" s="35">
        <f t="shared" si="2"/>
        <v>136</v>
      </c>
      <c r="AN285" s="35">
        <v>0.0</v>
      </c>
      <c r="AO285" s="35">
        <f t="shared" si="3"/>
        <v>136</v>
      </c>
      <c r="AP285" s="40">
        <f t="shared" si="4"/>
        <v>11.35</v>
      </c>
    </row>
    <row r="286" ht="15.75" customHeight="1">
      <c r="A286" s="32" t="s">
        <v>28</v>
      </c>
      <c r="B286" s="34">
        <f t="shared" si="5"/>
        <v>44846</v>
      </c>
      <c r="C286" s="35">
        <v>11.0</v>
      </c>
      <c r="D286" s="35" t="s">
        <v>21</v>
      </c>
      <c r="E286" s="37"/>
      <c r="F286" s="95">
        <v>0.0</v>
      </c>
      <c r="H286" s="96">
        <v>0.0</v>
      </c>
      <c r="J286" s="96">
        <v>0.0</v>
      </c>
      <c r="L286" s="99">
        <v>50.0</v>
      </c>
      <c r="N286" s="96">
        <v>50.0</v>
      </c>
      <c r="P286" s="96">
        <v>0.0</v>
      </c>
      <c r="R286" s="96">
        <v>0.0</v>
      </c>
      <c r="T286" s="96">
        <v>0.0</v>
      </c>
      <c r="V286" s="96">
        <v>0.0</v>
      </c>
      <c r="X286" s="96">
        <v>0.0</v>
      </c>
      <c r="Y286" s="27"/>
      <c r="Z286" s="95">
        <v>18.0</v>
      </c>
      <c r="AB286" s="96">
        <v>18.0</v>
      </c>
      <c r="AD286" s="96">
        <v>0.0</v>
      </c>
      <c r="AF286" s="24"/>
      <c r="AH286" s="24"/>
      <c r="AJ286" s="24"/>
      <c r="AK286" s="27"/>
      <c r="AL286" s="39">
        <f t="shared" si="1"/>
        <v>1543.6</v>
      </c>
      <c r="AM286" s="35">
        <f t="shared" si="2"/>
        <v>136</v>
      </c>
      <c r="AN286" s="35">
        <v>0.0</v>
      </c>
      <c r="AO286" s="35">
        <f t="shared" si="3"/>
        <v>136</v>
      </c>
      <c r="AP286" s="40">
        <f t="shared" si="4"/>
        <v>11.35</v>
      </c>
    </row>
    <row r="287" ht="15.75" customHeight="1">
      <c r="A287" s="32" t="s">
        <v>29</v>
      </c>
      <c r="B287" s="34">
        <f t="shared" si="5"/>
        <v>44847</v>
      </c>
      <c r="C287" s="35">
        <v>11.0</v>
      </c>
      <c r="D287" s="35" t="s">
        <v>21</v>
      </c>
      <c r="E287" s="37"/>
      <c r="F287" s="95">
        <v>0.0</v>
      </c>
      <c r="H287" s="96">
        <v>0.0</v>
      </c>
      <c r="J287" s="96">
        <v>0.0</v>
      </c>
      <c r="L287" s="99">
        <v>50.0</v>
      </c>
      <c r="N287" s="96">
        <v>50.0</v>
      </c>
      <c r="P287" s="96">
        <v>0.0</v>
      </c>
      <c r="R287" s="96">
        <v>0.0</v>
      </c>
      <c r="T287" s="96">
        <v>0.0</v>
      </c>
      <c r="V287" s="96">
        <v>0.0</v>
      </c>
      <c r="X287" s="96">
        <v>0.0</v>
      </c>
      <c r="Y287" s="27"/>
      <c r="Z287" s="95">
        <v>8.0</v>
      </c>
      <c r="AB287" s="96">
        <v>8.0</v>
      </c>
      <c r="AD287" s="96">
        <v>0.0</v>
      </c>
      <c r="AF287" s="24"/>
      <c r="AH287" s="24"/>
      <c r="AJ287" s="24"/>
      <c r="AK287" s="27"/>
      <c r="AL287" s="39">
        <f t="shared" si="1"/>
        <v>1316.6</v>
      </c>
      <c r="AM287" s="35">
        <f t="shared" si="2"/>
        <v>116</v>
      </c>
      <c r="AN287" s="35">
        <v>0.0</v>
      </c>
      <c r="AO287" s="35">
        <f t="shared" si="3"/>
        <v>116</v>
      </c>
      <c r="AP287" s="40">
        <f t="shared" si="4"/>
        <v>11.35</v>
      </c>
    </row>
    <row r="288" ht="15.75" customHeight="1">
      <c r="A288" s="32" t="s">
        <v>30</v>
      </c>
      <c r="B288" s="34">
        <f t="shared" si="5"/>
        <v>44848</v>
      </c>
      <c r="C288" s="35">
        <v>11.0</v>
      </c>
      <c r="D288" s="35" t="s">
        <v>21</v>
      </c>
      <c r="E288" s="37"/>
      <c r="F288" s="95">
        <v>0.0</v>
      </c>
      <c r="H288" s="96">
        <v>0.0</v>
      </c>
      <c r="J288" s="96">
        <v>0.0</v>
      </c>
      <c r="L288" s="99">
        <v>50.0</v>
      </c>
      <c r="N288" s="96">
        <v>50.0</v>
      </c>
      <c r="P288" s="96">
        <v>0.0</v>
      </c>
      <c r="R288" s="96">
        <v>0.0</v>
      </c>
      <c r="T288" s="96">
        <v>0.0</v>
      </c>
      <c r="V288" s="96">
        <v>0.0</v>
      </c>
      <c r="X288" s="96">
        <v>0.0</v>
      </c>
      <c r="Y288" s="27"/>
      <c r="Z288" s="95">
        <v>0.0</v>
      </c>
      <c r="AB288" s="96">
        <v>0.0</v>
      </c>
      <c r="AD288" s="96">
        <v>0.0</v>
      </c>
      <c r="AF288" s="24"/>
      <c r="AH288" s="24"/>
      <c r="AJ288" s="24"/>
      <c r="AK288" s="27"/>
      <c r="AL288" s="39">
        <f t="shared" si="1"/>
        <v>1135</v>
      </c>
      <c r="AM288" s="35">
        <f t="shared" si="2"/>
        <v>100</v>
      </c>
      <c r="AN288" s="35">
        <v>0.0</v>
      </c>
      <c r="AO288" s="35">
        <f t="shared" si="3"/>
        <v>100</v>
      </c>
      <c r="AP288" s="40">
        <f t="shared" si="4"/>
        <v>11.35</v>
      </c>
    </row>
    <row r="289" ht="15.75" customHeight="1">
      <c r="A289" s="48" t="s">
        <v>31</v>
      </c>
      <c r="B289" s="50">
        <f t="shared" si="5"/>
        <v>44849</v>
      </c>
      <c r="C289" s="51">
        <v>11.0</v>
      </c>
      <c r="D289" s="51" t="s">
        <v>21</v>
      </c>
      <c r="E289" s="53"/>
      <c r="F289" s="101">
        <v>0.0</v>
      </c>
      <c r="G289" s="56"/>
      <c r="H289" s="102">
        <v>0.0</v>
      </c>
      <c r="I289" s="56"/>
      <c r="J289" s="102">
        <v>0.0</v>
      </c>
      <c r="K289" s="56"/>
      <c r="L289" s="103">
        <v>0.0</v>
      </c>
      <c r="M289" s="56"/>
      <c r="N289" s="102">
        <v>0.0</v>
      </c>
      <c r="O289" s="56"/>
      <c r="P289" s="102">
        <v>0.0</v>
      </c>
      <c r="Q289" s="56"/>
      <c r="R289" s="102">
        <v>0.0</v>
      </c>
      <c r="S289" s="56"/>
      <c r="T289" s="102">
        <v>0.0</v>
      </c>
      <c r="U289" s="56"/>
      <c r="V289" s="102">
        <v>0.0</v>
      </c>
      <c r="W289" s="56"/>
      <c r="X289" s="102">
        <v>0.0</v>
      </c>
      <c r="Y289" s="60"/>
      <c r="Z289" s="101">
        <v>0.0</v>
      </c>
      <c r="AA289" s="56"/>
      <c r="AB289" s="102">
        <v>0.0</v>
      </c>
      <c r="AC289" s="56"/>
      <c r="AD289" s="102">
        <v>0.0</v>
      </c>
      <c r="AE289" s="56"/>
      <c r="AF289" s="57"/>
      <c r="AG289" s="56"/>
      <c r="AH289" s="57"/>
      <c r="AI289" s="56"/>
      <c r="AJ289" s="57"/>
      <c r="AK289" s="60"/>
      <c r="AL289" s="61">
        <f t="shared" si="1"/>
        <v>0</v>
      </c>
      <c r="AM289" s="51">
        <f t="shared" si="2"/>
        <v>0</v>
      </c>
      <c r="AN289" s="51">
        <v>0.0</v>
      </c>
      <c r="AO289" s="51">
        <f t="shared" si="3"/>
        <v>0</v>
      </c>
      <c r="AP289" s="63" t="str">
        <f t="shared" si="4"/>
        <v/>
      </c>
    </row>
    <row r="290" ht="15.75" customHeight="1">
      <c r="A290" s="18" t="s">
        <v>20</v>
      </c>
      <c r="B290" s="64">
        <f t="shared" si="5"/>
        <v>44850</v>
      </c>
      <c r="C290" s="20">
        <v>11.0</v>
      </c>
      <c r="D290" s="20" t="s">
        <v>32</v>
      </c>
      <c r="E290" s="22"/>
      <c r="F290" s="95">
        <v>0.0</v>
      </c>
      <c r="H290" s="96">
        <v>0.0</v>
      </c>
      <c r="J290" s="96">
        <v>0.0</v>
      </c>
      <c r="L290" s="97">
        <v>50.0</v>
      </c>
      <c r="M290" s="47"/>
      <c r="N290" s="98">
        <v>50.0</v>
      </c>
      <c r="O290" s="47"/>
      <c r="P290" s="98">
        <v>0.0</v>
      </c>
      <c r="Q290" s="47"/>
      <c r="R290" s="98">
        <v>0.0</v>
      </c>
      <c r="S290" s="47"/>
      <c r="T290" s="98">
        <v>1.0</v>
      </c>
      <c r="U290" s="47"/>
      <c r="V290" s="98">
        <v>1.0</v>
      </c>
      <c r="W290" s="47"/>
      <c r="X290" s="98">
        <v>0.0</v>
      </c>
      <c r="Y290" s="55"/>
      <c r="Z290" s="95">
        <v>17.0</v>
      </c>
      <c r="AB290" s="96">
        <v>17.0</v>
      </c>
      <c r="AD290" s="96">
        <v>0.0</v>
      </c>
      <c r="AF290" s="24"/>
      <c r="AH290" s="24"/>
      <c r="AJ290" s="24"/>
      <c r="AK290" s="27"/>
      <c r="AL290" s="28">
        <f t="shared" si="1"/>
        <v>2220.9</v>
      </c>
      <c r="AM290" s="20">
        <f t="shared" si="2"/>
        <v>136</v>
      </c>
      <c r="AN290" s="20">
        <v>0.0</v>
      </c>
      <c r="AO290" s="20">
        <f t="shared" si="3"/>
        <v>136</v>
      </c>
      <c r="AP290" s="31">
        <f t="shared" si="4"/>
        <v>16.33014706</v>
      </c>
    </row>
    <row r="291" ht="15.75" customHeight="1">
      <c r="A291" s="32" t="s">
        <v>22</v>
      </c>
      <c r="B291" s="34">
        <f t="shared" si="5"/>
        <v>44851</v>
      </c>
      <c r="C291" s="35">
        <v>11.0</v>
      </c>
      <c r="D291" s="35" t="s">
        <v>32</v>
      </c>
      <c r="E291" s="37"/>
      <c r="F291" s="95">
        <v>0.0</v>
      </c>
      <c r="H291" s="96">
        <v>0.0</v>
      </c>
      <c r="J291" s="96">
        <v>0.0</v>
      </c>
      <c r="L291" s="99">
        <v>50.0</v>
      </c>
      <c r="N291" s="96">
        <v>50.0</v>
      </c>
      <c r="P291" s="96">
        <v>0.0</v>
      </c>
      <c r="R291" s="96">
        <v>0.0</v>
      </c>
      <c r="T291" s="96">
        <v>0.0</v>
      </c>
      <c r="V291" s="96">
        <v>0.0</v>
      </c>
      <c r="X291" s="96">
        <v>0.0</v>
      </c>
      <c r="Y291" s="27"/>
      <c r="Z291" s="95">
        <v>17.0</v>
      </c>
      <c r="AB291" s="96">
        <v>17.0</v>
      </c>
      <c r="AD291" s="96">
        <v>0.0</v>
      </c>
      <c r="AF291" s="24"/>
      <c r="AH291" s="24"/>
      <c r="AJ291" s="24"/>
      <c r="AK291" s="27"/>
      <c r="AL291" s="39">
        <f t="shared" si="1"/>
        <v>1520.9</v>
      </c>
      <c r="AM291" s="35">
        <f t="shared" si="2"/>
        <v>134</v>
      </c>
      <c r="AN291" s="35">
        <v>0.0</v>
      </c>
      <c r="AO291" s="35">
        <f t="shared" si="3"/>
        <v>134</v>
      </c>
      <c r="AP291" s="40">
        <f t="shared" si="4"/>
        <v>11.35</v>
      </c>
    </row>
    <row r="292" ht="15.75" customHeight="1">
      <c r="A292" s="32" t="s">
        <v>24</v>
      </c>
      <c r="B292" s="34">
        <f t="shared" si="5"/>
        <v>44852</v>
      </c>
      <c r="C292" s="35">
        <v>11.0</v>
      </c>
      <c r="D292" s="35" t="s">
        <v>32</v>
      </c>
      <c r="E292" s="37"/>
      <c r="F292" s="95">
        <v>0.0</v>
      </c>
      <c r="H292" s="96">
        <v>0.0</v>
      </c>
      <c r="J292" s="96">
        <v>0.0</v>
      </c>
      <c r="L292" s="99">
        <v>50.0</v>
      </c>
      <c r="N292" s="96">
        <v>50.0</v>
      </c>
      <c r="P292" s="96">
        <v>0.0</v>
      </c>
      <c r="R292" s="96">
        <v>0.0</v>
      </c>
      <c r="T292" s="96">
        <v>0.0</v>
      </c>
      <c r="V292" s="96">
        <v>0.0</v>
      </c>
      <c r="X292" s="96">
        <v>0.0</v>
      </c>
      <c r="Y292" s="27"/>
      <c r="Z292" s="95">
        <v>16.0</v>
      </c>
      <c r="AB292" s="96">
        <v>16.0</v>
      </c>
      <c r="AD292" s="96">
        <v>0.0</v>
      </c>
      <c r="AF292" s="24"/>
      <c r="AH292" s="24"/>
      <c r="AJ292" s="24"/>
      <c r="AK292" s="27"/>
      <c r="AL292" s="39">
        <f t="shared" si="1"/>
        <v>1498.2</v>
      </c>
      <c r="AM292" s="35">
        <f t="shared" si="2"/>
        <v>132</v>
      </c>
      <c r="AN292" s="35">
        <v>0.0</v>
      </c>
      <c r="AO292" s="35">
        <f t="shared" si="3"/>
        <v>132</v>
      </c>
      <c r="AP292" s="40">
        <f t="shared" si="4"/>
        <v>11.35</v>
      </c>
    </row>
    <row r="293" ht="15.75" customHeight="1">
      <c r="A293" s="32" t="s">
        <v>28</v>
      </c>
      <c r="B293" s="34">
        <f t="shared" si="5"/>
        <v>44853</v>
      </c>
      <c r="C293" s="35">
        <v>11.0</v>
      </c>
      <c r="D293" s="35" t="s">
        <v>32</v>
      </c>
      <c r="E293" s="37"/>
      <c r="F293" s="95">
        <v>0.0</v>
      </c>
      <c r="H293" s="96">
        <v>0.0</v>
      </c>
      <c r="J293" s="96">
        <v>0.0</v>
      </c>
      <c r="L293" s="99">
        <v>50.0</v>
      </c>
      <c r="N293" s="96">
        <v>50.0</v>
      </c>
      <c r="P293" s="96">
        <v>0.0</v>
      </c>
      <c r="R293" s="96">
        <v>0.0</v>
      </c>
      <c r="T293" s="96">
        <v>0.0</v>
      </c>
      <c r="V293" s="96">
        <v>0.0</v>
      </c>
      <c r="X293" s="96">
        <v>0.0</v>
      </c>
      <c r="Y293" s="27"/>
      <c r="Z293" s="95">
        <v>16.0</v>
      </c>
      <c r="AB293" s="96">
        <v>16.0</v>
      </c>
      <c r="AD293" s="96">
        <v>0.0</v>
      </c>
      <c r="AF293" s="24"/>
      <c r="AH293" s="24"/>
      <c r="AJ293" s="24"/>
      <c r="AK293" s="27"/>
      <c r="AL293" s="39">
        <f t="shared" si="1"/>
        <v>1498.2</v>
      </c>
      <c r="AM293" s="35">
        <f t="shared" si="2"/>
        <v>132</v>
      </c>
      <c r="AN293" s="35">
        <v>0.0</v>
      </c>
      <c r="AO293" s="35">
        <f t="shared" si="3"/>
        <v>132</v>
      </c>
      <c r="AP293" s="40">
        <f t="shared" si="4"/>
        <v>11.35</v>
      </c>
    </row>
    <row r="294" ht="15.75" customHeight="1">
      <c r="A294" s="32" t="s">
        <v>29</v>
      </c>
      <c r="B294" s="34">
        <f t="shared" si="5"/>
        <v>44854</v>
      </c>
      <c r="C294" s="35">
        <v>11.0</v>
      </c>
      <c r="D294" s="35" t="s">
        <v>32</v>
      </c>
      <c r="E294" s="37"/>
      <c r="F294" s="95">
        <v>0.0</v>
      </c>
      <c r="H294" s="96">
        <v>0.0</v>
      </c>
      <c r="J294" s="96">
        <v>0.0</v>
      </c>
      <c r="L294" s="99">
        <v>50.0</v>
      </c>
      <c r="N294" s="96">
        <v>50.0</v>
      </c>
      <c r="P294" s="96">
        <v>0.0</v>
      </c>
      <c r="R294" s="96">
        <v>0.0</v>
      </c>
      <c r="T294" s="96">
        <v>0.0</v>
      </c>
      <c r="V294" s="96">
        <v>0.0</v>
      </c>
      <c r="X294" s="96">
        <v>0.0</v>
      </c>
      <c r="Y294" s="27"/>
      <c r="Z294" s="95">
        <v>16.0</v>
      </c>
      <c r="AB294" s="96">
        <v>16.0</v>
      </c>
      <c r="AD294" s="96">
        <v>0.0</v>
      </c>
      <c r="AF294" s="24"/>
      <c r="AH294" s="24"/>
      <c r="AJ294" s="24"/>
      <c r="AK294" s="27"/>
      <c r="AL294" s="39">
        <f t="shared" si="1"/>
        <v>1498.2</v>
      </c>
      <c r="AM294" s="35">
        <f t="shared" si="2"/>
        <v>132</v>
      </c>
      <c r="AN294" s="35">
        <v>0.0</v>
      </c>
      <c r="AO294" s="35">
        <f t="shared" si="3"/>
        <v>132</v>
      </c>
      <c r="AP294" s="40">
        <f t="shared" si="4"/>
        <v>11.35</v>
      </c>
    </row>
    <row r="295" ht="15.75" customHeight="1">
      <c r="A295" s="32" t="s">
        <v>30</v>
      </c>
      <c r="B295" s="34">
        <f t="shared" si="5"/>
        <v>44855</v>
      </c>
      <c r="C295" s="35">
        <v>11.0</v>
      </c>
      <c r="D295" s="35" t="s">
        <v>32</v>
      </c>
      <c r="E295" s="37"/>
      <c r="F295" s="95">
        <v>0.0</v>
      </c>
      <c r="H295" s="96">
        <v>0.0</v>
      </c>
      <c r="J295" s="96">
        <v>0.0</v>
      </c>
      <c r="L295" s="99">
        <v>50.0</v>
      </c>
      <c r="N295" s="96">
        <v>50.0</v>
      </c>
      <c r="P295" s="96">
        <v>0.0</v>
      </c>
      <c r="R295" s="96">
        <v>0.0</v>
      </c>
      <c r="T295" s="96">
        <v>0.0</v>
      </c>
      <c r="V295" s="96">
        <v>0.0</v>
      </c>
      <c r="X295" s="96">
        <v>0.0</v>
      </c>
      <c r="Y295" s="27"/>
      <c r="Z295" s="95">
        <v>0.0</v>
      </c>
      <c r="AB295" s="96">
        <v>0.0</v>
      </c>
      <c r="AD295" s="96">
        <v>0.0</v>
      </c>
      <c r="AF295" s="24"/>
      <c r="AH295" s="24"/>
      <c r="AJ295" s="24"/>
      <c r="AK295" s="27"/>
      <c r="AL295" s="39">
        <f t="shared" si="1"/>
        <v>1135</v>
      </c>
      <c r="AM295" s="35">
        <f t="shared" si="2"/>
        <v>100</v>
      </c>
      <c r="AN295" s="35">
        <v>0.0</v>
      </c>
      <c r="AO295" s="35">
        <f t="shared" si="3"/>
        <v>100</v>
      </c>
      <c r="AP295" s="40">
        <f t="shared" si="4"/>
        <v>11.35</v>
      </c>
    </row>
    <row r="296" ht="15.75" customHeight="1">
      <c r="A296" s="48" t="s">
        <v>31</v>
      </c>
      <c r="B296" s="50">
        <f t="shared" si="5"/>
        <v>44856</v>
      </c>
      <c r="C296" s="51">
        <v>11.0</v>
      </c>
      <c r="D296" s="51" t="s">
        <v>32</v>
      </c>
      <c r="E296" s="53"/>
      <c r="F296" s="101">
        <v>0.0</v>
      </c>
      <c r="G296" s="56"/>
      <c r="H296" s="102">
        <v>0.0</v>
      </c>
      <c r="I296" s="56"/>
      <c r="J296" s="102">
        <v>0.0</v>
      </c>
      <c r="K296" s="56"/>
      <c r="L296" s="103">
        <v>0.0</v>
      </c>
      <c r="M296" s="56"/>
      <c r="N296" s="102">
        <v>0.0</v>
      </c>
      <c r="O296" s="56"/>
      <c r="P296" s="102">
        <v>0.0</v>
      </c>
      <c r="Q296" s="56"/>
      <c r="R296" s="102">
        <v>0.0</v>
      </c>
      <c r="S296" s="56"/>
      <c r="T296" s="102">
        <v>0.0</v>
      </c>
      <c r="U296" s="56"/>
      <c r="V296" s="102">
        <v>0.0</v>
      </c>
      <c r="W296" s="56"/>
      <c r="X296" s="102">
        <v>0.0</v>
      </c>
      <c r="Y296" s="60"/>
      <c r="Z296" s="101">
        <v>0.0</v>
      </c>
      <c r="AA296" s="56"/>
      <c r="AB296" s="102">
        <v>0.0</v>
      </c>
      <c r="AC296" s="56"/>
      <c r="AD296" s="102">
        <v>0.0</v>
      </c>
      <c r="AE296" s="56"/>
      <c r="AF296" s="57"/>
      <c r="AG296" s="56"/>
      <c r="AH296" s="57"/>
      <c r="AI296" s="56"/>
      <c r="AJ296" s="57"/>
      <c r="AK296" s="60"/>
      <c r="AL296" s="61">
        <f t="shared" si="1"/>
        <v>0</v>
      </c>
      <c r="AM296" s="51">
        <f t="shared" si="2"/>
        <v>0</v>
      </c>
      <c r="AN296" s="51">
        <v>0.0</v>
      </c>
      <c r="AO296" s="51">
        <f t="shared" si="3"/>
        <v>0</v>
      </c>
      <c r="AP296" s="63" t="str">
        <f t="shared" si="4"/>
        <v/>
      </c>
    </row>
    <row r="297" ht="15.75" customHeight="1">
      <c r="A297" s="18" t="s">
        <v>20</v>
      </c>
      <c r="B297" s="64">
        <f t="shared" si="5"/>
        <v>44857</v>
      </c>
      <c r="C297" s="20">
        <v>11.0</v>
      </c>
      <c r="D297" s="20" t="s">
        <v>33</v>
      </c>
      <c r="E297" s="22"/>
      <c r="F297" s="95">
        <v>0.0</v>
      </c>
      <c r="H297" s="96">
        <v>0.0</v>
      </c>
      <c r="J297" s="96">
        <v>0.0</v>
      </c>
      <c r="L297" s="97">
        <v>50.0</v>
      </c>
      <c r="M297" s="47"/>
      <c r="N297" s="98">
        <v>50.0</v>
      </c>
      <c r="O297" s="47"/>
      <c r="P297" s="98">
        <v>0.0</v>
      </c>
      <c r="Q297" s="47"/>
      <c r="R297" s="98">
        <v>0.0</v>
      </c>
      <c r="S297" s="47"/>
      <c r="T297" s="98">
        <v>1.0</v>
      </c>
      <c r="U297" s="47"/>
      <c r="V297" s="98">
        <v>1.0</v>
      </c>
      <c r="W297" s="47"/>
      <c r="X297" s="98">
        <v>0.0</v>
      </c>
      <c r="Y297" s="55"/>
      <c r="Z297" s="95">
        <v>16.0</v>
      </c>
      <c r="AB297" s="96">
        <v>16.0</v>
      </c>
      <c r="AD297" s="96">
        <v>0.0</v>
      </c>
      <c r="AF297" s="24"/>
      <c r="AH297" s="24"/>
      <c r="AJ297" s="24"/>
      <c r="AK297" s="27"/>
      <c r="AL297" s="28">
        <f t="shared" si="1"/>
        <v>2198.2</v>
      </c>
      <c r="AM297" s="20">
        <f t="shared" si="2"/>
        <v>134</v>
      </c>
      <c r="AN297" s="20">
        <v>0.0</v>
      </c>
      <c r="AO297" s="20">
        <f t="shared" si="3"/>
        <v>134</v>
      </c>
      <c r="AP297" s="31">
        <f t="shared" si="4"/>
        <v>16.40447761</v>
      </c>
    </row>
    <row r="298" ht="15.75" customHeight="1">
      <c r="A298" s="32" t="s">
        <v>22</v>
      </c>
      <c r="B298" s="34">
        <f t="shared" si="5"/>
        <v>44858</v>
      </c>
      <c r="C298" s="35">
        <v>11.0</v>
      </c>
      <c r="D298" s="35" t="s">
        <v>33</v>
      </c>
      <c r="E298" s="37"/>
      <c r="F298" s="95">
        <v>0.0</v>
      </c>
      <c r="H298" s="96">
        <v>0.0</v>
      </c>
      <c r="J298" s="96">
        <v>0.0</v>
      </c>
      <c r="L298" s="99">
        <v>50.0</v>
      </c>
      <c r="N298" s="96">
        <v>50.0</v>
      </c>
      <c r="P298" s="96">
        <v>0.0</v>
      </c>
      <c r="R298" s="96">
        <v>0.0</v>
      </c>
      <c r="T298" s="96">
        <v>0.0</v>
      </c>
      <c r="V298" s="96">
        <v>0.0</v>
      </c>
      <c r="X298" s="96">
        <v>0.0</v>
      </c>
      <c r="Y298" s="27"/>
      <c r="Z298" s="95">
        <v>16.0</v>
      </c>
      <c r="AB298" s="96">
        <v>16.0</v>
      </c>
      <c r="AD298" s="96">
        <v>0.0</v>
      </c>
      <c r="AF298" s="24"/>
      <c r="AH298" s="24"/>
      <c r="AJ298" s="24"/>
      <c r="AK298" s="27"/>
      <c r="AL298" s="39">
        <f t="shared" si="1"/>
        <v>1498.2</v>
      </c>
      <c r="AM298" s="35">
        <f t="shared" si="2"/>
        <v>132</v>
      </c>
      <c r="AN298" s="35">
        <v>0.0</v>
      </c>
      <c r="AO298" s="35">
        <f t="shared" si="3"/>
        <v>132</v>
      </c>
      <c r="AP298" s="40">
        <f t="shared" si="4"/>
        <v>11.35</v>
      </c>
    </row>
    <row r="299" ht="15.75" customHeight="1">
      <c r="A299" s="32" t="s">
        <v>24</v>
      </c>
      <c r="B299" s="34">
        <f t="shared" si="5"/>
        <v>44859</v>
      </c>
      <c r="C299" s="35">
        <v>11.0</v>
      </c>
      <c r="D299" s="35" t="s">
        <v>33</v>
      </c>
      <c r="E299" s="37"/>
      <c r="F299" s="95">
        <v>0.0</v>
      </c>
      <c r="H299" s="96">
        <v>0.0</v>
      </c>
      <c r="J299" s="96">
        <v>0.0</v>
      </c>
      <c r="L299" s="99">
        <v>50.0</v>
      </c>
      <c r="N299" s="96">
        <v>50.0</v>
      </c>
      <c r="P299" s="96">
        <v>0.0</v>
      </c>
      <c r="R299" s="96">
        <v>0.0</v>
      </c>
      <c r="T299" s="96">
        <v>0.0</v>
      </c>
      <c r="V299" s="96">
        <v>0.0</v>
      </c>
      <c r="X299" s="96">
        <v>0.0</v>
      </c>
      <c r="Y299" s="27"/>
      <c r="Z299" s="95">
        <v>16.0</v>
      </c>
      <c r="AB299" s="96">
        <v>16.0</v>
      </c>
      <c r="AD299" s="96">
        <v>0.0</v>
      </c>
      <c r="AF299" s="24"/>
      <c r="AH299" s="24"/>
      <c r="AJ299" s="24"/>
      <c r="AK299" s="27"/>
      <c r="AL299" s="39">
        <f t="shared" si="1"/>
        <v>1498.2</v>
      </c>
      <c r="AM299" s="35">
        <f t="shared" si="2"/>
        <v>132</v>
      </c>
      <c r="AN299" s="35">
        <v>0.0</v>
      </c>
      <c r="AO299" s="35">
        <f t="shared" si="3"/>
        <v>132</v>
      </c>
      <c r="AP299" s="40">
        <f t="shared" si="4"/>
        <v>11.35</v>
      </c>
    </row>
    <row r="300" ht="15.75" customHeight="1">
      <c r="A300" s="32" t="s">
        <v>28</v>
      </c>
      <c r="B300" s="34">
        <f t="shared" si="5"/>
        <v>44860</v>
      </c>
      <c r="C300" s="35">
        <v>11.0</v>
      </c>
      <c r="D300" s="35" t="s">
        <v>33</v>
      </c>
      <c r="E300" s="37"/>
      <c r="F300" s="95">
        <v>0.0</v>
      </c>
      <c r="H300" s="96">
        <v>0.0</v>
      </c>
      <c r="J300" s="96">
        <v>0.0</v>
      </c>
      <c r="L300" s="99">
        <v>50.0</v>
      </c>
      <c r="N300" s="96">
        <v>50.0</v>
      </c>
      <c r="P300" s="96">
        <v>0.0</v>
      </c>
      <c r="R300" s="96">
        <v>0.0</v>
      </c>
      <c r="T300" s="96">
        <v>0.0</v>
      </c>
      <c r="V300" s="96">
        <v>0.0</v>
      </c>
      <c r="X300" s="96">
        <v>0.0</v>
      </c>
      <c r="Y300" s="27"/>
      <c r="Z300" s="95">
        <v>15.0</v>
      </c>
      <c r="AB300" s="96">
        <v>15.0</v>
      </c>
      <c r="AD300" s="96">
        <v>0.0</v>
      </c>
      <c r="AF300" s="24"/>
      <c r="AH300" s="24"/>
      <c r="AJ300" s="24"/>
      <c r="AK300" s="27"/>
      <c r="AL300" s="39">
        <f t="shared" si="1"/>
        <v>1475.5</v>
      </c>
      <c r="AM300" s="35">
        <f t="shared" si="2"/>
        <v>130</v>
      </c>
      <c r="AN300" s="35">
        <v>0.0</v>
      </c>
      <c r="AO300" s="35">
        <f t="shared" si="3"/>
        <v>130</v>
      </c>
      <c r="AP300" s="40">
        <f t="shared" si="4"/>
        <v>11.35</v>
      </c>
    </row>
    <row r="301" ht="15.75" customHeight="1">
      <c r="A301" s="32" t="s">
        <v>29</v>
      </c>
      <c r="B301" s="34">
        <f t="shared" si="5"/>
        <v>44861</v>
      </c>
      <c r="C301" s="35">
        <v>11.0</v>
      </c>
      <c r="D301" s="35" t="s">
        <v>33</v>
      </c>
      <c r="E301" s="37"/>
      <c r="F301" s="95">
        <v>0.0</v>
      </c>
      <c r="H301" s="96">
        <v>0.0</v>
      </c>
      <c r="J301" s="96">
        <v>0.0</v>
      </c>
      <c r="L301" s="99">
        <v>50.0</v>
      </c>
      <c r="N301" s="96">
        <v>50.0</v>
      </c>
      <c r="P301" s="96">
        <v>0.0</v>
      </c>
      <c r="R301" s="96">
        <v>0.0</v>
      </c>
      <c r="T301" s="96">
        <v>0.0</v>
      </c>
      <c r="V301" s="96">
        <v>0.0</v>
      </c>
      <c r="X301" s="96">
        <v>0.0</v>
      </c>
      <c r="Y301" s="27"/>
      <c r="Z301" s="95">
        <v>15.0</v>
      </c>
      <c r="AB301" s="96">
        <v>15.0</v>
      </c>
      <c r="AD301" s="96">
        <v>0.0</v>
      </c>
      <c r="AF301" s="24"/>
      <c r="AH301" s="24"/>
      <c r="AJ301" s="24"/>
      <c r="AK301" s="27"/>
      <c r="AL301" s="39">
        <f t="shared" si="1"/>
        <v>1475.5</v>
      </c>
      <c r="AM301" s="35">
        <f t="shared" si="2"/>
        <v>130</v>
      </c>
      <c r="AN301" s="35">
        <v>0.0</v>
      </c>
      <c r="AO301" s="35">
        <f t="shared" si="3"/>
        <v>130</v>
      </c>
      <c r="AP301" s="40">
        <f t="shared" si="4"/>
        <v>11.35</v>
      </c>
    </row>
    <row r="302" ht="15.75" customHeight="1">
      <c r="A302" s="32" t="s">
        <v>30</v>
      </c>
      <c r="B302" s="34">
        <f t="shared" si="5"/>
        <v>44862</v>
      </c>
      <c r="C302" s="35">
        <v>11.0</v>
      </c>
      <c r="D302" s="35" t="s">
        <v>33</v>
      </c>
      <c r="E302" s="37"/>
      <c r="F302" s="95">
        <v>0.0</v>
      </c>
      <c r="H302" s="96">
        <v>0.0</v>
      </c>
      <c r="J302" s="96">
        <v>0.0</v>
      </c>
      <c r="L302" s="99">
        <v>50.0</v>
      </c>
      <c r="N302" s="96">
        <v>50.0</v>
      </c>
      <c r="P302" s="96">
        <v>0.0</v>
      </c>
      <c r="R302" s="96">
        <v>0.0</v>
      </c>
      <c r="T302" s="96">
        <v>0.0</v>
      </c>
      <c r="V302" s="96">
        <v>0.0</v>
      </c>
      <c r="X302" s="96">
        <v>0.0</v>
      </c>
      <c r="Y302" s="27"/>
      <c r="Z302" s="95">
        <v>0.0</v>
      </c>
      <c r="AB302" s="96">
        <v>0.0</v>
      </c>
      <c r="AD302" s="96">
        <v>0.0</v>
      </c>
      <c r="AF302" s="24"/>
      <c r="AH302" s="24"/>
      <c r="AJ302" s="24"/>
      <c r="AK302" s="27"/>
      <c r="AL302" s="39">
        <f t="shared" si="1"/>
        <v>1135</v>
      </c>
      <c r="AM302" s="35">
        <f t="shared" si="2"/>
        <v>100</v>
      </c>
      <c r="AN302" s="35">
        <v>0.0</v>
      </c>
      <c r="AO302" s="35">
        <f t="shared" si="3"/>
        <v>100</v>
      </c>
      <c r="AP302" s="40">
        <f t="shared" si="4"/>
        <v>11.35</v>
      </c>
    </row>
    <row r="303" ht="15.75" customHeight="1">
      <c r="A303" s="48" t="s">
        <v>31</v>
      </c>
      <c r="B303" s="50">
        <f t="shared" si="5"/>
        <v>44863</v>
      </c>
      <c r="C303" s="51">
        <v>11.0</v>
      </c>
      <c r="D303" s="51" t="s">
        <v>33</v>
      </c>
      <c r="E303" s="53"/>
      <c r="F303" s="101">
        <v>0.0</v>
      </c>
      <c r="G303" s="56"/>
      <c r="H303" s="102">
        <v>0.0</v>
      </c>
      <c r="I303" s="56"/>
      <c r="J303" s="102">
        <v>0.0</v>
      </c>
      <c r="K303" s="56"/>
      <c r="L303" s="103">
        <v>0.0</v>
      </c>
      <c r="M303" s="56"/>
      <c r="N303" s="102">
        <v>0.0</v>
      </c>
      <c r="O303" s="56"/>
      <c r="P303" s="102">
        <v>0.0</v>
      </c>
      <c r="Q303" s="56"/>
      <c r="R303" s="102">
        <v>0.0</v>
      </c>
      <c r="S303" s="56"/>
      <c r="T303" s="102">
        <v>0.0</v>
      </c>
      <c r="U303" s="56"/>
      <c r="V303" s="102">
        <v>0.0</v>
      </c>
      <c r="W303" s="56"/>
      <c r="X303" s="102">
        <v>0.0</v>
      </c>
      <c r="Y303" s="60"/>
      <c r="Z303" s="101">
        <v>0.0</v>
      </c>
      <c r="AA303" s="56"/>
      <c r="AB303" s="102">
        <v>0.0</v>
      </c>
      <c r="AC303" s="56"/>
      <c r="AD303" s="102">
        <v>0.0</v>
      </c>
      <c r="AE303" s="56"/>
      <c r="AF303" s="57"/>
      <c r="AG303" s="56"/>
      <c r="AH303" s="57"/>
      <c r="AI303" s="56"/>
      <c r="AJ303" s="57"/>
      <c r="AK303" s="60"/>
      <c r="AL303" s="61">
        <f t="shared" si="1"/>
        <v>0</v>
      </c>
      <c r="AM303" s="51">
        <f t="shared" si="2"/>
        <v>0</v>
      </c>
      <c r="AN303" s="51">
        <v>0.0</v>
      </c>
      <c r="AO303" s="51">
        <f t="shared" si="3"/>
        <v>0</v>
      </c>
      <c r="AP303" s="63" t="str">
        <f t="shared" si="4"/>
        <v/>
      </c>
    </row>
    <row r="304" ht="15.75" customHeight="1">
      <c r="A304" s="18" t="s">
        <v>20</v>
      </c>
      <c r="B304" s="64">
        <f t="shared" si="5"/>
        <v>44864</v>
      </c>
      <c r="C304" s="20">
        <v>11.0</v>
      </c>
      <c r="D304" s="20" t="s">
        <v>34</v>
      </c>
      <c r="E304" s="22"/>
      <c r="F304" s="95">
        <v>0.0</v>
      </c>
      <c r="H304" s="96">
        <v>0.0</v>
      </c>
      <c r="J304" s="96">
        <v>0.0</v>
      </c>
      <c r="L304" s="97">
        <v>50.0</v>
      </c>
      <c r="M304" s="47"/>
      <c r="N304" s="98">
        <v>50.0</v>
      </c>
      <c r="O304" s="47"/>
      <c r="P304" s="98">
        <v>0.0</v>
      </c>
      <c r="Q304" s="47"/>
      <c r="R304" s="98">
        <v>0.0</v>
      </c>
      <c r="S304" s="47"/>
      <c r="T304" s="98">
        <v>1.0</v>
      </c>
      <c r="U304" s="47"/>
      <c r="V304" s="98">
        <v>1.0</v>
      </c>
      <c r="W304" s="47"/>
      <c r="X304" s="98">
        <v>0.0</v>
      </c>
      <c r="Y304" s="55"/>
      <c r="Z304" s="95">
        <v>14.0</v>
      </c>
      <c r="AB304" s="96">
        <v>14.0</v>
      </c>
      <c r="AD304" s="96">
        <v>0.0</v>
      </c>
      <c r="AF304" s="24"/>
      <c r="AH304" s="24"/>
      <c r="AJ304" s="24"/>
      <c r="AK304" s="27"/>
      <c r="AL304" s="28">
        <f t="shared" si="1"/>
        <v>2152.8</v>
      </c>
      <c r="AM304" s="20">
        <f t="shared" si="2"/>
        <v>130</v>
      </c>
      <c r="AN304" s="20">
        <v>0.0</v>
      </c>
      <c r="AO304" s="20">
        <f t="shared" si="3"/>
        <v>130</v>
      </c>
      <c r="AP304" s="31">
        <f t="shared" si="4"/>
        <v>16.56</v>
      </c>
    </row>
    <row r="305" ht="15.75" customHeight="1">
      <c r="A305" s="32" t="s">
        <v>22</v>
      </c>
      <c r="B305" s="34">
        <f t="shared" si="5"/>
        <v>44865</v>
      </c>
      <c r="C305" s="35">
        <v>11.0</v>
      </c>
      <c r="D305" s="35" t="s">
        <v>34</v>
      </c>
      <c r="E305" s="37"/>
      <c r="F305" s="95">
        <v>0.0</v>
      </c>
      <c r="H305" s="96">
        <v>0.0</v>
      </c>
      <c r="J305" s="96">
        <v>0.0</v>
      </c>
      <c r="L305" s="99">
        <v>50.0</v>
      </c>
      <c r="N305" s="96">
        <v>50.0</v>
      </c>
      <c r="P305" s="96">
        <v>0.0</v>
      </c>
      <c r="R305" s="96">
        <v>0.0</v>
      </c>
      <c r="T305" s="96">
        <v>0.0</v>
      </c>
      <c r="V305" s="96">
        <v>0.0</v>
      </c>
      <c r="X305" s="96">
        <v>0.0</v>
      </c>
      <c r="Y305" s="27"/>
      <c r="Z305" s="95">
        <v>14.0</v>
      </c>
      <c r="AB305" s="96">
        <v>14.0</v>
      </c>
      <c r="AD305" s="96">
        <v>0.0</v>
      </c>
      <c r="AF305" s="24"/>
      <c r="AH305" s="24"/>
      <c r="AJ305" s="24"/>
      <c r="AK305" s="27"/>
      <c r="AL305" s="39">
        <f t="shared" si="1"/>
        <v>1452.8</v>
      </c>
      <c r="AM305" s="35">
        <f t="shared" si="2"/>
        <v>128</v>
      </c>
      <c r="AN305" s="35">
        <v>0.0</v>
      </c>
      <c r="AO305" s="35">
        <f t="shared" si="3"/>
        <v>128</v>
      </c>
      <c r="AP305" s="40">
        <f t="shared" si="4"/>
        <v>11.35</v>
      </c>
    </row>
    <row r="306" ht="15.75" customHeight="1">
      <c r="A306" s="32" t="s">
        <v>24</v>
      </c>
      <c r="B306" s="34">
        <f t="shared" si="5"/>
        <v>44866</v>
      </c>
      <c r="C306" s="35">
        <v>11.0</v>
      </c>
      <c r="D306" s="35" t="s">
        <v>34</v>
      </c>
      <c r="E306" s="37"/>
      <c r="F306" s="95">
        <v>0.0</v>
      </c>
      <c r="H306" s="96">
        <v>0.0</v>
      </c>
      <c r="J306" s="96">
        <v>0.0</v>
      </c>
      <c r="L306" s="99">
        <v>50.0</v>
      </c>
      <c r="N306" s="96">
        <v>50.0</v>
      </c>
      <c r="P306" s="96">
        <v>0.0</v>
      </c>
      <c r="R306" s="96">
        <v>0.0</v>
      </c>
      <c r="T306" s="96">
        <v>0.0</v>
      </c>
      <c r="V306" s="96">
        <v>0.0</v>
      </c>
      <c r="X306" s="96">
        <v>0.0</v>
      </c>
      <c r="Y306" s="27"/>
      <c r="Z306" s="95">
        <v>14.0</v>
      </c>
      <c r="AB306" s="96">
        <v>14.0</v>
      </c>
      <c r="AD306" s="96">
        <v>0.0</v>
      </c>
      <c r="AF306" s="24"/>
      <c r="AH306" s="24"/>
      <c r="AJ306" s="24"/>
      <c r="AK306" s="27"/>
      <c r="AL306" s="39">
        <f t="shared" si="1"/>
        <v>1452.8</v>
      </c>
      <c r="AM306" s="35">
        <f t="shared" si="2"/>
        <v>128</v>
      </c>
      <c r="AN306" s="35">
        <v>0.0</v>
      </c>
      <c r="AO306" s="35">
        <f t="shared" si="3"/>
        <v>128</v>
      </c>
      <c r="AP306" s="40">
        <f t="shared" si="4"/>
        <v>11.35</v>
      </c>
    </row>
    <row r="307" ht="15.75" customHeight="1">
      <c r="A307" s="32" t="s">
        <v>28</v>
      </c>
      <c r="B307" s="34">
        <f t="shared" si="5"/>
        <v>44867</v>
      </c>
      <c r="C307" s="35">
        <v>11.0</v>
      </c>
      <c r="D307" s="35" t="s">
        <v>34</v>
      </c>
      <c r="E307" s="37"/>
      <c r="F307" s="95">
        <v>0.0</v>
      </c>
      <c r="H307" s="96">
        <v>0.0</v>
      </c>
      <c r="J307" s="96">
        <v>0.0</v>
      </c>
      <c r="L307" s="99">
        <v>50.0</v>
      </c>
      <c r="N307" s="96">
        <v>50.0</v>
      </c>
      <c r="P307" s="96">
        <v>0.0</v>
      </c>
      <c r="R307" s="96">
        <v>0.0</v>
      </c>
      <c r="T307" s="96">
        <v>0.0</v>
      </c>
      <c r="V307" s="96">
        <v>0.0</v>
      </c>
      <c r="X307" s="96">
        <v>0.0</v>
      </c>
      <c r="Y307" s="27"/>
      <c r="Z307" s="95">
        <v>14.0</v>
      </c>
      <c r="AB307" s="96">
        <v>14.0</v>
      </c>
      <c r="AD307" s="96">
        <v>0.0</v>
      </c>
      <c r="AF307" s="24"/>
      <c r="AH307" s="24"/>
      <c r="AJ307" s="24"/>
      <c r="AK307" s="27"/>
      <c r="AL307" s="39">
        <f t="shared" si="1"/>
        <v>1452.8</v>
      </c>
      <c r="AM307" s="35">
        <f t="shared" si="2"/>
        <v>128</v>
      </c>
      <c r="AN307" s="35">
        <v>0.0</v>
      </c>
      <c r="AO307" s="35">
        <f t="shared" si="3"/>
        <v>128</v>
      </c>
      <c r="AP307" s="40">
        <f t="shared" si="4"/>
        <v>11.35</v>
      </c>
    </row>
    <row r="308" ht="15.75" customHeight="1">
      <c r="A308" s="32" t="s">
        <v>29</v>
      </c>
      <c r="B308" s="34">
        <f t="shared" si="5"/>
        <v>44868</v>
      </c>
      <c r="C308" s="35">
        <v>11.0</v>
      </c>
      <c r="D308" s="35" t="s">
        <v>34</v>
      </c>
      <c r="E308" s="37"/>
      <c r="F308" s="95">
        <v>0.0</v>
      </c>
      <c r="H308" s="96">
        <v>0.0</v>
      </c>
      <c r="J308" s="96">
        <v>0.0</v>
      </c>
      <c r="L308" s="99">
        <v>50.0</v>
      </c>
      <c r="N308" s="96">
        <v>50.0</v>
      </c>
      <c r="P308" s="96">
        <v>0.0</v>
      </c>
      <c r="R308" s="96">
        <v>0.0</v>
      </c>
      <c r="T308" s="96">
        <v>0.0</v>
      </c>
      <c r="V308" s="96">
        <v>0.0</v>
      </c>
      <c r="X308" s="96">
        <v>0.0</v>
      </c>
      <c r="Y308" s="27"/>
      <c r="Z308" s="95">
        <v>14.0</v>
      </c>
      <c r="AB308" s="96">
        <v>14.0</v>
      </c>
      <c r="AD308" s="96">
        <v>0.0</v>
      </c>
      <c r="AF308" s="24"/>
      <c r="AH308" s="24"/>
      <c r="AJ308" s="24"/>
      <c r="AK308" s="27"/>
      <c r="AL308" s="39">
        <f t="shared" si="1"/>
        <v>1452.8</v>
      </c>
      <c r="AM308" s="35">
        <f t="shared" si="2"/>
        <v>128</v>
      </c>
      <c r="AN308" s="35">
        <v>0.0</v>
      </c>
      <c r="AO308" s="35">
        <f t="shared" si="3"/>
        <v>128</v>
      </c>
      <c r="AP308" s="40">
        <f t="shared" si="4"/>
        <v>11.35</v>
      </c>
    </row>
    <row r="309" ht="15.75" customHeight="1">
      <c r="A309" s="32" t="s">
        <v>30</v>
      </c>
      <c r="B309" s="34">
        <f t="shared" si="5"/>
        <v>44869</v>
      </c>
      <c r="C309" s="35">
        <v>11.0</v>
      </c>
      <c r="D309" s="35" t="s">
        <v>34</v>
      </c>
      <c r="E309" s="37"/>
      <c r="F309" s="95">
        <v>0.0</v>
      </c>
      <c r="H309" s="96">
        <v>0.0</v>
      </c>
      <c r="J309" s="96">
        <v>0.0</v>
      </c>
      <c r="L309" s="99">
        <v>0.0</v>
      </c>
      <c r="N309" s="96">
        <v>0.0</v>
      </c>
      <c r="P309" s="96">
        <v>0.0</v>
      </c>
      <c r="R309" s="96">
        <v>0.0</v>
      </c>
      <c r="T309" s="96">
        <v>0.0</v>
      </c>
      <c r="V309" s="96">
        <v>0.0</v>
      </c>
      <c r="X309" s="96">
        <v>0.0</v>
      </c>
      <c r="Y309" s="27"/>
      <c r="Z309" s="95">
        <v>0.0</v>
      </c>
      <c r="AB309" s="96">
        <v>0.0</v>
      </c>
      <c r="AD309" s="96">
        <v>0.0</v>
      </c>
      <c r="AF309" s="24"/>
      <c r="AH309" s="24"/>
      <c r="AJ309" s="24"/>
      <c r="AK309" s="27"/>
      <c r="AL309" s="39">
        <f t="shared" si="1"/>
        <v>0</v>
      </c>
      <c r="AM309" s="35">
        <f t="shared" si="2"/>
        <v>0</v>
      </c>
      <c r="AN309" s="35">
        <v>0.0</v>
      </c>
      <c r="AO309" s="35">
        <f t="shared" si="3"/>
        <v>0</v>
      </c>
      <c r="AP309" s="40" t="str">
        <f t="shared" si="4"/>
        <v/>
      </c>
    </row>
    <row r="310" ht="15.75" customHeight="1">
      <c r="A310" s="48" t="s">
        <v>31</v>
      </c>
      <c r="B310" s="50">
        <f t="shared" si="5"/>
        <v>44870</v>
      </c>
      <c r="C310" s="51">
        <v>11.0</v>
      </c>
      <c r="D310" s="51" t="s">
        <v>34</v>
      </c>
      <c r="E310" s="53"/>
      <c r="F310" s="101">
        <v>0.0</v>
      </c>
      <c r="G310" s="56"/>
      <c r="H310" s="102">
        <v>0.0</v>
      </c>
      <c r="I310" s="56"/>
      <c r="J310" s="102">
        <v>0.0</v>
      </c>
      <c r="K310" s="56"/>
      <c r="L310" s="103">
        <v>0.0</v>
      </c>
      <c r="M310" s="56"/>
      <c r="N310" s="102">
        <v>0.0</v>
      </c>
      <c r="O310" s="56"/>
      <c r="P310" s="102">
        <v>0.0</v>
      </c>
      <c r="Q310" s="56"/>
      <c r="R310" s="102">
        <v>0.0</v>
      </c>
      <c r="S310" s="56"/>
      <c r="T310" s="102">
        <v>0.0</v>
      </c>
      <c r="U310" s="56"/>
      <c r="V310" s="102">
        <v>0.0</v>
      </c>
      <c r="W310" s="56"/>
      <c r="X310" s="102">
        <v>0.0</v>
      </c>
      <c r="Y310" s="60"/>
      <c r="Z310" s="101">
        <v>0.0</v>
      </c>
      <c r="AA310" s="56"/>
      <c r="AB310" s="102">
        <v>0.0</v>
      </c>
      <c r="AC310" s="56"/>
      <c r="AD310" s="102">
        <v>0.0</v>
      </c>
      <c r="AE310" s="56"/>
      <c r="AF310" s="57"/>
      <c r="AG310" s="56"/>
      <c r="AH310" s="57"/>
      <c r="AI310" s="56"/>
      <c r="AJ310" s="57"/>
      <c r="AK310" s="60"/>
      <c r="AL310" s="61">
        <f t="shared" si="1"/>
        <v>0</v>
      </c>
      <c r="AM310" s="51">
        <f t="shared" si="2"/>
        <v>0</v>
      </c>
      <c r="AN310" s="51">
        <v>0.0</v>
      </c>
      <c r="AO310" s="51">
        <f t="shared" si="3"/>
        <v>0</v>
      </c>
      <c r="AP310" s="63" t="str">
        <f t="shared" si="4"/>
        <v/>
      </c>
    </row>
    <row r="311" ht="15.75" customHeight="1">
      <c r="A311" s="18" t="s">
        <v>20</v>
      </c>
      <c r="B311" s="64">
        <f t="shared" si="5"/>
        <v>44871</v>
      </c>
      <c r="C311" s="20">
        <v>12.0</v>
      </c>
      <c r="D311" s="20" t="s">
        <v>21</v>
      </c>
      <c r="E311" s="22"/>
      <c r="F311" s="95">
        <v>0.0</v>
      </c>
      <c r="H311" s="96">
        <v>0.0</v>
      </c>
      <c r="J311" s="96">
        <v>0.0</v>
      </c>
      <c r="L311" s="97">
        <v>40.0</v>
      </c>
      <c r="M311" s="47"/>
      <c r="N311" s="98">
        <v>40.0</v>
      </c>
      <c r="O311" s="47"/>
      <c r="P311" s="98">
        <v>0.0</v>
      </c>
      <c r="Q311" s="47"/>
      <c r="R311" s="98">
        <v>0.0</v>
      </c>
      <c r="S311" s="47"/>
      <c r="T311" s="98">
        <v>1.0</v>
      </c>
      <c r="U311" s="47"/>
      <c r="V311" s="98">
        <v>1.0</v>
      </c>
      <c r="W311" s="47"/>
      <c r="X311" s="98">
        <v>0.0</v>
      </c>
      <c r="Y311" s="55"/>
      <c r="Z311" s="95">
        <v>12.0</v>
      </c>
      <c r="AB311" s="96">
        <v>12.0</v>
      </c>
      <c r="AD311" s="96">
        <v>0.0</v>
      </c>
      <c r="AF311" s="24"/>
      <c r="AH311" s="24"/>
      <c r="AJ311" s="24"/>
      <c r="AK311" s="27"/>
      <c r="AL311" s="28">
        <f t="shared" si="1"/>
        <v>1880.4</v>
      </c>
      <c r="AM311" s="20">
        <f t="shared" si="2"/>
        <v>106</v>
      </c>
      <c r="AN311" s="20">
        <v>0.0</v>
      </c>
      <c r="AO311" s="20">
        <f t="shared" si="3"/>
        <v>106</v>
      </c>
      <c r="AP311" s="31">
        <f t="shared" si="4"/>
        <v>17.73962264</v>
      </c>
    </row>
    <row r="312" ht="15.75" customHeight="1">
      <c r="A312" s="32" t="s">
        <v>22</v>
      </c>
      <c r="B312" s="34">
        <f t="shared" si="5"/>
        <v>44872</v>
      </c>
      <c r="C312" s="35">
        <v>12.0</v>
      </c>
      <c r="D312" s="35" t="s">
        <v>21</v>
      </c>
      <c r="E312" s="37"/>
      <c r="F312" s="95">
        <v>0.0</v>
      </c>
      <c r="H312" s="96">
        <v>0.0</v>
      </c>
      <c r="J312" s="96">
        <v>0.0</v>
      </c>
      <c r="L312" s="99">
        <v>40.0</v>
      </c>
      <c r="N312" s="96">
        <v>40.0</v>
      </c>
      <c r="P312" s="96">
        <v>0.0</v>
      </c>
      <c r="R312" s="96">
        <v>0.0</v>
      </c>
      <c r="T312" s="96">
        <v>0.0</v>
      </c>
      <c r="V312" s="96">
        <v>0.0</v>
      </c>
      <c r="X312" s="96">
        <v>0.0</v>
      </c>
      <c r="Y312" s="27"/>
      <c r="Z312" s="95">
        <v>12.0</v>
      </c>
      <c r="AB312" s="96">
        <v>12.0</v>
      </c>
      <c r="AD312" s="96">
        <v>0.0</v>
      </c>
      <c r="AF312" s="24"/>
      <c r="AH312" s="24"/>
      <c r="AJ312" s="24"/>
      <c r="AK312" s="27"/>
      <c r="AL312" s="39">
        <f t="shared" si="1"/>
        <v>1180.4</v>
      </c>
      <c r="AM312" s="35">
        <f t="shared" si="2"/>
        <v>104</v>
      </c>
      <c r="AN312" s="35">
        <v>0.0</v>
      </c>
      <c r="AO312" s="35">
        <f t="shared" si="3"/>
        <v>104</v>
      </c>
      <c r="AP312" s="40">
        <f t="shared" si="4"/>
        <v>11.35</v>
      </c>
    </row>
    <row r="313" ht="15.75" customHeight="1">
      <c r="A313" s="32" t="s">
        <v>24</v>
      </c>
      <c r="B313" s="34">
        <f t="shared" si="5"/>
        <v>44873</v>
      </c>
      <c r="C313" s="35">
        <v>12.0</v>
      </c>
      <c r="D313" s="35" t="s">
        <v>21</v>
      </c>
      <c r="E313" s="37"/>
      <c r="F313" s="95">
        <v>0.0</v>
      </c>
      <c r="H313" s="96">
        <v>0.0</v>
      </c>
      <c r="J313" s="96">
        <v>0.0</v>
      </c>
      <c r="L313" s="99">
        <v>40.0</v>
      </c>
      <c r="N313" s="96">
        <v>40.0</v>
      </c>
      <c r="P313" s="96">
        <v>0.0</v>
      </c>
      <c r="R313" s="96">
        <v>0.0</v>
      </c>
      <c r="T313" s="96">
        <v>0.0</v>
      </c>
      <c r="V313" s="96">
        <v>0.0</v>
      </c>
      <c r="X313" s="96">
        <v>0.0</v>
      </c>
      <c r="Y313" s="27"/>
      <c r="Z313" s="95">
        <v>12.0</v>
      </c>
      <c r="AB313" s="96">
        <v>12.0</v>
      </c>
      <c r="AD313" s="96">
        <v>0.0</v>
      </c>
      <c r="AF313" s="24"/>
      <c r="AH313" s="24"/>
      <c r="AJ313" s="24"/>
      <c r="AK313" s="27"/>
      <c r="AL313" s="39">
        <f t="shared" si="1"/>
        <v>1180.4</v>
      </c>
      <c r="AM313" s="35">
        <f t="shared" si="2"/>
        <v>104</v>
      </c>
      <c r="AN313" s="35">
        <v>0.0</v>
      </c>
      <c r="AO313" s="35">
        <f t="shared" si="3"/>
        <v>104</v>
      </c>
      <c r="AP313" s="40">
        <f t="shared" si="4"/>
        <v>11.35</v>
      </c>
    </row>
    <row r="314" ht="15.75" customHeight="1">
      <c r="A314" s="32" t="s">
        <v>28</v>
      </c>
      <c r="B314" s="34">
        <f t="shared" si="5"/>
        <v>44874</v>
      </c>
      <c r="C314" s="35">
        <v>12.0</v>
      </c>
      <c r="D314" s="35" t="s">
        <v>21</v>
      </c>
      <c r="E314" s="37"/>
      <c r="F314" s="95">
        <v>0.0</v>
      </c>
      <c r="H314" s="96">
        <v>0.0</v>
      </c>
      <c r="J314" s="96">
        <v>0.0</v>
      </c>
      <c r="L314" s="99">
        <v>40.0</v>
      </c>
      <c r="N314" s="96">
        <v>40.0</v>
      </c>
      <c r="P314" s="96">
        <v>0.0</v>
      </c>
      <c r="R314" s="96">
        <v>0.0</v>
      </c>
      <c r="T314" s="96">
        <v>0.0</v>
      </c>
      <c r="V314" s="96">
        <v>0.0</v>
      </c>
      <c r="X314" s="96">
        <v>0.0</v>
      </c>
      <c r="Y314" s="27"/>
      <c r="Z314" s="95">
        <v>12.0</v>
      </c>
      <c r="AB314" s="96">
        <v>12.0</v>
      </c>
      <c r="AD314" s="96">
        <v>0.0</v>
      </c>
      <c r="AF314" s="24"/>
      <c r="AH314" s="24"/>
      <c r="AJ314" s="24"/>
      <c r="AK314" s="27"/>
      <c r="AL314" s="39">
        <f t="shared" si="1"/>
        <v>1180.4</v>
      </c>
      <c r="AM314" s="35">
        <f t="shared" si="2"/>
        <v>104</v>
      </c>
      <c r="AN314" s="35">
        <v>0.0</v>
      </c>
      <c r="AO314" s="35">
        <f t="shared" si="3"/>
        <v>104</v>
      </c>
      <c r="AP314" s="40">
        <f t="shared" si="4"/>
        <v>11.35</v>
      </c>
    </row>
    <row r="315" ht="15.75" customHeight="1">
      <c r="A315" s="32" t="s">
        <v>29</v>
      </c>
      <c r="B315" s="34">
        <f t="shared" si="5"/>
        <v>44875</v>
      </c>
      <c r="C315" s="35">
        <v>12.0</v>
      </c>
      <c r="D315" s="35" t="s">
        <v>21</v>
      </c>
      <c r="E315" s="37"/>
      <c r="F315" s="95">
        <v>0.0</v>
      </c>
      <c r="H315" s="96">
        <v>0.0</v>
      </c>
      <c r="J315" s="96">
        <v>0.0</v>
      </c>
      <c r="L315" s="99">
        <v>40.0</v>
      </c>
      <c r="N315" s="96">
        <v>40.0</v>
      </c>
      <c r="P315" s="96">
        <v>0.0</v>
      </c>
      <c r="R315" s="96">
        <v>0.0</v>
      </c>
      <c r="T315" s="96">
        <v>0.0</v>
      </c>
      <c r="V315" s="96">
        <v>0.0</v>
      </c>
      <c r="X315" s="96">
        <v>0.0</v>
      </c>
      <c r="Y315" s="27"/>
      <c r="Z315" s="95">
        <v>12.0</v>
      </c>
      <c r="AB315" s="96">
        <v>12.0</v>
      </c>
      <c r="AD315" s="96">
        <v>0.0</v>
      </c>
      <c r="AF315" s="24"/>
      <c r="AH315" s="24"/>
      <c r="AJ315" s="24"/>
      <c r="AK315" s="27"/>
      <c r="AL315" s="39">
        <f t="shared" si="1"/>
        <v>1180.4</v>
      </c>
      <c r="AM315" s="35">
        <f t="shared" si="2"/>
        <v>104</v>
      </c>
      <c r="AN315" s="35">
        <v>0.0</v>
      </c>
      <c r="AO315" s="35">
        <f t="shared" si="3"/>
        <v>104</v>
      </c>
      <c r="AP315" s="40">
        <f t="shared" si="4"/>
        <v>11.35</v>
      </c>
    </row>
    <row r="316" ht="15.75" customHeight="1">
      <c r="A316" s="32" t="s">
        <v>30</v>
      </c>
      <c r="B316" s="34">
        <f t="shared" si="5"/>
        <v>44876</v>
      </c>
      <c r="C316" s="35">
        <v>12.0</v>
      </c>
      <c r="D316" s="35" t="s">
        <v>21</v>
      </c>
      <c r="E316" s="37"/>
      <c r="F316" s="95">
        <v>0.0</v>
      </c>
      <c r="H316" s="96">
        <v>0.0</v>
      </c>
      <c r="J316" s="96">
        <v>0.0</v>
      </c>
      <c r="L316" s="99">
        <v>40.0</v>
      </c>
      <c r="N316" s="96">
        <v>40.0</v>
      </c>
      <c r="P316" s="96">
        <v>0.0</v>
      </c>
      <c r="R316" s="96">
        <v>30.0</v>
      </c>
      <c r="T316" s="96">
        <v>0.0</v>
      </c>
      <c r="V316" s="96">
        <v>0.0</v>
      </c>
      <c r="X316" s="96">
        <v>0.0</v>
      </c>
      <c r="Y316" s="27"/>
      <c r="Z316" s="95">
        <v>0.0</v>
      </c>
      <c r="AB316" s="96">
        <v>0.0</v>
      </c>
      <c r="AD316" s="96">
        <v>0.0</v>
      </c>
      <c r="AF316" s="24"/>
      <c r="AH316" s="24"/>
      <c r="AJ316" s="24"/>
      <c r="AK316" s="27"/>
      <c r="AL316" s="39">
        <f t="shared" si="1"/>
        <v>1043.3</v>
      </c>
      <c r="AM316" s="35">
        <f t="shared" si="2"/>
        <v>110</v>
      </c>
      <c r="AN316" s="35">
        <v>0.0</v>
      </c>
      <c r="AO316" s="35">
        <f t="shared" si="3"/>
        <v>110</v>
      </c>
      <c r="AP316" s="40">
        <f t="shared" si="4"/>
        <v>9.484545455</v>
      </c>
    </row>
    <row r="317" ht="15.75" customHeight="1">
      <c r="A317" s="48" t="s">
        <v>31</v>
      </c>
      <c r="B317" s="50">
        <f t="shared" si="5"/>
        <v>44877</v>
      </c>
      <c r="C317" s="51">
        <v>12.0</v>
      </c>
      <c r="D317" s="51" t="s">
        <v>21</v>
      </c>
      <c r="E317" s="53"/>
      <c r="F317" s="101">
        <v>0.0</v>
      </c>
      <c r="G317" s="56"/>
      <c r="H317" s="102">
        <v>0.0</v>
      </c>
      <c r="I317" s="56"/>
      <c r="J317" s="102">
        <v>0.0</v>
      </c>
      <c r="K317" s="56"/>
      <c r="L317" s="103">
        <v>0.0</v>
      </c>
      <c r="M317" s="56"/>
      <c r="N317" s="102">
        <v>0.0</v>
      </c>
      <c r="O317" s="56"/>
      <c r="P317" s="102">
        <v>0.0</v>
      </c>
      <c r="Q317" s="56"/>
      <c r="R317" s="102">
        <v>0.0</v>
      </c>
      <c r="S317" s="56"/>
      <c r="T317" s="102">
        <v>0.0</v>
      </c>
      <c r="U317" s="56"/>
      <c r="V317" s="102">
        <v>0.0</v>
      </c>
      <c r="W317" s="56"/>
      <c r="X317" s="102">
        <v>0.0</v>
      </c>
      <c r="Y317" s="60"/>
      <c r="Z317" s="101">
        <v>0.0</v>
      </c>
      <c r="AA317" s="56"/>
      <c r="AB317" s="102">
        <v>0.0</v>
      </c>
      <c r="AC317" s="56"/>
      <c r="AD317" s="102">
        <v>0.0</v>
      </c>
      <c r="AE317" s="56"/>
      <c r="AF317" s="57"/>
      <c r="AG317" s="56"/>
      <c r="AH317" s="57"/>
      <c r="AI317" s="56"/>
      <c r="AJ317" s="57"/>
      <c r="AK317" s="60"/>
      <c r="AL317" s="61">
        <f t="shared" si="1"/>
        <v>0</v>
      </c>
      <c r="AM317" s="51">
        <f t="shared" si="2"/>
        <v>0</v>
      </c>
      <c r="AN317" s="51">
        <v>0.0</v>
      </c>
      <c r="AO317" s="51">
        <f t="shared" si="3"/>
        <v>0</v>
      </c>
      <c r="AP317" s="63" t="str">
        <f t="shared" si="4"/>
        <v/>
      </c>
    </row>
    <row r="318" ht="15.75" customHeight="1">
      <c r="A318" s="18" t="s">
        <v>20</v>
      </c>
      <c r="B318" s="64">
        <f t="shared" si="5"/>
        <v>44878</v>
      </c>
      <c r="C318" s="20">
        <v>12.0</v>
      </c>
      <c r="D318" s="20" t="s">
        <v>32</v>
      </c>
      <c r="E318" s="22"/>
      <c r="F318" s="44">
        <v>0.0</v>
      </c>
      <c r="H318" s="45">
        <v>0.0</v>
      </c>
      <c r="J318" s="45">
        <v>0.0</v>
      </c>
      <c r="L318" s="46">
        <v>40.0</v>
      </c>
      <c r="M318" s="47"/>
      <c r="N318" s="49">
        <v>40.0</v>
      </c>
      <c r="O318" s="47"/>
      <c r="P318" s="49">
        <v>0.0</v>
      </c>
      <c r="Q318" s="47"/>
      <c r="R318" s="49">
        <v>0.0</v>
      </c>
      <c r="S318" s="47"/>
      <c r="T318" s="49">
        <v>1.0</v>
      </c>
      <c r="U318" s="47"/>
      <c r="V318" s="49">
        <v>1.0</v>
      </c>
      <c r="W318" s="47"/>
      <c r="X318" s="49">
        <v>0.0</v>
      </c>
      <c r="Y318" s="55"/>
      <c r="Z318" s="44">
        <v>12.0</v>
      </c>
      <c r="AB318" s="45">
        <v>12.0</v>
      </c>
      <c r="AD318" s="45">
        <v>0.0</v>
      </c>
      <c r="AF318" s="24"/>
      <c r="AH318" s="24"/>
      <c r="AJ318" s="24"/>
      <c r="AK318" s="27"/>
      <c r="AL318" s="28">
        <f t="shared" si="1"/>
        <v>1880.4</v>
      </c>
      <c r="AM318" s="20">
        <f t="shared" si="2"/>
        <v>106</v>
      </c>
      <c r="AN318" s="20">
        <v>0.0</v>
      </c>
      <c r="AO318" s="20">
        <f t="shared" si="3"/>
        <v>106</v>
      </c>
      <c r="AP318" s="31">
        <f t="shared" si="4"/>
        <v>17.73962264</v>
      </c>
    </row>
    <row r="319" ht="15.75" customHeight="1">
      <c r="A319" s="32" t="s">
        <v>22</v>
      </c>
      <c r="B319" s="34">
        <f t="shared" si="5"/>
        <v>44879</v>
      </c>
      <c r="C319" s="35">
        <v>12.0</v>
      </c>
      <c r="D319" s="35" t="s">
        <v>32</v>
      </c>
      <c r="E319" s="37"/>
      <c r="F319" s="44">
        <v>0.0</v>
      </c>
      <c r="H319" s="45">
        <v>0.0</v>
      </c>
      <c r="J319" s="45">
        <v>0.0</v>
      </c>
      <c r="L319" s="66">
        <v>40.0</v>
      </c>
      <c r="N319" s="45">
        <v>40.0</v>
      </c>
      <c r="P319" s="45">
        <v>0.0</v>
      </c>
      <c r="R319" s="45">
        <v>0.0</v>
      </c>
      <c r="T319" s="45">
        <v>0.0</v>
      </c>
      <c r="V319" s="45">
        <v>0.0</v>
      </c>
      <c r="X319" s="45">
        <v>0.0</v>
      </c>
      <c r="Y319" s="27"/>
      <c r="Z319" s="44">
        <v>12.0</v>
      </c>
      <c r="AB319" s="45">
        <v>12.0</v>
      </c>
      <c r="AD319" s="45">
        <v>0.0</v>
      </c>
      <c r="AF319" s="24"/>
      <c r="AH319" s="24"/>
      <c r="AJ319" s="24"/>
      <c r="AK319" s="27"/>
      <c r="AL319" s="39">
        <f t="shared" si="1"/>
        <v>1180.4</v>
      </c>
      <c r="AM319" s="35">
        <f t="shared" si="2"/>
        <v>104</v>
      </c>
      <c r="AN319" s="35">
        <v>0.0</v>
      </c>
      <c r="AO319" s="35">
        <f t="shared" si="3"/>
        <v>104</v>
      </c>
      <c r="AP319" s="40">
        <f t="shared" si="4"/>
        <v>11.35</v>
      </c>
    </row>
    <row r="320" ht="15.75" customHeight="1">
      <c r="A320" s="32" t="s">
        <v>24</v>
      </c>
      <c r="B320" s="34">
        <f t="shared" si="5"/>
        <v>44880</v>
      </c>
      <c r="C320" s="35">
        <v>12.0</v>
      </c>
      <c r="D320" s="35" t="s">
        <v>32</v>
      </c>
      <c r="E320" s="37"/>
      <c r="F320" s="44">
        <v>0.0</v>
      </c>
      <c r="H320" s="45">
        <v>0.0</v>
      </c>
      <c r="J320" s="45">
        <v>0.0</v>
      </c>
      <c r="L320" s="66">
        <v>40.0</v>
      </c>
      <c r="N320" s="45">
        <v>40.0</v>
      </c>
      <c r="P320" s="45">
        <v>0.0</v>
      </c>
      <c r="R320" s="45">
        <v>0.0</v>
      </c>
      <c r="T320" s="45">
        <v>0.0</v>
      </c>
      <c r="V320" s="45">
        <v>0.0</v>
      </c>
      <c r="X320" s="45">
        <v>0.0</v>
      </c>
      <c r="Y320" s="27"/>
      <c r="Z320" s="44">
        <v>12.0</v>
      </c>
      <c r="AB320" s="45">
        <v>12.0</v>
      </c>
      <c r="AD320" s="45">
        <v>0.0</v>
      </c>
      <c r="AF320" s="24"/>
      <c r="AH320" s="24"/>
      <c r="AJ320" s="24"/>
      <c r="AK320" s="27"/>
      <c r="AL320" s="39">
        <f t="shared" si="1"/>
        <v>1180.4</v>
      </c>
      <c r="AM320" s="35">
        <f t="shared" si="2"/>
        <v>104</v>
      </c>
      <c r="AN320" s="35">
        <v>0.0</v>
      </c>
      <c r="AO320" s="35">
        <f t="shared" si="3"/>
        <v>104</v>
      </c>
      <c r="AP320" s="40">
        <f t="shared" si="4"/>
        <v>11.35</v>
      </c>
    </row>
    <row r="321" ht="15.75" customHeight="1">
      <c r="A321" s="32" t="s">
        <v>28</v>
      </c>
      <c r="B321" s="34">
        <f t="shared" si="5"/>
        <v>44881</v>
      </c>
      <c r="C321" s="35">
        <v>12.0</v>
      </c>
      <c r="D321" s="35" t="s">
        <v>32</v>
      </c>
      <c r="E321" s="37"/>
      <c r="F321" s="44">
        <v>0.0</v>
      </c>
      <c r="H321" s="45">
        <v>0.0</v>
      </c>
      <c r="J321" s="45">
        <v>0.0</v>
      </c>
      <c r="L321" s="66">
        <v>40.0</v>
      </c>
      <c r="N321" s="45">
        <v>40.0</v>
      </c>
      <c r="P321" s="45">
        <v>0.0</v>
      </c>
      <c r="R321" s="45">
        <v>0.0</v>
      </c>
      <c r="T321" s="45">
        <v>0.0</v>
      </c>
      <c r="V321" s="45">
        <v>0.0</v>
      </c>
      <c r="X321" s="45">
        <v>0.0</v>
      </c>
      <c r="Y321" s="27"/>
      <c r="Z321" s="44">
        <v>12.0</v>
      </c>
      <c r="AB321" s="45">
        <v>12.0</v>
      </c>
      <c r="AD321" s="45">
        <v>0.0</v>
      </c>
      <c r="AF321" s="24"/>
      <c r="AH321" s="24"/>
      <c r="AJ321" s="24"/>
      <c r="AK321" s="27"/>
      <c r="AL321" s="39">
        <f t="shared" si="1"/>
        <v>1180.4</v>
      </c>
      <c r="AM321" s="35">
        <f t="shared" si="2"/>
        <v>104</v>
      </c>
      <c r="AN321" s="35">
        <v>0.0</v>
      </c>
      <c r="AO321" s="35">
        <f t="shared" si="3"/>
        <v>104</v>
      </c>
      <c r="AP321" s="40">
        <f t="shared" si="4"/>
        <v>11.35</v>
      </c>
    </row>
    <row r="322" ht="15.75" customHeight="1">
      <c r="A322" s="32" t="s">
        <v>29</v>
      </c>
      <c r="B322" s="34">
        <f t="shared" si="5"/>
        <v>44882</v>
      </c>
      <c r="C322" s="35">
        <v>12.0</v>
      </c>
      <c r="D322" s="35" t="s">
        <v>32</v>
      </c>
      <c r="E322" s="37"/>
      <c r="F322" s="44">
        <v>0.0</v>
      </c>
      <c r="H322" s="45">
        <v>0.0</v>
      </c>
      <c r="J322" s="45">
        <v>0.0</v>
      </c>
      <c r="L322" s="66">
        <v>0.0</v>
      </c>
      <c r="N322" s="45">
        <v>0.0</v>
      </c>
      <c r="P322" s="45">
        <v>0.0</v>
      </c>
      <c r="R322" s="45">
        <v>0.0</v>
      </c>
      <c r="T322" s="45">
        <v>0.0</v>
      </c>
      <c r="V322" s="45">
        <v>0.0</v>
      </c>
      <c r="X322" s="45">
        <v>0.0</v>
      </c>
      <c r="Y322" s="27"/>
      <c r="Z322" s="44">
        <v>0.0</v>
      </c>
      <c r="AB322" s="45">
        <v>0.0</v>
      </c>
      <c r="AD322" s="45">
        <v>0.0</v>
      </c>
      <c r="AF322" s="24"/>
      <c r="AH322" s="24"/>
      <c r="AJ322" s="24"/>
      <c r="AK322" s="27"/>
      <c r="AL322" s="39">
        <f t="shared" si="1"/>
        <v>0</v>
      </c>
      <c r="AM322" s="35">
        <f t="shared" si="2"/>
        <v>0</v>
      </c>
      <c r="AN322" s="35">
        <v>0.0</v>
      </c>
      <c r="AO322" s="35">
        <f t="shared" si="3"/>
        <v>0</v>
      </c>
      <c r="AP322" s="40" t="str">
        <f t="shared" si="4"/>
        <v/>
      </c>
    </row>
    <row r="323" ht="15.75" customHeight="1">
      <c r="A323" s="32" t="s">
        <v>30</v>
      </c>
      <c r="B323" s="34">
        <f t="shared" si="5"/>
        <v>44883</v>
      </c>
      <c r="C323" s="35">
        <v>12.0</v>
      </c>
      <c r="D323" s="35" t="s">
        <v>32</v>
      </c>
      <c r="E323" s="37"/>
      <c r="F323" s="44">
        <v>0.0</v>
      </c>
      <c r="H323" s="45">
        <v>0.0</v>
      </c>
      <c r="J323" s="45">
        <v>0.0</v>
      </c>
      <c r="L323" s="66">
        <v>0.0</v>
      </c>
      <c r="N323" s="45">
        <v>0.0</v>
      </c>
      <c r="P323" s="45">
        <v>0.0</v>
      </c>
      <c r="R323" s="45">
        <v>0.0</v>
      </c>
      <c r="T323" s="45">
        <v>0.0</v>
      </c>
      <c r="V323" s="45">
        <v>0.0</v>
      </c>
      <c r="X323" s="45">
        <v>0.0</v>
      </c>
      <c r="Y323" s="27"/>
      <c r="Z323" s="44">
        <v>0.0</v>
      </c>
      <c r="AB323" s="45">
        <v>0.0</v>
      </c>
      <c r="AD323" s="45">
        <v>0.0</v>
      </c>
      <c r="AF323" s="24"/>
      <c r="AH323" s="24"/>
      <c r="AJ323" s="24"/>
      <c r="AK323" s="27"/>
      <c r="AL323" s="39">
        <f t="shared" si="1"/>
        <v>0</v>
      </c>
      <c r="AM323" s="35">
        <f t="shared" si="2"/>
        <v>0</v>
      </c>
      <c r="AN323" s="35">
        <v>0.0</v>
      </c>
      <c r="AO323" s="35">
        <f t="shared" si="3"/>
        <v>0</v>
      </c>
      <c r="AP323" s="40" t="str">
        <f t="shared" si="4"/>
        <v/>
      </c>
    </row>
    <row r="324" ht="15.75" customHeight="1">
      <c r="A324" s="48" t="s">
        <v>31</v>
      </c>
      <c r="B324" s="50">
        <f t="shared" si="5"/>
        <v>44884</v>
      </c>
      <c r="C324" s="51">
        <v>12.0</v>
      </c>
      <c r="D324" s="51" t="s">
        <v>32</v>
      </c>
      <c r="E324" s="100"/>
      <c r="F324" s="75">
        <v>0.0</v>
      </c>
      <c r="G324" s="56"/>
      <c r="H324" s="74">
        <v>0.0</v>
      </c>
      <c r="I324" s="56"/>
      <c r="J324" s="74">
        <v>0.0</v>
      </c>
      <c r="K324" s="56"/>
      <c r="L324" s="73">
        <v>0.0</v>
      </c>
      <c r="M324" s="56"/>
      <c r="N324" s="74">
        <v>0.0</v>
      </c>
      <c r="O324" s="56"/>
      <c r="P324" s="74">
        <v>0.0</v>
      </c>
      <c r="Q324" s="56"/>
      <c r="R324" s="74">
        <v>0.0</v>
      </c>
      <c r="S324" s="56"/>
      <c r="T324" s="74">
        <v>0.0</v>
      </c>
      <c r="U324" s="56"/>
      <c r="V324" s="74">
        <v>0.0</v>
      </c>
      <c r="W324" s="56"/>
      <c r="X324" s="74">
        <v>0.0</v>
      </c>
      <c r="Y324" s="60"/>
      <c r="Z324" s="75">
        <v>0.0</v>
      </c>
      <c r="AA324" s="56"/>
      <c r="AB324" s="74">
        <v>0.0</v>
      </c>
      <c r="AC324" s="56"/>
      <c r="AD324" s="74">
        <v>0.0</v>
      </c>
      <c r="AE324" s="56"/>
      <c r="AF324" s="57"/>
      <c r="AG324" s="56"/>
      <c r="AH324" s="57"/>
      <c r="AI324" s="56"/>
      <c r="AJ324" s="57"/>
      <c r="AK324" s="60"/>
      <c r="AL324" s="61">
        <f t="shared" si="1"/>
        <v>0</v>
      </c>
      <c r="AM324" s="51">
        <f t="shared" si="2"/>
        <v>0</v>
      </c>
      <c r="AN324" s="51">
        <v>0.0</v>
      </c>
      <c r="AO324" s="51">
        <f t="shared" si="3"/>
        <v>0</v>
      </c>
      <c r="AP324" s="63" t="str">
        <f t="shared" si="4"/>
        <v/>
      </c>
    </row>
    <row r="325" ht="15.75" customHeight="1">
      <c r="A325" s="18" t="s">
        <v>20</v>
      </c>
      <c r="B325" s="64">
        <f t="shared" si="5"/>
        <v>44885</v>
      </c>
      <c r="C325" s="20">
        <v>12.0</v>
      </c>
      <c r="D325" s="20" t="s">
        <v>33</v>
      </c>
      <c r="E325" s="22"/>
      <c r="F325" s="23"/>
      <c r="H325" s="24"/>
      <c r="J325" s="24"/>
      <c r="L325" s="148"/>
      <c r="M325" s="47"/>
      <c r="N325" s="149"/>
      <c r="O325" s="47"/>
      <c r="P325" s="149"/>
      <c r="Q325" s="47"/>
      <c r="R325" s="149"/>
      <c r="S325" s="47"/>
      <c r="T325" s="149"/>
      <c r="U325" s="47"/>
      <c r="V325" s="149"/>
      <c r="W325" s="47"/>
      <c r="X325" s="149"/>
      <c r="Y325" s="55"/>
      <c r="Z325" s="23"/>
      <c r="AB325" s="24"/>
      <c r="AD325" s="24"/>
      <c r="AF325" s="24"/>
      <c r="AH325" s="24"/>
      <c r="AJ325" s="24"/>
      <c r="AK325" s="27"/>
      <c r="AL325" s="28">
        <f t="shared" si="1"/>
        <v>0</v>
      </c>
      <c r="AM325" s="20">
        <f t="shared" si="2"/>
        <v>0</v>
      </c>
      <c r="AN325" s="20">
        <v>0.0</v>
      </c>
      <c r="AO325" s="20">
        <f t="shared" si="3"/>
        <v>0</v>
      </c>
      <c r="AP325" s="31" t="str">
        <f t="shared" si="4"/>
        <v/>
      </c>
    </row>
    <row r="326" ht="15.75" customHeight="1">
      <c r="A326" s="32" t="s">
        <v>22</v>
      </c>
      <c r="B326" s="34">
        <f t="shared" si="5"/>
        <v>44886</v>
      </c>
      <c r="C326" s="35">
        <v>12.0</v>
      </c>
      <c r="D326" s="35" t="s">
        <v>33</v>
      </c>
      <c r="E326" s="37"/>
      <c r="F326" s="23"/>
      <c r="H326" s="24"/>
      <c r="J326" s="24"/>
      <c r="L326" s="150"/>
      <c r="N326" s="30"/>
      <c r="P326" s="30"/>
      <c r="R326" s="30"/>
      <c r="T326" s="30"/>
      <c r="V326" s="30"/>
      <c r="X326" s="30"/>
      <c r="Y326" s="27"/>
      <c r="Z326" s="23"/>
      <c r="AB326" s="24"/>
      <c r="AD326" s="24"/>
      <c r="AF326" s="24"/>
      <c r="AH326" s="24"/>
      <c r="AJ326" s="24"/>
      <c r="AK326" s="27"/>
      <c r="AL326" s="39">
        <f t="shared" si="1"/>
        <v>0</v>
      </c>
      <c r="AM326" s="35">
        <f t="shared" si="2"/>
        <v>0</v>
      </c>
      <c r="AN326" s="35">
        <v>0.0</v>
      </c>
      <c r="AO326" s="35">
        <f t="shared" si="3"/>
        <v>0</v>
      </c>
      <c r="AP326" s="40" t="str">
        <f t="shared" si="4"/>
        <v/>
      </c>
    </row>
    <row r="327" ht="15.75" customHeight="1">
      <c r="A327" s="32" t="s">
        <v>24</v>
      </c>
      <c r="B327" s="34">
        <f t="shared" si="5"/>
        <v>44887</v>
      </c>
      <c r="C327" s="35">
        <v>12.0</v>
      </c>
      <c r="D327" s="35" t="s">
        <v>33</v>
      </c>
      <c r="E327" s="37"/>
      <c r="F327" s="23"/>
      <c r="H327" s="24"/>
      <c r="J327" s="24"/>
      <c r="L327" s="150"/>
      <c r="N327" s="30"/>
      <c r="P327" s="151"/>
      <c r="R327" s="30"/>
      <c r="T327" s="151"/>
      <c r="V327" s="151"/>
      <c r="X327" s="30"/>
      <c r="Y327" s="27"/>
      <c r="Z327" s="23"/>
      <c r="AB327" s="24"/>
      <c r="AD327" s="24"/>
      <c r="AF327" s="24"/>
      <c r="AH327" s="24"/>
      <c r="AJ327" s="24"/>
      <c r="AK327" s="27"/>
      <c r="AL327" s="39">
        <f t="shared" si="1"/>
        <v>0</v>
      </c>
      <c r="AM327" s="35">
        <f t="shared" si="2"/>
        <v>0</v>
      </c>
      <c r="AN327" s="35">
        <v>0.0</v>
      </c>
      <c r="AO327" s="35">
        <f t="shared" si="3"/>
        <v>0</v>
      </c>
      <c r="AP327" s="40" t="str">
        <f t="shared" si="4"/>
        <v/>
      </c>
    </row>
    <row r="328" ht="15.75" customHeight="1">
      <c r="A328" s="32" t="s">
        <v>28</v>
      </c>
      <c r="B328" s="34">
        <f t="shared" si="5"/>
        <v>44888</v>
      </c>
      <c r="C328" s="35">
        <v>12.0</v>
      </c>
      <c r="D328" s="35" t="s">
        <v>33</v>
      </c>
      <c r="E328" s="37"/>
      <c r="F328" s="23"/>
      <c r="H328" s="24"/>
      <c r="J328" s="24"/>
      <c r="L328" s="150"/>
      <c r="N328" s="30"/>
      <c r="P328" s="151"/>
      <c r="R328" s="30"/>
      <c r="T328" s="151"/>
      <c r="V328" s="151"/>
      <c r="X328" s="30"/>
      <c r="Y328" s="27"/>
      <c r="Z328" s="23"/>
      <c r="AB328" s="24"/>
      <c r="AD328" s="24"/>
      <c r="AF328" s="24"/>
      <c r="AH328" s="24"/>
      <c r="AJ328" s="24"/>
      <c r="AK328" s="27"/>
      <c r="AL328" s="39">
        <f t="shared" si="1"/>
        <v>0</v>
      </c>
      <c r="AM328" s="35">
        <f t="shared" si="2"/>
        <v>0</v>
      </c>
      <c r="AN328" s="35">
        <v>0.0</v>
      </c>
      <c r="AO328" s="35">
        <f t="shared" si="3"/>
        <v>0</v>
      </c>
      <c r="AP328" s="40" t="str">
        <f t="shared" si="4"/>
        <v/>
      </c>
    </row>
    <row r="329" ht="15.75" customHeight="1">
      <c r="A329" s="32" t="s">
        <v>29</v>
      </c>
      <c r="B329" s="34">
        <f t="shared" si="5"/>
        <v>44889</v>
      </c>
      <c r="C329" s="35">
        <v>12.0</v>
      </c>
      <c r="D329" s="35" t="s">
        <v>33</v>
      </c>
      <c r="E329" s="37"/>
      <c r="F329" s="23"/>
      <c r="H329" s="24"/>
      <c r="J329" s="24"/>
      <c r="L329" s="150"/>
      <c r="N329" s="30"/>
      <c r="P329" s="151"/>
      <c r="R329" s="30"/>
      <c r="T329" s="151"/>
      <c r="V329" s="151"/>
      <c r="X329" s="30"/>
      <c r="Y329" s="27"/>
      <c r="Z329" s="23"/>
      <c r="AB329" s="24"/>
      <c r="AD329" s="24"/>
      <c r="AF329" s="24"/>
      <c r="AH329" s="24"/>
      <c r="AJ329" s="24"/>
      <c r="AK329" s="27"/>
      <c r="AL329" s="39">
        <f t="shared" si="1"/>
        <v>0</v>
      </c>
      <c r="AM329" s="35">
        <f t="shared" si="2"/>
        <v>0</v>
      </c>
      <c r="AN329" s="35">
        <v>0.0</v>
      </c>
      <c r="AO329" s="35">
        <f t="shared" si="3"/>
        <v>0</v>
      </c>
      <c r="AP329" s="40" t="str">
        <f t="shared" si="4"/>
        <v/>
      </c>
    </row>
    <row r="330" ht="15.75" customHeight="1">
      <c r="A330" s="32" t="s">
        <v>30</v>
      </c>
      <c r="B330" s="34">
        <f t="shared" si="5"/>
        <v>44890</v>
      </c>
      <c r="C330" s="35">
        <v>12.0</v>
      </c>
      <c r="D330" s="35" t="s">
        <v>33</v>
      </c>
      <c r="E330" s="37"/>
      <c r="F330" s="23"/>
      <c r="H330" s="24"/>
      <c r="J330" s="24"/>
      <c r="L330" s="150"/>
      <c r="N330" s="30"/>
      <c r="P330" s="151"/>
      <c r="R330" s="30"/>
      <c r="T330" s="151"/>
      <c r="V330" s="151"/>
      <c r="X330" s="30"/>
      <c r="Y330" s="27"/>
      <c r="Z330" s="23"/>
      <c r="AB330" s="24"/>
      <c r="AD330" s="24"/>
      <c r="AF330" s="24"/>
      <c r="AH330" s="24"/>
      <c r="AJ330" s="24"/>
      <c r="AK330" s="27"/>
      <c r="AL330" s="39">
        <f t="shared" si="1"/>
        <v>0</v>
      </c>
      <c r="AM330" s="35">
        <f t="shared" si="2"/>
        <v>0</v>
      </c>
      <c r="AN330" s="35">
        <v>0.0</v>
      </c>
      <c r="AO330" s="35">
        <f t="shared" si="3"/>
        <v>0</v>
      </c>
      <c r="AP330" s="40" t="str">
        <f t="shared" si="4"/>
        <v/>
      </c>
    </row>
    <row r="331" ht="15.75" customHeight="1">
      <c r="A331" s="48" t="s">
        <v>31</v>
      </c>
      <c r="B331" s="50">
        <f t="shared" si="5"/>
        <v>44891</v>
      </c>
      <c r="C331" s="51">
        <v>12.0</v>
      </c>
      <c r="D331" s="51" t="s">
        <v>33</v>
      </c>
      <c r="E331" s="53"/>
      <c r="F331" s="54"/>
      <c r="G331" s="56"/>
      <c r="H331" s="57"/>
      <c r="I331" s="56"/>
      <c r="J331" s="57"/>
      <c r="K331" s="56"/>
      <c r="L331" s="152"/>
      <c r="M331" s="56"/>
      <c r="N331" s="70"/>
      <c r="O331" s="56"/>
      <c r="P331" s="153"/>
      <c r="Q331" s="56"/>
      <c r="R331" s="70"/>
      <c r="S331" s="56"/>
      <c r="T331" s="70"/>
      <c r="U331" s="56"/>
      <c r="V331" s="70"/>
      <c r="W331" s="56"/>
      <c r="X331" s="70"/>
      <c r="Y331" s="60"/>
      <c r="Z331" s="54"/>
      <c r="AA331" s="56"/>
      <c r="AB331" s="57"/>
      <c r="AC331" s="56"/>
      <c r="AD331" s="57"/>
      <c r="AE331" s="56"/>
      <c r="AF331" s="57"/>
      <c r="AG331" s="56"/>
      <c r="AH331" s="57"/>
      <c r="AI331" s="56"/>
      <c r="AJ331" s="57"/>
      <c r="AK331" s="60"/>
      <c r="AL331" s="61">
        <f t="shared" si="1"/>
        <v>0</v>
      </c>
      <c r="AM331" s="51">
        <f t="shared" si="2"/>
        <v>0</v>
      </c>
      <c r="AN331" s="51">
        <v>0.0</v>
      </c>
      <c r="AO331" s="51">
        <f t="shared" si="3"/>
        <v>0</v>
      </c>
      <c r="AP331" s="63" t="str">
        <f t="shared" si="4"/>
        <v/>
      </c>
    </row>
    <row r="332" ht="15.75" customHeight="1">
      <c r="A332" s="18" t="s">
        <v>20</v>
      </c>
      <c r="B332" s="64">
        <f t="shared" si="5"/>
        <v>44892</v>
      </c>
      <c r="C332" s="20">
        <v>12.0</v>
      </c>
      <c r="D332" s="20" t="s">
        <v>34</v>
      </c>
      <c r="E332" s="22"/>
      <c r="F332" s="23"/>
      <c r="H332" s="24"/>
      <c r="J332" s="24"/>
      <c r="L332" s="148"/>
      <c r="M332" s="47"/>
      <c r="N332" s="149"/>
      <c r="O332" s="47"/>
      <c r="P332" s="149"/>
      <c r="Q332" s="47"/>
      <c r="R332" s="149"/>
      <c r="S332" s="47"/>
      <c r="T332" s="149"/>
      <c r="U332" s="47"/>
      <c r="V332" s="149"/>
      <c r="W332" s="47"/>
      <c r="X332" s="149"/>
      <c r="Y332" s="55"/>
      <c r="Z332" s="23"/>
      <c r="AB332" s="24"/>
      <c r="AD332" s="24"/>
      <c r="AF332" s="24"/>
      <c r="AH332" s="24"/>
      <c r="AJ332" s="24"/>
      <c r="AK332" s="27"/>
      <c r="AL332" s="28">
        <f t="shared" si="1"/>
        <v>0</v>
      </c>
      <c r="AM332" s="20">
        <f t="shared" si="2"/>
        <v>0</v>
      </c>
      <c r="AN332" s="20">
        <v>0.0</v>
      </c>
      <c r="AO332" s="20">
        <f t="shared" si="3"/>
        <v>0</v>
      </c>
      <c r="AP332" s="31" t="str">
        <f t="shared" si="4"/>
        <v/>
      </c>
    </row>
    <row r="333" ht="15.75" customHeight="1">
      <c r="A333" s="32" t="s">
        <v>22</v>
      </c>
      <c r="B333" s="34">
        <f t="shared" si="5"/>
        <v>44893</v>
      </c>
      <c r="C333" s="35">
        <v>12.0</v>
      </c>
      <c r="D333" s="35" t="s">
        <v>34</v>
      </c>
      <c r="E333" s="37"/>
      <c r="F333" s="23"/>
      <c r="H333" s="24"/>
      <c r="J333" s="24"/>
      <c r="L333" s="150"/>
      <c r="N333" s="30"/>
      <c r="P333" s="30"/>
      <c r="R333" s="30"/>
      <c r="T333" s="30"/>
      <c r="V333" s="30"/>
      <c r="X333" s="30"/>
      <c r="Y333" s="27"/>
      <c r="Z333" s="23"/>
      <c r="AB333" s="24"/>
      <c r="AD333" s="24"/>
      <c r="AF333" s="24"/>
      <c r="AH333" s="24"/>
      <c r="AJ333" s="24"/>
      <c r="AK333" s="27"/>
      <c r="AL333" s="39">
        <f t="shared" si="1"/>
        <v>0</v>
      </c>
      <c r="AM333" s="35">
        <f t="shared" si="2"/>
        <v>0</v>
      </c>
      <c r="AN333" s="35">
        <v>0.0</v>
      </c>
      <c r="AO333" s="35">
        <f t="shared" si="3"/>
        <v>0</v>
      </c>
      <c r="AP333" s="40" t="str">
        <f t="shared" si="4"/>
        <v/>
      </c>
    </row>
    <row r="334" ht="15.75" customHeight="1">
      <c r="A334" s="32" t="s">
        <v>24</v>
      </c>
      <c r="B334" s="34">
        <f t="shared" si="5"/>
        <v>44894</v>
      </c>
      <c r="C334" s="35">
        <v>12.0</v>
      </c>
      <c r="D334" s="35" t="s">
        <v>34</v>
      </c>
      <c r="E334" s="37"/>
      <c r="F334" s="23"/>
      <c r="H334" s="24"/>
      <c r="J334" s="24"/>
      <c r="L334" s="150"/>
      <c r="N334" s="30"/>
      <c r="P334" s="151"/>
      <c r="R334" s="30"/>
      <c r="T334" s="151"/>
      <c r="V334" s="151"/>
      <c r="X334" s="30"/>
      <c r="Y334" s="27"/>
      <c r="Z334" s="23"/>
      <c r="AB334" s="24"/>
      <c r="AD334" s="24"/>
      <c r="AF334" s="24"/>
      <c r="AH334" s="24"/>
      <c r="AJ334" s="24"/>
      <c r="AK334" s="27"/>
      <c r="AL334" s="39">
        <f t="shared" si="1"/>
        <v>0</v>
      </c>
      <c r="AM334" s="35">
        <f t="shared" si="2"/>
        <v>0</v>
      </c>
      <c r="AN334" s="35">
        <v>0.0</v>
      </c>
      <c r="AO334" s="35">
        <f t="shared" si="3"/>
        <v>0</v>
      </c>
      <c r="AP334" s="40" t="str">
        <f t="shared" si="4"/>
        <v/>
      </c>
    </row>
    <row r="335" ht="15.75" customHeight="1">
      <c r="A335" s="32" t="s">
        <v>28</v>
      </c>
      <c r="B335" s="34">
        <f t="shared" si="5"/>
        <v>44895</v>
      </c>
      <c r="C335" s="35">
        <v>12.0</v>
      </c>
      <c r="D335" s="35" t="s">
        <v>34</v>
      </c>
      <c r="E335" s="37"/>
      <c r="F335" s="23"/>
      <c r="H335" s="24"/>
      <c r="J335" s="24"/>
      <c r="L335" s="150"/>
      <c r="N335" s="30"/>
      <c r="P335" s="151"/>
      <c r="R335" s="30"/>
      <c r="T335" s="151"/>
      <c r="V335" s="151"/>
      <c r="X335" s="30"/>
      <c r="Y335" s="27"/>
      <c r="Z335" s="23"/>
      <c r="AB335" s="24"/>
      <c r="AD335" s="24"/>
      <c r="AF335" s="24"/>
      <c r="AH335" s="24"/>
      <c r="AJ335" s="24"/>
      <c r="AK335" s="27"/>
      <c r="AL335" s="39">
        <f t="shared" si="1"/>
        <v>0</v>
      </c>
      <c r="AM335" s="35">
        <f t="shared" si="2"/>
        <v>0</v>
      </c>
      <c r="AN335" s="35">
        <v>0.0</v>
      </c>
      <c r="AO335" s="35">
        <f t="shared" si="3"/>
        <v>0</v>
      </c>
      <c r="AP335" s="40" t="str">
        <f t="shared" si="4"/>
        <v/>
      </c>
    </row>
    <row r="336" ht="15.75" customHeight="1">
      <c r="A336" s="32" t="s">
        <v>29</v>
      </c>
      <c r="B336" s="34">
        <f t="shared" si="5"/>
        <v>44896</v>
      </c>
      <c r="C336" s="35">
        <v>12.0</v>
      </c>
      <c r="D336" s="35" t="s">
        <v>34</v>
      </c>
      <c r="E336" s="37"/>
      <c r="F336" s="23"/>
      <c r="H336" s="24"/>
      <c r="J336" s="24"/>
      <c r="L336" s="150"/>
      <c r="N336" s="30"/>
      <c r="P336" s="151"/>
      <c r="R336" s="30"/>
      <c r="T336" s="151"/>
      <c r="V336" s="151"/>
      <c r="X336" s="30"/>
      <c r="Y336" s="27"/>
      <c r="Z336" s="23"/>
      <c r="AB336" s="24"/>
      <c r="AD336" s="24"/>
      <c r="AF336" s="24"/>
      <c r="AH336" s="24"/>
      <c r="AJ336" s="24"/>
      <c r="AK336" s="27"/>
      <c r="AL336" s="39">
        <f t="shared" si="1"/>
        <v>0</v>
      </c>
      <c r="AM336" s="35">
        <f t="shared" si="2"/>
        <v>0</v>
      </c>
      <c r="AN336" s="35">
        <v>0.0</v>
      </c>
      <c r="AO336" s="35">
        <f t="shared" si="3"/>
        <v>0</v>
      </c>
      <c r="AP336" s="40" t="str">
        <f t="shared" si="4"/>
        <v/>
      </c>
    </row>
    <row r="337" ht="15.75" customHeight="1">
      <c r="A337" s="32" t="s">
        <v>30</v>
      </c>
      <c r="B337" s="34">
        <f t="shared" si="5"/>
        <v>44897</v>
      </c>
      <c r="C337" s="35">
        <v>12.0</v>
      </c>
      <c r="D337" s="35" t="s">
        <v>34</v>
      </c>
      <c r="E337" s="37"/>
      <c r="F337" s="23"/>
      <c r="H337" s="24"/>
      <c r="J337" s="24"/>
      <c r="L337" s="150"/>
      <c r="N337" s="30"/>
      <c r="P337" s="151"/>
      <c r="R337" s="30"/>
      <c r="T337" s="151"/>
      <c r="V337" s="151"/>
      <c r="X337" s="30"/>
      <c r="Y337" s="27"/>
      <c r="Z337" s="23"/>
      <c r="AB337" s="24"/>
      <c r="AD337" s="24"/>
      <c r="AF337" s="24"/>
      <c r="AH337" s="24"/>
      <c r="AJ337" s="24"/>
      <c r="AK337" s="27"/>
      <c r="AL337" s="39">
        <f t="shared" si="1"/>
        <v>0</v>
      </c>
      <c r="AM337" s="35">
        <f t="shared" si="2"/>
        <v>0</v>
      </c>
      <c r="AN337" s="35">
        <v>0.0</v>
      </c>
      <c r="AO337" s="35">
        <f t="shared" si="3"/>
        <v>0</v>
      </c>
      <c r="AP337" s="40" t="str">
        <f t="shared" si="4"/>
        <v/>
      </c>
    </row>
    <row r="338" ht="15.75" customHeight="1">
      <c r="A338" s="48" t="s">
        <v>31</v>
      </c>
      <c r="B338" s="50">
        <f t="shared" si="5"/>
        <v>44898</v>
      </c>
      <c r="C338" s="51">
        <v>12.0</v>
      </c>
      <c r="D338" s="51" t="s">
        <v>34</v>
      </c>
      <c r="E338" s="53"/>
      <c r="F338" s="54"/>
      <c r="G338" s="56"/>
      <c r="H338" s="57"/>
      <c r="I338" s="56"/>
      <c r="J338" s="57"/>
      <c r="K338" s="56"/>
      <c r="L338" s="152"/>
      <c r="M338" s="56"/>
      <c r="N338" s="70"/>
      <c r="O338" s="56"/>
      <c r="P338" s="153"/>
      <c r="Q338" s="56"/>
      <c r="R338" s="70"/>
      <c r="S338" s="56"/>
      <c r="T338" s="70"/>
      <c r="U338" s="56"/>
      <c r="V338" s="70"/>
      <c r="W338" s="56"/>
      <c r="X338" s="70"/>
      <c r="Y338" s="60"/>
      <c r="Z338" s="54"/>
      <c r="AA338" s="56"/>
      <c r="AB338" s="57"/>
      <c r="AC338" s="56"/>
      <c r="AD338" s="57"/>
      <c r="AE338" s="56"/>
      <c r="AF338" s="57"/>
      <c r="AG338" s="56"/>
      <c r="AH338" s="57"/>
      <c r="AI338" s="56"/>
      <c r="AJ338" s="57"/>
      <c r="AK338" s="60"/>
      <c r="AL338" s="61">
        <f t="shared" si="1"/>
        <v>0</v>
      </c>
      <c r="AM338" s="51">
        <f t="shared" si="2"/>
        <v>0</v>
      </c>
      <c r="AN338" s="51">
        <v>0.0</v>
      </c>
      <c r="AO338" s="51">
        <f t="shared" si="3"/>
        <v>0</v>
      </c>
      <c r="AP338" s="63" t="str">
        <f t="shared" si="4"/>
        <v/>
      </c>
    </row>
    <row r="339" ht="15.75" customHeight="1">
      <c r="A339" s="18" t="s">
        <v>20</v>
      </c>
      <c r="B339" s="64">
        <f t="shared" si="5"/>
        <v>44899</v>
      </c>
      <c r="C339" s="20">
        <v>13.0</v>
      </c>
      <c r="D339" s="20" t="s">
        <v>21</v>
      </c>
      <c r="E339" s="22"/>
      <c r="F339" s="23"/>
      <c r="H339" s="24"/>
      <c r="J339" s="24"/>
      <c r="L339" s="148"/>
      <c r="M339" s="47"/>
      <c r="N339" s="149"/>
      <c r="O339" s="47"/>
      <c r="P339" s="149"/>
      <c r="Q339" s="47"/>
      <c r="R339" s="149"/>
      <c r="S339" s="47"/>
      <c r="T339" s="149"/>
      <c r="U339" s="47"/>
      <c r="V339" s="149"/>
      <c r="W339" s="47"/>
      <c r="X339" s="149"/>
      <c r="Y339" s="55"/>
      <c r="Z339" s="23"/>
      <c r="AB339" s="24"/>
      <c r="AD339" s="24"/>
      <c r="AF339" s="24"/>
      <c r="AH339" s="24"/>
      <c r="AJ339" s="24"/>
      <c r="AK339" s="27"/>
      <c r="AL339" s="28">
        <f t="shared" si="1"/>
        <v>0</v>
      </c>
      <c r="AM339" s="20">
        <f t="shared" si="2"/>
        <v>0</v>
      </c>
      <c r="AN339" s="20">
        <v>0.0</v>
      </c>
      <c r="AO339" s="20">
        <f t="shared" si="3"/>
        <v>0</v>
      </c>
      <c r="AP339" s="31" t="str">
        <f t="shared" si="4"/>
        <v/>
      </c>
    </row>
    <row r="340" ht="15.75" customHeight="1">
      <c r="A340" s="32" t="s">
        <v>22</v>
      </c>
      <c r="B340" s="34">
        <f t="shared" si="5"/>
        <v>44900</v>
      </c>
      <c r="C340" s="35">
        <v>13.0</v>
      </c>
      <c r="D340" s="35" t="s">
        <v>21</v>
      </c>
      <c r="E340" s="37"/>
      <c r="F340" s="23"/>
      <c r="H340" s="24"/>
      <c r="J340" s="24"/>
      <c r="L340" s="150"/>
      <c r="N340" s="30"/>
      <c r="P340" s="30"/>
      <c r="R340" s="30"/>
      <c r="T340" s="30"/>
      <c r="V340" s="30"/>
      <c r="X340" s="30"/>
      <c r="Y340" s="27"/>
      <c r="Z340" s="23"/>
      <c r="AB340" s="24"/>
      <c r="AD340" s="24"/>
      <c r="AF340" s="24"/>
      <c r="AH340" s="24"/>
      <c r="AJ340" s="24"/>
      <c r="AK340" s="27"/>
      <c r="AL340" s="39">
        <f t="shared" si="1"/>
        <v>0</v>
      </c>
      <c r="AM340" s="35">
        <f t="shared" si="2"/>
        <v>0</v>
      </c>
      <c r="AN340" s="35">
        <v>0.0</v>
      </c>
      <c r="AO340" s="35">
        <f t="shared" si="3"/>
        <v>0</v>
      </c>
      <c r="AP340" s="40" t="str">
        <f t="shared" si="4"/>
        <v/>
      </c>
    </row>
    <row r="341" ht="15.75" customHeight="1">
      <c r="A341" s="32" t="s">
        <v>24</v>
      </c>
      <c r="B341" s="34">
        <f t="shared" si="5"/>
        <v>44901</v>
      </c>
      <c r="C341" s="35">
        <v>13.0</v>
      </c>
      <c r="D341" s="35" t="s">
        <v>21</v>
      </c>
      <c r="E341" s="37"/>
      <c r="F341" s="23"/>
      <c r="H341" s="24"/>
      <c r="J341" s="24"/>
      <c r="L341" s="150"/>
      <c r="N341" s="30"/>
      <c r="P341" s="151"/>
      <c r="R341" s="30"/>
      <c r="T341" s="151"/>
      <c r="V341" s="151"/>
      <c r="X341" s="30"/>
      <c r="Y341" s="27"/>
      <c r="Z341" s="23"/>
      <c r="AB341" s="24"/>
      <c r="AD341" s="24"/>
      <c r="AF341" s="24"/>
      <c r="AH341" s="24"/>
      <c r="AJ341" s="24"/>
      <c r="AK341" s="27"/>
      <c r="AL341" s="39">
        <f t="shared" si="1"/>
        <v>0</v>
      </c>
      <c r="AM341" s="35">
        <f t="shared" si="2"/>
        <v>0</v>
      </c>
      <c r="AN341" s="35">
        <v>0.0</v>
      </c>
      <c r="AO341" s="35">
        <f t="shared" si="3"/>
        <v>0</v>
      </c>
      <c r="AP341" s="40" t="str">
        <f t="shared" si="4"/>
        <v/>
      </c>
    </row>
    <row r="342" ht="15.75" customHeight="1">
      <c r="A342" s="32" t="s">
        <v>28</v>
      </c>
      <c r="B342" s="34">
        <f t="shared" si="5"/>
        <v>44902</v>
      </c>
      <c r="C342" s="35">
        <v>13.0</v>
      </c>
      <c r="D342" s="35" t="s">
        <v>21</v>
      </c>
      <c r="E342" s="37"/>
      <c r="F342" s="23"/>
      <c r="H342" s="24"/>
      <c r="J342" s="24"/>
      <c r="L342" s="150"/>
      <c r="N342" s="30"/>
      <c r="P342" s="151"/>
      <c r="R342" s="30"/>
      <c r="T342" s="151"/>
      <c r="V342" s="151"/>
      <c r="X342" s="30"/>
      <c r="Y342" s="27"/>
      <c r="Z342" s="23"/>
      <c r="AB342" s="24"/>
      <c r="AD342" s="24"/>
      <c r="AF342" s="24"/>
      <c r="AH342" s="24"/>
      <c r="AJ342" s="24"/>
      <c r="AK342" s="27"/>
      <c r="AL342" s="39">
        <f t="shared" si="1"/>
        <v>0</v>
      </c>
      <c r="AM342" s="35">
        <f t="shared" si="2"/>
        <v>0</v>
      </c>
      <c r="AN342" s="35">
        <v>0.0</v>
      </c>
      <c r="AO342" s="35">
        <f t="shared" si="3"/>
        <v>0</v>
      </c>
      <c r="AP342" s="40" t="str">
        <f t="shared" si="4"/>
        <v/>
      </c>
    </row>
    <row r="343" ht="15.75" customHeight="1">
      <c r="A343" s="32" t="s">
        <v>29</v>
      </c>
      <c r="B343" s="34">
        <f t="shared" si="5"/>
        <v>44903</v>
      </c>
      <c r="C343" s="35">
        <v>13.0</v>
      </c>
      <c r="D343" s="35" t="s">
        <v>21</v>
      </c>
      <c r="E343" s="37"/>
      <c r="F343" s="23"/>
      <c r="H343" s="24"/>
      <c r="J343" s="24"/>
      <c r="L343" s="150"/>
      <c r="N343" s="30"/>
      <c r="P343" s="151"/>
      <c r="R343" s="30"/>
      <c r="T343" s="151"/>
      <c r="V343" s="151"/>
      <c r="X343" s="30"/>
      <c r="Y343" s="27"/>
      <c r="Z343" s="23"/>
      <c r="AB343" s="24"/>
      <c r="AD343" s="24"/>
      <c r="AF343" s="24"/>
      <c r="AH343" s="24"/>
      <c r="AJ343" s="24"/>
      <c r="AK343" s="27"/>
      <c r="AL343" s="39">
        <f t="shared" si="1"/>
        <v>0</v>
      </c>
      <c r="AM343" s="35">
        <f t="shared" si="2"/>
        <v>0</v>
      </c>
      <c r="AN343" s="35">
        <v>0.0</v>
      </c>
      <c r="AO343" s="35">
        <f t="shared" si="3"/>
        <v>0</v>
      </c>
      <c r="AP343" s="40" t="str">
        <f t="shared" si="4"/>
        <v/>
      </c>
    </row>
    <row r="344" ht="15.75" customHeight="1">
      <c r="A344" s="32" t="s">
        <v>30</v>
      </c>
      <c r="B344" s="34">
        <f t="shared" si="5"/>
        <v>44904</v>
      </c>
      <c r="C344" s="35">
        <v>13.0</v>
      </c>
      <c r="D344" s="35" t="s">
        <v>21</v>
      </c>
      <c r="E344" s="37"/>
      <c r="F344" s="23"/>
      <c r="H344" s="24"/>
      <c r="J344" s="24"/>
      <c r="L344" s="150"/>
      <c r="N344" s="30"/>
      <c r="P344" s="151"/>
      <c r="R344" s="30"/>
      <c r="T344" s="151"/>
      <c r="V344" s="151"/>
      <c r="X344" s="30"/>
      <c r="Y344" s="27"/>
      <c r="Z344" s="23"/>
      <c r="AB344" s="24"/>
      <c r="AD344" s="24"/>
      <c r="AF344" s="24"/>
      <c r="AH344" s="24"/>
      <c r="AJ344" s="24"/>
      <c r="AK344" s="27"/>
      <c r="AL344" s="39">
        <f t="shared" si="1"/>
        <v>0</v>
      </c>
      <c r="AM344" s="35">
        <f t="shared" si="2"/>
        <v>0</v>
      </c>
      <c r="AN344" s="35">
        <v>0.0</v>
      </c>
      <c r="AO344" s="35">
        <f t="shared" si="3"/>
        <v>0</v>
      </c>
      <c r="AP344" s="40" t="str">
        <f t="shared" si="4"/>
        <v/>
      </c>
    </row>
    <row r="345" ht="15.75" customHeight="1">
      <c r="A345" s="48" t="s">
        <v>31</v>
      </c>
      <c r="B345" s="50">
        <f t="shared" si="5"/>
        <v>44905</v>
      </c>
      <c r="C345" s="51">
        <v>13.0</v>
      </c>
      <c r="D345" s="51" t="s">
        <v>21</v>
      </c>
      <c r="E345" s="53"/>
      <c r="F345" s="54"/>
      <c r="G345" s="56"/>
      <c r="H345" s="57"/>
      <c r="I345" s="56"/>
      <c r="J345" s="57"/>
      <c r="K345" s="56"/>
      <c r="L345" s="152"/>
      <c r="M345" s="56"/>
      <c r="N345" s="70"/>
      <c r="O345" s="56"/>
      <c r="P345" s="153"/>
      <c r="Q345" s="56"/>
      <c r="R345" s="70"/>
      <c r="S345" s="56"/>
      <c r="T345" s="70"/>
      <c r="U345" s="56"/>
      <c r="V345" s="70"/>
      <c r="W345" s="56"/>
      <c r="X345" s="70"/>
      <c r="Y345" s="60"/>
      <c r="Z345" s="54"/>
      <c r="AA345" s="56"/>
      <c r="AB345" s="57"/>
      <c r="AC345" s="56"/>
      <c r="AD345" s="57"/>
      <c r="AE345" s="56"/>
      <c r="AF345" s="57"/>
      <c r="AG345" s="56"/>
      <c r="AH345" s="57"/>
      <c r="AI345" s="56"/>
      <c r="AJ345" s="57"/>
      <c r="AK345" s="60"/>
      <c r="AL345" s="61">
        <f t="shared" si="1"/>
        <v>0</v>
      </c>
      <c r="AM345" s="51">
        <f t="shared" si="2"/>
        <v>0</v>
      </c>
      <c r="AN345" s="51">
        <v>0.0</v>
      </c>
      <c r="AO345" s="51">
        <f t="shared" si="3"/>
        <v>0</v>
      </c>
      <c r="AP345" s="63" t="str">
        <f t="shared" si="4"/>
        <v/>
      </c>
    </row>
    <row r="346" ht="15.75" customHeight="1">
      <c r="A346" s="18" t="s">
        <v>20</v>
      </c>
      <c r="B346" s="64">
        <f t="shared" si="5"/>
        <v>44906</v>
      </c>
      <c r="C346" s="20">
        <v>13.0</v>
      </c>
      <c r="D346" s="20" t="s">
        <v>32</v>
      </c>
      <c r="E346" s="22"/>
      <c r="F346" s="23"/>
      <c r="H346" s="24"/>
      <c r="J346" s="24"/>
      <c r="L346" s="148"/>
      <c r="M346" s="47"/>
      <c r="N346" s="149"/>
      <c r="O346" s="47"/>
      <c r="P346" s="149"/>
      <c r="Q346" s="47"/>
      <c r="R346" s="149"/>
      <c r="S346" s="47"/>
      <c r="T346" s="149"/>
      <c r="U346" s="47"/>
      <c r="V346" s="149"/>
      <c r="W346" s="47"/>
      <c r="X346" s="149"/>
      <c r="Y346" s="55"/>
      <c r="Z346" s="23"/>
      <c r="AB346" s="24"/>
      <c r="AD346" s="24"/>
      <c r="AF346" s="24"/>
      <c r="AH346" s="24"/>
      <c r="AJ346" s="24"/>
      <c r="AK346" s="27"/>
      <c r="AL346" s="28">
        <f t="shared" si="1"/>
        <v>0</v>
      </c>
      <c r="AM346" s="20">
        <f t="shared" si="2"/>
        <v>0</v>
      </c>
      <c r="AN346" s="20">
        <v>0.0</v>
      </c>
      <c r="AO346" s="20">
        <f t="shared" si="3"/>
        <v>0</v>
      </c>
      <c r="AP346" s="31" t="str">
        <f t="shared" si="4"/>
        <v/>
      </c>
    </row>
    <row r="347" ht="15.75" customHeight="1">
      <c r="A347" s="32" t="s">
        <v>22</v>
      </c>
      <c r="B347" s="34">
        <f t="shared" si="5"/>
        <v>44907</v>
      </c>
      <c r="C347" s="35">
        <v>13.0</v>
      </c>
      <c r="D347" s="35" t="s">
        <v>32</v>
      </c>
      <c r="E347" s="37"/>
      <c r="F347" s="23"/>
      <c r="H347" s="24"/>
      <c r="J347" s="24"/>
      <c r="L347" s="150"/>
      <c r="N347" s="30"/>
      <c r="P347" s="30"/>
      <c r="R347" s="30"/>
      <c r="T347" s="30"/>
      <c r="V347" s="30"/>
      <c r="X347" s="30"/>
      <c r="Y347" s="27"/>
      <c r="Z347" s="23"/>
      <c r="AB347" s="24"/>
      <c r="AD347" s="24"/>
      <c r="AF347" s="24"/>
      <c r="AH347" s="24"/>
      <c r="AJ347" s="24"/>
      <c r="AK347" s="27"/>
      <c r="AL347" s="39">
        <f t="shared" si="1"/>
        <v>0</v>
      </c>
      <c r="AM347" s="35">
        <f t="shared" si="2"/>
        <v>0</v>
      </c>
      <c r="AN347" s="35">
        <v>0.0</v>
      </c>
      <c r="AO347" s="35">
        <f t="shared" si="3"/>
        <v>0</v>
      </c>
      <c r="AP347" s="40" t="str">
        <f t="shared" si="4"/>
        <v/>
      </c>
    </row>
    <row r="348" ht="15.75" customHeight="1">
      <c r="A348" s="32" t="s">
        <v>24</v>
      </c>
      <c r="B348" s="34">
        <f t="shared" si="5"/>
        <v>44908</v>
      </c>
      <c r="C348" s="35">
        <v>13.0</v>
      </c>
      <c r="D348" s="35" t="s">
        <v>32</v>
      </c>
      <c r="E348" s="37"/>
      <c r="F348" s="23"/>
      <c r="H348" s="24"/>
      <c r="J348" s="24"/>
      <c r="L348" s="150"/>
      <c r="N348" s="30"/>
      <c r="P348" s="151"/>
      <c r="R348" s="30"/>
      <c r="T348" s="151"/>
      <c r="V348" s="151"/>
      <c r="X348" s="30"/>
      <c r="Y348" s="27"/>
      <c r="Z348" s="23"/>
      <c r="AB348" s="24"/>
      <c r="AD348" s="24"/>
      <c r="AF348" s="24"/>
      <c r="AH348" s="24"/>
      <c r="AJ348" s="24"/>
      <c r="AK348" s="27"/>
      <c r="AL348" s="39">
        <f t="shared" si="1"/>
        <v>0</v>
      </c>
      <c r="AM348" s="35">
        <f t="shared" si="2"/>
        <v>0</v>
      </c>
      <c r="AN348" s="35">
        <v>0.0</v>
      </c>
      <c r="AO348" s="35">
        <f t="shared" si="3"/>
        <v>0</v>
      </c>
      <c r="AP348" s="40" t="str">
        <f t="shared" si="4"/>
        <v/>
      </c>
    </row>
    <row r="349" ht="15.75" customHeight="1">
      <c r="A349" s="32" t="s">
        <v>28</v>
      </c>
      <c r="B349" s="34">
        <f t="shared" si="5"/>
        <v>44909</v>
      </c>
      <c r="C349" s="35">
        <v>13.0</v>
      </c>
      <c r="D349" s="35" t="s">
        <v>32</v>
      </c>
      <c r="E349" s="37"/>
      <c r="F349" s="23"/>
      <c r="H349" s="24"/>
      <c r="J349" s="24"/>
      <c r="L349" s="150"/>
      <c r="N349" s="30"/>
      <c r="P349" s="151"/>
      <c r="R349" s="30"/>
      <c r="T349" s="151"/>
      <c r="V349" s="151"/>
      <c r="X349" s="30"/>
      <c r="Y349" s="27"/>
      <c r="Z349" s="23"/>
      <c r="AB349" s="24"/>
      <c r="AD349" s="24"/>
      <c r="AF349" s="24"/>
      <c r="AH349" s="24"/>
      <c r="AJ349" s="24"/>
      <c r="AK349" s="27"/>
      <c r="AL349" s="39">
        <f t="shared" si="1"/>
        <v>0</v>
      </c>
      <c r="AM349" s="35">
        <f t="shared" si="2"/>
        <v>0</v>
      </c>
      <c r="AN349" s="35">
        <v>0.0</v>
      </c>
      <c r="AO349" s="35">
        <f t="shared" si="3"/>
        <v>0</v>
      </c>
      <c r="AP349" s="40" t="str">
        <f t="shared" si="4"/>
        <v/>
      </c>
    </row>
    <row r="350" ht="15.75" customHeight="1">
      <c r="A350" s="32" t="s">
        <v>29</v>
      </c>
      <c r="B350" s="34">
        <f t="shared" si="5"/>
        <v>44910</v>
      </c>
      <c r="C350" s="35">
        <v>13.0</v>
      </c>
      <c r="D350" s="35" t="s">
        <v>32</v>
      </c>
      <c r="E350" s="37"/>
      <c r="F350" s="23"/>
      <c r="H350" s="24"/>
      <c r="J350" s="24"/>
      <c r="L350" s="150"/>
      <c r="N350" s="30"/>
      <c r="P350" s="151"/>
      <c r="R350" s="30"/>
      <c r="T350" s="151"/>
      <c r="V350" s="151"/>
      <c r="X350" s="30"/>
      <c r="Y350" s="27"/>
      <c r="Z350" s="23"/>
      <c r="AB350" s="24"/>
      <c r="AD350" s="24"/>
      <c r="AF350" s="24"/>
      <c r="AH350" s="24"/>
      <c r="AJ350" s="24"/>
      <c r="AK350" s="27"/>
      <c r="AL350" s="39">
        <f t="shared" si="1"/>
        <v>0</v>
      </c>
      <c r="AM350" s="35">
        <f t="shared" si="2"/>
        <v>0</v>
      </c>
      <c r="AN350" s="35">
        <v>0.0</v>
      </c>
      <c r="AO350" s="35">
        <f t="shared" si="3"/>
        <v>0</v>
      </c>
      <c r="AP350" s="40" t="str">
        <f t="shared" si="4"/>
        <v/>
      </c>
    </row>
    <row r="351" ht="15.75" customHeight="1">
      <c r="A351" s="32" t="s">
        <v>30</v>
      </c>
      <c r="B351" s="34">
        <f t="shared" si="5"/>
        <v>44911</v>
      </c>
      <c r="C351" s="35">
        <v>13.0</v>
      </c>
      <c r="D351" s="35" t="s">
        <v>32</v>
      </c>
      <c r="E351" s="37"/>
      <c r="F351" s="23"/>
      <c r="H351" s="24"/>
      <c r="J351" s="24"/>
      <c r="L351" s="150"/>
      <c r="N351" s="30"/>
      <c r="P351" s="151"/>
      <c r="R351" s="30"/>
      <c r="T351" s="151"/>
      <c r="V351" s="151"/>
      <c r="X351" s="30"/>
      <c r="Y351" s="27"/>
      <c r="Z351" s="23"/>
      <c r="AB351" s="24"/>
      <c r="AD351" s="24"/>
      <c r="AF351" s="24"/>
      <c r="AH351" s="24"/>
      <c r="AJ351" s="24"/>
      <c r="AK351" s="27"/>
      <c r="AL351" s="39">
        <f t="shared" si="1"/>
        <v>0</v>
      </c>
      <c r="AM351" s="35">
        <f t="shared" si="2"/>
        <v>0</v>
      </c>
      <c r="AN351" s="35">
        <v>0.0</v>
      </c>
      <c r="AO351" s="35">
        <f t="shared" si="3"/>
        <v>0</v>
      </c>
      <c r="AP351" s="40" t="str">
        <f t="shared" si="4"/>
        <v/>
      </c>
    </row>
    <row r="352" ht="15.75" customHeight="1">
      <c r="A352" s="48" t="s">
        <v>31</v>
      </c>
      <c r="B352" s="50">
        <f t="shared" si="5"/>
        <v>44912</v>
      </c>
      <c r="C352" s="51">
        <v>13.0</v>
      </c>
      <c r="D352" s="51" t="s">
        <v>32</v>
      </c>
      <c r="E352" s="53"/>
      <c r="F352" s="54"/>
      <c r="G352" s="56"/>
      <c r="H352" s="57"/>
      <c r="I352" s="56"/>
      <c r="J352" s="57"/>
      <c r="K352" s="56"/>
      <c r="L352" s="152"/>
      <c r="M352" s="56"/>
      <c r="N352" s="70"/>
      <c r="O352" s="56"/>
      <c r="P352" s="153"/>
      <c r="Q352" s="56"/>
      <c r="R352" s="70"/>
      <c r="S352" s="56"/>
      <c r="T352" s="70"/>
      <c r="U352" s="56"/>
      <c r="V352" s="70"/>
      <c r="W352" s="56"/>
      <c r="X352" s="70"/>
      <c r="Y352" s="60"/>
      <c r="Z352" s="54"/>
      <c r="AA352" s="56"/>
      <c r="AB352" s="57"/>
      <c r="AC352" s="56"/>
      <c r="AD352" s="57"/>
      <c r="AE352" s="56"/>
      <c r="AF352" s="57"/>
      <c r="AG352" s="56"/>
      <c r="AH352" s="57"/>
      <c r="AI352" s="56"/>
      <c r="AJ352" s="57"/>
      <c r="AK352" s="60"/>
      <c r="AL352" s="61">
        <f t="shared" si="1"/>
        <v>0</v>
      </c>
      <c r="AM352" s="51">
        <f t="shared" si="2"/>
        <v>0</v>
      </c>
      <c r="AN352" s="51">
        <v>0.0</v>
      </c>
      <c r="AO352" s="51">
        <f t="shared" si="3"/>
        <v>0</v>
      </c>
      <c r="AP352" s="63" t="str">
        <f t="shared" si="4"/>
        <v/>
      </c>
    </row>
    <row r="353" ht="15.75" customHeight="1">
      <c r="A353" s="18" t="s">
        <v>20</v>
      </c>
      <c r="B353" s="64">
        <f t="shared" si="5"/>
        <v>44913</v>
      </c>
      <c r="C353" s="20">
        <v>13.0</v>
      </c>
      <c r="D353" s="20" t="s">
        <v>33</v>
      </c>
      <c r="E353" s="22"/>
      <c r="F353" s="23"/>
      <c r="H353" s="24"/>
      <c r="J353" s="24"/>
      <c r="L353" s="148"/>
      <c r="M353" s="47"/>
      <c r="N353" s="149"/>
      <c r="O353" s="47"/>
      <c r="P353" s="149"/>
      <c r="Q353" s="47"/>
      <c r="R353" s="149"/>
      <c r="S353" s="47"/>
      <c r="T353" s="149"/>
      <c r="U353" s="47"/>
      <c r="V353" s="149"/>
      <c r="W353" s="47"/>
      <c r="X353" s="149"/>
      <c r="Y353" s="55"/>
      <c r="Z353" s="23"/>
      <c r="AB353" s="24"/>
      <c r="AD353" s="24"/>
      <c r="AF353" s="24"/>
      <c r="AH353" s="24"/>
      <c r="AJ353" s="24"/>
      <c r="AK353" s="27"/>
      <c r="AL353" s="28">
        <f t="shared" si="1"/>
        <v>0</v>
      </c>
      <c r="AM353" s="20">
        <f t="shared" si="2"/>
        <v>0</v>
      </c>
      <c r="AN353" s="20">
        <v>0.0</v>
      </c>
      <c r="AO353" s="20">
        <f t="shared" si="3"/>
        <v>0</v>
      </c>
      <c r="AP353" s="31" t="str">
        <f t="shared" si="4"/>
        <v/>
      </c>
    </row>
    <row r="354" ht="15.75" customHeight="1">
      <c r="A354" s="32" t="s">
        <v>22</v>
      </c>
      <c r="B354" s="34">
        <f t="shared" si="5"/>
        <v>44914</v>
      </c>
      <c r="C354" s="35">
        <v>13.0</v>
      </c>
      <c r="D354" s="35" t="s">
        <v>33</v>
      </c>
      <c r="E354" s="37"/>
      <c r="F354" s="23"/>
      <c r="H354" s="24"/>
      <c r="J354" s="24"/>
      <c r="L354" s="150"/>
      <c r="N354" s="30"/>
      <c r="P354" s="30"/>
      <c r="R354" s="30"/>
      <c r="T354" s="30"/>
      <c r="V354" s="30"/>
      <c r="X354" s="30"/>
      <c r="Y354" s="27"/>
      <c r="Z354" s="23"/>
      <c r="AB354" s="24"/>
      <c r="AD354" s="24"/>
      <c r="AF354" s="24"/>
      <c r="AH354" s="24"/>
      <c r="AJ354" s="24"/>
      <c r="AK354" s="27"/>
      <c r="AL354" s="39">
        <f t="shared" si="1"/>
        <v>0</v>
      </c>
      <c r="AM354" s="35">
        <f t="shared" si="2"/>
        <v>0</v>
      </c>
      <c r="AN354" s="35">
        <v>0.0</v>
      </c>
      <c r="AO354" s="35">
        <f t="shared" si="3"/>
        <v>0</v>
      </c>
      <c r="AP354" s="40" t="str">
        <f t="shared" si="4"/>
        <v/>
      </c>
    </row>
    <row r="355" ht="15.75" customHeight="1">
      <c r="A355" s="32" t="s">
        <v>24</v>
      </c>
      <c r="B355" s="34">
        <f t="shared" si="5"/>
        <v>44915</v>
      </c>
      <c r="C355" s="35">
        <v>13.0</v>
      </c>
      <c r="D355" s="35" t="s">
        <v>33</v>
      </c>
      <c r="E355" s="37"/>
      <c r="F355" s="23"/>
      <c r="H355" s="24"/>
      <c r="J355" s="24"/>
      <c r="L355" s="150"/>
      <c r="N355" s="30"/>
      <c r="P355" s="151"/>
      <c r="R355" s="30"/>
      <c r="T355" s="151"/>
      <c r="V355" s="151"/>
      <c r="X355" s="30"/>
      <c r="Y355" s="27"/>
      <c r="Z355" s="23"/>
      <c r="AB355" s="24"/>
      <c r="AD355" s="24"/>
      <c r="AF355" s="24"/>
      <c r="AH355" s="24"/>
      <c r="AJ355" s="24"/>
      <c r="AK355" s="27"/>
      <c r="AL355" s="39">
        <f t="shared" si="1"/>
        <v>0</v>
      </c>
      <c r="AM355" s="35">
        <f t="shared" si="2"/>
        <v>0</v>
      </c>
      <c r="AN355" s="35">
        <v>0.0</v>
      </c>
      <c r="AO355" s="35">
        <f t="shared" si="3"/>
        <v>0</v>
      </c>
      <c r="AP355" s="40" t="str">
        <f t="shared" si="4"/>
        <v/>
      </c>
    </row>
    <row r="356" ht="15.75" customHeight="1">
      <c r="A356" s="32" t="s">
        <v>28</v>
      </c>
      <c r="B356" s="34">
        <f t="shared" si="5"/>
        <v>44916</v>
      </c>
      <c r="C356" s="35">
        <v>13.0</v>
      </c>
      <c r="D356" s="35" t="s">
        <v>33</v>
      </c>
      <c r="E356" s="37"/>
      <c r="F356" s="23"/>
      <c r="H356" s="24"/>
      <c r="J356" s="24"/>
      <c r="L356" s="150"/>
      <c r="N356" s="30"/>
      <c r="P356" s="151"/>
      <c r="R356" s="30"/>
      <c r="T356" s="151"/>
      <c r="V356" s="151"/>
      <c r="X356" s="30"/>
      <c r="Y356" s="27"/>
      <c r="Z356" s="23"/>
      <c r="AB356" s="24"/>
      <c r="AD356" s="24"/>
      <c r="AF356" s="24"/>
      <c r="AH356" s="24"/>
      <c r="AJ356" s="24"/>
      <c r="AK356" s="27"/>
      <c r="AL356" s="39">
        <f t="shared" si="1"/>
        <v>0</v>
      </c>
      <c r="AM356" s="35">
        <f t="shared" si="2"/>
        <v>0</v>
      </c>
      <c r="AN356" s="35">
        <v>0.0</v>
      </c>
      <c r="AO356" s="35">
        <f t="shared" si="3"/>
        <v>0</v>
      </c>
      <c r="AP356" s="40" t="str">
        <f t="shared" si="4"/>
        <v/>
      </c>
    </row>
    <row r="357" ht="15.75" customHeight="1">
      <c r="A357" s="32" t="s">
        <v>29</v>
      </c>
      <c r="B357" s="34">
        <f t="shared" si="5"/>
        <v>44917</v>
      </c>
      <c r="C357" s="35">
        <v>13.0</v>
      </c>
      <c r="D357" s="35" t="s">
        <v>33</v>
      </c>
      <c r="E357" s="37"/>
      <c r="F357" s="23"/>
      <c r="H357" s="24"/>
      <c r="J357" s="24"/>
      <c r="L357" s="150"/>
      <c r="N357" s="30"/>
      <c r="P357" s="151"/>
      <c r="R357" s="30"/>
      <c r="T357" s="151"/>
      <c r="V357" s="151"/>
      <c r="X357" s="30"/>
      <c r="Y357" s="27"/>
      <c r="Z357" s="23"/>
      <c r="AB357" s="24"/>
      <c r="AD357" s="24"/>
      <c r="AF357" s="24"/>
      <c r="AH357" s="24"/>
      <c r="AJ357" s="24"/>
      <c r="AK357" s="27"/>
      <c r="AL357" s="39">
        <f t="shared" si="1"/>
        <v>0</v>
      </c>
      <c r="AM357" s="35">
        <f t="shared" si="2"/>
        <v>0</v>
      </c>
      <c r="AN357" s="35">
        <v>0.0</v>
      </c>
      <c r="AO357" s="35">
        <f t="shared" si="3"/>
        <v>0</v>
      </c>
      <c r="AP357" s="40" t="str">
        <f t="shared" si="4"/>
        <v/>
      </c>
    </row>
    <row r="358" ht="15.75" customHeight="1">
      <c r="A358" s="32" t="s">
        <v>30</v>
      </c>
      <c r="B358" s="34">
        <f t="shared" si="5"/>
        <v>44918</v>
      </c>
      <c r="C358" s="35">
        <v>13.0</v>
      </c>
      <c r="D358" s="35" t="s">
        <v>33</v>
      </c>
      <c r="E358" s="37"/>
      <c r="F358" s="23"/>
      <c r="H358" s="24"/>
      <c r="J358" s="24"/>
      <c r="L358" s="150"/>
      <c r="N358" s="30"/>
      <c r="P358" s="151"/>
      <c r="R358" s="30"/>
      <c r="T358" s="151"/>
      <c r="V358" s="151"/>
      <c r="X358" s="30"/>
      <c r="Y358" s="27"/>
      <c r="Z358" s="23"/>
      <c r="AB358" s="24"/>
      <c r="AD358" s="24"/>
      <c r="AF358" s="24"/>
      <c r="AH358" s="24"/>
      <c r="AJ358" s="24"/>
      <c r="AK358" s="27"/>
      <c r="AL358" s="39">
        <f t="shared" si="1"/>
        <v>0</v>
      </c>
      <c r="AM358" s="35">
        <f t="shared" si="2"/>
        <v>0</v>
      </c>
      <c r="AN358" s="35">
        <v>0.0</v>
      </c>
      <c r="AO358" s="35">
        <f t="shared" si="3"/>
        <v>0</v>
      </c>
      <c r="AP358" s="40" t="str">
        <f t="shared" si="4"/>
        <v/>
      </c>
    </row>
    <row r="359" ht="15.75" customHeight="1">
      <c r="A359" s="48" t="s">
        <v>31</v>
      </c>
      <c r="B359" s="50">
        <f t="shared" si="5"/>
        <v>44919</v>
      </c>
      <c r="C359" s="51">
        <v>13.0</v>
      </c>
      <c r="D359" s="51" t="s">
        <v>33</v>
      </c>
      <c r="E359" s="53"/>
      <c r="F359" s="54"/>
      <c r="G359" s="56"/>
      <c r="H359" s="57"/>
      <c r="I359" s="56"/>
      <c r="J359" s="57"/>
      <c r="K359" s="56"/>
      <c r="L359" s="152"/>
      <c r="M359" s="56"/>
      <c r="N359" s="70"/>
      <c r="O359" s="56"/>
      <c r="P359" s="153"/>
      <c r="Q359" s="56"/>
      <c r="R359" s="70"/>
      <c r="S359" s="56"/>
      <c r="T359" s="70"/>
      <c r="U359" s="56"/>
      <c r="V359" s="70"/>
      <c r="W359" s="56"/>
      <c r="X359" s="70"/>
      <c r="Y359" s="60"/>
      <c r="Z359" s="54"/>
      <c r="AA359" s="56"/>
      <c r="AB359" s="57"/>
      <c r="AC359" s="56"/>
      <c r="AD359" s="57"/>
      <c r="AE359" s="56"/>
      <c r="AF359" s="57"/>
      <c r="AG359" s="56"/>
      <c r="AH359" s="57"/>
      <c r="AI359" s="56"/>
      <c r="AJ359" s="57"/>
      <c r="AK359" s="60"/>
      <c r="AL359" s="61">
        <f t="shared" si="1"/>
        <v>0</v>
      </c>
      <c r="AM359" s="51">
        <f t="shared" si="2"/>
        <v>0</v>
      </c>
      <c r="AN359" s="51">
        <v>0.0</v>
      </c>
      <c r="AO359" s="51">
        <f t="shared" si="3"/>
        <v>0</v>
      </c>
      <c r="AP359" s="63" t="str">
        <f t="shared" si="4"/>
        <v/>
      </c>
    </row>
    <row r="360" ht="15.75" customHeight="1">
      <c r="A360" s="105"/>
      <c r="B360" s="106"/>
      <c r="C360" s="107"/>
      <c r="D360" s="107"/>
      <c r="E360" s="107"/>
      <c r="F360" s="107"/>
      <c r="G360" s="107"/>
      <c r="H360" s="107"/>
      <c r="I360" s="107"/>
      <c r="J360" s="107"/>
      <c r="K360" s="107"/>
      <c r="L360" s="154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</row>
    <row r="361" ht="15.75" customHeight="1">
      <c r="A361" s="105"/>
      <c r="B361" s="106"/>
      <c r="C361" s="107"/>
      <c r="D361" s="107"/>
      <c r="E361" s="107"/>
      <c r="F361" s="107"/>
      <c r="G361" s="107"/>
      <c r="H361" s="107"/>
      <c r="I361" s="107"/>
      <c r="J361" s="107"/>
      <c r="K361" s="107"/>
      <c r="L361" s="154"/>
      <c r="M361" s="138"/>
      <c r="N361" s="138"/>
      <c r="O361" s="138"/>
      <c r="P361" s="138"/>
      <c r="Q361" s="138"/>
      <c r="R361" s="138"/>
      <c r="S361" s="138"/>
      <c r="T361" s="138">
        <f>sum(T3:U359)*U2</f>
        <v>19800</v>
      </c>
      <c r="U361" s="138"/>
      <c r="V361" s="138">
        <f>sum(V3:W359)*W2</f>
        <v>11000</v>
      </c>
      <c r="W361" s="138"/>
      <c r="X361" s="138">
        <f>sum(X3:Y359)*Y2</f>
        <v>11648</v>
      </c>
      <c r="Y361" s="138"/>
      <c r="Z361" s="138"/>
      <c r="AA361" s="138"/>
      <c r="AB361" s="138"/>
      <c r="AC361" s="138"/>
      <c r="AD361" s="138"/>
      <c r="AE361" s="138"/>
      <c r="AF361" s="138"/>
      <c r="AG361" s="138"/>
      <c r="AH361" s="138"/>
      <c r="AI361" s="138"/>
      <c r="AJ361" s="138"/>
      <c r="AK361" s="138"/>
      <c r="AL361" s="155">
        <f t="shared" ref="AL361:AM361" si="6">SUM(AL3:AL359)</f>
        <v>923266.03</v>
      </c>
      <c r="AM361" s="156">
        <f t="shared" si="6"/>
        <v>76189</v>
      </c>
      <c r="AN361" s="139">
        <f>AL361-AL370</f>
        <v>922721.03</v>
      </c>
      <c r="AO361" s="138"/>
      <c r="AP361" s="107"/>
    </row>
    <row r="362" ht="15.75" customHeight="1">
      <c r="A362" s="105"/>
      <c r="B362" s="106"/>
      <c r="C362" s="107"/>
      <c r="D362" s="107"/>
      <c r="E362" s="107"/>
      <c r="F362" s="107"/>
      <c r="G362" s="107"/>
      <c r="H362" s="107"/>
      <c r="I362" s="107"/>
      <c r="J362" s="107"/>
      <c r="K362" s="107"/>
      <c r="L362" s="154"/>
      <c r="M362" s="138"/>
      <c r="N362" s="138"/>
      <c r="O362" s="138"/>
      <c r="P362" s="138"/>
      <c r="Q362" s="138"/>
      <c r="R362" s="138"/>
      <c r="S362" s="138"/>
      <c r="T362" s="141"/>
      <c r="U362" s="141"/>
      <c r="V362" s="141"/>
      <c r="W362" s="142"/>
      <c r="X362" s="142"/>
      <c r="Y362" s="142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  <c r="AL362" s="157"/>
      <c r="AM362" s="30"/>
      <c r="AN362" s="30"/>
      <c r="AO362" s="138"/>
      <c r="AP362" s="107"/>
    </row>
    <row r="363" ht="15.75" customHeight="1">
      <c r="A363" s="105"/>
      <c r="B363" s="106"/>
      <c r="C363" s="107"/>
      <c r="D363" s="107"/>
      <c r="E363" s="107"/>
      <c r="F363" s="107"/>
      <c r="G363" s="107"/>
      <c r="H363" s="107"/>
      <c r="I363" s="107"/>
      <c r="J363" s="107"/>
      <c r="K363" s="107"/>
      <c r="L363" s="154"/>
      <c r="M363" s="138"/>
      <c r="N363" s="138"/>
      <c r="O363" s="138"/>
      <c r="P363" s="138"/>
      <c r="Q363" s="138"/>
      <c r="R363" s="138"/>
      <c r="S363" s="138"/>
      <c r="T363" s="141"/>
      <c r="U363" s="141"/>
      <c r="V363" s="141"/>
      <c r="W363" s="143"/>
      <c r="X363" s="143"/>
      <c r="Y363" s="143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  <c r="AL363" s="158">
        <v>402016.01</v>
      </c>
      <c r="AM363" s="141"/>
      <c r="AN363" s="144"/>
      <c r="AO363" s="138"/>
      <c r="AP363" s="107"/>
    </row>
    <row r="364" ht="15.75" customHeight="1">
      <c r="A364" s="105"/>
      <c r="B364" s="106"/>
      <c r="C364" s="107"/>
      <c r="D364" s="107"/>
      <c r="E364" s="107"/>
      <c r="F364" s="107"/>
      <c r="G364" s="107"/>
      <c r="H364" s="107"/>
      <c r="I364" s="107"/>
      <c r="J364" s="107"/>
      <c r="K364" s="107"/>
      <c r="L364" s="154"/>
      <c r="M364" s="138"/>
      <c r="N364" s="138"/>
      <c r="O364" s="138"/>
      <c r="P364" s="138"/>
      <c r="Q364" s="138"/>
      <c r="R364" s="138"/>
      <c r="S364" s="138"/>
      <c r="T364" s="141"/>
      <c r="U364" s="141"/>
      <c r="V364" s="141"/>
      <c r="W364" s="143"/>
      <c r="X364" s="143"/>
      <c r="Y364" s="143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  <c r="AL364" s="157"/>
      <c r="AM364" s="141"/>
      <c r="AN364" s="144"/>
      <c r="AO364" s="138"/>
      <c r="AP364" s="107"/>
    </row>
    <row r="365" ht="15.75" customHeight="1">
      <c r="A365" s="105"/>
      <c r="B365" s="106"/>
      <c r="C365" s="107"/>
      <c r="D365" s="107"/>
      <c r="E365" s="107"/>
      <c r="F365" s="107"/>
      <c r="G365" s="107"/>
      <c r="H365" s="107"/>
      <c r="I365" s="107"/>
      <c r="J365" s="107"/>
      <c r="K365" s="107"/>
      <c r="L365" s="154"/>
      <c r="M365" s="138"/>
      <c r="N365" s="138"/>
      <c r="O365" s="138"/>
      <c r="P365" s="138"/>
      <c r="Q365" s="138"/>
      <c r="R365" s="138"/>
      <c r="S365" s="138"/>
      <c r="T365" s="141"/>
      <c r="U365" s="141"/>
      <c r="V365" s="141"/>
      <c r="W365" s="143"/>
      <c r="X365" s="143"/>
      <c r="Y365" s="143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  <c r="AL365" s="157">
        <f>sum(AL360:AL364)</f>
        <v>1325282.04</v>
      </c>
      <c r="AM365" s="159" t="s">
        <v>50</v>
      </c>
      <c r="AN365" s="144">
        <f>AL365-AL370</f>
        <v>1324737.04</v>
      </c>
      <c r="AP365" s="107"/>
    </row>
    <row r="366" ht="15.75" customHeight="1">
      <c r="A366" s="124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60"/>
      <c r="M366" s="107"/>
      <c r="N366" s="107"/>
      <c r="O366" s="107"/>
      <c r="P366" s="138"/>
      <c r="Q366" s="138"/>
      <c r="R366" s="138"/>
      <c r="S366" s="138"/>
      <c r="T366" s="141"/>
      <c r="U366" s="141"/>
      <c r="V366" s="141"/>
      <c r="W366" s="143"/>
      <c r="X366" s="143"/>
      <c r="Y366" s="143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  <c r="AL366" s="157">
        <f>AL365-(sum(T361:V361))</f>
        <v>1294482.04</v>
      </c>
      <c r="AM366" s="30" t="s">
        <v>51</v>
      </c>
      <c r="AN366" s="144"/>
      <c r="AO366" s="138"/>
      <c r="AP366" s="107"/>
    </row>
    <row r="367" ht="15.75" customHeight="1">
      <c r="A367" s="124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60"/>
      <c r="M367" s="107"/>
      <c r="N367" s="107"/>
      <c r="O367" s="107"/>
      <c r="P367" s="138"/>
      <c r="Q367" s="138"/>
      <c r="R367" s="138"/>
      <c r="S367" s="138"/>
      <c r="T367" s="141"/>
      <c r="U367" s="141"/>
      <c r="V367" s="141"/>
      <c r="W367" s="142"/>
      <c r="X367" s="142"/>
      <c r="Y367" s="142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  <c r="AL367" s="158">
        <v>1339894.0</v>
      </c>
      <c r="AM367" s="30" t="s">
        <v>52</v>
      </c>
      <c r="AN367" s="141"/>
      <c r="AO367" s="138"/>
      <c r="AP367" s="107"/>
    </row>
    <row r="368" ht="15.75" customHeight="1">
      <c r="A368" s="124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60"/>
      <c r="M368" s="107"/>
      <c r="N368" s="107"/>
      <c r="O368" s="107"/>
      <c r="P368" s="138"/>
      <c r="Q368" s="138"/>
      <c r="R368" s="138"/>
      <c r="S368" s="138"/>
      <c r="T368" s="141"/>
      <c r="U368" s="141"/>
      <c r="V368" s="141"/>
      <c r="W368" s="143"/>
      <c r="X368" s="143"/>
      <c r="Y368" s="143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  <c r="AL368" s="157"/>
      <c r="AM368" s="141"/>
      <c r="AN368" s="141"/>
      <c r="AO368" s="138"/>
      <c r="AP368" s="107"/>
    </row>
    <row r="369" ht="15.75" customHeight="1">
      <c r="A369" s="124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60"/>
      <c r="M369" s="107"/>
      <c r="N369" s="107"/>
      <c r="O369" s="107"/>
      <c r="P369" s="138"/>
      <c r="Q369" s="138"/>
      <c r="R369" s="138"/>
      <c r="S369" s="138"/>
      <c r="T369" s="141"/>
      <c r="U369" s="141"/>
      <c r="V369" s="141"/>
      <c r="W369" s="143"/>
      <c r="X369" s="143"/>
      <c r="Y369" s="143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  <c r="AL369" s="157"/>
      <c r="AM369" s="141"/>
      <c r="AN369" s="141"/>
      <c r="AO369" s="138"/>
      <c r="AP369" s="107"/>
    </row>
    <row r="370" ht="15.75" customHeight="1">
      <c r="A370" s="124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60"/>
      <c r="M370" s="107"/>
      <c r="N370" s="107"/>
      <c r="O370" s="107"/>
      <c r="P370" s="138"/>
      <c r="Q370" s="138"/>
      <c r="R370" s="138"/>
      <c r="S370" s="138"/>
      <c r="T370" s="141"/>
      <c r="U370" s="141"/>
      <c r="V370" s="141"/>
      <c r="W370" s="142"/>
      <c r="X370" s="142"/>
      <c r="Y370" s="142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  <c r="AL370" s="158">
        <v>545.0</v>
      </c>
      <c r="AM370" s="30" t="s">
        <v>53</v>
      </c>
      <c r="AN370" s="141"/>
      <c r="AO370" s="138"/>
      <c r="AP370" s="107"/>
    </row>
    <row r="371" ht="15.75" customHeight="1">
      <c r="A371" s="124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60"/>
      <c r="M371" s="107"/>
      <c r="N371" s="107"/>
      <c r="O371" s="107"/>
      <c r="P371" s="138"/>
      <c r="Q371" s="138"/>
      <c r="R371" s="138"/>
      <c r="S371" s="138"/>
      <c r="T371" s="141"/>
      <c r="U371" s="141"/>
      <c r="V371" s="141"/>
      <c r="W371" s="143"/>
      <c r="X371" s="143"/>
      <c r="Y371" s="143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141"/>
      <c r="AK371" s="141"/>
      <c r="AL371" s="158"/>
      <c r="AM371" s="30" t="s">
        <v>54</v>
      </c>
      <c r="AN371" s="141"/>
      <c r="AO371" s="138"/>
      <c r="AP371" s="107"/>
    </row>
    <row r="372" ht="15.75" customHeight="1">
      <c r="A372" s="124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60"/>
      <c r="M372" s="107"/>
      <c r="N372" s="107"/>
      <c r="O372" s="107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38"/>
      <c r="AH372" s="138"/>
      <c r="AI372" s="138"/>
      <c r="AJ372" s="138"/>
      <c r="AK372" s="138"/>
      <c r="AL372" s="155"/>
      <c r="AM372" s="138"/>
      <c r="AN372" s="138"/>
      <c r="AO372" s="138"/>
      <c r="AP372" s="107"/>
    </row>
    <row r="373" ht="15.75" customHeight="1">
      <c r="A373" s="124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60"/>
      <c r="M373" s="107"/>
      <c r="N373" s="107"/>
      <c r="O373" s="107"/>
      <c r="P373" s="138"/>
      <c r="Q373" s="138"/>
      <c r="R373" s="138"/>
      <c r="S373" s="138"/>
      <c r="T373" s="138"/>
      <c r="U373" s="138"/>
      <c r="V373" s="138"/>
      <c r="W373" s="143"/>
      <c r="X373" s="143"/>
      <c r="Y373" s="143"/>
      <c r="Z373" s="138"/>
      <c r="AA373" s="138"/>
      <c r="AB373" s="138"/>
      <c r="AC373" s="138"/>
      <c r="AD373" s="138"/>
      <c r="AE373" s="138"/>
      <c r="AF373" s="138"/>
      <c r="AG373" s="138"/>
      <c r="AH373" s="138"/>
      <c r="AI373" s="138"/>
      <c r="AJ373" s="138"/>
      <c r="AK373" s="138"/>
      <c r="AL373" s="158">
        <v>2850.32</v>
      </c>
      <c r="AM373" s="161" t="s">
        <v>55</v>
      </c>
      <c r="AN373" s="141"/>
      <c r="AO373" s="138"/>
      <c r="AP373" s="107"/>
    </row>
    <row r="374" ht="15.75" customHeight="1">
      <c r="A374" s="124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60"/>
      <c r="M374" s="107"/>
      <c r="N374" s="107"/>
      <c r="O374" s="107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38"/>
      <c r="AH374" s="138"/>
      <c r="AI374" s="138"/>
      <c r="AJ374" s="138"/>
      <c r="AK374" s="138"/>
      <c r="AL374" s="158"/>
      <c r="AM374" s="161" t="s">
        <v>56</v>
      </c>
      <c r="AN374" s="141"/>
      <c r="AO374" s="138"/>
      <c r="AP374" s="107"/>
    </row>
    <row r="375" ht="15.75" customHeight="1">
      <c r="A375" s="124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60"/>
      <c r="M375" s="107"/>
      <c r="N375" s="107"/>
      <c r="O375" s="107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  <c r="AE375" s="138"/>
      <c r="AF375" s="138"/>
      <c r="AG375" s="138"/>
      <c r="AH375" s="138"/>
      <c r="AI375" s="138"/>
      <c r="AJ375" s="138"/>
      <c r="AK375" s="138"/>
      <c r="AL375" s="158"/>
      <c r="AM375" s="147"/>
      <c r="AN375" s="141"/>
      <c r="AO375" s="138"/>
      <c r="AP375" s="107"/>
    </row>
    <row r="376" ht="15.75" customHeight="1">
      <c r="A376" s="124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60"/>
      <c r="M376" s="107"/>
      <c r="N376" s="107"/>
      <c r="O376" s="107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58">
        <f>AL366-AL370</f>
        <v>1293937.04</v>
      </c>
      <c r="AM376" s="30" t="s">
        <v>57</v>
      </c>
      <c r="AN376" s="141"/>
      <c r="AO376" s="138"/>
      <c r="AP376" s="107"/>
    </row>
    <row r="377" ht="15.75" customHeight="1">
      <c r="A377" s="124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60"/>
      <c r="M377" s="107"/>
      <c r="N377" s="107"/>
      <c r="O377" s="107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  <c r="AE377" s="138"/>
      <c r="AF377" s="138"/>
      <c r="AG377" s="138"/>
      <c r="AH377" s="138"/>
      <c r="AI377" s="138"/>
      <c r="AJ377" s="138"/>
      <c r="AK377" s="138"/>
      <c r="AL377" s="155"/>
      <c r="AM377" s="138"/>
      <c r="AN377" s="138"/>
      <c r="AO377" s="138"/>
      <c r="AP377" s="107"/>
    </row>
    <row r="378" ht="15.75" customHeight="1">
      <c r="A378" s="124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60"/>
      <c r="M378" s="107"/>
      <c r="N378" s="107"/>
      <c r="O378" s="107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38"/>
      <c r="AH378" s="138"/>
      <c r="AI378" s="138"/>
      <c r="AJ378" s="138"/>
      <c r="AK378" s="138"/>
      <c r="AL378" s="139">
        <f>AL367-AL376</f>
        <v>45956.96</v>
      </c>
      <c r="AM378" s="138"/>
      <c r="AN378" s="138"/>
      <c r="AO378" s="138"/>
      <c r="AP378" s="107"/>
    </row>
    <row r="379" ht="15.75" customHeight="1">
      <c r="A379" s="124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60"/>
      <c r="M379" s="107"/>
      <c r="N379" s="107"/>
      <c r="O379" s="107"/>
      <c r="AP379" s="107"/>
    </row>
    <row r="380" ht="15.75" customHeight="1">
      <c r="A380" s="124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60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10">
        <f>AL378*0.3</f>
        <v>13787.088</v>
      </c>
      <c r="AM380" s="107"/>
      <c r="AN380" s="107"/>
      <c r="AO380" s="107"/>
      <c r="AP380" s="107"/>
    </row>
    <row r="381" ht="15.75" customHeight="1">
      <c r="A381" s="124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60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</row>
    <row r="382" ht="15.75" customHeight="1">
      <c r="A382" s="124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60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</row>
    <row r="383" ht="15.75" customHeight="1">
      <c r="A383" s="124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60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</row>
    <row r="384" ht="15.75" customHeight="1">
      <c r="A384" s="124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60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</row>
    <row r="385" ht="15.75" customHeight="1">
      <c r="A385" s="124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60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</row>
    <row r="386" ht="15.75" customHeight="1">
      <c r="A386" s="124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60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</row>
    <row r="387" ht="15.75" customHeight="1">
      <c r="A387" s="124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60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</row>
    <row r="388" ht="15.75" customHeight="1">
      <c r="A388" s="124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60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</row>
    <row r="389" ht="15.75" customHeight="1">
      <c r="A389" s="124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60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</row>
    <row r="390" ht="15.75" customHeight="1">
      <c r="A390" s="124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60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7"/>
      <c r="AP390" s="107"/>
    </row>
    <row r="391" ht="15.75" customHeight="1">
      <c r="A391" s="124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60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</row>
    <row r="392" ht="15.75" customHeight="1">
      <c r="A392" s="124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60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</row>
    <row r="393" ht="15.75" customHeight="1">
      <c r="A393" s="124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60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</row>
    <row r="394" ht="15.75" customHeight="1">
      <c r="A394" s="124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60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</row>
    <row r="395" ht="15.75" customHeight="1">
      <c r="A395" s="124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60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</row>
    <row r="396" ht="15.75" customHeight="1">
      <c r="A396" s="124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60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</row>
    <row r="397" ht="15.75" customHeight="1">
      <c r="A397" s="124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60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</row>
    <row r="398" ht="15.75" customHeight="1">
      <c r="A398" s="124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60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</row>
    <row r="399" ht="15.75" customHeight="1">
      <c r="A399" s="124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60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</row>
    <row r="400" ht="15.75" customHeight="1">
      <c r="A400" s="124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60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</row>
    <row r="401" ht="15.75" customHeight="1">
      <c r="A401" s="124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60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  <c r="AO401" s="107"/>
      <c r="AP401" s="107"/>
    </row>
    <row r="402" ht="15.75" customHeight="1">
      <c r="A402" s="124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60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</row>
    <row r="403" ht="15.75" customHeight="1">
      <c r="A403" s="124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60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</row>
    <row r="404" ht="15.75" customHeight="1">
      <c r="A404" s="124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60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</row>
    <row r="405" ht="15.75" customHeight="1">
      <c r="A405" s="124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60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</row>
    <row r="406" ht="15.75" customHeight="1">
      <c r="A406" s="124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60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</row>
    <row r="407" ht="15.75" customHeight="1">
      <c r="A407" s="124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60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</row>
    <row r="408" ht="15.75" customHeight="1">
      <c r="A408" s="124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60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  <c r="AO408" s="107"/>
      <c r="AP408" s="107"/>
    </row>
    <row r="409" ht="15.75" customHeight="1">
      <c r="A409" s="124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60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</row>
    <row r="410" ht="15.75" customHeight="1">
      <c r="A410" s="124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60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</row>
    <row r="411" ht="15.75" customHeight="1">
      <c r="A411" s="124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60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</row>
    <row r="412" ht="15.75" customHeight="1">
      <c r="A412" s="124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60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</row>
    <row r="413" ht="15.75" customHeight="1">
      <c r="A413" s="124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60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7"/>
      <c r="AP413" s="107"/>
    </row>
    <row r="414" ht="15.75" customHeight="1">
      <c r="A414" s="124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60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7"/>
    </row>
    <row r="415" ht="15.75" customHeight="1">
      <c r="A415" s="124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60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7"/>
    </row>
    <row r="416" ht="15.75" customHeight="1">
      <c r="A416" s="124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60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  <c r="AO416" s="107"/>
      <c r="AP416" s="107"/>
    </row>
    <row r="417" ht="15.75" customHeight="1">
      <c r="A417" s="124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60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</row>
    <row r="418" ht="15.75" customHeight="1">
      <c r="A418" s="124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60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7"/>
    </row>
    <row r="419" ht="15.75" customHeight="1">
      <c r="A419" s="124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60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  <c r="AO419" s="107"/>
      <c r="AP419" s="107"/>
    </row>
    <row r="420" ht="15.75" customHeight="1">
      <c r="A420" s="124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60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</row>
    <row r="421" ht="15.75" customHeight="1">
      <c r="A421" s="124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60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  <c r="AO421" s="107"/>
      <c r="AP421" s="107"/>
    </row>
    <row r="422" ht="15.75" customHeight="1">
      <c r="A422" s="124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60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  <c r="AO422" s="107"/>
      <c r="AP422" s="107"/>
    </row>
    <row r="423" ht="15.75" customHeight="1">
      <c r="A423" s="124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60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7"/>
      <c r="AP423" s="107"/>
    </row>
    <row r="424" ht="15.75" customHeight="1">
      <c r="A424" s="124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60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</row>
    <row r="425" ht="15.75" customHeight="1">
      <c r="A425" s="124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60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  <c r="AO425" s="107"/>
      <c r="AP425" s="107"/>
    </row>
    <row r="426" ht="15.75" customHeight="1">
      <c r="A426" s="124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60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</row>
    <row r="427" ht="15.75" customHeight="1">
      <c r="A427" s="124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60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  <c r="AO427" s="107"/>
      <c r="AP427" s="107"/>
    </row>
    <row r="428" ht="15.75" customHeight="1">
      <c r="A428" s="124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60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7"/>
      <c r="AP428" s="107"/>
    </row>
    <row r="429" ht="15.75" customHeight="1">
      <c r="A429" s="124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60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  <c r="AO429" s="107"/>
      <c r="AP429" s="107"/>
    </row>
    <row r="430" ht="15.75" customHeight="1">
      <c r="A430" s="124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60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  <c r="AO430" s="107"/>
      <c r="AP430" s="107"/>
    </row>
    <row r="431" ht="15.75" customHeight="1">
      <c r="A431" s="124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60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  <c r="AO431" s="107"/>
      <c r="AP431" s="107"/>
    </row>
    <row r="432" ht="15.75" customHeight="1">
      <c r="A432" s="124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60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</row>
    <row r="433" ht="15.75" customHeight="1">
      <c r="A433" s="124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60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  <c r="AO433" s="107"/>
      <c r="AP433" s="107"/>
    </row>
    <row r="434" ht="15.75" customHeight="1">
      <c r="A434" s="124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60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  <c r="AO434" s="107"/>
      <c r="AP434" s="107"/>
    </row>
    <row r="435" ht="15.75" customHeight="1">
      <c r="A435" s="124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60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7"/>
      <c r="AP435" s="107"/>
    </row>
    <row r="436" ht="15.75" customHeight="1">
      <c r="A436" s="124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60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  <c r="AO436" s="107"/>
      <c r="AP436" s="107"/>
    </row>
    <row r="437" ht="15.75" customHeight="1">
      <c r="A437" s="124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60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</row>
    <row r="438" ht="15.75" customHeight="1">
      <c r="A438" s="124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60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  <c r="AO438" s="107"/>
      <c r="AP438" s="107"/>
    </row>
    <row r="439" ht="15.75" customHeight="1">
      <c r="A439" s="124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60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  <c r="AO439" s="107"/>
      <c r="AP439" s="107"/>
    </row>
    <row r="440" ht="15.75" customHeight="1">
      <c r="A440" s="124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60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  <c r="AO440" s="107"/>
      <c r="AP440" s="107"/>
    </row>
    <row r="441" ht="15.75" customHeight="1">
      <c r="A441" s="124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60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</row>
    <row r="442" ht="15.75" customHeight="1">
      <c r="A442" s="124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60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  <c r="AO442" s="107"/>
      <c r="AP442" s="107"/>
    </row>
    <row r="443" ht="15.75" customHeight="1">
      <c r="A443" s="124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60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</row>
    <row r="444" ht="15.75" customHeight="1">
      <c r="A444" s="124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60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  <c r="AO444" s="107"/>
      <c r="AP444" s="107"/>
    </row>
    <row r="445" ht="15.75" customHeight="1">
      <c r="A445" s="124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60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  <c r="AO445" s="107"/>
      <c r="AP445" s="107"/>
    </row>
    <row r="446" ht="15.75" customHeight="1">
      <c r="A446" s="124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60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  <c r="AO446" s="107"/>
      <c r="AP446" s="107"/>
    </row>
    <row r="447" ht="15.75" customHeight="1">
      <c r="A447" s="124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60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  <c r="AO447" s="107"/>
      <c r="AP447" s="107"/>
    </row>
    <row r="448" ht="15.75" customHeight="1">
      <c r="A448" s="124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60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</row>
    <row r="449" ht="15.75" customHeight="1">
      <c r="A449" s="124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60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</row>
    <row r="450" ht="15.75" customHeight="1">
      <c r="A450" s="124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60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</row>
    <row r="451" ht="15.75" customHeight="1">
      <c r="A451" s="124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60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</row>
    <row r="452" ht="15.75" customHeight="1">
      <c r="A452" s="124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60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</row>
    <row r="453" ht="15.75" customHeight="1">
      <c r="A453" s="124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60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</row>
    <row r="454" ht="15.75" customHeight="1">
      <c r="A454" s="124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60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</row>
    <row r="455" ht="15.75" customHeight="1">
      <c r="A455" s="124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60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  <c r="AO455" s="107"/>
      <c r="AP455" s="107"/>
    </row>
    <row r="456" ht="15.75" customHeight="1">
      <c r="A456" s="124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60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  <c r="AO456" s="107"/>
      <c r="AP456" s="107"/>
    </row>
    <row r="457" ht="15.75" customHeight="1">
      <c r="A457" s="124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60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  <c r="AO457" s="107"/>
      <c r="AP457" s="107"/>
    </row>
    <row r="458" ht="15.75" customHeight="1">
      <c r="A458" s="124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60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7"/>
      <c r="AP458" s="107"/>
    </row>
    <row r="459" ht="15.75" customHeight="1">
      <c r="A459" s="124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60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</row>
    <row r="460" ht="15.75" customHeight="1">
      <c r="A460" s="124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60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  <c r="AO460" s="107"/>
      <c r="AP460" s="107"/>
    </row>
    <row r="461" ht="15.75" customHeight="1">
      <c r="A461" s="124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60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</row>
    <row r="462" ht="15.75" customHeight="1">
      <c r="A462" s="124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60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  <c r="AO462" s="107"/>
      <c r="AP462" s="107"/>
    </row>
    <row r="463" ht="15.75" customHeight="1">
      <c r="A463" s="124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60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</row>
    <row r="464" ht="15.75" customHeight="1">
      <c r="A464" s="124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60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</row>
    <row r="465" ht="15.75" customHeight="1">
      <c r="A465" s="124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60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</row>
    <row r="466" ht="15.75" customHeight="1">
      <c r="A466" s="124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60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</row>
    <row r="467" ht="15.75" customHeight="1">
      <c r="A467" s="124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60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</row>
    <row r="468" ht="15.75" customHeight="1">
      <c r="A468" s="124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60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</row>
    <row r="469" ht="15.75" customHeight="1">
      <c r="A469" s="124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60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</row>
    <row r="470" ht="15.75" customHeight="1">
      <c r="A470" s="124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60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</row>
    <row r="471" ht="15.75" customHeight="1">
      <c r="A471" s="124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60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</row>
    <row r="472" ht="15.75" customHeight="1">
      <c r="A472" s="124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60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</row>
    <row r="473" ht="15.75" customHeight="1">
      <c r="A473" s="124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60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</row>
    <row r="474" ht="15.75" customHeight="1">
      <c r="A474" s="124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60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</row>
    <row r="475" ht="15.75" customHeight="1">
      <c r="A475" s="124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60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</row>
    <row r="476" ht="15.75" customHeight="1">
      <c r="A476" s="124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60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</row>
    <row r="477" ht="15.75" customHeight="1">
      <c r="A477" s="124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60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</row>
    <row r="478" ht="15.75" customHeight="1">
      <c r="A478" s="124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60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</row>
    <row r="479" ht="15.75" customHeight="1">
      <c r="A479" s="124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60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</row>
    <row r="480" ht="15.75" customHeight="1">
      <c r="A480" s="124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60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</row>
    <row r="481" ht="15.75" customHeight="1">
      <c r="A481" s="124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60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</row>
    <row r="482" ht="15.75" customHeight="1">
      <c r="A482" s="124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60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  <c r="AO482" s="107"/>
      <c r="AP482" s="107"/>
    </row>
    <row r="483" ht="15.75" customHeight="1">
      <c r="A483" s="124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60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</row>
    <row r="484" ht="15.75" customHeight="1">
      <c r="A484" s="124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60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</row>
    <row r="485" ht="15.75" customHeight="1">
      <c r="A485" s="124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60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</row>
    <row r="486" ht="15.75" customHeight="1">
      <c r="A486" s="124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60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</row>
    <row r="487" ht="15.75" customHeight="1">
      <c r="A487" s="124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60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</row>
    <row r="488" ht="15.75" customHeight="1">
      <c r="A488" s="124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60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</row>
    <row r="489" ht="15.75" customHeight="1">
      <c r="A489" s="124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60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</row>
    <row r="490" ht="15.75" customHeight="1">
      <c r="A490" s="124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60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</row>
    <row r="491" ht="15.75" customHeight="1">
      <c r="A491" s="124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60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</row>
    <row r="492" ht="15.75" customHeight="1">
      <c r="A492" s="124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60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</row>
    <row r="493" ht="15.75" customHeight="1">
      <c r="A493" s="124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60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</row>
    <row r="494" ht="15.75" customHeight="1">
      <c r="A494" s="124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60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</row>
    <row r="495" ht="15.75" customHeight="1">
      <c r="A495" s="124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60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</row>
    <row r="496" ht="15.75" customHeight="1">
      <c r="A496" s="124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60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</row>
    <row r="497" ht="15.75" customHeight="1">
      <c r="A497" s="124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60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</row>
    <row r="498" ht="15.75" customHeight="1">
      <c r="A498" s="124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60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</row>
    <row r="499" ht="15.75" customHeight="1">
      <c r="A499" s="124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60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</row>
    <row r="500" ht="15.75" customHeight="1">
      <c r="A500" s="124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60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</row>
    <row r="501" ht="15.75" customHeight="1">
      <c r="A501" s="124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60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</row>
    <row r="502" ht="15.75" customHeight="1">
      <c r="A502" s="124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60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</row>
    <row r="503" ht="15.75" customHeight="1">
      <c r="A503" s="124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60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</row>
    <row r="504" ht="15.75" customHeight="1">
      <c r="A504" s="124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60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</row>
    <row r="505" ht="15.75" customHeight="1">
      <c r="A505" s="124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60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</row>
    <row r="506" ht="15.75" customHeight="1">
      <c r="A506" s="124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60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</row>
    <row r="507" ht="15.75" customHeight="1">
      <c r="A507" s="124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60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</row>
    <row r="508" ht="15.75" customHeight="1">
      <c r="A508" s="124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60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  <c r="AO508" s="107"/>
      <c r="AP508" s="107"/>
    </row>
    <row r="509" ht="15.75" customHeight="1">
      <c r="A509" s="124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60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</row>
    <row r="510" ht="15.75" customHeight="1">
      <c r="A510" s="124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60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</row>
    <row r="511" ht="15.75" customHeight="1">
      <c r="A511" s="124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60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</row>
    <row r="512" ht="15.75" customHeight="1">
      <c r="A512" s="124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60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</row>
    <row r="513" ht="15.75" customHeight="1">
      <c r="A513" s="124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60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</row>
    <row r="514" ht="15.75" customHeight="1">
      <c r="A514" s="124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60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</row>
    <row r="515" ht="15.75" customHeight="1">
      <c r="A515" s="124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60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</row>
    <row r="516" ht="15.75" customHeight="1">
      <c r="A516" s="124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60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</row>
    <row r="517" ht="15.75" customHeight="1">
      <c r="A517" s="124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60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  <c r="AO517" s="107"/>
      <c r="AP517" s="107"/>
    </row>
    <row r="518" ht="15.75" customHeight="1">
      <c r="A518" s="124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60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</row>
    <row r="519" ht="15.75" customHeight="1">
      <c r="A519" s="124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60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</row>
    <row r="520" ht="15.75" customHeight="1">
      <c r="A520" s="124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60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</row>
    <row r="521" ht="15.75" customHeight="1">
      <c r="A521" s="124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60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</row>
    <row r="522" ht="15.75" customHeight="1">
      <c r="A522" s="124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60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7"/>
      <c r="AP522" s="107"/>
    </row>
    <row r="523" ht="15.75" customHeight="1">
      <c r="A523" s="124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60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</row>
    <row r="524" ht="15.75" customHeight="1">
      <c r="A524" s="124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60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</row>
    <row r="525" ht="15.75" customHeight="1">
      <c r="A525" s="124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60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</row>
    <row r="526" ht="15.75" customHeight="1">
      <c r="A526" s="124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60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</row>
    <row r="527" ht="15.75" customHeight="1">
      <c r="A527" s="124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60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</row>
    <row r="528" ht="15.75" customHeight="1">
      <c r="A528" s="124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60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</row>
    <row r="529" ht="15.75" customHeight="1">
      <c r="A529" s="124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60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</row>
    <row r="530" ht="15.75" customHeight="1">
      <c r="A530" s="124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60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</row>
    <row r="531" ht="15.75" customHeight="1">
      <c r="A531" s="124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60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</row>
    <row r="532" ht="15.75" customHeight="1">
      <c r="A532" s="124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60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</row>
    <row r="533" ht="15.75" customHeight="1">
      <c r="A533" s="124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60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</row>
    <row r="534" ht="15.75" customHeight="1">
      <c r="A534" s="124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60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  <c r="AO534" s="107"/>
      <c r="AP534" s="107"/>
    </row>
    <row r="535" ht="15.75" customHeight="1">
      <c r="A535" s="124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60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7"/>
      <c r="AP535" s="107"/>
    </row>
    <row r="536" ht="15.75" customHeight="1">
      <c r="A536" s="124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60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  <c r="AO536" s="107"/>
      <c r="AP536" s="107"/>
    </row>
    <row r="537" ht="15.75" customHeight="1">
      <c r="A537" s="124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60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  <c r="AO537" s="107"/>
      <c r="AP537" s="107"/>
    </row>
    <row r="538" ht="15.75" customHeight="1">
      <c r="A538" s="124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60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</row>
    <row r="539" ht="15.75" customHeight="1">
      <c r="A539" s="124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60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7"/>
      <c r="AP539" s="107"/>
    </row>
    <row r="540" ht="15.75" customHeight="1">
      <c r="A540" s="124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60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  <c r="AO540" s="107"/>
      <c r="AP540" s="107"/>
    </row>
    <row r="541" ht="15.75" customHeight="1">
      <c r="A541" s="124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60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7"/>
      <c r="AP541" s="107"/>
    </row>
    <row r="542" ht="15.75" customHeight="1">
      <c r="A542" s="124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60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  <c r="AO542" s="107"/>
      <c r="AP542" s="107"/>
    </row>
    <row r="543" ht="15.75" customHeight="1">
      <c r="A543" s="124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60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07"/>
      <c r="AP543" s="107"/>
    </row>
    <row r="544" ht="15.75" customHeight="1">
      <c r="A544" s="124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60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  <c r="AO544" s="107"/>
      <c r="AP544" s="107"/>
    </row>
    <row r="545" ht="15.75" customHeight="1">
      <c r="A545" s="124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60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</row>
    <row r="546" ht="15.75" customHeight="1">
      <c r="A546" s="124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60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  <c r="AO546" s="107"/>
      <c r="AP546" s="107"/>
    </row>
    <row r="547" ht="15.75" customHeight="1">
      <c r="A547" s="124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60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  <c r="AO547" s="107"/>
      <c r="AP547" s="107"/>
    </row>
    <row r="548" ht="15.75" customHeight="1">
      <c r="A548" s="124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60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  <c r="AO548" s="107"/>
      <c r="AP548" s="107"/>
    </row>
    <row r="549" ht="15.75" customHeight="1">
      <c r="A549" s="124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60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07"/>
      <c r="AP549" s="107"/>
    </row>
    <row r="550" ht="15.75" customHeight="1">
      <c r="A550" s="124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60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  <c r="AO550" s="107"/>
      <c r="AP550" s="107"/>
    </row>
    <row r="551" ht="15.75" customHeight="1">
      <c r="A551" s="124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60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  <c r="AO551" s="107"/>
      <c r="AP551" s="107"/>
    </row>
    <row r="552" ht="15.75" customHeight="1">
      <c r="A552" s="124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60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</row>
    <row r="553" ht="15.75" customHeight="1">
      <c r="A553" s="124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60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  <c r="AO553" s="107"/>
      <c r="AP553" s="107"/>
    </row>
    <row r="554" ht="15.75" customHeight="1">
      <c r="A554" s="124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60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07"/>
      <c r="AP554" s="107"/>
    </row>
    <row r="555" ht="15.75" customHeight="1">
      <c r="A555" s="124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60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</row>
    <row r="556" ht="15.75" customHeight="1">
      <c r="A556" s="124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60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  <c r="AO556" s="107"/>
      <c r="AP556" s="107"/>
    </row>
    <row r="557" ht="15.75" customHeight="1">
      <c r="A557" s="124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60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</row>
    <row r="558" ht="15.75" customHeight="1">
      <c r="A558" s="124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60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</row>
    <row r="559" ht="15.75" customHeight="1">
      <c r="A559" s="124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60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  <c r="AO559" s="107"/>
      <c r="AP559" s="107"/>
    </row>
    <row r="560" ht="15.75" customHeight="1">
      <c r="A560" s="124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60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  <c r="AO560" s="107"/>
      <c r="AP560" s="107"/>
    </row>
    <row r="561" ht="15.75" customHeight="1">
      <c r="A561" s="124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60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</row>
    <row r="562" ht="15.75" customHeight="1">
      <c r="A562" s="124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60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  <c r="AO562" s="107"/>
      <c r="AP562" s="107"/>
    </row>
    <row r="563" ht="15.75" customHeight="1">
      <c r="A563" s="124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60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</row>
    <row r="564" ht="15.75" customHeight="1">
      <c r="A564" s="124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60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  <c r="AO564" s="107"/>
      <c r="AP564" s="107"/>
    </row>
    <row r="565" ht="15.75" customHeight="1">
      <c r="A565" s="124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60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  <c r="AO565" s="107"/>
      <c r="AP565" s="107"/>
    </row>
    <row r="566" ht="15.75" customHeight="1">
      <c r="A566" s="124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60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  <c r="AO566" s="107"/>
      <c r="AP566" s="107"/>
    </row>
    <row r="567" ht="15.75" customHeight="1">
      <c r="A567" s="124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60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  <c r="AO567" s="107"/>
      <c r="AP567" s="107"/>
    </row>
    <row r="568" ht="15.75" customHeight="1">
      <c r="A568" s="124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60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</row>
    <row r="569" ht="15.75" customHeight="1">
      <c r="A569" s="124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60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</row>
    <row r="570" ht="15.75" customHeight="1">
      <c r="A570" s="124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60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  <c r="AO570" s="107"/>
      <c r="AP570" s="107"/>
    </row>
    <row r="571" ht="15.75" customHeight="1">
      <c r="A571" s="124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60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</row>
    <row r="572" ht="15.75" customHeight="1">
      <c r="A572" s="124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60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</row>
    <row r="573" ht="15.75" customHeight="1">
      <c r="A573" s="124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60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  <c r="AO573" s="107"/>
      <c r="AP573" s="107"/>
    </row>
    <row r="574" ht="15.75" customHeight="1">
      <c r="A574" s="124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60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7"/>
      <c r="AP574" s="107"/>
    </row>
    <row r="575" ht="15.75" customHeight="1">
      <c r="A575" s="124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60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  <c r="AO575" s="107"/>
      <c r="AP575" s="107"/>
    </row>
    <row r="576" ht="15.75" customHeight="1">
      <c r="A576" s="124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60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</row>
    <row r="577" ht="15.75" customHeight="1">
      <c r="A577" s="124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60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7"/>
      <c r="AP577" s="107"/>
    </row>
    <row r="578" ht="15.75" customHeight="1">
      <c r="A578" s="124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60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  <c r="AO578" s="107"/>
      <c r="AP578" s="107"/>
    </row>
    <row r="579" ht="15.75" customHeight="1">
      <c r="A579" s="124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60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07"/>
      <c r="AP579" s="107"/>
    </row>
    <row r="580" ht="15.75" customHeight="1">
      <c r="A580" s="124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60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7"/>
      <c r="AP580" s="107"/>
    </row>
    <row r="581" ht="15.75" customHeight="1">
      <c r="A581" s="124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60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  <c r="AO581" s="107"/>
      <c r="AP581" s="107"/>
    </row>
    <row r="582" ht="15.75" customHeight="1">
      <c r="A582" s="124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60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</row>
    <row r="583" ht="15.75" customHeight="1">
      <c r="A583" s="124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60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  <c r="AO583" s="107"/>
      <c r="AP583" s="107"/>
    </row>
    <row r="584" ht="15.75" customHeight="1">
      <c r="A584" s="124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60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  <c r="AO584" s="107"/>
      <c r="AP584" s="107"/>
    </row>
    <row r="585" ht="15.75" customHeight="1">
      <c r="A585" s="124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60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7"/>
      <c r="AP585" s="107"/>
    </row>
    <row r="586" ht="15.75" customHeight="1">
      <c r="A586" s="124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60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  <c r="AO586" s="107"/>
      <c r="AP586" s="107"/>
    </row>
    <row r="587" ht="15.75" customHeight="1">
      <c r="A587" s="124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60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  <c r="AO587" s="107"/>
      <c r="AP587" s="107"/>
    </row>
    <row r="588" ht="15.75" customHeight="1">
      <c r="A588" s="124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60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</row>
    <row r="589" ht="15.75" customHeight="1">
      <c r="A589" s="124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60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  <c r="AO589" s="107"/>
      <c r="AP589" s="107"/>
    </row>
    <row r="590" ht="15.75" customHeight="1">
      <c r="A590" s="124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60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</row>
    <row r="591" ht="15.75" customHeight="1">
      <c r="A591" s="124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60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  <c r="AO591" s="107"/>
      <c r="AP591" s="107"/>
    </row>
    <row r="592" ht="15.75" customHeight="1">
      <c r="A592" s="124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60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  <c r="AO592" s="107"/>
      <c r="AP592" s="107"/>
    </row>
    <row r="593" ht="15.75" customHeight="1">
      <c r="A593" s="124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60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  <c r="AO593" s="107"/>
      <c r="AP593" s="107"/>
    </row>
    <row r="594" ht="15.75" customHeight="1">
      <c r="A594" s="124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60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  <c r="AO594" s="107"/>
      <c r="AP594" s="107"/>
    </row>
    <row r="595" ht="15.75" customHeight="1">
      <c r="A595" s="124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60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7"/>
      <c r="AP595" s="107"/>
    </row>
    <row r="596" ht="15.75" customHeight="1">
      <c r="A596" s="124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60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  <c r="AO596" s="107"/>
      <c r="AP596" s="107"/>
    </row>
    <row r="597" ht="15.75" customHeight="1">
      <c r="A597" s="124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60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  <c r="AO597" s="107"/>
      <c r="AP597" s="107"/>
    </row>
    <row r="598" ht="15.75" customHeight="1">
      <c r="A598" s="124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60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  <c r="AO598" s="107"/>
      <c r="AP598" s="107"/>
    </row>
    <row r="599" ht="15.75" customHeight="1">
      <c r="A599" s="124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60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7"/>
      <c r="AP599" s="107"/>
    </row>
    <row r="600" ht="15.75" customHeight="1">
      <c r="A600" s="124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60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</row>
    <row r="601" ht="15.75" customHeight="1">
      <c r="A601" s="124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60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  <c r="AO601" s="107"/>
      <c r="AP601" s="107"/>
    </row>
    <row r="602" ht="15.75" customHeight="1">
      <c r="A602" s="124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60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</row>
    <row r="603" ht="15.75" customHeight="1">
      <c r="A603" s="124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60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</row>
    <row r="604" ht="15.75" customHeight="1">
      <c r="A604" s="124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60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  <c r="AO604" s="107"/>
      <c r="AP604" s="107"/>
    </row>
    <row r="605" ht="15.75" customHeight="1">
      <c r="A605" s="124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60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</row>
    <row r="606" ht="15.75" customHeight="1">
      <c r="A606" s="124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60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  <c r="AO606" s="107"/>
      <c r="AP606" s="107"/>
    </row>
    <row r="607" ht="15.75" customHeight="1">
      <c r="A607" s="124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60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</row>
    <row r="608" ht="15.75" customHeight="1">
      <c r="A608" s="124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60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  <c r="AO608" s="107"/>
      <c r="AP608" s="107"/>
    </row>
    <row r="609" ht="15.75" customHeight="1">
      <c r="A609" s="124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60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  <c r="AO609" s="107"/>
      <c r="AP609" s="107"/>
    </row>
    <row r="610" ht="15.75" customHeight="1">
      <c r="A610" s="124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60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  <c r="AO610" s="107"/>
      <c r="AP610" s="107"/>
    </row>
    <row r="611" ht="15.75" customHeight="1">
      <c r="A611" s="124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60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  <c r="AO611" s="107"/>
      <c r="AP611" s="107"/>
    </row>
    <row r="612" ht="15.75" customHeight="1">
      <c r="A612" s="124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60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  <c r="AO612" s="107"/>
      <c r="AP612" s="107"/>
    </row>
    <row r="613" ht="15.75" customHeight="1">
      <c r="A613" s="124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60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  <c r="AO613" s="107"/>
      <c r="AP613" s="107"/>
    </row>
    <row r="614" ht="15.75" customHeight="1">
      <c r="A614" s="124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60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</row>
    <row r="615" ht="15.75" customHeight="1">
      <c r="A615" s="124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60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  <c r="AO615" s="107"/>
      <c r="AP615" s="107"/>
    </row>
    <row r="616" ht="15.75" customHeight="1">
      <c r="A616" s="124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60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  <c r="AO616" s="107"/>
      <c r="AP616" s="107"/>
    </row>
    <row r="617" ht="15.75" customHeight="1">
      <c r="A617" s="124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60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</row>
    <row r="618" ht="15.75" customHeight="1">
      <c r="A618" s="124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60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  <c r="AO618" s="107"/>
      <c r="AP618" s="107"/>
    </row>
    <row r="619" ht="15.75" customHeight="1">
      <c r="A619" s="124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60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</row>
    <row r="620" ht="15.75" customHeight="1">
      <c r="A620" s="124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60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  <c r="AO620" s="107"/>
      <c r="AP620" s="107"/>
    </row>
    <row r="621" ht="15.75" customHeight="1">
      <c r="A621" s="124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60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</row>
    <row r="622" ht="15.75" customHeight="1">
      <c r="A622" s="124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60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  <c r="AO622" s="107"/>
      <c r="AP622" s="107"/>
    </row>
    <row r="623" ht="15.75" customHeight="1">
      <c r="A623" s="124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60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  <c r="AO623" s="107"/>
      <c r="AP623" s="107"/>
    </row>
    <row r="624" ht="15.75" customHeight="1">
      <c r="A624" s="124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60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</row>
    <row r="625" ht="15.75" customHeight="1">
      <c r="A625" s="124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60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</row>
    <row r="626" ht="15.75" customHeight="1">
      <c r="A626" s="124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60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</row>
    <row r="627" ht="15.75" customHeight="1">
      <c r="A627" s="124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60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  <c r="AO627" s="107"/>
      <c r="AP627" s="107"/>
    </row>
    <row r="628" ht="15.75" customHeight="1">
      <c r="A628" s="124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60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  <c r="AO628" s="107"/>
      <c r="AP628" s="107"/>
    </row>
    <row r="629" ht="15.75" customHeight="1">
      <c r="A629" s="124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60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07"/>
      <c r="AP629" s="107"/>
    </row>
    <row r="630" ht="15.75" customHeight="1">
      <c r="A630" s="124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60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  <c r="AO630" s="107"/>
      <c r="AP630" s="107"/>
    </row>
    <row r="631" ht="15.75" customHeight="1">
      <c r="A631" s="124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60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</row>
    <row r="632" ht="15.75" customHeight="1">
      <c r="A632" s="124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60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</row>
    <row r="633" ht="15.75" customHeight="1">
      <c r="A633" s="124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60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</row>
    <row r="634" ht="15.75" customHeight="1">
      <c r="A634" s="124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60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</row>
    <row r="635" ht="15.75" customHeight="1">
      <c r="A635" s="124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60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7"/>
      <c r="AP635" s="107"/>
    </row>
    <row r="636" ht="15.75" customHeight="1">
      <c r="A636" s="124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60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  <c r="AO636" s="107"/>
      <c r="AP636" s="107"/>
    </row>
    <row r="637" ht="15.75" customHeight="1">
      <c r="A637" s="124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60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  <c r="AO637" s="107"/>
      <c r="AP637" s="107"/>
    </row>
    <row r="638" ht="15.75" customHeight="1">
      <c r="A638" s="124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60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  <c r="AO638" s="107"/>
      <c r="AP638" s="107"/>
    </row>
    <row r="639" ht="15.75" customHeight="1">
      <c r="A639" s="124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60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  <c r="AO639" s="107"/>
      <c r="AP639" s="107"/>
    </row>
    <row r="640" ht="15.75" customHeight="1">
      <c r="A640" s="124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60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  <c r="AO640" s="107"/>
      <c r="AP640" s="107"/>
    </row>
    <row r="641" ht="15.75" customHeight="1">
      <c r="A641" s="124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60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  <c r="AO641" s="107"/>
      <c r="AP641" s="107"/>
    </row>
    <row r="642" ht="15.75" customHeight="1">
      <c r="A642" s="124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60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</row>
    <row r="643" ht="15.75" customHeight="1">
      <c r="A643" s="124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60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</row>
    <row r="644" ht="15.75" customHeight="1">
      <c r="A644" s="124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60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  <c r="AO644" s="107"/>
      <c r="AP644" s="107"/>
    </row>
    <row r="645" ht="15.75" customHeight="1">
      <c r="A645" s="124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60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  <c r="AO645" s="107"/>
      <c r="AP645" s="107"/>
    </row>
    <row r="646" ht="15.75" customHeight="1">
      <c r="A646" s="124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60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  <c r="AO646" s="107"/>
      <c r="AP646" s="107"/>
    </row>
    <row r="647" ht="15.75" customHeight="1">
      <c r="A647" s="124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60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  <c r="AO647" s="107"/>
      <c r="AP647" s="107"/>
    </row>
    <row r="648" ht="15.75" customHeight="1">
      <c r="A648" s="124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60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  <c r="AO648" s="107"/>
      <c r="AP648" s="107"/>
    </row>
    <row r="649" ht="15.75" customHeight="1">
      <c r="A649" s="124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60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  <c r="AO649" s="107"/>
      <c r="AP649" s="107"/>
    </row>
    <row r="650" ht="15.75" customHeight="1">
      <c r="A650" s="124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60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  <c r="AO650" s="107"/>
      <c r="AP650" s="107"/>
    </row>
    <row r="651" ht="15.75" customHeight="1">
      <c r="A651" s="124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60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  <c r="AO651" s="107"/>
      <c r="AP651" s="107"/>
    </row>
    <row r="652" ht="15.75" customHeight="1">
      <c r="A652" s="124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60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  <c r="AO652" s="107"/>
      <c r="AP652" s="107"/>
    </row>
    <row r="653" ht="15.75" customHeight="1">
      <c r="A653" s="124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60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  <c r="AO653" s="107"/>
      <c r="AP653" s="107"/>
    </row>
    <row r="654" ht="15.75" customHeight="1">
      <c r="A654" s="124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60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  <c r="AO654" s="107"/>
      <c r="AP654" s="107"/>
    </row>
    <row r="655" ht="15.75" customHeight="1">
      <c r="A655" s="124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60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  <c r="AO655" s="107"/>
      <c r="AP655" s="107"/>
    </row>
    <row r="656" ht="15.75" customHeight="1">
      <c r="A656" s="124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60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  <c r="AO656" s="107"/>
      <c r="AP656" s="107"/>
    </row>
    <row r="657" ht="15.75" customHeight="1">
      <c r="A657" s="124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60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  <c r="AO657" s="107"/>
      <c r="AP657" s="107"/>
    </row>
    <row r="658" ht="15.75" customHeight="1">
      <c r="A658" s="124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60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  <c r="AO658" s="107"/>
      <c r="AP658" s="107"/>
    </row>
    <row r="659" ht="15.75" customHeight="1">
      <c r="A659" s="124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60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  <c r="AO659" s="107"/>
      <c r="AP659" s="107"/>
    </row>
    <row r="660" ht="15.75" customHeight="1">
      <c r="A660" s="124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60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  <c r="AO660" s="107"/>
      <c r="AP660" s="107"/>
    </row>
    <row r="661" ht="15.75" customHeight="1">
      <c r="A661" s="124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60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  <c r="AO661" s="107"/>
      <c r="AP661" s="107"/>
    </row>
    <row r="662" ht="15.75" customHeight="1">
      <c r="A662" s="124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60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  <c r="AO662" s="107"/>
      <c r="AP662" s="107"/>
    </row>
    <row r="663" ht="15.75" customHeight="1">
      <c r="A663" s="124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60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  <c r="AO663" s="107"/>
      <c r="AP663" s="107"/>
    </row>
    <row r="664" ht="15.75" customHeight="1">
      <c r="A664" s="124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60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  <c r="AO664" s="107"/>
      <c r="AP664" s="107"/>
    </row>
    <row r="665" ht="15.75" customHeight="1">
      <c r="A665" s="124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60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  <c r="AO665" s="107"/>
      <c r="AP665" s="107"/>
    </row>
    <row r="666" ht="15.75" customHeight="1">
      <c r="A666" s="124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60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  <c r="AO666" s="107"/>
      <c r="AP666" s="107"/>
    </row>
    <row r="667" ht="15.75" customHeight="1">
      <c r="A667" s="124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60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  <c r="AO667" s="107"/>
      <c r="AP667" s="107"/>
    </row>
    <row r="668" ht="15.75" customHeight="1">
      <c r="A668" s="124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60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</row>
    <row r="669" ht="15.75" customHeight="1">
      <c r="A669" s="124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60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  <c r="AO669" s="107"/>
      <c r="AP669" s="107"/>
    </row>
    <row r="670" ht="15.75" customHeight="1">
      <c r="A670" s="124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60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  <c r="AO670" s="107"/>
      <c r="AP670" s="107"/>
    </row>
    <row r="671" ht="15.75" customHeight="1">
      <c r="A671" s="124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60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  <c r="AO671" s="107"/>
      <c r="AP671" s="107"/>
    </row>
    <row r="672" ht="15.75" customHeight="1">
      <c r="A672" s="124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60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  <c r="AO672" s="107"/>
      <c r="AP672" s="107"/>
    </row>
    <row r="673" ht="15.75" customHeight="1">
      <c r="A673" s="124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60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</row>
    <row r="674" ht="15.75" customHeight="1">
      <c r="A674" s="124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60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  <c r="AO674" s="107"/>
      <c r="AP674" s="107"/>
    </row>
    <row r="675" ht="15.75" customHeight="1">
      <c r="A675" s="124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60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7"/>
      <c r="AP675" s="107"/>
    </row>
    <row r="676" ht="15.75" customHeight="1">
      <c r="A676" s="124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60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  <c r="AO676" s="107"/>
      <c r="AP676" s="107"/>
    </row>
    <row r="677" ht="15.75" customHeight="1">
      <c r="A677" s="124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60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  <c r="AO677" s="107"/>
      <c r="AP677" s="107"/>
    </row>
    <row r="678" ht="15.75" customHeight="1">
      <c r="A678" s="124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60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</row>
    <row r="679" ht="15.75" customHeight="1">
      <c r="A679" s="124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60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  <c r="AO679" s="107"/>
      <c r="AP679" s="107"/>
    </row>
    <row r="680" ht="15.75" customHeight="1">
      <c r="A680" s="124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60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  <c r="AO680" s="107"/>
      <c r="AP680" s="107"/>
    </row>
    <row r="681" ht="15.75" customHeight="1">
      <c r="A681" s="124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60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</row>
    <row r="682" ht="15.75" customHeight="1">
      <c r="A682" s="124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60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7"/>
      <c r="AP682" s="107"/>
    </row>
    <row r="683" ht="15.75" customHeight="1">
      <c r="A683" s="124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60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</row>
    <row r="684" ht="15.75" customHeight="1">
      <c r="A684" s="124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60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  <c r="AO684" s="107"/>
      <c r="AP684" s="107"/>
    </row>
    <row r="685" ht="15.75" customHeight="1">
      <c r="A685" s="124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60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  <c r="AO685" s="107"/>
      <c r="AP685" s="107"/>
    </row>
    <row r="686" ht="15.75" customHeight="1">
      <c r="A686" s="124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60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  <c r="AO686" s="107"/>
      <c r="AP686" s="107"/>
    </row>
    <row r="687" ht="15.75" customHeight="1">
      <c r="A687" s="124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60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  <c r="AO687" s="107"/>
      <c r="AP687" s="107"/>
    </row>
    <row r="688" ht="15.75" customHeight="1">
      <c r="A688" s="124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60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  <c r="AO688" s="107"/>
      <c r="AP688" s="107"/>
    </row>
    <row r="689" ht="15.75" customHeight="1">
      <c r="A689" s="124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60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  <c r="AO689" s="107"/>
      <c r="AP689" s="107"/>
    </row>
    <row r="690" ht="15.75" customHeight="1">
      <c r="A690" s="124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60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  <c r="AO690" s="107"/>
      <c r="AP690" s="107"/>
    </row>
    <row r="691" ht="15.75" customHeight="1">
      <c r="A691" s="124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60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</row>
    <row r="692" ht="15.75" customHeight="1">
      <c r="A692" s="124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60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  <c r="AO692" s="107"/>
      <c r="AP692" s="107"/>
    </row>
    <row r="693" ht="15.75" customHeight="1">
      <c r="A693" s="124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60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  <c r="AO693" s="107"/>
      <c r="AP693" s="107"/>
    </row>
    <row r="694" ht="15.75" customHeight="1">
      <c r="A694" s="124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60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  <c r="AO694" s="107"/>
      <c r="AP694" s="107"/>
    </row>
    <row r="695" ht="15.75" customHeight="1">
      <c r="A695" s="124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60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</row>
    <row r="696" ht="15.75" customHeight="1">
      <c r="A696" s="124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60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</row>
    <row r="697" ht="15.75" customHeight="1">
      <c r="A697" s="124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60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  <c r="AO697" s="107"/>
      <c r="AP697" s="107"/>
    </row>
    <row r="698" ht="15.75" customHeight="1">
      <c r="A698" s="124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60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  <c r="AO698" s="107"/>
      <c r="AP698" s="107"/>
    </row>
    <row r="699" ht="15.75" customHeight="1">
      <c r="A699" s="124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60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</row>
    <row r="700" ht="15.75" customHeight="1">
      <c r="A700" s="124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60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</row>
    <row r="701" ht="15.75" customHeight="1">
      <c r="A701" s="124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60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  <c r="AO701" s="107"/>
      <c r="AP701" s="107"/>
    </row>
    <row r="702" ht="15.75" customHeight="1">
      <c r="A702" s="124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60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  <c r="AO702" s="107"/>
      <c r="AP702" s="107"/>
    </row>
    <row r="703" ht="15.75" customHeight="1">
      <c r="A703" s="124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60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  <c r="AO703" s="107"/>
      <c r="AP703" s="107"/>
    </row>
    <row r="704" ht="15.75" customHeight="1">
      <c r="A704" s="124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60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  <c r="AO704" s="107"/>
      <c r="AP704" s="107"/>
    </row>
    <row r="705" ht="15.75" customHeight="1">
      <c r="A705" s="124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60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  <c r="AO705" s="107"/>
      <c r="AP705" s="107"/>
    </row>
    <row r="706" ht="15.75" customHeight="1">
      <c r="A706" s="124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60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  <c r="AO706" s="107"/>
      <c r="AP706" s="107"/>
    </row>
    <row r="707" ht="15.75" customHeight="1">
      <c r="A707" s="124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60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  <c r="AO707" s="107"/>
      <c r="AP707" s="107"/>
    </row>
    <row r="708" ht="15.75" customHeight="1">
      <c r="A708" s="124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60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  <c r="AO708" s="107"/>
      <c r="AP708" s="107"/>
    </row>
    <row r="709" ht="15.75" customHeight="1">
      <c r="A709" s="124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60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  <c r="AO709" s="107"/>
      <c r="AP709" s="107"/>
    </row>
    <row r="710" ht="15.75" customHeight="1">
      <c r="A710" s="124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60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  <c r="AO710" s="107"/>
      <c r="AP710" s="107"/>
    </row>
    <row r="711" ht="15.75" customHeight="1">
      <c r="A711" s="124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60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  <c r="AO711" s="107"/>
      <c r="AP711" s="107"/>
    </row>
    <row r="712" ht="15.75" customHeight="1">
      <c r="A712" s="124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60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  <c r="AO712" s="107"/>
      <c r="AP712" s="107"/>
    </row>
    <row r="713" ht="15.75" customHeight="1">
      <c r="A713" s="124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60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</row>
    <row r="714" ht="15.75" customHeight="1">
      <c r="A714" s="124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60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</row>
    <row r="715" ht="15.75" customHeight="1">
      <c r="A715" s="124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60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</row>
    <row r="716" ht="15.75" customHeight="1">
      <c r="A716" s="124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60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  <c r="AO716" s="107"/>
      <c r="AP716" s="107"/>
    </row>
    <row r="717" ht="15.75" customHeight="1">
      <c r="A717" s="124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60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  <c r="AO717" s="107"/>
      <c r="AP717" s="107"/>
    </row>
    <row r="718" ht="15.75" customHeight="1">
      <c r="A718" s="124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60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  <c r="AO718" s="107"/>
      <c r="AP718" s="107"/>
    </row>
    <row r="719" ht="15.75" customHeight="1">
      <c r="A719" s="124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60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  <c r="AO719" s="107"/>
      <c r="AP719" s="107"/>
    </row>
    <row r="720" ht="15.75" customHeight="1">
      <c r="A720" s="124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60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</row>
    <row r="721" ht="15.75" customHeight="1">
      <c r="A721" s="124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60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  <c r="AO721" s="107"/>
      <c r="AP721" s="107"/>
    </row>
    <row r="722" ht="15.75" customHeight="1">
      <c r="A722" s="124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60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</row>
    <row r="723" ht="15.75" customHeight="1">
      <c r="A723" s="124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60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</row>
    <row r="724" ht="15.75" customHeight="1">
      <c r="A724" s="124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60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  <c r="AO724" s="107"/>
      <c r="AP724" s="107"/>
    </row>
    <row r="725" ht="15.75" customHeight="1">
      <c r="A725" s="124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60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  <c r="AO725" s="107"/>
      <c r="AP725" s="107"/>
    </row>
    <row r="726" ht="15.75" customHeight="1">
      <c r="A726" s="124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60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</row>
    <row r="727" ht="15.75" customHeight="1">
      <c r="A727" s="124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60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  <c r="AO727" s="107"/>
      <c r="AP727" s="107"/>
    </row>
    <row r="728" ht="15.75" customHeight="1">
      <c r="A728" s="124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60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  <c r="AO728" s="107"/>
      <c r="AP728" s="107"/>
    </row>
    <row r="729" ht="15.75" customHeight="1">
      <c r="A729" s="124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60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  <c r="AO729" s="107"/>
      <c r="AP729" s="107"/>
    </row>
    <row r="730" ht="15.75" customHeight="1">
      <c r="A730" s="124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60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  <c r="AO730" s="107"/>
      <c r="AP730" s="107"/>
    </row>
    <row r="731" ht="15.75" customHeight="1">
      <c r="A731" s="124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60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  <c r="AO731" s="107"/>
      <c r="AP731" s="107"/>
    </row>
    <row r="732" ht="15.75" customHeight="1">
      <c r="A732" s="124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60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  <c r="AO732" s="107"/>
      <c r="AP732" s="107"/>
    </row>
    <row r="733" ht="15.75" customHeight="1">
      <c r="A733" s="124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60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</row>
    <row r="734" ht="15.75" customHeight="1">
      <c r="A734" s="124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60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07"/>
      <c r="AP734" s="107"/>
    </row>
    <row r="735" ht="15.75" customHeight="1">
      <c r="A735" s="124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60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  <c r="AO735" s="107"/>
      <c r="AP735" s="107"/>
    </row>
    <row r="736" ht="15.75" customHeight="1">
      <c r="A736" s="124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60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  <c r="AO736" s="107"/>
      <c r="AP736" s="107"/>
    </row>
    <row r="737" ht="15.75" customHeight="1">
      <c r="A737" s="124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60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</row>
    <row r="738" ht="15.75" customHeight="1">
      <c r="A738" s="124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60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  <c r="AO738" s="107"/>
      <c r="AP738" s="107"/>
    </row>
    <row r="739" ht="15.75" customHeight="1">
      <c r="A739" s="124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60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  <c r="AO739" s="107"/>
      <c r="AP739" s="107"/>
    </row>
    <row r="740" ht="15.75" customHeight="1">
      <c r="A740" s="124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60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</row>
    <row r="741" ht="15.75" customHeight="1">
      <c r="A741" s="124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60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  <c r="AO741" s="107"/>
      <c r="AP741" s="107"/>
    </row>
    <row r="742" ht="15.75" customHeight="1">
      <c r="A742" s="124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60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</row>
    <row r="743" ht="15.75" customHeight="1">
      <c r="A743" s="124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60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</row>
    <row r="744" ht="15.75" customHeight="1">
      <c r="A744" s="124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60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7"/>
      <c r="AP744" s="107"/>
    </row>
    <row r="745" ht="15.75" customHeight="1">
      <c r="A745" s="124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60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  <c r="AO745" s="107"/>
      <c r="AP745" s="107"/>
    </row>
    <row r="746" ht="15.75" customHeight="1">
      <c r="A746" s="124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60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  <c r="AO746" s="107"/>
      <c r="AP746" s="107"/>
    </row>
    <row r="747" ht="15.75" customHeight="1">
      <c r="A747" s="124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60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</row>
    <row r="748" ht="15.75" customHeight="1">
      <c r="A748" s="124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60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  <c r="AO748" s="107"/>
      <c r="AP748" s="107"/>
    </row>
    <row r="749" ht="15.75" customHeight="1">
      <c r="A749" s="124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60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</row>
    <row r="750" ht="15.75" customHeight="1">
      <c r="A750" s="124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60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</row>
    <row r="751" ht="15.75" customHeight="1">
      <c r="A751" s="124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60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</row>
    <row r="752" ht="15.75" customHeight="1">
      <c r="A752" s="124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60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  <c r="AO752" s="107"/>
      <c r="AP752" s="107"/>
    </row>
    <row r="753" ht="15.75" customHeight="1">
      <c r="A753" s="124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60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</row>
    <row r="754" ht="15.75" customHeight="1">
      <c r="A754" s="124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60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  <c r="AO754" s="107"/>
      <c r="AP754" s="107"/>
    </row>
    <row r="755" ht="15.75" customHeight="1">
      <c r="A755" s="124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60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  <c r="AO755" s="107"/>
      <c r="AP755" s="107"/>
    </row>
    <row r="756" ht="15.75" customHeight="1">
      <c r="A756" s="124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60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</row>
    <row r="757" ht="15.75" customHeight="1">
      <c r="A757" s="124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60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</row>
    <row r="758" ht="15.75" customHeight="1">
      <c r="A758" s="124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60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7"/>
      <c r="AP758" s="107"/>
    </row>
    <row r="759" ht="15.75" customHeight="1">
      <c r="A759" s="124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60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  <c r="AO759" s="107"/>
      <c r="AP759" s="107"/>
    </row>
    <row r="760" ht="15.75" customHeight="1">
      <c r="A760" s="124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60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  <c r="AO760" s="107"/>
      <c r="AP760" s="107"/>
    </row>
    <row r="761" ht="15.75" customHeight="1">
      <c r="A761" s="124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60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  <c r="AO761" s="107"/>
      <c r="AP761" s="107"/>
    </row>
    <row r="762" ht="15.75" customHeight="1">
      <c r="A762" s="124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60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  <c r="AO762" s="107"/>
      <c r="AP762" s="107"/>
    </row>
    <row r="763" ht="15.75" customHeight="1">
      <c r="A763" s="124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60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</row>
    <row r="764" ht="15.75" customHeight="1">
      <c r="A764" s="124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60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</row>
    <row r="765" ht="15.75" customHeight="1">
      <c r="A765" s="124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60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  <c r="AO765" s="107"/>
      <c r="AP765" s="107"/>
    </row>
    <row r="766" ht="15.75" customHeight="1">
      <c r="A766" s="124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60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  <c r="AO766" s="107"/>
      <c r="AP766" s="107"/>
    </row>
    <row r="767" ht="15.75" customHeight="1">
      <c r="A767" s="124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60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7"/>
      <c r="AP767" s="107"/>
    </row>
    <row r="768" ht="15.75" customHeight="1">
      <c r="A768" s="124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60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</row>
    <row r="769" ht="15.75" customHeight="1">
      <c r="A769" s="124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60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  <c r="AO769" s="107"/>
      <c r="AP769" s="107"/>
    </row>
    <row r="770" ht="15.75" customHeight="1">
      <c r="A770" s="124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60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  <c r="AO770" s="107"/>
      <c r="AP770" s="107"/>
    </row>
    <row r="771" ht="15.75" customHeight="1">
      <c r="A771" s="124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60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</row>
    <row r="772" ht="15.75" customHeight="1">
      <c r="A772" s="124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60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  <c r="AO772" s="107"/>
      <c r="AP772" s="107"/>
    </row>
    <row r="773" ht="15.75" customHeight="1">
      <c r="A773" s="124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60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  <c r="AO773" s="107"/>
      <c r="AP773" s="107"/>
    </row>
    <row r="774" ht="15.75" customHeight="1">
      <c r="A774" s="124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60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  <c r="AO774" s="107"/>
      <c r="AP774" s="107"/>
    </row>
    <row r="775" ht="15.75" customHeight="1">
      <c r="A775" s="124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60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  <c r="AO775" s="107"/>
      <c r="AP775" s="107"/>
    </row>
    <row r="776" ht="15.75" customHeight="1">
      <c r="A776" s="124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60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  <c r="AO776" s="107"/>
      <c r="AP776" s="107"/>
    </row>
    <row r="777" ht="15.75" customHeight="1">
      <c r="A777" s="124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60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  <c r="AO777" s="107"/>
      <c r="AP777" s="107"/>
    </row>
    <row r="778" ht="15.75" customHeight="1">
      <c r="A778" s="124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60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  <c r="AO778" s="107"/>
      <c r="AP778" s="107"/>
    </row>
    <row r="779" ht="15.75" customHeight="1">
      <c r="A779" s="124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60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  <c r="AO779" s="107"/>
      <c r="AP779" s="107"/>
    </row>
    <row r="780" ht="15.75" customHeight="1">
      <c r="A780" s="124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60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  <c r="AO780" s="107"/>
      <c r="AP780" s="107"/>
    </row>
    <row r="781" ht="15.75" customHeight="1">
      <c r="A781" s="124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60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  <c r="AO781" s="107"/>
      <c r="AP781" s="107"/>
    </row>
    <row r="782" ht="15.75" customHeight="1">
      <c r="A782" s="124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60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  <c r="AO782" s="107"/>
      <c r="AP782" s="107"/>
    </row>
    <row r="783" ht="15.75" customHeight="1">
      <c r="A783" s="124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60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  <c r="AO783" s="107"/>
      <c r="AP783" s="107"/>
    </row>
    <row r="784" ht="15.75" customHeight="1">
      <c r="A784" s="124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60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  <c r="AO784" s="107"/>
      <c r="AP784" s="107"/>
    </row>
    <row r="785" ht="15.75" customHeight="1">
      <c r="A785" s="124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60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  <c r="AO785" s="107"/>
      <c r="AP785" s="107"/>
    </row>
    <row r="786" ht="15.75" customHeight="1">
      <c r="A786" s="124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60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  <c r="AO786" s="107"/>
      <c r="AP786" s="107"/>
    </row>
    <row r="787" ht="15.75" customHeight="1">
      <c r="A787" s="124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60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  <c r="AO787" s="107"/>
      <c r="AP787" s="107"/>
    </row>
    <row r="788" ht="15.75" customHeight="1">
      <c r="A788" s="124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60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07"/>
      <c r="AP788" s="107"/>
    </row>
    <row r="789" ht="15.75" customHeight="1">
      <c r="A789" s="124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60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</row>
    <row r="790" ht="15.75" customHeight="1">
      <c r="A790" s="124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60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  <c r="AO790" s="107"/>
      <c r="AP790" s="107"/>
    </row>
    <row r="791" ht="15.75" customHeight="1">
      <c r="A791" s="124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60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  <c r="AO791" s="107"/>
      <c r="AP791" s="107"/>
    </row>
    <row r="792" ht="15.75" customHeight="1">
      <c r="A792" s="124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60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</row>
    <row r="793" ht="15.75" customHeight="1">
      <c r="A793" s="124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60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  <c r="AO793" s="107"/>
      <c r="AP793" s="107"/>
    </row>
    <row r="794" ht="15.75" customHeight="1">
      <c r="A794" s="124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60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  <c r="AO794" s="107"/>
      <c r="AP794" s="107"/>
    </row>
    <row r="795" ht="15.75" customHeight="1">
      <c r="A795" s="124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60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</row>
    <row r="796" ht="15.75" customHeight="1">
      <c r="A796" s="124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60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7"/>
      <c r="AP796" s="107"/>
    </row>
    <row r="797" ht="15.75" customHeight="1">
      <c r="A797" s="124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60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  <c r="AO797" s="107"/>
      <c r="AP797" s="107"/>
    </row>
    <row r="798" ht="15.75" customHeight="1">
      <c r="A798" s="124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60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  <c r="AO798" s="107"/>
      <c r="AP798" s="107"/>
    </row>
    <row r="799" ht="15.75" customHeight="1">
      <c r="A799" s="124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60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</row>
    <row r="800" ht="15.75" customHeight="1">
      <c r="A800" s="124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60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</row>
    <row r="801" ht="15.75" customHeight="1">
      <c r="A801" s="124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60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  <c r="AO801" s="107"/>
      <c r="AP801" s="107"/>
    </row>
    <row r="802" ht="15.75" customHeight="1">
      <c r="A802" s="124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60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</row>
    <row r="803" ht="15.75" customHeight="1">
      <c r="A803" s="124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60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</row>
    <row r="804" ht="15.75" customHeight="1">
      <c r="A804" s="124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60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  <c r="AO804" s="107"/>
      <c r="AP804" s="107"/>
    </row>
    <row r="805" ht="15.75" customHeight="1">
      <c r="A805" s="124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60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</row>
    <row r="806" ht="15.75" customHeight="1">
      <c r="A806" s="124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60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</row>
    <row r="807" ht="15.75" customHeight="1">
      <c r="A807" s="124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60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</row>
    <row r="808" ht="15.75" customHeight="1">
      <c r="A808" s="124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60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</row>
    <row r="809" ht="15.75" customHeight="1">
      <c r="A809" s="124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60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</row>
    <row r="810" ht="15.75" customHeight="1">
      <c r="A810" s="124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60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</row>
    <row r="811" ht="15.75" customHeight="1">
      <c r="A811" s="124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60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</row>
    <row r="812" ht="15.75" customHeight="1">
      <c r="A812" s="124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60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</row>
    <row r="813" ht="15.75" customHeight="1">
      <c r="A813" s="124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60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</row>
    <row r="814" ht="15.75" customHeight="1">
      <c r="A814" s="124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60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  <c r="AO814" s="107"/>
      <c r="AP814" s="107"/>
    </row>
    <row r="815" ht="15.75" customHeight="1">
      <c r="A815" s="124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60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  <c r="AO815" s="107"/>
      <c r="AP815" s="107"/>
    </row>
    <row r="816" ht="15.75" customHeight="1">
      <c r="A816" s="124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60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  <c r="AO816" s="107"/>
      <c r="AP816" s="107"/>
    </row>
    <row r="817" ht="15.75" customHeight="1">
      <c r="A817" s="124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60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  <c r="AO817" s="107"/>
      <c r="AP817" s="107"/>
    </row>
    <row r="818" ht="15.75" customHeight="1">
      <c r="A818" s="124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60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7"/>
      <c r="AP818" s="107"/>
    </row>
    <row r="819" ht="15.75" customHeight="1">
      <c r="A819" s="124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60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</row>
    <row r="820" ht="15.75" customHeight="1">
      <c r="A820" s="124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60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</row>
    <row r="821" ht="15.75" customHeight="1">
      <c r="A821" s="124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60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</row>
    <row r="822" ht="15.75" customHeight="1">
      <c r="A822" s="124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60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  <c r="AO822" s="107"/>
      <c r="AP822" s="107"/>
    </row>
    <row r="823" ht="15.75" customHeight="1">
      <c r="A823" s="124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60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  <c r="AO823" s="107"/>
      <c r="AP823" s="107"/>
    </row>
    <row r="824" ht="15.75" customHeight="1">
      <c r="A824" s="124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60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</row>
    <row r="825" ht="15.75" customHeight="1">
      <c r="A825" s="124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60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  <c r="AO825" s="107"/>
      <c r="AP825" s="107"/>
    </row>
    <row r="826" ht="15.75" customHeight="1">
      <c r="A826" s="124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60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  <c r="AO826" s="107"/>
      <c r="AP826" s="107"/>
    </row>
    <row r="827" ht="15.75" customHeight="1">
      <c r="A827" s="124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60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  <c r="AO827" s="107"/>
      <c r="AP827" s="107"/>
    </row>
    <row r="828" ht="15.75" customHeight="1">
      <c r="A828" s="124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60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  <c r="AO828" s="107"/>
      <c r="AP828" s="107"/>
    </row>
    <row r="829" ht="15.75" customHeight="1">
      <c r="A829" s="124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60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  <c r="AO829" s="107"/>
      <c r="AP829" s="107"/>
    </row>
    <row r="830" ht="15.75" customHeight="1">
      <c r="A830" s="124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60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  <c r="AO830" s="107"/>
      <c r="AP830" s="107"/>
    </row>
    <row r="831" ht="15.75" customHeight="1">
      <c r="A831" s="124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60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  <c r="AO831" s="107"/>
      <c r="AP831" s="107"/>
    </row>
    <row r="832" ht="15.75" customHeight="1">
      <c r="A832" s="124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60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  <c r="AO832" s="107"/>
      <c r="AP832" s="107"/>
    </row>
    <row r="833" ht="15.75" customHeight="1">
      <c r="A833" s="124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60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  <c r="AO833" s="107"/>
      <c r="AP833" s="107"/>
    </row>
    <row r="834" ht="15.75" customHeight="1">
      <c r="A834" s="124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60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  <c r="AO834" s="107"/>
      <c r="AP834" s="107"/>
    </row>
    <row r="835" ht="15.75" customHeight="1">
      <c r="A835" s="124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60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  <c r="AO835" s="107"/>
      <c r="AP835" s="107"/>
    </row>
    <row r="836" ht="15.75" customHeight="1">
      <c r="A836" s="124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60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  <c r="AO836" s="107"/>
      <c r="AP836" s="107"/>
    </row>
    <row r="837" ht="15.75" customHeight="1">
      <c r="A837" s="124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60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  <c r="AO837" s="107"/>
      <c r="AP837" s="107"/>
    </row>
    <row r="838" ht="15.75" customHeight="1">
      <c r="A838" s="124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60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  <c r="AO838" s="107"/>
      <c r="AP838" s="107"/>
    </row>
    <row r="839" ht="15.75" customHeight="1">
      <c r="A839" s="124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60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  <c r="AO839" s="107"/>
      <c r="AP839" s="107"/>
    </row>
    <row r="840" ht="15.75" customHeight="1">
      <c r="A840" s="124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60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  <c r="AO840" s="107"/>
      <c r="AP840" s="107"/>
    </row>
    <row r="841" ht="15.75" customHeight="1">
      <c r="A841" s="124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60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  <c r="AO841" s="107"/>
      <c r="AP841" s="107"/>
    </row>
    <row r="842" ht="15.75" customHeight="1">
      <c r="A842" s="124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60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  <c r="AO842" s="107"/>
      <c r="AP842" s="107"/>
    </row>
    <row r="843" ht="15.75" customHeight="1">
      <c r="A843" s="124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60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</row>
    <row r="844" ht="15.75" customHeight="1">
      <c r="A844" s="124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60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  <c r="AO844" s="107"/>
      <c r="AP844" s="107"/>
    </row>
    <row r="845" ht="15.75" customHeight="1">
      <c r="A845" s="124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60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  <c r="AO845" s="107"/>
      <c r="AP845" s="107"/>
    </row>
    <row r="846" ht="15.75" customHeight="1">
      <c r="A846" s="124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60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  <c r="AO846" s="107"/>
      <c r="AP846" s="107"/>
    </row>
    <row r="847" ht="15.75" customHeight="1">
      <c r="A847" s="124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60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07"/>
      <c r="AP847" s="107"/>
    </row>
    <row r="848" ht="15.75" customHeight="1">
      <c r="A848" s="124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60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  <c r="AO848" s="107"/>
      <c r="AP848" s="107"/>
    </row>
    <row r="849" ht="15.75" customHeight="1">
      <c r="A849" s="124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60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  <c r="AO849" s="107"/>
      <c r="AP849" s="107"/>
    </row>
    <row r="850" ht="15.75" customHeight="1">
      <c r="A850" s="124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60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  <c r="AO850" s="107"/>
      <c r="AP850" s="107"/>
    </row>
    <row r="851" ht="15.75" customHeight="1">
      <c r="A851" s="124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60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</row>
    <row r="852" ht="15.75" customHeight="1">
      <c r="A852" s="124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60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  <c r="AO852" s="107"/>
      <c r="AP852" s="107"/>
    </row>
    <row r="853" ht="15.75" customHeight="1">
      <c r="A853" s="124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60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  <c r="AO853" s="107"/>
      <c r="AP853" s="107"/>
    </row>
    <row r="854" ht="15.75" customHeight="1">
      <c r="A854" s="124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60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7"/>
      <c r="AP854" s="107"/>
    </row>
    <row r="855" ht="15.75" customHeight="1">
      <c r="A855" s="124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60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7"/>
    </row>
    <row r="856" ht="15.75" customHeight="1">
      <c r="A856" s="124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60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  <c r="AO856" s="107"/>
      <c r="AP856" s="107"/>
    </row>
    <row r="857" ht="15.75" customHeight="1">
      <c r="A857" s="124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60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</row>
    <row r="858" ht="15.75" customHeight="1">
      <c r="A858" s="124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60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  <c r="AO858" s="107"/>
      <c r="AP858" s="107"/>
    </row>
    <row r="859" ht="15.75" customHeight="1">
      <c r="A859" s="124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60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</row>
    <row r="860" ht="15.75" customHeight="1">
      <c r="A860" s="124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60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  <c r="AO860" s="107"/>
      <c r="AP860" s="107"/>
    </row>
    <row r="861" ht="15.75" customHeight="1">
      <c r="A861" s="124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60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  <c r="AO861" s="107"/>
      <c r="AP861" s="107"/>
    </row>
    <row r="862" ht="15.75" customHeight="1">
      <c r="A862" s="124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60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  <c r="AO862" s="107"/>
      <c r="AP862" s="107"/>
    </row>
    <row r="863" ht="15.75" customHeight="1">
      <c r="A863" s="124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60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</row>
    <row r="864" ht="15.75" customHeight="1">
      <c r="A864" s="124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60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  <c r="AO864" s="107"/>
      <c r="AP864" s="107"/>
    </row>
    <row r="865" ht="15.75" customHeight="1">
      <c r="A865" s="124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60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</row>
    <row r="866" ht="15.75" customHeight="1">
      <c r="A866" s="124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60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  <c r="AO866" s="107"/>
      <c r="AP866" s="107"/>
    </row>
    <row r="867" ht="15.75" customHeight="1">
      <c r="A867" s="124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60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  <c r="AO867" s="107"/>
      <c r="AP867" s="107"/>
    </row>
    <row r="868" ht="15.75" customHeight="1">
      <c r="A868" s="124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60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  <c r="AO868" s="107"/>
      <c r="AP868" s="107"/>
    </row>
    <row r="869" ht="15.75" customHeight="1">
      <c r="A869" s="124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60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  <c r="AO869" s="107"/>
      <c r="AP869" s="107"/>
    </row>
    <row r="870" ht="15.75" customHeight="1">
      <c r="A870" s="124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60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</row>
    <row r="871" ht="15.75" customHeight="1">
      <c r="A871" s="124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60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7"/>
    </row>
    <row r="872" ht="15.75" customHeight="1">
      <c r="A872" s="124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60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</row>
    <row r="873" ht="15.75" customHeight="1">
      <c r="A873" s="124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60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  <c r="AO873" s="107"/>
      <c r="AP873" s="107"/>
    </row>
    <row r="874" ht="15.75" customHeight="1">
      <c r="A874" s="124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60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</row>
    <row r="875" ht="15.75" customHeight="1">
      <c r="A875" s="124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60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</row>
    <row r="876" ht="15.75" customHeight="1">
      <c r="A876" s="124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60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  <c r="AO876" s="107"/>
      <c r="AP876" s="107"/>
    </row>
    <row r="877" ht="15.75" customHeight="1">
      <c r="A877" s="124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60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  <c r="AO877" s="107"/>
      <c r="AP877" s="107"/>
    </row>
    <row r="878" ht="15.75" customHeight="1">
      <c r="A878" s="124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60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  <c r="AO878" s="107"/>
      <c r="AP878" s="107"/>
    </row>
    <row r="879" ht="15.75" customHeight="1">
      <c r="A879" s="124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60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</row>
    <row r="880" ht="15.75" customHeight="1">
      <c r="A880" s="124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60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</row>
    <row r="881" ht="15.75" customHeight="1">
      <c r="A881" s="124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60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</row>
    <row r="882" ht="15.75" customHeight="1">
      <c r="A882" s="124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60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</row>
    <row r="883" ht="15.75" customHeight="1">
      <c r="A883" s="124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60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</row>
    <row r="884" ht="15.75" customHeight="1">
      <c r="A884" s="124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60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7"/>
      <c r="AP884" s="107"/>
    </row>
    <row r="885" ht="15.75" customHeight="1">
      <c r="A885" s="124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60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  <c r="AO885" s="107"/>
      <c r="AP885" s="107"/>
    </row>
    <row r="886" ht="15.75" customHeight="1">
      <c r="A886" s="124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60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</row>
    <row r="887" ht="15.75" customHeight="1">
      <c r="A887" s="124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60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  <c r="AO887" s="107"/>
      <c r="AP887" s="107"/>
    </row>
    <row r="888" ht="15.75" customHeight="1">
      <c r="A888" s="124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60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  <c r="AO888" s="107"/>
      <c r="AP888" s="107"/>
    </row>
    <row r="889" ht="15.75" customHeight="1">
      <c r="A889" s="124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60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</row>
    <row r="890" ht="15.75" customHeight="1">
      <c r="A890" s="124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60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7"/>
      <c r="AP890" s="107"/>
    </row>
    <row r="891" ht="15.75" customHeight="1">
      <c r="A891" s="124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60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  <c r="AO891" s="107"/>
      <c r="AP891" s="107"/>
    </row>
    <row r="892" ht="15.75" customHeight="1">
      <c r="A892" s="124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60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  <c r="AO892" s="107"/>
      <c r="AP892" s="107"/>
    </row>
    <row r="893" ht="15.75" customHeight="1">
      <c r="A893" s="124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60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  <c r="AO893" s="107"/>
      <c r="AP893" s="107"/>
    </row>
    <row r="894" ht="15.75" customHeight="1">
      <c r="A894" s="124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60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</row>
    <row r="895" ht="15.75" customHeight="1">
      <c r="A895" s="124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60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  <c r="AO895" s="107"/>
      <c r="AP895" s="107"/>
    </row>
    <row r="896" ht="15.75" customHeight="1">
      <c r="A896" s="124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60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</row>
    <row r="897" ht="15.75" customHeight="1">
      <c r="A897" s="124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60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</row>
    <row r="898" ht="15.75" customHeight="1">
      <c r="A898" s="124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60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  <c r="AO898" s="107"/>
      <c r="AP898" s="107"/>
    </row>
    <row r="899" ht="15.75" customHeight="1">
      <c r="A899" s="124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60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</row>
    <row r="900" ht="15.75" customHeight="1">
      <c r="A900" s="124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60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</row>
    <row r="901" ht="15.75" customHeight="1">
      <c r="A901" s="124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60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</row>
    <row r="902" ht="15.75" customHeight="1">
      <c r="A902" s="124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60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</row>
    <row r="903" ht="15.75" customHeight="1">
      <c r="A903" s="124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60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  <c r="AO903" s="107"/>
      <c r="AP903" s="107"/>
    </row>
    <row r="904" ht="15.75" customHeight="1">
      <c r="A904" s="124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60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  <c r="AO904" s="107"/>
      <c r="AP904" s="107"/>
    </row>
    <row r="905" ht="15.75" customHeight="1">
      <c r="A905" s="124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60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7"/>
      <c r="AP905" s="107"/>
    </row>
    <row r="906" ht="15.75" customHeight="1">
      <c r="A906" s="124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60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  <c r="AO906" s="107"/>
      <c r="AP906" s="107"/>
    </row>
    <row r="907" ht="15.75" customHeight="1">
      <c r="A907" s="124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60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  <c r="AO907" s="107"/>
      <c r="AP907" s="107"/>
    </row>
    <row r="908" ht="15.75" customHeight="1">
      <c r="A908" s="124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60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  <c r="AO908" s="107"/>
      <c r="AP908" s="107"/>
    </row>
    <row r="909" ht="15.75" customHeight="1">
      <c r="A909" s="124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60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  <c r="AO909" s="107"/>
      <c r="AP909" s="107"/>
    </row>
    <row r="910" ht="15.75" customHeight="1">
      <c r="A910" s="124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60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  <c r="AO910" s="107"/>
      <c r="AP910" s="107"/>
    </row>
    <row r="911" ht="15.75" customHeight="1">
      <c r="A911" s="124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60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  <c r="AO911" s="107"/>
      <c r="AP911" s="107"/>
    </row>
    <row r="912" ht="15.75" customHeight="1">
      <c r="A912" s="124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60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  <c r="AO912" s="107"/>
      <c r="AP912" s="107"/>
    </row>
    <row r="913" ht="15.75" customHeight="1">
      <c r="A913" s="124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60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7"/>
      <c r="AP913" s="107"/>
    </row>
    <row r="914" ht="15.75" customHeight="1">
      <c r="A914" s="124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60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  <c r="AO914" s="107"/>
      <c r="AP914" s="107"/>
    </row>
    <row r="915" ht="15.75" customHeight="1">
      <c r="A915" s="124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60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  <c r="AO915" s="107"/>
      <c r="AP915" s="107"/>
    </row>
    <row r="916" ht="15.75" customHeight="1">
      <c r="A916" s="124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60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  <c r="AO916" s="107"/>
      <c r="AP916" s="107"/>
    </row>
    <row r="917" ht="15.75" customHeight="1">
      <c r="A917" s="124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60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</row>
    <row r="918" ht="15.75" customHeight="1">
      <c r="A918" s="124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60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  <c r="AO918" s="107"/>
      <c r="AP918" s="107"/>
    </row>
    <row r="919" ht="15.75" customHeight="1">
      <c r="A919" s="124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60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</row>
    <row r="920" ht="15.75" customHeight="1">
      <c r="A920" s="124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60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  <c r="AO920" s="107"/>
      <c r="AP920" s="107"/>
    </row>
    <row r="921" ht="15.75" customHeight="1">
      <c r="A921" s="124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60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  <c r="AO921" s="107"/>
      <c r="AP921" s="107"/>
    </row>
    <row r="922" ht="15.75" customHeight="1">
      <c r="A922" s="124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60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  <c r="AO922" s="107"/>
      <c r="AP922" s="107"/>
    </row>
    <row r="923" ht="15.75" customHeight="1">
      <c r="A923" s="124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60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</row>
    <row r="924" ht="15.75" customHeight="1">
      <c r="A924" s="124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60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  <c r="AO924" s="107"/>
      <c r="AP924" s="107"/>
    </row>
    <row r="925" ht="15.75" customHeight="1">
      <c r="A925" s="124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60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  <c r="AO925" s="107"/>
      <c r="AP925" s="107"/>
    </row>
    <row r="926" ht="15.75" customHeight="1">
      <c r="A926" s="124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60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07"/>
    </row>
    <row r="927" ht="15.75" customHeight="1">
      <c r="A927" s="124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60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</row>
    <row r="928" ht="15.75" customHeight="1">
      <c r="A928" s="124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60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  <c r="AO928" s="107"/>
      <c r="AP928" s="107"/>
    </row>
    <row r="929" ht="15.75" customHeight="1">
      <c r="A929" s="124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60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  <c r="AO929" s="107"/>
      <c r="AP929" s="107"/>
    </row>
    <row r="930" ht="15.75" customHeight="1">
      <c r="A930" s="124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60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  <c r="AO930" s="107"/>
      <c r="AP930" s="107"/>
    </row>
    <row r="931" ht="15.75" customHeight="1">
      <c r="A931" s="124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60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  <c r="AO931" s="107"/>
      <c r="AP931" s="107"/>
    </row>
    <row r="932" ht="15.75" customHeight="1">
      <c r="A932" s="124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60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  <c r="AO932" s="107"/>
      <c r="AP932" s="107"/>
    </row>
    <row r="933" ht="15.75" customHeight="1">
      <c r="A933" s="124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60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  <c r="AO933" s="107"/>
      <c r="AP933" s="107"/>
    </row>
    <row r="934" ht="15.75" customHeight="1">
      <c r="A934" s="124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60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  <c r="AO934" s="107"/>
      <c r="AP934" s="107"/>
    </row>
    <row r="935" ht="15.75" customHeight="1">
      <c r="A935" s="124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60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  <c r="AO935" s="107"/>
      <c r="AP935" s="107"/>
    </row>
    <row r="936" ht="15.75" customHeight="1">
      <c r="A936" s="124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60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  <c r="AO936" s="107"/>
      <c r="AP936" s="107"/>
    </row>
    <row r="937" ht="15.75" customHeight="1">
      <c r="A937" s="124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60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</row>
    <row r="938" ht="15.75" customHeight="1">
      <c r="A938" s="124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60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  <c r="AO938" s="107"/>
      <c r="AP938" s="107"/>
    </row>
    <row r="939" ht="15.75" customHeight="1">
      <c r="A939" s="124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60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  <c r="AO939" s="107"/>
      <c r="AP939" s="107"/>
    </row>
    <row r="940" ht="15.75" customHeight="1">
      <c r="A940" s="124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60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7"/>
      <c r="AP940" s="107"/>
    </row>
    <row r="941" ht="15.75" customHeight="1">
      <c r="A941" s="124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60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  <c r="AO941" s="107"/>
      <c r="AP941" s="107"/>
    </row>
    <row r="942" ht="15.75" customHeight="1">
      <c r="A942" s="124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60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  <c r="AO942" s="107"/>
      <c r="AP942" s="107"/>
    </row>
    <row r="943" ht="15.75" customHeight="1">
      <c r="A943" s="124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60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  <c r="AO943" s="107"/>
      <c r="AP943" s="107"/>
    </row>
    <row r="944" ht="15.75" customHeight="1">
      <c r="A944" s="124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60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</row>
    <row r="945" ht="15.75" customHeight="1">
      <c r="A945" s="124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60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  <c r="AO945" s="107"/>
      <c r="AP945" s="107"/>
    </row>
    <row r="946" ht="15.75" customHeight="1">
      <c r="A946" s="124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60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</row>
    <row r="947" ht="15.75" customHeight="1">
      <c r="A947" s="124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60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</row>
    <row r="948" ht="15.75" customHeight="1">
      <c r="A948" s="124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60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  <c r="AO948" s="107"/>
      <c r="AP948" s="107"/>
    </row>
    <row r="949" ht="15.75" customHeight="1">
      <c r="A949" s="124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60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  <c r="AO949" s="107"/>
      <c r="AP949" s="107"/>
    </row>
    <row r="950" ht="15.75" customHeight="1">
      <c r="A950" s="124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60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  <c r="AO950" s="107"/>
      <c r="AP950" s="107"/>
    </row>
    <row r="951" ht="15.75" customHeight="1">
      <c r="A951" s="124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60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</row>
    <row r="952" ht="15.75" customHeight="1">
      <c r="A952" s="124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60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  <c r="AO952" s="107"/>
      <c r="AP952" s="107"/>
    </row>
    <row r="953" ht="15.75" customHeight="1">
      <c r="A953" s="124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60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  <c r="AO953" s="107"/>
      <c r="AP953" s="107"/>
    </row>
    <row r="954" ht="15.75" customHeight="1">
      <c r="A954" s="124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60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  <c r="AO954" s="107"/>
      <c r="AP954" s="107"/>
    </row>
    <row r="955" ht="15.75" customHeight="1">
      <c r="A955" s="124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60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7"/>
      <c r="AP955" s="107"/>
    </row>
    <row r="956" ht="15.75" customHeight="1">
      <c r="A956" s="124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60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  <c r="AO956" s="107"/>
      <c r="AP956" s="107"/>
    </row>
    <row r="957" ht="15.75" customHeight="1">
      <c r="A957" s="124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60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7"/>
      <c r="AP957" s="107"/>
    </row>
    <row r="958" ht="15.75" customHeight="1">
      <c r="A958" s="124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60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7"/>
      <c r="AP958" s="107"/>
    </row>
    <row r="959" ht="15.75" customHeight="1">
      <c r="A959" s="124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60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  <c r="AO959" s="107"/>
      <c r="AP959" s="107"/>
    </row>
    <row r="960" ht="15.75" customHeight="1">
      <c r="A960" s="124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60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  <c r="AO960" s="107"/>
      <c r="AP960" s="107"/>
    </row>
    <row r="961" ht="15.75" customHeight="1">
      <c r="A961" s="124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60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  <c r="AO961" s="107"/>
      <c r="AP961" s="107"/>
    </row>
    <row r="962" ht="15.75" customHeight="1">
      <c r="A962" s="124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60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  <c r="AO962" s="107"/>
      <c r="AP962" s="107"/>
    </row>
    <row r="963" ht="15.75" customHeight="1">
      <c r="A963" s="124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60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</row>
    <row r="964" ht="15.75" customHeight="1">
      <c r="A964" s="124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60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  <c r="AO964" s="107"/>
      <c r="AP964" s="107"/>
    </row>
    <row r="965" ht="15.75" customHeight="1">
      <c r="A965" s="124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60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7"/>
      <c r="AP965" s="107"/>
    </row>
    <row r="966" ht="15.75" customHeight="1">
      <c r="A966" s="124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60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  <c r="AO966" s="107"/>
      <c r="AP966" s="107"/>
    </row>
    <row r="967" ht="15.75" customHeight="1">
      <c r="A967" s="124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60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  <c r="AO967" s="107"/>
      <c r="AP967" s="107"/>
    </row>
    <row r="968" ht="15.75" customHeight="1">
      <c r="A968" s="124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60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  <c r="AO968" s="107"/>
      <c r="AP968" s="107"/>
    </row>
    <row r="969" ht="15.75" customHeight="1">
      <c r="A969" s="124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60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7"/>
      <c r="AP969" s="107"/>
    </row>
    <row r="970" ht="15.75" customHeight="1">
      <c r="A970" s="124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60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  <c r="AO970" s="107"/>
      <c r="AP970" s="107"/>
    </row>
    <row r="971" ht="15.75" customHeight="1">
      <c r="A971" s="124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60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  <c r="AO971" s="107"/>
      <c r="AP971" s="107"/>
    </row>
    <row r="972" ht="15.75" customHeight="1">
      <c r="A972" s="124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60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  <c r="AO972" s="107"/>
      <c r="AP972" s="107"/>
    </row>
    <row r="973" ht="15.75" customHeight="1">
      <c r="A973" s="124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60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  <c r="AO973" s="107"/>
      <c r="AP973" s="107"/>
    </row>
    <row r="974" ht="15.75" customHeight="1">
      <c r="A974" s="124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60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  <c r="AO974" s="107"/>
      <c r="AP974" s="107"/>
    </row>
    <row r="975" ht="15.75" customHeight="1">
      <c r="A975" s="124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60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  <c r="AO975" s="107"/>
      <c r="AP975" s="107"/>
    </row>
    <row r="976" ht="15.75" customHeight="1">
      <c r="A976" s="124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60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  <c r="AO976" s="107"/>
      <c r="AP976" s="107"/>
    </row>
    <row r="977" ht="15.75" customHeight="1">
      <c r="A977" s="124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60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  <c r="AO977" s="107"/>
      <c r="AP977" s="107"/>
    </row>
    <row r="978" ht="15.75" customHeight="1">
      <c r="A978" s="124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60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  <c r="AO978" s="107"/>
      <c r="AP978" s="107"/>
    </row>
    <row r="979" ht="15.75" customHeight="1">
      <c r="A979" s="124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60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  <c r="AO979" s="107"/>
      <c r="AP979" s="107"/>
    </row>
    <row r="980" ht="15.75" customHeight="1">
      <c r="A980" s="124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60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  <c r="AO980" s="107"/>
      <c r="AP980" s="107"/>
    </row>
    <row r="981" ht="15.75" customHeight="1">
      <c r="A981" s="124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60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  <c r="AO981" s="107"/>
      <c r="AP981" s="107"/>
    </row>
    <row r="982" ht="15.75" customHeight="1">
      <c r="A982" s="124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60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  <c r="AO982" s="107"/>
      <c r="AP982" s="107"/>
    </row>
    <row r="983" ht="15.75" customHeight="1">
      <c r="A983" s="124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60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</row>
    <row r="984" ht="15.75" customHeight="1">
      <c r="A984" s="124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60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  <c r="AO984" s="107"/>
      <c r="AP984" s="107"/>
    </row>
    <row r="985" ht="15.75" customHeight="1">
      <c r="A985" s="124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60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  <c r="AO985" s="107"/>
      <c r="AP985" s="107"/>
    </row>
    <row r="986" ht="15.75" customHeight="1">
      <c r="A986" s="124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60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  <c r="AO986" s="107"/>
      <c r="AP986" s="107"/>
    </row>
    <row r="987" ht="15.75" customHeight="1">
      <c r="A987" s="124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60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  <c r="AO987" s="107"/>
      <c r="AP987" s="107"/>
    </row>
    <row r="988" ht="15.75" customHeight="1">
      <c r="A988" s="124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60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  <c r="AO988" s="107"/>
      <c r="AP988" s="107"/>
    </row>
    <row r="989" ht="15.75" customHeight="1">
      <c r="A989" s="124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60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  <c r="AO989" s="107"/>
      <c r="AP989" s="107"/>
    </row>
    <row r="990" ht="15.75" customHeight="1">
      <c r="A990" s="124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60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  <c r="AO990" s="107"/>
      <c r="AP990" s="107"/>
    </row>
    <row r="991" ht="15.75" customHeight="1">
      <c r="A991" s="124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60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  <c r="AO991" s="107"/>
      <c r="AP991" s="107"/>
    </row>
    <row r="992" ht="15.75" customHeight="1">
      <c r="A992" s="124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60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  <c r="AO992" s="107"/>
      <c r="AP992" s="107"/>
    </row>
    <row r="993" ht="15.75" customHeight="1">
      <c r="A993" s="124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60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  <c r="AO993" s="107"/>
      <c r="AP993" s="107"/>
    </row>
    <row r="994" ht="15.75" customHeight="1">
      <c r="A994" s="124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60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  <c r="AO994" s="107"/>
      <c r="AP994" s="107"/>
    </row>
    <row r="995" ht="15.75" customHeight="1">
      <c r="A995" s="124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60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  <c r="AO995" s="107"/>
      <c r="AP995" s="107"/>
    </row>
    <row r="996" ht="15.75" customHeight="1">
      <c r="A996" s="124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60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7"/>
      <c r="AP996" s="107"/>
    </row>
    <row r="997" ht="15.75" customHeight="1">
      <c r="A997" s="124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60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  <c r="AO997" s="107"/>
      <c r="AP997" s="107"/>
    </row>
    <row r="998" ht="15.75" customHeight="1">
      <c r="A998" s="124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60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  <c r="AO998" s="107"/>
      <c r="AP998" s="107"/>
    </row>
    <row r="999" ht="15.75" customHeight="1">
      <c r="A999" s="124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60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  <c r="AO999" s="107"/>
      <c r="AP999" s="107"/>
    </row>
  </sheetData>
  <mergeCells count="5717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3:AE3"/>
    <mergeCell ref="AF3:AG3"/>
    <mergeCell ref="AD4:AE4"/>
    <mergeCell ref="AF4:AG4"/>
    <mergeCell ref="AH3:AI3"/>
    <mergeCell ref="AJ3:AK3"/>
    <mergeCell ref="AH4:AI4"/>
    <mergeCell ref="AJ4:AK4"/>
    <mergeCell ref="A1:E1"/>
    <mergeCell ref="F1:K1"/>
    <mergeCell ref="L1:W1"/>
    <mergeCell ref="X1:AK1"/>
    <mergeCell ref="AL1:AP1"/>
    <mergeCell ref="F3:G3"/>
    <mergeCell ref="H3:I3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X5:Y5"/>
    <mergeCell ref="Z5:AA5"/>
    <mergeCell ref="AB5:AC5"/>
    <mergeCell ref="AD5:AE5"/>
    <mergeCell ref="AF5:AG5"/>
    <mergeCell ref="AH5:AI5"/>
    <mergeCell ref="AJ5:AK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AF6:AG6"/>
    <mergeCell ref="AH6:AI6"/>
    <mergeCell ref="AJ6:AK6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F7:G7"/>
    <mergeCell ref="H7:I7"/>
    <mergeCell ref="J7:K7"/>
    <mergeCell ref="L7:M7"/>
    <mergeCell ref="N7:O7"/>
    <mergeCell ref="P7:Q7"/>
    <mergeCell ref="R7:S7"/>
    <mergeCell ref="AH10:AI10"/>
    <mergeCell ref="AJ10:AK10"/>
    <mergeCell ref="T10:U10"/>
    <mergeCell ref="V10:W10"/>
    <mergeCell ref="X10:Y10"/>
    <mergeCell ref="Z10:AA10"/>
    <mergeCell ref="AB10:AC10"/>
    <mergeCell ref="AD10:AE10"/>
    <mergeCell ref="AF10:AG10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F8:G8"/>
    <mergeCell ref="H8:I8"/>
    <mergeCell ref="J8:K8"/>
    <mergeCell ref="L8:M8"/>
    <mergeCell ref="N8:O8"/>
    <mergeCell ref="P8:Q8"/>
    <mergeCell ref="R8:S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F10:G10"/>
    <mergeCell ref="H10:I10"/>
    <mergeCell ref="J10:K10"/>
    <mergeCell ref="L10:M10"/>
    <mergeCell ref="N10:O10"/>
    <mergeCell ref="P10:Q10"/>
    <mergeCell ref="R10:S10"/>
    <mergeCell ref="AH13:AI13"/>
    <mergeCell ref="AJ13:AK13"/>
    <mergeCell ref="T13:U13"/>
    <mergeCell ref="V13:W13"/>
    <mergeCell ref="X13:Y13"/>
    <mergeCell ref="Z13:AA13"/>
    <mergeCell ref="AB13:AC13"/>
    <mergeCell ref="AD13:AE13"/>
    <mergeCell ref="AF13:AG13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F13:G13"/>
    <mergeCell ref="H13:I13"/>
    <mergeCell ref="J13:K13"/>
    <mergeCell ref="L13:M13"/>
    <mergeCell ref="N13:O13"/>
    <mergeCell ref="P13:Q13"/>
    <mergeCell ref="R13:S13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8:AI28"/>
    <mergeCell ref="AJ28:AK28"/>
    <mergeCell ref="T28:U28"/>
    <mergeCell ref="V28:W28"/>
    <mergeCell ref="X28:Y28"/>
    <mergeCell ref="Z28:AA28"/>
    <mergeCell ref="AB28:AC28"/>
    <mergeCell ref="AD28:AE28"/>
    <mergeCell ref="AF28:AG28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H27:AI27"/>
    <mergeCell ref="AJ27:AK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F28:G28"/>
    <mergeCell ref="H28:I28"/>
    <mergeCell ref="J28:K28"/>
    <mergeCell ref="L28:M28"/>
    <mergeCell ref="N28:O28"/>
    <mergeCell ref="P28:Q28"/>
    <mergeCell ref="R28:S28"/>
    <mergeCell ref="AH31:AI31"/>
    <mergeCell ref="AJ31:AK31"/>
    <mergeCell ref="T31:U31"/>
    <mergeCell ref="V31:W31"/>
    <mergeCell ref="X31:Y31"/>
    <mergeCell ref="Z31:AA31"/>
    <mergeCell ref="AB31:AC31"/>
    <mergeCell ref="AD31:AE31"/>
    <mergeCell ref="AF31:AG31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H33:AI33"/>
    <mergeCell ref="AJ33:AK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7:AI37"/>
    <mergeCell ref="AJ37:AK37"/>
    <mergeCell ref="T37:U37"/>
    <mergeCell ref="V37:W37"/>
    <mergeCell ref="X37:Y37"/>
    <mergeCell ref="Z37:AA37"/>
    <mergeCell ref="AB37:AC37"/>
    <mergeCell ref="AD37:AE37"/>
    <mergeCell ref="AF37:AG37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F37:G37"/>
    <mergeCell ref="H37:I37"/>
    <mergeCell ref="J37:K37"/>
    <mergeCell ref="L37:M37"/>
    <mergeCell ref="N37:O37"/>
    <mergeCell ref="P37:Q37"/>
    <mergeCell ref="R37:S37"/>
    <mergeCell ref="AH40:AI40"/>
    <mergeCell ref="AJ40:AK40"/>
    <mergeCell ref="T40:U40"/>
    <mergeCell ref="V40:W40"/>
    <mergeCell ref="X40:Y40"/>
    <mergeCell ref="Z40:AA40"/>
    <mergeCell ref="AB40:AC40"/>
    <mergeCell ref="AD40:AE40"/>
    <mergeCell ref="AF40:AG40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6:AI46"/>
    <mergeCell ref="AJ46:AK46"/>
    <mergeCell ref="T46:U46"/>
    <mergeCell ref="V46:W46"/>
    <mergeCell ref="X46:Y46"/>
    <mergeCell ref="Z46:AA46"/>
    <mergeCell ref="AB46:AC46"/>
    <mergeCell ref="AD46:AE46"/>
    <mergeCell ref="AF46:AG46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H45:AI45"/>
    <mergeCell ref="AJ45:AK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AH49:AI49"/>
    <mergeCell ref="AJ49:AK49"/>
    <mergeCell ref="T49:U49"/>
    <mergeCell ref="V49:W49"/>
    <mergeCell ref="X49:Y49"/>
    <mergeCell ref="Z49:AA49"/>
    <mergeCell ref="AB49:AC49"/>
    <mergeCell ref="AD49:AE49"/>
    <mergeCell ref="AF49:AG49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5:AI55"/>
    <mergeCell ref="AJ55:AK55"/>
    <mergeCell ref="T55:U55"/>
    <mergeCell ref="V55:W55"/>
    <mergeCell ref="X55:Y55"/>
    <mergeCell ref="Z55:AA55"/>
    <mergeCell ref="AB55:AC55"/>
    <mergeCell ref="AD55:AE55"/>
    <mergeCell ref="AF55:AG55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F55:G55"/>
    <mergeCell ref="H55:I55"/>
    <mergeCell ref="J55:K55"/>
    <mergeCell ref="L55:M55"/>
    <mergeCell ref="N55:O55"/>
    <mergeCell ref="P55:Q55"/>
    <mergeCell ref="R55:S55"/>
    <mergeCell ref="AH58:AI58"/>
    <mergeCell ref="AJ58:AK58"/>
    <mergeCell ref="T58:U58"/>
    <mergeCell ref="V58:W58"/>
    <mergeCell ref="X58:Y58"/>
    <mergeCell ref="Z58:AA58"/>
    <mergeCell ref="AB58:AC58"/>
    <mergeCell ref="AD58:AE58"/>
    <mergeCell ref="AF58:AG58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H60:AI60"/>
    <mergeCell ref="AJ60:AK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F62:G62"/>
    <mergeCell ref="H62:I62"/>
    <mergeCell ref="J62:K62"/>
    <mergeCell ref="L62:M62"/>
    <mergeCell ref="N62:O62"/>
    <mergeCell ref="P62:Q62"/>
    <mergeCell ref="R62:S62"/>
    <mergeCell ref="AH63:AI63"/>
    <mergeCell ref="AJ63:AK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F64:G64"/>
    <mergeCell ref="H64:I64"/>
    <mergeCell ref="J64:K64"/>
    <mergeCell ref="L64:M64"/>
    <mergeCell ref="N64:O64"/>
    <mergeCell ref="P64:Q64"/>
    <mergeCell ref="R64:S64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H69:AI69"/>
    <mergeCell ref="AJ69:AK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3:AI73"/>
    <mergeCell ref="AJ73:AK73"/>
    <mergeCell ref="T73:U73"/>
    <mergeCell ref="V73:W73"/>
    <mergeCell ref="X73:Y73"/>
    <mergeCell ref="Z73:AA73"/>
    <mergeCell ref="AB73:AC73"/>
    <mergeCell ref="AD73:AE73"/>
    <mergeCell ref="AF73:AG73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F71:G71"/>
    <mergeCell ref="H71:I71"/>
    <mergeCell ref="J71:K71"/>
    <mergeCell ref="L71:M71"/>
    <mergeCell ref="N71:O71"/>
    <mergeCell ref="P71:Q71"/>
    <mergeCell ref="R71:S71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F73:G73"/>
    <mergeCell ref="H73:I73"/>
    <mergeCell ref="J73:K73"/>
    <mergeCell ref="L73:M73"/>
    <mergeCell ref="N73:O73"/>
    <mergeCell ref="P73:Q73"/>
    <mergeCell ref="R73:S73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H78:AI78"/>
    <mergeCell ref="AJ78:AK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F80:G80"/>
    <mergeCell ref="H80:I80"/>
    <mergeCell ref="J80:K80"/>
    <mergeCell ref="L80:M80"/>
    <mergeCell ref="N80:O80"/>
    <mergeCell ref="P80:Q80"/>
    <mergeCell ref="R80:S80"/>
    <mergeCell ref="AH81:AI81"/>
    <mergeCell ref="AJ81:AK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F82:G82"/>
    <mergeCell ref="H82:I82"/>
    <mergeCell ref="J82:K82"/>
    <mergeCell ref="L82:M82"/>
    <mergeCell ref="N82:O82"/>
    <mergeCell ref="P82:Q82"/>
    <mergeCell ref="R82:S82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H87:AI87"/>
    <mergeCell ref="AJ87:AK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1:AI91"/>
    <mergeCell ref="AJ91:AK91"/>
    <mergeCell ref="T91:U91"/>
    <mergeCell ref="V91:W91"/>
    <mergeCell ref="X91:Y91"/>
    <mergeCell ref="Z91:AA91"/>
    <mergeCell ref="AB91:AC91"/>
    <mergeCell ref="AD91:AE91"/>
    <mergeCell ref="AF91:AG91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F89:G89"/>
    <mergeCell ref="H89:I89"/>
    <mergeCell ref="J89:K89"/>
    <mergeCell ref="L89:M89"/>
    <mergeCell ref="N89:O89"/>
    <mergeCell ref="P89:Q89"/>
    <mergeCell ref="R89:S89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F91:G91"/>
    <mergeCell ref="H91:I91"/>
    <mergeCell ref="J91:K91"/>
    <mergeCell ref="L91:M91"/>
    <mergeCell ref="N91:O91"/>
    <mergeCell ref="P91:Q91"/>
    <mergeCell ref="R91:S91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H96:AI96"/>
    <mergeCell ref="AJ96:AK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F98:G98"/>
    <mergeCell ref="H98:I98"/>
    <mergeCell ref="J98:K98"/>
    <mergeCell ref="L98:M98"/>
    <mergeCell ref="N98:O98"/>
    <mergeCell ref="P98:Q98"/>
    <mergeCell ref="R98:S98"/>
    <mergeCell ref="AH99:AI99"/>
    <mergeCell ref="AJ99:AK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F100:G100"/>
    <mergeCell ref="H100:I100"/>
    <mergeCell ref="J100:K100"/>
    <mergeCell ref="L100:M100"/>
    <mergeCell ref="N100:O100"/>
    <mergeCell ref="P100:Q100"/>
    <mergeCell ref="R100:S100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H105:AI105"/>
    <mergeCell ref="AJ105:AK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9:AI109"/>
    <mergeCell ref="AJ109:AK109"/>
    <mergeCell ref="T109:U109"/>
    <mergeCell ref="V109:W109"/>
    <mergeCell ref="X109:Y109"/>
    <mergeCell ref="Z109:AA109"/>
    <mergeCell ref="AB109:AC109"/>
    <mergeCell ref="AD109:AE109"/>
    <mergeCell ref="AF109:AG109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F107:G107"/>
    <mergeCell ref="H107:I107"/>
    <mergeCell ref="J107:K107"/>
    <mergeCell ref="L107:M107"/>
    <mergeCell ref="N107:O107"/>
    <mergeCell ref="P107:Q107"/>
    <mergeCell ref="R107:S107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F109:G109"/>
    <mergeCell ref="H109:I109"/>
    <mergeCell ref="J109:K109"/>
    <mergeCell ref="L109:M109"/>
    <mergeCell ref="N109:O109"/>
    <mergeCell ref="P109:Q109"/>
    <mergeCell ref="R109:S109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H114:AI114"/>
    <mergeCell ref="AJ114:AK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F116:G116"/>
    <mergeCell ref="H116:I116"/>
    <mergeCell ref="J116:K116"/>
    <mergeCell ref="L116:M116"/>
    <mergeCell ref="N116:O116"/>
    <mergeCell ref="P116:Q116"/>
    <mergeCell ref="R116:S116"/>
    <mergeCell ref="AH117:AI117"/>
    <mergeCell ref="AJ117:AK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F118:G118"/>
    <mergeCell ref="H118:I118"/>
    <mergeCell ref="J118:K118"/>
    <mergeCell ref="L118:M118"/>
    <mergeCell ref="N118:O118"/>
    <mergeCell ref="P118:Q118"/>
    <mergeCell ref="R118:S118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H123:AI123"/>
    <mergeCell ref="AJ123:AK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7:AI127"/>
    <mergeCell ref="AJ127:AK127"/>
    <mergeCell ref="T127:U127"/>
    <mergeCell ref="V127:W127"/>
    <mergeCell ref="X127:Y127"/>
    <mergeCell ref="Z127:AA127"/>
    <mergeCell ref="AB127:AC127"/>
    <mergeCell ref="AD127:AE127"/>
    <mergeCell ref="AF127:AG127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F125:G125"/>
    <mergeCell ref="H125:I125"/>
    <mergeCell ref="J125:K125"/>
    <mergeCell ref="L125:M125"/>
    <mergeCell ref="N125:O125"/>
    <mergeCell ref="P125:Q125"/>
    <mergeCell ref="R125:S125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F127:G127"/>
    <mergeCell ref="H127:I127"/>
    <mergeCell ref="J127:K127"/>
    <mergeCell ref="L127:M127"/>
    <mergeCell ref="N127:O127"/>
    <mergeCell ref="P127:Q127"/>
    <mergeCell ref="R127:S127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H132:AI132"/>
    <mergeCell ref="AJ132:AK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F134:G134"/>
    <mergeCell ref="H134:I134"/>
    <mergeCell ref="J134:K134"/>
    <mergeCell ref="L134:M134"/>
    <mergeCell ref="N134:O134"/>
    <mergeCell ref="P134:Q134"/>
    <mergeCell ref="R134:S134"/>
    <mergeCell ref="AH135:AI135"/>
    <mergeCell ref="AJ135:AK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F136:G136"/>
    <mergeCell ref="H136:I136"/>
    <mergeCell ref="J136:K136"/>
    <mergeCell ref="L136:M136"/>
    <mergeCell ref="N136:O136"/>
    <mergeCell ref="P136:Q136"/>
    <mergeCell ref="R136:S136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H141:AI141"/>
    <mergeCell ref="AJ141:AK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5:AI145"/>
    <mergeCell ref="AJ145:AK145"/>
    <mergeCell ref="T145:U145"/>
    <mergeCell ref="V145:W145"/>
    <mergeCell ref="X145:Y145"/>
    <mergeCell ref="Z145:AA145"/>
    <mergeCell ref="AB145:AC145"/>
    <mergeCell ref="AD145:AE145"/>
    <mergeCell ref="AF145:AG145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F143:G143"/>
    <mergeCell ref="H143:I143"/>
    <mergeCell ref="J143:K143"/>
    <mergeCell ref="L143:M143"/>
    <mergeCell ref="N143:O143"/>
    <mergeCell ref="P143:Q143"/>
    <mergeCell ref="R143:S143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F145:G145"/>
    <mergeCell ref="H145:I145"/>
    <mergeCell ref="J145:K145"/>
    <mergeCell ref="L145:M145"/>
    <mergeCell ref="N145:O145"/>
    <mergeCell ref="P145:Q145"/>
    <mergeCell ref="R145:S145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H150:AI150"/>
    <mergeCell ref="AJ150:AK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F152:G152"/>
    <mergeCell ref="H152:I152"/>
    <mergeCell ref="J152:K152"/>
    <mergeCell ref="L152:M152"/>
    <mergeCell ref="N152:O152"/>
    <mergeCell ref="P152:Q152"/>
    <mergeCell ref="R152:S152"/>
    <mergeCell ref="AH153:AI153"/>
    <mergeCell ref="AJ153:AK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F154:G154"/>
    <mergeCell ref="H154:I154"/>
    <mergeCell ref="J154:K154"/>
    <mergeCell ref="L154:M154"/>
    <mergeCell ref="N154:O154"/>
    <mergeCell ref="P154:Q154"/>
    <mergeCell ref="R154:S154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H159:AI159"/>
    <mergeCell ref="AJ159:AK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3:AI163"/>
    <mergeCell ref="AJ163:AK163"/>
    <mergeCell ref="T163:U163"/>
    <mergeCell ref="V163:W163"/>
    <mergeCell ref="X163:Y163"/>
    <mergeCell ref="Z163:AA163"/>
    <mergeCell ref="AB163:AC163"/>
    <mergeCell ref="AD163:AE163"/>
    <mergeCell ref="AF163:AG163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F161:G161"/>
    <mergeCell ref="H161:I161"/>
    <mergeCell ref="J161:K161"/>
    <mergeCell ref="L161:M161"/>
    <mergeCell ref="N161:O161"/>
    <mergeCell ref="P161:Q161"/>
    <mergeCell ref="R161:S161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F163:G163"/>
    <mergeCell ref="H163:I163"/>
    <mergeCell ref="J163:K163"/>
    <mergeCell ref="L163:M163"/>
    <mergeCell ref="N163:O163"/>
    <mergeCell ref="P163:Q163"/>
    <mergeCell ref="R163:S163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F166:G166"/>
    <mergeCell ref="H166:I166"/>
    <mergeCell ref="J166:K166"/>
    <mergeCell ref="L166:M166"/>
    <mergeCell ref="N166:O166"/>
    <mergeCell ref="P166:Q166"/>
    <mergeCell ref="R166:S166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F314:G314"/>
    <mergeCell ref="H314:I314"/>
    <mergeCell ref="J314:K314"/>
    <mergeCell ref="L314:M314"/>
    <mergeCell ref="N314:O314"/>
    <mergeCell ref="P314:Q314"/>
    <mergeCell ref="R314:S314"/>
    <mergeCell ref="AH315:AI315"/>
    <mergeCell ref="AJ315:AK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F316:G316"/>
    <mergeCell ref="H316:I316"/>
    <mergeCell ref="J316:K316"/>
    <mergeCell ref="L316:M316"/>
    <mergeCell ref="N316:O316"/>
    <mergeCell ref="P316:Q316"/>
    <mergeCell ref="R316:S316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21:AI321"/>
    <mergeCell ref="AJ321:AK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5:AI325"/>
    <mergeCell ref="AJ325:AK325"/>
    <mergeCell ref="T325:U325"/>
    <mergeCell ref="V325:W325"/>
    <mergeCell ref="X325:Y325"/>
    <mergeCell ref="Z325:AA325"/>
    <mergeCell ref="AB325:AC325"/>
    <mergeCell ref="AD325:AE325"/>
    <mergeCell ref="AF325:AG325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F323:G323"/>
    <mergeCell ref="H323:I323"/>
    <mergeCell ref="J323:K323"/>
    <mergeCell ref="L323:M323"/>
    <mergeCell ref="N323:O323"/>
    <mergeCell ref="P323:Q323"/>
    <mergeCell ref="R323:S323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F325:G325"/>
    <mergeCell ref="H325:I325"/>
    <mergeCell ref="J325:K325"/>
    <mergeCell ref="L325:M325"/>
    <mergeCell ref="N325:O325"/>
    <mergeCell ref="P325:Q325"/>
    <mergeCell ref="R325:S325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H330:AI330"/>
    <mergeCell ref="AJ330:AK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F332:G332"/>
    <mergeCell ref="H332:I332"/>
    <mergeCell ref="J332:K332"/>
    <mergeCell ref="L332:M332"/>
    <mergeCell ref="N332:O332"/>
    <mergeCell ref="P332:Q332"/>
    <mergeCell ref="R332:S332"/>
    <mergeCell ref="AH333:AI333"/>
    <mergeCell ref="AJ333:AK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F334:G334"/>
    <mergeCell ref="H334:I334"/>
    <mergeCell ref="J334:K334"/>
    <mergeCell ref="L334:M334"/>
    <mergeCell ref="N334:O334"/>
    <mergeCell ref="P334:Q334"/>
    <mergeCell ref="R334:S334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AH357:AI357"/>
    <mergeCell ref="AJ357:AK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H15:AI15"/>
    <mergeCell ref="AJ15:AK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9:AI19"/>
    <mergeCell ref="AJ19:AK19"/>
    <mergeCell ref="T19:U19"/>
    <mergeCell ref="V19:W19"/>
    <mergeCell ref="X19:Y19"/>
    <mergeCell ref="Z19:AA19"/>
    <mergeCell ref="AB19:AC19"/>
    <mergeCell ref="AD19:AE19"/>
    <mergeCell ref="AF19:AG19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F17:G17"/>
    <mergeCell ref="H17:I17"/>
    <mergeCell ref="J17:K17"/>
    <mergeCell ref="L17:M17"/>
    <mergeCell ref="N17:O17"/>
    <mergeCell ref="P17:Q17"/>
    <mergeCell ref="R17:S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F19:G19"/>
    <mergeCell ref="H19:I19"/>
    <mergeCell ref="J19:K19"/>
    <mergeCell ref="L19:M19"/>
    <mergeCell ref="N19:O19"/>
    <mergeCell ref="P19:Q19"/>
    <mergeCell ref="R19:S19"/>
    <mergeCell ref="AH22:AI22"/>
    <mergeCell ref="AJ22:AK22"/>
    <mergeCell ref="T22:U22"/>
    <mergeCell ref="V22:W22"/>
    <mergeCell ref="X22:Y22"/>
    <mergeCell ref="Z22:AA22"/>
    <mergeCell ref="AB22:AC22"/>
    <mergeCell ref="AD22:AE22"/>
    <mergeCell ref="AF22:AG22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F22:G22"/>
    <mergeCell ref="H22:I22"/>
    <mergeCell ref="J22:K22"/>
    <mergeCell ref="L22:M22"/>
    <mergeCell ref="N22:O22"/>
    <mergeCell ref="P22:Q22"/>
    <mergeCell ref="R22:S22"/>
    <mergeCell ref="F359:G359"/>
    <mergeCell ref="H359:I359"/>
    <mergeCell ref="J359:K359"/>
    <mergeCell ref="L359:M359"/>
    <mergeCell ref="N359:O359"/>
    <mergeCell ref="P359:Q359"/>
    <mergeCell ref="R359:S359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H339:AI339"/>
    <mergeCell ref="AJ339:AK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3:AI343"/>
    <mergeCell ref="AJ343:AK343"/>
    <mergeCell ref="T343:U343"/>
    <mergeCell ref="V343:W343"/>
    <mergeCell ref="X343:Y343"/>
    <mergeCell ref="Z343:AA343"/>
    <mergeCell ref="AB343:AC343"/>
    <mergeCell ref="AD343:AE343"/>
    <mergeCell ref="AF343:AG343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F341:G341"/>
    <mergeCell ref="H341:I341"/>
    <mergeCell ref="J341:K341"/>
    <mergeCell ref="L341:M341"/>
    <mergeCell ref="N341:O341"/>
    <mergeCell ref="P341:Q341"/>
    <mergeCell ref="R341:S341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F343:G343"/>
    <mergeCell ref="H343:I343"/>
    <mergeCell ref="J343:K343"/>
    <mergeCell ref="L343:M343"/>
    <mergeCell ref="N343:O343"/>
    <mergeCell ref="P343:Q343"/>
    <mergeCell ref="R343:S343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H348:AI348"/>
    <mergeCell ref="AJ348:AK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F350:G350"/>
    <mergeCell ref="H350:I350"/>
    <mergeCell ref="J350:K350"/>
    <mergeCell ref="L350:M350"/>
    <mergeCell ref="N350:O350"/>
    <mergeCell ref="P350:Q350"/>
    <mergeCell ref="R350:S350"/>
    <mergeCell ref="AH351:AI351"/>
    <mergeCell ref="AJ351:AK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F352:G352"/>
    <mergeCell ref="H352:I352"/>
    <mergeCell ref="J352:K352"/>
    <mergeCell ref="L352:M352"/>
    <mergeCell ref="N352:O352"/>
    <mergeCell ref="P352:Q352"/>
    <mergeCell ref="R352:S352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F355:G355"/>
    <mergeCell ref="H355:I355"/>
    <mergeCell ref="J355:K355"/>
    <mergeCell ref="L355:M355"/>
    <mergeCell ref="N355:O355"/>
    <mergeCell ref="P355:Q355"/>
    <mergeCell ref="R355:S355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H168:AI168"/>
    <mergeCell ref="AJ168:AK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F170:G170"/>
    <mergeCell ref="H170:I170"/>
    <mergeCell ref="J170:K170"/>
    <mergeCell ref="L170:M170"/>
    <mergeCell ref="N170:O170"/>
    <mergeCell ref="P170:Q170"/>
    <mergeCell ref="R170:S170"/>
    <mergeCell ref="AH171:AI171"/>
    <mergeCell ref="AJ171:AK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F172:G172"/>
    <mergeCell ref="H172:I172"/>
    <mergeCell ref="J172:K172"/>
    <mergeCell ref="L172:M172"/>
    <mergeCell ref="N172:O172"/>
    <mergeCell ref="P172:Q172"/>
    <mergeCell ref="R172:S172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H177:AI177"/>
    <mergeCell ref="AJ177:AK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F179:G179"/>
    <mergeCell ref="H179:I179"/>
    <mergeCell ref="J179:K179"/>
    <mergeCell ref="L179:M179"/>
    <mergeCell ref="N179:O179"/>
    <mergeCell ref="P179:Q179"/>
    <mergeCell ref="R179:S179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F181:G181"/>
    <mergeCell ref="H181:I181"/>
    <mergeCell ref="J181:K181"/>
    <mergeCell ref="L181:M181"/>
    <mergeCell ref="N181:O181"/>
    <mergeCell ref="P181:Q181"/>
    <mergeCell ref="R181:S181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H186:AI186"/>
    <mergeCell ref="AJ186:AK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F188:G188"/>
    <mergeCell ref="H188:I188"/>
    <mergeCell ref="J188:K188"/>
    <mergeCell ref="L188:M188"/>
    <mergeCell ref="N188:O188"/>
    <mergeCell ref="P188:Q188"/>
    <mergeCell ref="R188:S188"/>
    <mergeCell ref="AH189:AI189"/>
    <mergeCell ref="AJ189:AK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F190:G190"/>
    <mergeCell ref="H190:I190"/>
    <mergeCell ref="J190:K190"/>
    <mergeCell ref="L190:M190"/>
    <mergeCell ref="N190:O190"/>
    <mergeCell ref="P190:Q190"/>
    <mergeCell ref="R190:S190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H195:AI195"/>
    <mergeCell ref="AJ195:AK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9:AI199"/>
    <mergeCell ref="AJ199:AK199"/>
    <mergeCell ref="T199:U199"/>
    <mergeCell ref="V199:W199"/>
    <mergeCell ref="X199:Y199"/>
    <mergeCell ref="Z199:AA199"/>
    <mergeCell ref="AB199:AC199"/>
    <mergeCell ref="AD199:AE199"/>
    <mergeCell ref="AF199:AG199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F197:G197"/>
    <mergeCell ref="H197:I197"/>
    <mergeCell ref="J197:K197"/>
    <mergeCell ref="L197:M197"/>
    <mergeCell ref="N197:O197"/>
    <mergeCell ref="P197:Q197"/>
    <mergeCell ref="R197:S197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F199:G199"/>
    <mergeCell ref="H199:I199"/>
    <mergeCell ref="J199:K199"/>
    <mergeCell ref="L199:M199"/>
    <mergeCell ref="N199:O199"/>
    <mergeCell ref="P199:Q199"/>
    <mergeCell ref="R199:S199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H204:AI204"/>
    <mergeCell ref="AJ204:AK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F206:G206"/>
    <mergeCell ref="H206:I206"/>
    <mergeCell ref="J206:K206"/>
    <mergeCell ref="L206:M206"/>
    <mergeCell ref="N206:O206"/>
    <mergeCell ref="P206:Q206"/>
    <mergeCell ref="R206:S206"/>
    <mergeCell ref="AH207:AI207"/>
    <mergeCell ref="AJ207:AK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F208:G208"/>
    <mergeCell ref="H208:I208"/>
    <mergeCell ref="J208:K208"/>
    <mergeCell ref="L208:M208"/>
    <mergeCell ref="N208:O208"/>
    <mergeCell ref="P208:Q208"/>
    <mergeCell ref="R208:S208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H213:AI213"/>
    <mergeCell ref="AJ213:AK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7:AI217"/>
    <mergeCell ref="AJ217:AK217"/>
    <mergeCell ref="T217:U217"/>
    <mergeCell ref="V217:W217"/>
    <mergeCell ref="X217:Y217"/>
    <mergeCell ref="Z217:AA217"/>
    <mergeCell ref="AB217:AC217"/>
    <mergeCell ref="AD217:AE217"/>
    <mergeCell ref="AF217:AG217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F215:G215"/>
    <mergeCell ref="H215:I215"/>
    <mergeCell ref="J215:K215"/>
    <mergeCell ref="L215:M215"/>
    <mergeCell ref="N215:O215"/>
    <mergeCell ref="P215:Q215"/>
    <mergeCell ref="R215:S215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F217:G217"/>
    <mergeCell ref="H217:I217"/>
    <mergeCell ref="J217:K217"/>
    <mergeCell ref="L217:M217"/>
    <mergeCell ref="N217:O217"/>
    <mergeCell ref="P217:Q217"/>
    <mergeCell ref="R217:S217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H222:AI222"/>
    <mergeCell ref="AJ222:AK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F224:G224"/>
    <mergeCell ref="H224:I224"/>
    <mergeCell ref="J224:K224"/>
    <mergeCell ref="L224:M224"/>
    <mergeCell ref="N224:O224"/>
    <mergeCell ref="P224:Q224"/>
    <mergeCell ref="R224:S224"/>
    <mergeCell ref="AH225:AI225"/>
    <mergeCell ref="AJ225:AK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F226:G226"/>
    <mergeCell ref="H226:I226"/>
    <mergeCell ref="J226:K226"/>
    <mergeCell ref="L226:M226"/>
    <mergeCell ref="N226:O226"/>
    <mergeCell ref="P226:Q226"/>
    <mergeCell ref="R226:S226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H231:AI231"/>
    <mergeCell ref="AJ231:AK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5:AI235"/>
    <mergeCell ref="AJ235:AK235"/>
    <mergeCell ref="T235:U235"/>
    <mergeCell ref="V235:W235"/>
    <mergeCell ref="X235:Y235"/>
    <mergeCell ref="Z235:AA235"/>
    <mergeCell ref="AB235:AC235"/>
    <mergeCell ref="AD235:AE235"/>
    <mergeCell ref="AF235:AG235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F233:G233"/>
    <mergeCell ref="H233:I233"/>
    <mergeCell ref="J233:K233"/>
    <mergeCell ref="L233:M233"/>
    <mergeCell ref="N233:O233"/>
    <mergeCell ref="P233:Q233"/>
    <mergeCell ref="R233:S233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F235:G235"/>
    <mergeCell ref="H235:I235"/>
    <mergeCell ref="J235:K235"/>
    <mergeCell ref="L235:M235"/>
    <mergeCell ref="N235:O235"/>
    <mergeCell ref="P235:Q235"/>
    <mergeCell ref="R235:S235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H240:AI240"/>
    <mergeCell ref="AJ240:AK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F242:G242"/>
    <mergeCell ref="H242:I242"/>
    <mergeCell ref="J242:K242"/>
    <mergeCell ref="L242:M242"/>
    <mergeCell ref="N242:O242"/>
    <mergeCell ref="P242:Q242"/>
    <mergeCell ref="R242:S242"/>
    <mergeCell ref="AH243:AI243"/>
    <mergeCell ref="AJ243:AK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F244:G244"/>
    <mergeCell ref="H244:I244"/>
    <mergeCell ref="J244:K244"/>
    <mergeCell ref="L244:M244"/>
    <mergeCell ref="N244:O244"/>
    <mergeCell ref="P244:Q244"/>
    <mergeCell ref="R244:S244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H249:AI249"/>
    <mergeCell ref="AJ249:AK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3:AI253"/>
    <mergeCell ref="AJ253:AK253"/>
    <mergeCell ref="T253:U253"/>
    <mergeCell ref="V253:W253"/>
    <mergeCell ref="X253:Y253"/>
    <mergeCell ref="Z253:AA253"/>
    <mergeCell ref="AB253:AC253"/>
    <mergeCell ref="AD253:AE253"/>
    <mergeCell ref="AF253:AG253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F251:G251"/>
    <mergeCell ref="H251:I251"/>
    <mergeCell ref="J251:K251"/>
    <mergeCell ref="L251:M251"/>
    <mergeCell ref="N251:O251"/>
    <mergeCell ref="P251:Q251"/>
    <mergeCell ref="R251:S251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F253:G253"/>
    <mergeCell ref="H253:I253"/>
    <mergeCell ref="J253:K253"/>
    <mergeCell ref="L253:M253"/>
    <mergeCell ref="N253:O253"/>
    <mergeCell ref="P253:Q253"/>
    <mergeCell ref="R253:S253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AH258:AI258"/>
    <mergeCell ref="AJ258:AK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F260:G260"/>
    <mergeCell ref="H260:I260"/>
    <mergeCell ref="J260:K260"/>
    <mergeCell ref="L260:M260"/>
    <mergeCell ref="N260:O260"/>
    <mergeCell ref="P260:Q260"/>
    <mergeCell ref="R260:S260"/>
    <mergeCell ref="AH261:AI261"/>
    <mergeCell ref="AJ261:AK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F262:G262"/>
    <mergeCell ref="H262:I262"/>
    <mergeCell ref="J262:K262"/>
    <mergeCell ref="L262:M262"/>
    <mergeCell ref="N262:O262"/>
    <mergeCell ref="P262:Q262"/>
    <mergeCell ref="R262:S262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H267:AI267"/>
    <mergeCell ref="AJ267:AK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1:AI271"/>
    <mergeCell ref="AJ271:AK271"/>
    <mergeCell ref="T271:U271"/>
    <mergeCell ref="V271:W271"/>
    <mergeCell ref="X271:Y271"/>
    <mergeCell ref="Z271:AA271"/>
    <mergeCell ref="AB271:AC271"/>
    <mergeCell ref="AD271:AE271"/>
    <mergeCell ref="AF271:AG271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F269:G269"/>
    <mergeCell ref="H269:I269"/>
    <mergeCell ref="J269:K269"/>
    <mergeCell ref="L269:M269"/>
    <mergeCell ref="N269:O269"/>
    <mergeCell ref="P269:Q269"/>
    <mergeCell ref="R269:S269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F271:G271"/>
    <mergeCell ref="H271:I271"/>
    <mergeCell ref="J271:K271"/>
    <mergeCell ref="L271:M271"/>
    <mergeCell ref="N271:O271"/>
    <mergeCell ref="P271:Q271"/>
    <mergeCell ref="R271:S271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H276:AI276"/>
    <mergeCell ref="AJ276:AK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F278:G278"/>
    <mergeCell ref="H278:I278"/>
    <mergeCell ref="J278:K278"/>
    <mergeCell ref="L278:M278"/>
    <mergeCell ref="N278:O278"/>
    <mergeCell ref="P278:Q278"/>
    <mergeCell ref="R278:S278"/>
    <mergeCell ref="AH279:AI279"/>
    <mergeCell ref="AJ279:AK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F280:G280"/>
    <mergeCell ref="H280:I280"/>
    <mergeCell ref="J280:K280"/>
    <mergeCell ref="L280:M280"/>
    <mergeCell ref="N280:O280"/>
    <mergeCell ref="P280:Q280"/>
    <mergeCell ref="R280:S280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H285:AI285"/>
    <mergeCell ref="AJ285:AK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F287:G287"/>
    <mergeCell ref="H287:I287"/>
    <mergeCell ref="J287:K287"/>
    <mergeCell ref="L287:M287"/>
    <mergeCell ref="N287:O287"/>
    <mergeCell ref="P287:Q287"/>
    <mergeCell ref="R287:S287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F289:G289"/>
    <mergeCell ref="H289:I289"/>
    <mergeCell ref="J289:K289"/>
    <mergeCell ref="L289:M289"/>
    <mergeCell ref="N289:O289"/>
    <mergeCell ref="P289:Q289"/>
    <mergeCell ref="R289:S289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H294:AI294"/>
    <mergeCell ref="AJ294:AK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F296:G296"/>
    <mergeCell ref="H296:I296"/>
    <mergeCell ref="J296:K296"/>
    <mergeCell ref="L296:M296"/>
    <mergeCell ref="N296:O296"/>
    <mergeCell ref="P296:Q296"/>
    <mergeCell ref="R296:S296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F298:G298"/>
    <mergeCell ref="H298:I298"/>
    <mergeCell ref="J298:K298"/>
    <mergeCell ref="L298:M298"/>
    <mergeCell ref="N298:O298"/>
    <mergeCell ref="P298:Q298"/>
    <mergeCell ref="R298:S298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H303:AI303"/>
    <mergeCell ref="AJ303:AK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7:AI307"/>
    <mergeCell ref="AJ307:AK307"/>
    <mergeCell ref="T307:U307"/>
    <mergeCell ref="V307:W307"/>
    <mergeCell ref="X307:Y307"/>
    <mergeCell ref="Z307:AA307"/>
    <mergeCell ref="AB307:AC307"/>
    <mergeCell ref="AD307:AE307"/>
    <mergeCell ref="AF307:AG307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F305:G305"/>
    <mergeCell ref="H305:I305"/>
    <mergeCell ref="J305:K305"/>
    <mergeCell ref="L305:M305"/>
    <mergeCell ref="N305:O305"/>
    <mergeCell ref="P305:Q305"/>
    <mergeCell ref="R305:S305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F307:G307"/>
    <mergeCell ref="H307:I307"/>
    <mergeCell ref="J307:K307"/>
    <mergeCell ref="L307:M307"/>
    <mergeCell ref="N307:O307"/>
    <mergeCell ref="P307:Q307"/>
    <mergeCell ref="R307:S307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H312:AI312"/>
    <mergeCell ref="AJ312:AK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</mergeCells>
  <printOptions/>
  <pageMargins bottom="0.75" footer="0.0" header="0.0" left="0.7" right="0.7" top="0.75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11" width="3.67"/>
    <col customWidth="1" min="12" max="12" width="6.56"/>
    <col customWidth="1" min="13" max="13" width="5.0"/>
    <col customWidth="1" min="14" max="22" width="3.67"/>
    <col customWidth="1" min="23" max="23" width="3.0"/>
    <col customWidth="1" hidden="1" min="24" max="35" width="3.67"/>
    <col customWidth="1" min="36" max="36" width="12.0"/>
    <col customWidth="1" min="37" max="37" width="10.44"/>
    <col customWidth="1" min="38" max="38" width="11.56"/>
    <col customWidth="1" min="39" max="39" width="11.44"/>
    <col customWidth="1" min="40" max="40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5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6" t="s">
        <v>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7" t="s">
        <v>4</v>
      </c>
      <c r="AK1" s="8"/>
      <c r="AL1" s="8"/>
      <c r="AM1" s="8"/>
      <c r="AN1" s="9"/>
    </row>
    <row r="2" ht="130.5" customHeight="1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2" t="s">
        <v>10</v>
      </c>
      <c r="G2" s="13">
        <v>17.88</v>
      </c>
      <c r="H2" s="14" t="s">
        <v>11</v>
      </c>
      <c r="I2" s="13">
        <v>17.88</v>
      </c>
      <c r="J2" s="14" t="s">
        <v>12</v>
      </c>
      <c r="K2" s="13">
        <v>17.88</v>
      </c>
      <c r="L2" s="14" t="s">
        <v>10</v>
      </c>
      <c r="M2" s="13">
        <v>11.35</v>
      </c>
      <c r="N2" s="14" t="s">
        <v>11</v>
      </c>
      <c r="O2" s="13">
        <v>11.35</v>
      </c>
      <c r="P2" s="14" t="s">
        <v>12</v>
      </c>
      <c r="Q2" s="13">
        <v>11.35</v>
      </c>
      <c r="R2" s="15" t="s">
        <v>13</v>
      </c>
      <c r="S2" s="13">
        <v>4.51</v>
      </c>
      <c r="T2" s="16" t="s">
        <v>14</v>
      </c>
      <c r="U2" s="16">
        <v>0.0</v>
      </c>
      <c r="V2" s="16" t="s">
        <v>14</v>
      </c>
      <c r="W2" s="16">
        <v>0.0</v>
      </c>
      <c r="X2" s="16" t="s">
        <v>14</v>
      </c>
      <c r="Y2" s="16">
        <v>0.0</v>
      </c>
      <c r="Z2" s="16" t="s">
        <v>14</v>
      </c>
      <c r="AA2" s="16">
        <v>0.0</v>
      </c>
      <c r="AB2" s="16" t="s">
        <v>14</v>
      </c>
      <c r="AC2" s="16">
        <v>0.0</v>
      </c>
      <c r="AD2" s="16" t="s">
        <v>14</v>
      </c>
      <c r="AE2" s="16">
        <v>0.0</v>
      </c>
      <c r="AF2" s="16" t="s">
        <v>14</v>
      </c>
      <c r="AG2" s="16">
        <v>0.0</v>
      </c>
      <c r="AH2" s="16" t="s">
        <v>14</v>
      </c>
      <c r="AI2" s="16">
        <v>0.0</v>
      </c>
      <c r="AJ2" s="17" t="s">
        <v>15</v>
      </c>
      <c r="AK2" s="17" t="s">
        <v>16</v>
      </c>
      <c r="AL2" s="17" t="s">
        <v>17</v>
      </c>
      <c r="AM2" s="17" t="s">
        <v>18</v>
      </c>
      <c r="AN2" s="17" t="s">
        <v>19</v>
      </c>
    </row>
    <row r="3" ht="15.75" customHeight="1">
      <c r="A3" s="18" t="s">
        <v>20</v>
      </c>
      <c r="B3" s="19">
        <v>44563.0</v>
      </c>
      <c r="C3" s="20">
        <v>1.0</v>
      </c>
      <c r="D3" s="21" t="s">
        <v>21</v>
      </c>
      <c r="E3" s="22"/>
      <c r="F3" s="29"/>
      <c r="H3" s="30"/>
      <c r="J3" s="30"/>
      <c r="L3" s="29"/>
      <c r="N3" s="30"/>
      <c r="P3" s="30"/>
      <c r="R3" s="30"/>
      <c r="T3" s="30"/>
      <c r="V3" s="30"/>
      <c r="W3" s="27"/>
      <c r="X3" s="23"/>
      <c r="Z3" s="24"/>
      <c r="AB3" s="24"/>
      <c r="AD3" s="24"/>
      <c r="AF3" s="24"/>
      <c r="AH3" s="24"/>
      <c r="AI3" s="27"/>
      <c r="AJ3" s="28">
        <f t="shared" ref="AJ3:AJ359" si="1">(F3*G$2)+(H3*I$2)+(J3*K$2)+(L3*M$2)+(N3*O$2)+(P3*Q$2)+(R3*S$2)+(T3*U$2)+(V3*W$2)+(X3*Y$2)+(Z3*AA$2)+(AB3*AC$2)+(AD3*AE$2)+(AF3*AG$2)+(AH3*AI$2)</f>
        <v>0</v>
      </c>
      <c r="AK3" s="20">
        <f t="shared" ref="AK3:AK359" si="2">sum(F3,H3,J3,L3,N3,P3)</f>
        <v>0</v>
      </c>
      <c r="AL3" s="20" t="str">
        <f t="shared" ref="AL3:AL359" si="3">R3</f>
        <v/>
      </c>
      <c r="AM3" s="20">
        <f t="shared" ref="AM3:AM359" si="4">sum(F3:AI3)</f>
        <v>0</v>
      </c>
      <c r="AN3" s="31" t="str">
        <f t="shared" ref="AN3:AN359" si="5">iferror(AJ3/AM3,"")</f>
        <v/>
      </c>
    </row>
    <row r="4" ht="15.75" customHeight="1">
      <c r="A4" s="32" t="s">
        <v>22</v>
      </c>
      <c r="B4" s="34">
        <f t="shared" ref="B4:B359" si="6">B3+1</f>
        <v>44564</v>
      </c>
      <c r="C4" s="35">
        <v>1.0</v>
      </c>
      <c r="D4" s="36" t="s">
        <v>21</v>
      </c>
      <c r="E4" s="37"/>
      <c r="F4" s="29"/>
      <c r="H4" s="30"/>
      <c r="J4" s="30"/>
      <c r="L4" s="29"/>
      <c r="N4" s="30"/>
      <c r="P4" s="30"/>
      <c r="R4" s="30"/>
      <c r="T4" s="30"/>
      <c r="V4" s="30"/>
      <c r="W4" s="27"/>
      <c r="X4" s="23"/>
      <c r="Z4" s="24"/>
      <c r="AB4" s="24"/>
      <c r="AD4" s="24"/>
      <c r="AF4" s="24"/>
      <c r="AH4" s="24"/>
      <c r="AI4" s="27"/>
      <c r="AJ4" s="39">
        <f t="shared" si="1"/>
        <v>0</v>
      </c>
      <c r="AK4" s="35">
        <f t="shared" si="2"/>
        <v>0</v>
      </c>
      <c r="AL4" s="35" t="str">
        <f t="shared" si="3"/>
        <v/>
      </c>
      <c r="AM4" s="35">
        <f t="shared" si="4"/>
        <v>0</v>
      </c>
      <c r="AN4" s="40" t="str">
        <f t="shared" si="5"/>
        <v/>
      </c>
    </row>
    <row r="5" ht="15.75" customHeight="1">
      <c r="A5" s="32" t="s">
        <v>24</v>
      </c>
      <c r="B5" s="34">
        <f t="shared" si="6"/>
        <v>44565</v>
      </c>
      <c r="C5" s="35">
        <v>1.0</v>
      </c>
      <c r="D5" s="36" t="s">
        <v>21</v>
      </c>
      <c r="E5" s="37"/>
      <c r="F5" s="29"/>
      <c r="H5" s="30"/>
      <c r="J5" s="30"/>
      <c r="L5" s="29"/>
      <c r="N5" s="30"/>
      <c r="P5" s="62"/>
      <c r="R5" s="30"/>
      <c r="T5" s="62"/>
      <c r="V5" s="62"/>
      <c r="W5" s="27"/>
      <c r="X5" s="23"/>
      <c r="Z5" s="24"/>
      <c r="AB5" s="24"/>
      <c r="AD5" s="24"/>
      <c r="AF5" s="24"/>
      <c r="AH5" s="24"/>
      <c r="AI5" s="27"/>
      <c r="AJ5" s="39">
        <f t="shared" si="1"/>
        <v>0</v>
      </c>
      <c r="AK5" s="35">
        <f t="shared" si="2"/>
        <v>0</v>
      </c>
      <c r="AL5" s="35" t="str">
        <f t="shared" si="3"/>
        <v/>
      </c>
      <c r="AM5" s="35">
        <f t="shared" si="4"/>
        <v>0</v>
      </c>
      <c r="AN5" s="40" t="str">
        <f t="shared" si="5"/>
        <v/>
      </c>
    </row>
    <row r="6" ht="15.75" customHeight="1">
      <c r="A6" s="32" t="s">
        <v>28</v>
      </c>
      <c r="B6" s="34">
        <f t="shared" si="6"/>
        <v>44566</v>
      </c>
      <c r="C6" s="35">
        <v>1.0</v>
      </c>
      <c r="D6" s="36" t="s">
        <v>21</v>
      </c>
      <c r="E6" s="37"/>
      <c r="F6" s="65"/>
      <c r="H6" s="62"/>
      <c r="J6" s="62"/>
      <c r="L6" s="29"/>
      <c r="N6" s="30"/>
      <c r="P6" s="62"/>
      <c r="R6" s="30"/>
      <c r="T6" s="62"/>
      <c r="V6" s="62"/>
      <c r="W6" s="27"/>
      <c r="X6" s="23"/>
      <c r="Z6" s="24"/>
      <c r="AB6" s="24"/>
      <c r="AD6" s="24"/>
      <c r="AF6" s="24"/>
      <c r="AH6" s="24"/>
      <c r="AI6" s="27"/>
      <c r="AJ6" s="39">
        <f t="shared" si="1"/>
        <v>0</v>
      </c>
      <c r="AK6" s="35">
        <f t="shared" si="2"/>
        <v>0</v>
      </c>
      <c r="AL6" s="35" t="str">
        <f t="shared" si="3"/>
        <v/>
      </c>
      <c r="AM6" s="35">
        <f t="shared" si="4"/>
        <v>0</v>
      </c>
      <c r="AN6" s="40" t="str">
        <f t="shared" si="5"/>
        <v/>
      </c>
    </row>
    <row r="7" ht="15.75" customHeight="1">
      <c r="A7" s="32" t="s">
        <v>29</v>
      </c>
      <c r="B7" s="34">
        <f t="shared" si="6"/>
        <v>44567</v>
      </c>
      <c r="C7" s="35">
        <v>1.0</v>
      </c>
      <c r="D7" s="36" t="s">
        <v>21</v>
      </c>
      <c r="E7" s="37"/>
      <c r="F7" s="65"/>
      <c r="H7" s="62"/>
      <c r="J7" s="62"/>
      <c r="L7" s="29"/>
      <c r="N7" s="30"/>
      <c r="P7" s="62"/>
      <c r="R7" s="30"/>
      <c r="T7" s="62"/>
      <c r="V7" s="62"/>
      <c r="W7" s="27"/>
      <c r="X7" s="23"/>
      <c r="Z7" s="24"/>
      <c r="AB7" s="24"/>
      <c r="AD7" s="24"/>
      <c r="AF7" s="24"/>
      <c r="AH7" s="24"/>
      <c r="AI7" s="27"/>
      <c r="AJ7" s="39">
        <f t="shared" si="1"/>
        <v>0</v>
      </c>
      <c r="AK7" s="35">
        <f t="shared" si="2"/>
        <v>0</v>
      </c>
      <c r="AL7" s="35" t="str">
        <f t="shared" si="3"/>
        <v/>
      </c>
      <c r="AM7" s="35">
        <f t="shared" si="4"/>
        <v>0</v>
      </c>
      <c r="AN7" s="40" t="str">
        <f t="shared" si="5"/>
        <v/>
      </c>
    </row>
    <row r="8" ht="15.75" customHeight="1">
      <c r="A8" s="32" t="s">
        <v>30</v>
      </c>
      <c r="B8" s="34">
        <f t="shared" si="6"/>
        <v>44568</v>
      </c>
      <c r="C8" s="35">
        <v>1.0</v>
      </c>
      <c r="D8" s="36" t="s">
        <v>21</v>
      </c>
      <c r="E8" s="37"/>
      <c r="F8" s="23"/>
      <c r="H8" s="24"/>
      <c r="J8" s="24"/>
      <c r="L8" s="25"/>
      <c r="N8" s="26"/>
      <c r="P8" s="24"/>
      <c r="R8" s="26"/>
      <c r="T8" s="24"/>
      <c r="V8" s="24"/>
      <c r="W8" s="27"/>
      <c r="X8" s="23"/>
      <c r="Z8" s="24"/>
      <c r="AB8" s="24"/>
      <c r="AD8" s="24"/>
      <c r="AF8" s="24"/>
      <c r="AH8" s="24"/>
      <c r="AI8" s="27"/>
      <c r="AJ8" s="39">
        <f t="shared" si="1"/>
        <v>0</v>
      </c>
      <c r="AK8" s="35">
        <f t="shared" si="2"/>
        <v>0</v>
      </c>
      <c r="AL8" s="35" t="str">
        <f t="shared" si="3"/>
        <v/>
      </c>
      <c r="AM8" s="35">
        <f t="shared" si="4"/>
        <v>0</v>
      </c>
      <c r="AN8" s="40" t="str">
        <f t="shared" si="5"/>
        <v/>
      </c>
    </row>
    <row r="9" ht="15.75" customHeight="1">
      <c r="A9" s="48" t="s">
        <v>31</v>
      </c>
      <c r="B9" s="50">
        <f t="shared" si="6"/>
        <v>44569</v>
      </c>
      <c r="C9" s="51">
        <v>1.0</v>
      </c>
      <c r="D9" s="52" t="s">
        <v>21</v>
      </c>
      <c r="E9" s="53"/>
      <c r="F9" s="54"/>
      <c r="G9" s="56"/>
      <c r="H9" s="57"/>
      <c r="I9" s="56"/>
      <c r="J9" s="57"/>
      <c r="K9" s="56"/>
      <c r="L9" s="58"/>
      <c r="M9" s="56"/>
      <c r="N9" s="59"/>
      <c r="O9" s="56"/>
      <c r="P9" s="57"/>
      <c r="Q9" s="56"/>
      <c r="R9" s="59"/>
      <c r="S9" s="56"/>
      <c r="T9" s="57"/>
      <c r="U9" s="56"/>
      <c r="V9" s="57"/>
      <c r="W9" s="60"/>
      <c r="X9" s="54"/>
      <c r="Y9" s="56"/>
      <c r="Z9" s="57"/>
      <c r="AA9" s="56"/>
      <c r="AB9" s="57"/>
      <c r="AC9" s="56"/>
      <c r="AD9" s="57"/>
      <c r="AE9" s="56"/>
      <c r="AF9" s="57"/>
      <c r="AG9" s="56"/>
      <c r="AH9" s="57"/>
      <c r="AI9" s="60"/>
      <c r="AJ9" s="61">
        <f t="shared" si="1"/>
        <v>0</v>
      </c>
      <c r="AK9" s="51">
        <f t="shared" si="2"/>
        <v>0</v>
      </c>
      <c r="AL9" s="51" t="str">
        <f t="shared" si="3"/>
        <v/>
      </c>
      <c r="AM9" s="51">
        <f t="shared" si="4"/>
        <v>0</v>
      </c>
      <c r="AN9" s="63" t="str">
        <f t="shared" si="5"/>
        <v/>
      </c>
    </row>
    <row r="10" ht="15.75" customHeight="1">
      <c r="A10" s="18" t="s">
        <v>20</v>
      </c>
      <c r="B10" s="64">
        <f t="shared" si="6"/>
        <v>44570</v>
      </c>
      <c r="C10" s="20">
        <v>1.0</v>
      </c>
      <c r="D10" s="20" t="s">
        <v>32</v>
      </c>
      <c r="E10" s="22"/>
      <c r="F10" s="23"/>
      <c r="H10" s="24"/>
      <c r="J10" s="24"/>
      <c r="L10" s="29"/>
      <c r="N10" s="30"/>
      <c r="P10" s="24"/>
      <c r="R10" s="26"/>
      <c r="T10" s="24"/>
      <c r="V10" s="24"/>
      <c r="W10" s="27"/>
      <c r="X10" s="23"/>
      <c r="Z10" s="24"/>
      <c r="AB10" s="24"/>
      <c r="AD10" s="24"/>
      <c r="AF10" s="24"/>
      <c r="AH10" s="24"/>
      <c r="AI10" s="27"/>
      <c r="AJ10" s="28">
        <f t="shared" si="1"/>
        <v>0</v>
      </c>
      <c r="AK10" s="20">
        <f t="shared" si="2"/>
        <v>0</v>
      </c>
      <c r="AL10" s="20" t="str">
        <f t="shared" si="3"/>
        <v/>
      </c>
      <c r="AM10" s="20">
        <f t="shared" si="4"/>
        <v>0</v>
      </c>
      <c r="AN10" s="31" t="str">
        <f t="shared" si="5"/>
        <v/>
      </c>
    </row>
    <row r="11" ht="15.75" customHeight="1">
      <c r="A11" s="32" t="s">
        <v>22</v>
      </c>
      <c r="B11" s="34">
        <f t="shared" si="6"/>
        <v>44571</v>
      </c>
      <c r="C11" s="35">
        <v>1.0</v>
      </c>
      <c r="D11" s="35" t="s">
        <v>32</v>
      </c>
      <c r="E11" s="37"/>
      <c r="F11" s="23"/>
      <c r="H11" s="24"/>
      <c r="J11" s="24"/>
      <c r="L11" s="29"/>
      <c r="N11" s="30"/>
      <c r="P11" s="24"/>
      <c r="R11" s="26"/>
      <c r="T11" s="24"/>
      <c r="V11" s="24"/>
      <c r="W11" s="27"/>
      <c r="X11" s="23"/>
      <c r="Z11" s="24"/>
      <c r="AB11" s="24"/>
      <c r="AD11" s="24"/>
      <c r="AF11" s="24"/>
      <c r="AH11" s="24"/>
      <c r="AI11" s="27"/>
      <c r="AJ11" s="39">
        <f t="shared" si="1"/>
        <v>0</v>
      </c>
      <c r="AK11" s="35">
        <f t="shared" si="2"/>
        <v>0</v>
      </c>
      <c r="AL11" s="35" t="str">
        <f t="shared" si="3"/>
        <v/>
      </c>
      <c r="AM11" s="35">
        <f t="shared" si="4"/>
        <v>0</v>
      </c>
      <c r="AN11" s="40" t="str">
        <f t="shared" si="5"/>
        <v/>
      </c>
    </row>
    <row r="12" ht="15.75" customHeight="1">
      <c r="A12" s="32" t="s">
        <v>24</v>
      </c>
      <c r="B12" s="34">
        <f t="shared" si="6"/>
        <v>44572</v>
      </c>
      <c r="C12" s="35">
        <v>1.0</v>
      </c>
      <c r="D12" s="35" t="s">
        <v>32</v>
      </c>
      <c r="E12" s="37"/>
      <c r="F12" s="23"/>
      <c r="H12" s="24"/>
      <c r="J12" s="24"/>
      <c r="L12" s="29"/>
      <c r="N12" s="30"/>
      <c r="P12" s="24"/>
      <c r="R12" s="26"/>
      <c r="T12" s="24"/>
      <c r="V12" s="24"/>
      <c r="W12" s="27"/>
      <c r="X12" s="23"/>
      <c r="Z12" s="24"/>
      <c r="AB12" s="24"/>
      <c r="AD12" s="24"/>
      <c r="AF12" s="24"/>
      <c r="AH12" s="24"/>
      <c r="AI12" s="27"/>
      <c r="AJ12" s="39">
        <f t="shared" si="1"/>
        <v>0</v>
      </c>
      <c r="AK12" s="35">
        <f t="shared" si="2"/>
        <v>0</v>
      </c>
      <c r="AL12" s="35" t="str">
        <f t="shared" si="3"/>
        <v/>
      </c>
      <c r="AM12" s="35">
        <f t="shared" si="4"/>
        <v>0</v>
      </c>
      <c r="AN12" s="40" t="str">
        <f t="shared" si="5"/>
        <v/>
      </c>
    </row>
    <row r="13" ht="15.75" customHeight="1">
      <c r="A13" s="32" t="s">
        <v>28</v>
      </c>
      <c r="B13" s="34">
        <f t="shared" si="6"/>
        <v>44573</v>
      </c>
      <c r="C13" s="35">
        <v>1.0</v>
      </c>
      <c r="D13" s="35" t="s">
        <v>32</v>
      </c>
      <c r="E13" s="37"/>
      <c r="F13" s="23"/>
      <c r="H13" s="24"/>
      <c r="J13" s="24"/>
      <c r="L13" s="29"/>
      <c r="N13" s="30"/>
      <c r="P13" s="24"/>
      <c r="R13" s="26"/>
      <c r="T13" s="24"/>
      <c r="V13" s="24"/>
      <c r="W13" s="27"/>
      <c r="X13" s="23"/>
      <c r="Z13" s="24"/>
      <c r="AB13" s="24"/>
      <c r="AD13" s="24"/>
      <c r="AF13" s="24"/>
      <c r="AH13" s="24"/>
      <c r="AI13" s="27"/>
      <c r="AJ13" s="39">
        <f t="shared" si="1"/>
        <v>0</v>
      </c>
      <c r="AK13" s="35">
        <f t="shared" si="2"/>
        <v>0</v>
      </c>
      <c r="AL13" s="35" t="str">
        <f t="shared" si="3"/>
        <v/>
      </c>
      <c r="AM13" s="35">
        <f t="shared" si="4"/>
        <v>0</v>
      </c>
      <c r="AN13" s="40" t="str">
        <f t="shared" si="5"/>
        <v/>
      </c>
    </row>
    <row r="14" ht="15.75" customHeight="1">
      <c r="A14" s="32" t="s">
        <v>29</v>
      </c>
      <c r="B14" s="34">
        <f t="shared" si="6"/>
        <v>44574</v>
      </c>
      <c r="C14" s="35">
        <v>1.0</v>
      </c>
      <c r="D14" s="35" t="s">
        <v>32</v>
      </c>
      <c r="E14" s="37"/>
      <c r="F14" s="23"/>
      <c r="H14" s="24"/>
      <c r="J14" s="24"/>
      <c r="L14" s="29"/>
      <c r="N14" s="30"/>
      <c r="P14" s="24"/>
      <c r="R14" s="26"/>
      <c r="T14" s="24"/>
      <c r="V14" s="24"/>
      <c r="W14" s="27"/>
      <c r="X14" s="23"/>
      <c r="Z14" s="24"/>
      <c r="AB14" s="24"/>
      <c r="AD14" s="24"/>
      <c r="AF14" s="24"/>
      <c r="AH14" s="24"/>
      <c r="AI14" s="27"/>
      <c r="AJ14" s="39">
        <f t="shared" si="1"/>
        <v>0</v>
      </c>
      <c r="AK14" s="35">
        <f t="shared" si="2"/>
        <v>0</v>
      </c>
      <c r="AL14" s="35" t="str">
        <f t="shared" si="3"/>
        <v/>
      </c>
      <c r="AM14" s="35">
        <f t="shared" si="4"/>
        <v>0</v>
      </c>
      <c r="AN14" s="40" t="str">
        <f t="shared" si="5"/>
        <v/>
      </c>
    </row>
    <row r="15" ht="15.75" customHeight="1">
      <c r="A15" s="32" t="s">
        <v>30</v>
      </c>
      <c r="B15" s="34">
        <f t="shared" si="6"/>
        <v>44575</v>
      </c>
      <c r="C15" s="35">
        <v>1.0</v>
      </c>
      <c r="D15" s="35" t="s">
        <v>32</v>
      </c>
      <c r="E15" s="37"/>
      <c r="F15" s="23"/>
      <c r="H15" s="24"/>
      <c r="J15" s="24"/>
      <c r="L15" s="29"/>
      <c r="N15" s="30"/>
      <c r="P15" s="24"/>
      <c r="R15" s="26"/>
      <c r="T15" s="24"/>
      <c r="V15" s="24"/>
      <c r="W15" s="27"/>
      <c r="X15" s="23"/>
      <c r="Z15" s="24"/>
      <c r="AB15" s="24"/>
      <c r="AD15" s="24"/>
      <c r="AF15" s="24"/>
      <c r="AH15" s="24"/>
      <c r="AI15" s="27"/>
      <c r="AJ15" s="39">
        <f t="shared" si="1"/>
        <v>0</v>
      </c>
      <c r="AK15" s="35">
        <f t="shared" si="2"/>
        <v>0</v>
      </c>
      <c r="AL15" s="35" t="str">
        <f t="shared" si="3"/>
        <v/>
      </c>
      <c r="AM15" s="35">
        <f t="shared" si="4"/>
        <v>0</v>
      </c>
      <c r="AN15" s="40" t="str">
        <f t="shared" si="5"/>
        <v/>
      </c>
    </row>
    <row r="16" ht="15.75" customHeight="1">
      <c r="A16" s="48" t="s">
        <v>31</v>
      </c>
      <c r="B16" s="50">
        <f t="shared" si="6"/>
        <v>44576</v>
      </c>
      <c r="C16" s="51">
        <v>1.0</v>
      </c>
      <c r="D16" s="51" t="s">
        <v>32</v>
      </c>
      <c r="E16" s="53"/>
      <c r="F16" s="54"/>
      <c r="G16" s="56"/>
      <c r="H16" s="57"/>
      <c r="I16" s="56"/>
      <c r="J16" s="57"/>
      <c r="K16" s="56"/>
      <c r="L16" s="69"/>
      <c r="M16" s="56"/>
      <c r="N16" s="70"/>
      <c r="O16" s="56"/>
      <c r="P16" s="57"/>
      <c r="Q16" s="56"/>
      <c r="R16" s="59"/>
      <c r="S16" s="56"/>
      <c r="T16" s="57"/>
      <c r="U16" s="56"/>
      <c r="V16" s="57"/>
      <c r="W16" s="60"/>
      <c r="X16" s="54"/>
      <c r="Y16" s="56"/>
      <c r="Z16" s="57"/>
      <c r="AA16" s="56"/>
      <c r="AB16" s="57"/>
      <c r="AC16" s="56"/>
      <c r="AD16" s="57"/>
      <c r="AE16" s="56"/>
      <c r="AF16" s="57"/>
      <c r="AG16" s="56"/>
      <c r="AH16" s="57"/>
      <c r="AI16" s="60"/>
      <c r="AJ16" s="61">
        <f t="shared" si="1"/>
        <v>0</v>
      </c>
      <c r="AK16" s="51">
        <f t="shared" si="2"/>
        <v>0</v>
      </c>
      <c r="AL16" s="51" t="str">
        <f t="shared" si="3"/>
        <v/>
      </c>
      <c r="AM16" s="51">
        <f t="shared" si="4"/>
        <v>0</v>
      </c>
      <c r="AN16" s="63" t="str">
        <f t="shared" si="5"/>
        <v/>
      </c>
    </row>
    <row r="17" ht="15.75" customHeight="1">
      <c r="A17" s="18" t="s">
        <v>20</v>
      </c>
      <c r="B17" s="64">
        <f t="shared" si="6"/>
        <v>44577</v>
      </c>
      <c r="C17" s="20">
        <v>1.0</v>
      </c>
      <c r="D17" s="20" t="s">
        <v>33</v>
      </c>
      <c r="E17" s="22"/>
      <c r="F17" s="23"/>
      <c r="H17" s="24"/>
      <c r="J17" s="24"/>
      <c r="L17" s="29"/>
      <c r="N17" s="30"/>
      <c r="P17" s="24"/>
      <c r="R17" s="26"/>
      <c r="T17" s="24"/>
      <c r="V17" s="24"/>
      <c r="W17" s="27"/>
      <c r="X17" s="23"/>
      <c r="Z17" s="24"/>
      <c r="AB17" s="24"/>
      <c r="AD17" s="24"/>
      <c r="AF17" s="24"/>
      <c r="AH17" s="24"/>
      <c r="AI17" s="27"/>
      <c r="AJ17" s="28">
        <f t="shared" si="1"/>
        <v>0</v>
      </c>
      <c r="AK17" s="20">
        <f t="shared" si="2"/>
        <v>0</v>
      </c>
      <c r="AL17" s="20" t="str">
        <f t="shared" si="3"/>
        <v/>
      </c>
      <c r="AM17" s="20">
        <f t="shared" si="4"/>
        <v>0</v>
      </c>
      <c r="AN17" s="31" t="str">
        <f t="shared" si="5"/>
        <v/>
      </c>
    </row>
    <row r="18" ht="15.75" customHeight="1">
      <c r="A18" s="32" t="s">
        <v>22</v>
      </c>
      <c r="B18" s="34">
        <f t="shared" si="6"/>
        <v>44578</v>
      </c>
      <c r="C18" s="35">
        <v>1.0</v>
      </c>
      <c r="D18" s="35" t="s">
        <v>33</v>
      </c>
      <c r="E18" s="37"/>
      <c r="F18" s="23"/>
      <c r="H18" s="24"/>
      <c r="J18" s="24"/>
      <c r="L18" s="29"/>
      <c r="N18" s="30"/>
      <c r="P18" s="24"/>
      <c r="R18" s="26"/>
      <c r="T18" s="24"/>
      <c r="V18" s="24"/>
      <c r="W18" s="27"/>
      <c r="X18" s="23"/>
      <c r="Z18" s="24"/>
      <c r="AB18" s="24"/>
      <c r="AD18" s="24"/>
      <c r="AF18" s="24"/>
      <c r="AH18" s="24"/>
      <c r="AI18" s="27"/>
      <c r="AJ18" s="39">
        <f t="shared" si="1"/>
        <v>0</v>
      </c>
      <c r="AK18" s="35">
        <f t="shared" si="2"/>
        <v>0</v>
      </c>
      <c r="AL18" s="35" t="str">
        <f t="shared" si="3"/>
        <v/>
      </c>
      <c r="AM18" s="35">
        <f t="shared" si="4"/>
        <v>0</v>
      </c>
      <c r="AN18" s="40" t="str">
        <f t="shared" si="5"/>
        <v/>
      </c>
    </row>
    <row r="19" ht="15.75" customHeight="1">
      <c r="A19" s="32" t="s">
        <v>24</v>
      </c>
      <c r="B19" s="34">
        <f t="shared" si="6"/>
        <v>44579</v>
      </c>
      <c r="C19" s="35">
        <v>1.0</v>
      </c>
      <c r="D19" s="35" t="s">
        <v>33</v>
      </c>
      <c r="E19" s="37"/>
      <c r="F19" s="23"/>
      <c r="H19" s="26">
        <v>108.0</v>
      </c>
      <c r="J19" s="24"/>
      <c r="L19" s="29"/>
      <c r="N19" s="30">
        <v>130.0</v>
      </c>
      <c r="P19" s="24"/>
      <c r="R19" s="26"/>
      <c r="T19" s="24"/>
      <c r="V19" s="24"/>
      <c r="W19" s="27"/>
      <c r="X19" s="23"/>
      <c r="Z19" s="24"/>
      <c r="AB19" s="24"/>
      <c r="AD19" s="24"/>
      <c r="AF19" s="24"/>
      <c r="AH19" s="24"/>
      <c r="AI19" s="27"/>
      <c r="AJ19" s="39">
        <f t="shared" si="1"/>
        <v>3406.54</v>
      </c>
      <c r="AK19" s="35">
        <f t="shared" si="2"/>
        <v>238</v>
      </c>
      <c r="AL19" s="35" t="str">
        <f t="shared" si="3"/>
        <v/>
      </c>
      <c r="AM19" s="35">
        <f t="shared" si="4"/>
        <v>238</v>
      </c>
      <c r="AN19" s="40">
        <f t="shared" si="5"/>
        <v>14.31319328</v>
      </c>
    </row>
    <row r="20" ht="15.75" customHeight="1">
      <c r="A20" s="32" t="s">
        <v>28</v>
      </c>
      <c r="B20" s="34">
        <f t="shared" si="6"/>
        <v>44580</v>
      </c>
      <c r="C20" s="35">
        <v>1.0</v>
      </c>
      <c r="D20" s="35" t="s">
        <v>33</v>
      </c>
      <c r="E20" s="37"/>
      <c r="F20" s="23"/>
      <c r="H20" s="24"/>
      <c r="J20" s="24"/>
      <c r="L20" s="29"/>
      <c r="N20" s="30"/>
      <c r="P20" s="24"/>
      <c r="R20" s="26"/>
      <c r="T20" s="24"/>
      <c r="V20" s="24"/>
      <c r="W20" s="27"/>
      <c r="X20" s="23"/>
      <c r="Z20" s="24"/>
      <c r="AB20" s="24"/>
      <c r="AD20" s="24"/>
      <c r="AF20" s="24"/>
      <c r="AH20" s="24"/>
      <c r="AI20" s="27"/>
      <c r="AJ20" s="39">
        <f t="shared" si="1"/>
        <v>0</v>
      </c>
      <c r="AK20" s="35">
        <f t="shared" si="2"/>
        <v>0</v>
      </c>
      <c r="AL20" s="35" t="str">
        <f t="shared" si="3"/>
        <v/>
      </c>
      <c r="AM20" s="35">
        <f t="shared" si="4"/>
        <v>0</v>
      </c>
      <c r="AN20" s="40" t="str">
        <f t="shared" si="5"/>
        <v/>
      </c>
    </row>
    <row r="21" ht="15.75" customHeight="1">
      <c r="A21" s="32" t="s">
        <v>29</v>
      </c>
      <c r="B21" s="34">
        <f t="shared" si="6"/>
        <v>44581</v>
      </c>
      <c r="C21" s="35">
        <v>1.0</v>
      </c>
      <c r="D21" s="35" t="s">
        <v>33</v>
      </c>
      <c r="E21" s="37"/>
      <c r="F21" s="23"/>
      <c r="H21" s="24"/>
      <c r="J21" s="24"/>
      <c r="L21" s="29">
        <v>145.0</v>
      </c>
      <c r="N21" s="30">
        <v>159.0</v>
      </c>
      <c r="P21" s="24"/>
      <c r="R21" s="26"/>
      <c r="T21" s="24"/>
      <c r="V21" s="24"/>
      <c r="W21" s="27"/>
      <c r="X21" s="23"/>
      <c r="Z21" s="24"/>
      <c r="AB21" s="24"/>
      <c r="AD21" s="24"/>
      <c r="AF21" s="24"/>
      <c r="AH21" s="24"/>
      <c r="AI21" s="27"/>
      <c r="AJ21" s="39">
        <f t="shared" si="1"/>
        <v>3450.4</v>
      </c>
      <c r="AK21" s="35">
        <f t="shared" si="2"/>
        <v>304</v>
      </c>
      <c r="AL21" s="35" t="str">
        <f t="shared" si="3"/>
        <v/>
      </c>
      <c r="AM21" s="35">
        <f t="shared" si="4"/>
        <v>304</v>
      </c>
      <c r="AN21" s="40">
        <f t="shared" si="5"/>
        <v>11.35</v>
      </c>
    </row>
    <row r="22" ht="15.75" customHeight="1">
      <c r="A22" s="32" t="s">
        <v>30</v>
      </c>
      <c r="B22" s="34">
        <f t="shared" si="6"/>
        <v>44582</v>
      </c>
      <c r="C22" s="35">
        <v>1.0</v>
      </c>
      <c r="D22" s="35" t="s">
        <v>33</v>
      </c>
      <c r="E22" s="37"/>
      <c r="F22" s="23"/>
      <c r="H22" s="24"/>
      <c r="J22" s="24"/>
      <c r="L22" s="29"/>
      <c r="N22" s="30"/>
      <c r="P22" s="24"/>
      <c r="R22" s="26"/>
      <c r="T22" s="24"/>
      <c r="V22" s="24"/>
      <c r="W22" s="27"/>
      <c r="X22" s="23"/>
      <c r="Z22" s="24"/>
      <c r="AB22" s="24"/>
      <c r="AD22" s="24"/>
      <c r="AF22" s="24"/>
      <c r="AH22" s="24"/>
      <c r="AI22" s="27"/>
      <c r="AJ22" s="39">
        <f t="shared" si="1"/>
        <v>0</v>
      </c>
      <c r="AK22" s="35">
        <f t="shared" si="2"/>
        <v>0</v>
      </c>
      <c r="AL22" s="35" t="str">
        <f t="shared" si="3"/>
        <v/>
      </c>
      <c r="AM22" s="35">
        <f t="shared" si="4"/>
        <v>0</v>
      </c>
      <c r="AN22" s="40" t="str">
        <f t="shared" si="5"/>
        <v/>
      </c>
    </row>
    <row r="23" ht="15.75" customHeight="1">
      <c r="A23" s="48" t="s">
        <v>31</v>
      </c>
      <c r="B23" s="50">
        <f t="shared" si="6"/>
        <v>44583</v>
      </c>
      <c r="C23" s="51">
        <v>1.0</v>
      </c>
      <c r="D23" s="51" t="s">
        <v>33</v>
      </c>
      <c r="E23" s="53"/>
      <c r="F23" s="54"/>
      <c r="G23" s="56"/>
      <c r="H23" s="57"/>
      <c r="I23" s="56"/>
      <c r="J23" s="57"/>
      <c r="K23" s="56"/>
      <c r="L23" s="69"/>
      <c r="M23" s="56"/>
      <c r="N23" s="70"/>
      <c r="O23" s="56"/>
      <c r="P23" s="57"/>
      <c r="Q23" s="56"/>
      <c r="R23" s="59"/>
      <c r="S23" s="56"/>
      <c r="T23" s="57"/>
      <c r="U23" s="56"/>
      <c r="V23" s="57"/>
      <c r="W23" s="60"/>
      <c r="X23" s="54"/>
      <c r="Y23" s="56"/>
      <c r="Z23" s="57"/>
      <c r="AA23" s="56"/>
      <c r="AB23" s="57"/>
      <c r="AC23" s="56"/>
      <c r="AD23" s="57"/>
      <c r="AE23" s="56"/>
      <c r="AF23" s="57"/>
      <c r="AG23" s="56"/>
      <c r="AH23" s="57"/>
      <c r="AI23" s="60"/>
      <c r="AJ23" s="61">
        <f t="shared" si="1"/>
        <v>0</v>
      </c>
      <c r="AK23" s="51">
        <f t="shared" si="2"/>
        <v>0</v>
      </c>
      <c r="AL23" s="51" t="str">
        <f t="shared" si="3"/>
        <v/>
      </c>
      <c r="AM23" s="51">
        <f t="shared" si="4"/>
        <v>0</v>
      </c>
      <c r="AN23" s="63" t="str">
        <f t="shared" si="5"/>
        <v/>
      </c>
    </row>
    <row r="24" ht="15.75" customHeight="1">
      <c r="A24" s="18" t="s">
        <v>20</v>
      </c>
      <c r="B24" s="64">
        <f t="shared" si="6"/>
        <v>44584</v>
      </c>
      <c r="C24" s="20">
        <v>1.0</v>
      </c>
      <c r="D24" s="20" t="s">
        <v>34</v>
      </c>
      <c r="E24" s="22"/>
      <c r="F24" s="23"/>
      <c r="H24" s="24"/>
      <c r="J24" s="24"/>
      <c r="L24" s="25"/>
      <c r="N24" s="26"/>
      <c r="P24" s="24"/>
      <c r="R24" s="26"/>
      <c r="T24" s="24"/>
      <c r="V24" s="24"/>
      <c r="W24" s="27"/>
      <c r="X24" s="23"/>
      <c r="Z24" s="24"/>
      <c r="AB24" s="24"/>
      <c r="AD24" s="24"/>
      <c r="AF24" s="24"/>
      <c r="AH24" s="24"/>
      <c r="AI24" s="27"/>
      <c r="AJ24" s="28">
        <f t="shared" si="1"/>
        <v>0</v>
      </c>
      <c r="AK24" s="20">
        <f t="shared" si="2"/>
        <v>0</v>
      </c>
      <c r="AL24" s="20" t="str">
        <f t="shared" si="3"/>
        <v/>
      </c>
      <c r="AM24" s="20">
        <f t="shared" si="4"/>
        <v>0</v>
      </c>
      <c r="AN24" s="31" t="str">
        <f t="shared" si="5"/>
        <v/>
      </c>
    </row>
    <row r="25" ht="15.75" customHeight="1">
      <c r="A25" s="32" t="s">
        <v>22</v>
      </c>
      <c r="B25" s="34">
        <f t="shared" si="6"/>
        <v>44585</v>
      </c>
      <c r="C25" s="35">
        <v>1.0</v>
      </c>
      <c r="D25" s="35" t="s">
        <v>34</v>
      </c>
      <c r="E25" s="37"/>
      <c r="F25" s="23"/>
      <c r="H25" s="24"/>
      <c r="J25" s="24"/>
      <c r="L25" s="25"/>
      <c r="N25" s="26"/>
      <c r="P25" s="24"/>
      <c r="R25" s="26"/>
      <c r="T25" s="24"/>
      <c r="V25" s="24"/>
      <c r="W25" s="27"/>
      <c r="X25" s="23"/>
      <c r="Z25" s="24"/>
      <c r="AB25" s="24"/>
      <c r="AD25" s="24"/>
      <c r="AF25" s="24"/>
      <c r="AH25" s="24"/>
      <c r="AI25" s="27"/>
      <c r="AJ25" s="39">
        <f t="shared" si="1"/>
        <v>0</v>
      </c>
      <c r="AK25" s="35">
        <f t="shared" si="2"/>
        <v>0</v>
      </c>
      <c r="AL25" s="35" t="str">
        <f t="shared" si="3"/>
        <v/>
      </c>
      <c r="AM25" s="35">
        <f t="shared" si="4"/>
        <v>0</v>
      </c>
      <c r="AN25" s="40" t="str">
        <f t="shared" si="5"/>
        <v/>
      </c>
    </row>
    <row r="26" ht="15.75" customHeight="1">
      <c r="A26" s="32" t="s">
        <v>24</v>
      </c>
      <c r="B26" s="34">
        <f t="shared" si="6"/>
        <v>44586</v>
      </c>
      <c r="C26" s="35">
        <v>1.0</v>
      </c>
      <c r="D26" s="35" t="s">
        <v>34</v>
      </c>
      <c r="E26" s="37"/>
      <c r="F26" s="23"/>
      <c r="H26" s="24"/>
      <c r="J26" s="24"/>
      <c r="L26" s="25"/>
      <c r="N26" s="26"/>
      <c r="P26" s="24"/>
      <c r="R26" s="26"/>
      <c r="T26" s="24"/>
      <c r="V26" s="24"/>
      <c r="W26" s="27"/>
      <c r="X26" s="23"/>
      <c r="Z26" s="24"/>
      <c r="AB26" s="24"/>
      <c r="AD26" s="24"/>
      <c r="AF26" s="24"/>
      <c r="AH26" s="24"/>
      <c r="AI26" s="27"/>
      <c r="AJ26" s="39">
        <f t="shared" si="1"/>
        <v>0</v>
      </c>
      <c r="AK26" s="35">
        <f t="shared" si="2"/>
        <v>0</v>
      </c>
      <c r="AL26" s="35" t="str">
        <f t="shared" si="3"/>
        <v/>
      </c>
      <c r="AM26" s="35">
        <f t="shared" si="4"/>
        <v>0</v>
      </c>
      <c r="AN26" s="40" t="str">
        <f t="shared" si="5"/>
        <v/>
      </c>
    </row>
    <row r="27" ht="15.75" customHeight="1">
      <c r="A27" s="32" t="s">
        <v>28</v>
      </c>
      <c r="B27" s="34">
        <f t="shared" si="6"/>
        <v>44587</v>
      </c>
      <c r="C27" s="35">
        <v>1.0</v>
      </c>
      <c r="D27" s="35" t="s">
        <v>34</v>
      </c>
      <c r="E27" s="37"/>
      <c r="F27" s="23"/>
      <c r="H27" s="24"/>
      <c r="J27" s="24"/>
      <c r="L27" s="25"/>
      <c r="N27" s="26"/>
      <c r="P27" s="24"/>
      <c r="R27" s="26"/>
      <c r="T27" s="24"/>
      <c r="V27" s="24"/>
      <c r="W27" s="27"/>
      <c r="X27" s="23"/>
      <c r="Z27" s="24"/>
      <c r="AB27" s="24"/>
      <c r="AD27" s="24"/>
      <c r="AF27" s="24"/>
      <c r="AH27" s="24"/>
      <c r="AI27" s="27"/>
      <c r="AJ27" s="39">
        <f t="shared" si="1"/>
        <v>0</v>
      </c>
      <c r="AK27" s="35">
        <f t="shared" si="2"/>
        <v>0</v>
      </c>
      <c r="AL27" s="35" t="str">
        <f t="shared" si="3"/>
        <v/>
      </c>
      <c r="AM27" s="35">
        <f t="shared" si="4"/>
        <v>0</v>
      </c>
      <c r="AN27" s="40" t="str">
        <f t="shared" si="5"/>
        <v/>
      </c>
    </row>
    <row r="28" ht="15.75" customHeight="1">
      <c r="A28" s="32" t="s">
        <v>29</v>
      </c>
      <c r="B28" s="34">
        <f t="shared" si="6"/>
        <v>44588</v>
      </c>
      <c r="C28" s="35">
        <v>1.0</v>
      </c>
      <c r="D28" s="35" t="s">
        <v>34</v>
      </c>
      <c r="E28" s="37"/>
      <c r="F28" s="23"/>
      <c r="H28" s="24"/>
      <c r="J28" s="24"/>
      <c r="L28" s="25"/>
      <c r="N28" s="26"/>
      <c r="P28" s="24"/>
      <c r="R28" s="26"/>
      <c r="T28" s="24"/>
      <c r="V28" s="24"/>
      <c r="W28" s="27"/>
      <c r="X28" s="23"/>
      <c r="Z28" s="24"/>
      <c r="AB28" s="24"/>
      <c r="AD28" s="24"/>
      <c r="AF28" s="24"/>
      <c r="AH28" s="24"/>
      <c r="AI28" s="27"/>
      <c r="AJ28" s="39">
        <f t="shared" si="1"/>
        <v>0</v>
      </c>
      <c r="AK28" s="35">
        <f t="shared" si="2"/>
        <v>0</v>
      </c>
      <c r="AL28" s="35" t="str">
        <f t="shared" si="3"/>
        <v/>
      </c>
      <c r="AM28" s="35">
        <f t="shared" si="4"/>
        <v>0</v>
      </c>
      <c r="AN28" s="40" t="str">
        <f t="shared" si="5"/>
        <v/>
      </c>
    </row>
    <row r="29" ht="15.75" customHeight="1">
      <c r="A29" s="32" t="s">
        <v>30</v>
      </c>
      <c r="B29" s="34">
        <f t="shared" si="6"/>
        <v>44589</v>
      </c>
      <c r="C29" s="35">
        <v>1.0</v>
      </c>
      <c r="D29" s="35" t="s">
        <v>34</v>
      </c>
      <c r="E29" s="37"/>
      <c r="F29" s="23"/>
      <c r="H29" s="24"/>
      <c r="J29" s="24"/>
      <c r="L29" s="25"/>
      <c r="N29" s="26"/>
      <c r="P29" s="24"/>
      <c r="R29" s="26"/>
      <c r="T29" s="24"/>
      <c r="V29" s="24"/>
      <c r="W29" s="27"/>
      <c r="X29" s="23"/>
      <c r="Z29" s="24"/>
      <c r="AB29" s="24"/>
      <c r="AD29" s="24"/>
      <c r="AF29" s="24"/>
      <c r="AH29" s="24"/>
      <c r="AI29" s="27"/>
      <c r="AJ29" s="39">
        <f t="shared" si="1"/>
        <v>0</v>
      </c>
      <c r="AK29" s="35">
        <f t="shared" si="2"/>
        <v>0</v>
      </c>
      <c r="AL29" s="35" t="str">
        <f t="shared" si="3"/>
        <v/>
      </c>
      <c r="AM29" s="35">
        <f t="shared" si="4"/>
        <v>0</v>
      </c>
      <c r="AN29" s="40" t="str">
        <f t="shared" si="5"/>
        <v/>
      </c>
    </row>
    <row r="30" ht="15.75" customHeight="1">
      <c r="A30" s="48" t="s">
        <v>31</v>
      </c>
      <c r="B30" s="50">
        <f t="shared" si="6"/>
        <v>44590</v>
      </c>
      <c r="C30" s="51">
        <v>1.0</v>
      </c>
      <c r="D30" s="51" t="s">
        <v>34</v>
      </c>
      <c r="E30" s="53"/>
      <c r="F30" s="54"/>
      <c r="G30" s="56"/>
      <c r="H30" s="57"/>
      <c r="I30" s="56"/>
      <c r="J30" s="57"/>
      <c r="K30" s="56"/>
      <c r="L30" s="58"/>
      <c r="M30" s="56"/>
      <c r="N30" s="59"/>
      <c r="O30" s="56"/>
      <c r="P30" s="57"/>
      <c r="Q30" s="56"/>
      <c r="R30" s="59"/>
      <c r="S30" s="56"/>
      <c r="T30" s="57"/>
      <c r="U30" s="56"/>
      <c r="V30" s="57"/>
      <c r="W30" s="60"/>
      <c r="X30" s="54"/>
      <c r="Y30" s="56"/>
      <c r="Z30" s="57"/>
      <c r="AA30" s="56"/>
      <c r="AB30" s="57"/>
      <c r="AC30" s="56"/>
      <c r="AD30" s="57"/>
      <c r="AE30" s="56"/>
      <c r="AF30" s="57"/>
      <c r="AG30" s="56"/>
      <c r="AH30" s="57"/>
      <c r="AI30" s="60"/>
      <c r="AJ30" s="61">
        <f t="shared" si="1"/>
        <v>0</v>
      </c>
      <c r="AK30" s="51">
        <f t="shared" si="2"/>
        <v>0</v>
      </c>
      <c r="AL30" s="51" t="str">
        <f t="shared" si="3"/>
        <v/>
      </c>
      <c r="AM30" s="51">
        <f t="shared" si="4"/>
        <v>0</v>
      </c>
      <c r="AN30" s="63" t="str">
        <f t="shared" si="5"/>
        <v/>
      </c>
    </row>
    <row r="31" ht="15.75" customHeight="1">
      <c r="A31" s="18" t="s">
        <v>20</v>
      </c>
      <c r="B31" s="64">
        <f t="shared" si="6"/>
        <v>44591</v>
      </c>
      <c r="C31" s="20">
        <v>2.0</v>
      </c>
      <c r="D31" s="20" t="s">
        <v>21</v>
      </c>
      <c r="E31" s="22"/>
      <c r="F31" s="23"/>
      <c r="H31" s="24"/>
      <c r="J31" s="24"/>
      <c r="L31" s="25"/>
      <c r="N31" s="26"/>
      <c r="P31" s="24"/>
      <c r="R31" s="26"/>
      <c r="T31" s="24"/>
      <c r="V31" s="24"/>
      <c r="W31" s="27"/>
      <c r="X31" s="23"/>
      <c r="Z31" s="24"/>
      <c r="AB31" s="24"/>
      <c r="AD31" s="24"/>
      <c r="AF31" s="24"/>
      <c r="AH31" s="24"/>
      <c r="AI31" s="27"/>
      <c r="AJ31" s="28">
        <f t="shared" si="1"/>
        <v>0</v>
      </c>
      <c r="AK31" s="20">
        <f t="shared" si="2"/>
        <v>0</v>
      </c>
      <c r="AL31" s="20" t="str">
        <f t="shared" si="3"/>
        <v/>
      </c>
      <c r="AM31" s="20">
        <f t="shared" si="4"/>
        <v>0</v>
      </c>
      <c r="AN31" s="31" t="str">
        <f t="shared" si="5"/>
        <v/>
      </c>
    </row>
    <row r="32" ht="15.75" customHeight="1">
      <c r="A32" s="32" t="s">
        <v>22</v>
      </c>
      <c r="B32" s="34">
        <f t="shared" si="6"/>
        <v>44592</v>
      </c>
      <c r="C32" s="35">
        <v>2.0</v>
      </c>
      <c r="D32" s="35" t="s">
        <v>21</v>
      </c>
      <c r="E32" s="37"/>
      <c r="F32" s="23"/>
      <c r="H32" s="24"/>
      <c r="J32" s="24"/>
      <c r="L32" s="25"/>
      <c r="N32" s="26"/>
      <c r="P32" s="24"/>
      <c r="R32" s="26"/>
      <c r="T32" s="24"/>
      <c r="V32" s="24"/>
      <c r="W32" s="27"/>
      <c r="X32" s="23"/>
      <c r="Z32" s="24"/>
      <c r="AB32" s="24"/>
      <c r="AD32" s="24"/>
      <c r="AF32" s="24"/>
      <c r="AH32" s="24"/>
      <c r="AI32" s="27"/>
      <c r="AJ32" s="39">
        <f t="shared" si="1"/>
        <v>0</v>
      </c>
      <c r="AK32" s="35">
        <f t="shared" si="2"/>
        <v>0</v>
      </c>
      <c r="AL32" s="35" t="str">
        <f t="shared" si="3"/>
        <v/>
      </c>
      <c r="AM32" s="35">
        <f t="shared" si="4"/>
        <v>0</v>
      </c>
      <c r="AN32" s="40" t="str">
        <f t="shared" si="5"/>
        <v/>
      </c>
    </row>
    <row r="33" ht="15.75" customHeight="1">
      <c r="A33" s="32" t="s">
        <v>24</v>
      </c>
      <c r="B33" s="34">
        <f t="shared" si="6"/>
        <v>44593</v>
      </c>
      <c r="C33" s="35">
        <v>2.0</v>
      </c>
      <c r="D33" s="35" t="s">
        <v>21</v>
      </c>
      <c r="E33" s="37"/>
      <c r="F33" s="23"/>
      <c r="H33" s="24"/>
      <c r="J33" s="24"/>
      <c r="L33" s="25"/>
      <c r="N33" s="26"/>
      <c r="P33" s="24"/>
      <c r="R33" s="26"/>
      <c r="T33" s="24"/>
      <c r="V33" s="24"/>
      <c r="W33" s="27"/>
      <c r="X33" s="23"/>
      <c r="Z33" s="24"/>
      <c r="AB33" s="24"/>
      <c r="AD33" s="24"/>
      <c r="AF33" s="24"/>
      <c r="AH33" s="24"/>
      <c r="AI33" s="27"/>
      <c r="AJ33" s="39">
        <f t="shared" si="1"/>
        <v>0</v>
      </c>
      <c r="AK33" s="35">
        <f t="shared" si="2"/>
        <v>0</v>
      </c>
      <c r="AL33" s="35" t="str">
        <f t="shared" si="3"/>
        <v/>
      </c>
      <c r="AM33" s="35">
        <f t="shared" si="4"/>
        <v>0</v>
      </c>
      <c r="AN33" s="40" t="str">
        <f t="shared" si="5"/>
        <v/>
      </c>
    </row>
    <row r="34" ht="15.75" customHeight="1">
      <c r="A34" s="32" t="s">
        <v>28</v>
      </c>
      <c r="B34" s="34">
        <f t="shared" si="6"/>
        <v>44594</v>
      </c>
      <c r="C34" s="35">
        <v>2.0</v>
      </c>
      <c r="D34" s="35" t="s">
        <v>21</v>
      </c>
      <c r="E34" s="37"/>
      <c r="F34" s="23"/>
      <c r="H34" s="24"/>
      <c r="J34" s="24"/>
      <c r="L34" s="25"/>
      <c r="N34" s="26"/>
      <c r="P34" s="24"/>
      <c r="R34" s="26"/>
      <c r="T34" s="24"/>
      <c r="V34" s="24"/>
      <c r="W34" s="27"/>
      <c r="X34" s="23"/>
      <c r="Z34" s="24"/>
      <c r="AB34" s="24"/>
      <c r="AD34" s="24"/>
      <c r="AF34" s="24"/>
      <c r="AH34" s="24"/>
      <c r="AI34" s="27"/>
      <c r="AJ34" s="39">
        <f t="shared" si="1"/>
        <v>0</v>
      </c>
      <c r="AK34" s="35">
        <f t="shared" si="2"/>
        <v>0</v>
      </c>
      <c r="AL34" s="35" t="str">
        <f t="shared" si="3"/>
        <v/>
      </c>
      <c r="AM34" s="35">
        <f t="shared" si="4"/>
        <v>0</v>
      </c>
      <c r="AN34" s="40" t="str">
        <f t="shared" si="5"/>
        <v/>
      </c>
    </row>
    <row r="35" ht="15.75" customHeight="1">
      <c r="A35" s="32" t="s">
        <v>29</v>
      </c>
      <c r="B35" s="34">
        <f t="shared" si="6"/>
        <v>44595</v>
      </c>
      <c r="C35" s="35">
        <v>2.0</v>
      </c>
      <c r="D35" s="35" t="s">
        <v>21</v>
      </c>
      <c r="E35" s="37"/>
      <c r="F35" s="23"/>
      <c r="H35" s="24"/>
      <c r="J35" s="24"/>
      <c r="L35" s="25"/>
      <c r="N35" s="26"/>
      <c r="P35" s="24"/>
      <c r="R35" s="26"/>
      <c r="T35" s="24"/>
      <c r="V35" s="24"/>
      <c r="W35" s="27"/>
      <c r="X35" s="23"/>
      <c r="Z35" s="24"/>
      <c r="AB35" s="24"/>
      <c r="AD35" s="24"/>
      <c r="AF35" s="24"/>
      <c r="AH35" s="24"/>
      <c r="AI35" s="27"/>
      <c r="AJ35" s="39">
        <f t="shared" si="1"/>
        <v>0</v>
      </c>
      <c r="AK35" s="35">
        <f t="shared" si="2"/>
        <v>0</v>
      </c>
      <c r="AL35" s="35" t="str">
        <f t="shared" si="3"/>
        <v/>
      </c>
      <c r="AM35" s="35">
        <f t="shared" si="4"/>
        <v>0</v>
      </c>
      <c r="AN35" s="40" t="str">
        <f t="shared" si="5"/>
        <v/>
      </c>
    </row>
    <row r="36" ht="15.75" customHeight="1">
      <c r="A36" s="32" t="s">
        <v>30</v>
      </c>
      <c r="B36" s="34">
        <f t="shared" si="6"/>
        <v>44596</v>
      </c>
      <c r="C36" s="35">
        <v>2.0</v>
      </c>
      <c r="D36" s="35" t="s">
        <v>21</v>
      </c>
      <c r="E36" s="37"/>
      <c r="F36" s="23"/>
      <c r="H36" s="24"/>
      <c r="J36" s="24"/>
      <c r="L36" s="25"/>
      <c r="N36" s="26"/>
      <c r="P36" s="24"/>
      <c r="R36" s="26"/>
      <c r="T36" s="24"/>
      <c r="V36" s="24"/>
      <c r="W36" s="27"/>
      <c r="X36" s="23"/>
      <c r="Z36" s="24"/>
      <c r="AB36" s="24"/>
      <c r="AD36" s="24"/>
      <c r="AF36" s="24"/>
      <c r="AH36" s="24"/>
      <c r="AI36" s="27"/>
      <c r="AJ36" s="39">
        <f t="shared" si="1"/>
        <v>0</v>
      </c>
      <c r="AK36" s="35">
        <f t="shared" si="2"/>
        <v>0</v>
      </c>
      <c r="AL36" s="35" t="str">
        <f t="shared" si="3"/>
        <v/>
      </c>
      <c r="AM36" s="35">
        <f t="shared" si="4"/>
        <v>0</v>
      </c>
      <c r="AN36" s="40" t="str">
        <f t="shared" si="5"/>
        <v/>
      </c>
    </row>
    <row r="37" ht="15.75" customHeight="1">
      <c r="A37" s="48" t="s">
        <v>31</v>
      </c>
      <c r="B37" s="50">
        <f t="shared" si="6"/>
        <v>44597</v>
      </c>
      <c r="C37" s="51">
        <v>2.0</v>
      </c>
      <c r="D37" s="51" t="s">
        <v>21</v>
      </c>
      <c r="E37" s="53"/>
      <c r="F37" s="54"/>
      <c r="G37" s="56"/>
      <c r="H37" s="57"/>
      <c r="I37" s="56"/>
      <c r="J37" s="57"/>
      <c r="K37" s="56"/>
      <c r="L37" s="58"/>
      <c r="M37" s="56"/>
      <c r="N37" s="59"/>
      <c r="O37" s="56"/>
      <c r="P37" s="57"/>
      <c r="Q37" s="56"/>
      <c r="R37" s="59"/>
      <c r="S37" s="56"/>
      <c r="T37" s="57"/>
      <c r="U37" s="56"/>
      <c r="V37" s="57"/>
      <c r="W37" s="60"/>
      <c r="X37" s="54"/>
      <c r="Y37" s="56"/>
      <c r="Z37" s="57"/>
      <c r="AA37" s="56"/>
      <c r="AB37" s="57"/>
      <c r="AC37" s="56"/>
      <c r="AD37" s="57"/>
      <c r="AE37" s="56"/>
      <c r="AF37" s="57"/>
      <c r="AG37" s="56"/>
      <c r="AH37" s="57"/>
      <c r="AI37" s="60"/>
      <c r="AJ37" s="61">
        <f t="shared" si="1"/>
        <v>0</v>
      </c>
      <c r="AK37" s="51">
        <f t="shared" si="2"/>
        <v>0</v>
      </c>
      <c r="AL37" s="51" t="str">
        <f t="shared" si="3"/>
        <v/>
      </c>
      <c r="AM37" s="51">
        <f t="shared" si="4"/>
        <v>0</v>
      </c>
      <c r="AN37" s="63" t="str">
        <f t="shared" si="5"/>
        <v/>
      </c>
    </row>
    <row r="38" ht="15.75" customHeight="1">
      <c r="A38" s="18" t="s">
        <v>20</v>
      </c>
      <c r="B38" s="64">
        <f t="shared" si="6"/>
        <v>44598</v>
      </c>
      <c r="C38" s="20">
        <v>2.0</v>
      </c>
      <c r="D38" s="20" t="s">
        <v>32</v>
      </c>
      <c r="E38" s="22"/>
      <c r="F38" s="23"/>
      <c r="H38" s="24"/>
      <c r="J38" s="24"/>
      <c r="L38" s="25"/>
      <c r="N38" s="26">
        <v>110.0</v>
      </c>
      <c r="P38" s="24"/>
      <c r="R38" s="26"/>
      <c r="T38" s="24"/>
      <c r="V38" s="24"/>
      <c r="W38" s="27"/>
      <c r="X38" s="23"/>
      <c r="Z38" s="24"/>
      <c r="AB38" s="24"/>
      <c r="AD38" s="24"/>
      <c r="AF38" s="24"/>
      <c r="AH38" s="24"/>
      <c r="AI38" s="27"/>
      <c r="AJ38" s="28">
        <f t="shared" si="1"/>
        <v>1248.5</v>
      </c>
      <c r="AK38" s="20">
        <f t="shared" si="2"/>
        <v>110</v>
      </c>
      <c r="AL38" s="20" t="str">
        <f t="shared" si="3"/>
        <v/>
      </c>
      <c r="AM38" s="20">
        <f t="shared" si="4"/>
        <v>110</v>
      </c>
      <c r="AN38" s="31">
        <f t="shared" si="5"/>
        <v>11.35</v>
      </c>
    </row>
    <row r="39" ht="15.75" customHeight="1">
      <c r="A39" s="32" t="s">
        <v>22</v>
      </c>
      <c r="B39" s="34">
        <f t="shared" si="6"/>
        <v>44599</v>
      </c>
      <c r="C39" s="35">
        <v>2.0</v>
      </c>
      <c r="D39" s="35" t="s">
        <v>32</v>
      </c>
      <c r="E39" s="37"/>
      <c r="F39" s="23"/>
      <c r="H39" s="24"/>
      <c r="J39" s="24"/>
      <c r="L39" s="25"/>
      <c r="N39" s="26">
        <v>115.0</v>
      </c>
      <c r="P39" s="24"/>
      <c r="R39" s="26"/>
      <c r="T39" s="24"/>
      <c r="V39" s="24"/>
      <c r="W39" s="27"/>
      <c r="X39" s="23"/>
      <c r="Z39" s="24"/>
      <c r="AB39" s="24"/>
      <c r="AD39" s="24"/>
      <c r="AF39" s="24"/>
      <c r="AH39" s="24"/>
      <c r="AI39" s="27"/>
      <c r="AJ39" s="39">
        <f t="shared" si="1"/>
        <v>1305.25</v>
      </c>
      <c r="AK39" s="35">
        <f t="shared" si="2"/>
        <v>115</v>
      </c>
      <c r="AL39" s="35" t="str">
        <f t="shared" si="3"/>
        <v/>
      </c>
      <c r="AM39" s="35">
        <f t="shared" si="4"/>
        <v>115</v>
      </c>
      <c r="AN39" s="40">
        <f t="shared" si="5"/>
        <v>11.35</v>
      </c>
    </row>
    <row r="40" ht="15.75" customHeight="1">
      <c r="A40" s="32" t="s">
        <v>24</v>
      </c>
      <c r="B40" s="34">
        <f t="shared" si="6"/>
        <v>44600</v>
      </c>
      <c r="C40" s="35">
        <v>2.0</v>
      </c>
      <c r="D40" s="35" t="s">
        <v>32</v>
      </c>
      <c r="E40" s="37"/>
      <c r="F40" s="23"/>
      <c r="H40" s="24"/>
      <c r="J40" s="24"/>
      <c r="L40" s="25"/>
      <c r="N40" s="26">
        <v>110.0</v>
      </c>
      <c r="P40" s="24"/>
      <c r="R40" s="26"/>
      <c r="T40" s="24"/>
      <c r="V40" s="24"/>
      <c r="W40" s="27"/>
      <c r="X40" s="23"/>
      <c r="Z40" s="24"/>
      <c r="AB40" s="24"/>
      <c r="AD40" s="24"/>
      <c r="AF40" s="24"/>
      <c r="AH40" s="24"/>
      <c r="AI40" s="27"/>
      <c r="AJ40" s="39">
        <f t="shared" si="1"/>
        <v>1248.5</v>
      </c>
      <c r="AK40" s="35">
        <f t="shared" si="2"/>
        <v>110</v>
      </c>
      <c r="AL40" s="35" t="str">
        <f t="shared" si="3"/>
        <v/>
      </c>
      <c r="AM40" s="35">
        <f t="shared" si="4"/>
        <v>110</v>
      </c>
      <c r="AN40" s="40">
        <f t="shared" si="5"/>
        <v>11.35</v>
      </c>
    </row>
    <row r="41" ht="15.75" customHeight="1">
      <c r="A41" s="32" t="s">
        <v>28</v>
      </c>
      <c r="B41" s="34">
        <f t="shared" si="6"/>
        <v>44601</v>
      </c>
      <c r="C41" s="35">
        <v>2.0</v>
      </c>
      <c r="D41" s="35" t="s">
        <v>32</v>
      </c>
      <c r="E41" s="37"/>
      <c r="F41" s="23"/>
      <c r="H41" s="24"/>
      <c r="J41" s="24"/>
      <c r="L41" s="25"/>
      <c r="N41" s="26">
        <v>107.0</v>
      </c>
      <c r="P41" s="24"/>
      <c r="R41" s="26"/>
      <c r="T41" s="24"/>
      <c r="V41" s="24"/>
      <c r="W41" s="27"/>
      <c r="X41" s="23"/>
      <c r="Z41" s="24"/>
      <c r="AB41" s="24"/>
      <c r="AD41" s="24"/>
      <c r="AF41" s="24"/>
      <c r="AH41" s="24"/>
      <c r="AI41" s="27"/>
      <c r="AJ41" s="39">
        <f t="shared" si="1"/>
        <v>1214.45</v>
      </c>
      <c r="AK41" s="35">
        <f t="shared" si="2"/>
        <v>107</v>
      </c>
      <c r="AL41" s="35" t="str">
        <f t="shared" si="3"/>
        <v/>
      </c>
      <c r="AM41" s="35">
        <f t="shared" si="4"/>
        <v>107</v>
      </c>
      <c r="AN41" s="40">
        <f t="shared" si="5"/>
        <v>11.35</v>
      </c>
    </row>
    <row r="42" ht="15.75" customHeight="1">
      <c r="A42" s="32" t="s">
        <v>29</v>
      </c>
      <c r="B42" s="34">
        <f t="shared" si="6"/>
        <v>44602</v>
      </c>
      <c r="C42" s="35">
        <v>2.0</v>
      </c>
      <c r="D42" s="35" t="s">
        <v>32</v>
      </c>
      <c r="E42" s="37"/>
      <c r="F42" s="23"/>
      <c r="H42" s="24"/>
      <c r="J42" s="24"/>
      <c r="L42" s="25"/>
      <c r="N42" s="26">
        <v>96.0</v>
      </c>
      <c r="P42" s="24"/>
      <c r="R42" s="26"/>
      <c r="T42" s="24"/>
      <c r="V42" s="24"/>
      <c r="W42" s="27"/>
      <c r="X42" s="23"/>
      <c r="Z42" s="24"/>
      <c r="AB42" s="24"/>
      <c r="AD42" s="24"/>
      <c r="AF42" s="24"/>
      <c r="AH42" s="24"/>
      <c r="AI42" s="27"/>
      <c r="AJ42" s="39">
        <f t="shared" si="1"/>
        <v>1089.6</v>
      </c>
      <c r="AK42" s="35">
        <f t="shared" si="2"/>
        <v>96</v>
      </c>
      <c r="AL42" s="35" t="str">
        <f t="shared" si="3"/>
        <v/>
      </c>
      <c r="AM42" s="35">
        <f t="shared" si="4"/>
        <v>96</v>
      </c>
      <c r="AN42" s="40">
        <f t="shared" si="5"/>
        <v>11.35</v>
      </c>
    </row>
    <row r="43" ht="15.75" customHeight="1">
      <c r="A43" s="32" t="s">
        <v>30</v>
      </c>
      <c r="B43" s="34">
        <f t="shared" si="6"/>
        <v>44603</v>
      </c>
      <c r="C43" s="35">
        <v>2.0</v>
      </c>
      <c r="D43" s="35" t="s">
        <v>32</v>
      </c>
      <c r="E43" s="37"/>
      <c r="F43" s="23"/>
      <c r="H43" s="24"/>
      <c r="J43" s="24"/>
      <c r="L43" s="25"/>
      <c r="N43" s="26"/>
      <c r="P43" s="24"/>
      <c r="R43" s="26"/>
      <c r="T43" s="24"/>
      <c r="V43" s="24"/>
      <c r="W43" s="27"/>
      <c r="X43" s="23"/>
      <c r="Z43" s="24"/>
      <c r="AB43" s="24"/>
      <c r="AD43" s="24"/>
      <c r="AF43" s="24"/>
      <c r="AH43" s="24"/>
      <c r="AI43" s="27"/>
      <c r="AJ43" s="39">
        <f t="shared" si="1"/>
        <v>0</v>
      </c>
      <c r="AK43" s="35">
        <f t="shared" si="2"/>
        <v>0</v>
      </c>
      <c r="AL43" s="35" t="str">
        <f t="shared" si="3"/>
        <v/>
      </c>
      <c r="AM43" s="35">
        <f t="shared" si="4"/>
        <v>0</v>
      </c>
      <c r="AN43" s="40" t="str">
        <f t="shared" si="5"/>
        <v/>
      </c>
    </row>
    <row r="44" ht="15.75" customHeight="1">
      <c r="A44" s="48" t="s">
        <v>31</v>
      </c>
      <c r="B44" s="50">
        <f t="shared" si="6"/>
        <v>44604</v>
      </c>
      <c r="C44" s="51">
        <v>2.0</v>
      </c>
      <c r="D44" s="51" t="s">
        <v>32</v>
      </c>
      <c r="E44" s="53"/>
      <c r="F44" s="54"/>
      <c r="G44" s="56"/>
      <c r="H44" s="57"/>
      <c r="I44" s="56"/>
      <c r="J44" s="57"/>
      <c r="K44" s="56"/>
      <c r="L44" s="58"/>
      <c r="M44" s="56"/>
      <c r="N44" s="59"/>
      <c r="O44" s="56"/>
      <c r="P44" s="57"/>
      <c r="Q44" s="56"/>
      <c r="R44" s="59"/>
      <c r="S44" s="56"/>
      <c r="T44" s="57"/>
      <c r="U44" s="56"/>
      <c r="V44" s="57"/>
      <c r="W44" s="60"/>
      <c r="X44" s="54"/>
      <c r="Y44" s="56"/>
      <c r="Z44" s="57"/>
      <c r="AA44" s="56"/>
      <c r="AB44" s="57"/>
      <c r="AC44" s="56"/>
      <c r="AD44" s="57"/>
      <c r="AE44" s="56"/>
      <c r="AF44" s="57"/>
      <c r="AG44" s="56"/>
      <c r="AH44" s="57"/>
      <c r="AI44" s="60"/>
      <c r="AJ44" s="61">
        <f t="shared" si="1"/>
        <v>0</v>
      </c>
      <c r="AK44" s="51">
        <f t="shared" si="2"/>
        <v>0</v>
      </c>
      <c r="AL44" s="51" t="str">
        <f t="shared" si="3"/>
        <v/>
      </c>
      <c r="AM44" s="51">
        <f t="shared" si="4"/>
        <v>0</v>
      </c>
      <c r="AN44" s="63" t="str">
        <f t="shared" si="5"/>
        <v/>
      </c>
    </row>
    <row r="45" ht="15.75" customHeight="1">
      <c r="A45" s="18" t="s">
        <v>20</v>
      </c>
      <c r="B45" s="64">
        <f t="shared" si="6"/>
        <v>44605</v>
      </c>
      <c r="C45" s="20">
        <v>2.0</v>
      </c>
      <c r="D45" s="20" t="s">
        <v>33</v>
      </c>
      <c r="E45" s="22"/>
      <c r="F45" s="25">
        <v>0.0</v>
      </c>
      <c r="H45" s="26">
        <v>33.0</v>
      </c>
      <c r="J45" s="26">
        <v>0.0</v>
      </c>
      <c r="L45" s="25">
        <v>83.0</v>
      </c>
      <c r="N45" s="26">
        <v>104.0</v>
      </c>
      <c r="P45" s="24"/>
      <c r="R45" s="26"/>
      <c r="T45" s="24"/>
      <c r="V45" s="24"/>
      <c r="W45" s="27"/>
      <c r="X45" s="23"/>
      <c r="Z45" s="24"/>
      <c r="AB45" s="24"/>
      <c r="AD45" s="24"/>
      <c r="AF45" s="24"/>
      <c r="AH45" s="24"/>
      <c r="AI45" s="27"/>
      <c r="AJ45" s="28">
        <f t="shared" si="1"/>
        <v>2712.49</v>
      </c>
      <c r="AK45" s="20">
        <f t="shared" si="2"/>
        <v>220</v>
      </c>
      <c r="AL45" s="20" t="str">
        <f t="shared" si="3"/>
        <v/>
      </c>
      <c r="AM45" s="20">
        <f t="shared" si="4"/>
        <v>220</v>
      </c>
      <c r="AN45" s="31">
        <f t="shared" si="5"/>
        <v>12.3295</v>
      </c>
    </row>
    <row r="46" ht="15.75" customHeight="1">
      <c r="A46" s="32" t="s">
        <v>22</v>
      </c>
      <c r="B46" s="34">
        <f t="shared" si="6"/>
        <v>44606</v>
      </c>
      <c r="C46" s="35">
        <v>2.0</v>
      </c>
      <c r="D46" s="35" t="s">
        <v>33</v>
      </c>
      <c r="E46" s="37"/>
      <c r="F46" s="25">
        <v>103.0</v>
      </c>
      <c r="H46" s="26">
        <v>105.0</v>
      </c>
      <c r="J46" s="24"/>
      <c r="L46" s="25">
        <v>31.0</v>
      </c>
      <c r="N46" s="26">
        <v>35.0</v>
      </c>
      <c r="P46" s="24"/>
      <c r="R46" s="26"/>
      <c r="T46" s="24"/>
      <c r="V46" s="24"/>
      <c r="W46" s="27"/>
      <c r="X46" s="23"/>
      <c r="Z46" s="24"/>
      <c r="AB46" s="24"/>
      <c r="AD46" s="24"/>
      <c r="AF46" s="24"/>
      <c r="AH46" s="24"/>
      <c r="AI46" s="27"/>
      <c r="AJ46" s="39">
        <f t="shared" si="1"/>
        <v>4468.14</v>
      </c>
      <c r="AK46" s="35">
        <f t="shared" si="2"/>
        <v>274</v>
      </c>
      <c r="AL46" s="35" t="str">
        <f t="shared" si="3"/>
        <v/>
      </c>
      <c r="AM46" s="35">
        <f t="shared" si="4"/>
        <v>274</v>
      </c>
      <c r="AN46" s="40">
        <f t="shared" si="5"/>
        <v>16.30708029</v>
      </c>
    </row>
    <row r="47" ht="15.75" customHeight="1">
      <c r="A47" s="32" t="s">
        <v>24</v>
      </c>
      <c r="B47" s="34">
        <f t="shared" si="6"/>
        <v>44607</v>
      </c>
      <c r="C47" s="35">
        <v>2.0</v>
      </c>
      <c r="D47" s="35" t="s">
        <v>33</v>
      </c>
      <c r="E47" s="37"/>
      <c r="F47" s="25">
        <v>105.0</v>
      </c>
      <c r="H47" s="26">
        <v>102.0</v>
      </c>
      <c r="J47" s="24"/>
      <c r="L47" s="25">
        <v>45.0</v>
      </c>
      <c r="N47" s="26">
        <v>104.0</v>
      </c>
      <c r="P47" s="24"/>
      <c r="R47" s="26"/>
      <c r="T47" s="24"/>
      <c r="V47" s="24"/>
      <c r="W47" s="27"/>
      <c r="X47" s="23"/>
      <c r="Z47" s="24"/>
      <c r="AB47" s="24"/>
      <c r="AD47" s="24"/>
      <c r="AF47" s="24"/>
      <c r="AH47" s="24"/>
      <c r="AI47" s="27"/>
      <c r="AJ47" s="39">
        <f t="shared" si="1"/>
        <v>5392.31</v>
      </c>
      <c r="AK47" s="35">
        <f t="shared" si="2"/>
        <v>356</v>
      </c>
      <c r="AL47" s="35" t="str">
        <f t="shared" si="3"/>
        <v/>
      </c>
      <c r="AM47" s="35">
        <f t="shared" si="4"/>
        <v>356</v>
      </c>
      <c r="AN47" s="40">
        <f t="shared" si="5"/>
        <v>15.1469382</v>
      </c>
    </row>
    <row r="48" ht="15.75" customHeight="1">
      <c r="A48" s="32" t="s">
        <v>28</v>
      </c>
      <c r="B48" s="34">
        <f t="shared" si="6"/>
        <v>44608</v>
      </c>
      <c r="C48" s="35">
        <v>2.0</v>
      </c>
      <c r="D48" s="35" t="s">
        <v>33</v>
      </c>
      <c r="E48" s="37"/>
      <c r="F48" s="25">
        <v>103.0</v>
      </c>
      <c r="H48" s="26">
        <v>99.0</v>
      </c>
      <c r="J48" s="24"/>
      <c r="L48" s="25">
        <v>128.0</v>
      </c>
      <c r="N48" s="26">
        <v>83.0</v>
      </c>
      <c r="P48" s="24"/>
      <c r="R48" s="26"/>
      <c r="T48" s="24"/>
      <c r="V48" s="24"/>
      <c r="W48" s="27"/>
      <c r="X48" s="23"/>
      <c r="Z48" s="24"/>
      <c r="AB48" s="24"/>
      <c r="AD48" s="24"/>
      <c r="AF48" s="24"/>
      <c r="AH48" s="24"/>
      <c r="AI48" s="27"/>
      <c r="AJ48" s="39">
        <f t="shared" si="1"/>
        <v>6006.61</v>
      </c>
      <c r="AK48" s="35">
        <f t="shared" si="2"/>
        <v>413</v>
      </c>
      <c r="AL48" s="35" t="str">
        <f t="shared" si="3"/>
        <v/>
      </c>
      <c r="AM48" s="35">
        <f t="shared" si="4"/>
        <v>413</v>
      </c>
      <c r="AN48" s="40">
        <f t="shared" si="5"/>
        <v>14.54384988</v>
      </c>
    </row>
    <row r="49" ht="15.75" customHeight="1">
      <c r="A49" s="32" t="s">
        <v>29</v>
      </c>
      <c r="B49" s="34">
        <f t="shared" si="6"/>
        <v>44609</v>
      </c>
      <c r="C49" s="35">
        <v>2.0</v>
      </c>
      <c r="D49" s="35" t="s">
        <v>33</v>
      </c>
      <c r="E49" s="37"/>
      <c r="F49" s="25">
        <v>104.0</v>
      </c>
      <c r="H49" s="26">
        <v>103.0</v>
      </c>
      <c r="J49" s="24"/>
      <c r="L49" s="25">
        <v>154.0</v>
      </c>
      <c r="N49" s="26">
        <v>161.0</v>
      </c>
      <c r="P49" s="24"/>
      <c r="R49" s="26"/>
      <c r="T49" s="24"/>
      <c r="V49" s="24"/>
      <c r="W49" s="27"/>
      <c r="X49" s="23"/>
      <c r="Z49" s="24"/>
      <c r="AB49" s="24"/>
      <c r="AD49" s="24"/>
      <c r="AF49" s="24"/>
      <c r="AH49" s="24"/>
      <c r="AI49" s="27"/>
      <c r="AJ49" s="39">
        <f t="shared" si="1"/>
        <v>7276.41</v>
      </c>
      <c r="AK49" s="35">
        <f t="shared" si="2"/>
        <v>522</v>
      </c>
      <c r="AL49" s="35" t="str">
        <f t="shared" si="3"/>
        <v/>
      </c>
      <c r="AM49" s="35">
        <f t="shared" si="4"/>
        <v>522</v>
      </c>
      <c r="AN49" s="40">
        <f t="shared" si="5"/>
        <v>13.93948276</v>
      </c>
    </row>
    <row r="50" ht="15.75" customHeight="1">
      <c r="A50" s="32" t="s">
        <v>30</v>
      </c>
      <c r="B50" s="34">
        <f t="shared" si="6"/>
        <v>44610</v>
      </c>
      <c r="C50" s="35">
        <v>2.0</v>
      </c>
      <c r="D50" s="35" t="s">
        <v>33</v>
      </c>
      <c r="E50" s="37"/>
      <c r="F50" s="25">
        <v>99.0</v>
      </c>
      <c r="H50" s="26">
        <v>104.0</v>
      </c>
      <c r="J50" s="24"/>
      <c r="L50" s="25">
        <v>131.0</v>
      </c>
      <c r="N50" s="26">
        <v>151.0</v>
      </c>
      <c r="P50" s="24"/>
      <c r="R50" s="26"/>
      <c r="T50" s="24"/>
      <c r="V50" s="24"/>
      <c r="W50" s="27"/>
      <c r="X50" s="23"/>
      <c r="Z50" s="24"/>
      <c r="AB50" s="24"/>
      <c r="AD50" s="24"/>
      <c r="AF50" s="24"/>
      <c r="AH50" s="24"/>
      <c r="AI50" s="27"/>
      <c r="AJ50" s="39">
        <f t="shared" si="1"/>
        <v>6830.34</v>
      </c>
      <c r="AK50" s="35">
        <f t="shared" si="2"/>
        <v>485</v>
      </c>
      <c r="AL50" s="35" t="str">
        <f t="shared" si="3"/>
        <v/>
      </c>
      <c r="AM50" s="35">
        <f t="shared" si="4"/>
        <v>485</v>
      </c>
      <c r="AN50" s="40">
        <f t="shared" si="5"/>
        <v>14.08317526</v>
      </c>
    </row>
    <row r="51" ht="15.75" customHeight="1">
      <c r="A51" s="48" t="s">
        <v>31</v>
      </c>
      <c r="B51" s="50">
        <f t="shared" si="6"/>
        <v>44611</v>
      </c>
      <c r="C51" s="51">
        <v>2.0</v>
      </c>
      <c r="D51" s="51" t="s">
        <v>33</v>
      </c>
      <c r="E51" s="53"/>
      <c r="F51" s="58">
        <v>75.0</v>
      </c>
      <c r="G51" s="56"/>
      <c r="H51" s="59">
        <v>115.0</v>
      </c>
      <c r="I51" s="56"/>
      <c r="J51" s="57"/>
      <c r="K51" s="56"/>
      <c r="L51" s="58">
        <v>31.0</v>
      </c>
      <c r="M51" s="56"/>
      <c r="N51" s="59">
        <v>129.0</v>
      </c>
      <c r="O51" s="56"/>
      <c r="P51" s="59">
        <v>139.0</v>
      </c>
      <c r="Q51" s="56"/>
      <c r="R51" s="59"/>
      <c r="S51" s="56"/>
      <c r="T51" s="57"/>
      <c r="U51" s="56"/>
      <c r="V51" s="57"/>
      <c r="W51" s="60"/>
      <c r="X51" s="54"/>
      <c r="Y51" s="56"/>
      <c r="Z51" s="57"/>
      <c r="AA51" s="56"/>
      <c r="AB51" s="57"/>
      <c r="AC51" s="56"/>
      <c r="AD51" s="57"/>
      <c r="AE51" s="56"/>
      <c r="AF51" s="57"/>
      <c r="AG51" s="56"/>
      <c r="AH51" s="57"/>
      <c r="AI51" s="60"/>
      <c r="AJ51" s="61">
        <f t="shared" si="1"/>
        <v>6790.85</v>
      </c>
      <c r="AK51" s="51">
        <f t="shared" si="2"/>
        <v>489</v>
      </c>
      <c r="AL51" s="51" t="str">
        <f t="shared" si="3"/>
        <v/>
      </c>
      <c r="AM51" s="51">
        <f t="shared" si="4"/>
        <v>489</v>
      </c>
      <c r="AN51" s="63">
        <f t="shared" si="5"/>
        <v>13.88721881</v>
      </c>
    </row>
    <row r="52" ht="15.75" customHeight="1">
      <c r="A52" s="18" t="s">
        <v>20</v>
      </c>
      <c r="B52" s="64">
        <f t="shared" si="6"/>
        <v>44612</v>
      </c>
      <c r="C52" s="20">
        <v>2.0</v>
      </c>
      <c r="D52" s="20" t="s">
        <v>34</v>
      </c>
      <c r="E52" s="22"/>
      <c r="F52" s="25"/>
      <c r="H52" s="26"/>
      <c r="J52" s="24"/>
      <c r="L52" s="25"/>
      <c r="N52" s="26"/>
      <c r="P52" s="24"/>
      <c r="R52" s="26"/>
      <c r="T52" s="24"/>
      <c r="V52" s="24"/>
      <c r="W52" s="27"/>
      <c r="X52" s="23"/>
      <c r="Z52" s="24"/>
      <c r="AB52" s="24"/>
      <c r="AD52" s="24"/>
      <c r="AF52" s="24"/>
      <c r="AH52" s="24"/>
      <c r="AI52" s="27"/>
      <c r="AJ52" s="28">
        <f t="shared" si="1"/>
        <v>0</v>
      </c>
      <c r="AK52" s="20">
        <f t="shared" si="2"/>
        <v>0</v>
      </c>
      <c r="AL52" s="20" t="str">
        <f t="shared" si="3"/>
        <v/>
      </c>
      <c r="AM52" s="20">
        <f t="shared" si="4"/>
        <v>0</v>
      </c>
      <c r="AN52" s="31" t="str">
        <f t="shared" si="5"/>
        <v/>
      </c>
    </row>
    <row r="53" ht="15.75" customHeight="1">
      <c r="A53" s="32" t="s">
        <v>22</v>
      </c>
      <c r="B53" s="34">
        <f t="shared" si="6"/>
        <v>44613</v>
      </c>
      <c r="C53" s="35">
        <v>2.0</v>
      </c>
      <c r="D53" s="35" t="s">
        <v>34</v>
      </c>
      <c r="E53" s="37"/>
      <c r="F53" s="25"/>
      <c r="H53" s="26"/>
      <c r="J53" s="24"/>
      <c r="L53" s="25"/>
      <c r="N53" s="26"/>
      <c r="P53" s="24"/>
      <c r="R53" s="26"/>
      <c r="T53" s="24"/>
      <c r="V53" s="24"/>
      <c r="W53" s="27"/>
      <c r="X53" s="23"/>
      <c r="Z53" s="24"/>
      <c r="AB53" s="24"/>
      <c r="AD53" s="24"/>
      <c r="AF53" s="24"/>
      <c r="AH53" s="24"/>
      <c r="AI53" s="27"/>
      <c r="AJ53" s="39">
        <f t="shared" si="1"/>
        <v>0</v>
      </c>
      <c r="AK53" s="35">
        <f t="shared" si="2"/>
        <v>0</v>
      </c>
      <c r="AL53" s="35" t="str">
        <f t="shared" si="3"/>
        <v/>
      </c>
      <c r="AM53" s="35">
        <f t="shared" si="4"/>
        <v>0</v>
      </c>
      <c r="AN53" s="40" t="str">
        <f t="shared" si="5"/>
        <v/>
      </c>
    </row>
    <row r="54" ht="15.75" customHeight="1">
      <c r="A54" s="32" t="s">
        <v>24</v>
      </c>
      <c r="B54" s="34">
        <f t="shared" si="6"/>
        <v>44614</v>
      </c>
      <c r="C54" s="35">
        <v>2.0</v>
      </c>
      <c r="D54" s="35" t="s">
        <v>34</v>
      </c>
      <c r="E54" s="37"/>
      <c r="F54" s="25">
        <v>135.0</v>
      </c>
      <c r="H54" s="26">
        <v>146.0</v>
      </c>
      <c r="J54" s="24"/>
      <c r="L54" s="25">
        <v>119.0</v>
      </c>
      <c r="N54" s="26">
        <v>149.0</v>
      </c>
      <c r="P54" s="24"/>
      <c r="R54" s="26"/>
      <c r="T54" s="24"/>
      <c r="V54" s="24"/>
      <c r="W54" s="27"/>
      <c r="X54" s="23"/>
      <c r="Z54" s="24"/>
      <c r="AB54" s="24"/>
      <c r="AD54" s="24"/>
      <c r="AF54" s="24"/>
      <c r="AH54" s="24"/>
      <c r="AI54" s="27"/>
      <c r="AJ54" s="39">
        <f t="shared" si="1"/>
        <v>8066.08</v>
      </c>
      <c r="AK54" s="35">
        <f t="shared" si="2"/>
        <v>549</v>
      </c>
      <c r="AL54" s="35" t="str">
        <f t="shared" si="3"/>
        <v/>
      </c>
      <c r="AM54" s="35">
        <f t="shared" si="4"/>
        <v>549</v>
      </c>
      <c r="AN54" s="40">
        <f t="shared" si="5"/>
        <v>14.6923133</v>
      </c>
    </row>
    <row r="55" ht="15.75" customHeight="1">
      <c r="A55" s="32" t="s">
        <v>28</v>
      </c>
      <c r="B55" s="34">
        <f t="shared" si="6"/>
        <v>44615</v>
      </c>
      <c r="C55" s="35">
        <v>2.0</v>
      </c>
      <c r="D55" s="35" t="s">
        <v>34</v>
      </c>
      <c r="E55" s="37"/>
      <c r="F55" s="25"/>
      <c r="H55" s="26"/>
      <c r="J55" s="24"/>
      <c r="L55" s="25"/>
      <c r="N55" s="26"/>
      <c r="P55" s="24"/>
      <c r="R55" s="26"/>
      <c r="T55" s="24"/>
      <c r="V55" s="24"/>
      <c r="W55" s="27"/>
      <c r="X55" s="23"/>
      <c r="Z55" s="24"/>
      <c r="AB55" s="24"/>
      <c r="AD55" s="24"/>
      <c r="AF55" s="24"/>
      <c r="AH55" s="24"/>
      <c r="AI55" s="27"/>
      <c r="AJ55" s="39">
        <f t="shared" si="1"/>
        <v>0</v>
      </c>
      <c r="AK55" s="35">
        <f t="shared" si="2"/>
        <v>0</v>
      </c>
      <c r="AL55" s="35" t="str">
        <f t="shared" si="3"/>
        <v/>
      </c>
      <c r="AM55" s="35">
        <f t="shared" si="4"/>
        <v>0</v>
      </c>
      <c r="AN55" s="40" t="str">
        <f t="shared" si="5"/>
        <v/>
      </c>
    </row>
    <row r="56" ht="15.75" customHeight="1">
      <c r="A56" s="32" t="s">
        <v>29</v>
      </c>
      <c r="B56" s="34">
        <f t="shared" si="6"/>
        <v>44616</v>
      </c>
      <c r="C56" s="35">
        <v>2.0</v>
      </c>
      <c r="D56" s="35" t="s">
        <v>34</v>
      </c>
      <c r="E56" s="37"/>
      <c r="F56" s="25"/>
      <c r="H56" s="26"/>
      <c r="J56" s="24"/>
      <c r="L56" s="25"/>
      <c r="N56" s="26"/>
      <c r="P56" s="24"/>
      <c r="R56" s="26"/>
      <c r="T56" s="24"/>
      <c r="V56" s="24"/>
      <c r="W56" s="27"/>
      <c r="X56" s="23"/>
      <c r="Z56" s="24"/>
      <c r="AB56" s="24"/>
      <c r="AD56" s="24"/>
      <c r="AF56" s="24"/>
      <c r="AH56" s="24"/>
      <c r="AI56" s="27"/>
      <c r="AJ56" s="39">
        <f t="shared" si="1"/>
        <v>0</v>
      </c>
      <c r="AK56" s="35">
        <f t="shared" si="2"/>
        <v>0</v>
      </c>
      <c r="AL56" s="35" t="str">
        <f t="shared" si="3"/>
        <v/>
      </c>
      <c r="AM56" s="35">
        <f t="shared" si="4"/>
        <v>0</v>
      </c>
      <c r="AN56" s="40" t="str">
        <f t="shared" si="5"/>
        <v/>
      </c>
    </row>
    <row r="57" ht="15.75" customHeight="1">
      <c r="A57" s="32" t="s">
        <v>30</v>
      </c>
      <c r="B57" s="34">
        <f t="shared" si="6"/>
        <v>44617</v>
      </c>
      <c r="C57" s="35">
        <v>2.0</v>
      </c>
      <c r="D57" s="35" t="s">
        <v>34</v>
      </c>
      <c r="E57" s="37"/>
      <c r="F57" s="25"/>
      <c r="H57" s="26"/>
      <c r="J57" s="24"/>
      <c r="L57" s="25"/>
      <c r="N57" s="26"/>
      <c r="P57" s="24"/>
      <c r="R57" s="26"/>
      <c r="T57" s="24"/>
      <c r="V57" s="24"/>
      <c r="W57" s="27"/>
      <c r="X57" s="23"/>
      <c r="Z57" s="24"/>
      <c r="AB57" s="24"/>
      <c r="AD57" s="24"/>
      <c r="AF57" s="24"/>
      <c r="AH57" s="24"/>
      <c r="AI57" s="27"/>
      <c r="AJ57" s="39">
        <f t="shared" si="1"/>
        <v>0</v>
      </c>
      <c r="AK57" s="35">
        <f t="shared" si="2"/>
        <v>0</v>
      </c>
      <c r="AL57" s="35" t="str">
        <f t="shared" si="3"/>
        <v/>
      </c>
      <c r="AM57" s="35">
        <f t="shared" si="4"/>
        <v>0</v>
      </c>
      <c r="AN57" s="40" t="str">
        <f t="shared" si="5"/>
        <v/>
      </c>
    </row>
    <row r="58" ht="15.75" customHeight="1">
      <c r="A58" s="48" t="s">
        <v>31</v>
      </c>
      <c r="B58" s="50">
        <f t="shared" si="6"/>
        <v>44618</v>
      </c>
      <c r="C58" s="51">
        <v>2.0</v>
      </c>
      <c r="D58" s="51" t="s">
        <v>34</v>
      </c>
      <c r="E58" s="53"/>
      <c r="F58" s="58"/>
      <c r="G58" s="56"/>
      <c r="H58" s="59"/>
      <c r="I58" s="56"/>
      <c r="J58" s="57"/>
      <c r="K58" s="56"/>
      <c r="L58" s="58"/>
      <c r="M58" s="56"/>
      <c r="N58" s="59"/>
      <c r="O58" s="56"/>
      <c r="P58" s="57"/>
      <c r="Q58" s="56"/>
      <c r="R58" s="59"/>
      <c r="S58" s="56"/>
      <c r="T58" s="57"/>
      <c r="U58" s="56"/>
      <c r="V58" s="57"/>
      <c r="W58" s="60"/>
      <c r="X58" s="54"/>
      <c r="Y58" s="56"/>
      <c r="Z58" s="57"/>
      <c r="AA58" s="56"/>
      <c r="AB58" s="57"/>
      <c r="AC58" s="56"/>
      <c r="AD58" s="57"/>
      <c r="AE58" s="56"/>
      <c r="AF58" s="57"/>
      <c r="AG58" s="56"/>
      <c r="AH58" s="57"/>
      <c r="AI58" s="60"/>
      <c r="AJ58" s="61">
        <f t="shared" si="1"/>
        <v>0</v>
      </c>
      <c r="AK58" s="51">
        <f t="shared" si="2"/>
        <v>0</v>
      </c>
      <c r="AL58" s="51" t="str">
        <f t="shared" si="3"/>
        <v/>
      </c>
      <c r="AM58" s="51">
        <f t="shared" si="4"/>
        <v>0</v>
      </c>
      <c r="AN58" s="63" t="str">
        <f t="shared" si="5"/>
        <v/>
      </c>
    </row>
    <row r="59" ht="15.75" customHeight="1">
      <c r="A59" s="18" t="s">
        <v>20</v>
      </c>
      <c r="B59" s="64">
        <f t="shared" si="6"/>
        <v>44619</v>
      </c>
      <c r="C59" s="20">
        <v>3.0</v>
      </c>
      <c r="D59" s="20" t="s">
        <v>21</v>
      </c>
      <c r="E59" s="22"/>
      <c r="F59" s="25"/>
      <c r="H59" s="26"/>
      <c r="J59" s="24"/>
      <c r="L59" s="25"/>
      <c r="N59" s="26"/>
      <c r="P59" s="24"/>
      <c r="R59" s="26"/>
      <c r="T59" s="24"/>
      <c r="V59" s="24"/>
      <c r="W59" s="27"/>
      <c r="X59" s="23"/>
      <c r="Z59" s="24"/>
      <c r="AB59" s="24"/>
      <c r="AD59" s="24"/>
      <c r="AF59" s="24"/>
      <c r="AH59" s="24"/>
      <c r="AI59" s="27"/>
      <c r="AJ59" s="28">
        <f t="shared" si="1"/>
        <v>0</v>
      </c>
      <c r="AK59" s="20">
        <f t="shared" si="2"/>
        <v>0</v>
      </c>
      <c r="AL59" s="20" t="str">
        <f t="shared" si="3"/>
        <v/>
      </c>
      <c r="AM59" s="20">
        <f t="shared" si="4"/>
        <v>0</v>
      </c>
      <c r="AN59" s="31" t="str">
        <f t="shared" si="5"/>
        <v/>
      </c>
    </row>
    <row r="60" ht="15.75" customHeight="1">
      <c r="A60" s="32" t="s">
        <v>22</v>
      </c>
      <c r="B60" s="34">
        <f t="shared" si="6"/>
        <v>44620</v>
      </c>
      <c r="C60" s="35">
        <v>3.0</v>
      </c>
      <c r="D60" s="35" t="s">
        <v>21</v>
      </c>
      <c r="E60" s="37"/>
      <c r="F60" s="25"/>
      <c r="H60" s="26"/>
      <c r="J60" s="24"/>
      <c r="L60" s="25"/>
      <c r="N60" s="26"/>
      <c r="P60" s="24"/>
      <c r="R60" s="26"/>
      <c r="T60" s="24"/>
      <c r="V60" s="24"/>
      <c r="W60" s="27"/>
      <c r="X60" s="23"/>
      <c r="Z60" s="24"/>
      <c r="AB60" s="24"/>
      <c r="AD60" s="24"/>
      <c r="AF60" s="24"/>
      <c r="AH60" s="24"/>
      <c r="AI60" s="27"/>
      <c r="AJ60" s="39">
        <f t="shared" si="1"/>
        <v>0</v>
      </c>
      <c r="AK60" s="35">
        <f t="shared" si="2"/>
        <v>0</v>
      </c>
      <c r="AL60" s="35" t="str">
        <f t="shared" si="3"/>
        <v/>
      </c>
      <c r="AM60" s="35">
        <f t="shared" si="4"/>
        <v>0</v>
      </c>
      <c r="AN60" s="40" t="str">
        <f t="shared" si="5"/>
        <v/>
      </c>
    </row>
    <row r="61" ht="15.75" customHeight="1">
      <c r="A61" s="32" t="s">
        <v>24</v>
      </c>
      <c r="B61" s="34">
        <f t="shared" si="6"/>
        <v>44621</v>
      </c>
      <c r="C61" s="35">
        <v>3.0</v>
      </c>
      <c r="D61" s="35" t="s">
        <v>21</v>
      </c>
      <c r="E61" s="37"/>
      <c r="F61" s="25"/>
      <c r="H61" s="26"/>
      <c r="J61" s="24"/>
      <c r="L61" s="25"/>
      <c r="N61" s="26"/>
      <c r="P61" s="24"/>
      <c r="R61" s="26"/>
      <c r="T61" s="24"/>
      <c r="V61" s="24"/>
      <c r="W61" s="27"/>
      <c r="X61" s="23"/>
      <c r="Z61" s="24"/>
      <c r="AB61" s="24"/>
      <c r="AD61" s="24"/>
      <c r="AF61" s="24"/>
      <c r="AH61" s="24"/>
      <c r="AI61" s="27"/>
      <c r="AJ61" s="39">
        <f t="shared" si="1"/>
        <v>0</v>
      </c>
      <c r="AK61" s="35">
        <f t="shared" si="2"/>
        <v>0</v>
      </c>
      <c r="AL61" s="35" t="str">
        <f t="shared" si="3"/>
        <v/>
      </c>
      <c r="AM61" s="35">
        <f t="shared" si="4"/>
        <v>0</v>
      </c>
      <c r="AN61" s="40" t="str">
        <f t="shared" si="5"/>
        <v/>
      </c>
    </row>
    <row r="62" ht="15.75" customHeight="1">
      <c r="A62" s="32" t="s">
        <v>28</v>
      </c>
      <c r="B62" s="34">
        <f t="shared" si="6"/>
        <v>44622</v>
      </c>
      <c r="C62" s="35">
        <v>3.0</v>
      </c>
      <c r="D62" s="35" t="s">
        <v>21</v>
      </c>
      <c r="E62" s="37"/>
      <c r="F62" s="25"/>
      <c r="H62" s="26"/>
      <c r="J62" s="24"/>
      <c r="L62" s="25"/>
      <c r="N62" s="26"/>
      <c r="P62" s="24"/>
      <c r="R62" s="26"/>
      <c r="T62" s="24"/>
      <c r="V62" s="24"/>
      <c r="W62" s="27"/>
      <c r="X62" s="23"/>
      <c r="Z62" s="24"/>
      <c r="AB62" s="24"/>
      <c r="AD62" s="24"/>
      <c r="AF62" s="24"/>
      <c r="AH62" s="24"/>
      <c r="AI62" s="27"/>
      <c r="AJ62" s="39">
        <f t="shared" si="1"/>
        <v>0</v>
      </c>
      <c r="AK62" s="35">
        <f t="shared" si="2"/>
        <v>0</v>
      </c>
      <c r="AL62" s="35" t="str">
        <f t="shared" si="3"/>
        <v/>
      </c>
      <c r="AM62" s="35">
        <f t="shared" si="4"/>
        <v>0</v>
      </c>
      <c r="AN62" s="40" t="str">
        <f t="shared" si="5"/>
        <v/>
      </c>
    </row>
    <row r="63" ht="15.75" customHeight="1">
      <c r="A63" s="32" t="s">
        <v>29</v>
      </c>
      <c r="B63" s="34">
        <f t="shared" si="6"/>
        <v>44623</v>
      </c>
      <c r="C63" s="35">
        <v>3.0</v>
      </c>
      <c r="D63" s="35" t="s">
        <v>21</v>
      </c>
      <c r="E63" s="37"/>
      <c r="F63" s="25"/>
      <c r="H63" s="26"/>
      <c r="J63" s="24"/>
      <c r="L63" s="25"/>
      <c r="N63" s="26"/>
      <c r="P63" s="24"/>
      <c r="R63" s="26"/>
      <c r="T63" s="24"/>
      <c r="V63" s="24"/>
      <c r="W63" s="27"/>
      <c r="X63" s="23"/>
      <c r="Z63" s="24"/>
      <c r="AB63" s="24"/>
      <c r="AD63" s="24"/>
      <c r="AF63" s="24"/>
      <c r="AH63" s="24"/>
      <c r="AI63" s="27"/>
      <c r="AJ63" s="39">
        <f t="shared" si="1"/>
        <v>0</v>
      </c>
      <c r="AK63" s="35">
        <f t="shared" si="2"/>
        <v>0</v>
      </c>
      <c r="AL63" s="35" t="str">
        <f t="shared" si="3"/>
        <v/>
      </c>
      <c r="AM63" s="35">
        <f t="shared" si="4"/>
        <v>0</v>
      </c>
      <c r="AN63" s="40" t="str">
        <f t="shared" si="5"/>
        <v/>
      </c>
    </row>
    <row r="64" ht="15.75" customHeight="1">
      <c r="A64" s="32" t="s">
        <v>30</v>
      </c>
      <c r="B64" s="34">
        <f t="shared" si="6"/>
        <v>44624</v>
      </c>
      <c r="C64" s="35">
        <v>3.0</v>
      </c>
      <c r="D64" s="35" t="s">
        <v>21</v>
      </c>
      <c r="E64" s="37"/>
      <c r="F64" s="25"/>
      <c r="H64" s="26"/>
      <c r="J64" s="24"/>
      <c r="L64" s="25"/>
      <c r="N64" s="26"/>
      <c r="P64" s="24"/>
      <c r="R64" s="26"/>
      <c r="T64" s="24"/>
      <c r="V64" s="24"/>
      <c r="W64" s="27"/>
      <c r="X64" s="23"/>
      <c r="Z64" s="24"/>
      <c r="AB64" s="24"/>
      <c r="AD64" s="24"/>
      <c r="AF64" s="24"/>
      <c r="AH64" s="24"/>
      <c r="AI64" s="27"/>
      <c r="AJ64" s="39">
        <f t="shared" si="1"/>
        <v>0</v>
      </c>
      <c r="AK64" s="35">
        <f t="shared" si="2"/>
        <v>0</v>
      </c>
      <c r="AL64" s="35" t="str">
        <f t="shared" si="3"/>
        <v/>
      </c>
      <c r="AM64" s="35">
        <f t="shared" si="4"/>
        <v>0</v>
      </c>
      <c r="AN64" s="40" t="str">
        <f t="shared" si="5"/>
        <v/>
      </c>
    </row>
    <row r="65" ht="15.75" customHeight="1">
      <c r="A65" s="48" t="s">
        <v>31</v>
      </c>
      <c r="B65" s="50">
        <f t="shared" si="6"/>
        <v>44625</v>
      </c>
      <c r="C65" s="51">
        <v>3.0</v>
      </c>
      <c r="D65" s="51" t="s">
        <v>21</v>
      </c>
      <c r="E65" s="53"/>
      <c r="F65" s="58">
        <v>85.0</v>
      </c>
      <c r="G65" s="56"/>
      <c r="H65" s="59">
        <v>85.0</v>
      </c>
      <c r="I65" s="56"/>
      <c r="J65" s="57"/>
      <c r="K65" s="56"/>
      <c r="L65" s="58"/>
      <c r="M65" s="56"/>
      <c r="N65" s="59"/>
      <c r="O65" s="56"/>
      <c r="P65" s="57"/>
      <c r="Q65" s="56"/>
      <c r="R65" s="59"/>
      <c r="S65" s="56"/>
      <c r="T65" s="57"/>
      <c r="U65" s="56"/>
      <c r="V65" s="57"/>
      <c r="W65" s="60"/>
      <c r="X65" s="54"/>
      <c r="Y65" s="56"/>
      <c r="Z65" s="57"/>
      <c r="AA65" s="56"/>
      <c r="AB65" s="57"/>
      <c r="AC65" s="56"/>
      <c r="AD65" s="57"/>
      <c r="AE65" s="56"/>
      <c r="AF65" s="57"/>
      <c r="AG65" s="56"/>
      <c r="AH65" s="57"/>
      <c r="AI65" s="60"/>
      <c r="AJ65" s="61">
        <f t="shared" si="1"/>
        <v>3039.6</v>
      </c>
      <c r="AK65" s="51">
        <f t="shared" si="2"/>
        <v>170</v>
      </c>
      <c r="AL65" s="51" t="str">
        <f t="shared" si="3"/>
        <v/>
      </c>
      <c r="AM65" s="51">
        <f t="shared" si="4"/>
        <v>170</v>
      </c>
      <c r="AN65" s="63">
        <f t="shared" si="5"/>
        <v>17.88</v>
      </c>
    </row>
    <row r="66" ht="15.75" customHeight="1">
      <c r="A66" s="18" t="s">
        <v>20</v>
      </c>
      <c r="B66" s="64">
        <f t="shared" si="6"/>
        <v>44626</v>
      </c>
      <c r="C66" s="20">
        <v>3.0</v>
      </c>
      <c r="D66" s="20" t="s">
        <v>32</v>
      </c>
      <c r="E66" s="22"/>
      <c r="F66" s="25"/>
      <c r="H66" s="26"/>
      <c r="J66" s="24"/>
      <c r="L66" s="25">
        <v>214.0</v>
      </c>
      <c r="N66" s="26"/>
      <c r="P66" s="24"/>
      <c r="R66" s="26"/>
      <c r="T66" s="24"/>
      <c r="V66" s="24"/>
      <c r="W66" s="27"/>
      <c r="X66" s="23"/>
      <c r="Z66" s="24"/>
      <c r="AB66" s="24"/>
      <c r="AD66" s="24"/>
      <c r="AF66" s="24"/>
      <c r="AH66" s="24"/>
      <c r="AI66" s="27"/>
      <c r="AJ66" s="28">
        <f t="shared" si="1"/>
        <v>2428.9</v>
      </c>
      <c r="AK66" s="20">
        <f t="shared" si="2"/>
        <v>214</v>
      </c>
      <c r="AL66" s="20" t="str">
        <f t="shared" si="3"/>
        <v/>
      </c>
      <c r="AM66" s="20">
        <f t="shared" si="4"/>
        <v>214</v>
      </c>
      <c r="AN66" s="31">
        <f t="shared" si="5"/>
        <v>11.35</v>
      </c>
    </row>
    <row r="67" ht="15.75" customHeight="1">
      <c r="A67" s="32" t="s">
        <v>22</v>
      </c>
      <c r="B67" s="34">
        <f t="shared" si="6"/>
        <v>44627</v>
      </c>
      <c r="C67" s="35">
        <v>3.0</v>
      </c>
      <c r="D67" s="35" t="s">
        <v>32</v>
      </c>
      <c r="E67" s="37"/>
      <c r="F67" s="25"/>
      <c r="H67" s="26"/>
      <c r="J67" s="24"/>
      <c r="L67" s="25">
        <v>245.0</v>
      </c>
      <c r="N67" s="26"/>
      <c r="P67" s="24"/>
      <c r="R67" s="26"/>
      <c r="T67" s="24"/>
      <c r="V67" s="24"/>
      <c r="W67" s="27"/>
      <c r="X67" s="23"/>
      <c r="Z67" s="24"/>
      <c r="AB67" s="24"/>
      <c r="AD67" s="24"/>
      <c r="AF67" s="24"/>
      <c r="AH67" s="24"/>
      <c r="AI67" s="27"/>
      <c r="AJ67" s="39">
        <f t="shared" si="1"/>
        <v>2780.75</v>
      </c>
      <c r="AK67" s="35">
        <f t="shared" si="2"/>
        <v>245</v>
      </c>
      <c r="AL67" s="35" t="str">
        <f t="shared" si="3"/>
        <v/>
      </c>
      <c r="AM67" s="35">
        <f t="shared" si="4"/>
        <v>245</v>
      </c>
      <c r="AN67" s="40">
        <f t="shared" si="5"/>
        <v>11.35</v>
      </c>
    </row>
    <row r="68" ht="15.75" customHeight="1">
      <c r="A68" s="32" t="s">
        <v>24</v>
      </c>
      <c r="B68" s="34">
        <f t="shared" si="6"/>
        <v>44628</v>
      </c>
      <c r="C68" s="35">
        <v>3.0</v>
      </c>
      <c r="D68" s="35" t="s">
        <v>32</v>
      </c>
      <c r="E68" s="37"/>
      <c r="F68" s="25"/>
      <c r="H68" s="26"/>
      <c r="J68" s="24"/>
      <c r="L68" s="25">
        <v>266.0</v>
      </c>
      <c r="N68" s="26"/>
      <c r="P68" s="24"/>
      <c r="R68" s="26"/>
      <c r="T68" s="24"/>
      <c r="V68" s="24"/>
      <c r="W68" s="27"/>
      <c r="X68" s="23"/>
      <c r="Z68" s="24"/>
      <c r="AB68" s="24"/>
      <c r="AD68" s="24"/>
      <c r="AF68" s="24"/>
      <c r="AH68" s="24"/>
      <c r="AI68" s="27"/>
      <c r="AJ68" s="39">
        <f t="shared" si="1"/>
        <v>3019.1</v>
      </c>
      <c r="AK68" s="35">
        <f t="shared" si="2"/>
        <v>266</v>
      </c>
      <c r="AL68" s="35" t="str">
        <f t="shared" si="3"/>
        <v/>
      </c>
      <c r="AM68" s="35">
        <f t="shared" si="4"/>
        <v>266</v>
      </c>
      <c r="AN68" s="40">
        <f t="shared" si="5"/>
        <v>11.35</v>
      </c>
    </row>
    <row r="69" ht="15.75" customHeight="1">
      <c r="A69" s="32" t="s">
        <v>28</v>
      </c>
      <c r="B69" s="34">
        <f t="shared" si="6"/>
        <v>44629</v>
      </c>
      <c r="C69" s="35">
        <v>3.0</v>
      </c>
      <c r="D69" s="35" t="s">
        <v>32</v>
      </c>
      <c r="E69" s="37"/>
      <c r="F69" s="25"/>
      <c r="H69" s="26"/>
      <c r="J69" s="24"/>
      <c r="L69" s="25">
        <v>261.0</v>
      </c>
      <c r="N69" s="26"/>
      <c r="P69" s="24"/>
      <c r="R69" s="26"/>
      <c r="T69" s="24"/>
      <c r="V69" s="24"/>
      <c r="W69" s="27"/>
      <c r="X69" s="23"/>
      <c r="Z69" s="24"/>
      <c r="AB69" s="24"/>
      <c r="AD69" s="24"/>
      <c r="AF69" s="24"/>
      <c r="AH69" s="24"/>
      <c r="AI69" s="27"/>
      <c r="AJ69" s="39">
        <f t="shared" si="1"/>
        <v>2962.35</v>
      </c>
      <c r="AK69" s="35">
        <f t="shared" si="2"/>
        <v>261</v>
      </c>
      <c r="AL69" s="35" t="str">
        <f t="shared" si="3"/>
        <v/>
      </c>
      <c r="AM69" s="35">
        <f t="shared" si="4"/>
        <v>261</v>
      </c>
      <c r="AN69" s="40">
        <f t="shared" si="5"/>
        <v>11.35</v>
      </c>
    </row>
    <row r="70" ht="15.75" customHeight="1">
      <c r="A70" s="32" t="s">
        <v>29</v>
      </c>
      <c r="B70" s="34">
        <f t="shared" si="6"/>
        <v>44630</v>
      </c>
      <c r="C70" s="35">
        <v>3.0</v>
      </c>
      <c r="D70" s="35" t="s">
        <v>32</v>
      </c>
      <c r="E70" s="37"/>
      <c r="F70" s="25"/>
      <c r="H70" s="26"/>
      <c r="J70" s="24"/>
      <c r="L70" s="25">
        <v>278.0</v>
      </c>
      <c r="N70" s="26"/>
      <c r="P70" s="24"/>
      <c r="R70" s="26"/>
      <c r="T70" s="24"/>
      <c r="V70" s="24"/>
      <c r="W70" s="27"/>
      <c r="X70" s="23"/>
      <c r="Z70" s="24"/>
      <c r="AB70" s="24"/>
      <c r="AD70" s="24"/>
      <c r="AF70" s="24"/>
      <c r="AH70" s="24"/>
      <c r="AI70" s="27"/>
      <c r="AJ70" s="39">
        <f t="shared" si="1"/>
        <v>3155.3</v>
      </c>
      <c r="AK70" s="35">
        <f t="shared" si="2"/>
        <v>278</v>
      </c>
      <c r="AL70" s="35" t="str">
        <f t="shared" si="3"/>
        <v/>
      </c>
      <c r="AM70" s="35">
        <f t="shared" si="4"/>
        <v>278</v>
      </c>
      <c r="AN70" s="40">
        <f t="shared" si="5"/>
        <v>11.35</v>
      </c>
    </row>
    <row r="71" ht="15.75" customHeight="1">
      <c r="A71" s="32" t="s">
        <v>30</v>
      </c>
      <c r="B71" s="34">
        <f t="shared" si="6"/>
        <v>44631</v>
      </c>
      <c r="C71" s="35">
        <v>3.0</v>
      </c>
      <c r="D71" s="35" t="s">
        <v>32</v>
      </c>
      <c r="E71" s="37"/>
      <c r="F71" s="25">
        <v>68.0</v>
      </c>
      <c r="H71" s="26"/>
      <c r="J71" s="24"/>
      <c r="L71" s="25">
        <v>228.0</v>
      </c>
      <c r="N71" s="26"/>
      <c r="P71" s="24"/>
      <c r="R71" s="26"/>
      <c r="T71" s="24"/>
      <c r="V71" s="24"/>
      <c r="W71" s="27"/>
      <c r="X71" s="23"/>
      <c r="Z71" s="24"/>
      <c r="AB71" s="24"/>
      <c r="AD71" s="24"/>
      <c r="AF71" s="24"/>
      <c r="AH71" s="24"/>
      <c r="AI71" s="27"/>
      <c r="AJ71" s="39">
        <f t="shared" si="1"/>
        <v>3803.64</v>
      </c>
      <c r="AK71" s="35">
        <f t="shared" si="2"/>
        <v>296</v>
      </c>
      <c r="AL71" s="35" t="str">
        <f t="shared" si="3"/>
        <v/>
      </c>
      <c r="AM71" s="35">
        <f t="shared" si="4"/>
        <v>296</v>
      </c>
      <c r="AN71" s="40">
        <f t="shared" si="5"/>
        <v>12.85013514</v>
      </c>
    </row>
    <row r="72" ht="15.75" customHeight="1">
      <c r="A72" s="48" t="s">
        <v>31</v>
      </c>
      <c r="B72" s="50">
        <f t="shared" si="6"/>
        <v>44632</v>
      </c>
      <c r="C72" s="51">
        <v>3.0</v>
      </c>
      <c r="D72" s="51" t="s">
        <v>32</v>
      </c>
      <c r="E72" s="53"/>
      <c r="F72" s="58"/>
      <c r="G72" s="56"/>
      <c r="H72" s="59"/>
      <c r="I72" s="56"/>
      <c r="J72" s="57"/>
      <c r="K72" s="56"/>
      <c r="L72" s="58"/>
      <c r="M72" s="56"/>
      <c r="N72" s="59"/>
      <c r="O72" s="56"/>
      <c r="P72" s="57"/>
      <c r="Q72" s="56"/>
      <c r="R72" s="59"/>
      <c r="S72" s="56"/>
      <c r="T72" s="57"/>
      <c r="U72" s="56"/>
      <c r="V72" s="57"/>
      <c r="W72" s="60"/>
      <c r="X72" s="54"/>
      <c r="Y72" s="56"/>
      <c r="Z72" s="57"/>
      <c r="AA72" s="56"/>
      <c r="AB72" s="57"/>
      <c r="AC72" s="56"/>
      <c r="AD72" s="57"/>
      <c r="AE72" s="56"/>
      <c r="AF72" s="57"/>
      <c r="AG72" s="56"/>
      <c r="AH72" s="57"/>
      <c r="AI72" s="60"/>
      <c r="AJ72" s="61">
        <f t="shared" si="1"/>
        <v>0</v>
      </c>
      <c r="AK72" s="51">
        <f t="shared" si="2"/>
        <v>0</v>
      </c>
      <c r="AL72" s="51" t="str">
        <f t="shared" si="3"/>
        <v/>
      </c>
      <c r="AM72" s="51">
        <f t="shared" si="4"/>
        <v>0</v>
      </c>
      <c r="AN72" s="63" t="str">
        <f t="shared" si="5"/>
        <v/>
      </c>
    </row>
    <row r="73" ht="15.75" customHeight="1">
      <c r="A73" s="18" t="s">
        <v>20</v>
      </c>
      <c r="B73" s="64">
        <f t="shared" si="6"/>
        <v>44633</v>
      </c>
      <c r="C73" s="20">
        <v>3.0</v>
      </c>
      <c r="D73" s="20" t="s">
        <v>33</v>
      </c>
      <c r="E73" s="22"/>
      <c r="F73" s="25">
        <v>95.0</v>
      </c>
      <c r="H73" s="26">
        <v>89.0</v>
      </c>
      <c r="J73" s="24"/>
      <c r="L73" s="25">
        <v>294.0</v>
      </c>
      <c r="N73" s="26">
        <v>291.0</v>
      </c>
      <c r="P73" s="24"/>
      <c r="R73" s="26"/>
      <c r="T73" s="24"/>
      <c r="V73" s="24"/>
      <c r="W73" s="27"/>
      <c r="X73" s="23"/>
      <c r="Z73" s="24"/>
      <c r="AB73" s="24"/>
      <c r="AD73" s="24"/>
      <c r="AF73" s="24"/>
      <c r="AH73" s="24"/>
      <c r="AI73" s="27"/>
      <c r="AJ73" s="28">
        <f t="shared" si="1"/>
        <v>9929.67</v>
      </c>
      <c r="AK73" s="20">
        <f t="shared" si="2"/>
        <v>769</v>
      </c>
      <c r="AL73" s="20" t="str">
        <f t="shared" si="3"/>
        <v/>
      </c>
      <c r="AM73" s="20">
        <f t="shared" si="4"/>
        <v>769</v>
      </c>
      <c r="AN73" s="31">
        <f t="shared" si="5"/>
        <v>12.91244473</v>
      </c>
    </row>
    <row r="74" ht="15.75" customHeight="1">
      <c r="A74" s="32" t="s">
        <v>22</v>
      </c>
      <c r="B74" s="34">
        <f t="shared" si="6"/>
        <v>44634</v>
      </c>
      <c r="C74" s="35">
        <v>3.0</v>
      </c>
      <c r="D74" s="35" t="s">
        <v>33</v>
      </c>
      <c r="E74" s="37"/>
      <c r="F74" s="25">
        <v>0.0</v>
      </c>
      <c r="H74" s="26"/>
      <c r="J74" s="24"/>
      <c r="L74" s="25">
        <v>292.0</v>
      </c>
      <c r="N74" s="26"/>
      <c r="P74" s="24"/>
      <c r="R74" s="26"/>
      <c r="T74" s="24"/>
      <c r="V74" s="24"/>
      <c r="W74" s="27"/>
      <c r="X74" s="23"/>
      <c r="Z74" s="24"/>
      <c r="AB74" s="24"/>
      <c r="AD74" s="24"/>
      <c r="AF74" s="24"/>
      <c r="AH74" s="24"/>
      <c r="AI74" s="27"/>
      <c r="AJ74" s="39">
        <f t="shared" si="1"/>
        <v>3314.2</v>
      </c>
      <c r="AK74" s="35">
        <f t="shared" si="2"/>
        <v>292</v>
      </c>
      <c r="AL74" s="35" t="str">
        <f t="shared" si="3"/>
        <v/>
      </c>
      <c r="AM74" s="35">
        <f t="shared" si="4"/>
        <v>292</v>
      </c>
      <c r="AN74" s="40">
        <f t="shared" si="5"/>
        <v>11.35</v>
      </c>
    </row>
    <row r="75" ht="15.75" customHeight="1">
      <c r="A75" s="32" t="s">
        <v>24</v>
      </c>
      <c r="B75" s="34">
        <f t="shared" si="6"/>
        <v>44635</v>
      </c>
      <c r="C75" s="35">
        <v>3.0</v>
      </c>
      <c r="D75" s="35" t="s">
        <v>33</v>
      </c>
      <c r="E75" s="37"/>
      <c r="F75" s="25"/>
      <c r="H75" s="26"/>
      <c r="J75" s="24"/>
      <c r="L75" s="25"/>
      <c r="N75" s="26"/>
      <c r="P75" s="24"/>
      <c r="R75" s="26"/>
      <c r="T75" s="24"/>
      <c r="V75" s="24"/>
      <c r="W75" s="27"/>
      <c r="X75" s="23"/>
      <c r="Z75" s="24"/>
      <c r="AB75" s="24"/>
      <c r="AD75" s="24"/>
      <c r="AF75" s="24"/>
      <c r="AH75" s="24"/>
      <c r="AI75" s="27"/>
      <c r="AJ75" s="39">
        <f t="shared" si="1"/>
        <v>0</v>
      </c>
      <c r="AK75" s="35">
        <f t="shared" si="2"/>
        <v>0</v>
      </c>
      <c r="AL75" s="35" t="str">
        <f t="shared" si="3"/>
        <v/>
      </c>
      <c r="AM75" s="35">
        <f t="shared" si="4"/>
        <v>0</v>
      </c>
      <c r="AN75" s="40" t="str">
        <f t="shared" si="5"/>
        <v/>
      </c>
    </row>
    <row r="76" ht="15.75" customHeight="1">
      <c r="A76" s="32" t="s">
        <v>28</v>
      </c>
      <c r="B76" s="34">
        <f t="shared" si="6"/>
        <v>44636</v>
      </c>
      <c r="C76" s="35">
        <v>3.0</v>
      </c>
      <c r="D76" s="35" t="s">
        <v>33</v>
      </c>
      <c r="E76" s="37"/>
      <c r="F76" s="25"/>
      <c r="H76" s="26"/>
      <c r="J76" s="24"/>
      <c r="L76" s="25"/>
      <c r="N76" s="26"/>
      <c r="P76" s="24"/>
      <c r="R76" s="26"/>
      <c r="T76" s="24"/>
      <c r="V76" s="24"/>
      <c r="W76" s="27"/>
      <c r="X76" s="23"/>
      <c r="Z76" s="24"/>
      <c r="AB76" s="24"/>
      <c r="AD76" s="24"/>
      <c r="AF76" s="24"/>
      <c r="AH76" s="24"/>
      <c r="AI76" s="27"/>
      <c r="AJ76" s="39">
        <f t="shared" si="1"/>
        <v>0</v>
      </c>
      <c r="AK76" s="35">
        <f t="shared" si="2"/>
        <v>0</v>
      </c>
      <c r="AL76" s="35" t="str">
        <f t="shared" si="3"/>
        <v/>
      </c>
      <c r="AM76" s="35">
        <f t="shared" si="4"/>
        <v>0</v>
      </c>
      <c r="AN76" s="40" t="str">
        <f t="shared" si="5"/>
        <v/>
      </c>
    </row>
    <row r="77" ht="15.75" customHeight="1">
      <c r="A77" s="32" t="s">
        <v>29</v>
      </c>
      <c r="B77" s="34">
        <f t="shared" si="6"/>
        <v>44637</v>
      </c>
      <c r="C77" s="35">
        <v>3.0</v>
      </c>
      <c r="D77" s="35" t="s">
        <v>33</v>
      </c>
      <c r="E77" s="37"/>
      <c r="F77" s="25"/>
      <c r="H77" s="26"/>
      <c r="J77" s="24"/>
      <c r="L77" s="25"/>
      <c r="N77" s="26"/>
      <c r="P77" s="24"/>
      <c r="R77" s="26"/>
      <c r="T77" s="24"/>
      <c r="V77" s="24"/>
      <c r="W77" s="27"/>
      <c r="X77" s="23"/>
      <c r="Z77" s="24"/>
      <c r="AB77" s="24"/>
      <c r="AD77" s="24"/>
      <c r="AF77" s="24"/>
      <c r="AH77" s="24"/>
      <c r="AI77" s="27"/>
      <c r="AJ77" s="39">
        <f t="shared" si="1"/>
        <v>0</v>
      </c>
      <c r="AK77" s="35">
        <f t="shared" si="2"/>
        <v>0</v>
      </c>
      <c r="AL77" s="35" t="str">
        <f t="shared" si="3"/>
        <v/>
      </c>
      <c r="AM77" s="35">
        <f t="shared" si="4"/>
        <v>0</v>
      </c>
      <c r="AN77" s="40" t="str">
        <f t="shared" si="5"/>
        <v/>
      </c>
    </row>
    <row r="78" ht="15.75" customHeight="1">
      <c r="A78" s="32" t="s">
        <v>30</v>
      </c>
      <c r="B78" s="34">
        <f t="shared" si="6"/>
        <v>44638</v>
      </c>
      <c r="C78" s="35">
        <v>3.0</v>
      </c>
      <c r="D78" s="35" t="s">
        <v>33</v>
      </c>
      <c r="E78" s="37"/>
      <c r="F78" s="25"/>
      <c r="H78" s="26"/>
      <c r="J78" s="24"/>
      <c r="L78" s="25"/>
      <c r="N78" s="26"/>
      <c r="P78" s="24"/>
      <c r="R78" s="26"/>
      <c r="T78" s="24"/>
      <c r="V78" s="24"/>
      <c r="W78" s="27"/>
      <c r="X78" s="23"/>
      <c r="Z78" s="24"/>
      <c r="AB78" s="24"/>
      <c r="AD78" s="24"/>
      <c r="AF78" s="24"/>
      <c r="AH78" s="24"/>
      <c r="AI78" s="27"/>
      <c r="AJ78" s="39">
        <f t="shared" si="1"/>
        <v>0</v>
      </c>
      <c r="AK78" s="35">
        <f t="shared" si="2"/>
        <v>0</v>
      </c>
      <c r="AL78" s="35" t="str">
        <f t="shared" si="3"/>
        <v/>
      </c>
      <c r="AM78" s="35">
        <f t="shared" si="4"/>
        <v>0</v>
      </c>
      <c r="AN78" s="40" t="str">
        <f t="shared" si="5"/>
        <v/>
      </c>
    </row>
    <row r="79" ht="15.75" customHeight="1">
      <c r="A79" s="48" t="s">
        <v>31</v>
      </c>
      <c r="B79" s="50">
        <f t="shared" si="6"/>
        <v>44639</v>
      </c>
      <c r="C79" s="51">
        <v>3.0</v>
      </c>
      <c r="D79" s="51" t="s">
        <v>33</v>
      </c>
      <c r="E79" s="53"/>
      <c r="F79" s="58"/>
      <c r="G79" s="56"/>
      <c r="H79" s="59"/>
      <c r="I79" s="56"/>
      <c r="J79" s="57"/>
      <c r="K79" s="56"/>
      <c r="L79" s="58"/>
      <c r="M79" s="56"/>
      <c r="N79" s="59"/>
      <c r="O79" s="56"/>
      <c r="P79" s="57"/>
      <c r="Q79" s="56"/>
      <c r="R79" s="59"/>
      <c r="S79" s="56"/>
      <c r="T79" s="57"/>
      <c r="U79" s="56"/>
      <c r="V79" s="57"/>
      <c r="W79" s="60"/>
      <c r="X79" s="54"/>
      <c r="Y79" s="56"/>
      <c r="Z79" s="57"/>
      <c r="AA79" s="56"/>
      <c r="AB79" s="57"/>
      <c r="AC79" s="56"/>
      <c r="AD79" s="57"/>
      <c r="AE79" s="56"/>
      <c r="AF79" s="57"/>
      <c r="AG79" s="56"/>
      <c r="AH79" s="57"/>
      <c r="AI79" s="60"/>
      <c r="AJ79" s="61">
        <f t="shared" si="1"/>
        <v>0</v>
      </c>
      <c r="AK79" s="51">
        <f t="shared" si="2"/>
        <v>0</v>
      </c>
      <c r="AL79" s="51" t="str">
        <f t="shared" si="3"/>
        <v/>
      </c>
      <c r="AM79" s="51">
        <f t="shared" si="4"/>
        <v>0</v>
      </c>
      <c r="AN79" s="63" t="str">
        <f t="shared" si="5"/>
        <v/>
      </c>
    </row>
    <row r="80" ht="15.75" customHeight="1">
      <c r="A80" s="18" t="s">
        <v>20</v>
      </c>
      <c r="B80" s="64">
        <f t="shared" si="6"/>
        <v>44640</v>
      </c>
      <c r="C80" s="20">
        <v>3.0</v>
      </c>
      <c r="D80" s="20" t="s">
        <v>34</v>
      </c>
      <c r="E80" s="22"/>
      <c r="F80" s="25"/>
      <c r="H80" s="26"/>
      <c r="J80" s="24"/>
      <c r="L80" s="25"/>
      <c r="N80" s="26"/>
      <c r="P80" s="24"/>
      <c r="R80" s="26"/>
      <c r="T80" s="24"/>
      <c r="V80" s="24"/>
      <c r="W80" s="27"/>
      <c r="X80" s="23"/>
      <c r="Z80" s="24"/>
      <c r="AB80" s="24"/>
      <c r="AD80" s="24"/>
      <c r="AF80" s="24"/>
      <c r="AH80" s="24"/>
      <c r="AI80" s="27"/>
      <c r="AJ80" s="28">
        <f t="shared" si="1"/>
        <v>0</v>
      </c>
      <c r="AK80" s="20">
        <f t="shared" si="2"/>
        <v>0</v>
      </c>
      <c r="AL80" s="20" t="str">
        <f t="shared" si="3"/>
        <v/>
      </c>
      <c r="AM80" s="20">
        <f t="shared" si="4"/>
        <v>0</v>
      </c>
      <c r="AN80" s="31" t="str">
        <f t="shared" si="5"/>
        <v/>
      </c>
    </row>
    <row r="81" ht="15.75" customHeight="1">
      <c r="A81" s="32" t="s">
        <v>22</v>
      </c>
      <c r="B81" s="34">
        <f t="shared" si="6"/>
        <v>44641</v>
      </c>
      <c r="C81" s="35">
        <v>3.0</v>
      </c>
      <c r="D81" s="35" t="s">
        <v>34</v>
      </c>
      <c r="E81" s="37"/>
      <c r="F81" s="25"/>
      <c r="H81" s="26"/>
      <c r="J81" s="24"/>
      <c r="L81" s="25"/>
      <c r="N81" s="26"/>
      <c r="P81" s="24"/>
      <c r="R81" s="26"/>
      <c r="T81" s="24"/>
      <c r="V81" s="24"/>
      <c r="W81" s="27"/>
      <c r="X81" s="23"/>
      <c r="Z81" s="24"/>
      <c r="AB81" s="24"/>
      <c r="AD81" s="24"/>
      <c r="AF81" s="24"/>
      <c r="AH81" s="24"/>
      <c r="AI81" s="27"/>
      <c r="AJ81" s="39">
        <f t="shared" si="1"/>
        <v>0</v>
      </c>
      <c r="AK81" s="35">
        <f t="shared" si="2"/>
        <v>0</v>
      </c>
      <c r="AL81" s="35" t="str">
        <f t="shared" si="3"/>
        <v/>
      </c>
      <c r="AM81" s="35">
        <f t="shared" si="4"/>
        <v>0</v>
      </c>
      <c r="AN81" s="40" t="str">
        <f t="shared" si="5"/>
        <v/>
      </c>
    </row>
    <row r="82" ht="15.75" customHeight="1">
      <c r="A82" s="32" t="s">
        <v>24</v>
      </c>
      <c r="B82" s="34">
        <f t="shared" si="6"/>
        <v>44642</v>
      </c>
      <c r="C82" s="35">
        <v>3.0</v>
      </c>
      <c r="D82" s="35" t="s">
        <v>34</v>
      </c>
      <c r="E82" s="37"/>
      <c r="F82" s="25"/>
      <c r="H82" s="26"/>
      <c r="J82" s="24"/>
      <c r="L82" s="25"/>
      <c r="N82" s="26"/>
      <c r="P82" s="24"/>
      <c r="R82" s="26"/>
      <c r="T82" s="24"/>
      <c r="V82" s="24"/>
      <c r="W82" s="27"/>
      <c r="X82" s="23"/>
      <c r="Z82" s="24"/>
      <c r="AB82" s="24"/>
      <c r="AD82" s="24"/>
      <c r="AF82" s="24"/>
      <c r="AH82" s="24"/>
      <c r="AI82" s="27"/>
      <c r="AJ82" s="39">
        <f t="shared" si="1"/>
        <v>0</v>
      </c>
      <c r="AK82" s="35">
        <f t="shared" si="2"/>
        <v>0</v>
      </c>
      <c r="AL82" s="35" t="str">
        <f t="shared" si="3"/>
        <v/>
      </c>
      <c r="AM82" s="35">
        <f t="shared" si="4"/>
        <v>0</v>
      </c>
      <c r="AN82" s="40" t="str">
        <f t="shared" si="5"/>
        <v/>
      </c>
    </row>
    <row r="83" ht="15.75" customHeight="1">
      <c r="A83" s="32" t="s">
        <v>28</v>
      </c>
      <c r="B83" s="34">
        <f t="shared" si="6"/>
        <v>44643</v>
      </c>
      <c r="C83" s="35">
        <v>3.0</v>
      </c>
      <c r="D83" s="35" t="s">
        <v>34</v>
      </c>
      <c r="E83" s="37"/>
      <c r="F83" s="25"/>
      <c r="H83" s="26"/>
      <c r="J83" s="24"/>
      <c r="L83" s="25"/>
      <c r="N83" s="26"/>
      <c r="P83" s="24"/>
      <c r="R83" s="26"/>
      <c r="T83" s="24"/>
      <c r="V83" s="24"/>
      <c r="W83" s="27"/>
      <c r="X83" s="23"/>
      <c r="Z83" s="24"/>
      <c r="AB83" s="24"/>
      <c r="AD83" s="24"/>
      <c r="AF83" s="24"/>
      <c r="AH83" s="24"/>
      <c r="AI83" s="27"/>
      <c r="AJ83" s="39">
        <f t="shared" si="1"/>
        <v>0</v>
      </c>
      <c r="AK83" s="35">
        <f t="shared" si="2"/>
        <v>0</v>
      </c>
      <c r="AL83" s="35" t="str">
        <f t="shared" si="3"/>
        <v/>
      </c>
      <c r="AM83" s="35">
        <f t="shared" si="4"/>
        <v>0</v>
      </c>
      <c r="AN83" s="40" t="str">
        <f t="shared" si="5"/>
        <v/>
      </c>
    </row>
    <row r="84" ht="15.75" customHeight="1">
      <c r="A84" s="32" t="s">
        <v>29</v>
      </c>
      <c r="B84" s="34">
        <f t="shared" si="6"/>
        <v>44644</v>
      </c>
      <c r="C84" s="35">
        <v>3.0</v>
      </c>
      <c r="D84" s="35" t="s">
        <v>34</v>
      </c>
      <c r="E84" s="37"/>
      <c r="F84" s="25"/>
      <c r="H84" s="26"/>
      <c r="J84" s="24"/>
      <c r="L84" s="25"/>
      <c r="N84" s="26"/>
      <c r="P84" s="24"/>
      <c r="R84" s="26"/>
      <c r="T84" s="24"/>
      <c r="V84" s="24"/>
      <c r="W84" s="27"/>
      <c r="X84" s="23"/>
      <c r="Z84" s="24"/>
      <c r="AB84" s="24"/>
      <c r="AD84" s="24"/>
      <c r="AF84" s="24"/>
      <c r="AH84" s="24"/>
      <c r="AI84" s="27"/>
      <c r="AJ84" s="39">
        <f t="shared" si="1"/>
        <v>0</v>
      </c>
      <c r="AK84" s="35">
        <f t="shared" si="2"/>
        <v>0</v>
      </c>
      <c r="AL84" s="35" t="str">
        <f t="shared" si="3"/>
        <v/>
      </c>
      <c r="AM84" s="35">
        <f t="shared" si="4"/>
        <v>0</v>
      </c>
      <c r="AN84" s="40" t="str">
        <f t="shared" si="5"/>
        <v/>
      </c>
    </row>
    <row r="85" ht="15.75" customHeight="1">
      <c r="A85" s="32" t="s">
        <v>30</v>
      </c>
      <c r="B85" s="34">
        <f t="shared" si="6"/>
        <v>44645</v>
      </c>
      <c r="C85" s="35">
        <v>3.0</v>
      </c>
      <c r="D85" s="35" t="s">
        <v>34</v>
      </c>
      <c r="E85" s="37"/>
      <c r="F85" s="25"/>
      <c r="H85" s="26"/>
      <c r="J85" s="24"/>
      <c r="L85" s="25"/>
      <c r="N85" s="26"/>
      <c r="P85" s="24"/>
      <c r="R85" s="26"/>
      <c r="T85" s="24"/>
      <c r="V85" s="24"/>
      <c r="W85" s="27"/>
      <c r="X85" s="23"/>
      <c r="Z85" s="24"/>
      <c r="AB85" s="24"/>
      <c r="AD85" s="24"/>
      <c r="AF85" s="24"/>
      <c r="AH85" s="24"/>
      <c r="AI85" s="27"/>
      <c r="AJ85" s="39">
        <f t="shared" si="1"/>
        <v>0</v>
      </c>
      <c r="AK85" s="35">
        <f t="shared" si="2"/>
        <v>0</v>
      </c>
      <c r="AL85" s="35" t="str">
        <f t="shared" si="3"/>
        <v/>
      </c>
      <c r="AM85" s="35">
        <f t="shared" si="4"/>
        <v>0</v>
      </c>
      <c r="AN85" s="40" t="str">
        <f t="shared" si="5"/>
        <v/>
      </c>
    </row>
    <row r="86" ht="15.75" customHeight="1">
      <c r="A86" s="48" t="s">
        <v>31</v>
      </c>
      <c r="B86" s="50">
        <f t="shared" si="6"/>
        <v>44646</v>
      </c>
      <c r="C86" s="51">
        <v>3.0</v>
      </c>
      <c r="D86" s="51" t="s">
        <v>34</v>
      </c>
      <c r="E86" s="53"/>
      <c r="F86" s="58"/>
      <c r="G86" s="56"/>
      <c r="H86" s="59"/>
      <c r="I86" s="56"/>
      <c r="J86" s="57"/>
      <c r="K86" s="56"/>
      <c r="L86" s="58"/>
      <c r="M86" s="56"/>
      <c r="N86" s="59"/>
      <c r="O86" s="56"/>
      <c r="P86" s="57"/>
      <c r="Q86" s="56"/>
      <c r="R86" s="59"/>
      <c r="S86" s="56"/>
      <c r="T86" s="57"/>
      <c r="U86" s="56"/>
      <c r="V86" s="57"/>
      <c r="W86" s="60"/>
      <c r="X86" s="54"/>
      <c r="Y86" s="56"/>
      <c r="Z86" s="57"/>
      <c r="AA86" s="56"/>
      <c r="AB86" s="57"/>
      <c r="AC86" s="56"/>
      <c r="AD86" s="57"/>
      <c r="AE86" s="56"/>
      <c r="AF86" s="57"/>
      <c r="AG86" s="56"/>
      <c r="AH86" s="57"/>
      <c r="AI86" s="60"/>
      <c r="AJ86" s="61">
        <f t="shared" si="1"/>
        <v>0</v>
      </c>
      <c r="AK86" s="51">
        <f t="shared" si="2"/>
        <v>0</v>
      </c>
      <c r="AL86" s="51" t="str">
        <f t="shared" si="3"/>
        <v/>
      </c>
      <c r="AM86" s="51">
        <f t="shared" si="4"/>
        <v>0</v>
      </c>
      <c r="AN86" s="63" t="str">
        <f t="shared" si="5"/>
        <v/>
      </c>
    </row>
    <row r="87" ht="15.75" customHeight="1">
      <c r="A87" s="18" t="s">
        <v>20</v>
      </c>
      <c r="B87" s="64">
        <f t="shared" si="6"/>
        <v>44647</v>
      </c>
      <c r="C87" s="20">
        <v>4.0</v>
      </c>
      <c r="D87" s="20" t="s">
        <v>21</v>
      </c>
      <c r="E87" s="22"/>
      <c r="F87" s="23"/>
      <c r="H87" s="24"/>
      <c r="J87" s="24"/>
      <c r="L87" s="25"/>
      <c r="N87" s="26"/>
      <c r="P87" s="24"/>
      <c r="R87" s="26"/>
      <c r="T87" s="24"/>
      <c r="V87" s="24"/>
      <c r="W87" s="27"/>
      <c r="X87" s="23"/>
      <c r="Z87" s="24"/>
      <c r="AB87" s="24"/>
      <c r="AD87" s="24"/>
      <c r="AF87" s="24"/>
      <c r="AH87" s="24"/>
      <c r="AI87" s="27"/>
      <c r="AJ87" s="28">
        <f t="shared" si="1"/>
        <v>0</v>
      </c>
      <c r="AK87" s="20">
        <f t="shared" si="2"/>
        <v>0</v>
      </c>
      <c r="AL87" s="20" t="str">
        <f t="shared" si="3"/>
        <v/>
      </c>
      <c r="AM87" s="20">
        <f t="shared" si="4"/>
        <v>0</v>
      </c>
      <c r="AN87" s="31" t="str">
        <f t="shared" si="5"/>
        <v/>
      </c>
    </row>
    <row r="88" ht="15.75" customHeight="1">
      <c r="A88" s="32" t="s">
        <v>22</v>
      </c>
      <c r="B88" s="34">
        <f t="shared" si="6"/>
        <v>44648</v>
      </c>
      <c r="C88" s="35">
        <v>4.0</v>
      </c>
      <c r="D88" s="35" t="s">
        <v>21</v>
      </c>
      <c r="E88" s="37"/>
      <c r="F88" s="23"/>
      <c r="H88" s="24"/>
      <c r="J88" s="24"/>
      <c r="L88" s="25"/>
      <c r="N88" s="26"/>
      <c r="P88" s="24"/>
      <c r="R88" s="26"/>
      <c r="T88" s="24"/>
      <c r="V88" s="24"/>
      <c r="W88" s="27"/>
      <c r="X88" s="23"/>
      <c r="Z88" s="24"/>
      <c r="AB88" s="24"/>
      <c r="AD88" s="24"/>
      <c r="AF88" s="24"/>
      <c r="AH88" s="24"/>
      <c r="AI88" s="27"/>
      <c r="AJ88" s="39">
        <f t="shared" si="1"/>
        <v>0</v>
      </c>
      <c r="AK88" s="35">
        <f t="shared" si="2"/>
        <v>0</v>
      </c>
      <c r="AL88" s="35" t="str">
        <f t="shared" si="3"/>
        <v/>
      </c>
      <c r="AM88" s="35">
        <f t="shared" si="4"/>
        <v>0</v>
      </c>
      <c r="AN88" s="40" t="str">
        <f t="shared" si="5"/>
        <v/>
      </c>
    </row>
    <row r="89" ht="15.75" customHeight="1">
      <c r="A89" s="32" t="s">
        <v>24</v>
      </c>
      <c r="B89" s="34">
        <f t="shared" si="6"/>
        <v>44649</v>
      </c>
      <c r="C89" s="35">
        <v>4.0</v>
      </c>
      <c r="D89" s="35" t="s">
        <v>21</v>
      </c>
      <c r="E89" s="37"/>
      <c r="F89" s="23"/>
      <c r="H89" s="24"/>
      <c r="J89" s="24"/>
      <c r="L89" s="25"/>
      <c r="N89" s="26"/>
      <c r="P89" s="24"/>
      <c r="R89" s="26"/>
      <c r="T89" s="24"/>
      <c r="V89" s="24"/>
      <c r="W89" s="27"/>
      <c r="X89" s="23"/>
      <c r="Z89" s="24"/>
      <c r="AB89" s="24"/>
      <c r="AD89" s="24"/>
      <c r="AF89" s="24"/>
      <c r="AH89" s="24"/>
      <c r="AI89" s="27"/>
      <c r="AJ89" s="39">
        <f t="shared" si="1"/>
        <v>0</v>
      </c>
      <c r="AK89" s="35">
        <f t="shared" si="2"/>
        <v>0</v>
      </c>
      <c r="AL89" s="35" t="str">
        <f t="shared" si="3"/>
        <v/>
      </c>
      <c r="AM89" s="35">
        <f t="shared" si="4"/>
        <v>0</v>
      </c>
      <c r="AN89" s="40" t="str">
        <f t="shared" si="5"/>
        <v/>
      </c>
    </row>
    <row r="90" ht="15.75" customHeight="1">
      <c r="A90" s="32" t="s">
        <v>28</v>
      </c>
      <c r="B90" s="34">
        <f t="shared" si="6"/>
        <v>44650</v>
      </c>
      <c r="C90" s="35">
        <v>4.0</v>
      </c>
      <c r="D90" s="35" t="s">
        <v>21</v>
      </c>
      <c r="E90" s="37"/>
      <c r="F90" s="23"/>
      <c r="H90" s="24"/>
      <c r="J90" s="24"/>
      <c r="L90" s="25"/>
      <c r="N90" s="26"/>
      <c r="P90" s="24"/>
      <c r="R90" s="26"/>
      <c r="T90" s="24"/>
      <c r="V90" s="24"/>
      <c r="W90" s="27"/>
      <c r="X90" s="23"/>
      <c r="Z90" s="24"/>
      <c r="AB90" s="24"/>
      <c r="AD90" s="24"/>
      <c r="AF90" s="24"/>
      <c r="AH90" s="24"/>
      <c r="AI90" s="27"/>
      <c r="AJ90" s="39">
        <f t="shared" si="1"/>
        <v>0</v>
      </c>
      <c r="AK90" s="35">
        <f t="shared" si="2"/>
        <v>0</v>
      </c>
      <c r="AL90" s="35" t="str">
        <f t="shared" si="3"/>
        <v/>
      </c>
      <c r="AM90" s="35">
        <f t="shared" si="4"/>
        <v>0</v>
      </c>
      <c r="AN90" s="40" t="str">
        <f t="shared" si="5"/>
        <v/>
      </c>
    </row>
    <row r="91" ht="15.75" customHeight="1">
      <c r="A91" s="32" t="s">
        <v>29</v>
      </c>
      <c r="B91" s="34">
        <f t="shared" si="6"/>
        <v>44651</v>
      </c>
      <c r="C91" s="35">
        <v>4.0</v>
      </c>
      <c r="D91" s="35" t="s">
        <v>21</v>
      </c>
      <c r="E91" s="37"/>
      <c r="F91" s="23"/>
      <c r="H91" s="24"/>
      <c r="J91" s="24"/>
      <c r="L91" s="25"/>
      <c r="N91" s="26"/>
      <c r="P91" s="24"/>
      <c r="R91" s="26"/>
      <c r="T91" s="24"/>
      <c r="V91" s="24"/>
      <c r="W91" s="27"/>
      <c r="X91" s="23"/>
      <c r="Z91" s="24"/>
      <c r="AB91" s="24"/>
      <c r="AD91" s="24"/>
      <c r="AF91" s="24"/>
      <c r="AH91" s="24"/>
      <c r="AI91" s="27"/>
      <c r="AJ91" s="39">
        <f t="shared" si="1"/>
        <v>0</v>
      </c>
      <c r="AK91" s="35">
        <f t="shared" si="2"/>
        <v>0</v>
      </c>
      <c r="AL91" s="35" t="str">
        <f t="shared" si="3"/>
        <v/>
      </c>
      <c r="AM91" s="35">
        <f t="shared" si="4"/>
        <v>0</v>
      </c>
      <c r="AN91" s="40" t="str">
        <f t="shared" si="5"/>
        <v/>
      </c>
    </row>
    <row r="92" ht="15.75" customHeight="1">
      <c r="A92" s="32" t="s">
        <v>30</v>
      </c>
      <c r="B92" s="34">
        <f t="shared" si="6"/>
        <v>44652</v>
      </c>
      <c r="C92" s="35">
        <v>4.0</v>
      </c>
      <c r="D92" s="35" t="s">
        <v>21</v>
      </c>
      <c r="E92" s="37"/>
      <c r="F92" s="23"/>
      <c r="H92" s="24"/>
      <c r="J92" s="24"/>
      <c r="L92" s="25"/>
      <c r="N92" s="26"/>
      <c r="P92" s="24"/>
      <c r="R92" s="26"/>
      <c r="T92" s="24"/>
      <c r="V92" s="24"/>
      <c r="W92" s="27"/>
      <c r="X92" s="23"/>
      <c r="Z92" s="24"/>
      <c r="AB92" s="24"/>
      <c r="AD92" s="24"/>
      <c r="AF92" s="24"/>
      <c r="AH92" s="24"/>
      <c r="AI92" s="27"/>
      <c r="AJ92" s="39">
        <f t="shared" si="1"/>
        <v>0</v>
      </c>
      <c r="AK92" s="35">
        <f t="shared" si="2"/>
        <v>0</v>
      </c>
      <c r="AL92" s="35" t="str">
        <f t="shared" si="3"/>
        <v/>
      </c>
      <c r="AM92" s="35">
        <f t="shared" si="4"/>
        <v>0</v>
      </c>
      <c r="AN92" s="40" t="str">
        <f t="shared" si="5"/>
        <v/>
      </c>
    </row>
    <row r="93" ht="15.75" customHeight="1">
      <c r="A93" s="48" t="s">
        <v>31</v>
      </c>
      <c r="B93" s="50">
        <f t="shared" si="6"/>
        <v>44653</v>
      </c>
      <c r="C93" s="51">
        <v>4.0</v>
      </c>
      <c r="D93" s="51" t="s">
        <v>21</v>
      </c>
      <c r="E93" s="53"/>
      <c r="F93" s="54"/>
      <c r="G93" s="56"/>
      <c r="H93" s="57"/>
      <c r="I93" s="56"/>
      <c r="J93" s="57"/>
      <c r="K93" s="56"/>
      <c r="L93" s="58"/>
      <c r="M93" s="56"/>
      <c r="N93" s="59"/>
      <c r="O93" s="56"/>
      <c r="P93" s="57"/>
      <c r="Q93" s="56"/>
      <c r="R93" s="59"/>
      <c r="S93" s="56"/>
      <c r="T93" s="57"/>
      <c r="U93" s="56"/>
      <c r="V93" s="57"/>
      <c r="W93" s="60"/>
      <c r="X93" s="54"/>
      <c r="Y93" s="56"/>
      <c r="Z93" s="57"/>
      <c r="AA93" s="56"/>
      <c r="AB93" s="57"/>
      <c r="AC93" s="56"/>
      <c r="AD93" s="57"/>
      <c r="AE93" s="56"/>
      <c r="AF93" s="57"/>
      <c r="AG93" s="56"/>
      <c r="AH93" s="57"/>
      <c r="AI93" s="60"/>
      <c r="AJ93" s="61">
        <f t="shared" si="1"/>
        <v>0</v>
      </c>
      <c r="AK93" s="51">
        <f t="shared" si="2"/>
        <v>0</v>
      </c>
      <c r="AL93" s="51" t="str">
        <f t="shared" si="3"/>
        <v/>
      </c>
      <c r="AM93" s="51">
        <f t="shared" si="4"/>
        <v>0</v>
      </c>
      <c r="AN93" s="63" t="str">
        <f t="shared" si="5"/>
        <v/>
      </c>
    </row>
    <row r="94" ht="15.75" customHeight="1">
      <c r="A94" s="18" t="s">
        <v>20</v>
      </c>
      <c r="B94" s="64">
        <f t="shared" si="6"/>
        <v>44654</v>
      </c>
      <c r="C94" s="20">
        <v>4.0</v>
      </c>
      <c r="D94" s="20" t="s">
        <v>32</v>
      </c>
      <c r="E94" s="22"/>
      <c r="F94" s="23"/>
      <c r="H94" s="24"/>
      <c r="J94" s="24"/>
      <c r="L94" s="25"/>
      <c r="N94" s="26"/>
      <c r="P94" s="24"/>
      <c r="R94" s="26"/>
      <c r="T94" s="24"/>
      <c r="V94" s="24"/>
      <c r="W94" s="27"/>
      <c r="X94" s="23"/>
      <c r="Z94" s="24"/>
      <c r="AB94" s="24"/>
      <c r="AD94" s="24"/>
      <c r="AF94" s="24"/>
      <c r="AH94" s="24"/>
      <c r="AI94" s="27"/>
      <c r="AJ94" s="28">
        <f t="shared" si="1"/>
        <v>0</v>
      </c>
      <c r="AK94" s="20">
        <f t="shared" si="2"/>
        <v>0</v>
      </c>
      <c r="AL94" s="20" t="str">
        <f t="shared" si="3"/>
        <v/>
      </c>
      <c r="AM94" s="20">
        <f t="shared" si="4"/>
        <v>0</v>
      </c>
      <c r="AN94" s="31" t="str">
        <f t="shared" si="5"/>
        <v/>
      </c>
    </row>
    <row r="95" ht="15.75" customHeight="1">
      <c r="A95" s="32" t="s">
        <v>22</v>
      </c>
      <c r="B95" s="34">
        <f t="shared" si="6"/>
        <v>44655</v>
      </c>
      <c r="C95" s="35">
        <v>4.0</v>
      </c>
      <c r="D95" s="35" t="s">
        <v>32</v>
      </c>
      <c r="E95" s="37"/>
      <c r="F95" s="23"/>
      <c r="H95" s="24"/>
      <c r="J95" s="24"/>
      <c r="L95" s="25"/>
      <c r="N95" s="26"/>
      <c r="P95" s="24"/>
      <c r="R95" s="26"/>
      <c r="T95" s="24"/>
      <c r="V95" s="24"/>
      <c r="W95" s="27"/>
      <c r="X95" s="23"/>
      <c r="Z95" s="24"/>
      <c r="AB95" s="24"/>
      <c r="AD95" s="24"/>
      <c r="AF95" s="24"/>
      <c r="AH95" s="24"/>
      <c r="AI95" s="27"/>
      <c r="AJ95" s="39">
        <f t="shared" si="1"/>
        <v>0</v>
      </c>
      <c r="AK95" s="35">
        <f t="shared" si="2"/>
        <v>0</v>
      </c>
      <c r="AL95" s="35" t="str">
        <f t="shared" si="3"/>
        <v/>
      </c>
      <c r="AM95" s="35">
        <f t="shared" si="4"/>
        <v>0</v>
      </c>
      <c r="AN95" s="40" t="str">
        <f t="shared" si="5"/>
        <v/>
      </c>
    </row>
    <row r="96" ht="15.75" customHeight="1">
      <c r="A96" s="32" t="s">
        <v>24</v>
      </c>
      <c r="B96" s="34">
        <f t="shared" si="6"/>
        <v>44656</v>
      </c>
      <c r="C96" s="35">
        <v>4.0</v>
      </c>
      <c r="D96" s="35" t="s">
        <v>32</v>
      </c>
      <c r="E96" s="37"/>
      <c r="F96" s="23"/>
      <c r="H96" s="24"/>
      <c r="J96" s="24"/>
      <c r="L96" s="25"/>
      <c r="N96" s="26"/>
      <c r="P96" s="24"/>
      <c r="R96" s="26"/>
      <c r="T96" s="24"/>
      <c r="V96" s="24"/>
      <c r="W96" s="27"/>
      <c r="X96" s="23"/>
      <c r="Z96" s="24"/>
      <c r="AB96" s="24"/>
      <c r="AD96" s="24"/>
      <c r="AF96" s="24"/>
      <c r="AH96" s="24"/>
      <c r="AI96" s="27"/>
      <c r="AJ96" s="39">
        <f t="shared" si="1"/>
        <v>0</v>
      </c>
      <c r="AK96" s="35">
        <f t="shared" si="2"/>
        <v>0</v>
      </c>
      <c r="AL96" s="35" t="str">
        <f t="shared" si="3"/>
        <v/>
      </c>
      <c r="AM96" s="35">
        <f t="shared" si="4"/>
        <v>0</v>
      </c>
      <c r="AN96" s="40" t="str">
        <f t="shared" si="5"/>
        <v/>
      </c>
    </row>
    <row r="97" ht="15.75" customHeight="1">
      <c r="A97" s="32" t="s">
        <v>28</v>
      </c>
      <c r="B97" s="34">
        <f t="shared" si="6"/>
        <v>44657</v>
      </c>
      <c r="C97" s="35">
        <v>4.0</v>
      </c>
      <c r="D97" s="35" t="s">
        <v>32</v>
      </c>
      <c r="E97" s="37"/>
      <c r="F97" s="23"/>
      <c r="H97" s="24"/>
      <c r="J97" s="24"/>
      <c r="L97" s="25"/>
      <c r="N97" s="26"/>
      <c r="P97" s="24"/>
      <c r="R97" s="26"/>
      <c r="T97" s="24"/>
      <c r="V97" s="24"/>
      <c r="W97" s="27"/>
      <c r="X97" s="23"/>
      <c r="Z97" s="24"/>
      <c r="AB97" s="24"/>
      <c r="AD97" s="24"/>
      <c r="AF97" s="24"/>
      <c r="AH97" s="24"/>
      <c r="AI97" s="27"/>
      <c r="AJ97" s="39">
        <f t="shared" si="1"/>
        <v>0</v>
      </c>
      <c r="AK97" s="35">
        <f t="shared" si="2"/>
        <v>0</v>
      </c>
      <c r="AL97" s="35" t="str">
        <f t="shared" si="3"/>
        <v/>
      </c>
      <c r="AM97" s="35">
        <f t="shared" si="4"/>
        <v>0</v>
      </c>
      <c r="AN97" s="40" t="str">
        <f t="shared" si="5"/>
        <v/>
      </c>
    </row>
    <row r="98" ht="15.75" customHeight="1">
      <c r="A98" s="32" t="s">
        <v>29</v>
      </c>
      <c r="B98" s="34">
        <f t="shared" si="6"/>
        <v>44658</v>
      </c>
      <c r="C98" s="35">
        <v>4.0</v>
      </c>
      <c r="D98" s="35" t="s">
        <v>32</v>
      </c>
      <c r="E98" s="37"/>
      <c r="F98" s="23"/>
      <c r="H98" s="24"/>
      <c r="J98" s="24"/>
      <c r="L98" s="25"/>
      <c r="N98" s="26"/>
      <c r="P98" s="24"/>
      <c r="R98" s="26"/>
      <c r="T98" s="24"/>
      <c r="V98" s="24"/>
      <c r="W98" s="27"/>
      <c r="X98" s="23"/>
      <c r="Z98" s="24"/>
      <c r="AB98" s="24"/>
      <c r="AD98" s="24"/>
      <c r="AF98" s="24"/>
      <c r="AH98" s="24"/>
      <c r="AI98" s="27"/>
      <c r="AJ98" s="39">
        <f t="shared" si="1"/>
        <v>0</v>
      </c>
      <c r="AK98" s="35">
        <f t="shared" si="2"/>
        <v>0</v>
      </c>
      <c r="AL98" s="35" t="str">
        <f t="shared" si="3"/>
        <v/>
      </c>
      <c r="AM98" s="35">
        <f t="shared" si="4"/>
        <v>0</v>
      </c>
      <c r="AN98" s="40" t="str">
        <f t="shared" si="5"/>
        <v/>
      </c>
    </row>
    <row r="99" ht="15.75" customHeight="1">
      <c r="A99" s="32" t="s">
        <v>30</v>
      </c>
      <c r="B99" s="34">
        <f t="shared" si="6"/>
        <v>44659</v>
      </c>
      <c r="C99" s="35">
        <v>4.0</v>
      </c>
      <c r="D99" s="35" t="s">
        <v>32</v>
      </c>
      <c r="E99" s="37"/>
      <c r="F99" s="23"/>
      <c r="H99" s="24"/>
      <c r="J99" s="24"/>
      <c r="L99" s="25"/>
      <c r="N99" s="26"/>
      <c r="P99" s="24"/>
      <c r="R99" s="26"/>
      <c r="T99" s="24"/>
      <c r="V99" s="24"/>
      <c r="W99" s="27"/>
      <c r="X99" s="23"/>
      <c r="Z99" s="24"/>
      <c r="AB99" s="24"/>
      <c r="AD99" s="24"/>
      <c r="AF99" s="24"/>
      <c r="AH99" s="24"/>
      <c r="AI99" s="27"/>
      <c r="AJ99" s="39">
        <f t="shared" si="1"/>
        <v>0</v>
      </c>
      <c r="AK99" s="35">
        <f t="shared" si="2"/>
        <v>0</v>
      </c>
      <c r="AL99" s="35" t="str">
        <f t="shared" si="3"/>
        <v/>
      </c>
      <c r="AM99" s="35">
        <f t="shared" si="4"/>
        <v>0</v>
      </c>
      <c r="AN99" s="40" t="str">
        <f t="shared" si="5"/>
        <v/>
      </c>
    </row>
    <row r="100" ht="15.75" customHeight="1">
      <c r="A100" s="48" t="s">
        <v>31</v>
      </c>
      <c r="B100" s="50">
        <f t="shared" si="6"/>
        <v>44660</v>
      </c>
      <c r="C100" s="51">
        <v>4.0</v>
      </c>
      <c r="D100" s="51" t="s">
        <v>32</v>
      </c>
      <c r="E100" s="53"/>
      <c r="F100" s="54"/>
      <c r="G100" s="56"/>
      <c r="H100" s="57"/>
      <c r="I100" s="56"/>
      <c r="J100" s="57"/>
      <c r="K100" s="56"/>
      <c r="L100" s="58"/>
      <c r="M100" s="56"/>
      <c r="N100" s="59"/>
      <c r="O100" s="56"/>
      <c r="P100" s="57"/>
      <c r="Q100" s="56"/>
      <c r="R100" s="59"/>
      <c r="S100" s="56"/>
      <c r="T100" s="57"/>
      <c r="U100" s="56"/>
      <c r="V100" s="57"/>
      <c r="W100" s="60"/>
      <c r="X100" s="54"/>
      <c r="Y100" s="56"/>
      <c r="Z100" s="57"/>
      <c r="AA100" s="56"/>
      <c r="AB100" s="57"/>
      <c r="AC100" s="56"/>
      <c r="AD100" s="57"/>
      <c r="AE100" s="56"/>
      <c r="AF100" s="57"/>
      <c r="AG100" s="56"/>
      <c r="AH100" s="57"/>
      <c r="AI100" s="60"/>
      <c r="AJ100" s="61">
        <f t="shared" si="1"/>
        <v>0</v>
      </c>
      <c r="AK100" s="51">
        <f t="shared" si="2"/>
        <v>0</v>
      </c>
      <c r="AL100" s="51" t="str">
        <f t="shared" si="3"/>
        <v/>
      </c>
      <c r="AM100" s="51">
        <f t="shared" si="4"/>
        <v>0</v>
      </c>
      <c r="AN100" s="63" t="str">
        <f t="shared" si="5"/>
        <v/>
      </c>
    </row>
    <row r="101" ht="15.75" customHeight="1">
      <c r="A101" s="18" t="s">
        <v>20</v>
      </c>
      <c r="B101" s="64">
        <f t="shared" si="6"/>
        <v>44661</v>
      </c>
      <c r="C101" s="20">
        <v>4.0</v>
      </c>
      <c r="D101" s="20" t="s">
        <v>33</v>
      </c>
      <c r="E101" s="22"/>
      <c r="F101" s="23"/>
      <c r="H101" s="24"/>
      <c r="J101" s="24"/>
      <c r="L101" s="25">
        <v>118.0</v>
      </c>
      <c r="N101" s="26">
        <v>105.0</v>
      </c>
      <c r="P101" s="24"/>
      <c r="R101" s="26"/>
      <c r="T101" s="24"/>
      <c r="V101" s="24"/>
      <c r="W101" s="27"/>
      <c r="X101" s="23"/>
      <c r="Z101" s="24"/>
      <c r="AB101" s="24"/>
      <c r="AD101" s="24"/>
      <c r="AF101" s="24"/>
      <c r="AH101" s="24"/>
      <c r="AI101" s="27"/>
      <c r="AJ101" s="28">
        <f t="shared" si="1"/>
        <v>2531.05</v>
      </c>
      <c r="AK101" s="20">
        <f t="shared" si="2"/>
        <v>223</v>
      </c>
      <c r="AL101" s="20" t="str">
        <f t="shared" si="3"/>
        <v/>
      </c>
      <c r="AM101" s="20">
        <f t="shared" si="4"/>
        <v>223</v>
      </c>
      <c r="AN101" s="31">
        <f t="shared" si="5"/>
        <v>11.35</v>
      </c>
    </row>
    <row r="102" ht="15.75" customHeight="1">
      <c r="A102" s="32" t="s">
        <v>22</v>
      </c>
      <c r="B102" s="34">
        <f t="shared" si="6"/>
        <v>44662</v>
      </c>
      <c r="C102" s="35">
        <v>4.0</v>
      </c>
      <c r="D102" s="35" t="s">
        <v>33</v>
      </c>
      <c r="E102" s="37"/>
      <c r="F102" s="23"/>
      <c r="H102" s="24"/>
      <c r="J102" s="24"/>
      <c r="L102" s="25">
        <v>121.0</v>
      </c>
      <c r="N102" s="26">
        <v>103.0</v>
      </c>
      <c r="P102" s="24"/>
      <c r="R102" s="26"/>
      <c r="T102" s="24"/>
      <c r="V102" s="24"/>
      <c r="W102" s="27"/>
      <c r="X102" s="23"/>
      <c r="Z102" s="24"/>
      <c r="AB102" s="24"/>
      <c r="AD102" s="24"/>
      <c r="AF102" s="24"/>
      <c r="AH102" s="24"/>
      <c r="AI102" s="27"/>
      <c r="AJ102" s="39">
        <f t="shared" si="1"/>
        <v>2542.4</v>
      </c>
      <c r="AK102" s="35">
        <f t="shared" si="2"/>
        <v>224</v>
      </c>
      <c r="AL102" s="35" t="str">
        <f t="shared" si="3"/>
        <v/>
      </c>
      <c r="AM102" s="35">
        <f t="shared" si="4"/>
        <v>224</v>
      </c>
      <c r="AN102" s="40">
        <f t="shared" si="5"/>
        <v>11.35</v>
      </c>
    </row>
    <row r="103" ht="15.75" customHeight="1">
      <c r="A103" s="32" t="s">
        <v>24</v>
      </c>
      <c r="B103" s="34">
        <f t="shared" si="6"/>
        <v>44663</v>
      </c>
      <c r="C103" s="35">
        <v>4.0</v>
      </c>
      <c r="D103" s="35" t="s">
        <v>33</v>
      </c>
      <c r="E103" s="37"/>
      <c r="F103" s="23"/>
      <c r="H103" s="24"/>
      <c r="J103" s="24"/>
      <c r="L103" s="25">
        <v>125.0</v>
      </c>
      <c r="N103" s="26">
        <v>110.0</v>
      </c>
      <c r="P103" s="24"/>
      <c r="R103" s="26"/>
      <c r="T103" s="24"/>
      <c r="V103" s="24"/>
      <c r="W103" s="27"/>
      <c r="X103" s="23"/>
      <c r="Z103" s="24"/>
      <c r="AB103" s="24"/>
      <c r="AD103" s="24"/>
      <c r="AF103" s="24"/>
      <c r="AH103" s="24"/>
      <c r="AI103" s="27"/>
      <c r="AJ103" s="39">
        <f t="shared" si="1"/>
        <v>2667.25</v>
      </c>
      <c r="AK103" s="35">
        <f t="shared" si="2"/>
        <v>235</v>
      </c>
      <c r="AL103" s="35" t="str">
        <f t="shared" si="3"/>
        <v/>
      </c>
      <c r="AM103" s="35">
        <f t="shared" si="4"/>
        <v>235</v>
      </c>
      <c r="AN103" s="40">
        <f t="shared" si="5"/>
        <v>11.35</v>
      </c>
    </row>
    <row r="104" ht="15.75" customHeight="1">
      <c r="A104" s="32" t="s">
        <v>28</v>
      </c>
      <c r="B104" s="34">
        <f t="shared" si="6"/>
        <v>44664</v>
      </c>
      <c r="C104" s="35">
        <v>4.0</v>
      </c>
      <c r="D104" s="35" t="s">
        <v>33</v>
      </c>
      <c r="E104" s="37"/>
      <c r="F104" s="23"/>
      <c r="H104" s="24"/>
      <c r="J104" s="24"/>
      <c r="L104" s="25">
        <v>112.0</v>
      </c>
      <c r="N104" s="26">
        <v>105.0</v>
      </c>
      <c r="P104" s="24"/>
      <c r="R104" s="26"/>
      <c r="T104" s="24"/>
      <c r="V104" s="24"/>
      <c r="W104" s="27"/>
      <c r="X104" s="23"/>
      <c r="Z104" s="24"/>
      <c r="AB104" s="24"/>
      <c r="AD104" s="24"/>
      <c r="AF104" s="24"/>
      <c r="AH104" s="24"/>
      <c r="AI104" s="27"/>
      <c r="AJ104" s="39">
        <f t="shared" si="1"/>
        <v>2462.95</v>
      </c>
      <c r="AK104" s="35">
        <f t="shared" si="2"/>
        <v>217</v>
      </c>
      <c r="AL104" s="35" t="str">
        <f t="shared" si="3"/>
        <v/>
      </c>
      <c r="AM104" s="35">
        <f t="shared" si="4"/>
        <v>217</v>
      </c>
      <c r="AN104" s="40">
        <f t="shared" si="5"/>
        <v>11.35</v>
      </c>
    </row>
    <row r="105" ht="15.75" customHeight="1">
      <c r="A105" s="32" t="s">
        <v>29</v>
      </c>
      <c r="B105" s="34">
        <f t="shared" si="6"/>
        <v>44665</v>
      </c>
      <c r="C105" s="35">
        <v>4.0</v>
      </c>
      <c r="D105" s="35" t="s">
        <v>33</v>
      </c>
      <c r="E105" s="37"/>
      <c r="F105" s="23"/>
      <c r="H105" s="24"/>
      <c r="J105" s="24"/>
      <c r="L105" s="25">
        <v>104.0</v>
      </c>
      <c r="N105" s="26">
        <v>90.0</v>
      </c>
      <c r="P105" s="24"/>
      <c r="R105" s="26"/>
      <c r="T105" s="24"/>
      <c r="V105" s="24"/>
      <c r="W105" s="27"/>
      <c r="X105" s="23"/>
      <c r="Z105" s="24"/>
      <c r="AB105" s="24"/>
      <c r="AD105" s="24"/>
      <c r="AF105" s="24"/>
      <c r="AH105" s="24"/>
      <c r="AI105" s="27"/>
      <c r="AJ105" s="39">
        <f t="shared" si="1"/>
        <v>2201.9</v>
      </c>
      <c r="AK105" s="35">
        <f t="shared" si="2"/>
        <v>194</v>
      </c>
      <c r="AL105" s="35" t="str">
        <f t="shared" si="3"/>
        <v/>
      </c>
      <c r="AM105" s="35">
        <f t="shared" si="4"/>
        <v>194</v>
      </c>
      <c r="AN105" s="40">
        <f t="shared" si="5"/>
        <v>11.35</v>
      </c>
    </row>
    <row r="106" ht="15.75" customHeight="1">
      <c r="A106" s="32" t="s">
        <v>30</v>
      </c>
      <c r="B106" s="34">
        <f t="shared" si="6"/>
        <v>44666</v>
      </c>
      <c r="C106" s="35">
        <v>4.0</v>
      </c>
      <c r="D106" s="35" t="s">
        <v>33</v>
      </c>
      <c r="E106" s="37"/>
      <c r="F106" s="23"/>
      <c r="H106" s="24"/>
      <c r="J106" s="24"/>
      <c r="L106" s="25">
        <v>85.0</v>
      </c>
      <c r="N106" s="26">
        <v>91.0</v>
      </c>
      <c r="P106" s="24"/>
      <c r="R106" s="26"/>
      <c r="T106" s="24"/>
      <c r="V106" s="24"/>
      <c r="W106" s="27"/>
      <c r="X106" s="23"/>
      <c r="Z106" s="24"/>
      <c r="AB106" s="24"/>
      <c r="AD106" s="24"/>
      <c r="AF106" s="24"/>
      <c r="AH106" s="24"/>
      <c r="AI106" s="27"/>
      <c r="AJ106" s="39">
        <f t="shared" si="1"/>
        <v>1997.6</v>
      </c>
      <c r="AK106" s="35">
        <f t="shared" si="2"/>
        <v>176</v>
      </c>
      <c r="AL106" s="35" t="str">
        <f t="shared" si="3"/>
        <v/>
      </c>
      <c r="AM106" s="35">
        <f t="shared" si="4"/>
        <v>176</v>
      </c>
      <c r="AN106" s="40">
        <f t="shared" si="5"/>
        <v>11.35</v>
      </c>
    </row>
    <row r="107" ht="15.75" customHeight="1">
      <c r="A107" s="48" t="s">
        <v>31</v>
      </c>
      <c r="B107" s="50">
        <f t="shared" si="6"/>
        <v>44667</v>
      </c>
      <c r="C107" s="51">
        <v>4.0</v>
      </c>
      <c r="D107" s="51" t="s">
        <v>33</v>
      </c>
      <c r="E107" s="53"/>
      <c r="F107" s="54"/>
      <c r="G107" s="56"/>
      <c r="H107" s="57"/>
      <c r="I107" s="56"/>
      <c r="J107" s="57"/>
      <c r="K107" s="56"/>
      <c r="L107" s="58">
        <v>0.0</v>
      </c>
      <c r="M107" s="56"/>
      <c r="N107" s="59">
        <v>0.0</v>
      </c>
      <c r="O107" s="56"/>
      <c r="P107" s="57"/>
      <c r="Q107" s="56"/>
      <c r="R107" s="59"/>
      <c r="S107" s="56"/>
      <c r="T107" s="57"/>
      <c r="U107" s="56"/>
      <c r="V107" s="57"/>
      <c r="W107" s="60"/>
      <c r="X107" s="54"/>
      <c r="Y107" s="56"/>
      <c r="Z107" s="57"/>
      <c r="AA107" s="56"/>
      <c r="AB107" s="57"/>
      <c r="AC107" s="56"/>
      <c r="AD107" s="57"/>
      <c r="AE107" s="56"/>
      <c r="AF107" s="57"/>
      <c r="AG107" s="56"/>
      <c r="AH107" s="57"/>
      <c r="AI107" s="60"/>
      <c r="AJ107" s="61">
        <f t="shared" si="1"/>
        <v>0</v>
      </c>
      <c r="AK107" s="51">
        <f t="shared" si="2"/>
        <v>0</v>
      </c>
      <c r="AL107" s="51" t="str">
        <f t="shared" si="3"/>
        <v/>
      </c>
      <c r="AM107" s="51">
        <f t="shared" si="4"/>
        <v>0</v>
      </c>
      <c r="AN107" s="63" t="str">
        <f t="shared" si="5"/>
        <v/>
      </c>
    </row>
    <row r="108" ht="15.75" customHeight="1">
      <c r="A108" s="18" t="s">
        <v>20</v>
      </c>
      <c r="B108" s="64">
        <f t="shared" si="6"/>
        <v>44668</v>
      </c>
      <c r="C108" s="20">
        <v>4.0</v>
      </c>
      <c r="D108" s="20" t="s">
        <v>34</v>
      </c>
      <c r="E108" s="22"/>
      <c r="F108" s="23"/>
      <c r="H108" s="24"/>
      <c r="J108" s="24"/>
      <c r="L108" s="25">
        <v>102.0</v>
      </c>
      <c r="N108" s="26">
        <v>101.0</v>
      </c>
      <c r="P108" s="24"/>
      <c r="R108" s="26"/>
      <c r="T108" s="24"/>
      <c r="V108" s="24"/>
      <c r="W108" s="27"/>
      <c r="X108" s="23"/>
      <c r="Z108" s="24"/>
      <c r="AB108" s="24"/>
      <c r="AD108" s="24"/>
      <c r="AF108" s="24"/>
      <c r="AH108" s="24"/>
      <c r="AI108" s="27"/>
      <c r="AJ108" s="28">
        <f t="shared" si="1"/>
        <v>2304.05</v>
      </c>
      <c r="AK108" s="20">
        <f t="shared" si="2"/>
        <v>203</v>
      </c>
      <c r="AL108" s="20" t="str">
        <f t="shared" si="3"/>
        <v/>
      </c>
      <c r="AM108" s="20">
        <f t="shared" si="4"/>
        <v>203</v>
      </c>
      <c r="AN108" s="31">
        <f t="shared" si="5"/>
        <v>11.35</v>
      </c>
    </row>
    <row r="109" ht="15.75" customHeight="1">
      <c r="A109" s="32" t="s">
        <v>22</v>
      </c>
      <c r="B109" s="34">
        <f t="shared" si="6"/>
        <v>44669</v>
      </c>
      <c r="C109" s="35">
        <v>4.0</v>
      </c>
      <c r="D109" s="35" t="s">
        <v>34</v>
      </c>
      <c r="E109" s="37"/>
      <c r="F109" s="23"/>
      <c r="H109" s="24"/>
      <c r="J109" s="24"/>
      <c r="L109" s="25">
        <v>103.0</v>
      </c>
      <c r="N109" s="26">
        <v>103.0</v>
      </c>
      <c r="P109" s="24"/>
      <c r="R109" s="26"/>
      <c r="T109" s="24"/>
      <c r="V109" s="24"/>
      <c r="W109" s="27"/>
      <c r="X109" s="23"/>
      <c r="Z109" s="24"/>
      <c r="AB109" s="24"/>
      <c r="AD109" s="24"/>
      <c r="AF109" s="24"/>
      <c r="AH109" s="24"/>
      <c r="AI109" s="27"/>
      <c r="AJ109" s="39">
        <f t="shared" si="1"/>
        <v>2338.1</v>
      </c>
      <c r="AK109" s="35">
        <f t="shared" si="2"/>
        <v>206</v>
      </c>
      <c r="AL109" s="35" t="str">
        <f t="shared" si="3"/>
        <v/>
      </c>
      <c r="AM109" s="35">
        <f t="shared" si="4"/>
        <v>206</v>
      </c>
      <c r="AN109" s="40">
        <f t="shared" si="5"/>
        <v>11.35</v>
      </c>
    </row>
    <row r="110" ht="15.75" customHeight="1">
      <c r="A110" s="32" t="s">
        <v>24</v>
      </c>
      <c r="B110" s="34">
        <f t="shared" si="6"/>
        <v>44670</v>
      </c>
      <c r="C110" s="35">
        <v>4.0</v>
      </c>
      <c r="D110" s="35" t="s">
        <v>34</v>
      </c>
      <c r="E110" s="37"/>
      <c r="F110" s="23"/>
      <c r="H110" s="24"/>
      <c r="J110" s="24"/>
      <c r="L110" s="25">
        <v>104.0</v>
      </c>
      <c r="N110" s="26">
        <v>98.0</v>
      </c>
      <c r="P110" s="24"/>
      <c r="R110" s="26"/>
      <c r="T110" s="24"/>
      <c r="V110" s="24"/>
      <c r="W110" s="27"/>
      <c r="X110" s="23"/>
      <c r="Z110" s="24"/>
      <c r="AB110" s="24"/>
      <c r="AD110" s="24"/>
      <c r="AF110" s="24"/>
      <c r="AH110" s="24"/>
      <c r="AI110" s="27"/>
      <c r="AJ110" s="39">
        <f t="shared" si="1"/>
        <v>2292.7</v>
      </c>
      <c r="AK110" s="35">
        <f t="shared" si="2"/>
        <v>202</v>
      </c>
      <c r="AL110" s="35" t="str">
        <f t="shared" si="3"/>
        <v/>
      </c>
      <c r="AM110" s="35">
        <f t="shared" si="4"/>
        <v>202</v>
      </c>
      <c r="AN110" s="40">
        <f t="shared" si="5"/>
        <v>11.35</v>
      </c>
    </row>
    <row r="111" ht="15.75" customHeight="1">
      <c r="A111" s="32" t="s">
        <v>28</v>
      </c>
      <c r="B111" s="34">
        <f t="shared" si="6"/>
        <v>44671</v>
      </c>
      <c r="C111" s="35">
        <v>4.0</v>
      </c>
      <c r="D111" s="35" t="s">
        <v>34</v>
      </c>
      <c r="E111" s="37"/>
      <c r="F111" s="23"/>
      <c r="H111" s="24"/>
      <c r="J111" s="24"/>
      <c r="L111" s="25">
        <v>93.0</v>
      </c>
      <c r="N111" s="26"/>
      <c r="P111" s="24"/>
      <c r="R111" s="26"/>
      <c r="T111" s="24"/>
      <c r="V111" s="24"/>
      <c r="W111" s="27"/>
      <c r="X111" s="23"/>
      <c r="Z111" s="24"/>
      <c r="AB111" s="24"/>
      <c r="AD111" s="24"/>
      <c r="AF111" s="24"/>
      <c r="AH111" s="24"/>
      <c r="AI111" s="27"/>
      <c r="AJ111" s="39">
        <f t="shared" si="1"/>
        <v>1055.55</v>
      </c>
      <c r="AK111" s="35">
        <f t="shared" si="2"/>
        <v>93</v>
      </c>
      <c r="AL111" s="35" t="str">
        <f t="shared" si="3"/>
        <v/>
      </c>
      <c r="AM111" s="35">
        <f t="shared" si="4"/>
        <v>93</v>
      </c>
      <c r="AN111" s="40">
        <f t="shared" si="5"/>
        <v>11.35</v>
      </c>
    </row>
    <row r="112" ht="15.75" customHeight="1">
      <c r="A112" s="32" t="s">
        <v>29</v>
      </c>
      <c r="B112" s="34">
        <f t="shared" si="6"/>
        <v>44672</v>
      </c>
      <c r="C112" s="35">
        <v>4.0</v>
      </c>
      <c r="D112" s="35" t="s">
        <v>34</v>
      </c>
      <c r="E112" s="37"/>
      <c r="F112" s="23"/>
      <c r="H112" s="24"/>
      <c r="J112" s="24"/>
      <c r="L112" s="25"/>
      <c r="N112" s="26"/>
      <c r="P112" s="24"/>
      <c r="R112" s="26"/>
      <c r="T112" s="24"/>
      <c r="V112" s="24"/>
      <c r="W112" s="27"/>
      <c r="X112" s="23"/>
      <c r="Z112" s="24"/>
      <c r="AB112" s="24"/>
      <c r="AD112" s="24"/>
      <c r="AF112" s="24"/>
      <c r="AH112" s="24"/>
      <c r="AI112" s="27"/>
      <c r="AJ112" s="39">
        <f t="shared" si="1"/>
        <v>0</v>
      </c>
      <c r="AK112" s="35">
        <f t="shared" si="2"/>
        <v>0</v>
      </c>
      <c r="AL112" s="35" t="str">
        <f t="shared" si="3"/>
        <v/>
      </c>
      <c r="AM112" s="35">
        <f t="shared" si="4"/>
        <v>0</v>
      </c>
      <c r="AN112" s="40" t="str">
        <f t="shared" si="5"/>
        <v/>
      </c>
    </row>
    <row r="113" ht="15.75" customHeight="1">
      <c r="A113" s="32" t="s">
        <v>30</v>
      </c>
      <c r="B113" s="34">
        <f t="shared" si="6"/>
        <v>44673</v>
      </c>
      <c r="C113" s="35">
        <v>4.0</v>
      </c>
      <c r="D113" s="35" t="s">
        <v>34</v>
      </c>
      <c r="E113" s="37"/>
      <c r="F113" s="23"/>
      <c r="H113" s="24"/>
      <c r="J113" s="24"/>
      <c r="L113" s="25"/>
      <c r="N113" s="26"/>
      <c r="P113" s="24"/>
      <c r="R113" s="26"/>
      <c r="T113" s="24"/>
      <c r="V113" s="24"/>
      <c r="W113" s="27"/>
      <c r="X113" s="23"/>
      <c r="Z113" s="24"/>
      <c r="AB113" s="24"/>
      <c r="AD113" s="24"/>
      <c r="AF113" s="24"/>
      <c r="AH113" s="24"/>
      <c r="AI113" s="27"/>
      <c r="AJ113" s="39">
        <f t="shared" si="1"/>
        <v>0</v>
      </c>
      <c r="AK113" s="35">
        <f t="shared" si="2"/>
        <v>0</v>
      </c>
      <c r="AL113" s="35" t="str">
        <f t="shared" si="3"/>
        <v/>
      </c>
      <c r="AM113" s="35">
        <f t="shared" si="4"/>
        <v>0</v>
      </c>
      <c r="AN113" s="40" t="str">
        <f t="shared" si="5"/>
        <v/>
      </c>
    </row>
    <row r="114" ht="15.75" customHeight="1">
      <c r="A114" s="48" t="s">
        <v>31</v>
      </c>
      <c r="B114" s="50">
        <f t="shared" si="6"/>
        <v>44674</v>
      </c>
      <c r="C114" s="51">
        <v>4.0</v>
      </c>
      <c r="D114" s="51" t="s">
        <v>34</v>
      </c>
      <c r="E114" s="53"/>
      <c r="F114" s="54"/>
      <c r="G114" s="56"/>
      <c r="H114" s="57"/>
      <c r="I114" s="56"/>
      <c r="J114" s="57"/>
      <c r="K114" s="56"/>
      <c r="L114" s="58"/>
      <c r="M114" s="56"/>
      <c r="N114" s="59"/>
      <c r="O114" s="56"/>
      <c r="P114" s="57"/>
      <c r="Q114" s="56"/>
      <c r="R114" s="59"/>
      <c r="S114" s="56"/>
      <c r="T114" s="57"/>
      <c r="U114" s="56"/>
      <c r="V114" s="57"/>
      <c r="W114" s="60"/>
      <c r="X114" s="54"/>
      <c r="Y114" s="56"/>
      <c r="Z114" s="57"/>
      <c r="AA114" s="56"/>
      <c r="AB114" s="57"/>
      <c r="AC114" s="56"/>
      <c r="AD114" s="57"/>
      <c r="AE114" s="56"/>
      <c r="AF114" s="57"/>
      <c r="AG114" s="56"/>
      <c r="AH114" s="57"/>
      <c r="AI114" s="60"/>
      <c r="AJ114" s="61">
        <f t="shared" si="1"/>
        <v>0</v>
      </c>
      <c r="AK114" s="51">
        <f t="shared" si="2"/>
        <v>0</v>
      </c>
      <c r="AL114" s="51" t="str">
        <f t="shared" si="3"/>
        <v/>
      </c>
      <c r="AM114" s="51">
        <f t="shared" si="4"/>
        <v>0</v>
      </c>
      <c r="AN114" s="63" t="str">
        <f t="shared" si="5"/>
        <v/>
      </c>
    </row>
    <row r="115" ht="15.75" customHeight="1">
      <c r="A115" s="18" t="s">
        <v>20</v>
      </c>
      <c r="B115" s="64">
        <f t="shared" si="6"/>
        <v>44675</v>
      </c>
      <c r="C115" s="20">
        <v>5.0</v>
      </c>
      <c r="D115" s="20" t="s">
        <v>21</v>
      </c>
      <c r="E115" s="22"/>
      <c r="F115" s="23"/>
      <c r="H115" s="24"/>
      <c r="J115" s="24"/>
      <c r="L115" s="25"/>
      <c r="N115" s="26"/>
      <c r="P115" s="24"/>
      <c r="R115" s="26"/>
      <c r="T115" s="24"/>
      <c r="V115" s="24"/>
      <c r="W115" s="27"/>
      <c r="X115" s="23"/>
      <c r="Z115" s="24"/>
      <c r="AB115" s="24"/>
      <c r="AD115" s="24"/>
      <c r="AF115" s="24"/>
      <c r="AH115" s="24"/>
      <c r="AI115" s="27"/>
      <c r="AJ115" s="28">
        <f t="shared" si="1"/>
        <v>0</v>
      </c>
      <c r="AK115" s="20">
        <f t="shared" si="2"/>
        <v>0</v>
      </c>
      <c r="AL115" s="20" t="str">
        <f t="shared" si="3"/>
        <v/>
      </c>
      <c r="AM115" s="20">
        <f t="shared" si="4"/>
        <v>0</v>
      </c>
      <c r="AN115" s="31" t="str">
        <f t="shared" si="5"/>
        <v/>
      </c>
    </row>
    <row r="116" ht="15.75" customHeight="1">
      <c r="A116" s="32" t="s">
        <v>22</v>
      </c>
      <c r="B116" s="34">
        <f t="shared" si="6"/>
        <v>44676</v>
      </c>
      <c r="C116" s="35">
        <v>5.0</v>
      </c>
      <c r="D116" s="35" t="s">
        <v>21</v>
      </c>
      <c r="E116" s="37"/>
      <c r="F116" s="23"/>
      <c r="H116" s="24"/>
      <c r="J116" s="24"/>
      <c r="L116" s="25"/>
      <c r="N116" s="26"/>
      <c r="P116" s="24"/>
      <c r="R116" s="26"/>
      <c r="T116" s="24"/>
      <c r="V116" s="24"/>
      <c r="W116" s="27"/>
      <c r="X116" s="23"/>
      <c r="Z116" s="24"/>
      <c r="AB116" s="24"/>
      <c r="AD116" s="24"/>
      <c r="AF116" s="24"/>
      <c r="AH116" s="24"/>
      <c r="AI116" s="27"/>
      <c r="AJ116" s="39">
        <f t="shared" si="1"/>
        <v>0</v>
      </c>
      <c r="AK116" s="35">
        <f t="shared" si="2"/>
        <v>0</v>
      </c>
      <c r="AL116" s="35" t="str">
        <f t="shared" si="3"/>
        <v/>
      </c>
      <c r="AM116" s="35">
        <f t="shared" si="4"/>
        <v>0</v>
      </c>
      <c r="AN116" s="40" t="str">
        <f t="shared" si="5"/>
        <v/>
      </c>
    </row>
    <row r="117" ht="15.75" customHeight="1">
      <c r="A117" s="32" t="s">
        <v>24</v>
      </c>
      <c r="B117" s="34">
        <f t="shared" si="6"/>
        <v>44677</v>
      </c>
      <c r="C117" s="35">
        <v>5.0</v>
      </c>
      <c r="D117" s="35" t="s">
        <v>21</v>
      </c>
      <c r="E117" s="37"/>
      <c r="F117" s="23"/>
      <c r="H117" s="24"/>
      <c r="J117" s="24"/>
      <c r="L117" s="25"/>
      <c r="N117" s="26"/>
      <c r="P117" s="24"/>
      <c r="R117" s="26"/>
      <c r="T117" s="24"/>
      <c r="V117" s="24"/>
      <c r="W117" s="27"/>
      <c r="X117" s="23"/>
      <c r="Z117" s="24"/>
      <c r="AB117" s="24"/>
      <c r="AD117" s="24"/>
      <c r="AF117" s="24"/>
      <c r="AH117" s="24"/>
      <c r="AI117" s="27"/>
      <c r="AJ117" s="39">
        <f t="shared" si="1"/>
        <v>0</v>
      </c>
      <c r="AK117" s="35">
        <f t="shared" si="2"/>
        <v>0</v>
      </c>
      <c r="AL117" s="35" t="str">
        <f t="shared" si="3"/>
        <v/>
      </c>
      <c r="AM117" s="35">
        <f t="shared" si="4"/>
        <v>0</v>
      </c>
      <c r="AN117" s="40" t="str">
        <f t="shared" si="5"/>
        <v/>
      </c>
    </row>
    <row r="118" ht="15.75" customHeight="1">
      <c r="A118" s="32" t="s">
        <v>28</v>
      </c>
      <c r="B118" s="34">
        <f t="shared" si="6"/>
        <v>44678</v>
      </c>
      <c r="C118" s="35">
        <v>5.0</v>
      </c>
      <c r="D118" s="35" t="s">
        <v>21</v>
      </c>
      <c r="E118" s="37"/>
      <c r="F118" s="23"/>
      <c r="H118" s="24"/>
      <c r="J118" s="24"/>
      <c r="L118" s="25"/>
      <c r="N118" s="26"/>
      <c r="P118" s="24"/>
      <c r="R118" s="26"/>
      <c r="T118" s="24"/>
      <c r="V118" s="24"/>
      <c r="W118" s="27"/>
      <c r="X118" s="23"/>
      <c r="Z118" s="24"/>
      <c r="AB118" s="24"/>
      <c r="AD118" s="24"/>
      <c r="AF118" s="24"/>
      <c r="AH118" s="24"/>
      <c r="AI118" s="27"/>
      <c r="AJ118" s="39">
        <f t="shared" si="1"/>
        <v>0</v>
      </c>
      <c r="AK118" s="35">
        <f t="shared" si="2"/>
        <v>0</v>
      </c>
      <c r="AL118" s="35" t="str">
        <f t="shared" si="3"/>
        <v/>
      </c>
      <c r="AM118" s="35">
        <f t="shared" si="4"/>
        <v>0</v>
      </c>
      <c r="AN118" s="40" t="str">
        <f t="shared" si="5"/>
        <v/>
      </c>
    </row>
    <row r="119" ht="15.75" customHeight="1">
      <c r="A119" s="32" t="s">
        <v>29</v>
      </c>
      <c r="B119" s="34">
        <f t="shared" si="6"/>
        <v>44679</v>
      </c>
      <c r="C119" s="35">
        <v>5.0</v>
      </c>
      <c r="D119" s="35" t="s">
        <v>21</v>
      </c>
      <c r="E119" s="37"/>
      <c r="F119" s="23"/>
      <c r="H119" s="24"/>
      <c r="J119" s="24"/>
      <c r="L119" s="25"/>
      <c r="N119" s="26"/>
      <c r="P119" s="24"/>
      <c r="R119" s="26"/>
      <c r="T119" s="24"/>
      <c r="V119" s="24"/>
      <c r="W119" s="27"/>
      <c r="X119" s="23"/>
      <c r="Z119" s="24"/>
      <c r="AB119" s="24"/>
      <c r="AD119" s="24"/>
      <c r="AF119" s="24"/>
      <c r="AH119" s="24"/>
      <c r="AI119" s="27"/>
      <c r="AJ119" s="39">
        <f t="shared" si="1"/>
        <v>0</v>
      </c>
      <c r="AK119" s="35">
        <f t="shared" si="2"/>
        <v>0</v>
      </c>
      <c r="AL119" s="35" t="str">
        <f t="shared" si="3"/>
        <v/>
      </c>
      <c r="AM119" s="35">
        <f t="shared" si="4"/>
        <v>0</v>
      </c>
      <c r="AN119" s="40" t="str">
        <f t="shared" si="5"/>
        <v/>
      </c>
    </row>
    <row r="120" ht="15.75" customHeight="1">
      <c r="A120" s="32" t="s">
        <v>30</v>
      </c>
      <c r="B120" s="34">
        <f t="shared" si="6"/>
        <v>44680</v>
      </c>
      <c r="C120" s="35">
        <v>5.0</v>
      </c>
      <c r="D120" s="35" t="s">
        <v>21</v>
      </c>
      <c r="E120" s="37"/>
      <c r="F120" s="23"/>
      <c r="H120" s="24"/>
      <c r="J120" s="24"/>
      <c r="L120" s="25"/>
      <c r="N120" s="26"/>
      <c r="P120" s="24"/>
      <c r="R120" s="26"/>
      <c r="T120" s="24"/>
      <c r="V120" s="24"/>
      <c r="W120" s="27"/>
      <c r="X120" s="23"/>
      <c r="Z120" s="24"/>
      <c r="AB120" s="24"/>
      <c r="AD120" s="24"/>
      <c r="AF120" s="24"/>
      <c r="AH120" s="24"/>
      <c r="AI120" s="27"/>
      <c r="AJ120" s="39">
        <f t="shared" si="1"/>
        <v>0</v>
      </c>
      <c r="AK120" s="35">
        <f t="shared" si="2"/>
        <v>0</v>
      </c>
      <c r="AL120" s="35" t="str">
        <f t="shared" si="3"/>
        <v/>
      </c>
      <c r="AM120" s="35">
        <f t="shared" si="4"/>
        <v>0</v>
      </c>
      <c r="AN120" s="40" t="str">
        <f t="shared" si="5"/>
        <v/>
      </c>
    </row>
    <row r="121" ht="15.75" customHeight="1">
      <c r="A121" s="48" t="s">
        <v>31</v>
      </c>
      <c r="B121" s="50">
        <f t="shared" si="6"/>
        <v>44681</v>
      </c>
      <c r="C121" s="51">
        <v>5.0</v>
      </c>
      <c r="D121" s="51" t="s">
        <v>21</v>
      </c>
      <c r="E121" s="53"/>
      <c r="F121" s="54"/>
      <c r="G121" s="56"/>
      <c r="H121" s="57"/>
      <c r="I121" s="56"/>
      <c r="J121" s="57"/>
      <c r="K121" s="56"/>
      <c r="L121" s="58"/>
      <c r="M121" s="56"/>
      <c r="N121" s="59"/>
      <c r="O121" s="56"/>
      <c r="P121" s="57"/>
      <c r="Q121" s="56"/>
      <c r="R121" s="59"/>
      <c r="S121" s="56"/>
      <c r="T121" s="57"/>
      <c r="U121" s="56"/>
      <c r="V121" s="57"/>
      <c r="W121" s="60"/>
      <c r="X121" s="54"/>
      <c r="Y121" s="56"/>
      <c r="Z121" s="57"/>
      <c r="AA121" s="56"/>
      <c r="AB121" s="57"/>
      <c r="AC121" s="56"/>
      <c r="AD121" s="57"/>
      <c r="AE121" s="56"/>
      <c r="AF121" s="57"/>
      <c r="AG121" s="56"/>
      <c r="AH121" s="57"/>
      <c r="AI121" s="60"/>
      <c r="AJ121" s="61">
        <f t="shared" si="1"/>
        <v>0</v>
      </c>
      <c r="AK121" s="51">
        <f t="shared" si="2"/>
        <v>0</v>
      </c>
      <c r="AL121" s="51" t="str">
        <f t="shared" si="3"/>
        <v/>
      </c>
      <c r="AM121" s="51">
        <f t="shared" si="4"/>
        <v>0</v>
      </c>
      <c r="AN121" s="63" t="str">
        <f t="shared" si="5"/>
        <v/>
      </c>
    </row>
    <row r="122" ht="15.75" customHeight="1">
      <c r="A122" s="18" t="s">
        <v>20</v>
      </c>
      <c r="B122" s="64">
        <f t="shared" si="6"/>
        <v>44682</v>
      </c>
      <c r="C122" s="20">
        <v>5.0</v>
      </c>
      <c r="D122" s="20" t="s">
        <v>32</v>
      </c>
      <c r="E122" s="22"/>
      <c r="F122" s="23"/>
      <c r="H122" s="24"/>
      <c r="J122" s="24"/>
      <c r="L122" s="25"/>
      <c r="N122" s="26"/>
      <c r="P122" s="24"/>
      <c r="R122" s="26"/>
      <c r="T122" s="24"/>
      <c r="V122" s="24"/>
      <c r="W122" s="27"/>
      <c r="X122" s="23"/>
      <c r="Z122" s="24"/>
      <c r="AB122" s="24"/>
      <c r="AD122" s="24"/>
      <c r="AF122" s="24"/>
      <c r="AH122" s="24"/>
      <c r="AI122" s="27"/>
      <c r="AJ122" s="28">
        <f t="shared" si="1"/>
        <v>0</v>
      </c>
      <c r="AK122" s="20">
        <f t="shared" si="2"/>
        <v>0</v>
      </c>
      <c r="AL122" s="20" t="str">
        <f t="shared" si="3"/>
        <v/>
      </c>
      <c r="AM122" s="20">
        <f t="shared" si="4"/>
        <v>0</v>
      </c>
      <c r="AN122" s="31" t="str">
        <f t="shared" si="5"/>
        <v/>
      </c>
    </row>
    <row r="123" ht="15.75" customHeight="1">
      <c r="A123" s="32" t="s">
        <v>22</v>
      </c>
      <c r="B123" s="34">
        <f t="shared" si="6"/>
        <v>44683</v>
      </c>
      <c r="C123" s="35">
        <v>5.0</v>
      </c>
      <c r="D123" s="35" t="s">
        <v>32</v>
      </c>
      <c r="E123" s="37"/>
      <c r="F123" s="23"/>
      <c r="H123" s="24"/>
      <c r="J123" s="24"/>
      <c r="L123" s="25"/>
      <c r="N123" s="26"/>
      <c r="P123" s="24"/>
      <c r="R123" s="26"/>
      <c r="T123" s="24"/>
      <c r="V123" s="24"/>
      <c r="W123" s="27"/>
      <c r="X123" s="23"/>
      <c r="Z123" s="24"/>
      <c r="AB123" s="24"/>
      <c r="AD123" s="24"/>
      <c r="AF123" s="24"/>
      <c r="AH123" s="24"/>
      <c r="AI123" s="27"/>
      <c r="AJ123" s="39">
        <f t="shared" si="1"/>
        <v>0</v>
      </c>
      <c r="AK123" s="35">
        <f t="shared" si="2"/>
        <v>0</v>
      </c>
      <c r="AL123" s="35" t="str">
        <f t="shared" si="3"/>
        <v/>
      </c>
      <c r="AM123" s="35">
        <f t="shared" si="4"/>
        <v>0</v>
      </c>
      <c r="AN123" s="40" t="str">
        <f t="shared" si="5"/>
        <v/>
      </c>
    </row>
    <row r="124" ht="15.75" customHeight="1">
      <c r="A124" s="32" t="s">
        <v>24</v>
      </c>
      <c r="B124" s="34">
        <f t="shared" si="6"/>
        <v>44684</v>
      </c>
      <c r="C124" s="35">
        <v>5.0</v>
      </c>
      <c r="D124" s="35" t="s">
        <v>32</v>
      </c>
      <c r="E124" s="37"/>
      <c r="F124" s="23"/>
      <c r="H124" s="24"/>
      <c r="J124" s="24"/>
      <c r="L124" s="25"/>
      <c r="N124" s="26"/>
      <c r="P124" s="24"/>
      <c r="R124" s="26"/>
      <c r="T124" s="24"/>
      <c r="V124" s="24"/>
      <c r="W124" s="27"/>
      <c r="X124" s="23"/>
      <c r="Z124" s="24"/>
      <c r="AB124" s="24"/>
      <c r="AD124" s="24"/>
      <c r="AF124" s="24"/>
      <c r="AH124" s="24"/>
      <c r="AI124" s="27"/>
      <c r="AJ124" s="39">
        <f t="shared" si="1"/>
        <v>0</v>
      </c>
      <c r="AK124" s="35">
        <f t="shared" si="2"/>
        <v>0</v>
      </c>
      <c r="AL124" s="35" t="str">
        <f t="shared" si="3"/>
        <v/>
      </c>
      <c r="AM124" s="35">
        <f t="shared" si="4"/>
        <v>0</v>
      </c>
      <c r="AN124" s="40" t="str">
        <f t="shared" si="5"/>
        <v/>
      </c>
    </row>
    <row r="125" ht="15.75" customHeight="1">
      <c r="A125" s="32" t="s">
        <v>28</v>
      </c>
      <c r="B125" s="34">
        <f t="shared" si="6"/>
        <v>44685</v>
      </c>
      <c r="C125" s="35">
        <v>5.0</v>
      </c>
      <c r="D125" s="35" t="s">
        <v>32</v>
      </c>
      <c r="E125" s="37"/>
      <c r="F125" s="23"/>
      <c r="H125" s="24"/>
      <c r="J125" s="24"/>
      <c r="L125" s="25"/>
      <c r="N125" s="26"/>
      <c r="P125" s="24"/>
      <c r="R125" s="26"/>
      <c r="T125" s="24"/>
      <c r="V125" s="24"/>
      <c r="W125" s="27"/>
      <c r="X125" s="23"/>
      <c r="Z125" s="24"/>
      <c r="AB125" s="24"/>
      <c r="AD125" s="24"/>
      <c r="AF125" s="24"/>
      <c r="AH125" s="24"/>
      <c r="AI125" s="27"/>
      <c r="AJ125" s="39">
        <f t="shared" si="1"/>
        <v>0</v>
      </c>
      <c r="AK125" s="35">
        <f t="shared" si="2"/>
        <v>0</v>
      </c>
      <c r="AL125" s="35" t="str">
        <f t="shared" si="3"/>
        <v/>
      </c>
      <c r="AM125" s="35">
        <f t="shared" si="4"/>
        <v>0</v>
      </c>
      <c r="AN125" s="40" t="str">
        <f t="shared" si="5"/>
        <v/>
      </c>
    </row>
    <row r="126" ht="15.75" customHeight="1">
      <c r="A126" s="32" t="s">
        <v>29</v>
      </c>
      <c r="B126" s="34">
        <f t="shared" si="6"/>
        <v>44686</v>
      </c>
      <c r="C126" s="35">
        <v>5.0</v>
      </c>
      <c r="D126" s="35" t="s">
        <v>32</v>
      </c>
      <c r="E126" s="37"/>
      <c r="F126" s="23"/>
      <c r="H126" s="24"/>
      <c r="J126" s="24"/>
      <c r="L126" s="25"/>
      <c r="N126" s="26"/>
      <c r="P126" s="24"/>
      <c r="R126" s="26"/>
      <c r="T126" s="24"/>
      <c r="V126" s="24"/>
      <c r="W126" s="27"/>
      <c r="X126" s="23"/>
      <c r="Z126" s="24"/>
      <c r="AB126" s="24"/>
      <c r="AD126" s="24"/>
      <c r="AF126" s="24"/>
      <c r="AH126" s="24"/>
      <c r="AI126" s="27"/>
      <c r="AJ126" s="39">
        <f t="shared" si="1"/>
        <v>0</v>
      </c>
      <c r="AK126" s="35">
        <f t="shared" si="2"/>
        <v>0</v>
      </c>
      <c r="AL126" s="35" t="str">
        <f t="shared" si="3"/>
        <v/>
      </c>
      <c r="AM126" s="35">
        <f t="shared" si="4"/>
        <v>0</v>
      </c>
      <c r="AN126" s="40" t="str">
        <f t="shared" si="5"/>
        <v/>
      </c>
    </row>
    <row r="127" ht="15.75" customHeight="1">
      <c r="A127" s="32" t="s">
        <v>30</v>
      </c>
      <c r="B127" s="34">
        <f t="shared" si="6"/>
        <v>44687</v>
      </c>
      <c r="C127" s="35">
        <v>5.0</v>
      </c>
      <c r="D127" s="35" t="s">
        <v>32</v>
      </c>
      <c r="E127" s="37"/>
      <c r="F127" s="23"/>
      <c r="H127" s="24"/>
      <c r="J127" s="24"/>
      <c r="L127" s="25"/>
      <c r="N127" s="26"/>
      <c r="P127" s="24"/>
      <c r="R127" s="26"/>
      <c r="T127" s="24"/>
      <c r="V127" s="24"/>
      <c r="W127" s="27"/>
      <c r="X127" s="23"/>
      <c r="Z127" s="24"/>
      <c r="AB127" s="24"/>
      <c r="AD127" s="24"/>
      <c r="AF127" s="24"/>
      <c r="AH127" s="24"/>
      <c r="AI127" s="27"/>
      <c r="AJ127" s="39">
        <f t="shared" si="1"/>
        <v>0</v>
      </c>
      <c r="AK127" s="35">
        <f t="shared" si="2"/>
        <v>0</v>
      </c>
      <c r="AL127" s="35" t="str">
        <f t="shared" si="3"/>
        <v/>
      </c>
      <c r="AM127" s="35">
        <f t="shared" si="4"/>
        <v>0</v>
      </c>
      <c r="AN127" s="40" t="str">
        <f t="shared" si="5"/>
        <v/>
      </c>
    </row>
    <row r="128" ht="15.75" customHeight="1">
      <c r="A128" s="48" t="s">
        <v>31</v>
      </c>
      <c r="B128" s="50">
        <f t="shared" si="6"/>
        <v>44688</v>
      </c>
      <c r="C128" s="51">
        <v>5.0</v>
      </c>
      <c r="D128" s="51" t="s">
        <v>32</v>
      </c>
      <c r="E128" s="53"/>
      <c r="F128" s="54"/>
      <c r="G128" s="56"/>
      <c r="H128" s="57"/>
      <c r="I128" s="56"/>
      <c r="J128" s="57"/>
      <c r="K128" s="56"/>
      <c r="L128" s="58"/>
      <c r="M128" s="56"/>
      <c r="N128" s="59"/>
      <c r="O128" s="56"/>
      <c r="P128" s="57"/>
      <c r="Q128" s="56"/>
      <c r="R128" s="59"/>
      <c r="S128" s="56"/>
      <c r="T128" s="57"/>
      <c r="U128" s="56"/>
      <c r="V128" s="57"/>
      <c r="W128" s="60"/>
      <c r="X128" s="54"/>
      <c r="Y128" s="56"/>
      <c r="Z128" s="57"/>
      <c r="AA128" s="56"/>
      <c r="AB128" s="57"/>
      <c r="AC128" s="56"/>
      <c r="AD128" s="57"/>
      <c r="AE128" s="56"/>
      <c r="AF128" s="57"/>
      <c r="AG128" s="56"/>
      <c r="AH128" s="57"/>
      <c r="AI128" s="60"/>
      <c r="AJ128" s="61">
        <f t="shared" si="1"/>
        <v>0</v>
      </c>
      <c r="AK128" s="51">
        <f t="shared" si="2"/>
        <v>0</v>
      </c>
      <c r="AL128" s="51" t="str">
        <f t="shared" si="3"/>
        <v/>
      </c>
      <c r="AM128" s="51">
        <f t="shared" si="4"/>
        <v>0</v>
      </c>
      <c r="AN128" s="63" t="str">
        <f t="shared" si="5"/>
        <v/>
      </c>
    </row>
    <row r="129" ht="15.75" customHeight="1">
      <c r="A129" s="18" t="s">
        <v>20</v>
      </c>
      <c r="B129" s="64">
        <f t="shared" si="6"/>
        <v>44689</v>
      </c>
      <c r="C129" s="20">
        <v>5.0</v>
      </c>
      <c r="D129" s="20" t="s">
        <v>33</v>
      </c>
      <c r="E129" s="22"/>
      <c r="F129" s="23"/>
      <c r="H129" s="24"/>
      <c r="J129" s="24"/>
      <c r="L129" s="25"/>
      <c r="N129" s="26"/>
      <c r="P129" s="24"/>
      <c r="R129" s="26"/>
      <c r="T129" s="24"/>
      <c r="V129" s="24"/>
      <c r="W129" s="27"/>
      <c r="X129" s="23"/>
      <c r="Z129" s="24"/>
      <c r="AB129" s="24"/>
      <c r="AD129" s="24"/>
      <c r="AF129" s="24"/>
      <c r="AH129" s="24"/>
      <c r="AI129" s="27"/>
      <c r="AJ129" s="28">
        <f t="shared" si="1"/>
        <v>0</v>
      </c>
      <c r="AK129" s="20">
        <f t="shared" si="2"/>
        <v>0</v>
      </c>
      <c r="AL129" s="20" t="str">
        <f t="shared" si="3"/>
        <v/>
      </c>
      <c r="AM129" s="20">
        <f t="shared" si="4"/>
        <v>0</v>
      </c>
      <c r="AN129" s="31" t="str">
        <f t="shared" si="5"/>
        <v/>
      </c>
    </row>
    <row r="130" ht="15.75" customHeight="1">
      <c r="A130" s="32" t="s">
        <v>22</v>
      </c>
      <c r="B130" s="34">
        <f t="shared" si="6"/>
        <v>44690</v>
      </c>
      <c r="C130" s="35">
        <v>5.0</v>
      </c>
      <c r="D130" s="35" t="s">
        <v>33</v>
      </c>
      <c r="E130" s="37"/>
      <c r="F130" s="23"/>
      <c r="H130" s="24"/>
      <c r="J130" s="24"/>
      <c r="L130" s="25"/>
      <c r="N130" s="26"/>
      <c r="P130" s="24"/>
      <c r="R130" s="26"/>
      <c r="T130" s="24"/>
      <c r="V130" s="24"/>
      <c r="W130" s="27"/>
      <c r="X130" s="23"/>
      <c r="Z130" s="24"/>
      <c r="AB130" s="24"/>
      <c r="AD130" s="24"/>
      <c r="AF130" s="24"/>
      <c r="AH130" s="24"/>
      <c r="AI130" s="27"/>
      <c r="AJ130" s="39">
        <f t="shared" si="1"/>
        <v>0</v>
      </c>
      <c r="AK130" s="35">
        <f t="shared" si="2"/>
        <v>0</v>
      </c>
      <c r="AL130" s="35" t="str">
        <f t="shared" si="3"/>
        <v/>
      </c>
      <c r="AM130" s="35">
        <f t="shared" si="4"/>
        <v>0</v>
      </c>
      <c r="AN130" s="40" t="str">
        <f t="shared" si="5"/>
        <v/>
      </c>
    </row>
    <row r="131" ht="15.75" customHeight="1">
      <c r="A131" s="32" t="s">
        <v>24</v>
      </c>
      <c r="B131" s="34">
        <f t="shared" si="6"/>
        <v>44691</v>
      </c>
      <c r="C131" s="35">
        <v>5.0</v>
      </c>
      <c r="D131" s="35" t="s">
        <v>33</v>
      </c>
      <c r="E131" s="37"/>
      <c r="F131" s="23"/>
      <c r="H131" s="24"/>
      <c r="J131" s="24"/>
      <c r="L131" s="25"/>
      <c r="N131" s="26"/>
      <c r="P131" s="24"/>
      <c r="R131" s="26"/>
      <c r="T131" s="24"/>
      <c r="V131" s="24"/>
      <c r="W131" s="27"/>
      <c r="X131" s="23"/>
      <c r="Z131" s="24"/>
      <c r="AB131" s="24"/>
      <c r="AD131" s="24"/>
      <c r="AF131" s="24"/>
      <c r="AH131" s="24"/>
      <c r="AI131" s="27"/>
      <c r="AJ131" s="39">
        <f t="shared" si="1"/>
        <v>0</v>
      </c>
      <c r="AK131" s="35">
        <f t="shared" si="2"/>
        <v>0</v>
      </c>
      <c r="AL131" s="35" t="str">
        <f t="shared" si="3"/>
        <v/>
      </c>
      <c r="AM131" s="35">
        <f t="shared" si="4"/>
        <v>0</v>
      </c>
      <c r="AN131" s="40" t="str">
        <f t="shared" si="5"/>
        <v/>
      </c>
    </row>
    <row r="132" ht="15.75" customHeight="1">
      <c r="A132" s="32" t="s">
        <v>28</v>
      </c>
      <c r="B132" s="34">
        <f t="shared" si="6"/>
        <v>44692</v>
      </c>
      <c r="C132" s="35">
        <v>5.0</v>
      </c>
      <c r="D132" s="35" t="s">
        <v>33</v>
      </c>
      <c r="E132" s="37"/>
      <c r="F132" s="23"/>
      <c r="H132" s="24"/>
      <c r="J132" s="24"/>
      <c r="L132" s="25"/>
      <c r="N132" s="26"/>
      <c r="P132" s="24"/>
      <c r="R132" s="26"/>
      <c r="T132" s="24"/>
      <c r="V132" s="24"/>
      <c r="W132" s="27"/>
      <c r="X132" s="23"/>
      <c r="Z132" s="24"/>
      <c r="AB132" s="24"/>
      <c r="AD132" s="24"/>
      <c r="AF132" s="24"/>
      <c r="AH132" s="24"/>
      <c r="AI132" s="27"/>
      <c r="AJ132" s="39">
        <f t="shared" si="1"/>
        <v>0</v>
      </c>
      <c r="AK132" s="35">
        <f t="shared" si="2"/>
        <v>0</v>
      </c>
      <c r="AL132" s="35" t="str">
        <f t="shared" si="3"/>
        <v/>
      </c>
      <c r="AM132" s="35">
        <f t="shared" si="4"/>
        <v>0</v>
      </c>
      <c r="AN132" s="40" t="str">
        <f t="shared" si="5"/>
        <v/>
      </c>
    </row>
    <row r="133" ht="15.75" customHeight="1">
      <c r="A133" s="32" t="s">
        <v>29</v>
      </c>
      <c r="B133" s="34">
        <f t="shared" si="6"/>
        <v>44693</v>
      </c>
      <c r="C133" s="35">
        <v>5.0</v>
      </c>
      <c r="D133" s="35" t="s">
        <v>33</v>
      </c>
      <c r="E133" s="37"/>
      <c r="F133" s="23"/>
      <c r="H133" s="24"/>
      <c r="J133" s="24"/>
      <c r="L133" s="25"/>
      <c r="N133" s="26"/>
      <c r="P133" s="24"/>
      <c r="R133" s="26"/>
      <c r="T133" s="24"/>
      <c r="V133" s="24"/>
      <c r="W133" s="27"/>
      <c r="X133" s="23"/>
      <c r="Z133" s="24"/>
      <c r="AB133" s="24"/>
      <c r="AD133" s="24"/>
      <c r="AF133" s="24"/>
      <c r="AH133" s="24"/>
      <c r="AI133" s="27"/>
      <c r="AJ133" s="39">
        <f t="shared" si="1"/>
        <v>0</v>
      </c>
      <c r="AK133" s="35">
        <f t="shared" si="2"/>
        <v>0</v>
      </c>
      <c r="AL133" s="35" t="str">
        <f t="shared" si="3"/>
        <v/>
      </c>
      <c r="AM133" s="35">
        <f t="shared" si="4"/>
        <v>0</v>
      </c>
      <c r="AN133" s="40" t="str">
        <f t="shared" si="5"/>
        <v/>
      </c>
    </row>
    <row r="134" ht="15.75" customHeight="1">
      <c r="A134" s="32" t="s">
        <v>30</v>
      </c>
      <c r="B134" s="34">
        <f t="shared" si="6"/>
        <v>44694</v>
      </c>
      <c r="C134" s="35">
        <v>5.0</v>
      </c>
      <c r="D134" s="35" t="s">
        <v>33</v>
      </c>
      <c r="E134" s="37"/>
      <c r="F134" s="23"/>
      <c r="H134" s="24"/>
      <c r="J134" s="24"/>
      <c r="L134" s="25"/>
      <c r="N134" s="26"/>
      <c r="P134" s="24"/>
      <c r="R134" s="26"/>
      <c r="T134" s="24"/>
      <c r="V134" s="24"/>
      <c r="W134" s="27"/>
      <c r="X134" s="23"/>
      <c r="Z134" s="24"/>
      <c r="AB134" s="24"/>
      <c r="AD134" s="24"/>
      <c r="AF134" s="24"/>
      <c r="AH134" s="24"/>
      <c r="AI134" s="27"/>
      <c r="AJ134" s="39">
        <f t="shared" si="1"/>
        <v>0</v>
      </c>
      <c r="AK134" s="35">
        <f t="shared" si="2"/>
        <v>0</v>
      </c>
      <c r="AL134" s="35" t="str">
        <f t="shared" si="3"/>
        <v/>
      </c>
      <c r="AM134" s="35">
        <f t="shared" si="4"/>
        <v>0</v>
      </c>
      <c r="AN134" s="40" t="str">
        <f t="shared" si="5"/>
        <v/>
      </c>
    </row>
    <row r="135" ht="15.75" customHeight="1">
      <c r="A135" s="48" t="s">
        <v>31</v>
      </c>
      <c r="B135" s="50">
        <f t="shared" si="6"/>
        <v>44695</v>
      </c>
      <c r="C135" s="51">
        <v>5.0</v>
      </c>
      <c r="D135" s="51" t="s">
        <v>33</v>
      </c>
      <c r="E135" s="53"/>
      <c r="F135" s="54"/>
      <c r="G135" s="56"/>
      <c r="H135" s="57"/>
      <c r="I135" s="56"/>
      <c r="J135" s="57"/>
      <c r="K135" s="56"/>
      <c r="L135" s="58"/>
      <c r="M135" s="56"/>
      <c r="N135" s="59"/>
      <c r="O135" s="56"/>
      <c r="P135" s="57"/>
      <c r="Q135" s="56"/>
      <c r="R135" s="59"/>
      <c r="S135" s="56"/>
      <c r="T135" s="57"/>
      <c r="U135" s="56"/>
      <c r="V135" s="57"/>
      <c r="W135" s="60"/>
      <c r="X135" s="54"/>
      <c r="Y135" s="56"/>
      <c r="Z135" s="57"/>
      <c r="AA135" s="56"/>
      <c r="AB135" s="57"/>
      <c r="AC135" s="56"/>
      <c r="AD135" s="57"/>
      <c r="AE135" s="56"/>
      <c r="AF135" s="57"/>
      <c r="AG135" s="56"/>
      <c r="AH135" s="57"/>
      <c r="AI135" s="60"/>
      <c r="AJ135" s="61">
        <f t="shared" si="1"/>
        <v>0</v>
      </c>
      <c r="AK135" s="51">
        <f t="shared" si="2"/>
        <v>0</v>
      </c>
      <c r="AL135" s="51" t="str">
        <f t="shared" si="3"/>
        <v/>
      </c>
      <c r="AM135" s="51">
        <f t="shared" si="4"/>
        <v>0</v>
      </c>
      <c r="AN135" s="63" t="str">
        <f t="shared" si="5"/>
        <v/>
      </c>
    </row>
    <row r="136" ht="15.75" customHeight="1">
      <c r="A136" s="18" t="s">
        <v>20</v>
      </c>
      <c r="B136" s="64">
        <f t="shared" si="6"/>
        <v>44696</v>
      </c>
      <c r="C136" s="20">
        <v>5.0</v>
      </c>
      <c r="D136" s="20" t="s">
        <v>34</v>
      </c>
      <c r="E136" s="22"/>
      <c r="F136" s="25">
        <v>0.0</v>
      </c>
      <c r="H136" s="26">
        <v>0.0</v>
      </c>
      <c r="J136" s="26">
        <v>0.0</v>
      </c>
      <c r="L136" s="25">
        <v>101.0</v>
      </c>
      <c r="N136" s="26">
        <v>99.0</v>
      </c>
      <c r="P136" s="26">
        <v>0.0</v>
      </c>
      <c r="R136" s="26">
        <v>35.0</v>
      </c>
      <c r="T136" s="26">
        <v>0.0</v>
      </c>
      <c r="V136" s="26">
        <v>0.0</v>
      </c>
      <c r="W136" s="27"/>
      <c r="X136" s="23"/>
      <c r="Z136" s="24"/>
      <c r="AB136" s="24"/>
      <c r="AD136" s="24"/>
      <c r="AF136" s="24"/>
      <c r="AH136" s="24"/>
      <c r="AI136" s="27"/>
      <c r="AJ136" s="28">
        <f t="shared" si="1"/>
        <v>2427.85</v>
      </c>
      <c r="AK136" s="20">
        <f t="shared" si="2"/>
        <v>200</v>
      </c>
      <c r="AL136" s="20">
        <f t="shared" si="3"/>
        <v>35</v>
      </c>
      <c r="AM136" s="20">
        <f t="shared" si="4"/>
        <v>235</v>
      </c>
      <c r="AN136" s="31">
        <f t="shared" si="5"/>
        <v>10.3312766</v>
      </c>
    </row>
    <row r="137" ht="15.75" customHeight="1">
      <c r="A137" s="32" t="s">
        <v>22</v>
      </c>
      <c r="B137" s="34">
        <f t="shared" si="6"/>
        <v>44697</v>
      </c>
      <c r="C137" s="35">
        <v>5.0</v>
      </c>
      <c r="D137" s="35" t="s">
        <v>34</v>
      </c>
      <c r="E137" s="37"/>
      <c r="F137" s="25">
        <v>0.0</v>
      </c>
      <c r="H137" s="26">
        <v>0.0</v>
      </c>
      <c r="J137" s="26">
        <v>0.0</v>
      </c>
      <c r="L137" s="25">
        <v>99.0</v>
      </c>
      <c r="N137" s="26">
        <v>98.0</v>
      </c>
      <c r="P137" s="26">
        <v>0.0</v>
      </c>
      <c r="R137" s="26">
        <v>35.0</v>
      </c>
      <c r="T137" s="26">
        <v>0.0</v>
      </c>
      <c r="V137" s="26">
        <v>0.0</v>
      </c>
      <c r="W137" s="27"/>
      <c r="X137" s="23"/>
      <c r="Z137" s="24"/>
      <c r="AB137" s="24"/>
      <c r="AD137" s="24"/>
      <c r="AF137" s="24"/>
      <c r="AH137" s="24"/>
      <c r="AI137" s="27"/>
      <c r="AJ137" s="39">
        <f t="shared" si="1"/>
        <v>2393.8</v>
      </c>
      <c r="AK137" s="35">
        <f t="shared" si="2"/>
        <v>197</v>
      </c>
      <c r="AL137" s="35">
        <f t="shared" si="3"/>
        <v>35</v>
      </c>
      <c r="AM137" s="35">
        <f t="shared" si="4"/>
        <v>232</v>
      </c>
      <c r="AN137" s="40">
        <f t="shared" si="5"/>
        <v>10.31810345</v>
      </c>
    </row>
    <row r="138" ht="15.75" customHeight="1">
      <c r="A138" s="32" t="s">
        <v>24</v>
      </c>
      <c r="B138" s="34">
        <f t="shared" si="6"/>
        <v>44698</v>
      </c>
      <c r="C138" s="35">
        <v>5.0</v>
      </c>
      <c r="D138" s="35" t="s">
        <v>34</v>
      </c>
      <c r="E138" s="37"/>
      <c r="F138" s="25">
        <v>0.0</v>
      </c>
      <c r="H138" s="26">
        <v>0.0</v>
      </c>
      <c r="J138" s="26">
        <v>0.0</v>
      </c>
      <c r="L138" s="25">
        <v>101.0</v>
      </c>
      <c r="N138" s="26">
        <v>97.0</v>
      </c>
      <c r="P138" s="26">
        <v>0.0</v>
      </c>
      <c r="R138" s="26">
        <v>0.0</v>
      </c>
      <c r="T138" s="26">
        <v>0.0</v>
      </c>
      <c r="V138" s="26">
        <v>0.0</v>
      </c>
      <c r="W138" s="27"/>
      <c r="X138" s="23"/>
      <c r="Z138" s="24"/>
      <c r="AB138" s="24"/>
      <c r="AD138" s="24"/>
      <c r="AF138" s="24"/>
      <c r="AH138" s="24"/>
      <c r="AI138" s="27"/>
      <c r="AJ138" s="39">
        <f t="shared" si="1"/>
        <v>2247.3</v>
      </c>
      <c r="AK138" s="35">
        <f t="shared" si="2"/>
        <v>198</v>
      </c>
      <c r="AL138" s="35">
        <f t="shared" si="3"/>
        <v>0</v>
      </c>
      <c r="AM138" s="35">
        <f t="shared" si="4"/>
        <v>198</v>
      </c>
      <c r="AN138" s="40">
        <f t="shared" si="5"/>
        <v>11.35</v>
      </c>
    </row>
    <row r="139" ht="15.75" customHeight="1">
      <c r="A139" s="32" t="s">
        <v>28</v>
      </c>
      <c r="B139" s="34">
        <f t="shared" si="6"/>
        <v>44699</v>
      </c>
      <c r="C139" s="35">
        <v>5.0</v>
      </c>
      <c r="D139" s="35" t="s">
        <v>34</v>
      </c>
      <c r="E139" s="37"/>
      <c r="F139" s="25">
        <v>0.0</v>
      </c>
      <c r="H139" s="26">
        <v>0.0</v>
      </c>
      <c r="J139" s="26">
        <v>0.0</v>
      </c>
      <c r="L139" s="25">
        <v>99.0</v>
      </c>
      <c r="N139" s="26">
        <v>101.0</v>
      </c>
      <c r="P139" s="26">
        <v>0.0</v>
      </c>
      <c r="R139" s="26">
        <v>35.0</v>
      </c>
      <c r="T139" s="26">
        <v>0.0</v>
      </c>
      <c r="V139" s="26">
        <v>0.0</v>
      </c>
      <c r="W139" s="27"/>
      <c r="X139" s="23"/>
      <c r="Z139" s="24"/>
      <c r="AB139" s="24"/>
      <c r="AD139" s="24"/>
      <c r="AF139" s="24"/>
      <c r="AH139" s="24"/>
      <c r="AI139" s="27"/>
      <c r="AJ139" s="39">
        <f t="shared" si="1"/>
        <v>2427.85</v>
      </c>
      <c r="AK139" s="35">
        <f t="shared" si="2"/>
        <v>200</v>
      </c>
      <c r="AL139" s="35">
        <f t="shared" si="3"/>
        <v>35</v>
      </c>
      <c r="AM139" s="35">
        <f t="shared" si="4"/>
        <v>235</v>
      </c>
      <c r="AN139" s="40">
        <f t="shared" si="5"/>
        <v>10.3312766</v>
      </c>
    </row>
    <row r="140" ht="15.75" customHeight="1">
      <c r="A140" s="32" t="s">
        <v>29</v>
      </c>
      <c r="B140" s="34">
        <f t="shared" si="6"/>
        <v>44700</v>
      </c>
      <c r="C140" s="35">
        <v>5.0</v>
      </c>
      <c r="D140" s="35" t="s">
        <v>34</v>
      </c>
      <c r="E140" s="37"/>
      <c r="F140" s="25">
        <v>0.0</v>
      </c>
      <c r="H140" s="26">
        <v>0.0</v>
      </c>
      <c r="J140" s="26">
        <v>0.0</v>
      </c>
      <c r="L140" s="25">
        <v>96.0</v>
      </c>
      <c r="N140" s="26">
        <v>98.0</v>
      </c>
      <c r="P140" s="26">
        <v>0.0</v>
      </c>
      <c r="R140" s="26">
        <v>35.0</v>
      </c>
      <c r="T140" s="26">
        <v>0.0</v>
      </c>
      <c r="V140" s="26">
        <v>0.0</v>
      </c>
      <c r="W140" s="27"/>
      <c r="X140" s="23"/>
      <c r="Z140" s="24"/>
      <c r="AB140" s="24"/>
      <c r="AD140" s="24"/>
      <c r="AF140" s="24"/>
      <c r="AH140" s="24"/>
      <c r="AI140" s="27"/>
      <c r="AJ140" s="39">
        <f t="shared" si="1"/>
        <v>2359.75</v>
      </c>
      <c r="AK140" s="35">
        <f t="shared" si="2"/>
        <v>194</v>
      </c>
      <c r="AL140" s="35">
        <f t="shared" si="3"/>
        <v>35</v>
      </c>
      <c r="AM140" s="35">
        <f t="shared" si="4"/>
        <v>229</v>
      </c>
      <c r="AN140" s="40">
        <f t="shared" si="5"/>
        <v>10.30458515</v>
      </c>
    </row>
    <row r="141" ht="15.75" customHeight="1">
      <c r="A141" s="32" t="s">
        <v>30</v>
      </c>
      <c r="B141" s="34">
        <f t="shared" si="6"/>
        <v>44701</v>
      </c>
      <c r="C141" s="35">
        <v>5.0</v>
      </c>
      <c r="D141" s="35" t="s">
        <v>34</v>
      </c>
      <c r="E141" s="37"/>
      <c r="F141" s="25">
        <v>0.0</v>
      </c>
      <c r="H141" s="26">
        <v>0.0</v>
      </c>
      <c r="J141" s="26">
        <v>0.0</v>
      </c>
      <c r="L141" s="25">
        <v>98.0</v>
      </c>
      <c r="N141" s="26">
        <v>91.0</v>
      </c>
      <c r="P141" s="26">
        <v>0.0</v>
      </c>
      <c r="R141" s="26">
        <v>35.0</v>
      </c>
      <c r="T141" s="26">
        <v>0.0</v>
      </c>
      <c r="V141" s="26">
        <v>0.0</v>
      </c>
      <c r="W141" s="27"/>
      <c r="X141" s="23"/>
      <c r="Z141" s="24"/>
      <c r="AB141" s="24"/>
      <c r="AD141" s="24"/>
      <c r="AF141" s="24"/>
      <c r="AH141" s="24"/>
      <c r="AI141" s="27"/>
      <c r="AJ141" s="39">
        <f t="shared" si="1"/>
        <v>2303</v>
      </c>
      <c r="AK141" s="35">
        <f t="shared" si="2"/>
        <v>189</v>
      </c>
      <c r="AL141" s="35">
        <f t="shared" si="3"/>
        <v>35</v>
      </c>
      <c r="AM141" s="35">
        <f t="shared" si="4"/>
        <v>224</v>
      </c>
      <c r="AN141" s="40">
        <f t="shared" si="5"/>
        <v>10.28125</v>
      </c>
    </row>
    <row r="142" ht="15.75" customHeight="1">
      <c r="A142" s="48" t="s">
        <v>31</v>
      </c>
      <c r="B142" s="50">
        <f t="shared" si="6"/>
        <v>44702</v>
      </c>
      <c r="C142" s="51">
        <v>5.0</v>
      </c>
      <c r="D142" s="51" t="s">
        <v>34</v>
      </c>
      <c r="E142" s="53"/>
      <c r="F142" s="58">
        <v>0.0</v>
      </c>
      <c r="G142" s="56"/>
      <c r="H142" s="59">
        <v>0.0</v>
      </c>
      <c r="I142" s="56"/>
      <c r="J142" s="59">
        <v>0.0</v>
      </c>
      <c r="K142" s="56"/>
      <c r="L142" s="58">
        <v>0.0</v>
      </c>
      <c r="M142" s="56"/>
      <c r="N142" s="59">
        <v>0.0</v>
      </c>
      <c r="O142" s="56"/>
      <c r="P142" s="59">
        <v>0.0</v>
      </c>
      <c r="Q142" s="56"/>
      <c r="R142" s="59">
        <v>0.0</v>
      </c>
      <c r="S142" s="56"/>
      <c r="T142" s="59">
        <v>0.0</v>
      </c>
      <c r="U142" s="56"/>
      <c r="V142" s="59">
        <v>0.0</v>
      </c>
      <c r="W142" s="60"/>
      <c r="X142" s="54"/>
      <c r="Y142" s="56"/>
      <c r="Z142" s="57"/>
      <c r="AA142" s="56"/>
      <c r="AB142" s="57"/>
      <c r="AC142" s="56"/>
      <c r="AD142" s="57"/>
      <c r="AE142" s="56"/>
      <c r="AF142" s="57"/>
      <c r="AG142" s="56"/>
      <c r="AH142" s="57"/>
      <c r="AI142" s="60"/>
      <c r="AJ142" s="61">
        <f t="shared" si="1"/>
        <v>0</v>
      </c>
      <c r="AK142" s="51">
        <f t="shared" si="2"/>
        <v>0</v>
      </c>
      <c r="AL142" s="51">
        <f t="shared" si="3"/>
        <v>0</v>
      </c>
      <c r="AM142" s="51">
        <f t="shared" si="4"/>
        <v>0</v>
      </c>
      <c r="AN142" s="63" t="str">
        <f t="shared" si="5"/>
        <v/>
      </c>
    </row>
    <row r="143" ht="15.75" customHeight="1">
      <c r="A143" s="18" t="s">
        <v>20</v>
      </c>
      <c r="B143" s="64">
        <f t="shared" si="6"/>
        <v>44703</v>
      </c>
      <c r="C143" s="20">
        <v>6.0</v>
      </c>
      <c r="D143" s="20" t="s">
        <v>21</v>
      </c>
      <c r="E143" s="22"/>
      <c r="F143" s="25">
        <v>0.0</v>
      </c>
      <c r="H143" s="26">
        <v>0.0</v>
      </c>
      <c r="J143" s="26">
        <v>0.0</v>
      </c>
      <c r="L143" s="25"/>
      <c r="N143" s="26"/>
      <c r="P143" s="24"/>
      <c r="R143" s="26"/>
      <c r="T143" s="24"/>
      <c r="V143" s="24"/>
      <c r="W143" s="27"/>
      <c r="X143" s="23"/>
      <c r="Z143" s="24"/>
      <c r="AB143" s="24"/>
      <c r="AD143" s="24"/>
      <c r="AF143" s="24"/>
      <c r="AH143" s="24"/>
      <c r="AI143" s="27"/>
      <c r="AJ143" s="28">
        <f t="shared" si="1"/>
        <v>0</v>
      </c>
      <c r="AK143" s="20">
        <f t="shared" si="2"/>
        <v>0</v>
      </c>
      <c r="AL143" s="20" t="str">
        <f t="shared" si="3"/>
        <v/>
      </c>
      <c r="AM143" s="20">
        <f t="shared" si="4"/>
        <v>0</v>
      </c>
      <c r="AN143" s="31" t="str">
        <f t="shared" si="5"/>
        <v/>
      </c>
    </row>
    <row r="144" ht="15.75" customHeight="1">
      <c r="A144" s="32" t="s">
        <v>22</v>
      </c>
      <c r="B144" s="34">
        <f t="shared" si="6"/>
        <v>44704</v>
      </c>
      <c r="C144" s="35">
        <v>6.0</v>
      </c>
      <c r="D144" s="35" t="s">
        <v>21</v>
      </c>
      <c r="E144" s="37"/>
      <c r="F144" s="25">
        <v>0.0</v>
      </c>
      <c r="H144" s="26">
        <v>0.0</v>
      </c>
      <c r="J144" s="24"/>
      <c r="L144" s="25"/>
      <c r="N144" s="26"/>
      <c r="P144" s="24"/>
      <c r="R144" s="26"/>
      <c r="T144" s="24"/>
      <c r="V144" s="24"/>
      <c r="W144" s="27"/>
      <c r="X144" s="23"/>
      <c r="Z144" s="24"/>
      <c r="AB144" s="24"/>
      <c r="AD144" s="24"/>
      <c r="AF144" s="24"/>
      <c r="AH144" s="24"/>
      <c r="AI144" s="27"/>
      <c r="AJ144" s="39">
        <f t="shared" si="1"/>
        <v>0</v>
      </c>
      <c r="AK144" s="35">
        <f t="shared" si="2"/>
        <v>0</v>
      </c>
      <c r="AL144" s="35" t="str">
        <f t="shared" si="3"/>
        <v/>
      </c>
      <c r="AM144" s="35">
        <f t="shared" si="4"/>
        <v>0</v>
      </c>
      <c r="AN144" s="40" t="str">
        <f t="shared" si="5"/>
        <v/>
      </c>
    </row>
    <row r="145" ht="15.75" customHeight="1">
      <c r="A145" s="32" t="s">
        <v>24</v>
      </c>
      <c r="B145" s="34">
        <f t="shared" si="6"/>
        <v>44705</v>
      </c>
      <c r="C145" s="35">
        <v>6.0</v>
      </c>
      <c r="D145" s="35" t="s">
        <v>21</v>
      </c>
      <c r="E145" s="37"/>
      <c r="F145" s="25">
        <v>0.0</v>
      </c>
      <c r="H145" s="26">
        <v>0.0</v>
      </c>
      <c r="J145" s="24"/>
      <c r="L145" s="25"/>
      <c r="N145" s="26"/>
      <c r="P145" s="24"/>
      <c r="R145" s="26"/>
      <c r="T145" s="24"/>
      <c r="V145" s="24"/>
      <c r="W145" s="27"/>
      <c r="X145" s="23"/>
      <c r="Z145" s="24"/>
      <c r="AB145" s="24"/>
      <c r="AD145" s="24"/>
      <c r="AF145" s="24"/>
      <c r="AH145" s="24"/>
      <c r="AI145" s="27"/>
      <c r="AJ145" s="39">
        <f t="shared" si="1"/>
        <v>0</v>
      </c>
      <c r="AK145" s="35">
        <f t="shared" si="2"/>
        <v>0</v>
      </c>
      <c r="AL145" s="35" t="str">
        <f t="shared" si="3"/>
        <v/>
      </c>
      <c r="AM145" s="35">
        <f t="shared" si="4"/>
        <v>0</v>
      </c>
      <c r="AN145" s="40" t="str">
        <f t="shared" si="5"/>
        <v/>
      </c>
    </row>
    <row r="146" ht="15.75" customHeight="1">
      <c r="A146" s="32" t="s">
        <v>28</v>
      </c>
      <c r="B146" s="34">
        <f t="shared" si="6"/>
        <v>44706</v>
      </c>
      <c r="C146" s="35">
        <v>6.0</v>
      </c>
      <c r="D146" s="35" t="s">
        <v>21</v>
      </c>
      <c r="E146" s="37"/>
      <c r="F146" s="23"/>
      <c r="H146" s="24"/>
      <c r="J146" s="24"/>
      <c r="L146" s="25"/>
      <c r="N146" s="26"/>
      <c r="P146" s="24"/>
      <c r="R146" s="26"/>
      <c r="T146" s="24"/>
      <c r="V146" s="24"/>
      <c r="W146" s="27"/>
      <c r="X146" s="23"/>
      <c r="Z146" s="24"/>
      <c r="AB146" s="24"/>
      <c r="AD146" s="24"/>
      <c r="AF146" s="24"/>
      <c r="AH146" s="24"/>
      <c r="AI146" s="27"/>
      <c r="AJ146" s="39">
        <f t="shared" si="1"/>
        <v>0</v>
      </c>
      <c r="AK146" s="35">
        <f t="shared" si="2"/>
        <v>0</v>
      </c>
      <c r="AL146" s="35" t="str">
        <f t="shared" si="3"/>
        <v/>
      </c>
      <c r="AM146" s="35">
        <f t="shared" si="4"/>
        <v>0</v>
      </c>
      <c r="AN146" s="40" t="str">
        <f t="shared" si="5"/>
        <v/>
      </c>
    </row>
    <row r="147" ht="15.75" customHeight="1">
      <c r="A147" s="32" t="s">
        <v>29</v>
      </c>
      <c r="B147" s="34">
        <f t="shared" si="6"/>
        <v>44707</v>
      </c>
      <c r="C147" s="35">
        <v>6.0</v>
      </c>
      <c r="D147" s="35" t="s">
        <v>21</v>
      </c>
      <c r="E147" s="37"/>
      <c r="F147" s="23"/>
      <c r="H147" s="24"/>
      <c r="J147" s="24"/>
      <c r="L147" s="25"/>
      <c r="N147" s="26"/>
      <c r="P147" s="24"/>
      <c r="R147" s="26"/>
      <c r="T147" s="24"/>
      <c r="V147" s="24"/>
      <c r="W147" s="27"/>
      <c r="X147" s="23"/>
      <c r="Z147" s="24"/>
      <c r="AB147" s="24"/>
      <c r="AD147" s="24"/>
      <c r="AF147" s="24"/>
      <c r="AH147" s="24"/>
      <c r="AI147" s="27"/>
      <c r="AJ147" s="39">
        <f t="shared" si="1"/>
        <v>0</v>
      </c>
      <c r="AK147" s="35">
        <f t="shared" si="2"/>
        <v>0</v>
      </c>
      <c r="AL147" s="35" t="str">
        <f t="shared" si="3"/>
        <v/>
      </c>
      <c r="AM147" s="35">
        <f t="shared" si="4"/>
        <v>0</v>
      </c>
      <c r="AN147" s="40" t="str">
        <f t="shared" si="5"/>
        <v/>
      </c>
    </row>
    <row r="148" ht="15.75" customHeight="1">
      <c r="A148" s="32" t="s">
        <v>30</v>
      </c>
      <c r="B148" s="34">
        <f t="shared" si="6"/>
        <v>44708</v>
      </c>
      <c r="C148" s="35">
        <v>6.0</v>
      </c>
      <c r="D148" s="35" t="s">
        <v>21</v>
      </c>
      <c r="E148" s="37"/>
      <c r="F148" s="23"/>
      <c r="H148" s="24"/>
      <c r="J148" s="24"/>
      <c r="L148" s="25"/>
      <c r="N148" s="26"/>
      <c r="P148" s="24"/>
      <c r="R148" s="26"/>
      <c r="T148" s="24"/>
      <c r="V148" s="24"/>
      <c r="W148" s="27"/>
      <c r="X148" s="23"/>
      <c r="Z148" s="24"/>
      <c r="AB148" s="24"/>
      <c r="AD148" s="24"/>
      <c r="AF148" s="24"/>
      <c r="AH148" s="24"/>
      <c r="AI148" s="27"/>
      <c r="AJ148" s="39">
        <f t="shared" si="1"/>
        <v>0</v>
      </c>
      <c r="AK148" s="35">
        <f t="shared" si="2"/>
        <v>0</v>
      </c>
      <c r="AL148" s="35" t="str">
        <f t="shared" si="3"/>
        <v/>
      </c>
      <c r="AM148" s="35">
        <f t="shared" si="4"/>
        <v>0</v>
      </c>
      <c r="AN148" s="40" t="str">
        <f t="shared" si="5"/>
        <v/>
      </c>
    </row>
    <row r="149" ht="15.75" customHeight="1">
      <c r="A149" s="48" t="s">
        <v>31</v>
      </c>
      <c r="B149" s="50">
        <f t="shared" si="6"/>
        <v>44709</v>
      </c>
      <c r="C149" s="51">
        <v>6.0</v>
      </c>
      <c r="D149" s="51" t="s">
        <v>21</v>
      </c>
      <c r="E149" s="53"/>
      <c r="F149" s="54"/>
      <c r="G149" s="56"/>
      <c r="H149" s="57"/>
      <c r="I149" s="56"/>
      <c r="J149" s="57"/>
      <c r="K149" s="56"/>
      <c r="L149" s="58"/>
      <c r="M149" s="56"/>
      <c r="N149" s="59"/>
      <c r="O149" s="56"/>
      <c r="P149" s="57"/>
      <c r="Q149" s="56"/>
      <c r="R149" s="59"/>
      <c r="S149" s="56"/>
      <c r="T149" s="57"/>
      <c r="U149" s="56"/>
      <c r="V149" s="57"/>
      <c r="W149" s="60"/>
      <c r="X149" s="54"/>
      <c r="Y149" s="56"/>
      <c r="Z149" s="57"/>
      <c r="AA149" s="56"/>
      <c r="AB149" s="57"/>
      <c r="AC149" s="56"/>
      <c r="AD149" s="57"/>
      <c r="AE149" s="56"/>
      <c r="AF149" s="57"/>
      <c r="AG149" s="56"/>
      <c r="AH149" s="57"/>
      <c r="AI149" s="60"/>
      <c r="AJ149" s="61">
        <f t="shared" si="1"/>
        <v>0</v>
      </c>
      <c r="AK149" s="51">
        <f t="shared" si="2"/>
        <v>0</v>
      </c>
      <c r="AL149" s="51" t="str">
        <f t="shared" si="3"/>
        <v/>
      </c>
      <c r="AM149" s="51">
        <f t="shared" si="4"/>
        <v>0</v>
      </c>
      <c r="AN149" s="63" t="str">
        <f t="shared" si="5"/>
        <v/>
      </c>
    </row>
    <row r="150" ht="15.75" customHeight="1">
      <c r="A150" s="18" t="s">
        <v>20</v>
      </c>
      <c r="B150" s="64">
        <f t="shared" si="6"/>
        <v>44710</v>
      </c>
      <c r="C150" s="20">
        <v>6.0</v>
      </c>
      <c r="D150" s="20" t="s">
        <v>32</v>
      </c>
      <c r="E150" s="22"/>
      <c r="F150" s="23"/>
      <c r="H150" s="24"/>
      <c r="J150" s="24"/>
      <c r="L150" s="25"/>
      <c r="N150" s="26"/>
      <c r="P150" s="24"/>
      <c r="R150" s="26"/>
      <c r="T150" s="24"/>
      <c r="V150" s="24"/>
      <c r="W150" s="27"/>
      <c r="X150" s="23"/>
      <c r="Z150" s="24"/>
      <c r="AB150" s="24"/>
      <c r="AD150" s="24"/>
      <c r="AF150" s="24"/>
      <c r="AH150" s="24"/>
      <c r="AI150" s="27"/>
      <c r="AJ150" s="28">
        <f t="shared" si="1"/>
        <v>0</v>
      </c>
      <c r="AK150" s="20">
        <f t="shared" si="2"/>
        <v>0</v>
      </c>
      <c r="AL150" s="20" t="str">
        <f t="shared" si="3"/>
        <v/>
      </c>
      <c r="AM150" s="20">
        <f t="shared" si="4"/>
        <v>0</v>
      </c>
      <c r="AN150" s="31" t="str">
        <f t="shared" si="5"/>
        <v/>
      </c>
    </row>
    <row r="151" ht="15.75" customHeight="1">
      <c r="A151" s="32" t="s">
        <v>22</v>
      </c>
      <c r="B151" s="34">
        <f t="shared" si="6"/>
        <v>44711</v>
      </c>
      <c r="C151" s="35">
        <v>6.0</v>
      </c>
      <c r="D151" s="35" t="s">
        <v>32</v>
      </c>
      <c r="E151" s="37"/>
      <c r="F151" s="23"/>
      <c r="H151" s="24"/>
      <c r="J151" s="24"/>
      <c r="L151" s="25"/>
      <c r="N151" s="26"/>
      <c r="P151" s="24"/>
      <c r="R151" s="26"/>
      <c r="T151" s="24"/>
      <c r="V151" s="24"/>
      <c r="W151" s="27"/>
      <c r="X151" s="23"/>
      <c r="Z151" s="24"/>
      <c r="AB151" s="24"/>
      <c r="AD151" s="24"/>
      <c r="AF151" s="24"/>
      <c r="AH151" s="24"/>
      <c r="AI151" s="27"/>
      <c r="AJ151" s="39">
        <f t="shared" si="1"/>
        <v>0</v>
      </c>
      <c r="AK151" s="35">
        <f t="shared" si="2"/>
        <v>0</v>
      </c>
      <c r="AL151" s="35" t="str">
        <f t="shared" si="3"/>
        <v/>
      </c>
      <c r="AM151" s="35">
        <f t="shared" si="4"/>
        <v>0</v>
      </c>
      <c r="AN151" s="40" t="str">
        <f t="shared" si="5"/>
        <v/>
      </c>
    </row>
    <row r="152" ht="15.75" customHeight="1">
      <c r="A152" s="32" t="s">
        <v>24</v>
      </c>
      <c r="B152" s="34">
        <f t="shared" si="6"/>
        <v>44712</v>
      </c>
      <c r="C152" s="35">
        <v>6.0</v>
      </c>
      <c r="D152" s="35" t="s">
        <v>32</v>
      </c>
      <c r="E152" s="37"/>
      <c r="F152" s="23"/>
      <c r="H152" s="24"/>
      <c r="J152" s="24"/>
      <c r="L152" s="25"/>
      <c r="N152" s="26"/>
      <c r="P152" s="24"/>
      <c r="R152" s="26"/>
      <c r="T152" s="24"/>
      <c r="V152" s="24"/>
      <c r="W152" s="27"/>
      <c r="X152" s="23"/>
      <c r="Z152" s="24"/>
      <c r="AB152" s="24"/>
      <c r="AD152" s="24"/>
      <c r="AF152" s="24"/>
      <c r="AH152" s="24"/>
      <c r="AI152" s="27"/>
      <c r="AJ152" s="39">
        <f t="shared" si="1"/>
        <v>0</v>
      </c>
      <c r="AK152" s="35">
        <f t="shared" si="2"/>
        <v>0</v>
      </c>
      <c r="AL152" s="35" t="str">
        <f t="shared" si="3"/>
        <v/>
      </c>
      <c r="AM152" s="35">
        <f t="shared" si="4"/>
        <v>0</v>
      </c>
      <c r="AN152" s="40" t="str">
        <f t="shared" si="5"/>
        <v/>
      </c>
    </row>
    <row r="153" ht="15.75" customHeight="1">
      <c r="A153" s="32" t="s">
        <v>28</v>
      </c>
      <c r="B153" s="34">
        <f t="shared" si="6"/>
        <v>44713</v>
      </c>
      <c r="C153" s="35">
        <v>6.0</v>
      </c>
      <c r="D153" s="35" t="s">
        <v>32</v>
      </c>
      <c r="E153" s="37"/>
      <c r="F153" s="23"/>
      <c r="H153" s="24"/>
      <c r="J153" s="24"/>
      <c r="L153" s="25"/>
      <c r="N153" s="26"/>
      <c r="P153" s="24"/>
      <c r="R153" s="26"/>
      <c r="T153" s="24"/>
      <c r="V153" s="24"/>
      <c r="W153" s="27"/>
      <c r="X153" s="23"/>
      <c r="Z153" s="24"/>
      <c r="AB153" s="24"/>
      <c r="AD153" s="24"/>
      <c r="AF153" s="24"/>
      <c r="AH153" s="24"/>
      <c r="AI153" s="27"/>
      <c r="AJ153" s="39">
        <f t="shared" si="1"/>
        <v>0</v>
      </c>
      <c r="AK153" s="35">
        <f t="shared" si="2"/>
        <v>0</v>
      </c>
      <c r="AL153" s="35" t="str">
        <f t="shared" si="3"/>
        <v/>
      </c>
      <c r="AM153" s="35">
        <f t="shared" si="4"/>
        <v>0</v>
      </c>
      <c r="AN153" s="40" t="str">
        <f t="shared" si="5"/>
        <v/>
      </c>
    </row>
    <row r="154" ht="15.75" customHeight="1">
      <c r="A154" s="32" t="s">
        <v>29</v>
      </c>
      <c r="B154" s="34">
        <f t="shared" si="6"/>
        <v>44714</v>
      </c>
      <c r="C154" s="35">
        <v>6.0</v>
      </c>
      <c r="D154" s="35" t="s">
        <v>32</v>
      </c>
      <c r="E154" s="37"/>
      <c r="F154" s="23"/>
      <c r="H154" s="24"/>
      <c r="J154" s="24"/>
      <c r="L154" s="25"/>
      <c r="N154" s="26"/>
      <c r="P154" s="24"/>
      <c r="R154" s="26"/>
      <c r="T154" s="24"/>
      <c r="V154" s="24"/>
      <c r="W154" s="27"/>
      <c r="X154" s="23"/>
      <c r="Z154" s="24"/>
      <c r="AB154" s="24"/>
      <c r="AD154" s="24"/>
      <c r="AF154" s="24"/>
      <c r="AH154" s="24"/>
      <c r="AI154" s="27"/>
      <c r="AJ154" s="39">
        <f t="shared" si="1"/>
        <v>0</v>
      </c>
      <c r="AK154" s="35">
        <f t="shared" si="2"/>
        <v>0</v>
      </c>
      <c r="AL154" s="35" t="str">
        <f t="shared" si="3"/>
        <v/>
      </c>
      <c r="AM154" s="35">
        <f t="shared" si="4"/>
        <v>0</v>
      </c>
      <c r="AN154" s="40" t="str">
        <f t="shared" si="5"/>
        <v/>
      </c>
    </row>
    <row r="155" ht="15.75" customHeight="1">
      <c r="A155" s="32" t="s">
        <v>30</v>
      </c>
      <c r="B155" s="34">
        <f t="shared" si="6"/>
        <v>44715</v>
      </c>
      <c r="C155" s="35">
        <v>6.0</v>
      </c>
      <c r="D155" s="35" t="s">
        <v>32</v>
      </c>
      <c r="E155" s="37"/>
      <c r="F155" s="23"/>
      <c r="H155" s="24"/>
      <c r="J155" s="24"/>
      <c r="L155" s="25"/>
      <c r="N155" s="26"/>
      <c r="P155" s="24"/>
      <c r="R155" s="26"/>
      <c r="T155" s="24"/>
      <c r="V155" s="24"/>
      <c r="W155" s="27"/>
      <c r="X155" s="23"/>
      <c r="Z155" s="24"/>
      <c r="AB155" s="24"/>
      <c r="AD155" s="24"/>
      <c r="AF155" s="24"/>
      <c r="AH155" s="24"/>
      <c r="AI155" s="27"/>
      <c r="AJ155" s="39">
        <f t="shared" si="1"/>
        <v>0</v>
      </c>
      <c r="AK155" s="35">
        <f t="shared" si="2"/>
        <v>0</v>
      </c>
      <c r="AL155" s="35" t="str">
        <f t="shared" si="3"/>
        <v/>
      </c>
      <c r="AM155" s="35">
        <f t="shared" si="4"/>
        <v>0</v>
      </c>
      <c r="AN155" s="40" t="str">
        <f t="shared" si="5"/>
        <v/>
      </c>
    </row>
    <row r="156" ht="15.75" customHeight="1">
      <c r="A156" s="48" t="s">
        <v>31</v>
      </c>
      <c r="B156" s="50">
        <f t="shared" si="6"/>
        <v>44716</v>
      </c>
      <c r="C156" s="51">
        <v>6.0</v>
      </c>
      <c r="D156" s="51" t="s">
        <v>32</v>
      </c>
      <c r="E156" s="53"/>
      <c r="F156" s="54"/>
      <c r="G156" s="56"/>
      <c r="H156" s="57"/>
      <c r="I156" s="56"/>
      <c r="J156" s="57"/>
      <c r="K156" s="56"/>
      <c r="L156" s="58"/>
      <c r="M156" s="56"/>
      <c r="N156" s="59"/>
      <c r="O156" s="56"/>
      <c r="P156" s="57"/>
      <c r="Q156" s="56"/>
      <c r="R156" s="59"/>
      <c r="S156" s="56"/>
      <c r="T156" s="57"/>
      <c r="U156" s="56"/>
      <c r="V156" s="57"/>
      <c r="W156" s="60"/>
      <c r="X156" s="54"/>
      <c r="Y156" s="56"/>
      <c r="Z156" s="57"/>
      <c r="AA156" s="56"/>
      <c r="AB156" s="57"/>
      <c r="AC156" s="56"/>
      <c r="AD156" s="57"/>
      <c r="AE156" s="56"/>
      <c r="AF156" s="57"/>
      <c r="AG156" s="56"/>
      <c r="AH156" s="57"/>
      <c r="AI156" s="60"/>
      <c r="AJ156" s="61">
        <f t="shared" si="1"/>
        <v>0</v>
      </c>
      <c r="AK156" s="51">
        <f t="shared" si="2"/>
        <v>0</v>
      </c>
      <c r="AL156" s="51" t="str">
        <f t="shared" si="3"/>
        <v/>
      </c>
      <c r="AM156" s="51">
        <f t="shared" si="4"/>
        <v>0</v>
      </c>
      <c r="AN156" s="63" t="str">
        <f t="shared" si="5"/>
        <v/>
      </c>
    </row>
    <row r="157" ht="15.75" customHeight="1">
      <c r="A157" s="18" t="s">
        <v>20</v>
      </c>
      <c r="B157" s="64">
        <f t="shared" si="6"/>
        <v>44717</v>
      </c>
      <c r="C157" s="20">
        <v>6.0</v>
      </c>
      <c r="D157" s="20" t="s">
        <v>33</v>
      </c>
      <c r="E157" s="85" t="s">
        <v>35</v>
      </c>
      <c r="F157" s="23"/>
      <c r="H157" s="24"/>
      <c r="J157" s="24"/>
      <c r="L157" s="25"/>
      <c r="N157" s="26"/>
      <c r="P157" s="86"/>
      <c r="R157" s="26"/>
      <c r="T157" s="24"/>
      <c r="V157" s="24"/>
      <c r="W157" s="27"/>
      <c r="X157" s="23"/>
      <c r="Z157" s="24"/>
      <c r="AB157" s="24"/>
      <c r="AD157" s="24"/>
      <c r="AF157" s="24"/>
      <c r="AH157" s="24"/>
      <c r="AI157" s="27"/>
      <c r="AJ157" s="28">
        <f t="shared" si="1"/>
        <v>0</v>
      </c>
      <c r="AK157" s="20">
        <f t="shared" si="2"/>
        <v>0</v>
      </c>
      <c r="AL157" s="20" t="str">
        <f t="shared" si="3"/>
        <v/>
      </c>
      <c r="AM157" s="20">
        <f t="shared" si="4"/>
        <v>0</v>
      </c>
      <c r="AN157" s="31" t="str">
        <f t="shared" si="5"/>
        <v/>
      </c>
    </row>
    <row r="158" ht="15.75" customHeight="1">
      <c r="A158" s="32" t="s">
        <v>22</v>
      </c>
      <c r="B158" s="34">
        <f t="shared" si="6"/>
        <v>44718</v>
      </c>
      <c r="C158" s="35">
        <v>6.0</v>
      </c>
      <c r="D158" s="35" t="s">
        <v>33</v>
      </c>
      <c r="E158" s="87" t="s">
        <v>35</v>
      </c>
      <c r="F158" s="23"/>
      <c r="H158" s="24"/>
      <c r="J158" s="24"/>
      <c r="L158" s="25"/>
      <c r="N158" s="26"/>
      <c r="P158" s="86"/>
      <c r="R158" s="26"/>
      <c r="T158" s="24"/>
      <c r="V158" s="24"/>
      <c r="W158" s="27"/>
      <c r="X158" s="23"/>
      <c r="Z158" s="24"/>
      <c r="AB158" s="24"/>
      <c r="AD158" s="24"/>
      <c r="AF158" s="24"/>
      <c r="AH158" s="24"/>
      <c r="AI158" s="27"/>
      <c r="AJ158" s="39">
        <f t="shared" si="1"/>
        <v>0</v>
      </c>
      <c r="AK158" s="35">
        <f t="shared" si="2"/>
        <v>0</v>
      </c>
      <c r="AL158" s="35" t="str">
        <f t="shared" si="3"/>
        <v/>
      </c>
      <c r="AM158" s="35">
        <f t="shared" si="4"/>
        <v>0</v>
      </c>
      <c r="AN158" s="40" t="str">
        <f t="shared" si="5"/>
        <v/>
      </c>
    </row>
    <row r="159" ht="15.75" customHeight="1">
      <c r="A159" s="32" t="s">
        <v>24</v>
      </c>
      <c r="B159" s="34">
        <f t="shared" si="6"/>
        <v>44719</v>
      </c>
      <c r="C159" s="35">
        <v>6.0</v>
      </c>
      <c r="D159" s="35" t="s">
        <v>33</v>
      </c>
      <c r="E159" s="87" t="s">
        <v>35</v>
      </c>
      <c r="F159" s="23"/>
      <c r="H159" s="24"/>
      <c r="J159" s="24"/>
      <c r="L159" s="25"/>
      <c r="N159" s="26"/>
      <c r="P159" s="86"/>
      <c r="R159" s="26"/>
      <c r="T159" s="24"/>
      <c r="V159" s="24"/>
      <c r="W159" s="27"/>
      <c r="X159" s="23"/>
      <c r="Z159" s="24"/>
      <c r="AB159" s="24"/>
      <c r="AD159" s="24"/>
      <c r="AF159" s="24"/>
      <c r="AH159" s="24"/>
      <c r="AI159" s="27"/>
      <c r="AJ159" s="39">
        <f t="shared" si="1"/>
        <v>0</v>
      </c>
      <c r="AK159" s="35">
        <f t="shared" si="2"/>
        <v>0</v>
      </c>
      <c r="AL159" s="35" t="str">
        <f t="shared" si="3"/>
        <v/>
      </c>
      <c r="AM159" s="35">
        <f t="shared" si="4"/>
        <v>0</v>
      </c>
      <c r="AN159" s="40" t="str">
        <f t="shared" si="5"/>
        <v/>
      </c>
    </row>
    <row r="160" ht="15.75" customHeight="1">
      <c r="A160" s="32" t="s">
        <v>28</v>
      </c>
      <c r="B160" s="34">
        <f t="shared" si="6"/>
        <v>44720</v>
      </c>
      <c r="C160" s="35">
        <v>6.0</v>
      </c>
      <c r="D160" s="35" t="s">
        <v>33</v>
      </c>
      <c r="E160" s="87" t="s">
        <v>35</v>
      </c>
      <c r="F160" s="23"/>
      <c r="H160" s="24"/>
      <c r="J160" s="24"/>
      <c r="L160" s="25"/>
      <c r="N160" s="26"/>
      <c r="P160" s="86"/>
      <c r="R160" s="26"/>
      <c r="T160" s="24"/>
      <c r="V160" s="24"/>
      <c r="W160" s="27"/>
      <c r="X160" s="23"/>
      <c r="Z160" s="24"/>
      <c r="AB160" s="24"/>
      <c r="AD160" s="24"/>
      <c r="AF160" s="24"/>
      <c r="AH160" s="24"/>
      <c r="AI160" s="27"/>
      <c r="AJ160" s="39">
        <f t="shared" si="1"/>
        <v>0</v>
      </c>
      <c r="AK160" s="35">
        <f t="shared" si="2"/>
        <v>0</v>
      </c>
      <c r="AL160" s="35" t="str">
        <f t="shared" si="3"/>
        <v/>
      </c>
      <c r="AM160" s="35">
        <f t="shared" si="4"/>
        <v>0</v>
      </c>
      <c r="AN160" s="40" t="str">
        <f t="shared" si="5"/>
        <v/>
      </c>
    </row>
    <row r="161" ht="15.75" customHeight="1">
      <c r="A161" s="32" t="s">
        <v>29</v>
      </c>
      <c r="B161" s="34">
        <f t="shared" si="6"/>
        <v>44721</v>
      </c>
      <c r="C161" s="35">
        <v>6.0</v>
      </c>
      <c r="D161" s="35" t="s">
        <v>33</v>
      </c>
      <c r="E161" s="87" t="s">
        <v>35</v>
      </c>
      <c r="F161" s="23"/>
      <c r="H161" s="24"/>
      <c r="J161" s="24"/>
      <c r="L161" s="25"/>
      <c r="N161" s="26"/>
      <c r="P161" s="86"/>
      <c r="R161" s="26"/>
      <c r="T161" s="24"/>
      <c r="V161" s="24"/>
      <c r="W161" s="27"/>
      <c r="X161" s="23"/>
      <c r="Z161" s="24"/>
      <c r="AB161" s="24"/>
      <c r="AD161" s="24"/>
      <c r="AF161" s="24"/>
      <c r="AH161" s="24"/>
      <c r="AI161" s="27"/>
      <c r="AJ161" s="39">
        <f t="shared" si="1"/>
        <v>0</v>
      </c>
      <c r="AK161" s="35">
        <f t="shared" si="2"/>
        <v>0</v>
      </c>
      <c r="AL161" s="35" t="str">
        <f t="shared" si="3"/>
        <v/>
      </c>
      <c r="AM161" s="35">
        <f t="shared" si="4"/>
        <v>0</v>
      </c>
      <c r="AN161" s="40" t="str">
        <f t="shared" si="5"/>
        <v/>
      </c>
    </row>
    <row r="162" ht="15.75" customHeight="1">
      <c r="A162" s="32" t="s">
        <v>30</v>
      </c>
      <c r="B162" s="34">
        <f t="shared" si="6"/>
        <v>44722</v>
      </c>
      <c r="C162" s="35">
        <v>6.0</v>
      </c>
      <c r="D162" s="35" t="s">
        <v>33</v>
      </c>
      <c r="E162" s="87" t="s">
        <v>35</v>
      </c>
      <c r="F162" s="23"/>
      <c r="H162" s="24"/>
      <c r="J162" s="24"/>
      <c r="L162" s="25"/>
      <c r="N162" s="26"/>
      <c r="P162" s="86"/>
      <c r="R162" s="26"/>
      <c r="T162" s="24"/>
      <c r="V162" s="24"/>
      <c r="W162" s="27"/>
      <c r="X162" s="23"/>
      <c r="Z162" s="24"/>
      <c r="AB162" s="24"/>
      <c r="AD162" s="24"/>
      <c r="AF162" s="24"/>
      <c r="AH162" s="24"/>
      <c r="AI162" s="27"/>
      <c r="AJ162" s="39">
        <f t="shared" si="1"/>
        <v>0</v>
      </c>
      <c r="AK162" s="35">
        <f t="shared" si="2"/>
        <v>0</v>
      </c>
      <c r="AL162" s="35" t="str">
        <f t="shared" si="3"/>
        <v/>
      </c>
      <c r="AM162" s="35">
        <f t="shared" si="4"/>
        <v>0</v>
      </c>
      <c r="AN162" s="40" t="str">
        <f t="shared" si="5"/>
        <v/>
      </c>
    </row>
    <row r="163" ht="15.75" customHeight="1">
      <c r="A163" s="48" t="s">
        <v>31</v>
      </c>
      <c r="B163" s="50">
        <f t="shared" si="6"/>
        <v>44723</v>
      </c>
      <c r="C163" s="51">
        <v>6.0</v>
      </c>
      <c r="D163" s="51" t="s">
        <v>33</v>
      </c>
      <c r="E163" s="88" t="s">
        <v>35</v>
      </c>
      <c r="F163" s="54"/>
      <c r="G163" s="56"/>
      <c r="H163" s="57"/>
      <c r="I163" s="56"/>
      <c r="J163" s="57"/>
      <c r="K163" s="56"/>
      <c r="L163" s="58"/>
      <c r="M163" s="56"/>
      <c r="N163" s="59"/>
      <c r="O163" s="56"/>
      <c r="P163" s="89"/>
      <c r="Q163" s="56"/>
      <c r="R163" s="59"/>
      <c r="S163" s="56"/>
      <c r="T163" s="57"/>
      <c r="U163" s="56"/>
      <c r="V163" s="57"/>
      <c r="W163" s="60"/>
      <c r="X163" s="54"/>
      <c r="Y163" s="56"/>
      <c r="Z163" s="57"/>
      <c r="AA163" s="56"/>
      <c r="AB163" s="57"/>
      <c r="AC163" s="56"/>
      <c r="AD163" s="57"/>
      <c r="AE163" s="56"/>
      <c r="AF163" s="57"/>
      <c r="AG163" s="56"/>
      <c r="AH163" s="57"/>
      <c r="AI163" s="60"/>
      <c r="AJ163" s="61">
        <f t="shared" si="1"/>
        <v>0</v>
      </c>
      <c r="AK163" s="51">
        <f t="shared" si="2"/>
        <v>0</v>
      </c>
      <c r="AL163" s="51" t="str">
        <f t="shared" si="3"/>
        <v/>
      </c>
      <c r="AM163" s="51">
        <f t="shared" si="4"/>
        <v>0</v>
      </c>
      <c r="AN163" s="63" t="str">
        <f t="shared" si="5"/>
        <v/>
      </c>
    </row>
    <row r="164" ht="15.75" customHeight="1">
      <c r="A164" s="18" t="s">
        <v>20</v>
      </c>
      <c r="B164" s="64">
        <f t="shared" si="6"/>
        <v>44724</v>
      </c>
      <c r="C164" s="20">
        <v>6.0</v>
      </c>
      <c r="D164" s="20" t="s">
        <v>34</v>
      </c>
      <c r="E164" s="90" t="s">
        <v>35</v>
      </c>
      <c r="F164" s="23"/>
      <c r="H164" s="24"/>
      <c r="J164" s="24"/>
      <c r="L164" s="25"/>
      <c r="N164" s="26"/>
      <c r="P164" s="86"/>
      <c r="R164" s="26"/>
      <c r="T164" s="24"/>
      <c r="V164" s="24"/>
      <c r="W164" s="27"/>
      <c r="X164" s="23"/>
      <c r="Z164" s="24"/>
      <c r="AB164" s="24"/>
      <c r="AD164" s="24"/>
      <c r="AF164" s="24"/>
      <c r="AH164" s="24"/>
      <c r="AI164" s="27"/>
      <c r="AJ164" s="28">
        <f t="shared" si="1"/>
        <v>0</v>
      </c>
      <c r="AK164" s="20">
        <f t="shared" si="2"/>
        <v>0</v>
      </c>
      <c r="AL164" s="20" t="str">
        <f t="shared" si="3"/>
        <v/>
      </c>
      <c r="AM164" s="20">
        <f t="shared" si="4"/>
        <v>0</v>
      </c>
      <c r="AN164" s="31" t="str">
        <f t="shared" si="5"/>
        <v/>
      </c>
    </row>
    <row r="165" ht="15.75" customHeight="1">
      <c r="A165" s="32" t="s">
        <v>22</v>
      </c>
      <c r="B165" s="34">
        <f t="shared" si="6"/>
        <v>44725</v>
      </c>
      <c r="C165" s="35">
        <v>6.0</v>
      </c>
      <c r="D165" s="35" t="s">
        <v>34</v>
      </c>
      <c r="E165" s="87" t="s">
        <v>35</v>
      </c>
      <c r="F165" s="23"/>
      <c r="H165" s="24"/>
      <c r="J165" s="24"/>
      <c r="L165" s="25"/>
      <c r="N165" s="26"/>
      <c r="P165" s="86"/>
      <c r="R165" s="26"/>
      <c r="T165" s="24"/>
      <c r="V165" s="24"/>
      <c r="W165" s="27"/>
      <c r="X165" s="23"/>
      <c r="Z165" s="24"/>
      <c r="AB165" s="24"/>
      <c r="AD165" s="24"/>
      <c r="AF165" s="24"/>
      <c r="AH165" s="24"/>
      <c r="AI165" s="27"/>
      <c r="AJ165" s="39">
        <f t="shared" si="1"/>
        <v>0</v>
      </c>
      <c r="AK165" s="35">
        <f t="shared" si="2"/>
        <v>0</v>
      </c>
      <c r="AL165" s="35" t="str">
        <f t="shared" si="3"/>
        <v/>
      </c>
      <c r="AM165" s="35">
        <f t="shared" si="4"/>
        <v>0</v>
      </c>
      <c r="AN165" s="40" t="str">
        <f t="shared" si="5"/>
        <v/>
      </c>
    </row>
    <row r="166" ht="15.75" customHeight="1">
      <c r="A166" s="32" t="s">
        <v>24</v>
      </c>
      <c r="B166" s="34">
        <f t="shared" si="6"/>
        <v>44726</v>
      </c>
      <c r="C166" s="35">
        <v>6.0</v>
      </c>
      <c r="D166" s="35" t="s">
        <v>34</v>
      </c>
      <c r="E166" s="87" t="s">
        <v>35</v>
      </c>
      <c r="F166" s="23"/>
      <c r="H166" s="24"/>
      <c r="J166" s="24"/>
      <c r="L166" s="25"/>
      <c r="N166" s="26"/>
      <c r="P166" s="86"/>
      <c r="R166" s="26"/>
      <c r="T166" s="24"/>
      <c r="V166" s="24"/>
      <c r="W166" s="27"/>
      <c r="X166" s="23"/>
      <c r="Z166" s="24"/>
      <c r="AB166" s="24"/>
      <c r="AD166" s="24"/>
      <c r="AF166" s="24"/>
      <c r="AH166" s="24"/>
      <c r="AI166" s="27"/>
      <c r="AJ166" s="39">
        <f t="shared" si="1"/>
        <v>0</v>
      </c>
      <c r="AK166" s="35">
        <f t="shared" si="2"/>
        <v>0</v>
      </c>
      <c r="AL166" s="35" t="str">
        <f t="shared" si="3"/>
        <v/>
      </c>
      <c r="AM166" s="35">
        <f t="shared" si="4"/>
        <v>0</v>
      </c>
      <c r="AN166" s="40" t="str">
        <f t="shared" si="5"/>
        <v/>
      </c>
    </row>
    <row r="167" ht="15.75" customHeight="1">
      <c r="A167" s="32" t="s">
        <v>28</v>
      </c>
      <c r="B167" s="34">
        <f t="shared" si="6"/>
        <v>44727</v>
      </c>
      <c r="C167" s="35">
        <v>6.0</v>
      </c>
      <c r="D167" s="35" t="s">
        <v>34</v>
      </c>
      <c r="E167" s="87" t="s">
        <v>35</v>
      </c>
      <c r="F167" s="23"/>
      <c r="H167" s="24"/>
      <c r="J167" s="24"/>
      <c r="L167" s="25"/>
      <c r="N167" s="26"/>
      <c r="P167" s="86"/>
      <c r="R167" s="26"/>
      <c r="T167" s="24"/>
      <c r="V167" s="24"/>
      <c r="W167" s="27"/>
      <c r="X167" s="23"/>
      <c r="Z167" s="24"/>
      <c r="AB167" s="24"/>
      <c r="AD167" s="24"/>
      <c r="AF167" s="24"/>
      <c r="AH167" s="24"/>
      <c r="AI167" s="27"/>
      <c r="AJ167" s="39">
        <f t="shared" si="1"/>
        <v>0</v>
      </c>
      <c r="AK167" s="35">
        <f t="shared" si="2"/>
        <v>0</v>
      </c>
      <c r="AL167" s="35" t="str">
        <f t="shared" si="3"/>
        <v/>
      </c>
      <c r="AM167" s="35">
        <f t="shared" si="4"/>
        <v>0</v>
      </c>
      <c r="AN167" s="40" t="str">
        <f t="shared" si="5"/>
        <v/>
      </c>
    </row>
    <row r="168" ht="15.75" customHeight="1">
      <c r="A168" s="32" t="s">
        <v>29</v>
      </c>
      <c r="B168" s="34">
        <f t="shared" si="6"/>
        <v>44728</v>
      </c>
      <c r="C168" s="35">
        <v>6.0</v>
      </c>
      <c r="D168" s="35" t="s">
        <v>34</v>
      </c>
      <c r="E168" s="87" t="s">
        <v>35</v>
      </c>
      <c r="F168" s="23"/>
      <c r="H168" s="24"/>
      <c r="J168" s="24"/>
      <c r="L168" s="25"/>
      <c r="N168" s="26"/>
      <c r="P168" s="86"/>
      <c r="R168" s="26"/>
      <c r="T168" s="24"/>
      <c r="V168" s="24"/>
      <c r="W168" s="27"/>
      <c r="X168" s="23"/>
      <c r="Z168" s="24"/>
      <c r="AB168" s="24"/>
      <c r="AD168" s="24"/>
      <c r="AF168" s="24"/>
      <c r="AH168" s="24"/>
      <c r="AI168" s="27"/>
      <c r="AJ168" s="39">
        <f t="shared" si="1"/>
        <v>0</v>
      </c>
      <c r="AK168" s="35">
        <f t="shared" si="2"/>
        <v>0</v>
      </c>
      <c r="AL168" s="35" t="str">
        <f t="shared" si="3"/>
        <v/>
      </c>
      <c r="AM168" s="35">
        <f t="shared" si="4"/>
        <v>0</v>
      </c>
      <c r="AN168" s="40" t="str">
        <f t="shared" si="5"/>
        <v/>
      </c>
    </row>
    <row r="169" ht="15.75" customHeight="1">
      <c r="A169" s="32" t="s">
        <v>30</v>
      </c>
      <c r="B169" s="34">
        <f t="shared" si="6"/>
        <v>44729</v>
      </c>
      <c r="C169" s="35">
        <v>6.0</v>
      </c>
      <c r="D169" s="35" t="s">
        <v>34</v>
      </c>
      <c r="E169" s="87" t="s">
        <v>35</v>
      </c>
      <c r="F169" s="23"/>
      <c r="H169" s="24"/>
      <c r="J169" s="24"/>
      <c r="L169" s="25"/>
      <c r="N169" s="26"/>
      <c r="P169" s="86"/>
      <c r="R169" s="26"/>
      <c r="T169" s="24"/>
      <c r="V169" s="24"/>
      <c r="W169" s="27"/>
      <c r="X169" s="23"/>
      <c r="Z169" s="24"/>
      <c r="AB169" s="24"/>
      <c r="AD169" s="24"/>
      <c r="AF169" s="24"/>
      <c r="AH169" s="24"/>
      <c r="AI169" s="27"/>
      <c r="AJ169" s="39">
        <f t="shared" si="1"/>
        <v>0</v>
      </c>
      <c r="AK169" s="35">
        <f t="shared" si="2"/>
        <v>0</v>
      </c>
      <c r="AL169" s="35" t="str">
        <f t="shared" si="3"/>
        <v/>
      </c>
      <c r="AM169" s="35">
        <f t="shared" si="4"/>
        <v>0</v>
      </c>
      <c r="AN169" s="40" t="str">
        <f t="shared" si="5"/>
        <v/>
      </c>
    </row>
    <row r="170" ht="15.75" customHeight="1">
      <c r="A170" s="48" t="s">
        <v>31</v>
      </c>
      <c r="B170" s="50">
        <f t="shared" si="6"/>
        <v>44730</v>
      </c>
      <c r="C170" s="51">
        <v>6.0</v>
      </c>
      <c r="D170" s="51" t="s">
        <v>34</v>
      </c>
      <c r="E170" s="88" t="s">
        <v>35</v>
      </c>
      <c r="F170" s="54"/>
      <c r="G170" s="56"/>
      <c r="H170" s="57"/>
      <c r="I170" s="56"/>
      <c r="J170" s="57"/>
      <c r="K170" s="56"/>
      <c r="L170" s="58"/>
      <c r="M170" s="56"/>
      <c r="N170" s="59"/>
      <c r="O170" s="56"/>
      <c r="P170" s="89"/>
      <c r="Q170" s="56"/>
      <c r="R170" s="59"/>
      <c r="S170" s="56"/>
      <c r="T170" s="57"/>
      <c r="U170" s="56"/>
      <c r="V170" s="57"/>
      <c r="W170" s="60"/>
      <c r="X170" s="54"/>
      <c r="Y170" s="56"/>
      <c r="Z170" s="57"/>
      <c r="AA170" s="56"/>
      <c r="AB170" s="57"/>
      <c r="AC170" s="56"/>
      <c r="AD170" s="57"/>
      <c r="AE170" s="56"/>
      <c r="AF170" s="57"/>
      <c r="AG170" s="56"/>
      <c r="AH170" s="57"/>
      <c r="AI170" s="60"/>
      <c r="AJ170" s="61">
        <f t="shared" si="1"/>
        <v>0</v>
      </c>
      <c r="AK170" s="51">
        <f t="shared" si="2"/>
        <v>0</v>
      </c>
      <c r="AL170" s="51" t="str">
        <f t="shared" si="3"/>
        <v/>
      </c>
      <c r="AM170" s="51">
        <f t="shared" si="4"/>
        <v>0</v>
      </c>
      <c r="AN170" s="63" t="str">
        <f t="shared" si="5"/>
        <v/>
      </c>
    </row>
    <row r="171" ht="15.75" customHeight="1">
      <c r="A171" s="18" t="s">
        <v>20</v>
      </c>
      <c r="B171" s="64">
        <f t="shared" si="6"/>
        <v>44731</v>
      </c>
      <c r="C171" s="20">
        <v>7.0</v>
      </c>
      <c r="D171" s="20" t="s">
        <v>21</v>
      </c>
      <c r="E171" s="90" t="s">
        <v>35</v>
      </c>
      <c r="F171" s="23"/>
      <c r="H171" s="24"/>
      <c r="J171" s="24"/>
      <c r="L171" s="25"/>
      <c r="N171" s="26"/>
      <c r="P171" s="86"/>
      <c r="R171" s="26"/>
      <c r="T171" s="24"/>
      <c r="V171" s="24"/>
      <c r="W171" s="27"/>
      <c r="X171" s="23"/>
      <c r="Z171" s="24"/>
      <c r="AB171" s="24"/>
      <c r="AD171" s="24"/>
      <c r="AF171" s="24"/>
      <c r="AH171" s="24"/>
      <c r="AI171" s="27"/>
      <c r="AJ171" s="28">
        <f t="shared" si="1"/>
        <v>0</v>
      </c>
      <c r="AK171" s="20">
        <f t="shared" si="2"/>
        <v>0</v>
      </c>
      <c r="AL171" s="20" t="str">
        <f t="shared" si="3"/>
        <v/>
      </c>
      <c r="AM171" s="20">
        <f t="shared" si="4"/>
        <v>0</v>
      </c>
      <c r="AN171" s="31" t="str">
        <f t="shared" si="5"/>
        <v/>
      </c>
    </row>
    <row r="172" ht="15.75" customHeight="1">
      <c r="A172" s="32" t="s">
        <v>22</v>
      </c>
      <c r="B172" s="34">
        <f t="shared" si="6"/>
        <v>44732</v>
      </c>
      <c r="C172" s="35">
        <v>7.0</v>
      </c>
      <c r="D172" s="35" t="s">
        <v>21</v>
      </c>
      <c r="E172" s="87" t="s">
        <v>35</v>
      </c>
      <c r="F172" s="23"/>
      <c r="H172" s="24"/>
      <c r="J172" s="24"/>
      <c r="L172" s="25"/>
      <c r="N172" s="26"/>
      <c r="P172" s="86"/>
      <c r="R172" s="26"/>
      <c r="T172" s="24"/>
      <c r="V172" s="24"/>
      <c r="W172" s="27"/>
      <c r="X172" s="23"/>
      <c r="Z172" s="24"/>
      <c r="AB172" s="24"/>
      <c r="AD172" s="24"/>
      <c r="AF172" s="24"/>
      <c r="AH172" s="24"/>
      <c r="AI172" s="27"/>
      <c r="AJ172" s="39">
        <f t="shared" si="1"/>
        <v>0</v>
      </c>
      <c r="AK172" s="35">
        <f t="shared" si="2"/>
        <v>0</v>
      </c>
      <c r="AL172" s="35" t="str">
        <f t="shared" si="3"/>
        <v/>
      </c>
      <c r="AM172" s="35">
        <f t="shared" si="4"/>
        <v>0</v>
      </c>
      <c r="AN172" s="40" t="str">
        <f t="shared" si="5"/>
        <v/>
      </c>
    </row>
    <row r="173" ht="15.75" customHeight="1">
      <c r="A173" s="32" t="s">
        <v>24</v>
      </c>
      <c r="B173" s="34">
        <f t="shared" si="6"/>
        <v>44733</v>
      </c>
      <c r="C173" s="35">
        <v>7.0</v>
      </c>
      <c r="D173" s="35" t="s">
        <v>21</v>
      </c>
      <c r="E173" s="87" t="s">
        <v>35</v>
      </c>
      <c r="F173" s="23"/>
      <c r="H173" s="24"/>
      <c r="J173" s="24"/>
      <c r="L173" s="25"/>
      <c r="N173" s="26"/>
      <c r="P173" s="86"/>
      <c r="R173" s="26"/>
      <c r="T173" s="24"/>
      <c r="V173" s="24"/>
      <c r="W173" s="27"/>
      <c r="X173" s="23"/>
      <c r="Z173" s="24"/>
      <c r="AB173" s="24"/>
      <c r="AD173" s="24"/>
      <c r="AF173" s="24"/>
      <c r="AH173" s="24"/>
      <c r="AI173" s="27"/>
      <c r="AJ173" s="39">
        <f t="shared" si="1"/>
        <v>0</v>
      </c>
      <c r="AK173" s="35">
        <f t="shared" si="2"/>
        <v>0</v>
      </c>
      <c r="AL173" s="35" t="str">
        <f t="shared" si="3"/>
        <v/>
      </c>
      <c r="AM173" s="35">
        <f t="shared" si="4"/>
        <v>0</v>
      </c>
      <c r="AN173" s="40" t="str">
        <f t="shared" si="5"/>
        <v/>
      </c>
    </row>
    <row r="174" ht="15.75" customHeight="1">
      <c r="A174" s="32" t="s">
        <v>28</v>
      </c>
      <c r="B174" s="34">
        <f t="shared" si="6"/>
        <v>44734</v>
      </c>
      <c r="C174" s="35">
        <v>7.0</v>
      </c>
      <c r="D174" s="35" t="s">
        <v>21</v>
      </c>
      <c r="E174" s="87" t="s">
        <v>35</v>
      </c>
      <c r="F174" s="23"/>
      <c r="H174" s="24"/>
      <c r="J174" s="24"/>
      <c r="L174" s="25"/>
      <c r="N174" s="26"/>
      <c r="P174" s="86"/>
      <c r="R174" s="26"/>
      <c r="T174" s="24"/>
      <c r="V174" s="24"/>
      <c r="W174" s="27"/>
      <c r="X174" s="23"/>
      <c r="Z174" s="24"/>
      <c r="AB174" s="24"/>
      <c r="AD174" s="24"/>
      <c r="AF174" s="24"/>
      <c r="AH174" s="24"/>
      <c r="AI174" s="27"/>
      <c r="AJ174" s="39">
        <f t="shared" si="1"/>
        <v>0</v>
      </c>
      <c r="AK174" s="35">
        <f t="shared" si="2"/>
        <v>0</v>
      </c>
      <c r="AL174" s="35" t="str">
        <f t="shared" si="3"/>
        <v/>
      </c>
      <c r="AM174" s="35">
        <f t="shared" si="4"/>
        <v>0</v>
      </c>
      <c r="AN174" s="40" t="str">
        <f t="shared" si="5"/>
        <v/>
      </c>
    </row>
    <row r="175" ht="15.75" customHeight="1">
      <c r="A175" s="32" t="s">
        <v>29</v>
      </c>
      <c r="B175" s="34">
        <f t="shared" si="6"/>
        <v>44735</v>
      </c>
      <c r="C175" s="35">
        <v>7.0</v>
      </c>
      <c r="D175" s="35" t="s">
        <v>21</v>
      </c>
      <c r="E175" s="87" t="s">
        <v>35</v>
      </c>
      <c r="F175" s="23"/>
      <c r="H175" s="24"/>
      <c r="J175" s="24"/>
      <c r="L175" s="25"/>
      <c r="N175" s="26"/>
      <c r="P175" s="86"/>
      <c r="R175" s="26"/>
      <c r="T175" s="24"/>
      <c r="V175" s="24"/>
      <c r="W175" s="27"/>
      <c r="X175" s="23"/>
      <c r="Z175" s="24"/>
      <c r="AB175" s="24"/>
      <c r="AD175" s="24"/>
      <c r="AF175" s="24"/>
      <c r="AH175" s="24"/>
      <c r="AI175" s="27"/>
      <c r="AJ175" s="39">
        <f t="shared" si="1"/>
        <v>0</v>
      </c>
      <c r="AK175" s="35">
        <f t="shared" si="2"/>
        <v>0</v>
      </c>
      <c r="AL175" s="35" t="str">
        <f t="shared" si="3"/>
        <v/>
      </c>
      <c r="AM175" s="35">
        <f t="shared" si="4"/>
        <v>0</v>
      </c>
      <c r="AN175" s="40" t="str">
        <f t="shared" si="5"/>
        <v/>
      </c>
    </row>
    <row r="176" ht="15.75" customHeight="1">
      <c r="A176" s="32" t="s">
        <v>30</v>
      </c>
      <c r="B176" s="34">
        <f t="shared" si="6"/>
        <v>44736</v>
      </c>
      <c r="C176" s="35">
        <v>7.0</v>
      </c>
      <c r="D176" s="35" t="s">
        <v>21</v>
      </c>
      <c r="E176" s="87" t="s">
        <v>35</v>
      </c>
      <c r="F176" s="23"/>
      <c r="H176" s="24"/>
      <c r="J176" s="24"/>
      <c r="L176" s="25"/>
      <c r="N176" s="26"/>
      <c r="P176" s="86"/>
      <c r="R176" s="26"/>
      <c r="T176" s="24"/>
      <c r="V176" s="24"/>
      <c r="W176" s="27"/>
      <c r="X176" s="23"/>
      <c r="Z176" s="24"/>
      <c r="AB176" s="24"/>
      <c r="AD176" s="24"/>
      <c r="AF176" s="24"/>
      <c r="AH176" s="24"/>
      <c r="AI176" s="27"/>
      <c r="AJ176" s="39">
        <f t="shared" si="1"/>
        <v>0</v>
      </c>
      <c r="AK176" s="35">
        <f t="shared" si="2"/>
        <v>0</v>
      </c>
      <c r="AL176" s="35" t="str">
        <f t="shared" si="3"/>
        <v/>
      </c>
      <c r="AM176" s="35">
        <f t="shared" si="4"/>
        <v>0</v>
      </c>
      <c r="AN176" s="40" t="str">
        <f t="shared" si="5"/>
        <v/>
      </c>
    </row>
    <row r="177" ht="15.75" customHeight="1">
      <c r="A177" s="48" t="s">
        <v>31</v>
      </c>
      <c r="B177" s="50">
        <f t="shared" si="6"/>
        <v>44737</v>
      </c>
      <c r="C177" s="51">
        <v>7.0</v>
      </c>
      <c r="D177" s="51" t="s">
        <v>21</v>
      </c>
      <c r="E177" s="88" t="s">
        <v>35</v>
      </c>
      <c r="F177" s="54"/>
      <c r="G177" s="56"/>
      <c r="H177" s="57"/>
      <c r="I177" s="56"/>
      <c r="J177" s="57"/>
      <c r="K177" s="56"/>
      <c r="L177" s="58"/>
      <c r="M177" s="56"/>
      <c r="N177" s="59"/>
      <c r="O177" s="56"/>
      <c r="P177" s="89"/>
      <c r="Q177" s="56"/>
      <c r="R177" s="59"/>
      <c r="S177" s="56"/>
      <c r="T177" s="57"/>
      <c r="U177" s="56"/>
      <c r="V177" s="57"/>
      <c r="W177" s="60"/>
      <c r="X177" s="54"/>
      <c r="Y177" s="56"/>
      <c r="Z177" s="57"/>
      <c r="AA177" s="56"/>
      <c r="AB177" s="57"/>
      <c r="AC177" s="56"/>
      <c r="AD177" s="57"/>
      <c r="AE177" s="56"/>
      <c r="AF177" s="57"/>
      <c r="AG177" s="56"/>
      <c r="AH177" s="57"/>
      <c r="AI177" s="60"/>
      <c r="AJ177" s="61">
        <f t="shared" si="1"/>
        <v>0</v>
      </c>
      <c r="AK177" s="51">
        <f t="shared" si="2"/>
        <v>0</v>
      </c>
      <c r="AL177" s="51" t="str">
        <f t="shared" si="3"/>
        <v/>
      </c>
      <c r="AM177" s="51">
        <f t="shared" si="4"/>
        <v>0</v>
      </c>
      <c r="AN177" s="63" t="str">
        <f t="shared" si="5"/>
        <v/>
      </c>
    </row>
    <row r="178" ht="15.75" customHeight="1">
      <c r="A178" s="18" t="s">
        <v>20</v>
      </c>
      <c r="B178" s="64">
        <f t="shared" si="6"/>
        <v>44738</v>
      </c>
      <c r="C178" s="20">
        <v>7.0</v>
      </c>
      <c r="D178" s="20" t="s">
        <v>32</v>
      </c>
      <c r="E178" s="90" t="s">
        <v>35</v>
      </c>
      <c r="F178" s="23"/>
      <c r="H178" s="24"/>
      <c r="J178" s="24"/>
      <c r="L178" s="25"/>
      <c r="N178" s="26"/>
      <c r="P178" s="86"/>
      <c r="R178" s="26"/>
      <c r="T178" s="24"/>
      <c r="V178" s="24"/>
      <c r="W178" s="27"/>
      <c r="X178" s="23"/>
      <c r="Z178" s="24"/>
      <c r="AB178" s="24"/>
      <c r="AD178" s="24"/>
      <c r="AF178" s="24"/>
      <c r="AH178" s="24"/>
      <c r="AI178" s="27"/>
      <c r="AJ178" s="28">
        <f t="shared" si="1"/>
        <v>0</v>
      </c>
      <c r="AK178" s="20">
        <f t="shared" si="2"/>
        <v>0</v>
      </c>
      <c r="AL178" s="20" t="str">
        <f t="shared" si="3"/>
        <v/>
      </c>
      <c r="AM178" s="20">
        <f t="shared" si="4"/>
        <v>0</v>
      </c>
      <c r="AN178" s="31" t="str">
        <f t="shared" si="5"/>
        <v/>
      </c>
    </row>
    <row r="179" ht="15.75" customHeight="1">
      <c r="A179" s="32" t="s">
        <v>22</v>
      </c>
      <c r="B179" s="34">
        <f t="shared" si="6"/>
        <v>44739</v>
      </c>
      <c r="C179" s="35">
        <v>7.0</v>
      </c>
      <c r="D179" s="35" t="s">
        <v>32</v>
      </c>
      <c r="E179" s="87" t="s">
        <v>35</v>
      </c>
      <c r="F179" s="23"/>
      <c r="H179" s="24"/>
      <c r="J179" s="24"/>
      <c r="L179" s="25"/>
      <c r="N179" s="26"/>
      <c r="P179" s="86"/>
      <c r="R179" s="26"/>
      <c r="T179" s="24"/>
      <c r="V179" s="24"/>
      <c r="W179" s="27"/>
      <c r="X179" s="23"/>
      <c r="Z179" s="24"/>
      <c r="AB179" s="24"/>
      <c r="AD179" s="24"/>
      <c r="AF179" s="24"/>
      <c r="AH179" s="24"/>
      <c r="AI179" s="27"/>
      <c r="AJ179" s="39">
        <f t="shared" si="1"/>
        <v>0</v>
      </c>
      <c r="AK179" s="35">
        <f t="shared" si="2"/>
        <v>0</v>
      </c>
      <c r="AL179" s="35" t="str">
        <f t="shared" si="3"/>
        <v/>
      </c>
      <c r="AM179" s="35">
        <f t="shared" si="4"/>
        <v>0</v>
      </c>
      <c r="AN179" s="40" t="str">
        <f t="shared" si="5"/>
        <v/>
      </c>
    </row>
    <row r="180" ht="15.75" customHeight="1">
      <c r="A180" s="32" t="s">
        <v>24</v>
      </c>
      <c r="B180" s="34">
        <f t="shared" si="6"/>
        <v>44740</v>
      </c>
      <c r="C180" s="35">
        <v>7.0</v>
      </c>
      <c r="D180" s="35" t="s">
        <v>32</v>
      </c>
      <c r="E180" s="87" t="s">
        <v>35</v>
      </c>
      <c r="F180" s="23"/>
      <c r="H180" s="24"/>
      <c r="J180" s="24"/>
      <c r="L180" s="25"/>
      <c r="N180" s="26"/>
      <c r="P180" s="86"/>
      <c r="R180" s="26"/>
      <c r="T180" s="24"/>
      <c r="V180" s="24"/>
      <c r="W180" s="27"/>
      <c r="X180" s="23"/>
      <c r="Z180" s="24"/>
      <c r="AB180" s="24"/>
      <c r="AD180" s="24"/>
      <c r="AF180" s="24"/>
      <c r="AH180" s="24"/>
      <c r="AI180" s="27"/>
      <c r="AJ180" s="39">
        <f t="shared" si="1"/>
        <v>0</v>
      </c>
      <c r="AK180" s="35">
        <f t="shared" si="2"/>
        <v>0</v>
      </c>
      <c r="AL180" s="35" t="str">
        <f t="shared" si="3"/>
        <v/>
      </c>
      <c r="AM180" s="35">
        <f t="shared" si="4"/>
        <v>0</v>
      </c>
      <c r="AN180" s="40" t="str">
        <f t="shared" si="5"/>
        <v/>
      </c>
    </row>
    <row r="181" ht="15.75" customHeight="1">
      <c r="A181" s="32" t="s">
        <v>28</v>
      </c>
      <c r="B181" s="34">
        <f t="shared" si="6"/>
        <v>44741</v>
      </c>
      <c r="C181" s="35">
        <v>7.0</v>
      </c>
      <c r="D181" s="35" t="s">
        <v>32</v>
      </c>
      <c r="E181" s="87" t="s">
        <v>35</v>
      </c>
      <c r="F181" s="23"/>
      <c r="H181" s="24"/>
      <c r="J181" s="24"/>
      <c r="L181" s="25"/>
      <c r="N181" s="26"/>
      <c r="P181" s="86"/>
      <c r="R181" s="26"/>
      <c r="T181" s="24"/>
      <c r="V181" s="24"/>
      <c r="W181" s="27"/>
      <c r="X181" s="23"/>
      <c r="Z181" s="24"/>
      <c r="AB181" s="24"/>
      <c r="AD181" s="24"/>
      <c r="AF181" s="24"/>
      <c r="AH181" s="24"/>
      <c r="AI181" s="27"/>
      <c r="AJ181" s="39">
        <f t="shared" si="1"/>
        <v>0</v>
      </c>
      <c r="AK181" s="35">
        <f t="shared" si="2"/>
        <v>0</v>
      </c>
      <c r="AL181" s="35" t="str">
        <f t="shared" si="3"/>
        <v/>
      </c>
      <c r="AM181" s="35">
        <f t="shared" si="4"/>
        <v>0</v>
      </c>
      <c r="AN181" s="40" t="str">
        <f t="shared" si="5"/>
        <v/>
      </c>
    </row>
    <row r="182" ht="15.75" customHeight="1">
      <c r="A182" s="32" t="s">
        <v>29</v>
      </c>
      <c r="B182" s="34">
        <f t="shared" si="6"/>
        <v>44742</v>
      </c>
      <c r="C182" s="35">
        <v>7.0</v>
      </c>
      <c r="D182" s="35" t="s">
        <v>32</v>
      </c>
      <c r="E182" s="87" t="s">
        <v>35</v>
      </c>
      <c r="F182" s="23"/>
      <c r="H182" s="24"/>
      <c r="J182" s="24"/>
      <c r="L182" s="25"/>
      <c r="N182" s="26"/>
      <c r="P182" s="86"/>
      <c r="R182" s="26"/>
      <c r="T182" s="24"/>
      <c r="V182" s="24"/>
      <c r="W182" s="27"/>
      <c r="X182" s="23"/>
      <c r="Z182" s="24"/>
      <c r="AB182" s="24"/>
      <c r="AD182" s="24"/>
      <c r="AF182" s="24"/>
      <c r="AH182" s="24"/>
      <c r="AI182" s="27"/>
      <c r="AJ182" s="39">
        <f t="shared" si="1"/>
        <v>0</v>
      </c>
      <c r="AK182" s="35">
        <f t="shared" si="2"/>
        <v>0</v>
      </c>
      <c r="AL182" s="35" t="str">
        <f t="shared" si="3"/>
        <v/>
      </c>
      <c r="AM182" s="35">
        <f t="shared" si="4"/>
        <v>0</v>
      </c>
      <c r="AN182" s="40" t="str">
        <f t="shared" si="5"/>
        <v/>
      </c>
    </row>
    <row r="183" ht="15.75" customHeight="1">
      <c r="A183" s="32" t="s">
        <v>30</v>
      </c>
      <c r="B183" s="34">
        <f t="shared" si="6"/>
        <v>44743</v>
      </c>
      <c r="C183" s="35">
        <v>7.0</v>
      </c>
      <c r="D183" s="35" t="s">
        <v>32</v>
      </c>
      <c r="E183" s="87" t="s">
        <v>35</v>
      </c>
      <c r="F183" s="23"/>
      <c r="H183" s="24"/>
      <c r="J183" s="24"/>
      <c r="L183" s="25"/>
      <c r="N183" s="26"/>
      <c r="P183" s="86"/>
      <c r="R183" s="26"/>
      <c r="T183" s="24"/>
      <c r="V183" s="24"/>
      <c r="W183" s="27"/>
      <c r="X183" s="23"/>
      <c r="Z183" s="24"/>
      <c r="AB183" s="24"/>
      <c r="AD183" s="24"/>
      <c r="AF183" s="24"/>
      <c r="AH183" s="24"/>
      <c r="AI183" s="27"/>
      <c r="AJ183" s="39">
        <f t="shared" si="1"/>
        <v>0</v>
      </c>
      <c r="AK183" s="35">
        <f t="shared" si="2"/>
        <v>0</v>
      </c>
      <c r="AL183" s="35" t="str">
        <f t="shared" si="3"/>
        <v/>
      </c>
      <c r="AM183" s="35">
        <f t="shared" si="4"/>
        <v>0</v>
      </c>
      <c r="AN183" s="40" t="str">
        <f t="shared" si="5"/>
        <v/>
      </c>
    </row>
    <row r="184" ht="15.75" customHeight="1">
      <c r="A184" s="48" t="s">
        <v>31</v>
      </c>
      <c r="B184" s="50">
        <f t="shared" si="6"/>
        <v>44744</v>
      </c>
      <c r="C184" s="51">
        <v>7.0</v>
      </c>
      <c r="D184" s="51" t="s">
        <v>32</v>
      </c>
      <c r="E184" s="88" t="s">
        <v>35</v>
      </c>
      <c r="F184" s="54"/>
      <c r="G184" s="56"/>
      <c r="H184" s="57"/>
      <c r="I184" s="56"/>
      <c r="J184" s="57"/>
      <c r="K184" s="56"/>
      <c r="L184" s="58"/>
      <c r="M184" s="56"/>
      <c r="N184" s="59"/>
      <c r="O184" s="56"/>
      <c r="P184" s="89"/>
      <c r="Q184" s="56"/>
      <c r="R184" s="59"/>
      <c r="S184" s="56"/>
      <c r="T184" s="57"/>
      <c r="U184" s="56"/>
      <c r="V184" s="57"/>
      <c r="W184" s="60"/>
      <c r="X184" s="54"/>
      <c r="Y184" s="56"/>
      <c r="Z184" s="57"/>
      <c r="AA184" s="56"/>
      <c r="AB184" s="57"/>
      <c r="AC184" s="56"/>
      <c r="AD184" s="57"/>
      <c r="AE184" s="56"/>
      <c r="AF184" s="57"/>
      <c r="AG184" s="56"/>
      <c r="AH184" s="57"/>
      <c r="AI184" s="60"/>
      <c r="AJ184" s="61">
        <f t="shared" si="1"/>
        <v>0</v>
      </c>
      <c r="AK184" s="51">
        <f t="shared" si="2"/>
        <v>0</v>
      </c>
      <c r="AL184" s="51" t="str">
        <f t="shared" si="3"/>
        <v/>
      </c>
      <c r="AM184" s="51">
        <f t="shared" si="4"/>
        <v>0</v>
      </c>
      <c r="AN184" s="63" t="str">
        <f t="shared" si="5"/>
        <v/>
      </c>
    </row>
    <row r="185" ht="15.75" customHeight="1">
      <c r="A185" s="18" t="s">
        <v>20</v>
      </c>
      <c r="B185" s="64">
        <f t="shared" si="6"/>
        <v>44745</v>
      </c>
      <c r="C185" s="20">
        <v>7.0</v>
      </c>
      <c r="D185" s="20" t="s">
        <v>33</v>
      </c>
      <c r="E185" s="90" t="s">
        <v>35</v>
      </c>
      <c r="F185" s="23"/>
      <c r="H185" s="24"/>
      <c r="J185" s="24"/>
      <c r="L185" s="25"/>
      <c r="N185" s="26"/>
      <c r="P185" s="86"/>
      <c r="R185" s="26"/>
      <c r="T185" s="24"/>
      <c r="V185" s="24"/>
      <c r="W185" s="27"/>
      <c r="X185" s="23"/>
      <c r="Z185" s="24"/>
      <c r="AB185" s="24"/>
      <c r="AD185" s="24"/>
      <c r="AF185" s="24"/>
      <c r="AH185" s="24"/>
      <c r="AI185" s="27"/>
      <c r="AJ185" s="28">
        <f t="shared" si="1"/>
        <v>0</v>
      </c>
      <c r="AK185" s="20">
        <f t="shared" si="2"/>
        <v>0</v>
      </c>
      <c r="AL185" s="20" t="str">
        <f t="shared" si="3"/>
        <v/>
      </c>
      <c r="AM185" s="20">
        <f t="shared" si="4"/>
        <v>0</v>
      </c>
      <c r="AN185" s="31" t="str">
        <f t="shared" si="5"/>
        <v/>
      </c>
    </row>
    <row r="186" ht="15.75" customHeight="1">
      <c r="A186" s="32" t="s">
        <v>22</v>
      </c>
      <c r="B186" s="34">
        <f t="shared" si="6"/>
        <v>44746</v>
      </c>
      <c r="C186" s="35">
        <v>7.0</v>
      </c>
      <c r="D186" s="35" t="s">
        <v>33</v>
      </c>
      <c r="E186" s="87" t="s">
        <v>35</v>
      </c>
      <c r="F186" s="23"/>
      <c r="H186" s="24"/>
      <c r="J186" s="24"/>
      <c r="L186" s="25"/>
      <c r="N186" s="26"/>
      <c r="P186" s="86"/>
      <c r="R186" s="26"/>
      <c r="T186" s="24"/>
      <c r="V186" s="24"/>
      <c r="W186" s="27"/>
      <c r="X186" s="23"/>
      <c r="Z186" s="24"/>
      <c r="AB186" s="24"/>
      <c r="AD186" s="24"/>
      <c r="AF186" s="24"/>
      <c r="AH186" s="24"/>
      <c r="AI186" s="27"/>
      <c r="AJ186" s="39">
        <f t="shared" si="1"/>
        <v>0</v>
      </c>
      <c r="AK186" s="35">
        <f t="shared" si="2"/>
        <v>0</v>
      </c>
      <c r="AL186" s="35" t="str">
        <f t="shared" si="3"/>
        <v/>
      </c>
      <c r="AM186" s="35">
        <f t="shared" si="4"/>
        <v>0</v>
      </c>
      <c r="AN186" s="40" t="str">
        <f t="shared" si="5"/>
        <v/>
      </c>
    </row>
    <row r="187" ht="15.75" customHeight="1">
      <c r="A187" s="32" t="s">
        <v>24</v>
      </c>
      <c r="B187" s="34">
        <f t="shared" si="6"/>
        <v>44747</v>
      </c>
      <c r="C187" s="35">
        <v>7.0</v>
      </c>
      <c r="D187" s="35" t="s">
        <v>33</v>
      </c>
      <c r="E187" s="87" t="s">
        <v>35</v>
      </c>
      <c r="F187" s="23"/>
      <c r="H187" s="24"/>
      <c r="J187" s="24"/>
      <c r="L187" s="25"/>
      <c r="N187" s="26"/>
      <c r="P187" s="86"/>
      <c r="R187" s="26"/>
      <c r="T187" s="24"/>
      <c r="V187" s="24"/>
      <c r="W187" s="27"/>
      <c r="X187" s="23"/>
      <c r="Z187" s="24"/>
      <c r="AB187" s="24"/>
      <c r="AD187" s="24"/>
      <c r="AF187" s="24"/>
      <c r="AH187" s="24"/>
      <c r="AI187" s="27"/>
      <c r="AJ187" s="39">
        <f t="shared" si="1"/>
        <v>0</v>
      </c>
      <c r="AK187" s="35">
        <f t="shared" si="2"/>
        <v>0</v>
      </c>
      <c r="AL187" s="35" t="str">
        <f t="shared" si="3"/>
        <v/>
      </c>
      <c r="AM187" s="35">
        <f t="shared" si="4"/>
        <v>0</v>
      </c>
      <c r="AN187" s="40" t="str">
        <f t="shared" si="5"/>
        <v/>
      </c>
    </row>
    <row r="188" ht="15.75" customHeight="1">
      <c r="A188" s="32" t="s">
        <v>28</v>
      </c>
      <c r="B188" s="34">
        <f t="shared" si="6"/>
        <v>44748</v>
      </c>
      <c r="C188" s="35">
        <v>7.0</v>
      </c>
      <c r="D188" s="35" t="s">
        <v>33</v>
      </c>
      <c r="E188" s="87" t="s">
        <v>35</v>
      </c>
      <c r="F188" s="23"/>
      <c r="H188" s="24"/>
      <c r="J188" s="24"/>
      <c r="L188" s="25"/>
      <c r="N188" s="26"/>
      <c r="P188" s="86"/>
      <c r="R188" s="26"/>
      <c r="T188" s="24"/>
      <c r="V188" s="24"/>
      <c r="W188" s="27"/>
      <c r="X188" s="23"/>
      <c r="Z188" s="24"/>
      <c r="AB188" s="24"/>
      <c r="AD188" s="24"/>
      <c r="AF188" s="24"/>
      <c r="AH188" s="24"/>
      <c r="AI188" s="27"/>
      <c r="AJ188" s="39">
        <f t="shared" si="1"/>
        <v>0</v>
      </c>
      <c r="AK188" s="35">
        <f t="shared" si="2"/>
        <v>0</v>
      </c>
      <c r="AL188" s="35" t="str">
        <f t="shared" si="3"/>
        <v/>
      </c>
      <c r="AM188" s="35">
        <f t="shared" si="4"/>
        <v>0</v>
      </c>
      <c r="AN188" s="40" t="str">
        <f t="shared" si="5"/>
        <v/>
      </c>
    </row>
    <row r="189" ht="15.75" customHeight="1">
      <c r="A189" s="32" t="s">
        <v>29</v>
      </c>
      <c r="B189" s="34">
        <f t="shared" si="6"/>
        <v>44749</v>
      </c>
      <c r="C189" s="35">
        <v>7.0</v>
      </c>
      <c r="D189" s="35" t="s">
        <v>33</v>
      </c>
      <c r="E189" s="87" t="s">
        <v>35</v>
      </c>
      <c r="F189" s="23"/>
      <c r="H189" s="24"/>
      <c r="J189" s="24"/>
      <c r="L189" s="25"/>
      <c r="N189" s="26"/>
      <c r="P189" s="86"/>
      <c r="R189" s="26"/>
      <c r="T189" s="24"/>
      <c r="V189" s="24"/>
      <c r="W189" s="27"/>
      <c r="X189" s="23"/>
      <c r="Z189" s="24"/>
      <c r="AB189" s="24"/>
      <c r="AD189" s="24"/>
      <c r="AF189" s="24"/>
      <c r="AH189" s="24"/>
      <c r="AI189" s="27"/>
      <c r="AJ189" s="39">
        <f t="shared" si="1"/>
        <v>0</v>
      </c>
      <c r="AK189" s="35">
        <f t="shared" si="2"/>
        <v>0</v>
      </c>
      <c r="AL189" s="35" t="str">
        <f t="shared" si="3"/>
        <v/>
      </c>
      <c r="AM189" s="35">
        <f t="shared" si="4"/>
        <v>0</v>
      </c>
      <c r="AN189" s="40" t="str">
        <f t="shared" si="5"/>
        <v/>
      </c>
    </row>
    <row r="190" ht="15.75" customHeight="1">
      <c r="A190" s="32" t="s">
        <v>30</v>
      </c>
      <c r="B190" s="34">
        <f t="shared" si="6"/>
        <v>44750</v>
      </c>
      <c r="C190" s="35">
        <v>7.0</v>
      </c>
      <c r="D190" s="35" t="s">
        <v>33</v>
      </c>
      <c r="E190" s="87" t="s">
        <v>35</v>
      </c>
      <c r="F190" s="23"/>
      <c r="H190" s="24"/>
      <c r="J190" s="24"/>
      <c r="L190" s="25"/>
      <c r="N190" s="26"/>
      <c r="P190" s="86"/>
      <c r="R190" s="26"/>
      <c r="T190" s="24"/>
      <c r="V190" s="24"/>
      <c r="W190" s="27"/>
      <c r="X190" s="23"/>
      <c r="Z190" s="24"/>
      <c r="AB190" s="24"/>
      <c r="AD190" s="24"/>
      <c r="AF190" s="24"/>
      <c r="AH190" s="24"/>
      <c r="AI190" s="27"/>
      <c r="AJ190" s="39">
        <f t="shared" si="1"/>
        <v>0</v>
      </c>
      <c r="AK190" s="35">
        <f t="shared" si="2"/>
        <v>0</v>
      </c>
      <c r="AL190" s="35" t="str">
        <f t="shared" si="3"/>
        <v/>
      </c>
      <c r="AM190" s="35">
        <f t="shared" si="4"/>
        <v>0</v>
      </c>
      <c r="AN190" s="40" t="str">
        <f t="shared" si="5"/>
        <v/>
      </c>
    </row>
    <row r="191" ht="15.75" customHeight="1">
      <c r="A191" s="48" t="s">
        <v>31</v>
      </c>
      <c r="B191" s="50">
        <f t="shared" si="6"/>
        <v>44751</v>
      </c>
      <c r="C191" s="51">
        <v>7.0</v>
      </c>
      <c r="D191" s="51" t="s">
        <v>33</v>
      </c>
      <c r="E191" s="88" t="s">
        <v>35</v>
      </c>
      <c r="F191" s="54"/>
      <c r="G191" s="56"/>
      <c r="H191" s="57"/>
      <c r="I191" s="56"/>
      <c r="J191" s="57"/>
      <c r="K191" s="56"/>
      <c r="L191" s="58"/>
      <c r="M191" s="56"/>
      <c r="N191" s="59"/>
      <c r="O191" s="56"/>
      <c r="P191" s="89"/>
      <c r="Q191" s="56"/>
      <c r="R191" s="59"/>
      <c r="S191" s="56"/>
      <c r="T191" s="57"/>
      <c r="U191" s="56"/>
      <c r="V191" s="57"/>
      <c r="W191" s="60"/>
      <c r="X191" s="54"/>
      <c r="Y191" s="56"/>
      <c r="Z191" s="57"/>
      <c r="AA191" s="56"/>
      <c r="AB191" s="57"/>
      <c r="AC191" s="56"/>
      <c r="AD191" s="57"/>
      <c r="AE191" s="56"/>
      <c r="AF191" s="57"/>
      <c r="AG191" s="56"/>
      <c r="AH191" s="57"/>
      <c r="AI191" s="60"/>
      <c r="AJ191" s="61">
        <f t="shared" si="1"/>
        <v>0</v>
      </c>
      <c r="AK191" s="51">
        <f t="shared" si="2"/>
        <v>0</v>
      </c>
      <c r="AL191" s="51" t="str">
        <f t="shared" si="3"/>
        <v/>
      </c>
      <c r="AM191" s="51">
        <f t="shared" si="4"/>
        <v>0</v>
      </c>
      <c r="AN191" s="63" t="str">
        <f t="shared" si="5"/>
        <v/>
      </c>
    </row>
    <row r="192" ht="15.75" customHeight="1">
      <c r="A192" s="18" t="s">
        <v>20</v>
      </c>
      <c r="B192" s="64">
        <f t="shared" si="6"/>
        <v>44752</v>
      </c>
      <c r="C192" s="20">
        <v>7.0</v>
      </c>
      <c r="D192" s="20" t="s">
        <v>34</v>
      </c>
      <c r="E192" s="90" t="s">
        <v>35</v>
      </c>
      <c r="F192" s="23"/>
      <c r="H192" s="24"/>
      <c r="J192" s="24"/>
      <c r="L192" s="25"/>
      <c r="N192" s="26"/>
      <c r="P192" s="86"/>
      <c r="R192" s="26"/>
      <c r="T192" s="24"/>
      <c r="V192" s="24"/>
      <c r="W192" s="27"/>
      <c r="X192" s="23"/>
      <c r="Z192" s="24"/>
      <c r="AB192" s="24"/>
      <c r="AD192" s="24"/>
      <c r="AF192" s="24"/>
      <c r="AH192" s="24"/>
      <c r="AI192" s="27"/>
      <c r="AJ192" s="28">
        <f t="shared" si="1"/>
        <v>0</v>
      </c>
      <c r="AK192" s="20">
        <f t="shared" si="2"/>
        <v>0</v>
      </c>
      <c r="AL192" s="20" t="str">
        <f t="shared" si="3"/>
        <v/>
      </c>
      <c r="AM192" s="20">
        <f t="shared" si="4"/>
        <v>0</v>
      </c>
      <c r="AN192" s="31" t="str">
        <f t="shared" si="5"/>
        <v/>
      </c>
    </row>
    <row r="193" ht="15.75" customHeight="1">
      <c r="A193" s="32" t="s">
        <v>22</v>
      </c>
      <c r="B193" s="34">
        <f t="shared" si="6"/>
        <v>44753</v>
      </c>
      <c r="C193" s="35">
        <v>7.0</v>
      </c>
      <c r="D193" s="35" t="s">
        <v>34</v>
      </c>
      <c r="E193" s="87" t="s">
        <v>35</v>
      </c>
      <c r="F193" s="23"/>
      <c r="H193" s="24"/>
      <c r="J193" s="24"/>
      <c r="L193" s="25"/>
      <c r="N193" s="26"/>
      <c r="P193" s="86"/>
      <c r="R193" s="26"/>
      <c r="T193" s="24"/>
      <c r="V193" s="24"/>
      <c r="W193" s="27"/>
      <c r="X193" s="23"/>
      <c r="Z193" s="24"/>
      <c r="AB193" s="24"/>
      <c r="AD193" s="24"/>
      <c r="AF193" s="24"/>
      <c r="AH193" s="24"/>
      <c r="AI193" s="27"/>
      <c r="AJ193" s="39">
        <f t="shared" si="1"/>
        <v>0</v>
      </c>
      <c r="AK193" s="35">
        <f t="shared" si="2"/>
        <v>0</v>
      </c>
      <c r="AL193" s="35" t="str">
        <f t="shared" si="3"/>
        <v/>
      </c>
      <c r="AM193" s="35">
        <f t="shared" si="4"/>
        <v>0</v>
      </c>
      <c r="AN193" s="40" t="str">
        <f t="shared" si="5"/>
        <v/>
      </c>
    </row>
    <row r="194" ht="15.75" customHeight="1">
      <c r="A194" s="32" t="s">
        <v>24</v>
      </c>
      <c r="B194" s="34">
        <f t="shared" si="6"/>
        <v>44754</v>
      </c>
      <c r="C194" s="35">
        <v>7.0</v>
      </c>
      <c r="D194" s="35" t="s">
        <v>34</v>
      </c>
      <c r="E194" s="87" t="s">
        <v>35</v>
      </c>
      <c r="F194" s="23"/>
      <c r="H194" s="24"/>
      <c r="J194" s="24"/>
      <c r="L194" s="25"/>
      <c r="N194" s="26"/>
      <c r="P194" s="86"/>
      <c r="R194" s="26"/>
      <c r="T194" s="24"/>
      <c r="V194" s="24"/>
      <c r="W194" s="27"/>
      <c r="X194" s="23"/>
      <c r="Z194" s="24"/>
      <c r="AB194" s="24"/>
      <c r="AD194" s="24"/>
      <c r="AF194" s="24"/>
      <c r="AH194" s="24"/>
      <c r="AI194" s="27"/>
      <c r="AJ194" s="39">
        <f t="shared" si="1"/>
        <v>0</v>
      </c>
      <c r="AK194" s="35">
        <f t="shared" si="2"/>
        <v>0</v>
      </c>
      <c r="AL194" s="35" t="str">
        <f t="shared" si="3"/>
        <v/>
      </c>
      <c r="AM194" s="35">
        <f t="shared" si="4"/>
        <v>0</v>
      </c>
      <c r="AN194" s="40" t="str">
        <f t="shared" si="5"/>
        <v/>
      </c>
    </row>
    <row r="195" ht="15.75" customHeight="1">
      <c r="A195" s="32" t="s">
        <v>28</v>
      </c>
      <c r="B195" s="34">
        <f t="shared" si="6"/>
        <v>44755</v>
      </c>
      <c r="C195" s="35">
        <v>7.0</v>
      </c>
      <c r="D195" s="35" t="s">
        <v>34</v>
      </c>
      <c r="E195" s="87" t="s">
        <v>35</v>
      </c>
      <c r="F195" s="23"/>
      <c r="H195" s="24"/>
      <c r="J195" s="24"/>
      <c r="L195" s="25"/>
      <c r="N195" s="26"/>
      <c r="P195" s="86"/>
      <c r="R195" s="26"/>
      <c r="T195" s="24"/>
      <c r="V195" s="24"/>
      <c r="W195" s="27"/>
      <c r="X195" s="23"/>
      <c r="Z195" s="24"/>
      <c r="AB195" s="24"/>
      <c r="AD195" s="24"/>
      <c r="AF195" s="24"/>
      <c r="AH195" s="24"/>
      <c r="AI195" s="27"/>
      <c r="AJ195" s="39">
        <f t="shared" si="1"/>
        <v>0</v>
      </c>
      <c r="AK195" s="35">
        <f t="shared" si="2"/>
        <v>0</v>
      </c>
      <c r="AL195" s="35" t="str">
        <f t="shared" si="3"/>
        <v/>
      </c>
      <c r="AM195" s="35">
        <f t="shared" si="4"/>
        <v>0</v>
      </c>
      <c r="AN195" s="40" t="str">
        <f t="shared" si="5"/>
        <v/>
      </c>
    </row>
    <row r="196" ht="15.75" customHeight="1">
      <c r="A196" s="32" t="s">
        <v>29</v>
      </c>
      <c r="B196" s="34">
        <f t="shared" si="6"/>
        <v>44756</v>
      </c>
      <c r="C196" s="35">
        <v>7.0</v>
      </c>
      <c r="D196" s="35" t="s">
        <v>34</v>
      </c>
      <c r="E196" s="87" t="s">
        <v>35</v>
      </c>
      <c r="F196" s="23"/>
      <c r="H196" s="24"/>
      <c r="J196" s="24"/>
      <c r="L196" s="25"/>
      <c r="N196" s="26"/>
      <c r="P196" s="86"/>
      <c r="R196" s="26"/>
      <c r="T196" s="24"/>
      <c r="V196" s="24"/>
      <c r="W196" s="27"/>
      <c r="X196" s="23"/>
      <c r="Z196" s="24"/>
      <c r="AB196" s="24"/>
      <c r="AD196" s="24"/>
      <c r="AF196" s="24"/>
      <c r="AH196" s="24"/>
      <c r="AI196" s="27"/>
      <c r="AJ196" s="39">
        <f t="shared" si="1"/>
        <v>0</v>
      </c>
      <c r="AK196" s="35">
        <f t="shared" si="2"/>
        <v>0</v>
      </c>
      <c r="AL196" s="35" t="str">
        <f t="shared" si="3"/>
        <v/>
      </c>
      <c r="AM196" s="35">
        <f t="shared" si="4"/>
        <v>0</v>
      </c>
      <c r="AN196" s="40" t="str">
        <f t="shared" si="5"/>
        <v/>
      </c>
    </row>
    <row r="197" ht="15.75" customHeight="1">
      <c r="A197" s="32" t="s">
        <v>30</v>
      </c>
      <c r="B197" s="34">
        <f t="shared" si="6"/>
        <v>44757</v>
      </c>
      <c r="C197" s="35">
        <v>7.0</v>
      </c>
      <c r="D197" s="35" t="s">
        <v>34</v>
      </c>
      <c r="E197" s="87" t="s">
        <v>35</v>
      </c>
      <c r="F197" s="23"/>
      <c r="H197" s="24"/>
      <c r="J197" s="24"/>
      <c r="L197" s="25"/>
      <c r="N197" s="26"/>
      <c r="P197" s="86"/>
      <c r="R197" s="26"/>
      <c r="T197" s="24"/>
      <c r="V197" s="24"/>
      <c r="W197" s="27"/>
      <c r="X197" s="23"/>
      <c r="Z197" s="24"/>
      <c r="AB197" s="24"/>
      <c r="AD197" s="24"/>
      <c r="AF197" s="24"/>
      <c r="AH197" s="24"/>
      <c r="AI197" s="27"/>
      <c r="AJ197" s="39">
        <f t="shared" si="1"/>
        <v>0</v>
      </c>
      <c r="AK197" s="35">
        <f t="shared" si="2"/>
        <v>0</v>
      </c>
      <c r="AL197" s="35" t="str">
        <f t="shared" si="3"/>
        <v/>
      </c>
      <c r="AM197" s="35">
        <f t="shared" si="4"/>
        <v>0</v>
      </c>
      <c r="AN197" s="40" t="str">
        <f t="shared" si="5"/>
        <v/>
      </c>
    </row>
    <row r="198" ht="15.75" customHeight="1">
      <c r="A198" s="48" t="s">
        <v>31</v>
      </c>
      <c r="B198" s="50">
        <f t="shared" si="6"/>
        <v>44758</v>
      </c>
      <c r="C198" s="51">
        <v>7.0</v>
      </c>
      <c r="D198" s="51" t="s">
        <v>34</v>
      </c>
      <c r="E198" s="88" t="s">
        <v>35</v>
      </c>
      <c r="F198" s="54"/>
      <c r="G198" s="56"/>
      <c r="H198" s="57"/>
      <c r="I198" s="56"/>
      <c r="J198" s="57"/>
      <c r="K198" s="56"/>
      <c r="L198" s="58"/>
      <c r="M198" s="56"/>
      <c r="N198" s="59"/>
      <c r="O198" s="56"/>
      <c r="P198" s="89"/>
      <c r="Q198" s="56"/>
      <c r="R198" s="59"/>
      <c r="S198" s="56"/>
      <c r="T198" s="57"/>
      <c r="U198" s="56"/>
      <c r="V198" s="57"/>
      <c r="W198" s="60"/>
      <c r="X198" s="54"/>
      <c r="Y198" s="56"/>
      <c r="Z198" s="57"/>
      <c r="AA198" s="56"/>
      <c r="AB198" s="57"/>
      <c r="AC198" s="56"/>
      <c r="AD198" s="57"/>
      <c r="AE198" s="56"/>
      <c r="AF198" s="57"/>
      <c r="AG198" s="56"/>
      <c r="AH198" s="57"/>
      <c r="AI198" s="60"/>
      <c r="AJ198" s="61">
        <f t="shared" si="1"/>
        <v>0</v>
      </c>
      <c r="AK198" s="51">
        <f t="shared" si="2"/>
        <v>0</v>
      </c>
      <c r="AL198" s="51" t="str">
        <f t="shared" si="3"/>
        <v/>
      </c>
      <c r="AM198" s="51">
        <f t="shared" si="4"/>
        <v>0</v>
      </c>
      <c r="AN198" s="63" t="str">
        <f t="shared" si="5"/>
        <v/>
      </c>
    </row>
    <row r="199" ht="15.75" customHeight="1">
      <c r="A199" s="18" t="s">
        <v>20</v>
      </c>
      <c r="B199" s="64">
        <f t="shared" si="6"/>
        <v>44759</v>
      </c>
      <c r="C199" s="20">
        <v>8.0</v>
      </c>
      <c r="D199" s="20" t="s">
        <v>21</v>
      </c>
      <c r="E199" s="90" t="s">
        <v>35</v>
      </c>
      <c r="F199" s="23"/>
      <c r="H199" s="24"/>
      <c r="J199" s="24"/>
      <c r="L199" s="25">
        <v>46.0</v>
      </c>
      <c r="N199" s="26"/>
      <c r="P199" s="86"/>
      <c r="R199" s="26"/>
      <c r="T199" s="24"/>
      <c r="V199" s="24"/>
      <c r="W199" s="27"/>
      <c r="X199" s="23"/>
      <c r="Z199" s="24"/>
      <c r="AB199" s="24"/>
      <c r="AD199" s="24"/>
      <c r="AF199" s="24"/>
      <c r="AH199" s="24"/>
      <c r="AI199" s="27"/>
      <c r="AJ199" s="28">
        <f t="shared" si="1"/>
        <v>522.1</v>
      </c>
      <c r="AK199" s="20">
        <f t="shared" si="2"/>
        <v>46</v>
      </c>
      <c r="AL199" s="20" t="str">
        <f t="shared" si="3"/>
        <v/>
      </c>
      <c r="AM199" s="20">
        <f t="shared" si="4"/>
        <v>46</v>
      </c>
      <c r="AN199" s="31">
        <f t="shared" si="5"/>
        <v>11.35</v>
      </c>
    </row>
    <row r="200" ht="15.75" customHeight="1">
      <c r="A200" s="32" t="s">
        <v>22</v>
      </c>
      <c r="B200" s="34">
        <f t="shared" si="6"/>
        <v>44760</v>
      </c>
      <c r="C200" s="35">
        <v>8.0</v>
      </c>
      <c r="D200" s="35" t="s">
        <v>21</v>
      </c>
      <c r="E200" s="87" t="s">
        <v>35</v>
      </c>
      <c r="F200" s="23"/>
      <c r="H200" s="24"/>
      <c r="J200" s="24"/>
      <c r="L200" s="25"/>
      <c r="N200" s="26"/>
      <c r="P200" s="86"/>
      <c r="R200" s="26"/>
      <c r="T200" s="24"/>
      <c r="V200" s="24"/>
      <c r="W200" s="27"/>
      <c r="X200" s="23"/>
      <c r="Z200" s="24"/>
      <c r="AB200" s="24"/>
      <c r="AD200" s="24"/>
      <c r="AF200" s="24"/>
      <c r="AH200" s="24"/>
      <c r="AI200" s="27"/>
      <c r="AJ200" s="39">
        <f t="shared" si="1"/>
        <v>0</v>
      </c>
      <c r="AK200" s="35">
        <f t="shared" si="2"/>
        <v>0</v>
      </c>
      <c r="AL200" s="35" t="str">
        <f t="shared" si="3"/>
        <v/>
      </c>
      <c r="AM200" s="35">
        <f t="shared" si="4"/>
        <v>0</v>
      </c>
      <c r="AN200" s="40" t="str">
        <f t="shared" si="5"/>
        <v/>
      </c>
    </row>
    <row r="201" ht="15.75" customHeight="1">
      <c r="A201" s="32" t="s">
        <v>24</v>
      </c>
      <c r="B201" s="34">
        <f t="shared" si="6"/>
        <v>44761</v>
      </c>
      <c r="C201" s="35">
        <v>8.0</v>
      </c>
      <c r="D201" s="35" t="s">
        <v>21</v>
      </c>
      <c r="E201" s="87" t="s">
        <v>35</v>
      </c>
      <c r="F201" s="23"/>
      <c r="H201" s="24"/>
      <c r="J201" s="24"/>
      <c r="L201" s="25"/>
      <c r="N201" s="26"/>
      <c r="P201" s="86"/>
      <c r="R201" s="26"/>
      <c r="T201" s="24"/>
      <c r="V201" s="24"/>
      <c r="W201" s="27"/>
      <c r="X201" s="23"/>
      <c r="Z201" s="24"/>
      <c r="AB201" s="24"/>
      <c r="AD201" s="24"/>
      <c r="AF201" s="24"/>
      <c r="AH201" s="24"/>
      <c r="AI201" s="27"/>
      <c r="AJ201" s="39">
        <f t="shared" si="1"/>
        <v>0</v>
      </c>
      <c r="AK201" s="35">
        <f t="shared" si="2"/>
        <v>0</v>
      </c>
      <c r="AL201" s="35" t="str">
        <f t="shared" si="3"/>
        <v/>
      </c>
      <c r="AM201" s="35">
        <f t="shared" si="4"/>
        <v>0</v>
      </c>
      <c r="AN201" s="40" t="str">
        <f t="shared" si="5"/>
        <v/>
      </c>
    </row>
    <row r="202" ht="15.75" customHeight="1">
      <c r="A202" s="32" t="s">
        <v>28</v>
      </c>
      <c r="B202" s="34">
        <f t="shared" si="6"/>
        <v>44762</v>
      </c>
      <c r="C202" s="35">
        <v>8.0</v>
      </c>
      <c r="D202" s="35" t="s">
        <v>21</v>
      </c>
      <c r="E202" s="87" t="s">
        <v>35</v>
      </c>
      <c r="F202" s="23"/>
      <c r="H202" s="24"/>
      <c r="J202" s="24"/>
      <c r="L202" s="25"/>
      <c r="N202" s="26"/>
      <c r="P202" s="86"/>
      <c r="R202" s="26"/>
      <c r="T202" s="24"/>
      <c r="V202" s="24"/>
      <c r="W202" s="27"/>
      <c r="X202" s="23"/>
      <c r="Z202" s="24"/>
      <c r="AB202" s="24"/>
      <c r="AD202" s="24"/>
      <c r="AF202" s="24"/>
      <c r="AH202" s="24"/>
      <c r="AI202" s="27"/>
      <c r="AJ202" s="39">
        <f t="shared" si="1"/>
        <v>0</v>
      </c>
      <c r="AK202" s="35">
        <f t="shared" si="2"/>
        <v>0</v>
      </c>
      <c r="AL202" s="35" t="str">
        <f t="shared" si="3"/>
        <v/>
      </c>
      <c r="AM202" s="35">
        <f t="shared" si="4"/>
        <v>0</v>
      </c>
      <c r="AN202" s="40" t="str">
        <f t="shared" si="5"/>
        <v/>
      </c>
    </row>
    <row r="203" ht="15.75" customHeight="1">
      <c r="A203" s="32" t="s">
        <v>29</v>
      </c>
      <c r="B203" s="34">
        <f t="shared" si="6"/>
        <v>44763</v>
      </c>
      <c r="C203" s="35">
        <v>8.0</v>
      </c>
      <c r="D203" s="35" t="s">
        <v>21</v>
      </c>
      <c r="E203" s="87" t="s">
        <v>35</v>
      </c>
      <c r="F203" s="23"/>
      <c r="H203" s="24"/>
      <c r="J203" s="24"/>
      <c r="L203" s="25"/>
      <c r="N203" s="26"/>
      <c r="P203" s="86"/>
      <c r="R203" s="26"/>
      <c r="T203" s="24"/>
      <c r="V203" s="24"/>
      <c r="W203" s="27"/>
      <c r="X203" s="23"/>
      <c r="Z203" s="24"/>
      <c r="AB203" s="24"/>
      <c r="AD203" s="24"/>
      <c r="AF203" s="24"/>
      <c r="AH203" s="24"/>
      <c r="AI203" s="27"/>
      <c r="AJ203" s="39">
        <f t="shared" si="1"/>
        <v>0</v>
      </c>
      <c r="AK203" s="35">
        <f t="shared" si="2"/>
        <v>0</v>
      </c>
      <c r="AL203" s="35" t="str">
        <f t="shared" si="3"/>
        <v/>
      </c>
      <c r="AM203" s="35">
        <f t="shared" si="4"/>
        <v>0</v>
      </c>
      <c r="AN203" s="40" t="str">
        <f t="shared" si="5"/>
        <v/>
      </c>
    </row>
    <row r="204" ht="15.75" customHeight="1">
      <c r="A204" s="32" t="s">
        <v>30</v>
      </c>
      <c r="B204" s="34">
        <f t="shared" si="6"/>
        <v>44764</v>
      </c>
      <c r="C204" s="35">
        <v>8.0</v>
      </c>
      <c r="D204" s="35" t="s">
        <v>21</v>
      </c>
      <c r="E204" s="87" t="s">
        <v>35</v>
      </c>
      <c r="F204" s="23"/>
      <c r="H204" s="24"/>
      <c r="J204" s="24"/>
      <c r="L204" s="25"/>
      <c r="N204" s="26"/>
      <c r="P204" s="86"/>
      <c r="R204" s="26"/>
      <c r="T204" s="24"/>
      <c r="V204" s="24"/>
      <c r="W204" s="27"/>
      <c r="X204" s="23"/>
      <c r="Z204" s="24"/>
      <c r="AB204" s="24"/>
      <c r="AD204" s="24"/>
      <c r="AF204" s="24"/>
      <c r="AH204" s="24"/>
      <c r="AI204" s="27"/>
      <c r="AJ204" s="39">
        <f t="shared" si="1"/>
        <v>0</v>
      </c>
      <c r="AK204" s="35">
        <f t="shared" si="2"/>
        <v>0</v>
      </c>
      <c r="AL204" s="35" t="str">
        <f t="shared" si="3"/>
        <v/>
      </c>
      <c r="AM204" s="35">
        <f t="shared" si="4"/>
        <v>0</v>
      </c>
      <c r="AN204" s="40" t="str">
        <f t="shared" si="5"/>
        <v/>
      </c>
    </row>
    <row r="205" ht="15.75" customHeight="1">
      <c r="A205" s="48" t="s">
        <v>31</v>
      </c>
      <c r="B205" s="50">
        <f t="shared" si="6"/>
        <v>44765</v>
      </c>
      <c r="C205" s="51">
        <v>8.0</v>
      </c>
      <c r="D205" s="51" t="s">
        <v>21</v>
      </c>
      <c r="E205" s="88" t="s">
        <v>35</v>
      </c>
      <c r="F205" s="54"/>
      <c r="G205" s="56"/>
      <c r="H205" s="57"/>
      <c r="I205" s="56"/>
      <c r="J205" s="57"/>
      <c r="K205" s="56"/>
      <c r="L205" s="58"/>
      <c r="M205" s="56"/>
      <c r="N205" s="59"/>
      <c r="O205" s="56"/>
      <c r="P205" s="89"/>
      <c r="Q205" s="56"/>
      <c r="R205" s="59"/>
      <c r="S205" s="56"/>
      <c r="T205" s="57"/>
      <c r="U205" s="56"/>
      <c r="V205" s="57"/>
      <c r="W205" s="60"/>
      <c r="X205" s="54"/>
      <c r="Y205" s="56"/>
      <c r="Z205" s="57"/>
      <c r="AA205" s="56"/>
      <c r="AB205" s="57"/>
      <c r="AC205" s="56"/>
      <c r="AD205" s="57"/>
      <c r="AE205" s="56"/>
      <c r="AF205" s="57"/>
      <c r="AG205" s="56"/>
      <c r="AH205" s="57"/>
      <c r="AI205" s="60"/>
      <c r="AJ205" s="61">
        <f t="shared" si="1"/>
        <v>0</v>
      </c>
      <c r="AK205" s="51">
        <f t="shared" si="2"/>
        <v>0</v>
      </c>
      <c r="AL205" s="51" t="str">
        <f t="shared" si="3"/>
        <v/>
      </c>
      <c r="AM205" s="51">
        <f t="shared" si="4"/>
        <v>0</v>
      </c>
      <c r="AN205" s="63" t="str">
        <f t="shared" si="5"/>
        <v/>
      </c>
    </row>
    <row r="206" ht="15.75" customHeight="1">
      <c r="A206" s="18" t="s">
        <v>20</v>
      </c>
      <c r="B206" s="64">
        <f t="shared" si="6"/>
        <v>44766</v>
      </c>
      <c r="C206" s="20">
        <v>8.0</v>
      </c>
      <c r="D206" s="20" t="s">
        <v>32</v>
      </c>
      <c r="E206" s="90" t="s">
        <v>35</v>
      </c>
      <c r="F206" s="23"/>
      <c r="H206" s="24"/>
      <c r="J206" s="24"/>
      <c r="L206" s="25"/>
      <c r="N206" s="26"/>
      <c r="P206" s="86"/>
      <c r="R206" s="26"/>
      <c r="T206" s="24"/>
      <c r="V206" s="24"/>
      <c r="W206" s="27"/>
      <c r="X206" s="23"/>
      <c r="Z206" s="24"/>
      <c r="AB206" s="24"/>
      <c r="AD206" s="24"/>
      <c r="AF206" s="24"/>
      <c r="AH206" s="24"/>
      <c r="AI206" s="27"/>
      <c r="AJ206" s="28">
        <f t="shared" si="1"/>
        <v>0</v>
      </c>
      <c r="AK206" s="20">
        <f t="shared" si="2"/>
        <v>0</v>
      </c>
      <c r="AL206" s="20" t="str">
        <f t="shared" si="3"/>
        <v/>
      </c>
      <c r="AM206" s="20">
        <f t="shared" si="4"/>
        <v>0</v>
      </c>
      <c r="AN206" s="31" t="str">
        <f t="shared" si="5"/>
        <v/>
      </c>
    </row>
    <row r="207" ht="15.75" customHeight="1">
      <c r="A207" s="32" t="s">
        <v>22</v>
      </c>
      <c r="B207" s="34">
        <f t="shared" si="6"/>
        <v>44767</v>
      </c>
      <c r="C207" s="35">
        <v>8.0</v>
      </c>
      <c r="D207" s="35" t="s">
        <v>32</v>
      </c>
      <c r="E207" s="87" t="s">
        <v>35</v>
      </c>
      <c r="F207" s="23"/>
      <c r="H207" s="24"/>
      <c r="J207" s="24"/>
      <c r="L207" s="25"/>
      <c r="N207" s="26"/>
      <c r="P207" s="86"/>
      <c r="R207" s="26"/>
      <c r="T207" s="24"/>
      <c r="V207" s="24"/>
      <c r="W207" s="27"/>
      <c r="X207" s="23"/>
      <c r="Z207" s="24"/>
      <c r="AB207" s="24"/>
      <c r="AD207" s="24"/>
      <c r="AF207" s="24"/>
      <c r="AH207" s="24"/>
      <c r="AI207" s="27"/>
      <c r="AJ207" s="39">
        <f t="shared" si="1"/>
        <v>0</v>
      </c>
      <c r="AK207" s="35">
        <f t="shared" si="2"/>
        <v>0</v>
      </c>
      <c r="AL207" s="35" t="str">
        <f t="shared" si="3"/>
        <v/>
      </c>
      <c r="AM207" s="35">
        <f t="shared" si="4"/>
        <v>0</v>
      </c>
      <c r="AN207" s="40" t="str">
        <f t="shared" si="5"/>
        <v/>
      </c>
    </row>
    <row r="208" ht="15.75" customHeight="1">
      <c r="A208" s="32" t="s">
        <v>24</v>
      </c>
      <c r="B208" s="34">
        <f t="shared" si="6"/>
        <v>44768</v>
      </c>
      <c r="C208" s="35">
        <v>8.0</v>
      </c>
      <c r="D208" s="35" t="s">
        <v>32</v>
      </c>
      <c r="E208" s="87" t="s">
        <v>35</v>
      </c>
      <c r="F208" s="23"/>
      <c r="H208" s="24"/>
      <c r="J208" s="24"/>
      <c r="L208" s="25"/>
      <c r="N208" s="26"/>
      <c r="P208" s="86"/>
      <c r="R208" s="26"/>
      <c r="T208" s="24"/>
      <c r="V208" s="24"/>
      <c r="W208" s="27"/>
      <c r="X208" s="23"/>
      <c r="Z208" s="24"/>
      <c r="AB208" s="24"/>
      <c r="AD208" s="24"/>
      <c r="AF208" s="24"/>
      <c r="AH208" s="24"/>
      <c r="AI208" s="27"/>
      <c r="AJ208" s="39">
        <f t="shared" si="1"/>
        <v>0</v>
      </c>
      <c r="AK208" s="35">
        <f t="shared" si="2"/>
        <v>0</v>
      </c>
      <c r="AL208" s="35" t="str">
        <f t="shared" si="3"/>
        <v/>
      </c>
      <c r="AM208" s="35">
        <f t="shared" si="4"/>
        <v>0</v>
      </c>
      <c r="AN208" s="40" t="str">
        <f t="shared" si="5"/>
        <v/>
      </c>
    </row>
    <row r="209" ht="15.75" customHeight="1">
      <c r="A209" s="32" t="s">
        <v>28</v>
      </c>
      <c r="B209" s="34">
        <f t="shared" si="6"/>
        <v>44769</v>
      </c>
      <c r="C209" s="35">
        <v>8.0</v>
      </c>
      <c r="D209" s="35" t="s">
        <v>32</v>
      </c>
      <c r="E209" s="87" t="s">
        <v>35</v>
      </c>
      <c r="F209" s="23"/>
      <c r="H209" s="24"/>
      <c r="J209" s="24"/>
      <c r="L209" s="25"/>
      <c r="N209" s="26"/>
      <c r="P209" s="86"/>
      <c r="R209" s="26"/>
      <c r="T209" s="24"/>
      <c r="V209" s="24"/>
      <c r="W209" s="27"/>
      <c r="X209" s="23"/>
      <c r="Z209" s="24"/>
      <c r="AB209" s="24"/>
      <c r="AD209" s="24"/>
      <c r="AF209" s="24"/>
      <c r="AH209" s="24"/>
      <c r="AI209" s="27"/>
      <c r="AJ209" s="39">
        <f t="shared" si="1"/>
        <v>0</v>
      </c>
      <c r="AK209" s="35">
        <f t="shared" si="2"/>
        <v>0</v>
      </c>
      <c r="AL209" s="35" t="str">
        <f t="shared" si="3"/>
        <v/>
      </c>
      <c r="AM209" s="35">
        <f t="shared" si="4"/>
        <v>0</v>
      </c>
      <c r="AN209" s="40" t="str">
        <f t="shared" si="5"/>
        <v/>
      </c>
    </row>
    <row r="210" ht="15.75" customHeight="1">
      <c r="A210" s="32" t="s">
        <v>29</v>
      </c>
      <c r="B210" s="34">
        <f t="shared" si="6"/>
        <v>44770</v>
      </c>
      <c r="C210" s="35">
        <v>8.0</v>
      </c>
      <c r="D210" s="35" t="s">
        <v>32</v>
      </c>
      <c r="E210" s="87" t="s">
        <v>35</v>
      </c>
      <c r="F210" s="23"/>
      <c r="H210" s="24"/>
      <c r="J210" s="24"/>
      <c r="L210" s="25"/>
      <c r="N210" s="26"/>
      <c r="P210" s="86"/>
      <c r="R210" s="26"/>
      <c r="T210" s="24"/>
      <c r="V210" s="24"/>
      <c r="W210" s="27"/>
      <c r="X210" s="23"/>
      <c r="Z210" s="24"/>
      <c r="AB210" s="24"/>
      <c r="AD210" s="24"/>
      <c r="AF210" s="24"/>
      <c r="AH210" s="24"/>
      <c r="AI210" s="27"/>
      <c r="AJ210" s="39">
        <f t="shared" si="1"/>
        <v>0</v>
      </c>
      <c r="AK210" s="35">
        <f t="shared" si="2"/>
        <v>0</v>
      </c>
      <c r="AL210" s="35" t="str">
        <f t="shared" si="3"/>
        <v/>
      </c>
      <c r="AM210" s="35">
        <f t="shared" si="4"/>
        <v>0</v>
      </c>
      <c r="AN210" s="40" t="str">
        <f t="shared" si="5"/>
        <v/>
      </c>
    </row>
    <row r="211" ht="15.75" customHeight="1">
      <c r="A211" s="32" t="s">
        <v>30</v>
      </c>
      <c r="B211" s="34">
        <f t="shared" si="6"/>
        <v>44771</v>
      </c>
      <c r="C211" s="35">
        <v>8.0</v>
      </c>
      <c r="D211" s="35" t="s">
        <v>32</v>
      </c>
      <c r="E211" s="87" t="s">
        <v>35</v>
      </c>
      <c r="F211" s="23"/>
      <c r="H211" s="24"/>
      <c r="J211" s="24"/>
      <c r="L211" s="25"/>
      <c r="N211" s="26"/>
      <c r="P211" s="86"/>
      <c r="R211" s="26"/>
      <c r="T211" s="24"/>
      <c r="V211" s="24"/>
      <c r="W211" s="27"/>
      <c r="X211" s="23"/>
      <c r="Z211" s="24"/>
      <c r="AB211" s="24"/>
      <c r="AD211" s="24"/>
      <c r="AF211" s="24"/>
      <c r="AH211" s="24"/>
      <c r="AI211" s="27"/>
      <c r="AJ211" s="39">
        <f t="shared" si="1"/>
        <v>0</v>
      </c>
      <c r="AK211" s="35">
        <f t="shared" si="2"/>
        <v>0</v>
      </c>
      <c r="AL211" s="35" t="str">
        <f t="shared" si="3"/>
        <v/>
      </c>
      <c r="AM211" s="35">
        <f t="shared" si="4"/>
        <v>0</v>
      </c>
      <c r="AN211" s="40" t="str">
        <f t="shared" si="5"/>
        <v/>
      </c>
    </row>
    <row r="212" ht="15.75" customHeight="1">
      <c r="A212" s="48" t="s">
        <v>31</v>
      </c>
      <c r="B212" s="50">
        <f t="shared" si="6"/>
        <v>44772</v>
      </c>
      <c r="C212" s="51">
        <v>8.0</v>
      </c>
      <c r="D212" s="51" t="s">
        <v>32</v>
      </c>
      <c r="E212" s="88" t="s">
        <v>35</v>
      </c>
      <c r="F212" s="54"/>
      <c r="G212" s="56"/>
      <c r="H212" s="57"/>
      <c r="I212" s="56"/>
      <c r="J212" s="57"/>
      <c r="K212" s="56"/>
      <c r="L212" s="58"/>
      <c r="M212" s="56"/>
      <c r="N212" s="59"/>
      <c r="O212" s="56"/>
      <c r="P212" s="89"/>
      <c r="Q212" s="56"/>
      <c r="R212" s="59"/>
      <c r="S212" s="56"/>
      <c r="T212" s="57"/>
      <c r="U212" s="56"/>
      <c r="V212" s="57"/>
      <c r="W212" s="60"/>
      <c r="X212" s="54"/>
      <c r="Y212" s="56"/>
      <c r="Z212" s="57"/>
      <c r="AA212" s="56"/>
      <c r="AB212" s="57"/>
      <c r="AC212" s="56"/>
      <c r="AD212" s="57"/>
      <c r="AE212" s="56"/>
      <c r="AF212" s="57"/>
      <c r="AG212" s="56"/>
      <c r="AH212" s="57"/>
      <c r="AI212" s="60"/>
      <c r="AJ212" s="61">
        <f t="shared" si="1"/>
        <v>0</v>
      </c>
      <c r="AK212" s="51">
        <f t="shared" si="2"/>
        <v>0</v>
      </c>
      <c r="AL212" s="51" t="str">
        <f t="shared" si="3"/>
        <v/>
      </c>
      <c r="AM212" s="51">
        <f t="shared" si="4"/>
        <v>0</v>
      </c>
      <c r="AN212" s="63" t="str">
        <f t="shared" si="5"/>
        <v/>
      </c>
    </row>
    <row r="213" ht="15.75" customHeight="1">
      <c r="A213" s="18" t="s">
        <v>20</v>
      </c>
      <c r="B213" s="64">
        <f t="shared" si="6"/>
        <v>44773</v>
      </c>
      <c r="C213" s="20">
        <v>8.0</v>
      </c>
      <c r="D213" s="20" t="s">
        <v>33</v>
      </c>
      <c r="E213" s="90" t="s">
        <v>35</v>
      </c>
      <c r="F213" s="23"/>
      <c r="H213" s="24"/>
      <c r="J213" s="24"/>
      <c r="L213" s="25"/>
      <c r="N213" s="26"/>
      <c r="P213" s="86"/>
      <c r="R213" s="26"/>
      <c r="T213" s="24"/>
      <c r="V213" s="24"/>
      <c r="W213" s="27"/>
      <c r="X213" s="23"/>
      <c r="Z213" s="24"/>
      <c r="AB213" s="24"/>
      <c r="AD213" s="24"/>
      <c r="AF213" s="24"/>
      <c r="AH213" s="24"/>
      <c r="AI213" s="27"/>
      <c r="AJ213" s="28">
        <f t="shared" si="1"/>
        <v>0</v>
      </c>
      <c r="AK213" s="20">
        <f t="shared" si="2"/>
        <v>0</v>
      </c>
      <c r="AL213" s="20" t="str">
        <f t="shared" si="3"/>
        <v/>
      </c>
      <c r="AM213" s="20">
        <f t="shared" si="4"/>
        <v>0</v>
      </c>
      <c r="AN213" s="31" t="str">
        <f t="shared" si="5"/>
        <v/>
      </c>
    </row>
    <row r="214" ht="15.75" customHeight="1">
      <c r="A214" s="32" t="s">
        <v>22</v>
      </c>
      <c r="B214" s="34">
        <f t="shared" si="6"/>
        <v>44774</v>
      </c>
      <c r="C214" s="35">
        <v>8.0</v>
      </c>
      <c r="D214" s="35" t="s">
        <v>33</v>
      </c>
      <c r="E214" s="87" t="s">
        <v>35</v>
      </c>
      <c r="F214" s="23"/>
      <c r="H214" s="24"/>
      <c r="J214" s="24"/>
      <c r="L214" s="25"/>
      <c r="N214" s="26"/>
      <c r="P214" s="86"/>
      <c r="R214" s="26"/>
      <c r="T214" s="24"/>
      <c r="V214" s="24"/>
      <c r="W214" s="27"/>
      <c r="X214" s="23"/>
      <c r="Z214" s="24"/>
      <c r="AB214" s="24"/>
      <c r="AD214" s="24"/>
      <c r="AF214" s="24"/>
      <c r="AH214" s="24"/>
      <c r="AI214" s="27"/>
      <c r="AJ214" s="39">
        <f t="shared" si="1"/>
        <v>0</v>
      </c>
      <c r="AK214" s="35">
        <f t="shared" si="2"/>
        <v>0</v>
      </c>
      <c r="AL214" s="35" t="str">
        <f t="shared" si="3"/>
        <v/>
      </c>
      <c r="AM214" s="35">
        <f t="shared" si="4"/>
        <v>0</v>
      </c>
      <c r="AN214" s="40" t="str">
        <f t="shared" si="5"/>
        <v/>
      </c>
    </row>
    <row r="215" ht="15.75" customHeight="1">
      <c r="A215" s="32" t="s">
        <v>24</v>
      </c>
      <c r="B215" s="34">
        <f t="shared" si="6"/>
        <v>44775</v>
      </c>
      <c r="C215" s="35">
        <v>8.0</v>
      </c>
      <c r="D215" s="35" t="s">
        <v>33</v>
      </c>
      <c r="E215" s="87" t="s">
        <v>35</v>
      </c>
      <c r="F215" s="23"/>
      <c r="H215" s="24"/>
      <c r="J215" s="24"/>
      <c r="L215" s="25"/>
      <c r="N215" s="26"/>
      <c r="P215" s="86"/>
      <c r="R215" s="26"/>
      <c r="T215" s="24"/>
      <c r="V215" s="24"/>
      <c r="W215" s="27"/>
      <c r="X215" s="23"/>
      <c r="Z215" s="24"/>
      <c r="AB215" s="24"/>
      <c r="AD215" s="24"/>
      <c r="AF215" s="24"/>
      <c r="AH215" s="24"/>
      <c r="AI215" s="27"/>
      <c r="AJ215" s="39">
        <f t="shared" si="1"/>
        <v>0</v>
      </c>
      <c r="AK215" s="35">
        <f t="shared" si="2"/>
        <v>0</v>
      </c>
      <c r="AL215" s="35" t="str">
        <f t="shared" si="3"/>
        <v/>
      </c>
      <c r="AM215" s="35">
        <f t="shared" si="4"/>
        <v>0</v>
      </c>
      <c r="AN215" s="40" t="str">
        <f t="shared" si="5"/>
        <v/>
      </c>
    </row>
    <row r="216" ht="15.75" customHeight="1">
      <c r="A216" s="32" t="s">
        <v>28</v>
      </c>
      <c r="B216" s="34">
        <f t="shared" si="6"/>
        <v>44776</v>
      </c>
      <c r="C216" s="35">
        <v>8.0</v>
      </c>
      <c r="D216" s="35" t="s">
        <v>33</v>
      </c>
      <c r="E216" s="87" t="s">
        <v>35</v>
      </c>
      <c r="F216" s="23"/>
      <c r="H216" s="24"/>
      <c r="J216" s="24"/>
      <c r="L216" s="25"/>
      <c r="N216" s="26"/>
      <c r="P216" s="86"/>
      <c r="R216" s="26"/>
      <c r="T216" s="24"/>
      <c r="V216" s="24"/>
      <c r="W216" s="27"/>
      <c r="X216" s="23"/>
      <c r="Z216" s="24"/>
      <c r="AB216" s="24"/>
      <c r="AD216" s="24"/>
      <c r="AF216" s="24"/>
      <c r="AH216" s="24"/>
      <c r="AI216" s="27"/>
      <c r="AJ216" s="39">
        <f t="shared" si="1"/>
        <v>0</v>
      </c>
      <c r="AK216" s="35">
        <f t="shared" si="2"/>
        <v>0</v>
      </c>
      <c r="AL216" s="35" t="str">
        <f t="shared" si="3"/>
        <v/>
      </c>
      <c r="AM216" s="35">
        <f t="shared" si="4"/>
        <v>0</v>
      </c>
      <c r="AN216" s="40" t="str">
        <f t="shared" si="5"/>
        <v/>
      </c>
    </row>
    <row r="217" ht="15.75" customHeight="1">
      <c r="A217" s="32" t="s">
        <v>29</v>
      </c>
      <c r="B217" s="34">
        <f t="shared" si="6"/>
        <v>44777</v>
      </c>
      <c r="C217" s="35">
        <v>8.0</v>
      </c>
      <c r="D217" s="35" t="s">
        <v>33</v>
      </c>
      <c r="E217" s="87" t="s">
        <v>35</v>
      </c>
      <c r="F217" s="23"/>
      <c r="H217" s="24"/>
      <c r="J217" s="24"/>
      <c r="L217" s="25"/>
      <c r="N217" s="26"/>
      <c r="P217" s="86"/>
      <c r="R217" s="26"/>
      <c r="T217" s="24"/>
      <c r="V217" s="24"/>
      <c r="W217" s="27"/>
      <c r="X217" s="23"/>
      <c r="Z217" s="24"/>
      <c r="AB217" s="24"/>
      <c r="AD217" s="24"/>
      <c r="AF217" s="24"/>
      <c r="AH217" s="24"/>
      <c r="AI217" s="27"/>
      <c r="AJ217" s="39">
        <f t="shared" si="1"/>
        <v>0</v>
      </c>
      <c r="AK217" s="35">
        <f t="shared" si="2"/>
        <v>0</v>
      </c>
      <c r="AL217" s="35" t="str">
        <f t="shared" si="3"/>
        <v/>
      </c>
      <c r="AM217" s="35">
        <f t="shared" si="4"/>
        <v>0</v>
      </c>
      <c r="AN217" s="40" t="str">
        <f t="shared" si="5"/>
        <v/>
      </c>
    </row>
    <row r="218" ht="15.75" customHeight="1">
      <c r="A218" s="32" t="s">
        <v>30</v>
      </c>
      <c r="B218" s="34">
        <f t="shared" si="6"/>
        <v>44778</v>
      </c>
      <c r="C218" s="35">
        <v>8.0</v>
      </c>
      <c r="D218" s="35" t="s">
        <v>33</v>
      </c>
      <c r="E218" s="87" t="s">
        <v>35</v>
      </c>
      <c r="F218" s="23"/>
      <c r="H218" s="24"/>
      <c r="J218" s="24"/>
      <c r="L218" s="25"/>
      <c r="N218" s="26"/>
      <c r="P218" s="86"/>
      <c r="R218" s="26"/>
      <c r="T218" s="24"/>
      <c r="V218" s="24"/>
      <c r="W218" s="27"/>
      <c r="X218" s="23"/>
      <c r="Z218" s="24"/>
      <c r="AB218" s="24"/>
      <c r="AD218" s="24"/>
      <c r="AF218" s="24"/>
      <c r="AH218" s="24"/>
      <c r="AI218" s="27"/>
      <c r="AJ218" s="39">
        <f t="shared" si="1"/>
        <v>0</v>
      </c>
      <c r="AK218" s="35">
        <f t="shared" si="2"/>
        <v>0</v>
      </c>
      <c r="AL218" s="35" t="str">
        <f t="shared" si="3"/>
        <v/>
      </c>
      <c r="AM218" s="35">
        <f t="shared" si="4"/>
        <v>0</v>
      </c>
      <c r="AN218" s="40" t="str">
        <f t="shared" si="5"/>
        <v/>
      </c>
    </row>
    <row r="219" ht="15.75" customHeight="1">
      <c r="A219" s="48" t="s">
        <v>31</v>
      </c>
      <c r="B219" s="50">
        <f t="shared" si="6"/>
        <v>44779</v>
      </c>
      <c r="C219" s="51">
        <v>8.0</v>
      </c>
      <c r="D219" s="51" t="s">
        <v>33</v>
      </c>
      <c r="E219" s="88" t="s">
        <v>35</v>
      </c>
      <c r="F219" s="54"/>
      <c r="G219" s="56"/>
      <c r="H219" s="57"/>
      <c r="I219" s="56"/>
      <c r="J219" s="57"/>
      <c r="K219" s="56"/>
      <c r="L219" s="58"/>
      <c r="M219" s="56"/>
      <c r="N219" s="59"/>
      <c r="O219" s="56"/>
      <c r="P219" s="89"/>
      <c r="Q219" s="56"/>
      <c r="R219" s="59"/>
      <c r="S219" s="56"/>
      <c r="T219" s="57"/>
      <c r="U219" s="56"/>
      <c r="V219" s="57"/>
      <c r="W219" s="60"/>
      <c r="X219" s="54"/>
      <c r="Y219" s="56"/>
      <c r="Z219" s="57"/>
      <c r="AA219" s="56"/>
      <c r="AB219" s="57"/>
      <c r="AC219" s="56"/>
      <c r="AD219" s="57"/>
      <c r="AE219" s="56"/>
      <c r="AF219" s="57"/>
      <c r="AG219" s="56"/>
      <c r="AH219" s="57"/>
      <c r="AI219" s="60"/>
      <c r="AJ219" s="61">
        <f t="shared" si="1"/>
        <v>0</v>
      </c>
      <c r="AK219" s="51">
        <f t="shared" si="2"/>
        <v>0</v>
      </c>
      <c r="AL219" s="51" t="str">
        <f t="shared" si="3"/>
        <v/>
      </c>
      <c r="AM219" s="51">
        <f t="shared" si="4"/>
        <v>0</v>
      </c>
      <c r="AN219" s="63" t="str">
        <f t="shared" si="5"/>
        <v/>
      </c>
    </row>
    <row r="220" ht="15.75" customHeight="1">
      <c r="A220" s="18" t="s">
        <v>20</v>
      </c>
      <c r="B220" s="64">
        <f t="shared" si="6"/>
        <v>44780</v>
      </c>
      <c r="C220" s="20">
        <v>8.0</v>
      </c>
      <c r="D220" s="20" t="s">
        <v>34</v>
      </c>
      <c r="E220" s="90" t="s">
        <v>35</v>
      </c>
      <c r="F220" s="23"/>
      <c r="H220" s="24"/>
      <c r="J220" s="24"/>
      <c r="L220" s="25"/>
      <c r="N220" s="26"/>
      <c r="P220" s="86"/>
      <c r="R220" s="26"/>
      <c r="T220" s="24"/>
      <c r="V220" s="24"/>
      <c r="W220" s="27"/>
      <c r="X220" s="23"/>
      <c r="Z220" s="24"/>
      <c r="AB220" s="24"/>
      <c r="AD220" s="24"/>
      <c r="AF220" s="24"/>
      <c r="AH220" s="24"/>
      <c r="AI220" s="27"/>
      <c r="AJ220" s="28">
        <f t="shared" si="1"/>
        <v>0</v>
      </c>
      <c r="AK220" s="20">
        <f t="shared" si="2"/>
        <v>0</v>
      </c>
      <c r="AL220" s="20" t="str">
        <f t="shared" si="3"/>
        <v/>
      </c>
      <c r="AM220" s="20">
        <f t="shared" si="4"/>
        <v>0</v>
      </c>
      <c r="AN220" s="31" t="str">
        <f t="shared" si="5"/>
        <v/>
      </c>
    </row>
    <row r="221" ht="15.75" customHeight="1">
      <c r="A221" s="32" t="s">
        <v>22</v>
      </c>
      <c r="B221" s="34">
        <f t="shared" si="6"/>
        <v>44781</v>
      </c>
      <c r="C221" s="35">
        <v>8.0</v>
      </c>
      <c r="D221" s="35" t="s">
        <v>34</v>
      </c>
      <c r="E221" s="87" t="s">
        <v>35</v>
      </c>
      <c r="F221" s="23"/>
      <c r="H221" s="24"/>
      <c r="J221" s="24"/>
      <c r="L221" s="25"/>
      <c r="N221" s="26"/>
      <c r="P221" s="86"/>
      <c r="R221" s="26"/>
      <c r="T221" s="24"/>
      <c r="V221" s="24"/>
      <c r="W221" s="27"/>
      <c r="X221" s="23"/>
      <c r="Z221" s="24"/>
      <c r="AB221" s="24"/>
      <c r="AD221" s="24"/>
      <c r="AF221" s="24"/>
      <c r="AH221" s="24"/>
      <c r="AI221" s="27"/>
      <c r="AJ221" s="39">
        <f t="shared" si="1"/>
        <v>0</v>
      </c>
      <c r="AK221" s="35">
        <f t="shared" si="2"/>
        <v>0</v>
      </c>
      <c r="AL221" s="35" t="str">
        <f t="shared" si="3"/>
        <v/>
      </c>
      <c r="AM221" s="35">
        <f t="shared" si="4"/>
        <v>0</v>
      </c>
      <c r="AN221" s="40" t="str">
        <f t="shared" si="5"/>
        <v/>
      </c>
    </row>
    <row r="222" ht="15.75" customHeight="1">
      <c r="A222" s="32" t="s">
        <v>24</v>
      </c>
      <c r="B222" s="34">
        <f t="shared" si="6"/>
        <v>44782</v>
      </c>
      <c r="C222" s="35">
        <v>8.0</v>
      </c>
      <c r="D222" s="35" t="s">
        <v>34</v>
      </c>
      <c r="E222" s="87" t="s">
        <v>35</v>
      </c>
      <c r="F222" s="23"/>
      <c r="H222" s="24"/>
      <c r="J222" s="24"/>
      <c r="L222" s="25"/>
      <c r="N222" s="26"/>
      <c r="P222" s="86"/>
      <c r="R222" s="26"/>
      <c r="T222" s="24"/>
      <c r="V222" s="24"/>
      <c r="W222" s="27"/>
      <c r="X222" s="23"/>
      <c r="Z222" s="24"/>
      <c r="AB222" s="24"/>
      <c r="AD222" s="24"/>
      <c r="AF222" s="24"/>
      <c r="AH222" s="24"/>
      <c r="AI222" s="27"/>
      <c r="AJ222" s="39">
        <f t="shared" si="1"/>
        <v>0</v>
      </c>
      <c r="AK222" s="35">
        <f t="shared" si="2"/>
        <v>0</v>
      </c>
      <c r="AL222" s="35" t="str">
        <f t="shared" si="3"/>
        <v/>
      </c>
      <c r="AM222" s="35">
        <f t="shared" si="4"/>
        <v>0</v>
      </c>
      <c r="AN222" s="40" t="str">
        <f t="shared" si="5"/>
        <v/>
      </c>
    </row>
    <row r="223" ht="15.75" customHeight="1">
      <c r="A223" s="32" t="s">
        <v>28</v>
      </c>
      <c r="B223" s="34">
        <f t="shared" si="6"/>
        <v>44783</v>
      </c>
      <c r="C223" s="35">
        <v>8.0</v>
      </c>
      <c r="D223" s="35" t="s">
        <v>34</v>
      </c>
      <c r="E223" s="87" t="s">
        <v>35</v>
      </c>
      <c r="F223" s="23"/>
      <c r="H223" s="24"/>
      <c r="J223" s="24"/>
      <c r="L223" s="25"/>
      <c r="N223" s="26"/>
      <c r="P223" s="86"/>
      <c r="R223" s="26"/>
      <c r="T223" s="24"/>
      <c r="V223" s="24"/>
      <c r="W223" s="27"/>
      <c r="X223" s="23"/>
      <c r="Z223" s="24"/>
      <c r="AB223" s="24"/>
      <c r="AD223" s="24"/>
      <c r="AF223" s="24"/>
      <c r="AH223" s="24"/>
      <c r="AI223" s="27"/>
      <c r="AJ223" s="39">
        <f t="shared" si="1"/>
        <v>0</v>
      </c>
      <c r="AK223" s="35">
        <f t="shared" si="2"/>
        <v>0</v>
      </c>
      <c r="AL223" s="35" t="str">
        <f t="shared" si="3"/>
        <v/>
      </c>
      <c r="AM223" s="35">
        <f t="shared" si="4"/>
        <v>0</v>
      </c>
      <c r="AN223" s="40" t="str">
        <f t="shared" si="5"/>
        <v/>
      </c>
    </row>
    <row r="224" ht="15.75" customHeight="1">
      <c r="A224" s="32" t="s">
        <v>29</v>
      </c>
      <c r="B224" s="34">
        <f t="shared" si="6"/>
        <v>44784</v>
      </c>
      <c r="C224" s="35">
        <v>8.0</v>
      </c>
      <c r="D224" s="35" t="s">
        <v>34</v>
      </c>
      <c r="E224" s="87" t="s">
        <v>35</v>
      </c>
      <c r="F224" s="23"/>
      <c r="H224" s="24"/>
      <c r="J224" s="24"/>
      <c r="L224" s="25"/>
      <c r="N224" s="26"/>
      <c r="P224" s="86"/>
      <c r="R224" s="26"/>
      <c r="T224" s="24"/>
      <c r="V224" s="24"/>
      <c r="W224" s="27"/>
      <c r="X224" s="23"/>
      <c r="Z224" s="24"/>
      <c r="AB224" s="24"/>
      <c r="AD224" s="24"/>
      <c r="AF224" s="24"/>
      <c r="AH224" s="24"/>
      <c r="AI224" s="27"/>
      <c r="AJ224" s="39">
        <f t="shared" si="1"/>
        <v>0</v>
      </c>
      <c r="AK224" s="35">
        <f t="shared" si="2"/>
        <v>0</v>
      </c>
      <c r="AL224" s="35" t="str">
        <f t="shared" si="3"/>
        <v/>
      </c>
      <c r="AM224" s="35">
        <f t="shared" si="4"/>
        <v>0</v>
      </c>
      <c r="AN224" s="40" t="str">
        <f t="shared" si="5"/>
        <v/>
      </c>
    </row>
    <row r="225" ht="15.75" customHeight="1">
      <c r="A225" s="32" t="s">
        <v>30</v>
      </c>
      <c r="B225" s="34">
        <f t="shared" si="6"/>
        <v>44785</v>
      </c>
      <c r="C225" s="35">
        <v>8.0</v>
      </c>
      <c r="D225" s="35" t="s">
        <v>34</v>
      </c>
      <c r="E225" s="87" t="s">
        <v>35</v>
      </c>
      <c r="F225" s="23"/>
      <c r="H225" s="24"/>
      <c r="J225" s="24"/>
      <c r="L225" s="25"/>
      <c r="N225" s="26"/>
      <c r="P225" s="86"/>
      <c r="R225" s="26"/>
      <c r="T225" s="24"/>
      <c r="V225" s="24"/>
      <c r="W225" s="27"/>
      <c r="X225" s="23"/>
      <c r="Z225" s="24"/>
      <c r="AB225" s="24"/>
      <c r="AD225" s="24"/>
      <c r="AF225" s="24"/>
      <c r="AH225" s="24"/>
      <c r="AI225" s="27"/>
      <c r="AJ225" s="39">
        <f t="shared" si="1"/>
        <v>0</v>
      </c>
      <c r="AK225" s="35">
        <f t="shared" si="2"/>
        <v>0</v>
      </c>
      <c r="AL225" s="35" t="str">
        <f t="shared" si="3"/>
        <v/>
      </c>
      <c r="AM225" s="35">
        <f t="shared" si="4"/>
        <v>0</v>
      </c>
      <c r="AN225" s="40" t="str">
        <f t="shared" si="5"/>
        <v/>
      </c>
    </row>
    <row r="226" ht="15.75" customHeight="1">
      <c r="A226" s="48" t="s">
        <v>31</v>
      </c>
      <c r="B226" s="50">
        <f t="shared" si="6"/>
        <v>44786</v>
      </c>
      <c r="C226" s="51">
        <v>8.0</v>
      </c>
      <c r="D226" s="51" t="s">
        <v>34</v>
      </c>
      <c r="E226" s="88" t="s">
        <v>35</v>
      </c>
      <c r="F226" s="54"/>
      <c r="G226" s="56"/>
      <c r="H226" s="57"/>
      <c r="I226" s="56"/>
      <c r="J226" s="57"/>
      <c r="K226" s="56"/>
      <c r="L226" s="58"/>
      <c r="M226" s="56"/>
      <c r="N226" s="59"/>
      <c r="O226" s="56"/>
      <c r="P226" s="89"/>
      <c r="Q226" s="56"/>
      <c r="R226" s="59"/>
      <c r="S226" s="56"/>
      <c r="T226" s="57"/>
      <c r="U226" s="56"/>
      <c r="V226" s="57"/>
      <c r="W226" s="60"/>
      <c r="X226" s="54"/>
      <c r="Y226" s="56"/>
      <c r="Z226" s="57"/>
      <c r="AA226" s="56"/>
      <c r="AB226" s="57"/>
      <c r="AC226" s="56"/>
      <c r="AD226" s="57"/>
      <c r="AE226" s="56"/>
      <c r="AF226" s="57"/>
      <c r="AG226" s="56"/>
      <c r="AH226" s="57"/>
      <c r="AI226" s="60"/>
      <c r="AJ226" s="61">
        <f t="shared" si="1"/>
        <v>0</v>
      </c>
      <c r="AK226" s="51">
        <f t="shared" si="2"/>
        <v>0</v>
      </c>
      <c r="AL226" s="51" t="str">
        <f t="shared" si="3"/>
        <v/>
      </c>
      <c r="AM226" s="51">
        <f t="shared" si="4"/>
        <v>0</v>
      </c>
      <c r="AN226" s="63" t="str">
        <f t="shared" si="5"/>
        <v/>
      </c>
    </row>
    <row r="227" ht="15.75" customHeight="1">
      <c r="A227" s="18" t="s">
        <v>20</v>
      </c>
      <c r="B227" s="64">
        <f t="shared" si="6"/>
        <v>44787</v>
      </c>
      <c r="C227" s="20">
        <v>9.0</v>
      </c>
      <c r="D227" s="20" t="s">
        <v>21</v>
      </c>
      <c r="E227" s="90" t="s">
        <v>35</v>
      </c>
      <c r="F227" s="23"/>
      <c r="H227" s="24"/>
      <c r="J227" s="24"/>
      <c r="L227" s="25"/>
      <c r="N227" s="26"/>
      <c r="P227" s="86"/>
      <c r="R227" s="26"/>
      <c r="T227" s="24"/>
      <c r="V227" s="24"/>
      <c r="W227" s="27"/>
      <c r="X227" s="23"/>
      <c r="Z227" s="24"/>
      <c r="AB227" s="24"/>
      <c r="AD227" s="24"/>
      <c r="AF227" s="24"/>
      <c r="AH227" s="24"/>
      <c r="AI227" s="27"/>
      <c r="AJ227" s="28">
        <f t="shared" si="1"/>
        <v>0</v>
      </c>
      <c r="AK227" s="20">
        <f t="shared" si="2"/>
        <v>0</v>
      </c>
      <c r="AL227" s="20" t="str">
        <f t="shared" si="3"/>
        <v/>
      </c>
      <c r="AM227" s="20">
        <f t="shared" si="4"/>
        <v>0</v>
      </c>
      <c r="AN227" s="31" t="str">
        <f t="shared" si="5"/>
        <v/>
      </c>
    </row>
    <row r="228" ht="15.75" customHeight="1">
      <c r="A228" s="32" t="s">
        <v>22</v>
      </c>
      <c r="B228" s="34">
        <f t="shared" si="6"/>
        <v>44788</v>
      </c>
      <c r="C228" s="35">
        <v>9.0</v>
      </c>
      <c r="D228" s="35" t="s">
        <v>21</v>
      </c>
      <c r="E228" s="87" t="s">
        <v>35</v>
      </c>
      <c r="F228" s="23"/>
      <c r="H228" s="24"/>
      <c r="J228" s="24"/>
      <c r="L228" s="25"/>
      <c r="N228" s="26"/>
      <c r="P228" s="86"/>
      <c r="R228" s="26"/>
      <c r="T228" s="24"/>
      <c r="V228" s="24"/>
      <c r="W228" s="27"/>
      <c r="X228" s="23"/>
      <c r="Z228" s="24"/>
      <c r="AB228" s="24"/>
      <c r="AD228" s="24"/>
      <c r="AF228" s="24"/>
      <c r="AH228" s="24"/>
      <c r="AI228" s="27"/>
      <c r="AJ228" s="39">
        <f t="shared" si="1"/>
        <v>0</v>
      </c>
      <c r="AK228" s="35">
        <f t="shared" si="2"/>
        <v>0</v>
      </c>
      <c r="AL228" s="35" t="str">
        <f t="shared" si="3"/>
        <v/>
      </c>
      <c r="AM228" s="35">
        <f t="shared" si="4"/>
        <v>0</v>
      </c>
      <c r="AN228" s="40" t="str">
        <f t="shared" si="5"/>
        <v/>
      </c>
    </row>
    <row r="229" ht="15.75" customHeight="1">
      <c r="A229" s="32" t="s">
        <v>24</v>
      </c>
      <c r="B229" s="34">
        <f t="shared" si="6"/>
        <v>44789</v>
      </c>
      <c r="C229" s="35">
        <v>9.0</v>
      </c>
      <c r="D229" s="35" t="s">
        <v>21</v>
      </c>
      <c r="E229" s="87" t="s">
        <v>35</v>
      </c>
      <c r="F229" s="23"/>
      <c r="H229" s="24"/>
      <c r="J229" s="24"/>
      <c r="L229" s="25"/>
      <c r="N229" s="26"/>
      <c r="P229" s="86"/>
      <c r="R229" s="26"/>
      <c r="T229" s="24"/>
      <c r="V229" s="24"/>
      <c r="W229" s="27"/>
      <c r="X229" s="23"/>
      <c r="Z229" s="24"/>
      <c r="AB229" s="24"/>
      <c r="AD229" s="24"/>
      <c r="AF229" s="24"/>
      <c r="AH229" s="24"/>
      <c r="AI229" s="27"/>
      <c r="AJ229" s="39">
        <f t="shared" si="1"/>
        <v>0</v>
      </c>
      <c r="AK229" s="35">
        <f t="shared" si="2"/>
        <v>0</v>
      </c>
      <c r="AL229" s="35" t="str">
        <f t="shared" si="3"/>
        <v/>
      </c>
      <c r="AM229" s="35">
        <f t="shared" si="4"/>
        <v>0</v>
      </c>
      <c r="AN229" s="40" t="str">
        <f t="shared" si="5"/>
        <v/>
      </c>
    </row>
    <row r="230" ht="15.75" customHeight="1">
      <c r="A230" s="32" t="s">
        <v>28</v>
      </c>
      <c r="B230" s="34">
        <f t="shared" si="6"/>
        <v>44790</v>
      </c>
      <c r="C230" s="35">
        <v>9.0</v>
      </c>
      <c r="D230" s="35" t="s">
        <v>21</v>
      </c>
      <c r="E230" s="87" t="s">
        <v>35</v>
      </c>
      <c r="F230" s="23"/>
      <c r="H230" s="24"/>
      <c r="J230" s="24"/>
      <c r="L230" s="25"/>
      <c r="N230" s="26"/>
      <c r="P230" s="86"/>
      <c r="R230" s="26"/>
      <c r="T230" s="24"/>
      <c r="V230" s="24"/>
      <c r="W230" s="27"/>
      <c r="X230" s="23"/>
      <c r="Z230" s="24"/>
      <c r="AB230" s="24"/>
      <c r="AD230" s="24"/>
      <c r="AF230" s="24"/>
      <c r="AH230" s="24"/>
      <c r="AI230" s="27"/>
      <c r="AJ230" s="39">
        <f t="shared" si="1"/>
        <v>0</v>
      </c>
      <c r="AK230" s="35">
        <f t="shared" si="2"/>
        <v>0</v>
      </c>
      <c r="AL230" s="35" t="str">
        <f t="shared" si="3"/>
        <v/>
      </c>
      <c r="AM230" s="35">
        <f t="shared" si="4"/>
        <v>0</v>
      </c>
      <c r="AN230" s="40" t="str">
        <f t="shared" si="5"/>
        <v/>
      </c>
    </row>
    <row r="231" ht="15.75" customHeight="1">
      <c r="A231" s="32" t="s">
        <v>29</v>
      </c>
      <c r="B231" s="34">
        <f t="shared" si="6"/>
        <v>44791</v>
      </c>
      <c r="C231" s="35">
        <v>9.0</v>
      </c>
      <c r="D231" s="35" t="s">
        <v>21</v>
      </c>
      <c r="E231" s="87" t="s">
        <v>35</v>
      </c>
      <c r="F231" s="23"/>
      <c r="H231" s="24"/>
      <c r="J231" s="24"/>
      <c r="L231" s="25"/>
      <c r="N231" s="26"/>
      <c r="P231" s="86"/>
      <c r="R231" s="26"/>
      <c r="T231" s="24"/>
      <c r="V231" s="24"/>
      <c r="W231" s="27"/>
      <c r="X231" s="23"/>
      <c r="Z231" s="24"/>
      <c r="AB231" s="24"/>
      <c r="AD231" s="24"/>
      <c r="AF231" s="24"/>
      <c r="AH231" s="24"/>
      <c r="AI231" s="27"/>
      <c r="AJ231" s="39">
        <f t="shared" si="1"/>
        <v>0</v>
      </c>
      <c r="AK231" s="35">
        <f t="shared" si="2"/>
        <v>0</v>
      </c>
      <c r="AL231" s="35" t="str">
        <f t="shared" si="3"/>
        <v/>
      </c>
      <c r="AM231" s="35">
        <f t="shared" si="4"/>
        <v>0</v>
      </c>
      <c r="AN231" s="40" t="str">
        <f t="shared" si="5"/>
        <v/>
      </c>
    </row>
    <row r="232" ht="15.75" customHeight="1">
      <c r="A232" s="32" t="s">
        <v>30</v>
      </c>
      <c r="B232" s="34">
        <f t="shared" si="6"/>
        <v>44792</v>
      </c>
      <c r="C232" s="35">
        <v>9.0</v>
      </c>
      <c r="D232" s="35" t="s">
        <v>21</v>
      </c>
      <c r="E232" s="87" t="s">
        <v>35</v>
      </c>
      <c r="F232" s="23"/>
      <c r="H232" s="24"/>
      <c r="J232" s="24"/>
      <c r="L232" s="25"/>
      <c r="N232" s="26"/>
      <c r="P232" s="86"/>
      <c r="R232" s="26"/>
      <c r="T232" s="24"/>
      <c r="V232" s="24"/>
      <c r="W232" s="27"/>
      <c r="X232" s="23"/>
      <c r="Z232" s="24"/>
      <c r="AB232" s="24"/>
      <c r="AD232" s="24"/>
      <c r="AF232" s="24"/>
      <c r="AH232" s="24"/>
      <c r="AI232" s="27"/>
      <c r="AJ232" s="39">
        <f t="shared" si="1"/>
        <v>0</v>
      </c>
      <c r="AK232" s="35">
        <f t="shared" si="2"/>
        <v>0</v>
      </c>
      <c r="AL232" s="35" t="str">
        <f t="shared" si="3"/>
        <v/>
      </c>
      <c r="AM232" s="35">
        <f t="shared" si="4"/>
        <v>0</v>
      </c>
      <c r="AN232" s="40" t="str">
        <f t="shared" si="5"/>
        <v/>
      </c>
    </row>
    <row r="233" ht="15.75" customHeight="1">
      <c r="A233" s="48" t="s">
        <v>31</v>
      </c>
      <c r="B233" s="50">
        <f t="shared" si="6"/>
        <v>44793</v>
      </c>
      <c r="C233" s="51">
        <v>9.0</v>
      </c>
      <c r="D233" s="51" t="s">
        <v>21</v>
      </c>
      <c r="E233" s="88" t="s">
        <v>35</v>
      </c>
      <c r="F233" s="54"/>
      <c r="G233" s="56"/>
      <c r="H233" s="57"/>
      <c r="I233" s="56"/>
      <c r="J233" s="57"/>
      <c r="K233" s="56"/>
      <c r="L233" s="58"/>
      <c r="M233" s="56"/>
      <c r="N233" s="59"/>
      <c r="O233" s="56"/>
      <c r="P233" s="89"/>
      <c r="Q233" s="56"/>
      <c r="R233" s="59"/>
      <c r="S233" s="56"/>
      <c r="T233" s="57"/>
      <c r="U233" s="56"/>
      <c r="V233" s="57"/>
      <c r="W233" s="60"/>
      <c r="X233" s="54"/>
      <c r="Y233" s="56"/>
      <c r="Z233" s="57"/>
      <c r="AA233" s="56"/>
      <c r="AB233" s="57"/>
      <c r="AC233" s="56"/>
      <c r="AD233" s="57"/>
      <c r="AE233" s="56"/>
      <c r="AF233" s="57"/>
      <c r="AG233" s="56"/>
      <c r="AH233" s="57"/>
      <c r="AI233" s="60"/>
      <c r="AJ233" s="61">
        <f t="shared" si="1"/>
        <v>0</v>
      </c>
      <c r="AK233" s="51">
        <f t="shared" si="2"/>
        <v>0</v>
      </c>
      <c r="AL233" s="51" t="str">
        <f t="shared" si="3"/>
        <v/>
      </c>
      <c r="AM233" s="51">
        <f t="shared" si="4"/>
        <v>0</v>
      </c>
      <c r="AN233" s="63" t="str">
        <f t="shared" si="5"/>
        <v/>
      </c>
    </row>
    <row r="234" ht="15.75" customHeight="1">
      <c r="A234" s="18" t="s">
        <v>20</v>
      </c>
      <c r="B234" s="64">
        <f t="shared" si="6"/>
        <v>44794</v>
      </c>
      <c r="C234" s="20">
        <v>9.0</v>
      </c>
      <c r="D234" s="20" t="s">
        <v>32</v>
      </c>
      <c r="E234" s="90" t="s">
        <v>35</v>
      </c>
      <c r="F234" s="23"/>
      <c r="H234" s="24"/>
      <c r="J234" s="24"/>
      <c r="L234" s="25"/>
      <c r="N234" s="26"/>
      <c r="P234" s="86"/>
      <c r="R234" s="26"/>
      <c r="T234" s="24"/>
      <c r="V234" s="24"/>
      <c r="W234" s="27"/>
      <c r="X234" s="23"/>
      <c r="Z234" s="24"/>
      <c r="AB234" s="24"/>
      <c r="AD234" s="24"/>
      <c r="AF234" s="24"/>
      <c r="AH234" s="24"/>
      <c r="AI234" s="27"/>
      <c r="AJ234" s="28">
        <f t="shared" si="1"/>
        <v>0</v>
      </c>
      <c r="AK234" s="20">
        <f t="shared" si="2"/>
        <v>0</v>
      </c>
      <c r="AL234" s="20" t="str">
        <f t="shared" si="3"/>
        <v/>
      </c>
      <c r="AM234" s="20">
        <f t="shared" si="4"/>
        <v>0</v>
      </c>
      <c r="AN234" s="31" t="str">
        <f t="shared" si="5"/>
        <v/>
      </c>
    </row>
    <row r="235" ht="15.75" customHeight="1">
      <c r="A235" s="32" t="s">
        <v>22</v>
      </c>
      <c r="B235" s="34">
        <f t="shared" si="6"/>
        <v>44795</v>
      </c>
      <c r="C235" s="35">
        <v>9.0</v>
      </c>
      <c r="D235" s="35" t="s">
        <v>32</v>
      </c>
      <c r="E235" s="87" t="s">
        <v>35</v>
      </c>
      <c r="F235" s="23"/>
      <c r="H235" s="24"/>
      <c r="J235" s="24"/>
      <c r="L235" s="25"/>
      <c r="N235" s="26"/>
      <c r="P235" s="86"/>
      <c r="R235" s="26"/>
      <c r="T235" s="24"/>
      <c r="V235" s="24"/>
      <c r="W235" s="27"/>
      <c r="X235" s="23"/>
      <c r="Z235" s="24"/>
      <c r="AB235" s="24"/>
      <c r="AD235" s="24"/>
      <c r="AF235" s="24"/>
      <c r="AH235" s="24"/>
      <c r="AI235" s="27"/>
      <c r="AJ235" s="39">
        <f t="shared" si="1"/>
        <v>0</v>
      </c>
      <c r="AK235" s="35">
        <f t="shared" si="2"/>
        <v>0</v>
      </c>
      <c r="AL235" s="35" t="str">
        <f t="shared" si="3"/>
        <v/>
      </c>
      <c r="AM235" s="35">
        <f t="shared" si="4"/>
        <v>0</v>
      </c>
      <c r="AN235" s="40" t="str">
        <f t="shared" si="5"/>
        <v/>
      </c>
    </row>
    <row r="236" ht="15.75" customHeight="1">
      <c r="A236" s="32" t="s">
        <v>24</v>
      </c>
      <c r="B236" s="34">
        <f t="shared" si="6"/>
        <v>44796</v>
      </c>
      <c r="C236" s="35">
        <v>9.0</v>
      </c>
      <c r="D236" s="35" t="s">
        <v>32</v>
      </c>
      <c r="E236" s="87" t="s">
        <v>35</v>
      </c>
      <c r="F236" s="23"/>
      <c r="H236" s="24"/>
      <c r="J236" s="24"/>
      <c r="L236" s="25"/>
      <c r="N236" s="26"/>
      <c r="P236" s="86"/>
      <c r="R236" s="26"/>
      <c r="T236" s="24"/>
      <c r="V236" s="24"/>
      <c r="W236" s="27"/>
      <c r="X236" s="23"/>
      <c r="Z236" s="24"/>
      <c r="AB236" s="24"/>
      <c r="AD236" s="24"/>
      <c r="AF236" s="24"/>
      <c r="AH236" s="24"/>
      <c r="AI236" s="27"/>
      <c r="AJ236" s="39">
        <f t="shared" si="1"/>
        <v>0</v>
      </c>
      <c r="AK236" s="35">
        <f t="shared" si="2"/>
        <v>0</v>
      </c>
      <c r="AL236" s="35" t="str">
        <f t="shared" si="3"/>
        <v/>
      </c>
      <c r="AM236" s="35">
        <f t="shared" si="4"/>
        <v>0</v>
      </c>
      <c r="AN236" s="40" t="str">
        <f t="shared" si="5"/>
        <v/>
      </c>
    </row>
    <row r="237" ht="15.75" customHeight="1">
      <c r="A237" s="32" t="s">
        <v>28</v>
      </c>
      <c r="B237" s="34">
        <f t="shared" si="6"/>
        <v>44797</v>
      </c>
      <c r="C237" s="35">
        <v>9.0</v>
      </c>
      <c r="D237" s="35" t="s">
        <v>32</v>
      </c>
      <c r="E237" s="87" t="s">
        <v>35</v>
      </c>
      <c r="F237" s="23"/>
      <c r="H237" s="24"/>
      <c r="J237" s="24"/>
      <c r="L237" s="25"/>
      <c r="N237" s="26"/>
      <c r="P237" s="86"/>
      <c r="R237" s="26"/>
      <c r="T237" s="24"/>
      <c r="V237" s="24"/>
      <c r="W237" s="27"/>
      <c r="X237" s="23"/>
      <c r="Z237" s="24"/>
      <c r="AB237" s="24"/>
      <c r="AD237" s="24"/>
      <c r="AF237" s="24"/>
      <c r="AH237" s="24"/>
      <c r="AI237" s="27"/>
      <c r="AJ237" s="39">
        <f t="shared" si="1"/>
        <v>0</v>
      </c>
      <c r="AK237" s="35">
        <f t="shared" si="2"/>
        <v>0</v>
      </c>
      <c r="AL237" s="35" t="str">
        <f t="shared" si="3"/>
        <v/>
      </c>
      <c r="AM237" s="35">
        <f t="shared" si="4"/>
        <v>0</v>
      </c>
      <c r="AN237" s="40" t="str">
        <f t="shared" si="5"/>
        <v/>
      </c>
    </row>
    <row r="238" ht="15.75" customHeight="1">
      <c r="A238" s="32" t="s">
        <v>29</v>
      </c>
      <c r="B238" s="34">
        <f t="shared" si="6"/>
        <v>44798</v>
      </c>
      <c r="C238" s="35">
        <v>9.0</v>
      </c>
      <c r="D238" s="35" t="s">
        <v>32</v>
      </c>
      <c r="E238" s="87" t="s">
        <v>35</v>
      </c>
      <c r="F238" s="23"/>
      <c r="H238" s="24"/>
      <c r="J238" s="24"/>
      <c r="L238" s="25"/>
      <c r="N238" s="26"/>
      <c r="P238" s="86"/>
      <c r="R238" s="26"/>
      <c r="T238" s="24"/>
      <c r="V238" s="24"/>
      <c r="W238" s="27"/>
      <c r="X238" s="23"/>
      <c r="Z238" s="24"/>
      <c r="AB238" s="24"/>
      <c r="AD238" s="24"/>
      <c r="AF238" s="24"/>
      <c r="AH238" s="24"/>
      <c r="AI238" s="27"/>
      <c r="AJ238" s="39">
        <f t="shared" si="1"/>
        <v>0</v>
      </c>
      <c r="AK238" s="35">
        <f t="shared" si="2"/>
        <v>0</v>
      </c>
      <c r="AL238" s="35" t="str">
        <f t="shared" si="3"/>
        <v/>
      </c>
      <c r="AM238" s="35">
        <f t="shared" si="4"/>
        <v>0</v>
      </c>
      <c r="AN238" s="40" t="str">
        <f t="shared" si="5"/>
        <v/>
      </c>
    </row>
    <row r="239" ht="15.75" customHeight="1">
      <c r="A239" s="32" t="s">
        <v>30</v>
      </c>
      <c r="B239" s="34">
        <f t="shared" si="6"/>
        <v>44799</v>
      </c>
      <c r="C239" s="35">
        <v>9.0</v>
      </c>
      <c r="D239" s="35" t="s">
        <v>32</v>
      </c>
      <c r="E239" s="87" t="s">
        <v>35</v>
      </c>
      <c r="F239" s="23"/>
      <c r="H239" s="24"/>
      <c r="J239" s="24"/>
      <c r="L239" s="25"/>
      <c r="N239" s="26"/>
      <c r="P239" s="86"/>
      <c r="R239" s="26"/>
      <c r="T239" s="24"/>
      <c r="V239" s="24"/>
      <c r="W239" s="27"/>
      <c r="X239" s="23"/>
      <c r="Z239" s="24"/>
      <c r="AB239" s="24"/>
      <c r="AD239" s="24"/>
      <c r="AF239" s="24"/>
      <c r="AH239" s="24"/>
      <c r="AI239" s="27"/>
      <c r="AJ239" s="39">
        <f t="shared" si="1"/>
        <v>0</v>
      </c>
      <c r="AK239" s="35">
        <f t="shared" si="2"/>
        <v>0</v>
      </c>
      <c r="AL239" s="35" t="str">
        <f t="shared" si="3"/>
        <v/>
      </c>
      <c r="AM239" s="35">
        <f t="shared" si="4"/>
        <v>0</v>
      </c>
      <c r="AN239" s="40" t="str">
        <f t="shared" si="5"/>
        <v/>
      </c>
    </row>
    <row r="240" ht="15.75" customHeight="1">
      <c r="A240" s="48" t="s">
        <v>31</v>
      </c>
      <c r="B240" s="50">
        <f t="shared" si="6"/>
        <v>44800</v>
      </c>
      <c r="C240" s="51">
        <v>9.0</v>
      </c>
      <c r="D240" s="51" t="s">
        <v>32</v>
      </c>
      <c r="E240" s="88" t="s">
        <v>35</v>
      </c>
      <c r="F240" s="54"/>
      <c r="G240" s="56"/>
      <c r="H240" s="57"/>
      <c r="I240" s="56"/>
      <c r="J240" s="57"/>
      <c r="K240" s="56"/>
      <c r="L240" s="58"/>
      <c r="M240" s="56"/>
      <c r="N240" s="59"/>
      <c r="O240" s="56"/>
      <c r="P240" s="89"/>
      <c r="Q240" s="56"/>
      <c r="R240" s="59"/>
      <c r="S240" s="56"/>
      <c r="T240" s="57"/>
      <c r="U240" s="56"/>
      <c r="V240" s="57"/>
      <c r="W240" s="60"/>
      <c r="X240" s="54"/>
      <c r="Y240" s="56"/>
      <c r="Z240" s="57"/>
      <c r="AA240" s="56"/>
      <c r="AB240" s="57"/>
      <c r="AC240" s="56"/>
      <c r="AD240" s="57"/>
      <c r="AE240" s="56"/>
      <c r="AF240" s="57"/>
      <c r="AG240" s="56"/>
      <c r="AH240" s="57"/>
      <c r="AI240" s="60"/>
      <c r="AJ240" s="61">
        <f t="shared" si="1"/>
        <v>0</v>
      </c>
      <c r="AK240" s="51">
        <f t="shared" si="2"/>
        <v>0</v>
      </c>
      <c r="AL240" s="51" t="str">
        <f t="shared" si="3"/>
        <v/>
      </c>
      <c r="AM240" s="51">
        <f t="shared" si="4"/>
        <v>0</v>
      </c>
      <c r="AN240" s="63" t="str">
        <f t="shared" si="5"/>
        <v/>
      </c>
    </row>
    <row r="241" ht="15.75" customHeight="1">
      <c r="A241" s="18" t="s">
        <v>20</v>
      </c>
      <c r="B241" s="64">
        <f t="shared" si="6"/>
        <v>44801</v>
      </c>
      <c r="C241" s="20">
        <v>9.0</v>
      </c>
      <c r="D241" s="20" t="s">
        <v>33</v>
      </c>
      <c r="E241" s="22"/>
      <c r="F241" s="23"/>
      <c r="H241" s="24"/>
      <c r="J241" s="24"/>
      <c r="L241" s="25"/>
      <c r="N241" s="26"/>
      <c r="P241" s="24"/>
      <c r="R241" s="26"/>
      <c r="T241" s="24"/>
      <c r="V241" s="24"/>
      <c r="W241" s="27"/>
      <c r="X241" s="23"/>
      <c r="Z241" s="24"/>
      <c r="AB241" s="24"/>
      <c r="AD241" s="24"/>
      <c r="AF241" s="24"/>
      <c r="AH241" s="24"/>
      <c r="AI241" s="27"/>
      <c r="AJ241" s="28">
        <f t="shared" si="1"/>
        <v>0</v>
      </c>
      <c r="AK241" s="20">
        <f t="shared" si="2"/>
        <v>0</v>
      </c>
      <c r="AL241" s="20" t="str">
        <f t="shared" si="3"/>
        <v/>
      </c>
      <c r="AM241" s="20">
        <f t="shared" si="4"/>
        <v>0</v>
      </c>
      <c r="AN241" s="31" t="str">
        <f t="shared" si="5"/>
        <v/>
      </c>
    </row>
    <row r="242" ht="15.75" customHeight="1">
      <c r="A242" s="32" t="s">
        <v>22</v>
      </c>
      <c r="B242" s="34">
        <f t="shared" si="6"/>
        <v>44802</v>
      </c>
      <c r="C242" s="35">
        <v>9.0</v>
      </c>
      <c r="D242" s="35" t="s">
        <v>33</v>
      </c>
      <c r="E242" s="37"/>
      <c r="F242" s="23"/>
      <c r="H242" s="24"/>
      <c r="J242" s="24"/>
      <c r="L242" s="25"/>
      <c r="N242" s="26"/>
      <c r="P242" s="24"/>
      <c r="R242" s="26"/>
      <c r="T242" s="24"/>
      <c r="V242" s="24"/>
      <c r="W242" s="27"/>
      <c r="X242" s="23"/>
      <c r="Z242" s="24"/>
      <c r="AB242" s="24"/>
      <c r="AD242" s="24"/>
      <c r="AF242" s="24"/>
      <c r="AH242" s="24"/>
      <c r="AI242" s="27"/>
      <c r="AJ242" s="39">
        <f t="shared" si="1"/>
        <v>0</v>
      </c>
      <c r="AK242" s="35">
        <f t="shared" si="2"/>
        <v>0</v>
      </c>
      <c r="AL242" s="35" t="str">
        <f t="shared" si="3"/>
        <v/>
      </c>
      <c r="AM242" s="35">
        <f t="shared" si="4"/>
        <v>0</v>
      </c>
      <c r="AN242" s="40" t="str">
        <f t="shared" si="5"/>
        <v/>
      </c>
    </row>
    <row r="243" ht="15.75" customHeight="1">
      <c r="A243" s="32" t="s">
        <v>24</v>
      </c>
      <c r="B243" s="34">
        <f t="shared" si="6"/>
        <v>44803</v>
      </c>
      <c r="C243" s="35">
        <v>9.0</v>
      </c>
      <c r="D243" s="35" t="s">
        <v>33</v>
      </c>
      <c r="E243" s="37"/>
      <c r="F243" s="23"/>
      <c r="H243" s="24"/>
      <c r="J243" s="24"/>
      <c r="L243" s="25"/>
      <c r="N243" s="26"/>
      <c r="P243" s="24"/>
      <c r="R243" s="26"/>
      <c r="T243" s="24"/>
      <c r="V243" s="24"/>
      <c r="W243" s="27"/>
      <c r="X243" s="23"/>
      <c r="Z243" s="24"/>
      <c r="AB243" s="24"/>
      <c r="AD243" s="24"/>
      <c r="AF243" s="24"/>
      <c r="AH243" s="24"/>
      <c r="AI243" s="27"/>
      <c r="AJ243" s="39">
        <f t="shared" si="1"/>
        <v>0</v>
      </c>
      <c r="AK243" s="35">
        <f t="shared" si="2"/>
        <v>0</v>
      </c>
      <c r="AL243" s="35" t="str">
        <f t="shared" si="3"/>
        <v/>
      </c>
      <c r="AM243" s="35">
        <f t="shared" si="4"/>
        <v>0</v>
      </c>
      <c r="AN243" s="40" t="str">
        <f t="shared" si="5"/>
        <v/>
      </c>
    </row>
    <row r="244" ht="15.75" customHeight="1">
      <c r="A244" s="32" t="s">
        <v>28</v>
      </c>
      <c r="B244" s="34">
        <f t="shared" si="6"/>
        <v>44804</v>
      </c>
      <c r="C244" s="35">
        <v>9.0</v>
      </c>
      <c r="D244" s="35" t="s">
        <v>33</v>
      </c>
      <c r="E244" s="37"/>
      <c r="F244" s="23"/>
      <c r="H244" s="24"/>
      <c r="J244" s="24"/>
      <c r="L244" s="25"/>
      <c r="N244" s="26"/>
      <c r="P244" s="24"/>
      <c r="R244" s="26"/>
      <c r="T244" s="24"/>
      <c r="V244" s="24"/>
      <c r="W244" s="27"/>
      <c r="X244" s="23"/>
      <c r="Z244" s="24"/>
      <c r="AB244" s="24"/>
      <c r="AD244" s="24"/>
      <c r="AF244" s="24"/>
      <c r="AH244" s="24"/>
      <c r="AI244" s="27"/>
      <c r="AJ244" s="39">
        <f t="shared" si="1"/>
        <v>0</v>
      </c>
      <c r="AK244" s="35">
        <f t="shared" si="2"/>
        <v>0</v>
      </c>
      <c r="AL244" s="35" t="str">
        <f t="shared" si="3"/>
        <v/>
      </c>
      <c r="AM244" s="35">
        <f t="shared" si="4"/>
        <v>0</v>
      </c>
      <c r="AN244" s="40" t="str">
        <f t="shared" si="5"/>
        <v/>
      </c>
    </row>
    <row r="245" ht="15.75" customHeight="1">
      <c r="A245" s="32" t="s">
        <v>29</v>
      </c>
      <c r="B245" s="34">
        <f t="shared" si="6"/>
        <v>44805</v>
      </c>
      <c r="C245" s="35">
        <v>9.0</v>
      </c>
      <c r="D245" s="35" t="s">
        <v>33</v>
      </c>
      <c r="E245" s="37"/>
      <c r="F245" s="23"/>
      <c r="H245" s="24"/>
      <c r="J245" s="24"/>
      <c r="L245" s="25"/>
      <c r="N245" s="26"/>
      <c r="P245" s="24"/>
      <c r="R245" s="26"/>
      <c r="T245" s="24"/>
      <c r="V245" s="24"/>
      <c r="W245" s="27"/>
      <c r="X245" s="23"/>
      <c r="Z245" s="24"/>
      <c r="AB245" s="24"/>
      <c r="AD245" s="24"/>
      <c r="AF245" s="24"/>
      <c r="AH245" s="24"/>
      <c r="AI245" s="27"/>
      <c r="AJ245" s="39">
        <f t="shared" si="1"/>
        <v>0</v>
      </c>
      <c r="AK245" s="35">
        <f t="shared" si="2"/>
        <v>0</v>
      </c>
      <c r="AL245" s="35" t="str">
        <f t="shared" si="3"/>
        <v/>
      </c>
      <c r="AM245" s="35">
        <f t="shared" si="4"/>
        <v>0</v>
      </c>
      <c r="AN245" s="40" t="str">
        <f t="shared" si="5"/>
        <v/>
      </c>
    </row>
    <row r="246" ht="15.75" customHeight="1">
      <c r="A246" s="32" t="s">
        <v>30</v>
      </c>
      <c r="B246" s="34">
        <f t="shared" si="6"/>
        <v>44806</v>
      </c>
      <c r="C246" s="35">
        <v>9.0</v>
      </c>
      <c r="D246" s="35" t="s">
        <v>33</v>
      </c>
      <c r="E246" s="37"/>
      <c r="F246" s="23"/>
      <c r="H246" s="24"/>
      <c r="J246" s="24"/>
      <c r="L246" s="25"/>
      <c r="N246" s="26"/>
      <c r="P246" s="24"/>
      <c r="R246" s="26"/>
      <c r="T246" s="24"/>
      <c r="V246" s="24"/>
      <c r="W246" s="27"/>
      <c r="X246" s="23"/>
      <c r="Z246" s="24"/>
      <c r="AB246" s="24"/>
      <c r="AD246" s="24"/>
      <c r="AF246" s="24"/>
      <c r="AH246" s="24"/>
      <c r="AI246" s="27"/>
      <c r="AJ246" s="39">
        <f t="shared" si="1"/>
        <v>0</v>
      </c>
      <c r="AK246" s="35">
        <f t="shared" si="2"/>
        <v>0</v>
      </c>
      <c r="AL246" s="35" t="str">
        <f t="shared" si="3"/>
        <v/>
      </c>
      <c r="AM246" s="35">
        <f t="shared" si="4"/>
        <v>0</v>
      </c>
      <c r="AN246" s="40" t="str">
        <f t="shared" si="5"/>
        <v/>
      </c>
    </row>
    <row r="247" ht="15.75" customHeight="1">
      <c r="A247" s="48" t="s">
        <v>31</v>
      </c>
      <c r="B247" s="50">
        <f t="shared" si="6"/>
        <v>44807</v>
      </c>
      <c r="C247" s="51">
        <v>9.0</v>
      </c>
      <c r="D247" s="51" t="s">
        <v>33</v>
      </c>
      <c r="E247" s="53"/>
      <c r="F247" s="54"/>
      <c r="G247" s="56"/>
      <c r="H247" s="57"/>
      <c r="I247" s="56"/>
      <c r="J247" s="57"/>
      <c r="K247" s="56"/>
      <c r="L247" s="58"/>
      <c r="M247" s="56"/>
      <c r="N247" s="59"/>
      <c r="O247" s="56"/>
      <c r="P247" s="57"/>
      <c r="Q247" s="56"/>
      <c r="R247" s="59"/>
      <c r="S247" s="56"/>
      <c r="T247" s="57"/>
      <c r="U247" s="56"/>
      <c r="V247" s="57"/>
      <c r="W247" s="60"/>
      <c r="X247" s="54"/>
      <c r="Y247" s="56"/>
      <c r="Z247" s="57"/>
      <c r="AA247" s="56"/>
      <c r="AB247" s="57"/>
      <c r="AC247" s="56"/>
      <c r="AD247" s="57"/>
      <c r="AE247" s="56"/>
      <c r="AF247" s="57"/>
      <c r="AG247" s="56"/>
      <c r="AH247" s="57"/>
      <c r="AI247" s="60"/>
      <c r="AJ247" s="61">
        <f t="shared" si="1"/>
        <v>0</v>
      </c>
      <c r="AK247" s="51">
        <f t="shared" si="2"/>
        <v>0</v>
      </c>
      <c r="AL247" s="51" t="str">
        <f t="shared" si="3"/>
        <v/>
      </c>
      <c r="AM247" s="51">
        <f t="shared" si="4"/>
        <v>0</v>
      </c>
      <c r="AN247" s="63" t="str">
        <f t="shared" si="5"/>
        <v/>
      </c>
    </row>
    <row r="248" ht="15.75" customHeight="1">
      <c r="A248" s="18" t="s">
        <v>20</v>
      </c>
      <c r="B248" s="64">
        <f t="shared" si="6"/>
        <v>44808</v>
      </c>
      <c r="C248" s="20">
        <v>9.0</v>
      </c>
      <c r="D248" s="20" t="s">
        <v>34</v>
      </c>
      <c r="E248" s="22"/>
      <c r="F248" s="23"/>
      <c r="H248" s="24"/>
      <c r="J248" s="24"/>
      <c r="L248" s="25"/>
      <c r="N248" s="26"/>
      <c r="P248" s="24"/>
      <c r="R248" s="26"/>
      <c r="T248" s="24"/>
      <c r="V248" s="24"/>
      <c r="W248" s="27"/>
      <c r="X248" s="23"/>
      <c r="Z248" s="24"/>
      <c r="AB248" s="24"/>
      <c r="AD248" s="24"/>
      <c r="AF248" s="24"/>
      <c r="AH248" s="24"/>
      <c r="AI248" s="27"/>
      <c r="AJ248" s="28">
        <f t="shared" si="1"/>
        <v>0</v>
      </c>
      <c r="AK248" s="20">
        <f t="shared" si="2"/>
        <v>0</v>
      </c>
      <c r="AL248" s="20" t="str">
        <f t="shared" si="3"/>
        <v/>
      </c>
      <c r="AM248" s="20">
        <f t="shared" si="4"/>
        <v>0</v>
      </c>
      <c r="AN248" s="31" t="str">
        <f t="shared" si="5"/>
        <v/>
      </c>
    </row>
    <row r="249" ht="15.75" customHeight="1">
      <c r="A249" s="32" t="s">
        <v>22</v>
      </c>
      <c r="B249" s="34">
        <f t="shared" si="6"/>
        <v>44809</v>
      </c>
      <c r="C249" s="35">
        <v>9.0</v>
      </c>
      <c r="D249" s="35" t="s">
        <v>34</v>
      </c>
      <c r="E249" s="37"/>
      <c r="F249" s="23"/>
      <c r="H249" s="24"/>
      <c r="J249" s="24"/>
      <c r="L249" s="25"/>
      <c r="N249" s="26"/>
      <c r="P249" s="24"/>
      <c r="R249" s="26"/>
      <c r="T249" s="24"/>
      <c r="V249" s="24"/>
      <c r="W249" s="27"/>
      <c r="X249" s="23"/>
      <c r="Z249" s="24"/>
      <c r="AB249" s="24"/>
      <c r="AD249" s="24"/>
      <c r="AF249" s="24"/>
      <c r="AH249" s="24"/>
      <c r="AI249" s="27"/>
      <c r="AJ249" s="39">
        <f t="shared" si="1"/>
        <v>0</v>
      </c>
      <c r="AK249" s="35">
        <f t="shared" si="2"/>
        <v>0</v>
      </c>
      <c r="AL249" s="35" t="str">
        <f t="shared" si="3"/>
        <v/>
      </c>
      <c r="AM249" s="35">
        <f t="shared" si="4"/>
        <v>0</v>
      </c>
      <c r="AN249" s="40" t="str">
        <f t="shared" si="5"/>
        <v/>
      </c>
    </row>
    <row r="250" ht="15.75" customHeight="1">
      <c r="A250" s="32" t="s">
        <v>24</v>
      </c>
      <c r="B250" s="34">
        <f t="shared" si="6"/>
        <v>44810</v>
      </c>
      <c r="C250" s="35">
        <v>9.0</v>
      </c>
      <c r="D250" s="35" t="s">
        <v>34</v>
      </c>
      <c r="E250" s="37"/>
      <c r="F250" s="23"/>
      <c r="H250" s="24"/>
      <c r="J250" s="24"/>
      <c r="L250" s="25"/>
      <c r="N250" s="26"/>
      <c r="P250" s="24"/>
      <c r="R250" s="26"/>
      <c r="T250" s="24"/>
      <c r="V250" s="24"/>
      <c r="W250" s="27"/>
      <c r="X250" s="23"/>
      <c r="Z250" s="24"/>
      <c r="AB250" s="24"/>
      <c r="AD250" s="24"/>
      <c r="AF250" s="24"/>
      <c r="AH250" s="24"/>
      <c r="AI250" s="27"/>
      <c r="AJ250" s="39">
        <f t="shared" si="1"/>
        <v>0</v>
      </c>
      <c r="AK250" s="35">
        <f t="shared" si="2"/>
        <v>0</v>
      </c>
      <c r="AL250" s="35" t="str">
        <f t="shared" si="3"/>
        <v/>
      </c>
      <c r="AM250" s="35">
        <f t="shared" si="4"/>
        <v>0</v>
      </c>
      <c r="AN250" s="40" t="str">
        <f t="shared" si="5"/>
        <v/>
      </c>
    </row>
    <row r="251" ht="15.75" customHeight="1">
      <c r="A251" s="32" t="s">
        <v>28</v>
      </c>
      <c r="B251" s="34">
        <f t="shared" si="6"/>
        <v>44811</v>
      </c>
      <c r="C251" s="35">
        <v>9.0</v>
      </c>
      <c r="D251" s="35" t="s">
        <v>34</v>
      </c>
      <c r="E251" s="37"/>
      <c r="F251" s="23"/>
      <c r="H251" s="24"/>
      <c r="J251" s="24"/>
      <c r="L251" s="25"/>
      <c r="N251" s="26"/>
      <c r="P251" s="24"/>
      <c r="R251" s="26"/>
      <c r="T251" s="24"/>
      <c r="V251" s="24"/>
      <c r="W251" s="27"/>
      <c r="X251" s="23"/>
      <c r="Z251" s="24"/>
      <c r="AB251" s="24"/>
      <c r="AD251" s="24"/>
      <c r="AF251" s="24"/>
      <c r="AH251" s="24"/>
      <c r="AI251" s="27"/>
      <c r="AJ251" s="39">
        <f t="shared" si="1"/>
        <v>0</v>
      </c>
      <c r="AK251" s="35">
        <f t="shared" si="2"/>
        <v>0</v>
      </c>
      <c r="AL251" s="35" t="str">
        <f t="shared" si="3"/>
        <v/>
      </c>
      <c r="AM251" s="35">
        <f t="shared" si="4"/>
        <v>0</v>
      </c>
      <c r="AN251" s="40" t="str">
        <f t="shared" si="5"/>
        <v/>
      </c>
    </row>
    <row r="252" ht="15.75" customHeight="1">
      <c r="A252" s="32" t="s">
        <v>29</v>
      </c>
      <c r="B252" s="34">
        <f t="shared" si="6"/>
        <v>44812</v>
      </c>
      <c r="C252" s="35">
        <v>9.0</v>
      </c>
      <c r="D252" s="35" t="s">
        <v>34</v>
      </c>
      <c r="E252" s="37"/>
      <c r="F252" s="23"/>
      <c r="H252" s="24"/>
      <c r="J252" s="24"/>
      <c r="L252" s="25"/>
      <c r="N252" s="26"/>
      <c r="P252" s="24"/>
      <c r="R252" s="26"/>
      <c r="T252" s="24"/>
      <c r="V252" s="24"/>
      <c r="W252" s="27"/>
      <c r="X252" s="23"/>
      <c r="Z252" s="24"/>
      <c r="AB252" s="24"/>
      <c r="AD252" s="24"/>
      <c r="AF252" s="24"/>
      <c r="AH252" s="24"/>
      <c r="AI252" s="27"/>
      <c r="AJ252" s="39">
        <f t="shared" si="1"/>
        <v>0</v>
      </c>
      <c r="AK252" s="35">
        <f t="shared" si="2"/>
        <v>0</v>
      </c>
      <c r="AL252" s="35" t="str">
        <f t="shared" si="3"/>
        <v/>
      </c>
      <c r="AM252" s="35">
        <f t="shared" si="4"/>
        <v>0</v>
      </c>
      <c r="AN252" s="40" t="str">
        <f t="shared" si="5"/>
        <v/>
      </c>
    </row>
    <row r="253" ht="15.75" customHeight="1">
      <c r="A253" s="32" t="s">
        <v>30</v>
      </c>
      <c r="B253" s="34">
        <f t="shared" si="6"/>
        <v>44813</v>
      </c>
      <c r="C253" s="35">
        <v>9.0</v>
      </c>
      <c r="D253" s="35" t="s">
        <v>34</v>
      </c>
      <c r="E253" s="37"/>
      <c r="F253" s="23"/>
      <c r="H253" s="24"/>
      <c r="J253" s="24"/>
      <c r="L253" s="25"/>
      <c r="N253" s="26"/>
      <c r="P253" s="24"/>
      <c r="R253" s="26"/>
      <c r="T253" s="24"/>
      <c r="V253" s="24"/>
      <c r="W253" s="27"/>
      <c r="X253" s="23"/>
      <c r="Z253" s="24"/>
      <c r="AB253" s="24"/>
      <c r="AD253" s="24"/>
      <c r="AF253" s="24"/>
      <c r="AH253" s="24"/>
      <c r="AI253" s="27"/>
      <c r="AJ253" s="39">
        <f t="shared" si="1"/>
        <v>0</v>
      </c>
      <c r="AK253" s="35">
        <f t="shared" si="2"/>
        <v>0</v>
      </c>
      <c r="AL253" s="35" t="str">
        <f t="shared" si="3"/>
        <v/>
      </c>
      <c r="AM253" s="35">
        <f t="shared" si="4"/>
        <v>0</v>
      </c>
      <c r="AN253" s="40" t="str">
        <f t="shared" si="5"/>
        <v/>
      </c>
    </row>
    <row r="254" ht="15.75" customHeight="1">
      <c r="A254" s="48" t="s">
        <v>31</v>
      </c>
      <c r="B254" s="50">
        <f t="shared" si="6"/>
        <v>44814</v>
      </c>
      <c r="C254" s="51">
        <v>9.0</v>
      </c>
      <c r="D254" s="51" t="s">
        <v>34</v>
      </c>
      <c r="E254" s="53"/>
      <c r="F254" s="54"/>
      <c r="G254" s="56"/>
      <c r="H254" s="57"/>
      <c r="I254" s="56"/>
      <c r="J254" s="57"/>
      <c r="K254" s="56"/>
      <c r="L254" s="58"/>
      <c r="M254" s="56"/>
      <c r="N254" s="59"/>
      <c r="O254" s="56"/>
      <c r="P254" s="57"/>
      <c r="Q254" s="56"/>
      <c r="R254" s="59"/>
      <c r="S254" s="56"/>
      <c r="T254" s="57"/>
      <c r="U254" s="56"/>
      <c r="V254" s="57"/>
      <c r="W254" s="60"/>
      <c r="X254" s="54"/>
      <c r="Y254" s="56"/>
      <c r="Z254" s="57"/>
      <c r="AA254" s="56"/>
      <c r="AB254" s="57"/>
      <c r="AC254" s="56"/>
      <c r="AD254" s="57"/>
      <c r="AE254" s="56"/>
      <c r="AF254" s="57"/>
      <c r="AG254" s="56"/>
      <c r="AH254" s="57"/>
      <c r="AI254" s="60"/>
      <c r="AJ254" s="61">
        <f t="shared" si="1"/>
        <v>0</v>
      </c>
      <c r="AK254" s="51">
        <f t="shared" si="2"/>
        <v>0</v>
      </c>
      <c r="AL254" s="51" t="str">
        <f t="shared" si="3"/>
        <v/>
      </c>
      <c r="AM254" s="51">
        <f t="shared" si="4"/>
        <v>0</v>
      </c>
      <c r="AN254" s="63" t="str">
        <f t="shared" si="5"/>
        <v/>
      </c>
    </row>
    <row r="255" ht="15.75" customHeight="1">
      <c r="A255" s="18" t="s">
        <v>20</v>
      </c>
      <c r="B255" s="64">
        <f t="shared" si="6"/>
        <v>44815</v>
      </c>
      <c r="C255" s="20">
        <v>10.0</v>
      </c>
      <c r="D255" s="20" t="s">
        <v>21</v>
      </c>
      <c r="E255" s="22"/>
      <c r="F255" s="23"/>
      <c r="H255" s="24"/>
      <c r="J255" s="24"/>
      <c r="L255" s="25"/>
      <c r="N255" s="26"/>
      <c r="P255" s="24"/>
      <c r="R255" s="26"/>
      <c r="T255" s="24"/>
      <c r="V255" s="24"/>
      <c r="W255" s="27"/>
      <c r="X255" s="23"/>
      <c r="Z255" s="24"/>
      <c r="AB255" s="24"/>
      <c r="AD255" s="24"/>
      <c r="AF255" s="24"/>
      <c r="AH255" s="24"/>
      <c r="AI255" s="27"/>
      <c r="AJ255" s="28">
        <f t="shared" si="1"/>
        <v>0</v>
      </c>
      <c r="AK255" s="20">
        <f t="shared" si="2"/>
        <v>0</v>
      </c>
      <c r="AL255" s="20" t="str">
        <f t="shared" si="3"/>
        <v/>
      </c>
      <c r="AM255" s="20">
        <f t="shared" si="4"/>
        <v>0</v>
      </c>
      <c r="AN255" s="31" t="str">
        <f t="shared" si="5"/>
        <v/>
      </c>
    </row>
    <row r="256" ht="15.75" customHeight="1">
      <c r="A256" s="32" t="s">
        <v>22</v>
      </c>
      <c r="B256" s="34">
        <f t="shared" si="6"/>
        <v>44816</v>
      </c>
      <c r="C256" s="35">
        <v>10.0</v>
      </c>
      <c r="D256" s="35" t="s">
        <v>21</v>
      </c>
      <c r="E256" s="37"/>
      <c r="F256" s="23"/>
      <c r="H256" s="24"/>
      <c r="J256" s="24"/>
      <c r="L256" s="25"/>
      <c r="N256" s="26"/>
      <c r="P256" s="24"/>
      <c r="R256" s="26"/>
      <c r="T256" s="24"/>
      <c r="V256" s="24"/>
      <c r="W256" s="27"/>
      <c r="X256" s="23"/>
      <c r="Z256" s="24"/>
      <c r="AB256" s="24"/>
      <c r="AD256" s="24"/>
      <c r="AF256" s="24"/>
      <c r="AH256" s="24"/>
      <c r="AI256" s="27"/>
      <c r="AJ256" s="39">
        <f t="shared" si="1"/>
        <v>0</v>
      </c>
      <c r="AK256" s="35">
        <f t="shared" si="2"/>
        <v>0</v>
      </c>
      <c r="AL256" s="35" t="str">
        <f t="shared" si="3"/>
        <v/>
      </c>
      <c r="AM256" s="35">
        <f t="shared" si="4"/>
        <v>0</v>
      </c>
      <c r="AN256" s="40" t="str">
        <f t="shared" si="5"/>
        <v/>
      </c>
    </row>
    <row r="257" ht="15.75" customHeight="1">
      <c r="A257" s="32" t="s">
        <v>24</v>
      </c>
      <c r="B257" s="34">
        <f t="shared" si="6"/>
        <v>44817</v>
      </c>
      <c r="C257" s="35">
        <v>10.0</v>
      </c>
      <c r="D257" s="35" t="s">
        <v>21</v>
      </c>
      <c r="E257" s="37"/>
      <c r="F257" s="23"/>
      <c r="H257" s="24"/>
      <c r="J257" s="24"/>
      <c r="L257" s="25"/>
      <c r="N257" s="26"/>
      <c r="P257" s="24"/>
      <c r="R257" s="26"/>
      <c r="T257" s="24"/>
      <c r="V257" s="24"/>
      <c r="W257" s="27"/>
      <c r="X257" s="23"/>
      <c r="Z257" s="24"/>
      <c r="AB257" s="24"/>
      <c r="AD257" s="24"/>
      <c r="AF257" s="24"/>
      <c r="AH257" s="24"/>
      <c r="AI257" s="27"/>
      <c r="AJ257" s="39">
        <f t="shared" si="1"/>
        <v>0</v>
      </c>
      <c r="AK257" s="35">
        <f t="shared" si="2"/>
        <v>0</v>
      </c>
      <c r="AL257" s="35" t="str">
        <f t="shared" si="3"/>
        <v/>
      </c>
      <c r="AM257" s="35">
        <f t="shared" si="4"/>
        <v>0</v>
      </c>
      <c r="AN257" s="40" t="str">
        <f t="shared" si="5"/>
        <v/>
      </c>
    </row>
    <row r="258" ht="15.75" customHeight="1">
      <c r="A258" s="32" t="s">
        <v>28</v>
      </c>
      <c r="B258" s="34">
        <f t="shared" si="6"/>
        <v>44818</v>
      </c>
      <c r="C258" s="35">
        <v>10.0</v>
      </c>
      <c r="D258" s="35" t="s">
        <v>21</v>
      </c>
      <c r="E258" s="37"/>
      <c r="F258" s="23"/>
      <c r="H258" s="24"/>
      <c r="J258" s="24"/>
      <c r="L258" s="25"/>
      <c r="N258" s="26"/>
      <c r="P258" s="24"/>
      <c r="R258" s="26"/>
      <c r="T258" s="24"/>
      <c r="V258" s="24"/>
      <c r="W258" s="27"/>
      <c r="X258" s="23"/>
      <c r="Z258" s="24"/>
      <c r="AB258" s="24"/>
      <c r="AD258" s="24"/>
      <c r="AF258" s="24"/>
      <c r="AH258" s="24"/>
      <c r="AI258" s="27"/>
      <c r="AJ258" s="39">
        <f t="shared" si="1"/>
        <v>0</v>
      </c>
      <c r="AK258" s="35">
        <f t="shared" si="2"/>
        <v>0</v>
      </c>
      <c r="AL258" s="35" t="str">
        <f t="shared" si="3"/>
        <v/>
      </c>
      <c r="AM258" s="35">
        <f t="shared" si="4"/>
        <v>0</v>
      </c>
      <c r="AN258" s="40" t="str">
        <f t="shared" si="5"/>
        <v/>
      </c>
    </row>
    <row r="259" ht="15.75" customHeight="1">
      <c r="A259" s="32" t="s">
        <v>29</v>
      </c>
      <c r="B259" s="34">
        <f t="shared" si="6"/>
        <v>44819</v>
      </c>
      <c r="C259" s="35">
        <v>10.0</v>
      </c>
      <c r="D259" s="35" t="s">
        <v>21</v>
      </c>
      <c r="E259" s="37"/>
      <c r="F259" s="23"/>
      <c r="H259" s="24"/>
      <c r="J259" s="24"/>
      <c r="L259" s="25"/>
      <c r="N259" s="26"/>
      <c r="P259" s="24"/>
      <c r="R259" s="26"/>
      <c r="T259" s="24"/>
      <c r="V259" s="24"/>
      <c r="W259" s="27"/>
      <c r="X259" s="23"/>
      <c r="Z259" s="24"/>
      <c r="AB259" s="24"/>
      <c r="AD259" s="24"/>
      <c r="AF259" s="24"/>
      <c r="AH259" s="24"/>
      <c r="AI259" s="27"/>
      <c r="AJ259" s="39">
        <f t="shared" si="1"/>
        <v>0</v>
      </c>
      <c r="AK259" s="35">
        <f t="shared" si="2"/>
        <v>0</v>
      </c>
      <c r="AL259" s="35" t="str">
        <f t="shared" si="3"/>
        <v/>
      </c>
      <c r="AM259" s="35">
        <f t="shared" si="4"/>
        <v>0</v>
      </c>
      <c r="AN259" s="40" t="str">
        <f t="shared" si="5"/>
        <v/>
      </c>
    </row>
    <row r="260" ht="15.75" customHeight="1">
      <c r="A260" s="32" t="s">
        <v>30</v>
      </c>
      <c r="B260" s="34">
        <f t="shared" si="6"/>
        <v>44820</v>
      </c>
      <c r="C260" s="35">
        <v>10.0</v>
      </c>
      <c r="D260" s="35" t="s">
        <v>21</v>
      </c>
      <c r="E260" s="37"/>
      <c r="F260" s="23"/>
      <c r="H260" s="24"/>
      <c r="J260" s="24"/>
      <c r="L260" s="25"/>
      <c r="N260" s="26"/>
      <c r="P260" s="24"/>
      <c r="R260" s="26"/>
      <c r="T260" s="24"/>
      <c r="V260" s="24"/>
      <c r="W260" s="27"/>
      <c r="X260" s="23"/>
      <c r="Z260" s="24"/>
      <c r="AB260" s="24"/>
      <c r="AD260" s="24"/>
      <c r="AF260" s="24"/>
      <c r="AH260" s="24"/>
      <c r="AI260" s="27"/>
      <c r="AJ260" s="39">
        <f t="shared" si="1"/>
        <v>0</v>
      </c>
      <c r="AK260" s="35">
        <f t="shared" si="2"/>
        <v>0</v>
      </c>
      <c r="AL260" s="35" t="str">
        <f t="shared" si="3"/>
        <v/>
      </c>
      <c r="AM260" s="35">
        <f t="shared" si="4"/>
        <v>0</v>
      </c>
      <c r="AN260" s="40" t="str">
        <f t="shared" si="5"/>
        <v/>
      </c>
    </row>
    <row r="261" ht="15.75" customHeight="1">
      <c r="A261" s="48" t="s">
        <v>31</v>
      </c>
      <c r="B261" s="50">
        <f t="shared" si="6"/>
        <v>44821</v>
      </c>
      <c r="C261" s="51">
        <v>10.0</v>
      </c>
      <c r="D261" s="51" t="s">
        <v>21</v>
      </c>
      <c r="E261" s="53"/>
      <c r="F261" s="54"/>
      <c r="G261" s="56"/>
      <c r="H261" s="57"/>
      <c r="I261" s="56"/>
      <c r="J261" s="57"/>
      <c r="K261" s="56"/>
      <c r="L261" s="58"/>
      <c r="M261" s="56"/>
      <c r="N261" s="59"/>
      <c r="O261" s="56"/>
      <c r="P261" s="57"/>
      <c r="Q261" s="56"/>
      <c r="R261" s="59"/>
      <c r="S261" s="56"/>
      <c r="T261" s="57"/>
      <c r="U261" s="56"/>
      <c r="V261" s="57"/>
      <c r="W261" s="60"/>
      <c r="X261" s="54"/>
      <c r="Y261" s="56"/>
      <c r="Z261" s="57"/>
      <c r="AA261" s="56"/>
      <c r="AB261" s="57"/>
      <c r="AC261" s="56"/>
      <c r="AD261" s="57"/>
      <c r="AE261" s="56"/>
      <c r="AF261" s="57"/>
      <c r="AG261" s="56"/>
      <c r="AH261" s="57"/>
      <c r="AI261" s="60"/>
      <c r="AJ261" s="61">
        <f t="shared" si="1"/>
        <v>0</v>
      </c>
      <c r="AK261" s="51">
        <f t="shared" si="2"/>
        <v>0</v>
      </c>
      <c r="AL261" s="51" t="str">
        <f t="shared" si="3"/>
        <v/>
      </c>
      <c r="AM261" s="51">
        <f t="shared" si="4"/>
        <v>0</v>
      </c>
      <c r="AN261" s="63" t="str">
        <f t="shared" si="5"/>
        <v/>
      </c>
    </row>
    <row r="262" ht="15.75" customHeight="1">
      <c r="A262" s="18" t="s">
        <v>20</v>
      </c>
      <c r="B262" s="64">
        <f t="shared" si="6"/>
        <v>44822</v>
      </c>
      <c r="C262" s="20">
        <v>10.0</v>
      </c>
      <c r="D262" s="20" t="s">
        <v>32</v>
      </c>
      <c r="E262" s="22"/>
      <c r="F262" s="23"/>
      <c r="H262" s="24"/>
      <c r="J262" s="24"/>
      <c r="L262" s="25"/>
      <c r="N262" s="26"/>
      <c r="P262" s="24"/>
      <c r="R262" s="26"/>
      <c r="T262" s="24"/>
      <c r="V262" s="24"/>
      <c r="W262" s="27"/>
      <c r="X262" s="23"/>
      <c r="Z262" s="24"/>
      <c r="AB262" s="24"/>
      <c r="AD262" s="24"/>
      <c r="AF262" s="24"/>
      <c r="AH262" s="24"/>
      <c r="AI262" s="27"/>
      <c r="AJ262" s="28">
        <f t="shared" si="1"/>
        <v>0</v>
      </c>
      <c r="AK262" s="20">
        <f t="shared" si="2"/>
        <v>0</v>
      </c>
      <c r="AL262" s="20" t="str">
        <f t="shared" si="3"/>
        <v/>
      </c>
      <c r="AM262" s="20">
        <f t="shared" si="4"/>
        <v>0</v>
      </c>
      <c r="AN262" s="31" t="str">
        <f t="shared" si="5"/>
        <v/>
      </c>
    </row>
    <row r="263" ht="15.75" customHeight="1">
      <c r="A263" s="32" t="s">
        <v>22</v>
      </c>
      <c r="B263" s="34">
        <f t="shared" si="6"/>
        <v>44823</v>
      </c>
      <c r="C263" s="35">
        <v>10.0</v>
      </c>
      <c r="D263" s="35" t="s">
        <v>32</v>
      </c>
      <c r="E263" s="37"/>
      <c r="F263" s="23"/>
      <c r="H263" s="24"/>
      <c r="J263" s="24"/>
      <c r="L263" s="25"/>
      <c r="N263" s="26"/>
      <c r="P263" s="24"/>
      <c r="R263" s="26"/>
      <c r="T263" s="24"/>
      <c r="V263" s="24"/>
      <c r="W263" s="27"/>
      <c r="X263" s="23"/>
      <c r="Z263" s="24"/>
      <c r="AB263" s="24"/>
      <c r="AD263" s="24"/>
      <c r="AF263" s="24"/>
      <c r="AH263" s="24"/>
      <c r="AI263" s="27"/>
      <c r="AJ263" s="39">
        <f t="shared" si="1"/>
        <v>0</v>
      </c>
      <c r="AK263" s="35">
        <f t="shared" si="2"/>
        <v>0</v>
      </c>
      <c r="AL263" s="35" t="str">
        <f t="shared" si="3"/>
        <v/>
      </c>
      <c r="AM263" s="35">
        <f t="shared" si="4"/>
        <v>0</v>
      </c>
      <c r="AN263" s="40" t="str">
        <f t="shared" si="5"/>
        <v/>
      </c>
    </row>
    <row r="264" ht="15.75" customHeight="1">
      <c r="A264" s="32" t="s">
        <v>24</v>
      </c>
      <c r="B264" s="34">
        <f t="shared" si="6"/>
        <v>44824</v>
      </c>
      <c r="C264" s="35">
        <v>10.0</v>
      </c>
      <c r="D264" s="35" t="s">
        <v>32</v>
      </c>
      <c r="E264" s="37"/>
      <c r="F264" s="23"/>
      <c r="H264" s="24"/>
      <c r="J264" s="24"/>
      <c r="L264" s="25"/>
      <c r="N264" s="26"/>
      <c r="P264" s="24"/>
      <c r="R264" s="26"/>
      <c r="T264" s="24"/>
      <c r="V264" s="24"/>
      <c r="W264" s="27"/>
      <c r="X264" s="23"/>
      <c r="Z264" s="24"/>
      <c r="AB264" s="24"/>
      <c r="AD264" s="24"/>
      <c r="AF264" s="24"/>
      <c r="AH264" s="24"/>
      <c r="AI264" s="27"/>
      <c r="AJ264" s="39">
        <f t="shared" si="1"/>
        <v>0</v>
      </c>
      <c r="AK264" s="35">
        <f t="shared" si="2"/>
        <v>0</v>
      </c>
      <c r="AL264" s="35" t="str">
        <f t="shared" si="3"/>
        <v/>
      </c>
      <c r="AM264" s="35">
        <f t="shared" si="4"/>
        <v>0</v>
      </c>
      <c r="AN264" s="40" t="str">
        <f t="shared" si="5"/>
        <v/>
      </c>
    </row>
    <row r="265" ht="15.75" customHeight="1">
      <c r="A265" s="32" t="s">
        <v>28</v>
      </c>
      <c r="B265" s="34">
        <f t="shared" si="6"/>
        <v>44825</v>
      </c>
      <c r="C265" s="35">
        <v>10.0</v>
      </c>
      <c r="D265" s="35" t="s">
        <v>32</v>
      </c>
      <c r="E265" s="37"/>
      <c r="F265" s="23"/>
      <c r="H265" s="24"/>
      <c r="J265" s="24"/>
      <c r="L265" s="25"/>
      <c r="N265" s="26"/>
      <c r="P265" s="24"/>
      <c r="R265" s="26"/>
      <c r="T265" s="24"/>
      <c r="V265" s="24"/>
      <c r="W265" s="27"/>
      <c r="X265" s="23"/>
      <c r="Z265" s="24"/>
      <c r="AB265" s="24"/>
      <c r="AD265" s="24"/>
      <c r="AF265" s="24"/>
      <c r="AH265" s="24"/>
      <c r="AI265" s="27"/>
      <c r="AJ265" s="39">
        <f t="shared" si="1"/>
        <v>0</v>
      </c>
      <c r="AK265" s="35">
        <f t="shared" si="2"/>
        <v>0</v>
      </c>
      <c r="AL265" s="35" t="str">
        <f t="shared" si="3"/>
        <v/>
      </c>
      <c r="AM265" s="35">
        <f t="shared" si="4"/>
        <v>0</v>
      </c>
      <c r="AN265" s="40" t="str">
        <f t="shared" si="5"/>
        <v/>
      </c>
    </row>
    <row r="266" ht="15.75" customHeight="1">
      <c r="A266" s="32" t="s">
        <v>29</v>
      </c>
      <c r="B266" s="34">
        <f t="shared" si="6"/>
        <v>44826</v>
      </c>
      <c r="C266" s="35">
        <v>10.0</v>
      </c>
      <c r="D266" s="35" t="s">
        <v>32</v>
      </c>
      <c r="E266" s="37"/>
      <c r="F266" s="23"/>
      <c r="H266" s="24"/>
      <c r="J266" s="24"/>
      <c r="L266" s="25"/>
      <c r="N266" s="26"/>
      <c r="P266" s="24"/>
      <c r="R266" s="26"/>
      <c r="T266" s="24"/>
      <c r="V266" s="24"/>
      <c r="W266" s="27"/>
      <c r="X266" s="23"/>
      <c r="Z266" s="24"/>
      <c r="AB266" s="24"/>
      <c r="AD266" s="24"/>
      <c r="AF266" s="24"/>
      <c r="AH266" s="24"/>
      <c r="AI266" s="27"/>
      <c r="AJ266" s="39">
        <f t="shared" si="1"/>
        <v>0</v>
      </c>
      <c r="AK266" s="35">
        <f t="shared" si="2"/>
        <v>0</v>
      </c>
      <c r="AL266" s="35" t="str">
        <f t="shared" si="3"/>
        <v/>
      </c>
      <c r="AM266" s="35">
        <f t="shared" si="4"/>
        <v>0</v>
      </c>
      <c r="AN266" s="40" t="str">
        <f t="shared" si="5"/>
        <v/>
      </c>
    </row>
    <row r="267" ht="15.75" customHeight="1">
      <c r="A267" s="32" t="s">
        <v>30</v>
      </c>
      <c r="B267" s="34">
        <f t="shared" si="6"/>
        <v>44827</v>
      </c>
      <c r="C267" s="35">
        <v>10.0</v>
      </c>
      <c r="D267" s="35" t="s">
        <v>32</v>
      </c>
      <c r="E267" s="37"/>
      <c r="F267" s="23"/>
      <c r="H267" s="24"/>
      <c r="J267" s="24"/>
      <c r="L267" s="25"/>
      <c r="N267" s="26"/>
      <c r="P267" s="24"/>
      <c r="R267" s="26"/>
      <c r="T267" s="24"/>
      <c r="V267" s="24"/>
      <c r="W267" s="27"/>
      <c r="X267" s="23"/>
      <c r="Z267" s="24"/>
      <c r="AB267" s="24"/>
      <c r="AD267" s="24"/>
      <c r="AF267" s="24"/>
      <c r="AH267" s="24"/>
      <c r="AI267" s="27"/>
      <c r="AJ267" s="39">
        <f t="shared" si="1"/>
        <v>0</v>
      </c>
      <c r="AK267" s="35">
        <f t="shared" si="2"/>
        <v>0</v>
      </c>
      <c r="AL267" s="35" t="str">
        <f t="shared" si="3"/>
        <v/>
      </c>
      <c r="AM267" s="35">
        <f t="shared" si="4"/>
        <v>0</v>
      </c>
      <c r="AN267" s="40" t="str">
        <f t="shared" si="5"/>
        <v/>
      </c>
    </row>
    <row r="268" ht="15.75" customHeight="1">
      <c r="A268" s="48" t="s">
        <v>31</v>
      </c>
      <c r="B268" s="50">
        <f t="shared" si="6"/>
        <v>44828</v>
      </c>
      <c r="C268" s="51">
        <v>10.0</v>
      </c>
      <c r="D268" s="51" t="s">
        <v>32</v>
      </c>
      <c r="E268" s="53"/>
      <c r="F268" s="54"/>
      <c r="G268" s="56"/>
      <c r="H268" s="57"/>
      <c r="I268" s="56"/>
      <c r="J268" s="57"/>
      <c r="K268" s="56"/>
      <c r="L268" s="58"/>
      <c r="M268" s="56"/>
      <c r="N268" s="59"/>
      <c r="O268" s="56"/>
      <c r="P268" s="57"/>
      <c r="Q268" s="56"/>
      <c r="R268" s="59"/>
      <c r="S268" s="56"/>
      <c r="T268" s="57"/>
      <c r="U268" s="56"/>
      <c r="V268" s="57"/>
      <c r="W268" s="60"/>
      <c r="X268" s="54"/>
      <c r="Y268" s="56"/>
      <c r="Z268" s="57"/>
      <c r="AA268" s="56"/>
      <c r="AB268" s="57"/>
      <c r="AC268" s="56"/>
      <c r="AD268" s="57"/>
      <c r="AE268" s="56"/>
      <c r="AF268" s="57"/>
      <c r="AG268" s="56"/>
      <c r="AH268" s="57"/>
      <c r="AI268" s="60"/>
      <c r="AJ268" s="61">
        <f t="shared" si="1"/>
        <v>0</v>
      </c>
      <c r="AK268" s="51">
        <f t="shared" si="2"/>
        <v>0</v>
      </c>
      <c r="AL268" s="51" t="str">
        <f t="shared" si="3"/>
        <v/>
      </c>
      <c r="AM268" s="51">
        <f t="shared" si="4"/>
        <v>0</v>
      </c>
      <c r="AN268" s="63" t="str">
        <f t="shared" si="5"/>
        <v/>
      </c>
    </row>
    <row r="269" ht="15.75" customHeight="1">
      <c r="A269" s="18" t="s">
        <v>20</v>
      </c>
      <c r="B269" s="64">
        <f t="shared" si="6"/>
        <v>44829</v>
      </c>
      <c r="C269" s="20">
        <v>10.0</v>
      </c>
      <c r="D269" s="20" t="s">
        <v>33</v>
      </c>
      <c r="E269" s="22"/>
      <c r="F269" s="23"/>
      <c r="H269" s="24"/>
      <c r="J269" s="24"/>
      <c r="L269" s="25"/>
      <c r="N269" s="26"/>
      <c r="P269" s="24"/>
      <c r="R269" s="26"/>
      <c r="T269" s="24"/>
      <c r="V269" s="24"/>
      <c r="W269" s="27"/>
      <c r="X269" s="23"/>
      <c r="Z269" s="24"/>
      <c r="AB269" s="24"/>
      <c r="AD269" s="24"/>
      <c r="AF269" s="24"/>
      <c r="AH269" s="24"/>
      <c r="AI269" s="27"/>
      <c r="AJ269" s="28">
        <f t="shared" si="1"/>
        <v>0</v>
      </c>
      <c r="AK269" s="20">
        <f t="shared" si="2"/>
        <v>0</v>
      </c>
      <c r="AL269" s="20" t="str">
        <f t="shared" si="3"/>
        <v/>
      </c>
      <c r="AM269" s="20">
        <f t="shared" si="4"/>
        <v>0</v>
      </c>
      <c r="AN269" s="31" t="str">
        <f t="shared" si="5"/>
        <v/>
      </c>
    </row>
    <row r="270" ht="15.75" customHeight="1">
      <c r="A270" s="32" t="s">
        <v>22</v>
      </c>
      <c r="B270" s="34">
        <f t="shared" si="6"/>
        <v>44830</v>
      </c>
      <c r="C270" s="35">
        <v>10.0</v>
      </c>
      <c r="D270" s="35" t="s">
        <v>33</v>
      </c>
      <c r="E270" s="37"/>
      <c r="F270" s="23"/>
      <c r="H270" s="24"/>
      <c r="J270" s="24"/>
      <c r="L270" s="25"/>
      <c r="N270" s="26"/>
      <c r="P270" s="24"/>
      <c r="R270" s="26"/>
      <c r="T270" s="24"/>
      <c r="V270" s="24"/>
      <c r="W270" s="27"/>
      <c r="X270" s="23"/>
      <c r="Z270" s="24"/>
      <c r="AB270" s="24"/>
      <c r="AD270" s="24"/>
      <c r="AF270" s="24"/>
      <c r="AH270" s="24"/>
      <c r="AI270" s="27"/>
      <c r="AJ270" s="39">
        <f t="shared" si="1"/>
        <v>0</v>
      </c>
      <c r="AK270" s="35">
        <f t="shared" si="2"/>
        <v>0</v>
      </c>
      <c r="AL270" s="35" t="str">
        <f t="shared" si="3"/>
        <v/>
      </c>
      <c r="AM270" s="35">
        <f t="shared" si="4"/>
        <v>0</v>
      </c>
      <c r="AN270" s="40" t="str">
        <f t="shared" si="5"/>
        <v/>
      </c>
    </row>
    <row r="271" ht="15.75" customHeight="1">
      <c r="A271" s="32" t="s">
        <v>24</v>
      </c>
      <c r="B271" s="34">
        <f t="shared" si="6"/>
        <v>44831</v>
      </c>
      <c r="C271" s="35">
        <v>10.0</v>
      </c>
      <c r="D271" s="35" t="s">
        <v>33</v>
      </c>
      <c r="E271" s="37"/>
      <c r="F271" s="23"/>
      <c r="H271" s="24"/>
      <c r="J271" s="24"/>
      <c r="L271" s="25"/>
      <c r="N271" s="26"/>
      <c r="P271" s="24"/>
      <c r="R271" s="26"/>
      <c r="T271" s="24"/>
      <c r="V271" s="24"/>
      <c r="W271" s="27"/>
      <c r="X271" s="23"/>
      <c r="Z271" s="24"/>
      <c r="AB271" s="24"/>
      <c r="AD271" s="24"/>
      <c r="AF271" s="24"/>
      <c r="AH271" s="24"/>
      <c r="AI271" s="27"/>
      <c r="AJ271" s="39">
        <f t="shared" si="1"/>
        <v>0</v>
      </c>
      <c r="AK271" s="35">
        <f t="shared" si="2"/>
        <v>0</v>
      </c>
      <c r="AL271" s="35" t="str">
        <f t="shared" si="3"/>
        <v/>
      </c>
      <c r="AM271" s="35">
        <f t="shared" si="4"/>
        <v>0</v>
      </c>
      <c r="AN271" s="40" t="str">
        <f t="shared" si="5"/>
        <v/>
      </c>
    </row>
    <row r="272" ht="15.75" customHeight="1">
      <c r="A272" s="32" t="s">
        <v>28</v>
      </c>
      <c r="B272" s="34">
        <f t="shared" si="6"/>
        <v>44832</v>
      </c>
      <c r="C272" s="35">
        <v>10.0</v>
      </c>
      <c r="D272" s="35" t="s">
        <v>33</v>
      </c>
      <c r="E272" s="37"/>
      <c r="F272" s="23"/>
      <c r="H272" s="24"/>
      <c r="J272" s="24"/>
      <c r="L272" s="25"/>
      <c r="N272" s="26"/>
      <c r="P272" s="24"/>
      <c r="R272" s="26"/>
      <c r="T272" s="24"/>
      <c r="V272" s="24"/>
      <c r="W272" s="27"/>
      <c r="X272" s="23"/>
      <c r="Z272" s="24"/>
      <c r="AB272" s="24"/>
      <c r="AD272" s="24"/>
      <c r="AF272" s="24"/>
      <c r="AH272" s="24"/>
      <c r="AI272" s="27"/>
      <c r="AJ272" s="39">
        <f t="shared" si="1"/>
        <v>0</v>
      </c>
      <c r="AK272" s="35">
        <f t="shared" si="2"/>
        <v>0</v>
      </c>
      <c r="AL272" s="35" t="str">
        <f t="shared" si="3"/>
        <v/>
      </c>
      <c r="AM272" s="35">
        <f t="shared" si="4"/>
        <v>0</v>
      </c>
      <c r="AN272" s="40" t="str">
        <f t="shared" si="5"/>
        <v/>
      </c>
    </row>
    <row r="273" ht="15.75" customHeight="1">
      <c r="A273" s="32" t="s">
        <v>29</v>
      </c>
      <c r="B273" s="34">
        <f t="shared" si="6"/>
        <v>44833</v>
      </c>
      <c r="C273" s="35">
        <v>10.0</v>
      </c>
      <c r="D273" s="35" t="s">
        <v>33</v>
      </c>
      <c r="E273" s="37"/>
      <c r="F273" s="23"/>
      <c r="H273" s="24"/>
      <c r="J273" s="24"/>
      <c r="L273" s="25"/>
      <c r="N273" s="26"/>
      <c r="P273" s="24"/>
      <c r="R273" s="26"/>
      <c r="T273" s="24"/>
      <c r="V273" s="24"/>
      <c r="W273" s="27"/>
      <c r="X273" s="23"/>
      <c r="Z273" s="24"/>
      <c r="AB273" s="24"/>
      <c r="AD273" s="24"/>
      <c r="AF273" s="24"/>
      <c r="AH273" s="24"/>
      <c r="AI273" s="27"/>
      <c r="AJ273" s="39">
        <f t="shared" si="1"/>
        <v>0</v>
      </c>
      <c r="AK273" s="35">
        <f t="shared" si="2"/>
        <v>0</v>
      </c>
      <c r="AL273" s="35" t="str">
        <f t="shared" si="3"/>
        <v/>
      </c>
      <c r="AM273" s="35">
        <f t="shared" si="4"/>
        <v>0</v>
      </c>
      <c r="AN273" s="40" t="str">
        <f t="shared" si="5"/>
        <v/>
      </c>
    </row>
    <row r="274" ht="15.75" customHeight="1">
      <c r="A274" s="32" t="s">
        <v>30</v>
      </c>
      <c r="B274" s="34">
        <f t="shared" si="6"/>
        <v>44834</v>
      </c>
      <c r="C274" s="35">
        <v>10.0</v>
      </c>
      <c r="D274" s="35" t="s">
        <v>33</v>
      </c>
      <c r="E274" s="37"/>
      <c r="F274" s="23"/>
      <c r="H274" s="24"/>
      <c r="J274" s="24"/>
      <c r="L274" s="25"/>
      <c r="N274" s="26"/>
      <c r="P274" s="24"/>
      <c r="R274" s="26"/>
      <c r="T274" s="24"/>
      <c r="V274" s="24"/>
      <c r="W274" s="27"/>
      <c r="X274" s="23"/>
      <c r="Z274" s="24"/>
      <c r="AB274" s="24"/>
      <c r="AD274" s="24"/>
      <c r="AF274" s="24"/>
      <c r="AH274" s="24"/>
      <c r="AI274" s="27"/>
      <c r="AJ274" s="39">
        <f t="shared" si="1"/>
        <v>0</v>
      </c>
      <c r="AK274" s="35">
        <f t="shared" si="2"/>
        <v>0</v>
      </c>
      <c r="AL274" s="35" t="str">
        <f t="shared" si="3"/>
        <v/>
      </c>
      <c r="AM274" s="35">
        <f t="shared" si="4"/>
        <v>0</v>
      </c>
      <c r="AN274" s="40" t="str">
        <f t="shared" si="5"/>
        <v/>
      </c>
    </row>
    <row r="275" ht="15.75" customHeight="1">
      <c r="A275" s="48" t="s">
        <v>31</v>
      </c>
      <c r="B275" s="50">
        <f t="shared" si="6"/>
        <v>44835</v>
      </c>
      <c r="C275" s="51">
        <v>10.0</v>
      </c>
      <c r="D275" s="51" t="s">
        <v>33</v>
      </c>
      <c r="E275" s="53"/>
      <c r="F275" s="54"/>
      <c r="G275" s="56"/>
      <c r="H275" s="57"/>
      <c r="I275" s="56"/>
      <c r="J275" s="57"/>
      <c r="K275" s="56"/>
      <c r="L275" s="58"/>
      <c r="M275" s="56"/>
      <c r="N275" s="59"/>
      <c r="O275" s="56"/>
      <c r="P275" s="57"/>
      <c r="Q275" s="56"/>
      <c r="R275" s="59"/>
      <c r="S275" s="56"/>
      <c r="T275" s="57"/>
      <c r="U275" s="56"/>
      <c r="V275" s="57"/>
      <c r="W275" s="60"/>
      <c r="X275" s="54"/>
      <c r="Y275" s="56"/>
      <c r="Z275" s="57"/>
      <c r="AA275" s="56"/>
      <c r="AB275" s="57"/>
      <c r="AC275" s="56"/>
      <c r="AD275" s="57"/>
      <c r="AE275" s="56"/>
      <c r="AF275" s="57"/>
      <c r="AG275" s="56"/>
      <c r="AH275" s="57"/>
      <c r="AI275" s="60"/>
      <c r="AJ275" s="61">
        <f t="shared" si="1"/>
        <v>0</v>
      </c>
      <c r="AK275" s="51">
        <f t="shared" si="2"/>
        <v>0</v>
      </c>
      <c r="AL275" s="51" t="str">
        <f t="shared" si="3"/>
        <v/>
      </c>
      <c r="AM275" s="51">
        <f t="shared" si="4"/>
        <v>0</v>
      </c>
      <c r="AN275" s="63" t="str">
        <f t="shared" si="5"/>
        <v/>
      </c>
    </row>
    <row r="276" ht="15.75" customHeight="1">
      <c r="A276" s="18" t="s">
        <v>20</v>
      </c>
      <c r="B276" s="64">
        <f t="shared" si="6"/>
        <v>44836</v>
      </c>
      <c r="C276" s="20">
        <v>10.0</v>
      </c>
      <c r="D276" s="20" t="s">
        <v>34</v>
      </c>
      <c r="E276" s="22"/>
      <c r="F276" s="23"/>
      <c r="H276" s="24"/>
      <c r="J276" s="24"/>
      <c r="L276" s="25"/>
      <c r="N276" s="26"/>
      <c r="P276" s="24"/>
      <c r="R276" s="26"/>
      <c r="T276" s="24"/>
      <c r="V276" s="24"/>
      <c r="W276" s="27"/>
      <c r="X276" s="23"/>
      <c r="Z276" s="24"/>
      <c r="AB276" s="24"/>
      <c r="AD276" s="24"/>
      <c r="AF276" s="24"/>
      <c r="AH276" s="24"/>
      <c r="AI276" s="27"/>
      <c r="AJ276" s="28">
        <f t="shared" si="1"/>
        <v>0</v>
      </c>
      <c r="AK276" s="20">
        <f t="shared" si="2"/>
        <v>0</v>
      </c>
      <c r="AL276" s="20" t="str">
        <f t="shared" si="3"/>
        <v/>
      </c>
      <c r="AM276" s="20">
        <f t="shared" si="4"/>
        <v>0</v>
      </c>
      <c r="AN276" s="31" t="str">
        <f t="shared" si="5"/>
        <v/>
      </c>
    </row>
    <row r="277" ht="15.75" customHeight="1">
      <c r="A277" s="32" t="s">
        <v>22</v>
      </c>
      <c r="B277" s="34">
        <f t="shared" si="6"/>
        <v>44837</v>
      </c>
      <c r="C277" s="35">
        <v>10.0</v>
      </c>
      <c r="D277" s="35" t="s">
        <v>34</v>
      </c>
      <c r="E277" s="37"/>
      <c r="F277" s="23"/>
      <c r="H277" s="24"/>
      <c r="J277" s="24"/>
      <c r="L277" s="25"/>
      <c r="N277" s="26"/>
      <c r="P277" s="24"/>
      <c r="R277" s="26"/>
      <c r="T277" s="24"/>
      <c r="V277" s="24"/>
      <c r="W277" s="27"/>
      <c r="X277" s="23"/>
      <c r="Z277" s="24"/>
      <c r="AB277" s="24"/>
      <c r="AD277" s="24"/>
      <c r="AF277" s="24"/>
      <c r="AH277" s="24"/>
      <c r="AI277" s="27"/>
      <c r="AJ277" s="39">
        <f t="shared" si="1"/>
        <v>0</v>
      </c>
      <c r="AK277" s="35">
        <f t="shared" si="2"/>
        <v>0</v>
      </c>
      <c r="AL277" s="35" t="str">
        <f t="shared" si="3"/>
        <v/>
      </c>
      <c r="AM277" s="35">
        <f t="shared" si="4"/>
        <v>0</v>
      </c>
      <c r="AN277" s="40" t="str">
        <f t="shared" si="5"/>
        <v/>
      </c>
    </row>
    <row r="278" ht="15.75" customHeight="1">
      <c r="A278" s="32" t="s">
        <v>24</v>
      </c>
      <c r="B278" s="34">
        <f t="shared" si="6"/>
        <v>44838</v>
      </c>
      <c r="C278" s="35">
        <v>10.0</v>
      </c>
      <c r="D278" s="35" t="s">
        <v>34</v>
      </c>
      <c r="E278" s="37"/>
      <c r="F278" s="23"/>
      <c r="H278" s="24"/>
      <c r="J278" s="24"/>
      <c r="L278" s="25"/>
      <c r="N278" s="26"/>
      <c r="P278" s="24"/>
      <c r="R278" s="26"/>
      <c r="T278" s="24"/>
      <c r="V278" s="24"/>
      <c r="W278" s="27"/>
      <c r="X278" s="23"/>
      <c r="Z278" s="24"/>
      <c r="AB278" s="24"/>
      <c r="AD278" s="24"/>
      <c r="AF278" s="24"/>
      <c r="AH278" s="24"/>
      <c r="AI278" s="27"/>
      <c r="AJ278" s="39">
        <f t="shared" si="1"/>
        <v>0</v>
      </c>
      <c r="AK278" s="35">
        <f t="shared" si="2"/>
        <v>0</v>
      </c>
      <c r="AL278" s="35" t="str">
        <f t="shared" si="3"/>
        <v/>
      </c>
      <c r="AM278" s="35">
        <f t="shared" si="4"/>
        <v>0</v>
      </c>
      <c r="AN278" s="40" t="str">
        <f t="shared" si="5"/>
        <v/>
      </c>
    </row>
    <row r="279" ht="15.75" customHeight="1">
      <c r="A279" s="32" t="s">
        <v>28</v>
      </c>
      <c r="B279" s="34">
        <f t="shared" si="6"/>
        <v>44839</v>
      </c>
      <c r="C279" s="35">
        <v>10.0</v>
      </c>
      <c r="D279" s="35" t="s">
        <v>34</v>
      </c>
      <c r="E279" s="37"/>
      <c r="F279" s="23"/>
      <c r="H279" s="24"/>
      <c r="J279" s="24"/>
      <c r="L279" s="25"/>
      <c r="N279" s="26"/>
      <c r="P279" s="24"/>
      <c r="R279" s="26"/>
      <c r="T279" s="24"/>
      <c r="V279" s="24"/>
      <c r="W279" s="27"/>
      <c r="X279" s="23"/>
      <c r="Z279" s="24"/>
      <c r="AB279" s="24"/>
      <c r="AD279" s="24"/>
      <c r="AF279" s="24"/>
      <c r="AH279" s="24"/>
      <c r="AI279" s="27"/>
      <c r="AJ279" s="39">
        <f t="shared" si="1"/>
        <v>0</v>
      </c>
      <c r="AK279" s="35">
        <f t="shared" si="2"/>
        <v>0</v>
      </c>
      <c r="AL279" s="35" t="str">
        <f t="shared" si="3"/>
        <v/>
      </c>
      <c r="AM279" s="35">
        <f t="shared" si="4"/>
        <v>0</v>
      </c>
      <c r="AN279" s="40" t="str">
        <f t="shared" si="5"/>
        <v/>
      </c>
    </row>
    <row r="280" ht="15.75" customHeight="1">
      <c r="A280" s="32" t="s">
        <v>29</v>
      </c>
      <c r="B280" s="34">
        <f t="shared" si="6"/>
        <v>44840</v>
      </c>
      <c r="C280" s="35">
        <v>10.0</v>
      </c>
      <c r="D280" s="35" t="s">
        <v>34</v>
      </c>
      <c r="E280" s="37"/>
      <c r="F280" s="23"/>
      <c r="H280" s="24"/>
      <c r="J280" s="24"/>
      <c r="L280" s="25"/>
      <c r="N280" s="26"/>
      <c r="P280" s="24"/>
      <c r="R280" s="26"/>
      <c r="T280" s="24"/>
      <c r="V280" s="24"/>
      <c r="W280" s="27"/>
      <c r="X280" s="23"/>
      <c r="Z280" s="24"/>
      <c r="AB280" s="24"/>
      <c r="AD280" s="24"/>
      <c r="AF280" s="24"/>
      <c r="AH280" s="24"/>
      <c r="AI280" s="27"/>
      <c r="AJ280" s="39">
        <f t="shared" si="1"/>
        <v>0</v>
      </c>
      <c r="AK280" s="35">
        <f t="shared" si="2"/>
        <v>0</v>
      </c>
      <c r="AL280" s="35" t="str">
        <f t="shared" si="3"/>
        <v/>
      </c>
      <c r="AM280" s="35">
        <f t="shared" si="4"/>
        <v>0</v>
      </c>
      <c r="AN280" s="40" t="str">
        <f t="shared" si="5"/>
        <v/>
      </c>
    </row>
    <row r="281" ht="15.75" customHeight="1">
      <c r="A281" s="32" t="s">
        <v>30</v>
      </c>
      <c r="B281" s="34">
        <f t="shared" si="6"/>
        <v>44841</v>
      </c>
      <c r="C281" s="35">
        <v>10.0</v>
      </c>
      <c r="D281" s="35" t="s">
        <v>34</v>
      </c>
      <c r="E281" s="37"/>
      <c r="F281" s="23"/>
      <c r="H281" s="24"/>
      <c r="J281" s="24"/>
      <c r="L281" s="25"/>
      <c r="N281" s="26"/>
      <c r="P281" s="24"/>
      <c r="R281" s="26"/>
      <c r="T281" s="24"/>
      <c r="V281" s="24"/>
      <c r="W281" s="27"/>
      <c r="X281" s="23"/>
      <c r="Z281" s="24"/>
      <c r="AB281" s="24"/>
      <c r="AD281" s="24"/>
      <c r="AF281" s="24"/>
      <c r="AH281" s="24"/>
      <c r="AI281" s="27"/>
      <c r="AJ281" s="39">
        <f t="shared" si="1"/>
        <v>0</v>
      </c>
      <c r="AK281" s="35">
        <f t="shared" si="2"/>
        <v>0</v>
      </c>
      <c r="AL281" s="35" t="str">
        <f t="shared" si="3"/>
        <v/>
      </c>
      <c r="AM281" s="35">
        <f t="shared" si="4"/>
        <v>0</v>
      </c>
      <c r="AN281" s="40" t="str">
        <f t="shared" si="5"/>
        <v/>
      </c>
    </row>
    <row r="282" ht="15.75" customHeight="1">
      <c r="A282" s="48" t="s">
        <v>31</v>
      </c>
      <c r="B282" s="50">
        <f t="shared" si="6"/>
        <v>44842</v>
      </c>
      <c r="C282" s="51">
        <v>10.0</v>
      </c>
      <c r="D282" s="51" t="s">
        <v>34</v>
      </c>
      <c r="E282" s="53"/>
      <c r="F282" s="54"/>
      <c r="G282" s="56"/>
      <c r="H282" s="57"/>
      <c r="I282" s="56"/>
      <c r="J282" s="57"/>
      <c r="K282" s="56"/>
      <c r="L282" s="58"/>
      <c r="M282" s="56"/>
      <c r="N282" s="59"/>
      <c r="O282" s="56"/>
      <c r="P282" s="57"/>
      <c r="Q282" s="56"/>
      <c r="R282" s="59"/>
      <c r="S282" s="56"/>
      <c r="T282" s="57"/>
      <c r="U282" s="56"/>
      <c r="V282" s="57"/>
      <c r="W282" s="60"/>
      <c r="X282" s="54"/>
      <c r="Y282" s="56"/>
      <c r="Z282" s="57"/>
      <c r="AA282" s="56"/>
      <c r="AB282" s="57"/>
      <c r="AC282" s="56"/>
      <c r="AD282" s="57"/>
      <c r="AE282" s="56"/>
      <c r="AF282" s="57"/>
      <c r="AG282" s="56"/>
      <c r="AH282" s="57"/>
      <c r="AI282" s="60"/>
      <c r="AJ282" s="61">
        <f t="shared" si="1"/>
        <v>0</v>
      </c>
      <c r="AK282" s="51">
        <f t="shared" si="2"/>
        <v>0</v>
      </c>
      <c r="AL282" s="51" t="str">
        <f t="shared" si="3"/>
        <v/>
      </c>
      <c r="AM282" s="51">
        <f t="shared" si="4"/>
        <v>0</v>
      </c>
      <c r="AN282" s="63" t="str">
        <f t="shared" si="5"/>
        <v/>
      </c>
    </row>
    <row r="283" ht="15.75" customHeight="1">
      <c r="A283" s="18" t="s">
        <v>20</v>
      </c>
      <c r="B283" s="64">
        <f t="shared" si="6"/>
        <v>44843</v>
      </c>
      <c r="C283" s="20">
        <v>11.0</v>
      </c>
      <c r="D283" s="20" t="s">
        <v>21</v>
      </c>
      <c r="E283" s="22"/>
      <c r="F283" s="23"/>
      <c r="H283" s="24"/>
      <c r="J283" s="24"/>
      <c r="L283" s="25"/>
      <c r="N283" s="26"/>
      <c r="P283" s="24"/>
      <c r="R283" s="26"/>
      <c r="T283" s="24"/>
      <c r="V283" s="24"/>
      <c r="W283" s="27"/>
      <c r="X283" s="23"/>
      <c r="Z283" s="24"/>
      <c r="AB283" s="24"/>
      <c r="AD283" s="24"/>
      <c r="AF283" s="24"/>
      <c r="AH283" s="24"/>
      <c r="AI283" s="27"/>
      <c r="AJ283" s="28">
        <f t="shared" si="1"/>
        <v>0</v>
      </c>
      <c r="AK283" s="20">
        <f t="shared" si="2"/>
        <v>0</v>
      </c>
      <c r="AL283" s="20" t="str">
        <f t="shared" si="3"/>
        <v/>
      </c>
      <c r="AM283" s="20">
        <f t="shared" si="4"/>
        <v>0</v>
      </c>
      <c r="AN283" s="31" t="str">
        <f t="shared" si="5"/>
        <v/>
      </c>
    </row>
    <row r="284" ht="15.75" customHeight="1">
      <c r="A284" s="32" t="s">
        <v>22</v>
      </c>
      <c r="B284" s="34">
        <f t="shared" si="6"/>
        <v>44844</v>
      </c>
      <c r="C284" s="35">
        <v>11.0</v>
      </c>
      <c r="D284" s="35" t="s">
        <v>21</v>
      </c>
      <c r="E284" s="37"/>
      <c r="F284" s="23"/>
      <c r="H284" s="24"/>
      <c r="J284" s="24"/>
      <c r="L284" s="25"/>
      <c r="N284" s="26"/>
      <c r="P284" s="24"/>
      <c r="R284" s="26"/>
      <c r="T284" s="24"/>
      <c r="V284" s="24"/>
      <c r="W284" s="27"/>
      <c r="X284" s="23"/>
      <c r="Z284" s="24"/>
      <c r="AB284" s="24"/>
      <c r="AD284" s="24"/>
      <c r="AF284" s="24"/>
      <c r="AH284" s="24"/>
      <c r="AI284" s="27"/>
      <c r="AJ284" s="39">
        <f t="shared" si="1"/>
        <v>0</v>
      </c>
      <c r="AK284" s="35">
        <f t="shared" si="2"/>
        <v>0</v>
      </c>
      <c r="AL284" s="35" t="str">
        <f t="shared" si="3"/>
        <v/>
      </c>
      <c r="AM284" s="35">
        <f t="shared" si="4"/>
        <v>0</v>
      </c>
      <c r="AN284" s="40" t="str">
        <f t="shared" si="5"/>
        <v/>
      </c>
    </row>
    <row r="285" ht="15.75" customHeight="1">
      <c r="A285" s="32" t="s">
        <v>24</v>
      </c>
      <c r="B285" s="34">
        <f t="shared" si="6"/>
        <v>44845</v>
      </c>
      <c r="C285" s="35">
        <v>11.0</v>
      </c>
      <c r="D285" s="35" t="s">
        <v>21</v>
      </c>
      <c r="E285" s="37"/>
      <c r="F285" s="23"/>
      <c r="H285" s="24"/>
      <c r="J285" s="24"/>
      <c r="L285" s="25"/>
      <c r="N285" s="26"/>
      <c r="P285" s="24"/>
      <c r="R285" s="26"/>
      <c r="T285" s="24"/>
      <c r="V285" s="24"/>
      <c r="W285" s="27"/>
      <c r="X285" s="23"/>
      <c r="Z285" s="24"/>
      <c r="AB285" s="24"/>
      <c r="AD285" s="24"/>
      <c r="AF285" s="24"/>
      <c r="AH285" s="24"/>
      <c r="AI285" s="27"/>
      <c r="AJ285" s="39">
        <f t="shared" si="1"/>
        <v>0</v>
      </c>
      <c r="AK285" s="35">
        <f t="shared" si="2"/>
        <v>0</v>
      </c>
      <c r="AL285" s="35" t="str">
        <f t="shared" si="3"/>
        <v/>
      </c>
      <c r="AM285" s="35">
        <f t="shared" si="4"/>
        <v>0</v>
      </c>
      <c r="AN285" s="40" t="str">
        <f t="shared" si="5"/>
        <v/>
      </c>
    </row>
    <row r="286" ht="15.75" customHeight="1">
      <c r="A286" s="32" t="s">
        <v>28</v>
      </c>
      <c r="B286" s="34">
        <f t="shared" si="6"/>
        <v>44846</v>
      </c>
      <c r="C286" s="35">
        <v>11.0</v>
      </c>
      <c r="D286" s="35" t="s">
        <v>21</v>
      </c>
      <c r="E286" s="37"/>
      <c r="F286" s="23"/>
      <c r="H286" s="24"/>
      <c r="J286" s="24"/>
      <c r="L286" s="25"/>
      <c r="N286" s="26"/>
      <c r="P286" s="24"/>
      <c r="R286" s="26"/>
      <c r="T286" s="24"/>
      <c r="V286" s="24"/>
      <c r="W286" s="27"/>
      <c r="X286" s="23"/>
      <c r="Z286" s="24"/>
      <c r="AB286" s="24"/>
      <c r="AD286" s="24"/>
      <c r="AF286" s="24"/>
      <c r="AH286" s="24"/>
      <c r="AI286" s="27"/>
      <c r="AJ286" s="39">
        <f t="shared" si="1"/>
        <v>0</v>
      </c>
      <c r="AK286" s="35">
        <f t="shared" si="2"/>
        <v>0</v>
      </c>
      <c r="AL286" s="35" t="str">
        <f t="shared" si="3"/>
        <v/>
      </c>
      <c r="AM286" s="35">
        <f t="shared" si="4"/>
        <v>0</v>
      </c>
      <c r="AN286" s="40" t="str">
        <f t="shared" si="5"/>
        <v/>
      </c>
    </row>
    <row r="287" ht="15.75" customHeight="1">
      <c r="A287" s="32" t="s">
        <v>29</v>
      </c>
      <c r="B287" s="34">
        <f t="shared" si="6"/>
        <v>44847</v>
      </c>
      <c r="C287" s="35">
        <v>11.0</v>
      </c>
      <c r="D287" s="35" t="s">
        <v>21</v>
      </c>
      <c r="E287" s="37"/>
      <c r="F287" s="23"/>
      <c r="H287" s="24"/>
      <c r="J287" s="24"/>
      <c r="L287" s="25"/>
      <c r="N287" s="26"/>
      <c r="P287" s="24"/>
      <c r="R287" s="26"/>
      <c r="T287" s="24"/>
      <c r="V287" s="24"/>
      <c r="W287" s="27"/>
      <c r="X287" s="23"/>
      <c r="Z287" s="24"/>
      <c r="AB287" s="24"/>
      <c r="AD287" s="24"/>
      <c r="AF287" s="24"/>
      <c r="AH287" s="24"/>
      <c r="AI287" s="27"/>
      <c r="AJ287" s="39">
        <f t="shared" si="1"/>
        <v>0</v>
      </c>
      <c r="AK287" s="35">
        <f t="shared" si="2"/>
        <v>0</v>
      </c>
      <c r="AL287" s="35" t="str">
        <f t="shared" si="3"/>
        <v/>
      </c>
      <c r="AM287" s="35">
        <f t="shared" si="4"/>
        <v>0</v>
      </c>
      <c r="AN287" s="40" t="str">
        <f t="shared" si="5"/>
        <v/>
      </c>
    </row>
    <row r="288" ht="15.75" customHeight="1">
      <c r="A288" s="32" t="s">
        <v>30</v>
      </c>
      <c r="B288" s="34">
        <f t="shared" si="6"/>
        <v>44848</v>
      </c>
      <c r="C288" s="35">
        <v>11.0</v>
      </c>
      <c r="D288" s="35" t="s">
        <v>21</v>
      </c>
      <c r="E288" s="37"/>
      <c r="F288" s="23"/>
      <c r="H288" s="24"/>
      <c r="J288" s="24"/>
      <c r="L288" s="25"/>
      <c r="N288" s="26"/>
      <c r="P288" s="24"/>
      <c r="R288" s="26"/>
      <c r="T288" s="24"/>
      <c r="V288" s="24"/>
      <c r="W288" s="27"/>
      <c r="X288" s="23"/>
      <c r="Z288" s="24"/>
      <c r="AB288" s="24"/>
      <c r="AD288" s="24"/>
      <c r="AF288" s="24"/>
      <c r="AH288" s="24"/>
      <c r="AI288" s="27"/>
      <c r="AJ288" s="39">
        <f t="shared" si="1"/>
        <v>0</v>
      </c>
      <c r="AK288" s="35">
        <f t="shared" si="2"/>
        <v>0</v>
      </c>
      <c r="AL288" s="35" t="str">
        <f t="shared" si="3"/>
        <v/>
      </c>
      <c r="AM288" s="35">
        <f t="shared" si="4"/>
        <v>0</v>
      </c>
      <c r="AN288" s="40" t="str">
        <f t="shared" si="5"/>
        <v/>
      </c>
    </row>
    <row r="289" ht="15.75" customHeight="1">
      <c r="A289" s="48" t="s">
        <v>31</v>
      </c>
      <c r="B289" s="50">
        <f t="shared" si="6"/>
        <v>44849</v>
      </c>
      <c r="C289" s="51">
        <v>11.0</v>
      </c>
      <c r="D289" s="51" t="s">
        <v>21</v>
      </c>
      <c r="E289" s="53"/>
      <c r="F289" s="54"/>
      <c r="G289" s="56"/>
      <c r="H289" s="57"/>
      <c r="I289" s="56"/>
      <c r="J289" s="57"/>
      <c r="K289" s="56"/>
      <c r="L289" s="58"/>
      <c r="M289" s="56"/>
      <c r="N289" s="59"/>
      <c r="O289" s="56"/>
      <c r="P289" s="57"/>
      <c r="Q289" s="56"/>
      <c r="R289" s="59"/>
      <c r="S289" s="56"/>
      <c r="T289" s="57"/>
      <c r="U289" s="56"/>
      <c r="V289" s="57"/>
      <c r="W289" s="60"/>
      <c r="X289" s="54"/>
      <c r="Y289" s="56"/>
      <c r="Z289" s="57"/>
      <c r="AA289" s="56"/>
      <c r="AB289" s="57"/>
      <c r="AC289" s="56"/>
      <c r="AD289" s="57"/>
      <c r="AE289" s="56"/>
      <c r="AF289" s="57"/>
      <c r="AG289" s="56"/>
      <c r="AH289" s="57"/>
      <c r="AI289" s="60"/>
      <c r="AJ289" s="61">
        <f t="shared" si="1"/>
        <v>0</v>
      </c>
      <c r="AK289" s="51">
        <f t="shared" si="2"/>
        <v>0</v>
      </c>
      <c r="AL289" s="51" t="str">
        <f t="shared" si="3"/>
        <v/>
      </c>
      <c r="AM289" s="51">
        <f t="shared" si="4"/>
        <v>0</v>
      </c>
      <c r="AN289" s="63" t="str">
        <f t="shared" si="5"/>
        <v/>
      </c>
    </row>
    <row r="290" ht="15.75" customHeight="1">
      <c r="A290" s="18" t="s">
        <v>20</v>
      </c>
      <c r="B290" s="64">
        <f t="shared" si="6"/>
        <v>44850</v>
      </c>
      <c r="C290" s="20">
        <v>11.0</v>
      </c>
      <c r="D290" s="20" t="s">
        <v>32</v>
      </c>
      <c r="E290" s="22"/>
      <c r="F290" s="23"/>
      <c r="H290" s="24"/>
      <c r="J290" s="24"/>
      <c r="L290" s="25"/>
      <c r="N290" s="26"/>
      <c r="P290" s="24"/>
      <c r="R290" s="26"/>
      <c r="T290" s="24"/>
      <c r="V290" s="24"/>
      <c r="W290" s="27"/>
      <c r="X290" s="23"/>
      <c r="Z290" s="24"/>
      <c r="AB290" s="24"/>
      <c r="AD290" s="24"/>
      <c r="AF290" s="24"/>
      <c r="AH290" s="24"/>
      <c r="AI290" s="27"/>
      <c r="AJ290" s="28">
        <f t="shared" si="1"/>
        <v>0</v>
      </c>
      <c r="AK290" s="20">
        <f t="shared" si="2"/>
        <v>0</v>
      </c>
      <c r="AL290" s="20" t="str">
        <f t="shared" si="3"/>
        <v/>
      </c>
      <c r="AM290" s="20">
        <f t="shared" si="4"/>
        <v>0</v>
      </c>
      <c r="AN290" s="31" t="str">
        <f t="shared" si="5"/>
        <v/>
      </c>
    </row>
    <row r="291" ht="15.75" customHeight="1">
      <c r="A291" s="32" t="s">
        <v>22</v>
      </c>
      <c r="B291" s="34">
        <f t="shared" si="6"/>
        <v>44851</v>
      </c>
      <c r="C291" s="35">
        <v>11.0</v>
      </c>
      <c r="D291" s="35" t="s">
        <v>32</v>
      </c>
      <c r="E291" s="37"/>
      <c r="F291" s="23"/>
      <c r="H291" s="24"/>
      <c r="J291" s="24"/>
      <c r="L291" s="25"/>
      <c r="N291" s="26"/>
      <c r="P291" s="24"/>
      <c r="R291" s="26"/>
      <c r="T291" s="24"/>
      <c r="V291" s="24"/>
      <c r="W291" s="27"/>
      <c r="X291" s="23"/>
      <c r="Z291" s="24"/>
      <c r="AB291" s="24"/>
      <c r="AD291" s="24"/>
      <c r="AF291" s="24"/>
      <c r="AH291" s="24"/>
      <c r="AI291" s="27"/>
      <c r="AJ291" s="39">
        <f t="shared" si="1"/>
        <v>0</v>
      </c>
      <c r="AK291" s="35">
        <f t="shared" si="2"/>
        <v>0</v>
      </c>
      <c r="AL291" s="35" t="str">
        <f t="shared" si="3"/>
        <v/>
      </c>
      <c r="AM291" s="35">
        <f t="shared" si="4"/>
        <v>0</v>
      </c>
      <c r="AN291" s="40" t="str">
        <f t="shared" si="5"/>
        <v/>
      </c>
    </row>
    <row r="292" ht="15.75" customHeight="1">
      <c r="A292" s="32" t="s">
        <v>24</v>
      </c>
      <c r="B292" s="34">
        <f t="shared" si="6"/>
        <v>44852</v>
      </c>
      <c r="C292" s="35">
        <v>11.0</v>
      </c>
      <c r="D292" s="35" t="s">
        <v>32</v>
      </c>
      <c r="E292" s="37"/>
      <c r="F292" s="23"/>
      <c r="H292" s="24"/>
      <c r="J292" s="24"/>
      <c r="L292" s="25"/>
      <c r="N292" s="26"/>
      <c r="P292" s="24"/>
      <c r="R292" s="26"/>
      <c r="T292" s="24"/>
      <c r="V292" s="24"/>
      <c r="W292" s="27"/>
      <c r="X292" s="23"/>
      <c r="Z292" s="24"/>
      <c r="AB292" s="24"/>
      <c r="AD292" s="24"/>
      <c r="AF292" s="24"/>
      <c r="AH292" s="24"/>
      <c r="AI292" s="27"/>
      <c r="AJ292" s="39">
        <f t="shared" si="1"/>
        <v>0</v>
      </c>
      <c r="AK292" s="35">
        <f t="shared" si="2"/>
        <v>0</v>
      </c>
      <c r="AL292" s="35" t="str">
        <f t="shared" si="3"/>
        <v/>
      </c>
      <c r="AM292" s="35">
        <f t="shared" si="4"/>
        <v>0</v>
      </c>
      <c r="AN292" s="40" t="str">
        <f t="shared" si="5"/>
        <v/>
      </c>
    </row>
    <row r="293" ht="15.75" customHeight="1">
      <c r="A293" s="32" t="s">
        <v>28</v>
      </c>
      <c r="B293" s="34">
        <f t="shared" si="6"/>
        <v>44853</v>
      </c>
      <c r="C293" s="35">
        <v>11.0</v>
      </c>
      <c r="D293" s="35" t="s">
        <v>32</v>
      </c>
      <c r="E293" s="37"/>
      <c r="F293" s="23"/>
      <c r="H293" s="24"/>
      <c r="J293" s="24"/>
      <c r="L293" s="25"/>
      <c r="N293" s="26"/>
      <c r="P293" s="24"/>
      <c r="R293" s="26"/>
      <c r="T293" s="24"/>
      <c r="V293" s="24"/>
      <c r="W293" s="27"/>
      <c r="X293" s="23"/>
      <c r="Z293" s="24"/>
      <c r="AB293" s="24"/>
      <c r="AD293" s="24"/>
      <c r="AF293" s="24"/>
      <c r="AH293" s="24"/>
      <c r="AI293" s="27"/>
      <c r="AJ293" s="39">
        <f t="shared" si="1"/>
        <v>0</v>
      </c>
      <c r="AK293" s="35">
        <f t="shared" si="2"/>
        <v>0</v>
      </c>
      <c r="AL293" s="35" t="str">
        <f t="shared" si="3"/>
        <v/>
      </c>
      <c r="AM293" s="35">
        <f t="shared" si="4"/>
        <v>0</v>
      </c>
      <c r="AN293" s="40" t="str">
        <f t="shared" si="5"/>
        <v/>
      </c>
    </row>
    <row r="294" ht="15.75" customHeight="1">
      <c r="A294" s="32" t="s">
        <v>29</v>
      </c>
      <c r="B294" s="34">
        <f t="shared" si="6"/>
        <v>44854</v>
      </c>
      <c r="C294" s="35">
        <v>11.0</v>
      </c>
      <c r="D294" s="35" t="s">
        <v>32</v>
      </c>
      <c r="E294" s="37"/>
      <c r="F294" s="23"/>
      <c r="H294" s="24"/>
      <c r="J294" s="24"/>
      <c r="L294" s="25"/>
      <c r="N294" s="26"/>
      <c r="P294" s="24"/>
      <c r="R294" s="26"/>
      <c r="T294" s="24"/>
      <c r="V294" s="24"/>
      <c r="W294" s="27"/>
      <c r="X294" s="23"/>
      <c r="Z294" s="24"/>
      <c r="AB294" s="24"/>
      <c r="AD294" s="24"/>
      <c r="AF294" s="24"/>
      <c r="AH294" s="24"/>
      <c r="AI294" s="27"/>
      <c r="AJ294" s="39">
        <f t="shared" si="1"/>
        <v>0</v>
      </c>
      <c r="AK294" s="35">
        <f t="shared" si="2"/>
        <v>0</v>
      </c>
      <c r="AL294" s="35" t="str">
        <f t="shared" si="3"/>
        <v/>
      </c>
      <c r="AM294" s="35">
        <f t="shared" si="4"/>
        <v>0</v>
      </c>
      <c r="AN294" s="40" t="str">
        <f t="shared" si="5"/>
        <v/>
      </c>
    </row>
    <row r="295" ht="15.75" customHeight="1">
      <c r="A295" s="32" t="s">
        <v>30</v>
      </c>
      <c r="B295" s="34">
        <f t="shared" si="6"/>
        <v>44855</v>
      </c>
      <c r="C295" s="35">
        <v>11.0</v>
      </c>
      <c r="D295" s="35" t="s">
        <v>32</v>
      </c>
      <c r="E295" s="37"/>
      <c r="F295" s="23"/>
      <c r="H295" s="24"/>
      <c r="J295" s="24"/>
      <c r="L295" s="25"/>
      <c r="N295" s="26"/>
      <c r="P295" s="24"/>
      <c r="R295" s="26"/>
      <c r="T295" s="24"/>
      <c r="V295" s="24"/>
      <c r="W295" s="27"/>
      <c r="X295" s="23"/>
      <c r="Z295" s="24"/>
      <c r="AB295" s="24"/>
      <c r="AD295" s="24"/>
      <c r="AF295" s="24"/>
      <c r="AH295" s="24"/>
      <c r="AI295" s="27"/>
      <c r="AJ295" s="39">
        <f t="shared" si="1"/>
        <v>0</v>
      </c>
      <c r="AK295" s="35">
        <f t="shared" si="2"/>
        <v>0</v>
      </c>
      <c r="AL295" s="35" t="str">
        <f t="shared" si="3"/>
        <v/>
      </c>
      <c r="AM295" s="35">
        <f t="shared" si="4"/>
        <v>0</v>
      </c>
      <c r="AN295" s="40" t="str">
        <f t="shared" si="5"/>
        <v/>
      </c>
    </row>
    <row r="296" ht="15.75" customHeight="1">
      <c r="A296" s="48" t="s">
        <v>31</v>
      </c>
      <c r="B296" s="50">
        <f t="shared" si="6"/>
        <v>44856</v>
      </c>
      <c r="C296" s="51">
        <v>11.0</v>
      </c>
      <c r="D296" s="51" t="s">
        <v>32</v>
      </c>
      <c r="E296" s="53"/>
      <c r="F296" s="54"/>
      <c r="G296" s="56"/>
      <c r="H296" s="57"/>
      <c r="I296" s="56"/>
      <c r="J296" s="57"/>
      <c r="K296" s="56"/>
      <c r="L296" s="58"/>
      <c r="M296" s="56"/>
      <c r="N296" s="59"/>
      <c r="O296" s="56"/>
      <c r="P296" s="57"/>
      <c r="Q296" s="56"/>
      <c r="R296" s="59"/>
      <c r="S296" s="56"/>
      <c r="T296" s="57"/>
      <c r="U296" s="56"/>
      <c r="V296" s="57"/>
      <c r="W296" s="60"/>
      <c r="X296" s="54"/>
      <c r="Y296" s="56"/>
      <c r="Z296" s="57"/>
      <c r="AA296" s="56"/>
      <c r="AB296" s="57"/>
      <c r="AC296" s="56"/>
      <c r="AD296" s="57"/>
      <c r="AE296" s="56"/>
      <c r="AF296" s="57"/>
      <c r="AG296" s="56"/>
      <c r="AH296" s="57"/>
      <c r="AI296" s="60"/>
      <c r="AJ296" s="61">
        <f t="shared" si="1"/>
        <v>0</v>
      </c>
      <c r="AK296" s="51">
        <f t="shared" si="2"/>
        <v>0</v>
      </c>
      <c r="AL296" s="51" t="str">
        <f t="shared" si="3"/>
        <v/>
      </c>
      <c r="AM296" s="51">
        <f t="shared" si="4"/>
        <v>0</v>
      </c>
      <c r="AN296" s="63" t="str">
        <f t="shared" si="5"/>
        <v/>
      </c>
    </row>
    <row r="297" ht="15.75" customHeight="1">
      <c r="A297" s="18" t="s">
        <v>20</v>
      </c>
      <c r="B297" s="64">
        <f t="shared" si="6"/>
        <v>44857</v>
      </c>
      <c r="C297" s="20">
        <v>11.0</v>
      </c>
      <c r="D297" s="20" t="s">
        <v>33</v>
      </c>
      <c r="E297" s="22"/>
      <c r="F297" s="23"/>
      <c r="H297" s="24"/>
      <c r="J297" s="24"/>
      <c r="L297" s="25"/>
      <c r="N297" s="26"/>
      <c r="P297" s="24"/>
      <c r="R297" s="26"/>
      <c r="T297" s="24"/>
      <c r="V297" s="24"/>
      <c r="W297" s="27"/>
      <c r="X297" s="23"/>
      <c r="Z297" s="24"/>
      <c r="AB297" s="24"/>
      <c r="AD297" s="24"/>
      <c r="AF297" s="24"/>
      <c r="AH297" s="24"/>
      <c r="AI297" s="27"/>
      <c r="AJ297" s="28">
        <f t="shared" si="1"/>
        <v>0</v>
      </c>
      <c r="AK297" s="20">
        <f t="shared" si="2"/>
        <v>0</v>
      </c>
      <c r="AL297" s="20" t="str">
        <f t="shared" si="3"/>
        <v/>
      </c>
      <c r="AM297" s="20">
        <f t="shared" si="4"/>
        <v>0</v>
      </c>
      <c r="AN297" s="31" t="str">
        <f t="shared" si="5"/>
        <v/>
      </c>
    </row>
    <row r="298" ht="15.75" customHeight="1">
      <c r="A298" s="32" t="s">
        <v>22</v>
      </c>
      <c r="B298" s="34">
        <f t="shared" si="6"/>
        <v>44858</v>
      </c>
      <c r="C298" s="35">
        <v>11.0</v>
      </c>
      <c r="D298" s="35" t="s">
        <v>33</v>
      </c>
      <c r="E298" s="37"/>
      <c r="F298" s="23"/>
      <c r="H298" s="24"/>
      <c r="J298" s="24"/>
      <c r="L298" s="25"/>
      <c r="N298" s="26"/>
      <c r="P298" s="24"/>
      <c r="R298" s="26"/>
      <c r="T298" s="24"/>
      <c r="V298" s="24"/>
      <c r="W298" s="27"/>
      <c r="X298" s="23"/>
      <c r="Z298" s="24"/>
      <c r="AB298" s="24"/>
      <c r="AD298" s="24"/>
      <c r="AF298" s="24"/>
      <c r="AH298" s="24"/>
      <c r="AI298" s="27"/>
      <c r="AJ298" s="39">
        <f t="shared" si="1"/>
        <v>0</v>
      </c>
      <c r="AK298" s="35">
        <f t="shared" si="2"/>
        <v>0</v>
      </c>
      <c r="AL298" s="35" t="str">
        <f t="shared" si="3"/>
        <v/>
      </c>
      <c r="AM298" s="35">
        <f t="shared" si="4"/>
        <v>0</v>
      </c>
      <c r="AN298" s="40" t="str">
        <f t="shared" si="5"/>
        <v/>
      </c>
    </row>
    <row r="299" ht="15.75" customHeight="1">
      <c r="A299" s="32" t="s">
        <v>24</v>
      </c>
      <c r="B299" s="34">
        <f t="shared" si="6"/>
        <v>44859</v>
      </c>
      <c r="C299" s="35">
        <v>11.0</v>
      </c>
      <c r="D299" s="35" t="s">
        <v>33</v>
      </c>
      <c r="E299" s="37"/>
      <c r="F299" s="23"/>
      <c r="H299" s="24"/>
      <c r="J299" s="24"/>
      <c r="L299" s="25"/>
      <c r="N299" s="26"/>
      <c r="P299" s="24"/>
      <c r="R299" s="26"/>
      <c r="T299" s="24"/>
      <c r="V299" s="24"/>
      <c r="W299" s="27"/>
      <c r="X299" s="23"/>
      <c r="Z299" s="24"/>
      <c r="AB299" s="24"/>
      <c r="AD299" s="24"/>
      <c r="AF299" s="24"/>
      <c r="AH299" s="24"/>
      <c r="AI299" s="27"/>
      <c r="AJ299" s="39">
        <f t="shared" si="1"/>
        <v>0</v>
      </c>
      <c r="AK299" s="35">
        <f t="shared" si="2"/>
        <v>0</v>
      </c>
      <c r="AL299" s="35" t="str">
        <f t="shared" si="3"/>
        <v/>
      </c>
      <c r="AM299" s="35">
        <f t="shared" si="4"/>
        <v>0</v>
      </c>
      <c r="AN299" s="40" t="str">
        <f t="shared" si="5"/>
        <v/>
      </c>
    </row>
    <row r="300" ht="15.75" customHeight="1">
      <c r="A300" s="32" t="s">
        <v>28</v>
      </c>
      <c r="B300" s="34">
        <f t="shared" si="6"/>
        <v>44860</v>
      </c>
      <c r="C300" s="35">
        <v>11.0</v>
      </c>
      <c r="D300" s="35" t="s">
        <v>33</v>
      </c>
      <c r="E300" s="37"/>
      <c r="F300" s="23"/>
      <c r="H300" s="24"/>
      <c r="J300" s="24"/>
      <c r="L300" s="25"/>
      <c r="N300" s="26"/>
      <c r="P300" s="24"/>
      <c r="R300" s="26"/>
      <c r="T300" s="24"/>
      <c r="V300" s="24"/>
      <c r="W300" s="27"/>
      <c r="X300" s="23"/>
      <c r="Z300" s="24"/>
      <c r="AB300" s="24"/>
      <c r="AD300" s="24"/>
      <c r="AF300" s="24"/>
      <c r="AH300" s="24"/>
      <c r="AI300" s="27"/>
      <c r="AJ300" s="39">
        <f t="shared" si="1"/>
        <v>0</v>
      </c>
      <c r="AK300" s="35">
        <f t="shared" si="2"/>
        <v>0</v>
      </c>
      <c r="AL300" s="35" t="str">
        <f t="shared" si="3"/>
        <v/>
      </c>
      <c r="AM300" s="35">
        <f t="shared" si="4"/>
        <v>0</v>
      </c>
      <c r="AN300" s="40" t="str">
        <f t="shared" si="5"/>
        <v/>
      </c>
    </row>
    <row r="301" ht="15.75" customHeight="1">
      <c r="A301" s="32" t="s">
        <v>29</v>
      </c>
      <c r="B301" s="34">
        <f t="shared" si="6"/>
        <v>44861</v>
      </c>
      <c r="C301" s="35">
        <v>11.0</v>
      </c>
      <c r="D301" s="35" t="s">
        <v>33</v>
      </c>
      <c r="E301" s="37"/>
      <c r="F301" s="23"/>
      <c r="H301" s="24"/>
      <c r="J301" s="24"/>
      <c r="L301" s="25"/>
      <c r="N301" s="26"/>
      <c r="P301" s="24"/>
      <c r="R301" s="26"/>
      <c r="T301" s="24"/>
      <c r="V301" s="24"/>
      <c r="W301" s="27"/>
      <c r="X301" s="23"/>
      <c r="Z301" s="24"/>
      <c r="AB301" s="24"/>
      <c r="AD301" s="24"/>
      <c r="AF301" s="24"/>
      <c r="AH301" s="24"/>
      <c r="AI301" s="27"/>
      <c r="AJ301" s="39">
        <f t="shared" si="1"/>
        <v>0</v>
      </c>
      <c r="AK301" s="35">
        <f t="shared" si="2"/>
        <v>0</v>
      </c>
      <c r="AL301" s="35" t="str">
        <f t="shared" si="3"/>
        <v/>
      </c>
      <c r="AM301" s="35">
        <f t="shared" si="4"/>
        <v>0</v>
      </c>
      <c r="AN301" s="40" t="str">
        <f t="shared" si="5"/>
        <v/>
      </c>
    </row>
    <row r="302" ht="15.75" customHeight="1">
      <c r="A302" s="32" t="s">
        <v>30</v>
      </c>
      <c r="B302" s="34">
        <f t="shared" si="6"/>
        <v>44862</v>
      </c>
      <c r="C302" s="35">
        <v>11.0</v>
      </c>
      <c r="D302" s="35" t="s">
        <v>33</v>
      </c>
      <c r="E302" s="37"/>
      <c r="F302" s="23"/>
      <c r="H302" s="24"/>
      <c r="J302" s="24"/>
      <c r="L302" s="25"/>
      <c r="N302" s="26"/>
      <c r="P302" s="24"/>
      <c r="R302" s="26"/>
      <c r="T302" s="24"/>
      <c r="V302" s="24"/>
      <c r="W302" s="27"/>
      <c r="X302" s="23"/>
      <c r="Z302" s="24"/>
      <c r="AB302" s="24"/>
      <c r="AD302" s="24"/>
      <c r="AF302" s="24"/>
      <c r="AH302" s="24"/>
      <c r="AI302" s="27"/>
      <c r="AJ302" s="39">
        <f t="shared" si="1"/>
        <v>0</v>
      </c>
      <c r="AK302" s="35">
        <f t="shared" si="2"/>
        <v>0</v>
      </c>
      <c r="AL302" s="35" t="str">
        <f t="shared" si="3"/>
        <v/>
      </c>
      <c r="AM302" s="35">
        <f t="shared" si="4"/>
        <v>0</v>
      </c>
      <c r="AN302" s="40" t="str">
        <f t="shared" si="5"/>
        <v/>
      </c>
    </row>
    <row r="303" ht="15.75" customHeight="1">
      <c r="A303" s="48" t="s">
        <v>31</v>
      </c>
      <c r="B303" s="50">
        <f t="shared" si="6"/>
        <v>44863</v>
      </c>
      <c r="C303" s="51">
        <v>11.0</v>
      </c>
      <c r="D303" s="51" t="s">
        <v>33</v>
      </c>
      <c r="E303" s="53"/>
      <c r="F303" s="54"/>
      <c r="G303" s="56"/>
      <c r="H303" s="57"/>
      <c r="I303" s="56"/>
      <c r="J303" s="57"/>
      <c r="K303" s="56"/>
      <c r="L303" s="58"/>
      <c r="M303" s="56"/>
      <c r="N303" s="59"/>
      <c r="O303" s="56"/>
      <c r="P303" s="57"/>
      <c r="Q303" s="56"/>
      <c r="R303" s="59"/>
      <c r="S303" s="56"/>
      <c r="T303" s="57"/>
      <c r="U303" s="56"/>
      <c r="V303" s="57"/>
      <c r="W303" s="60"/>
      <c r="X303" s="54"/>
      <c r="Y303" s="56"/>
      <c r="Z303" s="57"/>
      <c r="AA303" s="56"/>
      <c r="AB303" s="57"/>
      <c r="AC303" s="56"/>
      <c r="AD303" s="57"/>
      <c r="AE303" s="56"/>
      <c r="AF303" s="57"/>
      <c r="AG303" s="56"/>
      <c r="AH303" s="57"/>
      <c r="AI303" s="60"/>
      <c r="AJ303" s="61">
        <f t="shared" si="1"/>
        <v>0</v>
      </c>
      <c r="AK303" s="51">
        <f t="shared" si="2"/>
        <v>0</v>
      </c>
      <c r="AL303" s="51" t="str">
        <f t="shared" si="3"/>
        <v/>
      </c>
      <c r="AM303" s="51">
        <f t="shared" si="4"/>
        <v>0</v>
      </c>
      <c r="AN303" s="63" t="str">
        <f t="shared" si="5"/>
        <v/>
      </c>
    </row>
    <row r="304" ht="15.75" customHeight="1">
      <c r="A304" s="18" t="s">
        <v>20</v>
      </c>
      <c r="B304" s="64">
        <f t="shared" si="6"/>
        <v>44864</v>
      </c>
      <c r="C304" s="20">
        <v>11.0</v>
      </c>
      <c r="D304" s="20" t="s">
        <v>34</v>
      </c>
      <c r="E304" s="22"/>
      <c r="F304" s="23"/>
      <c r="H304" s="24"/>
      <c r="J304" s="24"/>
      <c r="L304" s="25"/>
      <c r="N304" s="26"/>
      <c r="P304" s="24"/>
      <c r="R304" s="26"/>
      <c r="T304" s="24"/>
      <c r="V304" s="24"/>
      <c r="W304" s="27"/>
      <c r="X304" s="23"/>
      <c r="Z304" s="24"/>
      <c r="AB304" s="24"/>
      <c r="AD304" s="24"/>
      <c r="AF304" s="24"/>
      <c r="AH304" s="24"/>
      <c r="AI304" s="27"/>
      <c r="AJ304" s="28">
        <f t="shared" si="1"/>
        <v>0</v>
      </c>
      <c r="AK304" s="20">
        <f t="shared" si="2"/>
        <v>0</v>
      </c>
      <c r="AL304" s="20" t="str">
        <f t="shared" si="3"/>
        <v/>
      </c>
      <c r="AM304" s="20">
        <f t="shared" si="4"/>
        <v>0</v>
      </c>
      <c r="AN304" s="31" t="str">
        <f t="shared" si="5"/>
        <v/>
      </c>
    </row>
    <row r="305" ht="15.75" customHeight="1">
      <c r="A305" s="32" t="s">
        <v>22</v>
      </c>
      <c r="B305" s="34">
        <f t="shared" si="6"/>
        <v>44865</v>
      </c>
      <c r="C305" s="35">
        <v>11.0</v>
      </c>
      <c r="D305" s="35" t="s">
        <v>34</v>
      </c>
      <c r="E305" s="37"/>
      <c r="F305" s="23"/>
      <c r="H305" s="24"/>
      <c r="J305" s="24"/>
      <c r="L305" s="25"/>
      <c r="N305" s="26"/>
      <c r="P305" s="24"/>
      <c r="R305" s="26"/>
      <c r="T305" s="24"/>
      <c r="V305" s="24"/>
      <c r="W305" s="27"/>
      <c r="X305" s="23"/>
      <c r="Z305" s="24"/>
      <c r="AB305" s="24"/>
      <c r="AD305" s="24"/>
      <c r="AF305" s="24"/>
      <c r="AH305" s="24"/>
      <c r="AI305" s="27"/>
      <c r="AJ305" s="39">
        <f t="shared" si="1"/>
        <v>0</v>
      </c>
      <c r="AK305" s="35">
        <f t="shared" si="2"/>
        <v>0</v>
      </c>
      <c r="AL305" s="35" t="str">
        <f t="shared" si="3"/>
        <v/>
      </c>
      <c r="AM305" s="35">
        <f t="shared" si="4"/>
        <v>0</v>
      </c>
      <c r="AN305" s="40" t="str">
        <f t="shared" si="5"/>
        <v/>
      </c>
    </row>
    <row r="306" ht="15.75" customHeight="1">
      <c r="A306" s="32" t="s">
        <v>24</v>
      </c>
      <c r="B306" s="34">
        <f t="shared" si="6"/>
        <v>44866</v>
      </c>
      <c r="C306" s="35">
        <v>11.0</v>
      </c>
      <c r="D306" s="35" t="s">
        <v>34</v>
      </c>
      <c r="E306" s="37"/>
      <c r="F306" s="23"/>
      <c r="H306" s="24"/>
      <c r="J306" s="24"/>
      <c r="L306" s="25"/>
      <c r="N306" s="26"/>
      <c r="P306" s="24"/>
      <c r="R306" s="26"/>
      <c r="T306" s="24"/>
      <c r="V306" s="24"/>
      <c r="W306" s="27"/>
      <c r="X306" s="23"/>
      <c r="Z306" s="24"/>
      <c r="AB306" s="24"/>
      <c r="AD306" s="24"/>
      <c r="AF306" s="24"/>
      <c r="AH306" s="24"/>
      <c r="AI306" s="27"/>
      <c r="AJ306" s="39">
        <f t="shared" si="1"/>
        <v>0</v>
      </c>
      <c r="AK306" s="35">
        <f t="shared" si="2"/>
        <v>0</v>
      </c>
      <c r="AL306" s="35" t="str">
        <f t="shared" si="3"/>
        <v/>
      </c>
      <c r="AM306" s="35">
        <f t="shared" si="4"/>
        <v>0</v>
      </c>
      <c r="AN306" s="40" t="str">
        <f t="shared" si="5"/>
        <v/>
      </c>
    </row>
    <row r="307" ht="15.75" customHeight="1">
      <c r="A307" s="32" t="s">
        <v>28</v>
      </c>
      <c r="B307" s="34">
        <f t="shared" si="6"/>
        <v>44867</v>
      </c>
      <c r="C307" s="35">
        <v>11.0</v>
      </c>
      <c r="D307" s="35" t="s">
        <v>34</v>
      </c>
      <c r="E307" s="37"/>
      <c r="F307" s="23"/>
      <c r="H307" s="24"/>
      <c r="J307" s="24"/>
      <c r="L307" s="25"/>
      <c r="N307" s="26"/>
      <c r="P307" s="24"/>
      <c r="R307" s="26"/>
      <c r="T307" s="24"/>
      <c r="V307" s="24"/>
      <c r="W307" s="27"/>
      <c r="X307" s="23"/>
      <c r="Z307" s="24"/>
      <c r="AB307" s="24"/>
      <c r="AD307" s="24"/>
      <c r="AF307" s="24"/>
      <c r="AH307" s="24"/>
      <c r="AI307" s="27"/>
      <c r="AJ307" s="39">
        <f t="shared" si="1"/>
        <v>0</v>
      </c>
      <c r="AK307" s="35">
        <f t="shared" si="2"/>
        <v>0</v>
      </c>
      <c r="AL307" s="35" t="str">
        <f t="shared" si="3"/>
        <v/>
      </c>
      <c r="AM307" s="35">
        <f t="shared" si="4"/>
        <v>0</v>
      </c>
      <c r="AN307" s="40" t="str">
        <f t="shared" si="5"/>
        <v/>
      </c>
    </row>
    <row r="308" ht="15.75" customHeight="1">
      <c r="A308" s="32" t="s">
        <v>29</v>
      </c>
      <c r="B308" s="34">
        <f t="shared" si="6"/>
        <v>44868</v>
      </c>
      <c r="C308" s="35">
        <v>11.0</v>
      </c>
      <c r="D308" s="35" t="s">
        <v>34</v>
      </c>
      <c r="E308" s="37"/>
      <c r="F308" s="23"/>
      <c r="H308" s="24"/>
      <c r="J308" s="24"/>
      <c r="L308" s="25"/>
      <c r="N308" s="26"/>
      <c r="P308" s="24"/>
      <c r="R308" s="26"/>
      <c r="T308" s="24"/>
      <c r="V308" s="24"/>
      <c r="W308" s="27"/>
      <c r="X308" s="23"/>
      <c r="Z308" s="24"/>
      <c r="AB308" s="24"/>
      <c r="AD308" s="24"/>
      <c r="AF308" s="24"/>
      <c r="AH308" s="24"/>
      <c r="AI308" s="27"/>
      <c r="AJ308" s="39">
        <f t="shared" si="1"/>
        <v>0</v>
      </c>
      <c r="AK308" s="35">
        <f t="shared" si="2"/>
        <v>0</v>
      </c>
      <c r="AL308" s="35" t="str">
        <f t="shared" si="3"/>
        <v/>
      </c>
      <c r="AM308" s="35">
        <f t="shared" si="4"/>
        <v>0</v>
      </c>
      <c r="AN308" s="40" t="str">
        <f t="shared" si="5"/>
        <v/>
      </c>
    </row>
    <row r="309" ht="15.75" customHeight="1">
      <c r="A309" s="32" t="s">
        <v>30</v>
      </c>
      <c r="B309" s="34">
        <f t="shared" si="6"/>
        <v>44869</v>
      </c>
      <c r="C309" s="35">
        <v>11.0</v>
      </c>
      <c r="D309" s="35" t="s">
        <v>34</v>
      </c>
      <c r="E309" s="37"/>
      <c r="F309" s="23"/>
      <c r="H309" s="24"/>
      <c r="J309" s="24"/>
      <c r="L309" s="25"/>
      <c r="N309" s="26"/>
      <c r="P309" s="24"/>
      <c r="R309" s="26"/>
      <c r="T309" s="24"/>
      <c r="V309" s="24"/>
      <c r="W309" s="27"/>
      <c r="X309" s="23"/>
      <c r="Z309" s="24"/>
      <c r="AB309" s="24"/>
      <c r="AD309" s="24"/>
      <c r="AF309" s="24"/>
      <c r="AH309" s="24"/>
      <c r="AI309" s="27"/>
      <c r="AJ309" s="39">
        <f t="shared" si="1"/>
        <v>0</v>
      </c>
      <c r="AK309" s="35">
        <f t="shared" si="2"/>
        <v>0</v>
      </c>
      <c r="AL309" s="35" t="str">
        <f t="shared" si="3"/>
        <v/>
      </c>
      <c r="AM309" s="35">
        <f t="shared" si="4"/>
        <v>0</v>
      </c>
      <c r="AN309" s="40" t="str">
        <f t="shared" si="5"/>
        <v/>
      </c>
    </row>
    <row r="310" ht="15.75" customHeight="1">
      <c r="A310" s="48" t="s">
        <v>31</v>
      </c>
      <c r="B310" s="50">
        <f t="shared" si="6"/>
        <v>44870</v>
      </c>
      <c r="C310" s="51">
        <v>11.0</v>
      </c>
      <c r="D310" s="51" t="s">
        <v>34</v>
      </c>
      <c r="E310" s="53"/>
      <c r="F310" s="54"/>
      <c r="G310" s="56"/>
      <c r="H310" s="57"/>
      <c r="I310" s="56"/>
      <c r="J310" s="57"/>
      <c r="K310" s="56"/>
      <c r="L310" s="58"/>
      <c r="M310" s="56"/>
      <c r="N310" s="59"/>
      <c r="O310" s="56"/>
      <c r="P310" s="57"/>
      <c r="Q310" s="56"/>
      <c r="R310" s="59"/>
      <c r="S310" s="56"/>
      <c r="T310" s="57"/>
      <c r="U310" s="56"/>
      <c r="V310" s="57"/>
      <c r="W310" s="60"/>
      <c r="X310" s="54"/>
      <c r="Y310" s="56"/>
      <c r="Z310" s="57"/>
      <c r="AA310" s="56"/>
      <c r="AB310" s="57"/>
      <c r="AC310" s="56"/>
      <c r="AD310" s="57"/>
      <c r="AE310" s="56"/>
      <c r="AF310" s="57"/>
      <c r="AG310" s="56"/>
      <c r="AH310" s="57"/>
      <c r="AI310" s="60"/>
      <c r="AJ310" s="61">
        <f t="shared" si="1"/>
        <v>0</v>
      </c>
      <c r="AK310" s="51">
        <f t="shared" si="2"/>
        <v>0</v>
      </c>
      <c r="AL310" s="51" t="str">
        <f t="shared" si="3"/>
        <v/>
      </c>
      <c r="AM310" s="51">
        <f t="shared" si="4"/>
        <v>0</v>
      </c>
      <c r="AN310" s="63" t="str">
        <f t="shared" si="5"/>
        <v/>
      </c>
    </row>
    <row r="311" ht="15.75" customHeight="1">
      <c r="A311" s="18" t="s">
        <v>20</v>
      </c>
      <c r="B311" s="64">
        <f t="shared" si="6"/>
        <v>44871</v>
      </c>
      <c r="C311" s="20">
        <v>12.0</v>
      </c>
      <c r="D311" s="20" t="s">
        <v>21</v>
      </c>
      <c r="E311" s="22"/>
      <c r="F311" s="23"/>
      <c r="H311" s="24"/>
      <c r="J311" s="24"/>
      <c r="L311" s="25"/>
      <c r="N311" s="26"/>
      <c r="P311" s="24"/>
      <c r="R311" s="26"/>
      <c r="T311" s="24"/>
      <c r="V311" s="24"/>
      <c r="W311" s="27"/>
      <c r="X311" s="23"/>
      <c r="Z311" s="24"/>
      <c r="AB311" s="24"/>
      <c r="AD311" s="24"/>
      <c r="AF311" s="24"/>
      <c r="AH311" s="24"/>
      <c r="AI311" s="27"/>
      <c r="AJ311" s="28">
        <f t="shared" si="1"/>
        <v>0</v>
      </c>
      <c r="AK311" s="20">
        <f t="shared" si="2"/>
        <v>0</v>
      </c>
      <c r="AL311" s="20" t="str">
        <f t="shared" si="3"/>
        <v/>
      </c>
      <c r="AM311" s="20">
        <f t="shared" si="4"/>
        <v>0</v>
      </c>
      <c r="AN311" s="31" t="str">
        <f t="shared" si="5"/>
        <v/>
      </c>
    </row>
    <row r="312" ht="15.75" customHeight="1">
      <c r="A312" s="32" t="s">
        <v>22</v>
      </c>
      <c r="B312" s="34">
        <f t="shared" si="6"/>
        <v>44872</v>
      </c>
      <c r="C312" s="35">
        <v>12.0</v>
      </c>
      <c r="D312" s="35" t="s">
        <v>21</v>
      </c>
      <c r="E312" s="37"/>
      <c r="F312" s="23"/>
      <c r="H312" s="24"/>
      <c r="J312" s="24"/>
      <c r="L312" s="25"/>
      <c r="N312" s="26"/>
      <c r="P312" s="24"/>
      <c r="R312" s="26"/>
      <c r="T312" s="24"/>
      <c r="V312" s="24"/>
      <c r="W312" s="27"/>
      <c r="X312" s="23"/>
      <c r="Z312" s="24"/>
      <c r="AB312" s="24"/>
      <c r="AD312" s="24"/>
      <c r="AF312" s="24"/>
      <c r="AH312" s="24"/>
      <c r="AI312" s="27"/>
      <c r="AJ312" s="39">
        <f t="shared" si="1"/>
        <v>0</v>
      </c>
      <c r="AK312" s="35">
        <f t="shared" si="2"/>
        <v>0</v>
      </c>
      <c r="AL312" s="35" t="str">
        <f t="shared" si="3"/>
        <v/>
      </c>
      <c r="AM312" s="35">
        <f t="shared" si="4"/>
        <v>0</v>
      </c>
      <c r="AN312" s="40" t="str">
        <f t="shared" si="5"/>
        <v/>
      </c>
    </row>
    <row r="313" ht="15.75" customHeight="1">
      <c r="A313" s="32" t="s">
        <v>24</v>
      </c>
      <c r="B313" s="34">
        <f t="shared" si="6"/>
        <v>44873</v>
      </c>
      <c r="C313" s="35">
        <v>12.0</v>
      </c>
      <c r="D313" s="35" t="s">
        <v>21</v>
      </c>
      <c r="E313" s="37"/>
      <c r="F313" s="23"/>
      <c r="H313" s="24"/>
      <c r="J313" s="24"/>
      <c r="L313" s="25"/>
      <c r="N313" s="26"/>
      <c r="P313" s="24"/>
      <c r="R313" s="26"/>
      <c r="T313" s="24"/>
      <c r="V313" s="24"/>
      <c r="W313" s="27"/>
      <c r="X313" s="23"/>
      <c r="Z313" s="24"/>
      <c r="AB313" s="24"/>
      <c r="AD313" s="24"/>
      <c r="AF313" s="24"/>
      <c r="AH313" s="24"/>
      <c r="AI313" s="27"/>
      <c r="AJ313" s="39">
        <f t="shared" si="1"/>
        <v>0</v>
      </c>
      <c r="AK313" s="35">
        <f t="shared" si="2"/>
        <v>0</v>
      </c>
      <c r="AL313" s="35" t="str">
        <f t="shared" si="3"/>
        <v/>
      </c>
      <c r="AM313" s="35">
        <f t="shared" si="4"/>
        <v>0</v>
      </c>
      <c r="AN313" s="40" t="str">
        <f t="shared" si="5"/>
        <v/>
      </c>
    </row>
    <row r="314" ht="15.75" customHeight="1">
      <c r="A314" s="32" t="s">
        <v>28</v>
      </c>
      <c r="B314" s="34">
        <f t="shared" si="6"/>
        <v>44874</v>
      </c>
      <c r="C314" s="35">
        <v>12.0</v>
      </c>
      <c r="D314" s="35" t="s">
        <v>21</v>
      </c>
      <c r="E314" s="37"/>
      <c r="F314" s="23"/>
      <c r="H314" s="24"/>
      <c r="J314" s="24"/>
      <c r="L314" s="25"/>
      <c r="N314" s="26"/>
      <c r="P314" s="24"/>
      <c r="R314" s="26"/>
      <c r="T314" s="24"/>
      <c r="V314" s="24"/>
      <c r="W314" s="27"/>
      <c r="X314" s="23"/>
      <c r="Z314" s="24"/>
      <c r="AB314" s="24"/>
      <c r="AD314" s="24"/>
      <c r="AF314" s="24"/>
      <c r="AH314" s="24"/>
      <c r="AI314" s="27"/>
      <c r="AJ314" s="39">
        <f t="shared" si="1"/>
        <v>0</v>
      </c>
      <c r="AK314" s="35">
        <f t="shared" si="2"/>
        <v>0</v>
      </c>
      <c r="AL314" s="35" t="str">
        <f t="shared" si="3"/>
        <v/>
      </c>
      <c r="AM314" s="35">
        <f t="shared" si="4"/>
        <v>0</v>
      </c>
      <c r="AN314" s="40" t="str">
        <f t="shared" si="5"/>
        <v/>
      </c>
    </row>
    <row r="315" ht="15.75" customHeight="1">
      <c r="A315" s="32" t="s">
        <v>29</v>
      </c>
      <c r="B315" s="34">
        <f t="shared" si="6"/>
        <v>44875</v>
      </c>
      <c r="C315" s="35">
        <v>12.0</v>
      </c>
      <c r="D315" s="35" t="s">
        <v>21</v>
      </c>
      <c r="E315" s="37"/>
      <c r="F315" s="23"/>
      <c r="H315" s="24"/>
      <c r="J315" s="24"/>
      <c r="L315" s="25"/>
      <c r="N315" s="26"/>
      <c r="P315" s="24"/>
      <c r="R315" s="26"/>
      <c r="T315" s="24"/>
      <c r="V315" s="24"/>
      <c r="W315" s="27"/>
      <c r="X315" s="23"/>
      <c r="Z315" s="24"/>
      <c r="AB315" s="24"/>
      <c r="AD315" s="24"/>
      <c r="AF315" s="24"/>
      <c r="AH315" s="24"/>
      <c r="AI315" s="27"/>
      <c r="AJ315" s="39">
        <f t="shared" si="1"/>
        <v>0</v>
      </c>
      <c r="AK315" s="35">
        <f t="shared" si="2"/>
        <v>0</v>
      </c>
      <c r="AL315" s="35" t="str">
        <f t="shared" si="3"/>
        <v/>
      </c>
      <c r="AM315" s="35">
        <f t="shared" si="4"/>
        <v>0</v>
      </c>
      <c r="AN315" s="40" t="str">
        <f t="shared" si="5"/>
        <v/>
      </c>
    </row>
    <row r="316" ht="15.75" customHeight="1">
      <c r="A316" s="32" t="s">
        <v>30</v>
      </c>
      <c r="B316" s="34">
        <f t="shared" si="6"/>
        <v>44876</v>
      </c>
      <c r="C316" s="35">
        <v>12.0</v>
      </c>
      <c r="D316" s="35" t="s">
        <v>21</v>
      </c>
      <c r="E316" s="37"/>
      <c r="F316" s="23"/>
      <c r="H316" s="24"/>
      <c r="J316" s="24"/>
      <c r="L316" s="25"/>
      <c r="N316" s="26"/>
      <c r="P316" s="24"/>
      <c r="R316" s="26"/>
      <c r="T316" s="24"/>
      <c r="V316" s="24"/>
      <c r="W316" s="27"/>
      <c r="X316" s="23"/>
      <c r="Z316" s="24"/>
      <c r="AB316" s="24"/>
      <c r="AD316" s="24"/>
      <c r="AF316" s="24"/>
      <c r="AH316" s="24"/>
      <c r="AI316" s="27"/>
      <c r="AJ316" s="39">
        <f t="shared" si="1"/>
        <v>0</v>
      </c>
      <c r="AK316" s="35">
        <f t="shared" si="2"/>
        <v>0</v>
      </c>
      <c r="AL316" s="35" t="str">
        <f t="shared" si="3"/>
        <v/>
      </c>
      <c r="AM316" s="35">
        <f t="shared" si="4"/>
        <v>0</v>
      </c>
      <c r="AN316" s="40" t="str">
        <f t="shared" si="5"/>
        <v/>
      </c>
    </row>
    <row r="317" ht="15.75" customHeight="1">
      <c r="A317" s="48" t="s">
        <v>31</v>
      </c>
      <c r="B317" s="50">
        <f t="shared" si="6"/>
        <v>44877</v>
      </c>
      <c r="C317" s="51">
        <v>12.0</v>
      </c>
      <c r="D317" s="51" t="s">
        <v>21</v>
      </c>
      <c r="E317" s="53"/>
      <c r="F317" s="54"/>
      <c r="G317" s="56"/>
      <c r="H317" s="57"/>
      <c r="I317" s="56"/>
      <c r="J317" s="57"/>
      <c r="K317" s="56"/>
      <c r="L317" s="58"/>
      <c r="M317" s="56"/>
      <c r="N317" s="59"/>
      <c r="O317" s="56"/>
      <c r="P317" s="57"/>
      <c r="Q317" s="56"/>
      <c r="R317" s="59"/>
      <c r="S317" s="56"/>
      <c r="T317" s="57"/>
      <c r="U317" s="56"/>
      <c r="V317" s="57"/>
      <c r="W317" s="60"/>
      <c r="X317" s="54"/>
      <c r="Y317" s="56"/>
      <c r="Z317" s="57"/>
      <c r="AA317" s="56"/>
      <c r="AB317" s="57"/>
      <c r="AC317" s="56"/>
      <c r="AD317" s="57"/>
      <c r="AE317" s="56"/>
      <c r="AF317" s="57"/>
      <c r="AG317" s="56"/>
      <c r="AH317" s="57"/>
      <c r="AI317" s="60"/>
      <c r="AJ317" s="61">
        <f t="shared" si="1"/>
        <v>0</v>
      </c>
      <c r="AK317" s="51">
        <f t="shared" si="2"/>
        <v>0</v>
      </c>
      <c r="AL317" s="51" t="str">
        <f t="shared" si="3"/>
        <v/>
      </c>
      <c r="AM317" s="51">
        <f t="shared" si="4"/>
        <v>0</v>
      </c>
      <c r="AN317" s="63" t="str">
        <f t="shared" si="5"/>
        <v/>
      </c>
    </row>
    <row r="318" ht="15.75" customHeight="1">
      <c r="A318" s="18" t="s">
        <v>20</v>
      </c>
      <c r="B318" s="64">
        <f t="shared" si="6"/>
        <v>44878</v>
      </c>
      <c r="C318" s="20">
        <v>12.0</v>
      </c>
      <c r="D318" s="20" t="s">
        <v>32</v>
      </c>
      <c r="E318" s="22"/>
      <c r="F318" s="23"/>
      <c r="H318" s="24"/>
      <c r="J318" s="24"/>
      <c r="L318" s="25"/>
      <c r="N318" s="26"/>
      <c r="P318" s="24"/>
      <c r="R318" s="26"/>
      <c r="T318" s="24"/>
      <c r="V318" s="24"/>
      <c r="W318" s="27"/>
      <c r="X318" s="23"/>
      <c r="Z318" s="24"/>
      <c r="AB318" s="24"/>
      <c r="AD318" s="24"/>
      <c r="AF318" s="24"/>
      <c r="AH318" s="24"/>
      <c r="AI318" s="27"/>
      <c r="AJ318" s="28">
        <f t="shared" si="1"/>
        <v>0</v>
      </c>
      <c r="AK318" s="20">
        <f t="shared" si="2"/>
        <v>0</v>
      </c>
      <c r="AL318" s="20" t="str">
        <f t="shared" si="3"/>
        <v/>
      </c>
      <c r="AM318" s="20">
        <f t="shared" si="4"/>
        <v>0</v>
      </c>
      <c r="AN318" s="31" t="str">
        <f t="shared" si="5"/>
        <v/>
      </c>
    </row>
    <row r="319" ht="15.75" customHeight="1">
      <c r="A319" s="32" t="s">
        <v>22</v>
      </c>
      <c r="B319" s="34">
        <f t="shared" si="6"/>
        <v>44879</v>
      </c>
      <c r="C319" s="35">
        <v>12.0</v>
      </c>
      <c r="D319" s="35" t="s">
        <v>32</v>
      </c>
      <c r="E319" s="37"/>
      <c r="F319" s="23"/>
      <c r="H319" s="24"/>
      <c r="J319" s="24"/>
      <c r="L319" s="25"/>
      <c r="N319" s="26"/>
      <c r="P319" s="24"/>
      <c r="R319" s="26"/>
      <c r="T319" s="24"/>
      <c r="V319" s="24"/>
      <c r="W319" s="27"/>
      <c r="X319" s="23"/>
      <c r="Z319" s="24"/>
      <c r="AB319" s="24"/>
      <c r="AD319" s="24"/>
      <c r="AF319" s="24"/>
      <c r="AH319" s="24"/>
      <c r="AI319" s="27"/>
      <c r="AJ319" s="39">
        <f t="shared" si="1"/>
        <v>0</v>
      </c>
      <c r="AK319" s="35">
        <f t="shared" si="2"/>
        <v>0</v>
      </c>
      <c r="AL319" s="35" t="str">
        <f t="shared" si="3"/>
        <v/>
      </c>
      <c r="AM319" s="35">
        <f t="shared" si="4"/>
        <v>0</v>
      </c>
      <c r="AN319" s="40" t="str">
        <f t="shared" si="5"/>
        <v/>
      </c>
    </row>
    <row r="320" ht="15.75" customHeight="1">
      <c r="A320" s="32" t="s">
        <v>24</v>
      </c>
      <c r="B320" s="34">
        <f t="shared" si="6"/>
        <v>44880</v>
      </c>
      <c r="C320" s="35">
        <v>12.0</v>
      </c>
      <c r="D320" s="35" t="s">
        <v>32</v>
      </c>
      <c r="E320" s="37"/>
      <c r="F320" s="23"/>
      <c r="H320" s="24"/>
      <c r="J320" s="24"/>
      <c r="L320" s="25"/>
      <c r="N320" s="26"/>
      <c r="P320" s="24"/>
      <c r="R320" s="26"/>
      <c r="T320" s="24"/>
      <c r="V320" s="24"/>
      <c r="W320" s="27"/>
      <c r="X320" s="23"/>
      <c r="Z320" s="24"/>
      <c r="AB320" s="24"/>
      <c r="AD320" s="24"/>
      <c r="AF320" s="24"/>
      <c r="AH320" s="24"/>
      <c r="AI320" s="27"/>
      <c r="AJ320" s="39">
        <f t="shared" si="1"/>
        <v>0</v>
      </c>
      <c r="AK320" s="35">
        <f t="shared" si="2"/>
        <v>0</v>
      </c>
      <c r="AL320" s="35" t="str">
        <f t="shared" si="3"/>
        <v/>
      </c>
      <c r="AM320" s="35">
        <f t="shared" si="4"/>
        <v>0</v>
      </c>
      <c r="AN320" s="40" t="str">
        <f t="shared" si="5"/>
        <v/>
      </c>
    </row>
    <row r="321" ht="15.75" customHeight="1">
      <c r="A321" s="32" t="s">
        <v>28</v>
      </c>
      <c r="B321" s="34">
        <f t="shared" si="6"/>
        <v>44881</v>
      </c>
      <c r="C321" s="35">
        <v>12.0</v>
      </c>
      <c r="D321" s="35" t="s">
        <v>32</v>
      </c>
      <c r="E321" s="37"/>
      <c r="F321" s="23"/>
      <c r="H321" s="24"/>
      <c r="J321" s="24"/>
      <c r="L321" s="25"/>
      <c r="N321" s="26"/>
      <c r="P321" s="24"/>
      <c r="R321" s="26"/>
      <c r="T321" s="24"/>
      <c r="V321" s="24"/>
      <c r="W321" s="27"/>
      <c r="X321" s="23"/>
      <c r="Z321" s="24"/>
      <c r="AB321" s="24"/>
      <c r="AD321" s="24"/>
      <c r="AF321" s="24"/>
      <c r="AH321" s="24"/>
      <c r="AI321" s="27"/>
      <c r="AJ321" s="39">
        <f t="shared" si="1"/>
        <v>0</v>
      </c>
      <c r="AK321" s="35">
        <f t="shared" si="2"/>
        <v>0</v>
      </c>
      <c r="AL321" s="35" t="str">
        <f t="shared" si="3"/>
        <v/>
      </c>
      <c r="AM321" s="35">
        <f t="shared" si="4"/>
        <v>0</v>
      </c>
      <c r="AN321" s="40" t="str">
        <f t="shared" si="5"/>
        <v/>
      </c>
    </row>
    <row r="322" ht="15.75" customHeight="1">
      <c r="A322" s="32" t="s">
        <v>29</v>
      </c>
      <c r="B322" s="34">
        <f t="shared" si="6"/>
        <v>44882</v>
      </c>
      <c r="C322" s="35">
        <v>12.0</v>
      </c>
      <c r="D322" s="35" t="s">
        <v>32</v>
      </c>
      <c r="E322" s="37"/>
      <c r="F322" s="23"/>
      <c r="H322" s="24"/>
      <c r="J322" s="24"/>
      <c r="L322" s="25"/>
      <c r="N322" s="26"/>
      <c r="P322" s="24"/>
      <c r="R322" s="26"/>
      <c r="T322" s="24"/>
      <c r="V322" s="24"/>
      <c r="W322" s="27"/>
      <c r="X322" s="23"/>
      <c r="Z322" s="24"/>
      <c r="AB322" s="24"/>
      <c r="AD322" s="24"/>
      <c r="AF322" s="24"/>
      <c r="AH322" s="24"/>
      <c r="AI322" s="27"/>
      <c r="AJ322" s="39">
        <f t="shared" si="1"/>
        <v>0</v>
      </c>
      <c r="AK322" s="35">
        <f t="shared" si="2"/>
        <v>0</v>
      </c>
      <c r="AL322" s="35" t="str">
        <f t="shared" si="3"/>
        <v/>
      </c>
      <c r="AM322" s="35">
        <f t="shared" si="4"/>
        <v>0</v>
      </c>
      <c r="AN322" s="40" t="str">
        <f t="shared" si="5"/>
        <v/>
      </c>
    </row>
    <row r="323" ht="15.75" customHeight="1">
      <c r="A323" s="32" t="s">
        <v>30</v>
      </c>
      <c r="B323" s="34">
        <f t="shared" si="6"/>
        <v>44883</v>
      </c>
      <c r="C323" s="35">
        <v>12.0</v>
      </c>
      <c r="D323" s="35" t="s">
        <v>32</v>
      </c>
      <c r="E323" s="37"/>
      <c r="F323" s="23"/>
      <c r="H323" s="24"/>
      <c r="J323" s="24"/>
      <c r="L323" s="25"/>
      <c r="N323" s="26"/>
      <c r="P323" s="24"/>
      <c r="R323" s="26"/>
      <c r="T323" s="24"/>
      <c r="V323" s="24"/>
      <c r="W323" s="27"/>
      <c r="X323" s="23"/>
      <c r="Z323" s="24"/>
      <c r="AB323" s="24"/>
      <c r="AD323" s="24"/>
      <c r="AF323" s="24"/>
      <c r="AH323" s="24"/>
      <c r="AI323" s="27"/>
      <c r="AJ323" s="39">
        <f t="shared" si="1"/>
        <v>0</v>
      </c>
      <c r="AK323" s="35">
        <f t="shared" si="2"/>
        <v>0</v>
      </c>
      <c r="AL323" s="35" t="str">
        <f t="shared" si="3"/>
        <v/>
      </c>
      <c r="AM323" s="35">
        <f t="shared" si="4"/>
        <v>0</v>
      </c>
      <c r="AN323" s="40" t="str">
        <f t="shared" si="5"/>
        <v/>
      </c>
    </row>
    <row r="324" ht="15.75" customHeight="1">
      <c r="A324" s="48" t="s">
        <v>31</v>
      </c>
      <c r="B324" s="50">
        <f t="shared" si="6"/>
        <v>44884</v>
      </c>
      <c r="C324" s="51">
        <v>12.0</v>
      </c>
      <c r="D324" s="51" t="s">
        <v>32</v>
      </c>
      <c r="E324" s="100"/>
      <c r="F324" s="54"/>
      <c r="G324" s="56"/>
      <c r="H324" s="57"/>
      <c r="I324" s="56"/>
      <c r="J324" s="57"/>
      <c r="K324" s="56"/>
      <c r="L324" s="58"/>
      <c r="M324" s="56"/>
      <c r="N324" s="59"/>
      <c r="O324" s="56"/>
      <c r="P324" s="57"/>
      <c r="Q324" s="56"/>
      <c r="R324" s="59"/>
      <c r="S324" s="56"/>
      <c r="T324" s="57"/>
      <c r="U324" s="56"/>
      <c r="V324" s="57"/>
      <c r="W324" s="60"/>
      <c r="X324" s="54"/>
      <c r="Y324" s="56"/>
      <c r="Z324" s="57"/>
      <c r="AA324" s="56"/>
      <c r="AB324" s="57"/>
      <c r="AC324" s="56"/>
      <c r="AD324" s="57"/>
      <c r="AE324" s="56"/>
      <c r="AF324" s="57"/>
      <c r="AG324" s="56"/>
      <c r="AH324" s="57"/>
      <c r="AI324" s="60"/>
      <c r="AJ324" s="61">
        <f t="shared" si="1"/>
        <v>0</v>
      </c>
      <c r="AK324" s="51">
        <f t="shared" si="2"/>
        <v>0</v>
      </c>
      <c r="AL324" s="51" t="str">
        <f t="shared" si="3"/>
        <v/>
      </c>
      <c r="AM324" s="51">
        <f t="shared" si="4"/>
        <v>0</v>
      </c>
      <c r="AN324" s="63" t="str">
        <f t="shared" si="5"/>
        <v/>
      </c>
    </row>
    <row r="325" ht="15.75" customHeight="1">
      <c r="A325" s="18" t="s">
        <v>20</v>
      </c>
      <c r="B325" s="64">
        <f t="shared" si="6"/>
        <v>44885</v>
      </c>
      <c r="C325" s="20">
        <v>12.0</v>
      </c>
      <c r="D325" s="20" t="s">
        <v>33</v>
      </c>
      <c r="E325" s="22"/>
      <c r="F325" s="23"/>
      <c r="H325" s="24"/>
      <c r="J325" s="24"/>
      <c r="L325" s="25"/>
      <c r="N325" s="26"/>
      <c r="P325" s="24"/>
      <c r="R325" s="26"/>
      <c r="T325" s="24"/>
      <c r="V325" s="24"/>
      <c r="W325" s="27"/>
      <c r="X325" s="23"/>
      <c r="Z325" s="24"/>
      <c r="AB325" s="24"/>
      <c r="AD325" s="24"/>
      <c r="AF325" s="24"/>
      <c r="AH325" s="24"/>
      <c r="AI325" s="27"/>
      <c r="AJ325" s="28">
        <f t="shared" si="1"/>
        <v>0</v>
      </c>
      <c r="AK325" s="20">
        <f t="shared" si="2"/>
        <v>0</v>
      </c>
      <c r="AL325" s="20" t="str">
        <f t="shared" si="3"/>
        <v/>
      </c>
      <c r="AM325" s="20">
        <f t="shared" si="4"/>
        <v>0</v>
      </c>
      <c r="AN325" s="31" t="str">
        <f t="shared" si="5"/>
        <v/>
      </c>
    </row>
    <row r="326" ht="15.75" customHeight="1">
      <c r="A326" s="32" t="s">
        <v>22</v>
      </c>
      <c r="B326" s="34">
        <f t="shared" si="6"/>
        <v>44886</v>
      </c>
      <c r="C326" s="35">
        <v>12.0</v>
      </c>
      <c r="D326" s="35" t="s">
        <v>33</v>
      </c>
      <c r="E326" s="37"/>
      <c r="F326" s="23"/>
      <c r="H326" s="24"/>
      <c r="J326" s="24"/>
      <c r="L326" s="25"/>
      <c r="N326" s="26"/>
      <c r="P326" s="24"/>
      <c r="R326" s="26"/>
      <c r="T326" s="24"/>
      <c r="V326" s="24"/>
      <c r="W326" s="27"/>
      <c r="X326" s="23"/>
      <c r="Z326" s="24"/>
      <c r="AB326" s="24"/>
      <c r="AD326" s="24"/>
      <c r="AF326" s="24"/>
      <c r="AH326" s="24"/>
      <c r="AI326" s="27"/>
      <c r="AJ326" s="39">
        <f t="shared" si="1"/>
        <v>0</v>
      </c>
      <c r="AK326" s="35">
        <f t="shared" si="2"/>
        <v>0</v>
      </c>
      <c r="AL326" s="35" t="str">
        <f t="shared" si="3"/>
        <v/>
      </c>
      <c r="AM326" s="35">
        <f t="shared" si="4"/>
        <v>0</v>
      </c>
      <c r="AN326" s="40" t="str">
        <f t="shared" si="5"/>
        <v/>
      </c>
    </row>
    <row r="327" ht="15.75" customHeight="1">
      <c r="A327" s="32" t="s">
        <v>24</v>
      </c>
      <c r="B327" s="34">
        <f t="shared" si="6"/>
        <v>44887</v>
      </c>
      <c r="C327" s="35">
        <v>12.0</v>
      </c>
      <c r="D327" s="35" t="s">
        <v>33</v>
      </c>
      <c r="E327" s="37"/>
      <c r="F327" s="23"/>
      <c r="H327" s="24"/>
      <c r="J327" s="24"/>
      <c r="L327" s="25"/>
      <c r="N327" s="26"/>
      <c r="P327" s="24"/>
      <c r="R327" s="26"/>
      <c r="T327" s="24"/>
      <c r="V327" s="24"/>
      <c r="W327" s="27"/>
      <c r="X327" s="23"/>
      <c r="Z327" s="24"/>
      <c r="AB327" s="24"/>
      <c r="AD327" s="24"/>
      <c r="AF327" s="24"/>
      <c r="AH327" s="24"/>
      <c r="AI327" s="27"/>
      <c r="AJ327" s="39">
        <f t="shared" si="1"/>
        <v>0</v>
      </c>
      <c r="AK327" s="35">
        <f t="shared" si="2"/>
        <v>0</v>
      </c>
      <c r="AL327" s="35" t="str">
        <f t="shared" si="3"/>
        <v/>
      </c>
      <c r="AM327" s="35">
        <f t="shared" si="4"/>
        <v>0</v>
      </c>
      <c r="AN327" s="40" t="str">
        <f t="shared" si="5"/>
        <v/>
      </c>
    </row>
    <row r="328" ht="15.75" customHeight="1">
      <c r="A328" s="32" t="s">
        <v>28</v>
      </c>
      <c r="B328" s="34">
        <f t="shared" si="6"/>
        <v>44888</v>
      </c>
      <c r="C328" s="35">
        <v>12.0</v>
      </c>
      <c r="D328" s="35" t="s">
        <v>33</v>
      </c>
      <c r="E328" s="37"/>
      <c r="F328" s="23"/>
      <c r="H328" s="24"/>
      <c r="J328" s="24"/>
      <c r="L328" s="25"/>
      <c r="N328" s="26"/>
      <c r="P328" s="24"/>
      <c r="R328" s="26"/>
      <c r="T328" s="24"/>
      <c r="V328" s="24"/>
      <c r="W328" s="27"/>
      <c r="X328" s="23"/>
      <c r="Z328" s="24"/>
      <c r="AB328" s="24"/>
      <c r="AD328" s="24"/>
      <c r="AF328" s="24"/>
      <c r="AH328" s="24"/>
      <c r="AI328" s="27"/>
      <c r="AJ328" s="39">
        <f t="shared" si="1"/>
        <v>0</v>
      </c>
      <c r="AK328" s="35">
        <f t="shared" si="2"/>
        <v>0</v>
      </c>
      <c r="AL328" s="35" t="str">
        <f t="shared" si="3"/>
        <v/>
      </c>
      <c r="AM328" s="35">
        <f t="shared" si="4"/>
        <v>0</v>
      </c>
      <c r="AN328" s="40" t="str">
        <f t="shared" si="5"/>
        <v/>
      </c>
    </row>
    <row r="329" ht="15.75" customHeight="1">
      <c r="A329" s="32" t="s">
        <v>29</v>
      </c>
      <c r="B329" s="34">
        <f t="shared" si="6"/>
        <v>44889</v>
      </c>
      <c r="C329" s="35">
        <v>12.0</v>
      </c>
      <c r="D329" s="35" t="s">
        <v>33</v>
      </c>
      <c r="E329" s="37"/>
      <c r="F329" s="23"/>
      <c r="H329" s="24"/>
      <c r="J329" s="24"/>
      <c r="L329" s="25"/>
      <c r="N329" s="26"/>
      <c r="P329" s="24"/>
      <c r="R329" s="26"/>
      <c r="T329" s="24"/>
      <c r="V329" s="24"/>
      <c r="W329" s="27"/>
      <c r="X329" s="23"/>
      <c r="Z329" s="24"/>
      <c r="AB329" s="24"/>
      <c r="AD329" s="24"/>
      <c r="AF329" s="24"/>
      <c r="AH329" s="24"/>
      <c r="AI329" s="27"/>
      <c r="AJ329" s="39">
        <f t="shared" si="1"/>
        <v>0</v>
      </c>
      <c r="AK329" s="35">
        <f t="shared" si="2"/>
        <v>0</v>
      </c>
      <c r="AL329" s="35" t="str">
        <f t="shared" si="3"/>
        <v/>
      </c>
      <c r="AM329" s="35">
        <f t="shared" si="4"/>
        <v>0</v>
      </c>
      <c r="AN329" s="40" t="str">
        <f t="shared" si="5"/>
        <v/>
      </c>
    </row>
    <row r="330" ht="15.75" customHeight="1">
      <c r="A330" s="32" t="s">
        <v>30</v>
      </c>
      <c r="B330" s="34">
        <f t="shared" si="6"/>
        <v>44890</v>
      </c>
      <c r="C330" s="35">
        <v>12.0</v>
      </c>
      <c r="D330" s="35" t="s">
        <v>33</v>
      </c>
      <c r="E330" s="37"/>
      <c r="F330" s="23"/>
      <c r="H330" s="24"/>
      <c r="J330" s="24"/>
      <c r="L330" s="25"/>
      <c r="N330" s="26"/>
      <c r="P330" s="24"/>
      <c r="R330" s="26"/>
      <c r="T330" s="24"/>
      <c r="V330" s="24"/>
      <c r="W330" s="27"/>
      <c r="X330" s="23"/>
      <c r="Z330" s="24"/>
      <c r="AB330" s="24"/>
      <c r="AD330" s="24"/>
      <c r="AF330" s="24"/>
      <c r="AH330" s="24"/>
      <c r="AI330" s="27"/>
      <c r="AJ330" s="39">
        <f t="shared" si="1"/>
        <v>0</v>
      </c>
      <c r="AK330" s="35">
        <f t="shared" si="2"/>
        <v>0</v>
      </c>
      <c r="AL330" s="35" t="str">
        <f t="shared" si="3"/>
        <v/>
      </c>
      <c r="AM330" s="35">
        <f t="shared" si="4"/>
        <v>0</v>
      </c>
      <c r="AN330" s="40" t="str">
        <f t="shared" si="5"/>
        <v/>
      </c>
    </row>
    <row r="331" ht="15.75" customHeight="1">
      <c r="A331" s="48" t="s">
        <v>31</v>
      </c>
      <c r="B331" s="50">
        <f t="shared" si="6"/>
        <v>44891</v>
      </c>
      <c r="C331" s="51">
        <v>12.0</v>
      </c>
      <c r="D331" s="51" t="s">
        <v>33</v>
      </c>
      <c r="E331" s="53"/>
      <c r="F331" s="54"/>
      <c r="G331" s="56"/>
      <c r="H331" s="57"/>
      <c r="I331" s="56"/>
      <c r="J331" s="57"/>
      <c r="K331" s="56"/>
      <c r="L331" s="58"/>
      <c r="M331" s="56"/>
      <c r="N331" s="59"/>
      <c r="O331" s="56"/>
      <c r="P331" s="57"/>
      <c r="Q331" s="56"/>
      <c r="R331" s="59"/>
      <c r="S331" s="56"/>
      <c r="T331" s="57"/>
      <c r="U331" s="56"/>
      <c r="V331" s="57"/>
      <c r="W331" s="60"/>
      <c r="X331" s="54"/>
      <c r="Y331" s="56"/>
      <c r="Z331" s="57"/>
      <c r="AA331" s="56"/>
      <c r="AB331" s="57"/>
      <c r="AC331" s="56"/>
      <c r="AD331" s="57"/>
      <c r="AE331" s="56"/>
      <c r="AF331" s="57"/>
      <c r="AG331" s="56"/>
      <c r="AH331" s="57"/>
      <c r="AI331" s="60"/>
      <c r="AJ331" s="61">
        <f t="shared" si="1"/>
        <v>0</v>
      </c>
      <c r="AK331" s="51">
        <f t="shared" si="2"/>
        <v>0</v>
      </c>
      <c r="AL331" s="51" t="str">
        <f t="shared" si="3"/>
        <v/>
      </c>
      <c r="AM331" s="51">
        <f t="shared" si="4"/>
        <v>0</v>
      </c>
      <c r="AN331" s="63" t="str">
        <f t="shared" si="5"/>
        <v/>
      </c>
    </row>
    <row r="332" ht="15.75" customHeight="1">
      <c r="A332" s="18" t="s">
        <v>20</v>
      </c>
      <c r="B332" s="64">
        <f t="shared" si="6"/>
        <v>44892</v>
      </c>
      <c r="C332" s="20">
        <v>12.0</v>
      </c>
      <c r="D332" s="20" t="s">
        <v>34</v>
      </c>
      <c r="E332" s="22"/>
      <c r="F332" s="23"/>
      <c r="H332" s="24"/>
      <c r="J332" s="24"/>
      <c r="L332" s="25"/>
      <c r="N332" s="26"/>
      <c r="P332" s="24"/>
      <c r="R332" s="26"/>
      <c r="T332" s="24"/>
      <c r="V332" s="24"/>
      <c r="W332" s="27"/>
      <c r="X332" s="23"/>
      <c r="Z332" s="24"/>
      <c r="AB332" s="24"/>
      <c r="AD332" s="24"/>
      <c r="AF332" s="24"/>
      <c r="AH332" s="24"/>
      <c r="AI332" s="27"/>
      <c r="AJ332" s="28">
        <f t="shared" si="1"/>
        <v>0</v>
      </c>
      <c r="AK332" s="20">
        <f t="shared" si="2"/>
        <v>0</v>
      </c>
      <c r="AL332" s="20" t="str">
        <f t="shared" si="3"/>
        <v/>
      </c>
      <c r="AM332" s="20">
        <f t="shared" si="4"/>
        <v>0</v>
      </c>
      <c r="AN332" s="31" t="str">
        <f t="shared" si="5"/>
        <v/>
      </c>
    </row>
    <row r="333" ht="15.75" customHeight="1">
      <c r="A333" s="32" t="s">
        <v>22</v>
      </c>
      <c r="B333" s="34">
        <f t="shared" si="6"/>
        <v>44893</v>
      </c>
      <c r="C333" s="35">
        <v>12.0</v>
      </c>
      <c r="D333" s="35" t="s">
        <v>34</v>
      </c>
      <c r="E333" s="37"/>
      <c r="F333" s="23"/>
      <c r="H333" s="24"/>
      <c r="J333" s="24"/>
      <c r="L333" s="25"/>
      <c r="N333" s="26"/>
      <c r="P333" s="24"/>
      <c r="R333" s="26"/>
      <c r="T333" s="24"/>
      <c r="V333" s="24"/>
      <c r="W333" s="27"/>
      <c r="X333" s="23"/>
      <c r="Z333" s="24"/>
      <c r="AB333" s="24"/>
      <c r="AD333" s="24"/>
      <c r="AF333" s="24"/>
      <c r="AH333" s="24"/>
      <c r="AI333" s="27"/>
      <c r="AJ333" s="39">
        <f t="shared" si="1"/>
        <v>0</v>
      </c>
      <c r="AK333" s="35">
        <f t="shared" si="2"/>
        <v>0</v>
      </c>
      <c r="AL333" s="35" t="str">
        <f t="shared" si="3"/>
        <v/>
      </c>
      <c r="AM333" s="35">
        <f t="shared" si="4"/>
        <v>0</v>
      </c>
      <c r="AN333" s="40" t="str">
        <f t="shared" si="5"/>
        <v/>
      </c>
    </row>
    <row r="334" ht="15.75" customHeight="1">
      <c r="A334" s="32" t="s">
        <v>24</v>
      </c>
      <c r="B334" s="34">
        <f t="shared" si="6"/>
        <v>44894</v>
      </c>
      <c r="C334" s="35">
        <v>12.0</v>
      </c>
      <c r="D334" s="35" t="s">
        <v>34</v>
      </c>
      <c r="E334" s="37"/>
      <c r="F334" s="23"/>
      <c r="H334" s="24"/>
      <c r="J334" s="24"/>
      <c r="L334" s="25"/>
      <c r="N334" s="26"/>
      <c r="P334" s="24"/>
      <c r="R334" s="26"/>
      <c r="T334" s="24"/>
      <c r="V334" s="24"/>
      <c r="W334" s="27"/>
      <c r="X334" s="23"/>
      <c r="Z334" s="24"/>
      <c r="AB334" s="24"/>
      <c r="AD334" s="24"/>
      <c r="AF334" s="24"/>
      <c r="AH334" s="24"/>
      <c r="AI334" s="27"/>
      <c r="AJ334" s="39">
        <f t="shared" si="1"/>
        <v>0</v>
      </c>
      <c r="AK334" s="35">
        <f t="shared" si="2"/>
        <v>0</v>
      </c>
      <c r="AL334" s="35" t="str">
        <f t="shared" si="3"/>
        <v/>
      </c>
      <c r="AM334" s="35">
        <f t="shared" si="4"/>
        <v>0</v>
      </c>
      <c r="AN334" s="40" t="str">
        <f t="shared" si="5"/>
        <v/>
      </c>
    </row>
    <row r="335" ht="15.75" customHeight="1">
      <c r="A335" s="32" t="s">
        <v>28</v>
      </c>
      <c r="B335" s="34">
        <f t="shared" si="6"/>
        <v>44895</v>
      </c>
      <c r="C335" s="35">
        <v>12.0</v>
      </c>
      <c r="D335" s="35" t="s">
        <v>34</v>
      </c>
      <c r="E335" s="37"/>
      <c r="F335" s="23"/>
      <c r="H335" s="24"/>
      <c r="J335" s="24"/>
      <c r="L335" s="25"/>
      <c r="N335" s="26"/>
      <c r="P335" s="24"/>
      <c r="R335" s="26"/>
      <c r="T335" s="24"/>
      <c r="V335" s="24"/>
      <c r="W335" s="27"/>
      <c r="X335" s="23"/>
      <c r="Z335" s="24"/>
      <c r="AB335" s="24"/>
      <c r="AD335" s="24"/>
      <c r="AF335" s="24"/>
      <c r="AH335" s="24"/>
      <c r="AI335" s="27"/>
      <c r="AJ335" s="39">
        <f t="shared" si="1"/>
        <v>0</v>
      </c>
      <c r="AK335" s="35">
        <f t="shared" si="2"/>
        <v>0</v>
      </c>
      <c r="AL335" s="35" t="str">
        <f t="shared" si="3"/>
        <v/>
      </c>
      <c r="AM335" s="35">
        <f t="shared" si="4"/>
        <v>0</v>
      </c>
      <c r="AN335" s="40" t="str">
        <f t="shared" si="5"/>
        <v/>
      </c>
    </row>
    <row r="336" ht="15.75" customHeight="1">
      <c r="A336" s="32" t="s">
        <v>29</v>
      </c>
      <c r="B336" s="34">
        <f t="shared" si="6"/>
        <v>44896</v>
      </c>
      <c r="C336" s="35">
        <v>12.0</v>
      </c>
      <c r="D336" s="35" t="s">
        <v>34</v>
      </c>
      <c r="E336" s="37"/>
      <c r="F336" s="23"/>
      <c r="H336" s="24"/>
      <c r="J336" s="24"/>
      <c r="L336" s="25"/>
      <c r="N336" s="26"/>
      <c r="P336" s="24"/>
      <c r="R336" s="26"/>
      <c r="T336" s="24"/>
      <c r="V336" s="24"/>
      <c r="W336" s="27"/>
      <c r="X336" s="23"/>
      <c r="Z336" s="24"/>
      <c r="AB336" s="24"/>
      <c r="AD336" s="24"/>
      <c r="AF336" s="24"/>
      <c r="AH336" s="24"/>
      <c r="AI336" s="27"/>
      <c r="AJ336" s="39">
        <f t="shared" si="1"/>
        <v>0</v>
      </c>
      <c r="AK336" s="35">
        <f t="shared" si="2"/>
        <v>0</v>
      </c>
      <c r="AL336" s="35" t="str">
        <f t="shared" si="3"/>
        <v/>
      </c>
      <c r="AM336" s="35">
        <f t="shared" si="4"/>
        <v>0</v>
      </c>
      <c r="AN336" s="40" t="str">
        <f t="shared" si="5"/>
        <v/>
      </c>
    </row>
    <row r="337" ht="15.75" customHeight="1">
      <c r="A337" s="32" t="s">
        <v>30</v>
      </c>
      <c r="B337" s="34">
        <f t="shared" si="6"/>
        <v>44897</v>
      </c>
      <c r="C337" s="35">
        <v>12.0</v>
      </c>
      <c r="D337" s="35" t="s">
        <v>34</v>
      </c>
      <c r="E337" s="37"/>
      <c r="F337" s="23"/>
      <c r="H337" s="24"/>
      <c r="J337" s="24"/>
      <c r="L337" s="25"/>
      <c r="N337" s="26"/>
      <c r="P337" s="24"/>
      <c r="R337" s="26"/>
      <c r="T337" s="24"/>
      <c r="V337" s="24"/>
      <c r="W337" s="27"/>
      <c r="X337" s="23"/>
      <c r="Z337" s="24"/>
      <c r="AB337" s="24"/>
      <c r="AD337" s="24"/>
      <c r="AF337" s="24"/>
      <c r="AH337" s="24"/>
      <c r="AI337" s="27"/>
      <c r="AJ337" s="39">
        <f t="shared" si="1"/>
        <v>0</v>
      </c>
      <c r="AK337" s="35">
        <f t="shared" si="2"/>
        <v>0</v>
      </c>
      <c r="AL337" s="35" t="str">
        <f t="shared" si="3"/>
        <v/>
      </c>
      <c r="AM337" s="35">
        <f t="shared" si="4"/>
        <v>0</v>
      </c>
      <c r="AN337" s="40" t="str">
        <f t="shared" si="5"/>
        <v/>
      </c>
    </row>
    <row r="338" ht="15.75" customHeight="1">
      <c r="A338" s="48" t="s">
        <v>31</v>
      </c>
      <c r="B338" s="50">
        <f t="shared" si="6"/>
        <v>44898</v>
      </c>
      <c r="C338" s="51">
        <v>12.0</v>
      </c>
      <c r="D338" s="51" t="s">
        <v>34</v>
      </c>
      <c r="E338" s="53"/>
      <c r="F338" s="54"/>
      <c r="G338" s="56"/>
      <c r="H338" s="57"/>
      <c r="I338" s="56"/>
      <c r="J338" s="57"/>
      <c r="K338" s="56"/>
      <c r="L338" s="58"/>
      <c r="M338" s="56"/>
      <c r="N338" s="59"/>
      <c r="O338" s="56"/>
      <c r="P338" s="57"/>
      <c r="Q338" s="56"/>
      <c r="R338" s="59"/>
      <c r="S338" s="56"/>
      <c r="T338" s="57"/>
      <c r="U338" s="56"/>
      <c r="V338" s="57"/>
      <c r="W338" s="60"/>
      <c r="X338" s="54"/>
      <c r="Y338" s="56"/>
      <c r="Z338" s="57"/>
      <c r="AA338" s="56"/>
      <c r="AB338" s="57"/>
      <c r="AC338" s="56"/>
      <c r="AD338" s="57"/>
      <c r="AE338" s="56"/>
      <c r="AF338" s="57"/>
      <c r="AG338" s="56"/>
      <c r="AH338" s="57"/>
      <c r="AI338" s="60"/>
      <c r="AJ338" s="61">
        <f t="shared" si="1"/>
        <v>0</v>
      </c>
      <c r="AK338" s="51">
        <f t="shared" si="2"/>
        <v>0</v>
      </c>
      <c r="AL338" s="51" t="str">
        <f t="shared" si="3"/>
        <v/>
      </c>
      <c r="AM338" s="51">
        <f t="shared" si="4"/>
        <v>0</v>
      </c>
      <c r="AN338" s="63" t="str">
        <f t="shared" si="5"/>
        <v/>
      </c>
    </row>
    <row r="339" ht="15.75" customHeight="1">
      <c r="A339" s="18" t="s">
        <v>20</v>
      </c>
      <c r="B339" s="64">
        <f t="shared" si="6"/>
        <v>44899</v>
      </c>
      <c r="C339" s="20">
        <v>13.0</v>
      </c>
      <c r="D339" s="20" t="s">
        <v>21</v>
      </c>
      <c r="E339" s="22"/>
      <c r="F339" s="23"/>
      <c r="H339" s="24"/>
      <c r="J339" s="24"/>
      <c r="L339" s="25"/>
      <c r="N339" s="26"/>
      <c r="P339" s="24"/>
      <c r="R339" s="26"/>
      <c r="T339" s="24"/>
      <c r="V339" s="24"/>
      <c r="W339" s="27"/>
      <c r="X339" s="23"/>
      <c r="Z339" s="24"/>
      <c r="AB339" s="24"/>
      <c r="AD339" s="24"/>
      <c r="AF339" s="24"/>
      <c r="AH339" s="24"/>
      <c r="AI339" s="27"/>
      <c r="AJ339" s="28">
        <f t="shared" si="1"/>
        <v>0</v>
      </c>
      <c r="AK339" s="20">
        <f t="shared" si="2"/>
        <v>0</v>
      </c>
      <c r="AL339" s="20" t="str">
        <f t="shared" si="3"/>
        <v/>
      </c>
      <c r="AM339" s="20">
        <f t="shared" si="4"/>
        <v>0</v>
      </c>
      <c r="AN339" s="31" t="str">
        <f t="shared" si="5"/>
        <v/>
      </c>
    </row>
    <row r="340" ht="15.75" customHeight="1">
      <c r="A340" s="32" t="s">
        <v>22</v>
      </c>
      <c r="B340" s="34">
        <f t="shared" si="6"/>
        <v>44900</v>
      </c>
      <c r="C340" s="35">
        <v>13.0</v>
      </c>
      <c r="D340" s="35" t="s">
        <v>21</v>
      </c>
      <c r="E340" s="37"/>
      <c r="F340" s="23"/>
      <c r="H340" s="24"/>
      <c r="J340" s="24"/>
      <c r="L340" s="25"/>
      <c r="N340" s="26"/>
      <c r="P340" s="24"/>
      <c r="R340" s="26"/>
      <c r="T340" s="24"/>
      <c r="V340" s="24"/>
      <c r="W340" s="27"/>
      <c r="X340" s="23"/>
      <c r="Z340" s="24"/>
      <c r="AB340" s="24"/>
      <c r="AD340" s="24"/>
      <c r="AF340" s="24"/>
      <c r="AH340" s="24"/>
      <c r="AI340" s="27"/>
      <c r="AJ340" s="39">
        <f t="shared" si="1"/>
        <v>0</v>
      </c>
      <c r="AK340" s="35">
        <f t="shared" si="2"/>
        <v>0</v>
      </c>
      <c r="AL340" s="35" t="str">
        <f t="shared" si="3"/>
        <v/>
      </c>
      <c r="AM340" s="35">
        <f t="shared" si="4"/>
        <v>0</v>
      </c>
      <c r="AN340" s="40" t="str">
        <f t="shared" si="5"/>
        <v/>
      </c>
    </row>
    <row r="341" ht="15.75" customHeight="1">
      <c r="A341" s="32" t="s">
        <v>24</v>
      </c>
      <c r="B341" s="34">
        <f t="shared" si="6"/>
        <v>44901</v>
      </c>
      <c r="C341" s="35">
        <v>13.0</v>
      </c>
      <c r="D341" s="35" t="s">
        <v>21</v>
      </c>
      <c r="E341" s="37"/>
      <c r="F341" s="23"/>
      <c r="H341" s="24"/>
      <c r="J341" s="24"/>
      <c r="L341" s="25"/>
      <c r="N341" s="26"/>
      <c r="P341" s="24"/>
      <c r="R341" s="26"/>
      <c r="T341" s="24"/>
      <c r="V341" s="24"/>
      <c r="W341" s="27"/>
      <c r="X341" s="23"/>
      <c r="Z341" s="24"/>
      <c r="AB341" s="24"/>
      <c r="AD341" s="24"/>
      <c r="AF341" s="24"/>
      <c r="AH341" s="24"/>
      <c r="AI341" s="27"/>
      <c r="AJ341" s="39">
        <f t="shared" si="1"/>
        <v>0</v>
      </c>
      <c r="AK341" s="35">
        <f t="shared" si="2"/>
        <v>0</v>
      </c>
      <c r="AL341" s="35" t="str">
        <f t="shared" si="3"/>
        <v/>
      </c>
      <c r="AM341" s="35">
        <f t="shared" si="4"/>
        <v>0</v>
      </c>
      <c r="AN341" s="40" t="str">
        <f t="shared" si="5"/>
        <v/>
      </c>
    </row>
    <row r="342" ht="15.75" customHeight="1">
      <c r="A342" s="32" t="s">
        <v>28</v>
      </c>
      <c r="B342" s="34">
        <f t="shared" si="6"/>
        <v>44902</v>
      </c>
      <c r="C342" s="35">
        <v>13.0</v>
      </c>
      <c r="D342" s="35" t="s">
        <v>21</v>
      </c>
      <c r="E342" s="37"/>
      <c r="F342" s="23"/>
      <c r="H342" s="24"/>
      <c r="J342" s="24"/>
      <c r="L342" s="25"/>
      <c r="N342" s="26"/>
      <c r="P342" s="24"/>
      <c r="R342" s="26"/>
      <c r="T342" s="24"/>
      <c r="V342" s="24"/>
      <c r="W342" s="27"/>
      <c r="X342" s="23"/>
      <c r="Z342" s="24"/>
      <c r="AB342" s="24"/>
      <c r="AD342" s="24"/>
      <c r="AF342" s="24"/>
      <c r="AH342" s="24"/>
      <c r="AI342" s="27"/>
      <c r="AJ342" s="39">
        <f t="shared" si="1"/>
        <v>0</v>
      </c>
      <c r="AK342" s="35">
        <f t="shared" si="2"/>
        <v>0</v>
      </c>
      <c r="AL342" s="35" t="str">
        <f t="shared" si="3"/>
        <v/>
      </c>
      <c r="AM342" s="35">
        <f t="shared" si="4"/>
        <v>0</v>
      </c>
      <c r="AN342" s="40" t="str">
        <f t="shared" si="5"/>
        <v/>
      </c>
    </row>
    <row r="343" ht="15.75" customHeight="1">
      <c r="A343" s="32" t="s">
        <v>29</v>
      </c>
      <c r="B343" s="34">
        <f t="shared" si="6"/>
        <v>44903</v>
      </c>
      <c r="C343" s="35">
        <v>13.0</v>
      </c>
      <c r="D343" s="35" t="s">
        <v>21</v>
      </c>
      <c r="E343" s="37"/>
      <c r="F343" s="23"/>
      <c r="H343" s="24"/>
      <c r="J343" s="24"/>
      <c r="L343" s="25"/>
      <c r="N343" s="26"/>
      <c r="P343" s="24"/>
      <c r="R343" s="26"/>
      <c r="T343" s="24"/>
      <c r="V343" s="24"/>
      <c r="W343" s="27"/>
      <c r="X343" s="23"/>
      <c r="Z343" s="24"/>
      <c r="AB343" s="24"/>
      <c r="AD343" s="24"/>
      <c r="AF343" s="24"/>
      <c r="AH343" s="24"/>
      <c r="AI343" s="27"/>
      <c r="AJ343" s="39">
        <f t="shared" si="1"/>
        <v>0</v>
      </c>
      <c r="AK343" s="35">
        <f t="shared" si="2"/>
        <v>0</v>
      </c>
      <c r="AL343" s="35" t="str">
        <f t="shared" si="3"/>
        <v/>
      </c>
      <c r="AM343" s="35">
        <f t="shared" si="4"/>
        <v>0</v>
      </c>
      <c r="AN343" s="40" t="str">
        <f t="shared" si="5"/>
        <v/>
      </c>
    </row>
    <row r="344" ht="15.75" customHeight="1">
      <c r="A344" s="32" t="s">
        <v>30</v>
      </c>
      <c r="B344" s="34">
        <f t="shared" si="6"/>
        <v>44904</v>
      </c>
      <c r="C344" s="35">
        <v>13.0</v>
      </c>
      <c r="D344" s="35" t="s">
        <v>21</v>
      </c>
      <c r="E344" s="37"/>
      <c r="F344" s="23"/>
      <c r="H344" s="24"/>
      <c r="J344" s="24"/>
      <c r="L344" s="25"/>
      <c r="N344" s="26"/>
      <c r="P344" s="24"/>
      <c r="R344" s="26"/>
      <c r="T344" s="24"/>
      <c r="V344" s="24"/>
      <c r="W344" s="27"/>
      <c r="X344" s="23"/>
      <c r="Z344" s="24"/>
      <c r="AB344" s="24"/>
      <c r="AD344" s="24"/>
      <c r="AF344" s="24"/>
      <c r="AH344" s="24"/>
      <c r="AI344" s="27"/>
      <c r="AJ344" s="39">
        <f t="shared" si="1"/>
        <v>0</v>
      </c>
      <c r="AK344" s="35">
        <f t="shared" si="2"/>
        <v>0</v>
      </c>
      <c r="AL344" s="35" t="str">
        <f t="shared" si="3"/>
        <v/>
      </c>
      <c r="AM344" s="35">
        <f t="shared" si="4"/>
        <v>0</v>
      </c>
      <c r="AN344" s="40" t="str">
        <f t="shared" si="5"/>
        <v/>
      </c>
    </row>
    <row r="345" ht="15.75" customHeight="1">
      <c r="A345" s="48" t="s">
        <v>31</v>
      </c>
      <c r="B345" s="50">
        <f t="shared" si="6"/>
        <v>44905</v>
      </c>
      <c r="C345" s="51">
        <v>13.0</v>
      </c>
      <c r="D345" s="51" t="s">
        <v>21</v>
      </c>
      <c r="E345" s="53"/>
      <c r="F345" s="54"/>
      <c r="G345" s="56"/>
      <c r="H345" s="57"/>
      <c r="I345" s="56"/>
      <c r="J345" s="57"/>
      <c r="K345" s="56"/>
      <c r="L345" s="58"/>
      <c r="M345" s="56"/>
      <c r="N345" s="59"/>
      <c r="O345" s="56"/>
      <c r="P345" s="57"/>
      <c r="Q345" s="56"/>
      <c r="R345" s="59"/>
      <c r="S345" s="56"/>
      <c r="T345" s="57"/>
      <c r="U345" s="56"/>
      <c r="V345" s="57"/>
      <c r="W345" s="60"/>
      <c r="X345" s="54"/>
      <c r="Y345" s="56"/>
      <c r="Z345" s="57"/>
      <c r="AA345" s="56"/>
      <c r="AB345" s="57"/>
      <c r="AC345" s="56"/>
      <c r="AD345" s="57"/>
      <c r="AE345" s="56"/>
      <c r="AF345" s="57"/>
      <c r="AG345" s="56"/>
      <c r="AH345" s="57"/>
      <c r="AI345" s="60"/>
      <c r="AJ345" s="61">
        <f t="shared" si="1"/>
        <v>0</v>
      </c>
      <c r="AK345" s="51">
        <f t="shared" si="2"/>
        <v>0</v>
      </c>
      <c r="AL345" s="51" t="str">
        <f t="shared" si="3"/>
        <v/>
      </c>
      <c r="AM345" s="51">
        <f t="shared" si="4"/>
        <v>0</v>
      </c>
      <c r="AN345" s="63" t="str">
        <f t="shared" si="5"/>
        <v/>
      </c>
    </row>
    <row r="346" ht="15.75" customHeight="1">
      <c r="A346" s="18" t="s">
        <v>20</v>
      </c>
      <c r="B346" s="64">
        <f t="shared" si="6"/>
        <v>44906</v>
      </c>
      <c r="C346" s="20">
        <v>13.0</v>
      </c>
      <c r="D346" s="20" t="s">
        <v>32</v>
      </c>
      <c r="E346" s="22"/>
      <c r="F346" s="23"/>
      <c r="H346" s="24"/>
      <c r="J346" s="24"/>
      <c r="L346" s="25"/>
      <c r="N346" s="26"/>
      <c r="P346" s="24"/>
      <c r="R346" s="26"/>
      <c r="T346" s="24"/>
      <c r="V346" s="24"/>
      <c r="W346" s="27"/>
      <c r="X346" s="23"/>
      <c r="Z346" s="24"/>
      <c r="AB346" s="24"/>
      <c r="AD346" s="24"/>
      <c r="AF346" s="24"/>
      <c r="AH346" s="24"/>
      <c r="AI346" s="27"/>
      <c r="AJ346" s="28">
        <f t="shared" si="1"/>
        <v>0</v>
      </c>
      <c r="AK346" s="20">
        <f t="shared" si="2"/>
        <v>0</v>
      </c>
      <c r="AL346" s="20" t="str">
        <f t="shared" si="3"/>
        <v/>
      </c>
      <c r="AM346" s="20">
        <f t="shared" si="4"/>
        <v>0</v>
      </c>
      <c r="AN346" s="31" t="str">
        <f t="shared" si="5"/>
        <v/>
      </c>
    </row>
    <row r="347" ht="15.75" customHeight="1">
      <c r="A347" s="32" t="s">
        <v>22</v>
      </c>
      <c r="B347" s="34">
        <f t="shared" si="6"/>
        <v>44907</v>
      </c>
      <c r="C347" s="35">
        <v>13.0</v>
      </c>
      <c r="D347" s="35" t="s">
        <v>32</v>
      </c>
      <c r="E347" s="37"/>
      <c r="F347" s="23"/>
      <c r="H347" s="24"/>
      <c r="J347" s="24"/>
      <c r="L347" s="25"/>
      <c r="N347" s="26"/>
      <c r="P347" s="24"/>
      <c r="R347" s="26"/>
      <c r="T347" s="24"/>
      <c r="V347" s="24"/>
      <c r="W347" s="27"/>
      <c r="X347" s="23"/>
      <c r="Z347" s="24"/>
      <c r="AB347" s="24"/>
      <c r="AD347" s="24"/>
      <c r="AF347" s="24"/>
      <c r="AH347" s="24"/>
      <c r="AI347" s="27"/>
      <c r="AJ347" s="39">
        <f t="shared" si="1"/>
        <v>0</v>
      </c>
      <c r="AK347" s="35">
        <f t="shared" si="2"/>
        <v>0</v>
      </c>
      <c r="AL347" s="35" t="str">
        <f t="shared" si="3"/>
        <v/>
      </c>
      <c r="AM347" s="35">
        <f t="shared" si="4"/>
        <v>0</v>
      </c>
      <c r="AN347" s="40" t="str">
        <f t="shared" si="5"/>
        <v/>
      </c>
    </row>
    <row r="348" ht="15.75" customHeight="1">
      <c r="A348" s="32" t="s">
        <v>24</v>
      </c>
      <c r="B348" s="34">
        <f t="shared" si="6"/>
        <v>44908</v>
      </c>
      <c r="C348" s="35">
        <v>13.0</v>
      </c>
      <c r="D348" s="35" t="s">
        <v>32</v>
      </c>
      <c r="E348" s="37"/>
      <c r="F348" s="23"/>
      <c r="H348" s="24"/>
      <c r="J348" s="24"/>
      <c r="L348" s="25"/>
      <c r="N348" s="26"/>
      <c r="P348" s="24"/>
      <c r="R348" s="26"/>
      <c r="T348" s="24"/>
      <c r="V348" s="24"/>
      <c r="W348" s="27"/>
      <c r="X348" s="23"/>
      <c r="Z348" s="24"/>
      <c r="AB348" s="24"/>
      <c r="AD348" s="24"/>
      <c r="AF348" s="24"/>
      <c r="AH348" s="24"/>
      <c r="AI348" s="27"/>
      <c r="AJ348" s="39">
        <f t="shared" si="1"/>
        <v>0</v>
      </c>
      <c r="AK348" s="35">
        <f t="shared" si="2"/>
        <v>0</v>
      </c>
      <c r="AL348" s="35" t="str">
        <f t="shared" si="3"/>
        <v/>
      </c>
      <c r="AM348" s="35">
        <f t="shared" si="4"/>
        <v>0</v>
      </c>
      <c r="AN348" s="40" t="str">
        <f t="shared" si="5"/>
        <v/>
      </c>
    </row>
    <row r="349" ht="15.75" customHeight="1">
      <c r="A349" s="32" t="s">
        <v>28</v>
      </c>
      <c r="B349" s="34">
        <f t="shared" si="6"/>
        <v>44909</v>
      </c>
      <c r="C349" s="35">
        <v>13.0</v>
      </c>
      <c r="D349" s="35" t="s">
        <v>32</v>
      </c>
      <c r="E349" s="37"/>
      <c r="F349" s="23"/>
      <c r="H349" s="24"/>
      <c r="J349" s="24"/>
      <c r="L349" s="25"/>
      <c r="N349" s="26"/>
      <c r="P349" s="24"/>
      <c r="R349" s="26"/>
      <c r="T349" s="24"/>
      <c r="V349" s="24"/>
      <c r="W349" s="27"/>
      <c r="X349" s="23"/>
      <c r="Z349" s="24"/>
      <c r="AB349" s="24"/>
      <c r="AD349" s="24"/>
      <c r="AF349" s="24"/>
      <c r="AH349" s="24"/>
      <c r="AI349" s="27"/>
      <c r="AJ349" s="39">
        <f t="shared" si="1"/>
        <v>0</v>
      </c>
      <c r="AK349" s="35">
        <f t="shared" si="2"/>
        <v>0</v>
      </c>
      <c r="AL349" s="35" t="str">
        <f t="shared" si="3"/>
        <v/>
      </c>
      <c r="AM349" s="35">
        <f t="shared" si="4"/>
        <v>0</v>
      </c>
      <c r="AN349" s="40" t="str">
        <f t="shared" si="5"/>
        <v/>
      </c>
    </row>
    <row r="350" ht="15.75" customHeight="1">
      <c r="A350" s="32" t="s">
        <v>29</v>
      </c>
      <c r="B350" s="34">
        <f t="shared" si="6"/>
        <v>44910</v>
      </c>
      <c r="C350" s="35">
        <v>13.0</v>
      </c>
      <c r="D350" s="35" t="s">
        <v>32</v>
      </c>
      <c r="E350" s="37"/>
      <c r="F350" s="23"/>
      <c r="H350" s="24"/>
      <c r="J350" s="24"/>
      <c r="L350" s="25"/>
      <c r="N350" s="26"/>
      <c r="P350" s="24"/>
      <c r="R350" s="26"/>
      <c r="T350" s="24"/>
      <c r="V350" s="24"/>
      <c r="W350" s="27"/>
      <c r="X350" s="23"/>
      <c r="Z350" s="24"/>
      <c r="AB350" s="24"/>
      <c r="AD350" s="24"/>
      <c r="AF350" s="24"/>
      <c r="AH350" s="24"/>
      <c r="AI350" s="27"/>
      <c r="AJ350" s="39">
        <f t="shared" si="1"/>
        <v>0</v>
      </c>
      <c r="AK350" s="35">
        <f t="shared" si="2"/>
        <v>0</v>
      </c>
      <c r="AL350" s="35" t="str">
        <f t="shared" si="3"/>
        <v/>
      </c>
      <c r="AM350" s="35">
        <f t="shared" si="4"/>
        <v>0</v>
      </c>
      <c r="AN350" s="40" t="str">
        <f t="shared" si="5"/>
        <v/>
      </c>
    </row>
    <row r="351" ht="15.75" customHeight="1">
      <c r="A351" s="32" t="s">
        <v>30</v>
      </c>
      <c r="B351" s="34">
        <f t="shared" si="6"/>
        <v>44911</v>
      </c>
      <c r="C351" s="35">
        <v>13.0</v>
      </c>
      <c r="D351" s="35" t="s">
        <v>32</v>
      </c>
      <c r="E351" s="37"/>
      <c r="F351" s="23"/>
      <c r="H351" s="24"/>
      <c r="J351" s="24"/>
      <c r="L351" s="25"/>
      <c r="N351" s="26"/>
      <c r="P351" s="24"/>
      <c r="R351" s="26"/>
      <c r="T351" s="24"/>
      <c r="V351" s="24"/>
      <c r="W351" s="27"/>
      <c r="X351" s="23"/>
      <c r="Z351" s="24"/>
      <c r="AB351" s="24"/>
      <c r="AD351" s="24"/>
      <c r="AF351" s="24"/>
      <c r="AH351" s="24"/>
      <c r="AI351" s="27"/>
      <c r="AJ351" s="39">
        <f t="shared" si="1"/>
        <v>0</v>
      </c>
      <c r="AK351" s="35">
        <f t="shared" si="2"/>
        <v>0</v>
      </c>
      <c r="AL351" s="35" t="str">
        <f t="shared" si="3"/>
        <v/>
      </c>
      <c r="AM351" s="35">
        <f t="shared" si="4"/>
        <v>0</v>
      </c>
      <c r="AN351" s="40" t="str">
        <f t="shared" si="5"/>
        <v/>
      </c>
    </row>
    <row r="352" ht="15.75" customHeight="1">
      <c r="A352" s="48" t="s">
        <v>31</v>
      </c>
      <c r="B352" s="50">
        <f t="shared" si="6"/>
        <v>44912</v>
      </c>
      <c r="C352" s="51">
        <v>13.0</v>
      </c>
      <c r="D352" s="51" t="s">
        <v>32</v>
      </c>
      <c r="E352" s="53"/>
      <c r="F352" s="54"/>
      <c r="G352" s="56"/>
      <c r="H352" s="57"/>
      <c r="I352" s="56"/>
      <c r="J352" s="57"/>
      <c r="K352" s="56"/>
      <c r="L352" s="58"/>
      <c r="M352" s="56"/>
      <c r="N352" s="59"/>
      <c r="O352" s="56"/>
      <c r="P352" s="57"/>
      <c r="Q352" s="56"/>
      <c r="R352" s="59"/>
      <c r="S352" s="56"/>
      <c r="T352" s="57"/>
      <c r="U352" s="56"/>
      <c r="V352" s="57"/>
      <c r="W352" s="60"/>
      <c r="X352" s="54"/>
      <c r="Y352" s="56"/>
      <c r="Z352" s="57"/>
      <c r="AA352" s="56"/>
      <c r="AB352" s="57"/>
      <c r="AC352" s="56"/>
      <c r="AD352" s="57"/>
      <c r="AE352" s="56"/>
      <c r="AF352" s="57"/>
      <c r="AG352" s="56"/>
      <c r="AH352" s="57"/>
      <c r="AI352" s="60"/>
      <c r="AJ352" s="61">
        <f t="shared" si="1"/>
        <v>0</v>
      </c>
      <c r="AK352" s="51">
        <f t="shared" si="2"/>
        <v>0</v>
      </c>
      <c r="AL352" s="51" t="str">
        <f t="shared" si="3"/>
        <v/>
      </c>
      <c r="AM352" s="51">
        <f t="shared" si="4"/>
        <v>0</v>
      </c>
      <c r="AN352" s="63" t="str">
        <f t="shared" si="5"/>
        <v/>
      </c>
    </row>
    <row r="353" ht="15.75" customHeight="1">
      <c r="A353" s="18" t="s">
        <v>20</v>
      </c>
      <c r="B353" s="64">
        <f t="shared" si="6"/>
        <v>44913</v>
      </c>
      <c r="C353" s="20">
        <v>13.0</v>
      </c>
      <c r="D353" s="20" t="s">
        <v>33</v>
      </c>
      <c r="E353" s="22"/>
      <c r="F353" s="23"/>
      <c r="H353" s="24"/>
      <c r="J353" s="24"/>
      <c r="L353" s="25"/>
      <c r="N353" s="26"/>
      <c r="P353" s="24"/>
      <c r="R353" s="26"/>
      <c r="T353" s="24"/>
      <c r="V353" s="24"/>
      <c r="W353" s="27"/>
      <c r="X353" s="23"/>
      <c r="Z353" s="24"/>
      <c r="AB353" s="24"/>
      <c r="AD353" s="24"/>
      <c r="AF353" s="24"/>
      <c r="AH353" s="24"/>
      <c r="AI353" s="27"/>
      <c r="AJ353" s="28">
        <f t="shared" si="1"/>
        <v>0</v>
      </c>
      <c r="AK353" s="20">
        <f t="shared" si="2"/>
        <v>0</v>
      </c>
      <c r="AL353" s="20" t="str">
        <f t="shared" si="3"/>
        <v/>
      </c>
      <c r="AM353" s="20">
        <f t="shared" si="4"/>
        <v>0</v>
      </c>
      <c r="AN353" s="31" t="str">
        <f t="shared" si="5"/>
        <v/>
      </c>
    </row>
    <row r="354" ht="15.75" customHeight="1">
      <c r="A354" s="32" t="s">
        <v>22</v>
      </c>
      <c r="B354" s="34">
        <f t="shared" si="6"/>
        <v>44914</v>
      </c>
      <c r="C354" s="35">
        <v>13.0</v>
      </c>
      <c r="D354" s="35" t="s">
        <v>33</v>
      </c>
      <c r="E354" s="37"/>
      <c r="F354" s="23"/>
      <c r="H354" s="24"/>
      <c r="J354" s="24"/>
      <c r="L354" s="25"/>
      <c r="N354" s="26"/>
      <c r="P354" s="24"/>
      <c r="R354" s="26"/>
      <c r="T354" s="24"/>
      <c r="V354" s="24"/>
      <c r="W354" s="27"/>
      <c r="X354" s="23"/>
      <c r="Z354" s="24"/>
      <c r="AB354" s="24"/>
      <c r="AD354" s="24"/>
      <c r="AF354" s="24"/>
      <c r="AH354" s="24"/>
      <c r="AI354" s="27"/>
      <c r="AJ354" s="39">
        <f t="shared" si="1"/>
        <v>0</v>
      </c>
      <c r="AK354" s="35">
        <f t="shared" si="2"/>
        <v>0</v>
      </c>
      <c r="AL354" s="35" t="str">
        <f t="shared" si="3"/>
        <v/>
      </c>
      <c r="AM354" s="35">
        <f t="shared" si="4"/>
        <v>0</v>
      </c>
      <c r="AN354" s="40" t="str">
        <f t="shared" si="5"/>
        <v/>
      </c>
    </row>
    <row r="355" ht="15.75" customHeight="1">
      <c r="A355" s="32" t="s">
        <v>24</v>
      </c>
      <c r="B355" s="34">
        <f t="shared" si="6"/>
        <v>44915</v>
      </c>
      <c r="C355" s="35">
        <v>13.0</v>
      </c>
      <c r="D355" s="35" t="s">
        <v>33</v>
      </c>
      <c r="E355" s="37"/>
      <c r="F355" s="23"/>
      <c r="H355" s="24"/>
      <c r="J355" s="24"/>
      <c r="L355" s="25"/>
      <c r="N355" s="26"/>
      <c r="P355" s="24"/>
      <c r="R355" s="26"/>
      <c r="T355" s="24"/>
      <c r="V355" s="24"/>
      <c r="W355" s="27"/>
      <c r="X355" s="23"/>
      <c r="Z355" s="24"/>
      <c r="AB355" s="24"/>
      <c r="AD355" s="24"/>
      <c r="AF355" s="24"/>
      <c r="AH355" s="24"/>
      <c r="AI355" s="27"/>
      <c r="AJ355" s="39">
        <f t="shared" si="1"/>
        <v>0</v>
      </c>
      <c r="AK355" s="35">
        <f t="shared" si="2"/>
        <v>0</v>
      </c>
      <c r="AL355" s="35" t="str">
        <f t="shared" si="3"/>
        <v/>
      </c>
      <c r="AM355" s="35">
        <f t="shared" si="4"/>
        <v>0</v>
      </c>
      <c r="AN355" s="40" t="str">
        <f t="shared" si="5"/>
        <v/>
      </c>
    </row>
    <row r="356" ht="15.75" customHeight="1">
      <c r="A356" s="32" t="s">
        <v>28</v>
      </c>
      <c r="B356" s="34">
        <f t="shared" si="6"/>
        <v>44916</v>
      </c>
      <c r="C356" s="35">
        <v>13.0</v>
      </c>
      <c r="D356" s="35" t="s">
        <v>33</v>
      </c>
      <c r="E356" s="37"/>
      <c r="F356" s="23"/>
      <c r="H356" s="24"/>
      <c r="J356" s="24"/>
      <c r="L356" s="25"/>
      <c r="N356" s="26"/>
      <c r="P356" s="24"/>
      <c r="R356" s="26"/>
      <c r="T356" s="24"/>
      <c r="V356" s="24"/>
      <c r="W356" s="27"/>
      <c r="X356" s="23"/>
      <c r="Z356" s="24"/>
      <c r="AB356" s="24"/>
      <c r="AD356" s="24"/>
      <c r="AF356" s="24"/>
      <c r="AH356" s="24"/>
      <c r="AI356" s="27"/>
      <c r="AJ356" s="39">
        <f t="shared" si="1"/>
        <v>0</v>
      </c>
      <c r="AK356" s="35">
        <f t="shared" si="2"/>
        <v>0</v>
      </c>
      <c r="AL356" s="35" t="str">
        <f t="shared" si="3"/>
        <v/>
      </c>
      <c r="AM356" s="35">
        <f t="shared" si="4"/>
        <v>0</v>
      </c>
      <c r="AN356" s="40" t="str">
        <f t="shared" si="5"/>
        <v/>
      </c>
    </row>
    <row r="357" ht="15.75" customHeight="1">
      <c r="A357" s="32" t="s">
        <v>29</v>
      </c>
      <c r="B357" s="34">
        <f t="shared" si="6"/>
        <v>44917</v>
      </c>
      <c r="C357" s="35">
        <v>13.0</v>
      </c>
      <c r="D357" s="35" t="s">
        <v>33</v>
      </c>
      <c r="E357" s="37"/>
      <c r="F357" s="23"/>
      <c r="H357" s="24"/>
      <c r="J357" s="24"/>
      <c r="L357" s="25"/>
      <c r="N357" s="26"/>
      <c r="P357" s="24"/>
      <c r="R357" s="26"/>
      <c r="T357" s="24"/>
      <c r="V357" s="24"/>
      <c r="W357" s="27"/>
      <c r="X357" s="23"/>
      <c r="Z357" s="24"/>
      <c r="AB357" s="24"/>
      <c r="AD357" s="24"/>
      <c r="AF357" s="24"/>
      <c r="AH357" s="24"/>
      <c r="AI357" s="27"/>
      <c r="AJ357" s="39">
        <f t="shared" si="1"/>
        <v>0</v>
      </c>
      <c r="AK357" s="35">
        <f t="shared" si="2"/>
        <v>0</v>
      </c>
      <c r="AL357" s="35" t="str">
        <f t="shared" si="3"/>
        <v/>
      </c>
      <c r="AM357" s="35">
        <f t="shared" si="4"/>
        <v>0</v>
      </c>
      <c r="AN357" s="40" t="str">
        <f t="shared" si="5"/>
        <v/>
      </c>
    </row>
    <row r="358" ht="15.75" customHeight="1">
      <c r="A358" s="32" t="s">
        <v>30</v>
      </c>
      <c r="B358" s="34">
        <f t="shared" si="6"/>
        <v>44918</v>
      </c>
      <c r="C358" s="35">
        <v>13.0</v>
      </c>
      <c r="D358" s="35" t="s">
        <v>33</v>
      </c>
      <c r="E358" s="37"/>
      <c r="F358" s="23"/>
      <c r="H358" s="24"/>
      <c r="J358" s="24"/>
      <c r="L358" s="25"/>
      <c r="N358" s="26"/>
      <c r="P358" s="24"/>
      <c r="R358" s="26"/>
      <c r="T358" s="24"/>
      <c r="V358" s="24"/>
      <c r="W358" s="27"/>
      <c r="X358" s="23"/>
      <c r="Z358" s="24"/>
      <c r="AB358" s="24"/>
      <c r="AD358" s="24"/>
      <c r="AF358" s="24"/>
      <c r="AH358" s="24"/>
      <c r="AI358" s="27"/>
      <c r="AJ358" s="39">
        <f t="shared" si="1"/>
        <v>0</v>
      </c>
      <c r="AK358" s="35">
        <f t="shared" si="2"/>
        <v>0</v>
      </c>
      <c r="AL358" s="35" t="str">
        <f t="shared" si="3"/>
        <v/>
      </c>
      <c r="AM358" s="35">
        <f t="shared" si="4"/>
        <v>0</v>
      </c>
      <c r="AN358" s="40" t="str">
        <f t="shared" si="5"/>
        <v/>
      </c>
    </row>
    <row r="359" ht="15.75" customHeight="1">
      <c r="A359" s="48" t="s">
        <v>31</v>
      </c>
      <c r="B359" s="50">
        <f t="shared" si="6"/>
        <v>44919</v>
      </c>
      <c r="C359" s="51">
        <v>13.0</v>
      </c>
      <c r="D359" s="51" t="s">
        <v>33</v>
      </c>
      <c r="E359" s="53"/>
      <c r="F359" s="54"/>
      <c r="G359" s="56"/>
      <c r="H359" s="57"/>
      <c r="I359" s="56"/>
      <c r="J359" s="57"/>
      <c r="K359" s="56"/>
      <c r="L359" s="58"/>
      <c r="M359" s="56"/>
      <c r="N359" s="59"/>
      <c r="O359" s="56"/>
      <c r="P359" s="57"/>
      <c r="Q359" s="56"/>
      <c r="R359" s="59"/>
      <c r="S359" s="56"/>
      <c r="T359" s="57"/>
      <c r="U359" s="56"/>
      <c r="V359" s="57"/>
      <c r="W359" s="60"/>
      <c r="X359" s="54"/>
      <c r="Y359" s="56"/>
      <c r="Z359" s="57"/>
      <c r="AA359" s="56"/>
      <c r="AB359" s="57"/>
      <c r="AC359" s="56"/>
      <c r="AD359" s="57"/>
      <c r="AE359" s="56"/>
      <c r="AF359" s="57"/>
      <c r="AG359" s="56"/>
      <c r="AH359" s="57"/>
      <c r="AI359" s="60"/>
      <c r="AJ359" s="61">
        <f t="shared" si="1"/>
        <v>0</v>
      </c>
      <c r="AK359" s="51">
        <f t="shared" si="2"/>
        <v>0</v>
      </c>
      <c r="AL359" s="51" t="str">
        <f t="shared" si="3"/>
        <v/>
      </c>
      <c r="AM359" s="51">
        <f t="shared" si="4"/>
        <v>0</v>
      </c>
      <c r="AN359" s="63" t="str">
        <f t="shared" si="5"/>
        <v/>
      </c>
    </row>
    <row r="360" ht="15.75" customHeight="1">
      <c r="A360" s="105"/>
      <c r="B360" s="106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</row>
    <row r="361" ht="15.75" customHeight="1">
      <c r="A361" s="105"/>
      <c r="B361" s="106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  <c r="AE361" s="138"/>
      <c r="AF361" s="138"/>
      <c r="AG361" s="138"/>
      <c r="AH361" s="138"/>
      <c r="AI361" s="138"/>
      <c r="AJ361" s="139"/>
      <c r="AK361" s="140"/>
      <c r="AL361" s="138"/>
      <c r="AM361" s="138"/>
      <c r="AN361" s="107"/>
    </row>
    <row r="362" ht="15.75" customHeight="1">
      <c r="A362" s="105"/>
      <c r="B362" s="106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38"/>
      <c r="Q362" s="138"/>
      <c r="R362" s="138"/>
      <c r="S362" s="138"/>
      <c r="T362" s="141"/>
      <c r="U362" s="141"/>
      <c r="V362" s="141"/>
      <c r="W362" s="142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30"/>
      <c r="AL362" s="30"/>
      <c r="AM362" s="138"/>
      <c r="AN362" s="107"/>
    </row>
    <row r="363" ht="15.75" customHeight="1">
      <c r="A363" s="105"/>
      <c r="B363" s="106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38"/>
      <c r="Q363" s="138"/>
      <c r="R363" s="138"/>
      <c r="S363" s="138"/>
      <c r="T363" s="141"/>
      <c r="U363" s="141"/>
      <c r="V363" s="141"/>
      <c r="W363" s="143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  <c r="AL363" s="144"/>
      <c r="AM363" s="138"/>
      <c r="AN363" s="107"/>
    </row>
    <row r="364" ht="15.75" customHeight="1">
      <c r="A364" s="105"/>
      <c r="B364" s="106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38"/>
      <c r="Q364" s="138"/>
      <c r="R364" s="138"/>
      <c r="S364" s="138"/>
      <c r="T364" s="141"/>
      <c r="U364" s="141"/>
      <c r="V364" s="141"/>
      <c r="W364" s="143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  <c r="AL364" s="144"/>
      <c r="AM364" s="138"/>
      <c r="AN364" s="107"/>
    </row>
    <row r="365" ht="15.75" customHeight="1">
      <c r="A365" s="105"/>
      <c r="B365" s="106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38"/>
      <c r="Q365" s="138"/>
      <c r="R365" s="138"/>
      <c r="S365" s="138"/>
      <c r="T365" s="141"/>
      <c r="U365" s="141"/>
      <c r="V365" s="141"/>
      <c r="W365" s="143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  <c r="AL365" s="144"/>
      <c r="AM365" s="138"/>
      <c r="AN365" s="107"/>
    </row>
    <row r="366" ht="15.75" customHeight="1">
      <c r="A366" s="124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38"/>
      <c r="Q366" s="138"/>
      <c r="R366" s="138"/>
      <c r="S366" s="138"/>
      <c r="T366" s="141"/>
      <c r="U366" s="141"/>
      <c r="V366" s="141"/>
      <c r="W366" s="143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  <c r="AL366" s="144"/>
      <c r="AM366" s="138"/>
      <c r="AN366" s="107"/>
    </row>
    <row r="367" ht="15.75" customHeight="1">
      <c r="A367" s="124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38"/>
      <c r="Q367" s="138"/>
      <c r="R367" s="138"/>
      <c r="S367" s="138"/>
      <c r="T367" s="141"/>
      <c r="U367" s="141"/>
      <c r="V367" s="141"/>
      <c r="W367" s="142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  <c r="AL367" s="141"/>
      <c r="AM367" s="138"/>
      <c r="AN367" s="107"/>
    </row>
    <row r="368" ht="15.75" customHeight="1">
      <c r="A368" s="124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38"/>
      <c r="Q368" s="138"/>
      <c r="R368" s="138"/>
      <c r="S368" s="138"/>
      <c r="T368" s="141"/>
      <c r="U368" s="141"/>
      <c r="V368" s="141"/>
      <c r="W368" s="143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  <c r="AL368" s="141"/>
      <c r="AM368" s="138"/>
      <c r="AN368" s="107"/>
    </row>
    <row r="369" ht="15.75" customHeight="1">
      <c r="A369" s="124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38"/>
      <c r="Q369" s="138"/>
      <c r="R369" s="138"/>
      <c r="S369" s="138"/>
      <c r="T369" s="141"/>
      <c r="U369" s="141"/>
      <c r="V369" s="141"/>
      <c r="W369" s="143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  <c r="AL369" s="141"/>
      <c r="AM369" s="138"/>
      <c r="AN369" s="107"/>
    </row>
    <row r="370" ht="15.75" customHeight="1">
      <c r="A370" s="124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38"/>
      <c r="Q370" s="138"/>
      <c r="R370" s="138"/>
      <c r="S370" s="138"/>
      <c r="T370" s="141"/>
      <c r="U370" s="141"/>
      <c r="V370" s="141"/>
      <c r="W370" s="142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  <c r="AL370" s="141"/>
      <c r="AM370" s="138"/>
      <c r="AN370" s="107"/>
    </row>
    <row r="371" ht="15.75" customHeight="1">
      <c r="A371" s="124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38"/>
      <c r="Q371" s="138"/>
      <c r="R371" s="138"/>
      <c r="S371" s="138"/>
      <c r="T371" s="141"/>
      <c r="U371" s="141"/>
      <c r="V371" s="141"/>
      <c r="W371" s="143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30"/>
      <c r="AK371" s="145"/>
      <c r="AL371" s="141"/>
      <c r="AM371" s="138"/>
      <c r="AN371" s="107"/>
    </row>
    <row r="372" ht="15.75" customHeight="1">
      <c r="A372" s="124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38"/>
      <c r="AH372" s="138"/>
      <c r="AI372" s="138"/>
      <c r="AJ372" s="138"/>
      <c r="AK372" s="138"/>
      <c r="AL372" s="138"/>
      <c r="AM372" s="138"/>
      <c r="AN372" s="107"/>
    </row>
    <row r="373" ht="15.75" customHeight="1">
      <c r="A373" s="124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38"/>
      <c r="Q373" s="138"/>
      <c r="R373" s="138"/>
      <c r="S373" s="138"/>
      <c r="T373" s="138"/>
      <c r="U373" s="138"/>
      <c r="V373" s="138"/>
      <c r="W373" s="143"/>
      <c r="X373" s="138"/>
      <c r="Y373" s="138"/>
      <c r="Z373" s="138"/>
      <c r="AA373" s="138"/>
      <c r="AB373" s="138"/>
      <c r="AC373" s="138"/>
      <c r="AD373" s="138"/>
      <c r="AE373" s="138"/>
      <c r="AF373" s="138"/>
      <c r="AG373" s="138"/>
      <c r="AH373" s="138"/>
      <c r="AI373" s="138"/>
      <c r="AJ373" s="146"/>
      <c r="AK373" s="144"/>
      <c r="AL373" s="141"/>
      <c r="AM373" s="138"/>
      <c r="AN373" s="107"/>
    </row>
    <row r="374" ht="15.75" customHeight="1">
      <c r="A374" s="124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38"/>
      <c r="AH374" s="138"/>
      <c r="AI374" s="138"/>
      <c r="AJ374" s="146"/>
      <c r="AK374" s="144"/>
      <c r="AL374" s="141"/>
      <c r="AM374" s="138"/>
      <c r="AN374" s="107"/>
    </row>
    <row r="375" ht="15.75" customHeight="1">
      <c r="A375" s="124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  <c r="AE375" s="138"/>
      <c r="AF375" s="138"/>
      <c r="AG375" s="138"/>
      <c r="AH375" s="138"/>
      <c r="AI375" s="138"/>
      <c r="AJ375" s="146"/>
      <c r="AK375" s="147"/>
      <c r="AL375" s="141"/>
      <c r="AM375" s="138"/>
      <c r="AN375" s="107"/>
    </row>
    <row r="376" ht="15.75" customHeight="1">
      <c r="A376" s="124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46"/>
      <c r="AK376" s="144"/>
      <c r="AL376" s="141"/>
      <c r="AM376" s="138"/>
      <c r="AN376" s="107"/>
    </row>
    <row r="377" ht="15.75" customHeight="1">
      <c r="A377" s="124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  <c r="AE377" s="138"/>
      <c r="AF377" s="138"/>
      <c r="AG377" s="138"/>
      <c r="AH377" s="138"/>
      <c r="AI377" s="138"/>
      <c r="AJ377" s="138"/>
      <c r="AK377" s="138"/>
      <c r="AL377" s="138"/>
      <c r="AM377" s="138"/>
      <c r="AN377" s="107"/>
    </row>
    <row r="378" ht="15.75" customHeight="1">
      <c r="A378" s="124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38"/>
      <c r="AH378" s="138"/>
      <c r="AI378" s="138"/>
      <c r="AJ378" s="138"/>
      <c r="AK378" s="138"/>
      <c r="AL378" s="138"/>
      <c r="AM378" s="138"/>
      <c r="AN378" s="107"/>
    </row>
    <row r="379" ht="15.75" customHeight="1">
      <c r="A379" s="124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AN379" s="107"/>
    </row>
    <row r="380" ht="15.75" customHeight="1">
      <c r="A380" s="124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</row>
    <row r="381" ht="15.75" customHeight="1">
      <c r="A381" s="124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</row>
    <row r="382" ht="15.75" customHeight="1">
      <c r="A382" s="124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</row>
    <row r="383" ht="15.75" customHeight="1">
      <c r="A383" s="124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</row>
    <row r="384" ht="15.75" customHeight="1">
      <c r="A384" s="124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</row>
    <row r="385" ht="15.75" customHeight="1">
      <c r="A385" s="124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</row>
    <row r="386" ht="15.75" customHeight="1">
      <c r="A386" s="124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</row>
    <row r="387" ht="15.75" customHeight="1">
      <c r="A387" s="124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</row>
    <row r="388" ht="15.75" customHeight="1">
      <c r="A388" s="124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</row>
    <row r="389" ht="15.75" customHeight="1">
      <c r="A389" s="124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</row>
    <row r="390" ht="15.75" customHeight="1">
      <c r="A390" s="124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</row>
    <row r="391" ht="15.75" customHeight="1">
      <c r="A391" s="124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</row>
    <row r="392" ht="15.75" customHeight="1">
      <c r="A392" s="124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</row>
    <row r="393" ht="15.75" customHeight="1">
      <c r="A393" s="124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</row>
    <row r="394" ht="15.75" customHeight="1">
      <c r="A394" s="124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</row>
    <row r="395" ht="15.75" customHeight="1">
      <c r="A395" s="124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</row>
    <row r="396" ht="15.75" customHeight="1">
      <c r="A396" s="124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</row>
    <row r="397" ht="15.75" customHeight="1">
      <c r="A397" s="124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</row>
    <row r="398" ht="15.75" customHeight="1">
      <c r="A398" s="124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</row>
    <row r="399" ht="15.75" customHeight="1">
      <c r="A399" s="124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</row>
    <row r="400" ht="15.75" customHeight="1">
      <c r="A400" s="124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</row>
    <row r="401" ht="15.75" customHeight="1">
      <c r="A401" s="124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</row>
    <row r="402" ht="15.75" customHeight="1">
      <c r="A402" s="124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</row>
    <row r="403" ht="15.75" customHeight="1">
      <c r="A403" s="124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</row>
    <row r="404" ht="15.75" customHeight="1">
      <c r="A404" s="124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</row>
    <row r="405" ht="15.75" customHeight="1">
      <c r="A405" s="124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</row>
    <row r="406" ht="15.75" customHeight="1">
      <c r="A406" s="124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</row>
    <row r="407" ht="15.75" customHeight="1">
      <c r="A407" s="124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</row>
    <row r="408" ht="15.75" customHeight="1">
      <c r="A408" s="124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</row>
    <row r="409" ht="15.75" customHeight="1">
      <c r="A409" s="124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</row>
    <row r="410" ht="15.75" customHeight="1">
      <c r="A410" s="124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</row>
    <row r="411" ht="15.75" customHeight="1">
      <c r="A411" s="124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</row>
    <row r="412" ht="15.75" customHeight="1">
      <c r="A412" s="124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</row>
    <row r="413" ht="15.75" customHeight="1">
      <c r="A413" s="124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</row>
    <row r="414" ht="15.75" customHeight="1">
      <c r="A414" s="124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</row>
    <row r="415" ht="15.75" customHeight="1">
      <c r="A415" s="124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</row>
    <row r="416" ht="15.75" customHeight="1">
      <c r="A416" s="124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</row>
    <row r="417" ht="15.75" customHeight="1">
      <c r="A417" s="124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</row>
    <row r="418" ht="15.75" customHeight="1">
      <c r="A418" s="124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</row>
    <row r="419" ht="15.75" customHeight="1">
      <c r="A419" s="124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</row>
    <row r="420" ht="15.75" customHeight="1">
      <c r="A420" s="124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</row>
    <row r="421" ht="15.75" customHeight="1">
      <c r="A421" s="124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</row>
    <row r="422" ht="15.75" customHeight="1">
      <c r="A422" s="124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</row>
    <row r="423" ht="15.75" customHeight="1">
      <c r="A423" s="124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</row>
    <row r="424" ht="15.75" customHeight="1">
      <c r="A424" s="124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</row>
    <row r="425" ht="15.75" customHeight="1">
      <c r="A425" s="124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</row>
    <row r="426" ht="15.75" customHeight="1">
      <c r="A426" s="124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</row>
    <row r="427" ht="15.75" customHeight="1">
      <c r="A427" s="124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</row>
    <row r="428" ht="15.75" customHeight="1">
      <c r="A428" s="124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</row>
    <row r="429" ht="15.75" customHeight="1">
      <c r="A429" s="124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</row>
    <row r="430" ht="15.75" customHeight="1">
      <c r="A430" s="124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</row>
    <row r="431" ht="15.75" customHeight="1">
      <c r="A431" s="124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</row>
    <row r="432" ht="15.75" customHeight="1">
      <c r="A432" s="124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</row>
    <row r="433" ht="15.75" customHeight="1">
      <c r="A433" s="124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</row>
    <row r="434" ht="15.75" customHeight="1">
      <c r="A434" s="124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</row>
    <row r="435" ht="15.75" customHeight="1">
      <c r="A435" s="124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</row>
    <row r="436" ht="15.75" customHeight="1">
      <c r="A436" s="124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</row>
    <row r="437" ht="15.75" customHeight="1">
      <c r="A437" s="124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</row>
    <row r="438" ht="15.75" customHeight="1">
      <c r="A438" s="124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</row>
    <row r="439" ht="15.75" customHeight="1">
      <c r="A439" s="124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</row>
    <row r="440" ht="15.75" customHeight="1">
      <c r="A440" s="124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</row>
    <row r="441" ht="15.75" customHeight="1">
      <c r="A441" s="124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</row>
    <row r="442" ht="15.75" customHeight="1">
      <c r="A442" s="124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</row>
    <row r="443" ht="15.75" customHeight="1">
      <c r="A443" s="124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</row>
    <row r="444" ht="15.75" customHeight="1">
      <c r="A444" s="124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</row>
    <row r="445" ht="15.75" customHeight="1">
      <c r="A445" s="124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</row>
    <row r="446" ht="15.75" customHeight="1">
      <c r="A446" s="124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</row>
    <row r="447" ht="15.75" customHeight="1">
      <c r="A447" s="124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</row>
    <row r="448" ht="15.75" customHeight="1">
      <c r="A448" s="124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</row>
    <row r="449" ht="15.75" customHeight="1">
      <c r="A449" s="124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</row>
    <row r="450" ht="15.75" customHeight="1">
      <c r="A450" s="124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</row>
    <row r="451" ht="15.75" customHeight="1">
      <c r="A451" s="124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</row>
    <row r="452" ht="15.75" customHeight="1">
      <c r="A452" s="124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</row>
    <row r="453" ht="15.75" customHeight="1">
      <c r="A453" s="124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</row>
    <row r="454" ht="15.75" customHeight="1">
      <c r="A454" s="124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</row>
    <row r="455" ht="15.75" customHeight="1">
      <c r="A455" s="124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</row>
    <row r="456" ht="15.75" customHeight="1">
      <c r="A456" s="124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</row>
    <row r="457" ht="15.75" customHeight="1">
      <c r="A457" s="124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</row>
    <row r="458" ht="15.75" customHeight="1">
      <c r="A458" s="124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</row>
    <row r="459" ht="15.75" customHeight="1">
      <c r="A459" s="124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</row>
    <row r="460" ht="15.75" customHeight="1">
      <c r="A460" s="124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</row>
    <row r="461" ht="15.75" customHeight="1">
      <c r="A461" s="124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</row>
    <row r="462" ht="15.75" customHeight="1">
      <c r="A462" s="124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</row>
    <row r="463" ht="15.75" customHeight="1">
      <c r="A463" s="124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</row>
    <row r="464" ht="15.75" customHeight="1">
      <c r="A464" s="124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</row>
    <row r="465" ht="15.75" customHeight="1">
      <c r="A465" s="124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</row>
    <row r="466" ht="15.75" customHeight="1">
      <c r="A466" s="124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</row>
    <row r="467" ht="15.75" customHeight="1">
      <c r="A467" s="124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</row>
    <row r="468" ht="15.75" customHeight="1">
      <c r="A468" s="124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</row>
    <row r="469" ht="15.75" customHeight="1">
      <c r="A469" s="124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</row>
    <row r="470" ht="15.75" customHeight="1">
      <c r="A470" s="124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</row>
    <row r="471" ht="15.75" customHeight="1">
      <c r="A471" s="124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</row>
    <row r="472" ht="15.75" customHeight="1">
      <c r="A472" s="124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</row>
    <row r="473" ht="15.75" customHeight="1">
      <c r="A473" s="124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</row>
    <row r="474" ht="15.75" customHeight="1">
      <c r="A474" s="124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</row>
    <row r="475" ht="15.75" customHeight="1">
      <c r="A475" s="124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</row>
    <row r="476" ht="15.75" customHeight="1">
      <c r="A476" s="124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</row>
    <row r="477" ht="15.75" customHeight="1">
      <c r="A477" s="124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</row>
    <row r="478" ht="15.75" customHeight="1">
      <c r="A478" s="124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</row>
    <row r="479" ht="15.75" customHeight="1">
      <c r="A479" s="124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</row>
    <row r="480" ht="15.75" customHeight="1">
      <c r="A480" s="124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</row>
    <row r="481" ht="15.75" customHeight="1">
      <c r="A481" s="124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</row>
    <row r="482" ht="15.75" customHeight="1">
      <c r="A482" s="124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</row>
    <row r="483" ht="15.75" customHeight="1">
      <c r="A483" s="124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</row>
    <row r="484" ht="15.75" customHeight="1">
      <c r="A484" s="124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</row>
    <row r="485" ht="15.75" customHeight="1">
      <c r="A485" s="124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</row>
    <row r="486" ht="15.75" customHeight="1">
      <c r="A486" s="124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</row>
    <row r="487" ht="15.75" customHeight="1">
      <c r="A487" s="124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</row>
    <row r="488" ht="15.75" customHeight="1">
      <c r="A488" s="124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</row>
    <row r="489" ht="15.75" customHeight="1">
      <c r="A489" s="124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</row>
    <row r="490" ht="15.75" customHeight="1">
      <c r="A490" s="124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</row>
    <row r="491" ht="15.75" customHeight="1">
      <c r="A491" s="124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</row>
    <row r="492" ht="15.75" customHeight="1">
      <c r="A492" s="124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</row>
    <row r="493" ht="15.75" customHeight="1">
      <c r="A493" s="124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</row>
    <row r="494" ht="15.75" customHeight="1">
      <c r="A494" s="124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</row>
    <row r="495" ht="15.75" customHeight="1">
      <c r="A495" s="124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</row>
    <row r="496" ht="15.75" customHeight="1">
      <c r="A496" s="124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</row>
    <row r="497" ht="15.75" customHeight="1">
      <c r="A497" s="124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</row>
    <row r="498" ht="15.75" customHeight="1">
      <c r="A498" s="124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</row>
    <row r="499" ht="15.75" customHeight="1">
      <c r="A499" s="124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</row>
    <row r="500" ht="15.75" customHeight="1">
      <c r="A500" s="124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</row>
    <row r="501" ht="15.75" customHeight="1">
      <c r="A501" s="124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</row>
    <row r="502" ht="15.75" customHeight="1">
      <c r="A502" s="124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</row>
    <row r="503" ht="15.75" customHeight="1">
      <c r="A503" s="124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</row>
    <row r="504" ht="15.75" customHeight="1">
      <c r="A504" s="124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</row>
    <row r="505" ht="15.75" customHeight="1">
      <c r="A505" s="124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</row>
    <row r="506" ht="15.75" customHeight="1">
      <c r="A506" s="124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</row>
    <row r="507" ht="15.75" customHeight="1">
      <c r="A507" s="124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</row>
    <row r="508" ht="15.75" customHeight="1">
      <c r="A508" s="124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</row>
    <row r="509" ht="15.75" customHeight="1">
      <c r="A509" s="124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</row>
    <row r="510" ht="15.75" customHeight="1">
      <c r="A510" s="124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</row>
    <row r="511" ht="15.75" customHeight="1">
      <c r="A511" s="124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</row>
    <row r="512" ht="15.75" customHeight="1">
      <c r="A512" s="124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</row>
    <row r="513" ht="15.75" customHeight="1">
      <c r="A513" s="124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</row>
    <row r="514" ht="15.75" customHeight="1">
      <c r="A514" s="124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</row>
    <row r="515" ht="15.75" customHeight="1">
      <c r="A515" s="124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</row>
    <row r="516" ht="15.75" customHeight="1">
      <c r="A516" s="124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</row>
    <row r="517" ht="15.75" customHeight="1">
      <c r="A517" s="124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</row>
    <row r="518" ht="15.75" customHeight="1">
      <c r="A518" s="124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</row>
    <row r="519" ht="15.75" customHeight="1">
      <c r="A519" s="124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</row>
    <row r="520" ht="15.75" customHeight="1">
      <c r="A520" s="124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</row>
    <row r="521" ht="15.75" customHeight="1">
      <c r="A521" s="124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</row>
    <row r="522" ht="15.75" customHeight="1">
      <c r="A522" s="124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</row>
    <row r="523" ht="15.75" customHeight="1">
      <c r="A523" s="124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</row>
    <row r="524" ht="15.75" customHeight="1">
      <c r="A524" s="124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</row>
    <row r="525" ht="15.75" customHeight="1">
      <c r="A525" s="124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</row>
    <row r="526" ht="15.75" customHeight="1">
      <c r="A526" s="124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</row>
    <row r="527" ht="15.75" customHeight="1">
      <c r="A527" s="124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</row>
    <row r="528" ht="15.75" customHeight="1">
      <c r="A528" s="124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</row>
    <row r="529" ht="15.75" customHeight="1">
      <c r="A529" s="124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</row>
    <row r="530" ht="15.75" customHeight="1">
      <c r="A530" s="124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</row>
    <row r="531" ht="15.75" customHeight="1">
      <c r="A531" s="124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</row>
    <row r="532" ht="15.75" customHeight="1">
      <c r="A532" s="124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</row>
    <row r="533" ht="15.75" customHeight="1">
      <c r="A533" s="124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</row>
    <row r="534" ht="15.75" customHeight="1">
      <c r="A534" s="124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</row>
    <row r="535" ht="15.75" customHeight="1">
      <c r="A535" s="124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</row>
    <row r="536" ht="15.75" customHeight="1">
      <c r="A536" s="124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</row>
    <row r="537" ht="15.75" customHeight="1">
      <c r="A537" s="124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</row>
    <row r="538" ht="15.75" customHeight="1">
      <c r="A538" s="124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</row>
    <row r="539" ht="15.75" customHeight="1">
      <c r="A539" s="124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</row>
    <row r="540" ht="15.75" customHeight="1">
      <c r="A540" s="124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</row>
    <row r="541" ht="15.75" customHeight="1">
      <c r="A541" s="124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</row>
    <row r="542" ht="15.75" customHeight="1">
      <c r="A542" s="124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</row>
    <row r="543" ht="15.75" customHeight="1">
      <c r="A543" s="124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</row>
    <row r="544" ht="15.75" customHeight="1">
      <c r="A544" s="124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</row>
    <row r="545" ht="15.75" customHeight="1">
      <c r="A545" s="124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</row>
    <row r="546" ht="15.75" customHeight="1">
      <c r="A546" s="124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</row>
    <row r="547" ht="15.75" customHeight="1">
      <c r="A547" s="124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</row>
    <row r="548" ht="15.75" customHeight="1">
      <c r="A548" s="124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</row>
    <row r="549" ht="15.75" customHeight="1">
      <c r="A549" s="124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</row>
    <row r="550" ht="15.75" customHeight="1">
      <c r="A550" s="124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</row>
    <row r="551" ht="15.75" customHeight="1">
      <c r="A551" s="124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</row>
    <row r="552" ht="15.75" customHeight="1">
      <c r="A552" s="124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</row>
    <row r="553" ht="15.75" customHeight="1">
      <c r="A553" s="124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</row>
    <row r="554" ht="15.75" customHeight="1">
      <c r="A554" s="124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</row>
    <row r="555" ht="15.75" customHeight="1">
      <c r="A555" s="124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</row>
    <row r="556" ht="15.75" customHeight="1">
      <c r="A556" s="124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</row>
    <row r="557" ht="15.75" customHeight="1">
      <c r="A557" s="124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</row>
    <row r="558" ht="15.75" customHeight="1">
      <c r="A558" s="124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</row>
    <row r="559" ht="15.75" customHeight="1">
      <c r="A559" s="124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</row>
    <row r="560" ht="15.75" customHeight="1">
      <c r="A560" s="124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</row>
    <row r="561" ht="15.75" customHeight="1">
      <c r="A561" s="124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</row>
    <row r="562" ht="15.75" customHeight="1">
      <c r="A562" s="124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</row>
    <row r="563" ht="15.75" customHeight="1">
      <c r="A563" s="124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</row>
    <row r="564" ht="15.75" customHeight="1">
      <c r="A564" s="124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</row>
    <row r="565" ht="15.75" customHeight="1">
      <c r="A565" s="124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</row>
    <row r="566" ht="15.75" customHeight="1">
      <c r="A566" s="124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</row>
    <row r="567" ht="15.75" customHeight="1">
      <c r="A567" s="124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</row>
    <row r="568" ht="15.75" customHeight="1">
      <c r="A568" s="124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</row>
    <row r="569" ht="15.75" customHeight="1">
      <c r="A569" s="124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</row>
    <row r="570" ht="15.75" customHeight="1">
      <c r="A570" s="124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</row>
    <row r="571" ht="15.75" customHeight="1">
      <c r="A571" s="124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</row>
    <row r="572" ht="15.75" customHeight="1">
      <c r="A572" s="124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</row>
    <row r="573" ht="15.75" customHeight="1">
      <c r="A573" s="124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</row>
    <row r="574" ht="15.75" customHeight="1">
      <c r="A574" s="124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</row>
    <row r="575" ht="15.75" customHeight="1">
      <c r="A575" s="124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</row>
    <row r="576" ht="15.75" customHeight="1">
      <c r="A576" s="124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</row>
    <row r="577" ht="15.75" customHeight="1">
      <c r="A577" s="124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</row>
    <row r="578" ht="15.75" customHeight="1">
      <c r="A578" s="124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</row>
    <row r="579" ht="15.75" customHeight="1">
      <c r="A579" s="124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</row>
    <row r="580" ht="15.75" customHeight="1">
      <c r="A580" s="124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</row>
    <row r="581" ht="15.75" customHeight="1">
      <c r="A581" s="124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</row>
    <row r="582" ht="15.75" customHeight="1">
      <c r="A582" s="124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</row>
    <row r="583" ht="15.75" customHeight="1">
      <c r="A583" s="124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</row>
    <row r="584" ht="15.75" customHeight="1">
      <c r="A584" s="124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</row>
    <row r="585" ht="15.75" customHeight="1">
      <c r="A585" s="124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</row>
    <row r="586" ht="15.75" customHeight="1">
      <c r="A586" s="124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</row>
    <row r="587" ht="15.75" customHeight="1">
      <c r="A587" s="124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</row>
    <row r="588" ht="15.75" customHeight="1">
      <c r="A588" s="124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</row>
    <row r="589" ht="15.75" customHeight="1">
      <c r="A589" s="124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</row>
    <row r="590" ht="15.75" customHeight="1">
      <c r="A590" s="124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</row>
    <row r="591" ht="15.75" customHeight="1">
      <c r="A591" s="124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</row>
    <row r="592" ht="15.75" customHeight="1">
      <c r="A592" s="124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</row>
    <row r="593" ht="15.75" customHeight="1">
      <c r="A593" s="124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</row>
    <row r="594" ht="15.75" customHeight="1">
      <c r="A594" s="124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</row>
    <row r="595" ht="15.75" customHeight="1">
      <c r="A595" s="124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</row>
    <row r="596" ht="15.75" customHeight="1">
      <c r="A596" s="124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</row>
    <row r="597" ht="15.75" customHeight="1">
      <c r="A597" s="124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</row>
    <row r="598" ht="15.75" customHeight="1">
      <c r="A598" s="124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</row>
    <row r="599" ht="15.75" customHeight="1">
      <c r="A599" s="124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</row>
    <row r="600" ht="15.75" customHeight="1">
      <c r="A600" s="124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</row>
    <row r="601" ht="15.75" customHeight="1">
      <c r="A601" s="124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</row>
    <row r="602" ht="15.75" customHeight="1">
      <c r="A602" s="124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</row>
    <row r="603" ht="15.75" customHeight="1">
      <c r="A603" s="124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</row>
    <row r="604" ht="15.75" customHeight="1">
      <c r="A604" s="124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</row>
    <row r="605" ht="15.75" customHeight="1">
      <c r="A605" s="124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</row>
    <row r="606" ht="15.75" customHeight="1">
      <c r="A606" s="124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</row>
    <row r="607" ht="15.75" customHeight="1">
      <c r="A607" s="124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</row>
    <row r="608" ht="15.75" customHeight="1">
      <c r="A608" s="124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</row>
    <row r="609" ht="15.75" customHeight="1">
      <c r="A609" s="124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</row>
    <row r="610" ht="15.75" customHeight="1">
      <c r="A610" s="124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</row>
    <row r="611" ht="15.75" customHeight="1">
      <c r="A611" s="124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</row>
    <row r="612" ht="15.75" customHeight="1">
      <c r="A612" s="124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</row>
    <row r="613" ht="15.75" customHeight="1">
      <c r="A613" s="124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</row>
    <row r="614" ht="15.75" customHeight="1">
      <c r="A614" s="124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</row>
    <row r="615" ht="15.75" customHeight="1">
      <c r="A615" s="124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</row>
    <row r="616" ht="15.75" customHeight="1">
      <c r="A616" s="124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</row>
    <row r="617" ht="15.75" customHeight="1">
      <c r="A617" s="124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</row>
    <row r="618" ht="15.75" customHeight="1">
      <c r="A618" s="124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</row>
    <row r="619" ht="15.75" customHeight="1">
      <c r="A619" s="124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</row>
    <row r="620" ht="15.75" customHeight="1">
      <c r="A620" s="124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</row>
    <row r="621" ht="15.75" customHeight="1">
      <c r="A621" s="124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</row>
    <row r="622" ht="15.75" customHeight="1">
      <c r="A622" s="124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</row>
    <row r="623" ht="15.75" customHeight="1">
      <c r="A623" s="124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</row>
    <row r="624" ht="15.75" customHeight="1">
      <c r="A624" s="124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</row>
    <row r="625" ht="15.75" customHeight="1">
      <c r="A625" s="124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</row>
    <row r="626" ht="15.75" customHeight="1">
      <c r="A626" s="124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</row>
    <row r="627" ht="15.75" customHeight="1">
      <c r="A627" s="124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</row>
    <row r="628" ht="15.75" customHeight="1">
      <c r="A628" s="124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</row>
    <row r="629" ht="15.75" customHeight="1">
      <c r="A629" s="124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</row>
    <row r="630" ht="15.75" customHeight="1">
      <c r="A630" s="124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</row>
    <row r="631" ht="15.75" customHeight="1">
      <c r="A631" s="124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</row>
    <row r="632" ht="15.75" customHeight="1">
      <c r="A632" s="124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</row>
    <row r="633" ht="15.75" customHeight="1">
      <c r="A633" s="124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</row>
    <row r="634" ht="15.75" customHeight="1">
      <c r="A634" s="124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</row>
    <row r="635" ht="15.75" customHeight="1">
      <c r="A635" s="124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</row>
    <row r="636" ht="15.75" customHeight="1">
      <c r="A636" s="124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</row>
    <row r="637" ht="15.75" customHeight="1">
      <c r="A637" s="124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</row>
    <row r="638" ht="15.75" customHeight="1">
      <c r="A638" s="124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</row>
    <row r="639" ht="15.75" customHeight="1">
      <c r="A639" s="124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</row>
    <row r="640" ht="15.75" customHeight="1">
      <c r="A640" s="124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</row>
    <row r="641" ht="15.75" customHeight="1">
      <c r="A641" s="124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</row>
    <row r="642" ht="15.75" customHeight="1">
      <c r="A642" s="124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</row>
    <row r="643" ht="15.75" customHeight="1">
      <c r="A643" s="124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</row>
    <row r="644" ht="15.75" customHeight="1">
      <c r="A644" s="124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</row>
    <row r="645" ht="15.75" customHeight="1">
      <c r="A645" s="124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</row>
    <row r="646" ht="15.75" customHeight="1">
      <c r="A646" s="124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</row>
    <row r="647" ht="15.75" customHeight="1">
      <c r="A647" s="124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</row>
    <row r="648" ht="15.75" customHeight="1">
      <c r="A648" s="124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</row>
    <row r="649" ht="15.75" customHeight="1">
      <c r="A649" s="124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</row>
    <row r="650" ht="15.75" customHeight="1">
      <c r="A650" s="124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</row>
    <row r="651" ht="15.75" customHeight="1">
      <c r="A651" s="124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</row>
    <row r="652" ht="15.75" customHeight="1">
      <c r="A652" s="124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</row>
    <row r="653" ht="15.75" customHeight="1">
      <c r="A653" s="124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</row>
    <row r="654" ht="15.75" customHeight="1">
      <c r="A654" s="124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</row>
    <row r="655" ht="15.75" customHeight="1">
      <c r="A655" s="124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</row>
    <row r="656" ht="15.75" customHeight="1">
      <c r="A656" s="124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</row>
    <row r="657" ht="15.75" customHeight="1">
      <c r="A657" s="124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</row>
    <row r="658" ht="15.75" customHeight="1">
      <c r="A658" s="124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</row>
    <row r="659" ht="15.75" customHeight="1">
      <c r="A659" s="124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</row>
    <row r="660" ht="15.75" customHeight="1">
      <c r="A660" s="124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</row>
    <row r="661" ht="15.75" customHeight="1">
      <c r="A661" s="124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</row>
    <row r="662" ht="15.75" customHeight="1">
      <c r="A662" s="124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</row>
    <row r="663" ht="15.75" customHeight="1">
      <c r="A663" s="124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</row>
    <row r="664" ht="15.75" customHeight="1">
      <c r="A664" s="124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</row>
    <row r="665" ht="15.75" customHeight="1">
      <c r="A665" s="124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</row>
    <row r="666" ht="15.75" customHeight="1">
      <c r="A666" s="124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</row>
    <row r="667" ht="15.75" customHeight="1">
      <c r="A667" s="124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</row>
    <row r="668" ht="15.75" customHeight="1">
      <c r="A668" s="124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</row>
    <row r="669" ht="15.75" customHeight="1">
      <c r="A669" s="124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</row>
    <row r="670" ht="15.75" customHeight="1">
      <c r="A670" s="124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</row>
    <row r="671" ht="15.75" customHeight="1">
      <c r="A671" s="124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</row>
    <row r="672" ht="15.75" customHeight="1">
      <c r="A672" s="124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</row>
    <row r="673" ht="15.75" customHeight="1">
      <c r="A673" s="124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</row>
    <row r="674" ht="15.75" customHeight="1">
      <c r="A674" s="124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</row>
    <row r="675" ht="15.75" customHeight="1">
      <c r="A675" s="124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</row>
    <row r="676" ht="15.75" customHeight="1">
      <c r="A676" s="124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</row>
    <row r="677" ht="15.75" customHeight="1">
      <c r="A677" s="124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</row>
    <row r="678" ht="15.75" customHeight="1">
      <c r="A678" s="124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</row>
    <row r="679" ht="15.75" customHeight="1">
      <c r="A679" s="124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</row>
    <row r="680" ht="15.75" customHeight="1">
      <c r="A680" s="124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</row>
    <row r="681" ht="15.75" customHeight="1">
      <c r="A681" s="124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</row>
    <row r="682" ht="15.75" customHeight="1">
      <c r="A682" s="124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</row>
    <row r="683" ht="15.75" customHeight="1">
      <c r="A683" s="124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</row>
    <row r="684" ht="15.75" customHeight="1">
      <c r="A684" s="124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</row>
    <row r="685" ht="15.75" customHeight="1">
      <c r="A685" s="124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</row>
    <row r="686" ht="15.75" customHeight="1">
      <c r="A686" s="124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</row>
    <row r="687" ht="15.75" customHeight="1">
      <c r="A687" s="124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</row>
    <row r="688" ht="15.75" customHeight="1">
      <c r="A688" s="124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</row>
    <row r="689" ht="15.75" customHeight="1">
      <c r="A689" s="124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</row>
    <row r="690" ht="15.75" customHeight="1">
      <c r="A690" s="124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</row>
    <row r="691" ht="15.75" customHeight="1">
      <c r="A691" s="124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</row>
    <row r="692" ht="15.75" customHeight="1">
      <c r="A692" s="124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</row>
    <row r="693" ht="15.75" customHeight="1">
      <c r="A693" s="124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</row>
    <row r="694" ht="15.75" customHeight="1">
      <c r="A694" s="124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</row>
    <row r="695" ht="15.75" customHeight="1">
      <c r="A695" s="124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</row>
    <row r="696" ht="15.75" customHeight="1">
      <c r="A696" s="124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</row>
    <row r="697" ht="15.75" customHeight="1">
      <c r="A697" s="124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</row>
    <row r="698" ht="15.75" customHeight="1">
      <c r="A698" s="124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</row>
    <row r="699" ht="15.75" customHeight="1">
      <c r="A699" s="124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</row>
    <row r="700" ht="15.75" customHeight="1">
      <c r="A700" s="124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</row>
    <row r="701" ht="15.75" customHeight="1">
      <c r="A701" s="124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</row>
    <row r="702" ht="15.75" customHeight="1">
      <c r="A702" s="124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</row>
    <row r="703" ht="15.75" customHeight="1">
      <c r="A703" s="124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</row>
    <row r="704" ht="15.75" customHeight="1">
      <c r="A704" s="124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</row>
    <row r="705" ht="15.75" customHeight="1">
      <c r="A705" s="124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</row>
    <row r="706" ht="15.75" customHeight="1">
      <c r="A706" s="124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</row>
    <row r="707" ht="15.75" customHeight="1">
      <c r="A707" s="124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</row>
    <row r="708" ht="15.75" customHeight="1">
      <c r="A708" s="124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</row>
    <row r="709" ht="15.75" customHeight="1">
      <c r="A709" s="124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</row>
    <row r="710" ht="15.75" customHeight="1">
      <c r="A710" s="124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</row>
    <row r="711" ht="15.75" customHeight="1">
      <c r="A711" s="124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</row>
    <row r="712" ht="15.75" customHeight="1">
      <c r="A712" s="124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</row>
    <row r="713" ht="15.75" customHeight="1">
      <c r="A713" s="124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</row>
    <row r="714" ht="15.75" customHeight="1">
      <c r="A714" s="124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</row>
    <row r="715" ht="15.75" customHeight="1">
      <c r="A715" s="124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</row>
    <row r="716" ht="15.75" customHeight="1">
      <c r="A716" s="124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</row>
    <row r="717" ht="15.75" customHeight="1">
      <c r="A717" s="124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</row>
    <row r="718" ht="15.75" customHeight="1">
      <c r="A718" s="124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</row>
    <row r="719" ht="15.75" customHeight="1">
      <c r="A719" s="124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</row>
    <row r="720" ht="15.75" customHeight="1">
      <c r="A720" s="124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</row>
    <row r="721" ht="15.75" customHeight="1">
      <c r="A721" s="124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</row>
    <row r="722" ht="15.75" customHeight="1">
      <c r="A722" s="124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</row>
    <row r="723" ht="15.75" customHeight="1">
      <c r="A723" s="124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</row>
    <row r="724" ht="15.75" customHeight="1">
      <c r="A724" s="124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</row>
    <row r="725" ht="15.75" customHeight="1">
      <c r="A725" s="124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</row>
    <row r="726" ht="15.75" customHeight="1">
      <c r="A726" s="124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</row>
    <row r="727" ht="15.75" customHeight="1">
      <c r="A727" s="124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</row>
    <row r="728" ht="15.75" customHeight="1">
      <c r="A728" s="124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</row>
    <row r="729" ht="15.75" customHeight="1">
      <c r="A729" s="124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</row>
    <row r="730" ht="15.75" customHeight="1">
      <c r="A730" s="124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</row>
    <row r="731" ht="15.75" customHeight="1">
      <c r="A731" s="124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</row>
    <row r="732" ht="15.75" customHeight="1">
      <c r="A732" s="124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</row>
    <row r="733" ht="15.75" customHeight="1">
      <c r="A733" s="124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</row>
    <row r="734" ht="15.75" customHeight="1">
      <c r="A734" s="124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</row>
    <row r="735" ht="15.75" customHeight="1">
      <c r="A735" s="124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</row>
    <row r="736" ht="15.75" customHeight="1">
      <c r="A736" s="124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</row>
    <row r="737" ht="15.75" customHeight="1">
      <c r="A737" s="124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</row>
    <row r="738" ht="15.75" customHeight="1">
      <c r="A738" s="124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</row>
    <row r="739" ht="15.75" customHeight="1">
      <c r="A739" s="124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</row>
    <row r="740" ht="15.75" customHeight="1">
      <c r="A740" s="124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</row>
    <row r="741" ht="15.75" customHeight="1">
      <c r="A741" s="124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</row>
    <row r="742" ht="15.75" customHeight="1">
      <c r="A742" s="124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</row>
    <row r="743" ht="15.75" customHeight="1">
      <c r="A743" s="124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</row>
    <row r="744" ht="15.75" customHeight="1">
      <c r="A744" s="124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</row>
    <row r="745" ht="15.75" customHeight="1">
      <c r="A745" s="124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</row>
    <row r="746" ht="15.75" customHeight="1">
      <c r="A746" s="124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</row>
    <row r="747" ht="15.75" customHeight="1">
      <c r="A747" s="124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</row>
    <row r="748" ht="15.75" customHeight="1">
      <c r="A748" s="124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</row>
    <row r="749" ht="15.75" customHeight="1">
      <c r="A749" s="124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</row>
    <row r="750" ht="15.75" customHeight="1">
      <c r="A750" s="124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</row>
    <row r="751" ht="15.75" customHeight="1">
      <c r="A751" s="124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</row>
    <row r="752" ht="15.75" customHeight="1">
      <c r="A752" s="124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</row>
    <row r="753" ht="15.75" customHeight="1">
      <c r="A753" s="124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</row>
    <row r="754" ht="15.75" customHeight="1">
      <c r="A754" s="124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</row>
    <row r="755" ht="15.75" customHeight="1">
      <c r="A755" s="124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</row>
    <row r="756" ht="15.75" customHeight="1">
      <c r="A756" s="124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</row>
    <row r="757" ht="15.75" customHeight="1">
      <c r="A757" s="124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</row>
    <row r="758" ht="15.75" customHeight="1">
      <c r="A758" s="124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</row>
    <row r="759" ht="15.75" customHeight="1">
      <c r="A759" s="124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</row>
    <row r="760" ht="15.75" customHeight="1">
      <c r="A760" s="124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</row>
    <row r="761" ht="15.75" customHeight="1">
      <c r="A761" s="124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</row>
    <row r="762" ht="15.75" customHeight="1">
      <c r="A762" s="124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</row>
    <row r="763" ht="15.75" customHeight="1">
      <c r="A763" s="124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</row>
    <row r="764" ht="15.75" customHeight="1">
      <c r="A764" s="124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</row>
    <row r="765" ht="15.75" customHeight="1">
      <c r="A765" s="124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</row>
    <row r="766" ht="15.75" customHeight="1">
      <c r="A766" s="124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</row>
    <row r="767" ht="15.75" customHeight="1">
      <c r="A767" s="124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</row>
    <row r="768" ht="15.75" customHeight="1">
      <c r="A768" s="124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</row>
    <row r="769" ht="15.75" customHeight="1">
      <c r="A769" s="124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</row>
    <row r="770" ht="15.75" customHeight="1">
      <c r="A770" s="124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</row>
    <row r="771" ht="15.75" customHeight="1">
      <c r="A771" s="124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</row>
    <row r="772" ht="15.75" customHeight="1">
      <c r="A772" s="124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</row>
    <row r="773" ht="15.75" customHeight="1">
      <c r="A773" s="124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</row>
    <row r="774" ht="15.75" customHeight="1">
      <c r="A774" s="124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</row>
    <row r="775" ht="15.75" customHeight="1">
      <c r="A775" s="124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</row>
    <row r="776" ht="15.75" customHeight="1">
      <c r="A776" s="124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</row>
    <row r="777" ht="15.75" customHeight="1">
      <c r="A777" s="124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</row>
    <row r="778" ht="15.75" customHeight="1">
      <c r="A778" s="124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</row>
    <row r="779" ht="15.75" customHeight="1">
      <c r="A779" s="124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</row>
    <row r="780" ht="15.75" customHeight="1">
      <c r="A780" s="124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</row>
    <row r="781" ht="15.75" customHeight="1">
      <c r="A781" s="124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</row>
    <row r="782" ht="15.75" customHeight="1">
      <c r="A782" s="124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</row>
    <row r="783" ht="15.75" customHeight="1">
      <c r="A783" s="124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</row>
    <row r="784" ht="15.75" customHeight="1">
      <c r="A784" s="124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</row>
    <row r="785" ht="15.75" customHeight="1">
      <c r="A785" s="124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</row>
    <row r="786" ht="15.75" customHeight="1">
      <c r="A786" s="124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</row>
    <row r="787" ht="15.75" customHeight="1">
      <c r="A787" s="124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</row>
    <row r="788" ht="15.75" customHeight="1">
      <c r="A788" s="124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</row>
    <row r="789" ht="15.75" customHeight="1">
      <c r="A789" s="124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</row>
    <row r="790" ht="15.75" customHeight="1">
      <c r="A790" s="124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</row>
    <row r="791" ht="15.75" customHeight="1">
      <c r="A791" s="124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</row>
    <row r="792" ht="15.75" customHeight="1">
      <c r="A792" s="124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</row>
    <row r="793" ht="15.75" customHeight="1">
      <c r="A793" s="124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</row>
    <row r="794" ht="15.75" customHeight="1">
      <c r="A794" s="124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</row>
    <row r="795" ht="15.75" customHeight="1">
      <c r="A795" s="124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</row>
    <row r="796" ht="15.75" customHeight="1">
      <c r="A796" s="124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</row>
    <row r="797" ht="15.75" customHeight="1">
      <c r="A797" s="124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</row>
    <row r="798" ht="15.75" customHeight="1">
      <c r="A798" s="124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</row>
    <row r="799" ht="15.75" customHeight="1">
      <c r="A799" s="124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</row>
    <row r="800" ht="15.75" customHeight="1">
      <c r="A800" s="124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</row>
    <row r="801" ht="15.75" customHeight="1">
      <c r="A801" s="124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</row>
    <row r="802" ht="15.75" customHeight="1">
      <c r="A802" s="124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</row>
    <row r="803" ht="15.75" customHeight="1">
      <c r="A803" s="124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</row>
    <row r="804" ht="15.75" customHeight="1">
      <c r="A804" s="124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</row>
    <row r="805" ht="15.75" customHeight="1">
      <c r="A805" s="124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</row>
    <row r="806" ht="15.75" customHeight="1">
      <c r="A806" s="124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</row>
    <row r="807" ht="15.75" customHeight="1">
      <c r="A807" s="124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</row>
    <row r="808" ht="15.75" customHeight="1">
      <c r="A808" s="124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</row>
    <row r="809" ht="15.75" customHeight="1">
      <c r="A809" s="124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</row>
    <row r="810" ht="15.75" customHeight="1">
      <c r="A810" s="124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</row>
    <row r="811" ht="15.75" customHeight="1">
      <c r="A811" s="124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</row>
    <row r="812" ht="15.75" customHeight="1">
      <c r="A812" s="124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</row>
    <row r="813" ht="15.75" customHeight="1">
      <c r="A813" s="124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</row>
    <row r="814" ht="15.75" customHeight="1">
      <c r="A814" s="124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</row>
    <row r="815" ht="15.75" customHeight="1">
      <c r="A815" s="124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</row>
    <row r="816" ht="15.75" customHeight="1">
      <c r="A816" s="124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</row>
    <row r="817" ht="15.75" customHeight="1">
      <c r="A817" s="124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</row>
    <row r="818" ht="15.75" customHeight="1">
      <c r="A818" s="124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</row>
    <row r="819" ht="15.75" customHeight="1">
      <c r="A819" s="124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</row>
    <row r="820" ht="15.75" customHeight="1">
      <c r="A820" s="124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</row>
    <row r="821" ht="15.75" customHeight="1">
      <c r="A821" s="124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</row>
    <row r="822" ht="15.75" customHeight="1">
      <c r="A822" s="124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</row>
    <row r="823" ht="15.75" customHeight="1">
      <c r="A823" s="124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</row>
    <row r="824" ht="15.75" customHeight="1">
      <c r="A824" s="124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</row>
    <row r="825" ht="15.75" customHeight="1">
      <c r="A825" s="124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</row>
    <row r="826" ht="15.75" customHeight="1">
      <c r="A826" s="124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</row>
    <row r="827" ht="15.75" customHeight="1">
      <c r="A827" s="124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</row>
    <row r="828" ht="15.75" customHeight="1">
      <c r="A828" s="124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</row>
    <row r="829" ht="15.75" customHeight="1">
      <c r="A829" s="124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</row>
    <row r="830" ht="15.75" customHeight="1">
      <c r="A830" s="124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</row>
    <row r="831" ht="15.75" customHeight="1">
      <c r="A831" s="124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</row>
    <row r="832" ht="15.75" customHeight="1">
      <c r="A832" s="124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</row>
    <row r="833" ht="15.75" customHeight="1">
      <c r="A833" s="124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</row>
    <row r="834" ht="15.75" customHeight="1">
      <c r="A834" s="124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</row>
    <row r="835" ht="15.75" customHeight="1">
      <c r="A835" s="124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</row>
    <row r="836" ht="15.75" customHeight="1">
      <c r="A836" s="124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</row>
    <row r="837" ht="15.75" customHeight="1">
      <c r="A837" s="124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</row>
    <row r="838" ht="15.75" customHeight="1">
      <c r="A838" s="124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</row>
    <row r="839" ht="15.75" customHeight="1">
      <c r="A839" s="124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</row>
    <row r="840" ht="15.75" customHeight="1">
      <c r="A840" s="124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</row>
    <row r="841" ht="15.75" customHeight="1">
      <c r="A841" s="124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</row>
    <row r="842" ht="15.75" customHeight="1">
      <c r="A842" s="124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</row>
    <row r="843" ht="15.75" customHeight="1">
      <c r="A843" s="124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</row>
    <row r="844" ht="15.75" customHeight="1">
      <c r="A844" s="124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</row>
    <row r="845" ht="15.75" customHeight="1">
      <c r="A845" s="124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</row>
    <row r="846" ht="15.75" customHeight="1">
      <c r="A846" s="124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</row>
    <row r="847" ht="15.75" customHeight="1">
      <c r="A847" s="124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</row>
    <row r="848" ht="15.75" customHeight="1">
      <c r="A848" s="124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</row>
    <row r="849" ht="15.75" customHeight="1">
      <c r="A849" s="124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</row>
    <row r="850" ht="15.75" customHeight="1">
      <c r="A850" s="124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</row>
    <row r="851" ht="15.75" customHeight="1">
      <c r="A851" s="124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</row>
    <row r="852" ht="15.75" customHeight="1">
      <c r="A852" s="124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</row>
    <row r="853" ht="15.75" customHeight="1">
      <c r="A853" s="124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</row>
    <row r="854" ht="15.75" customHeight="1">
      <c r="A854" s="124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</row>
    <row r="855" ht="15.75" customHeight="1">
      <c r="A855" s="124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</row>
    <row r="856" ht="15.75" customHeight="1">
      <c r="A856" s="124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</row>
    <row r="857" ht="15.75" customHeight="1">
      <c r="A857" s="124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</row>
    <row r="858" ht="15.75" customHeight="1">
      <c r="A858" s="124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</row>
    <row r="859" ht="15.75" customHeight="1">
      <c r="A859" s="124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</row>
    <row r="860" ht="15.75" customHeight="1">
      <c r="A860" s="124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</row>
    <row r="861" ht="15.75" customHeight="1">
      <c r="A861" s="124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</row>
    <row r="862" ht="15.75" customHeight="1">
      <c r="A862" s="124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</row>
    <row r="863" ht="15.75" customHeight="1">
      <c r="A863" s="124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</row>
    <row r="864" ht="15.75" customHeight="1">
      <c r="A864" s="124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</row>
    <row r="865" ht="15.75" customHeight="1">
      <c r="A865" s="124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</row>
    <row r="866" ht="15.75" customHeight="1">
      <c r="A866" s="124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</row>
    <row r="867" ht="15.75" customHeight="1">
      <c r="A867" s="124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</row>
    <row r="868" ht="15.75" customHeight="1">
      <c r="A868" s="124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</row>
    <row r="869" ht="15.75" customHeight="1">
      <c r="A869" s="124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</row>
    <row r="870" ht="15.75" customHeight="1">
      <c r="A870" s="124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</row>
    <row r="871" ht="15.75" customHeight="1">
      <c r="A871" s="124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</row>
    <row r="872" ht="15.75" customHeight="1">
      <c r="A872" s="124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</row>
    <row r="873" ht="15.75" customHeight="1">
      <c r="A873" s="124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</row>
    <row r="874" ht="15.75" customHeight="1">
      <c r="A874" s="124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</row>
    <row r="875" ht="15.75" customHeight="1">
      <c r="A875" s="124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</row>
    <row r="876" ht="15.75" customHeight="1">
      <c r="A876" s="124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</row>
    <row r="877" ht="15.75" customHeight="1">
      <c r="A877" s="124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</row>
    <row r="878" ht="15.75" customHeight="1">
      <c r="A878" s="124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</row>
    <row r="879" ht="15.75" customHeight="1">
      <c r="A879" s="124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</row>
    <row r="880" ht="15.75" customHeight="1">
      <c r="A880" s="124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</row>
    <row r="881" ht="15.75" customHeight="1">
      <c r="A881" s="124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</row>
    <row r="882" ht="15.75" customHeight="1">
      <c r="A882" s="124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</row>
    <row r="883" ht="15.75" customHeight="1">
      <c r="A883" s="124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</row>
    <row r="884" ht="15.75" customHeight="1">
      <c r="A884" s="124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</row>
    <row r="885" ht="15.75" customHeight="1">
      <c r="A885" s="124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</row>
    <row r="886" ht="15.75" customHeight="1">
      <c r="A886" s="124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</row>
    <row r="887" ht="15.75" customHeight="1">
      <c r="A887" s="124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</row>
    <row r="888" ht="15.75" customHeight="1">
      <c r="A888" s="124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</row>
    <row r="889" ht="15.75" customHeight="1">
      <c r="A889" s="124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</row>
    <row r="890" ht="15.75" customHeight="1">
      <c r="A890" s="124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</row>
    <row r="891" ht="15.75" customHeight="1">
      <c r="A891" s="124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</row>
    <row r="892" ht="15.75" customHeight="1">
      <c r="A892" s="124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</row>
    <row r="893" ht="15.75" customHeight="1">
      <c r="A893" s="124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</row>
    <row r="894" ht="15.75" customHeight="1">
      <c r="A894" s="124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</row>
    <row r="895" ht="15.75" customHeight="1">
      <c r="A895" s="124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</row>
    <row r="896" ht="15.75" customHeight="1">
      <c r="A896" s="124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</row>
    <row r="897" ht="15.75" customHeight="1">
      <c r="A897" s="124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</row>
    <row r="898" ht="15.75" customHeight="1">
      <c r="A898" s="124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</row>
    <row r="899" ht="15.75" customHeight="1">
      <c r="A899" s="124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</row>
    <row r="900" ht="15.75" customHeight="1">
      <c r="A900" s="124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</row>
    <row r="901" ht="15.75" customHeight="1">
      <c r="A901" s="124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</row>
    <row r="902" ht="15.75" customHeight="1">
      <c r="A902" s="124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</row>
    <row r="903" ht="15.75" customHeight="1">
      <c r="A903" s="124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</row>
    <row r="904" ht="15.75" customHeight="1">
      <c r="A904" s="124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</row>
    <row r="905" ht="15.75" customHeight="1">
      <c r="A905" s="124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</row>
    <row r="906" ht="15.75" customHeight="1">
      <c r="A906" s="124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</row>
    <row r="907" ht="15.75" customHeight="1">
      <c r="A907" s="124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</row>
    <row r="908" ht="15.75" customHeight="1">
      <c r="A908" s="124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</row>
    <row r="909" ht="15.75" customHeight="1">
      <c r="A909" s="124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</row>
    <row r="910" ht="15.75" customHeight="1">
      <c r="A910" s="124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</row>
    <row r="911" ht="15.75" customHeight="1">
      <c r="A911" s="124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</row>
    <row r="912" ht="15.75" customHeight="1">
      <c r="A912" s="124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</row>
    <row r="913" ht="15.75" customHeight="1">
      <c r="A913" s="124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</row>
    <row r="914" ht="15.75" customHeight="1">
      <c r="A914" s="124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</row>
    <row r="915" ht="15.75" customHeight="1">
      <c r="A915" s="124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</row>
    <row r="916" ht="15.75" customHeight="1">
      <c r="A916" s="124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</row>
    <row r="917" ht="15.75" customHeight="1">
      <c r="A917" s="124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</row>
    <row r="918" ht="15.75" customHeight="1">
      <c r="A918" s="124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</row>
    <row r="919" ht="15.75" customHeight="1">
      <c r="A919" s="124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</row>
    <row r="920" ht="15.75" customHeight="1">
      <c r="A920" s="124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</row>
    <row r="921" ht="15.75" customHeight="1">
      <c r="A921" s="124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</row>
    <row r="922" ht="15.75" customHeight="1">
      <c r="A922" s="124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</row>
    <row r="923" ht="15.75" customHeight="1">
      <c r="A923" s="124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</row>
    <row r="924" ht="15.75" customHeight="1">
      <c r="A924" s="124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</row>
    <row r="925" ht="15.75" customHeight="1">
      <c r="A925" s="124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</row>
    <row r="926" ht="15.75" customHeight="1">
      <c r="A926" s="124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</row>
    <row r="927" ht="15.75" customHeight="1">
      <c r="A927" s="124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</row>
    <row r="928" ht="15.75" customHeight="1">
      <c r="A928" s="124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</row>
    <row r="929" ht="15.75" customHeight="1">
      <c r="A929" s="124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</row>
    <row r="930" ht="15.75" customHeight="1">
      <c r="A930" s="124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</row>
    <row r="931" ht="15.75" customHeight="1">
      <c r="A931" s="124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</row>
    <row r="932" ht="15.75" customHeight="1">
      <c r="A932" s="124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</row>
    <row r="933" ht="15.75" customHeight="1">
      <c r="A933" s="124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</row>
    <row r="934" ht="15.75" customHeight="1">
      <c r="A934" s="124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</row>
    <row r="935" ht="15.75" customHeight="1">
      <c r="A935" s="124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</row>
    <row r="936" ht="15.75" customHeight="1">
      <c r="A936" s="124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</row>
    <row r="937" ht="15.75" customHeight="1">
      <c r="A937" s="124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</row>
    <row r="938" ht="15.75" customHeight="1">
      <c r="A938" s="124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</row>
    <row r="939" ht="15.75" customHeight="1">
      <c r="A939" s="124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</row>
    <row r="940" ht="15.75" customHeight="1">
      <c r="A940" s="124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</row>
    <row r="941" ht="15.75" customHeight="1">
      <c r="A941" s="124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</row>
    <row r="942" ht="15.75" customHeight="1">
      <c r="A942" s="124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</row>
    <row r="943" ht="15.75" customHeight="1">
      <c r="A943" s="124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</row>
    <row r="944" ht="15.75" customHeight="1">
      <c r="A944" s="124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</row>
    <row r="945" ht="15.75" customHeight="1">
      <c r="A945" s="124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</row>
    <row r="946" ht="15.75" customHeight="1">
      <c r="A946" s="124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</row>
    <row r="947" ht="15.75" customHeight="1">
      <c r="A947" s="124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</row>
    <row r="948" ht="15.75" customHeight="1">
      <c r="A948" s="124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</row>
    <row r="949" ht="15.75" customHeight="1">
      <c r="A949" s="124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</row>
    <row r="950" ht="15.75" customHeight="1">
      <c r="A950" s="124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</row>
    <row r="951" ht="15.75" customHeight="1">
      <c r="A951" s="124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</row>
    <row r="952" ht="15.75" customHeight="1">
      <c r="A952" s="124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</row>
    <row r="953" ht="15.75" customHeight="1">
      <c r="A953" s="124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</row>
    <row r="954" ht="15.75" customHeight="1">
      <c r="A954" s="124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</row>
    <row r="955" ht="15.75" customHeight="1">
      <c r="A955" s="124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</row>
    <row r="956" ht="15.75" customHeight="1">
      <c r="A956" s="124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</row>
    <row r="957" ht="15.75" customHeight="1">
      <c r="A957" s="124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</row>
    <row r="958" ht="15.75" customHeight="1">
      <c r="A958" s="124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</row>
    <row r="959" ht="15.75" customHeight="1">
      <c r="A959" s="124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</row>
    <row r="960" ht="15.75" customHeight="1">
      <c r="A960" s="124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</row>
    <row r="961" ht="15.75" customHeight="1">
      <c r="A961" s="124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</row>
    <row r="962" ht="15.75" customHeight="1">
      <c r="A962" s="124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</row>
    <row r="963" ht="15.75" customHeight="1">
      <c r="A963" s="124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</row>
    <row r="964" ht="15.75" customHeight="1">
      <c r="A964" s="124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</row>
    <row r="965" ht="15.75" customHeight="1">
      <c r="A965" s="124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</row>
    <row r="966" ht="15.75" customHeight="1">
      <c r="A966" s="124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</row>
    <row r="967" ht="15.75" customHeight="1">
      <c r="A967" s="124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</row>
    <row r="968" ht="15.75" customHeight="1">
      <c r="A968" s="124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</row>
    <row r="969" ht="15.75" customHeight="1">
      <c r="A969" s="124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</row>
    <row r="970" ht="15.75" customHeight="1">
      <c r="A970" s="124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</row>
    <row r="971" ht="15.75" customHeight="1">
      <c r="A971" s="124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</row>
    <row r="972" ht="15.75" customHeight="1">
      <c r="A972" s="124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</row>
    <row r="973" ht="15.75" customHeight="1">
      <c r="A973" s="124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</row>
    <row r="974" ht="15.75" customHeight="1">
      <c r="A974" s="124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</row>
    <row r="975" ht="15.75" customHeight="1">
      <c r="A975" s="124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</row>
    <row r="976" ht="15.75" customHeight="1">
      <c r="A976" s="124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</row>
    <row r="977" ht="15.75" customHeight="1">
      <c r="A977" s="124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</row>
    <row r="978" ht="15.75" customHeight="1">
      <c r="A978" s="124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</row>
    <row r="979" ht="15.75" customHeight="1">
      <c r="A979" s="124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</row>
    <row r="980" ht="15.75" customHeight="1">
      <c r="A980" s="124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</row>
    <row r="981" ht="15.75" customHeight="1">
      <c r="A981" s="124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</row>
    <row r="982" ht="15.75" customHeight="1">
      <c r="A982" s="124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</row>
    <row r="983" ht="15.75" customHeight="1">
      <c r="A983" s="124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</row>
    <row r="984" ht="15.75" customHeight="1">
      <c r="A984" s="124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</row>
    <row r="985" ht="15.75" customHeight="1">
      <c r="A985" s="124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</row>
    <row r="986" ht="15.75" customHeight="1">
      <c r="A986" s="124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</row>
    <row r="987" ht="15.75" customHeight="1">
      <c r="A987" s="124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</row>
    <row r="988" ht="15.75" customHeight="1">
      <c r="A988" s="124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</row>
    <row r="989" ht="15.75" customHeight="1">
      <c r="A989" s="124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</row>
    <row r="990" ht="15.75" customHeight="1">
      <c r="A990" s="124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</row>
    <row r="991" ht="15.75" customHeight="1">
      <c r="A991" s="124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</row>
    <row r="992" ht="15.75" customHeight="1">
      <c r="A992" s="124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</row>
    <row r="993" ht="15.75" customHeight="1">
      <c r="A993" s="124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</row>
    <row r="994" ht="15.75" customHeight="1">
      <c r="A994" s="124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</row>
    <row r="995" ht="15.75" customHeight="1">
      <c r="A995" s="124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</row>
    <row r="996" ht="15.75" customHeight="1">
      <c r="A996" s="124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</row>
    <row r="997" ht="15.75" customHeight="1">
      <c r="A997" s="124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</row>
    <row r="998" ht="15.75" customHeight="1">
      <c r="A998" s="124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</row>
    <row r="999" ht="15.75" customHeight="1">
      <c r="A999" s="124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</row>
  </sheetData>
  <mergeCells count="5360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D3:AE3"/>
    <mergeCell ref="AF3:AG3"/>
    <mergeCell ref="AD4:AE4"/>
    <mergeCell ref="AF4:AG4"/>
    <mergeCell ref="AH4:AI4"/>
    <mergeCell ref="AD5:AE5"/>
    <mergeCell ref="AF5:AG5"/>
    <mergeCell ref="AH5:AI5"/>
    <mergeCell ref="A1:E1"/>
    <mergeCell ref="F1:K1"/>
    <mergeCell ref="L1:W1"/>
    <mergeCell ref="X1:AI1"/>
    <mergeCell ref="AJ1:AN1"/>
    <mergeCell ref="F3:G3"/>
    <mergeCell ref="H3:I3"/>
    <mergeCell ref="AH3:AI3"/>
    <mergeCell ref="J3:K3"/>
    <mergeCell ref="L3:M3"/>
    <mergeCell ref="F4:G4"/>
    <mergeCell ref="H4:I4"/>
    <mergeCell ref="J4:K4"/>
    <mergeCell ref="L4:M4"/>
    <mergeCell ref="F5:G5"/>
    <mergeCell ref="L5:M5"/>
    <mergeCell ref="T8:U8"/>
    <mergeCell ref="V8:W8"/>
    <mergeCell ref="X8:Y8"/>
    <mergeCell ref="Z8:AA8"/>
    <mergeCell ref="AB8:AC8"/>
    <mergeCell ref="AD8:AE8"/>
    <mergeCell ref="AF8:AG8"/>
    <mergeCell ref="AH8:AI8"/>
    <mergeCell ref="F8:G8"/>
    <mergeCell ref="H8:I8"/>
    <mergeCell ref="J8:K8"/>
    <mergeCell ref="L8:M8"/>
    <mergeCell ref="N8:O8"/>
    <mergeCell ref="P8:Q8"/>
    <mergeCell ref="R8:S8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AF140:AG140"/>
    <mergeCell ref="AH140:AI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AF156:AG156"/>
    <mergeCell ref="AH156:AI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AF190:AG190"/>
    <mergeCell ref="AH190:AI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AF192:AG192"/>
    <mergeCell ref="AH192:AI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AF196:AG196"/>
    <mergeCell ref="AH196:AI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AF198:AG198"/>
    <mergeCell ref="AH198:AI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AF202:AG202"/>
    <mergeCell ref="AH202:AI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AF212:AG212"/>
    <mergeCell ref="AH212:AI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AF214:AG214"/>
    <mergeCell ref="AH214:AI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AF216:AG216"/>
    <mergeCell ref="AH216:AI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AF220:AG220"/>
    <mergeCell ref="AH220:AI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AF256:AG256"/>
    <mergeCell ref="AH256:AI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AF257:AG257"/>
    <mergeCell ref="AH257:AI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AF259:AG259"/>
    <mergeCell ref="AH259:AI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AF264:AG264"/>
    <mergeCell ref="AH264:AI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AF266:AG266"/>
    <mergeCell ref="AH266:AI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AF268:AG268"/>
    <mergeCell ref="AH268:AI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AF270:AG270"/>
    <mergeCell ref="AH270:AI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AF274:AG274"/>
    <mergeCell ref="AH274:AI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AF280:AG280"/>
    <mergeCell ref="AH280:AI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AF282:AG282"/>
    <mergeCell ref="AH282:AI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AF283:AG283"/>
    <mergeCell ref="AH283:AI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AF284:AG284"/>
    <mergeCell ref="AH284:AI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AF288:AG288"/>
    <mergeCell ref="AH288:AI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AF292:AG292"/>
    <mergeCell ref="AH292:AI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F300:G300"/>
    <mergeCell ref="H300:I300"/>
    <mergeCell ref="J300:K300"/>
    <mergeCell ref="L300:M300"/>
    <mergeCell ref="N300:O300"/>
    <mergeCell ref="P300:Q300"/>
    <mergeCell ref="R300:S300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AF358:AG358"/>
    <mergeCell ref="AH358:AI358"/>
    <mergeCell ref="F358:G358"/>
    <mergeCell ref="H358:I358"/>
    <mergeCell ref="J358:K358"/>
    <mergeCell ref="L358:M358"/>
    <mergeCell ref="N358:O358"/>
    <mergeCell ref="P358:Q358"/>
    <mergeCell ref="R358:S35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T6:U6"/>
    <mergeCell ref="V6:W6"/>
    <mergeCell ref="X6:Y6"/>
    <mergeCell ref="Z6:AA6"/>
    <mergeCell ref="AB6:AC6"/>
    <mergeCell ref="AD6:AE6"/>
    <mergeCell ref="AF6:AG6"/>
    <mergeCell ref="AH6:AI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AD7:AE7"/>
    <mergeCell ref="AF7:AG7"/>
    <mergeCell ref="AH7:AI7"/>
    <mergeCell ref="F7:G7"/>
    <mergeCell ref="H7:I7"/>
    <mergeCell ref="J7:K7"/>
    <mergeCell ref="L7:M7"/>
    <mergeCell ref="N7:O7"/>
    <mergeCell ref="P7:Q7"/>
    <mergeCell ref="R7:S7"/>
    <mergeCell ref="T359:U359"/>
    <mergeCell ref="V359:W359"/>
    <mergeCell ref="X359:Y359"/>
    <mergeCell ref="Z359:AA359"/>
    <mergeCell ref="AB359:AC359"/>
    <mergeCell ref="AD359:AE359"/>
    <mergeCell ref="AF359:AG359"/>
    <mergeCell ref="AH359:AI359"/>
    <mergeCell ref="F359:G359"/>
    <mergeCell ref="H359:I359"/>
    <mergeCell ref="J359:K359"/>
    <mergeCell ref="L359:M359"/>
    <mergeCell ref="N359:O359"/>
    <mergeCell ref="P359:Q359"/>
    <mergeCell ref="R359:S359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AF351:AG351"/>
    <mergeCell ref="AH351:AI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AF352:AG352"/>
    <mergeCell ref="AH352:AI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AF355:AG355"/>
    <mergeCell ref="AH355:AI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AF356:AG356"/>
    <mergeCell ref="AH356:AI356"/>
    <mergeCell ref="F356:G356"/>
    <mergeCell ref="H356:I356"/>
    <mergeCell ref="J356:K356"/>
    <mergeCell ref="L356:M356"/>
    <mergeCell ref="N356:O356"/>
    <mergeCell ref="P356:Q356"/>
    <mergeCell ref="R356:S356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AF316:AG316"/>
    <mergeCell ref="AH316:AI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AF318:AG318"/>
    <mergeCell ref="AH318:AI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AF320:AG320"/>
    <mergeCell ref="AH320:AI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AF322:AG322"/>
    <mergeCell ref="AH322:AI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AF324:AG324"/>
    <mergeCell ref="AH324:AI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AF325:AG325"/>
    <mergeCell ref="AH325:AI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AF326:AG326"/>
    <mergeCell ref="AH326:AI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AF327:AG327"/>
    <mergeCell ref="AH327:AI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AF328:AG328"/>
    <mergeCell ref="AH328:AI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AF329:AG329"/>
    <mergeCell ref="AH329:AI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AF331:AG331"/>
    <mergeCell ref="AH331:AI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AF333:AG333"/>
    <mergeCell ref="AH333:AI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AF334:AG334"/>
    <mergeCell ref="AH334:AI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AF335:AG335"/>
    <mergeCell ref="AH335:AI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AF336:AG336"/>
    <mergeCell ref="AH336:AI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AF337:AG337"/>
    <mergeCell ref="AH337:AI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AF338:AG338"/>
    <mergeCell ref="AH338:AI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AF340:AG340"/>
    <mergeCell ref="AH340:AI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AF342:AG342"/>
    <mergeCell ref="AH342:AI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AF343:AG343"/>
    <mergeCell ref="AH343:AI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AF345:AG345"/>
    <mergeCell ref="AH345:AI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AD346:AE346"/>
    <mergeCell ref="AF346:AG346"/>
    <mergeCell ref="AH346:AI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AF347:AG347"/>
    <mergeCell ref="AH347:AI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AF349:AG349"/>
    <mergeCell ref="AH349:AI349"/>
    <mergeCell ref="F349:G349"/>
    <mergeCell ref="H349:I349"/>
    <mergeCell ref="J349:K349"/>
    <mergeCell ref="L349:M349"/>
    <mergeCell ref="N349:O349"/>
    <mergeCell ref="P349:Q349"/>
    <mergeCell ref="R349:S349"/>
  </mergeCells>
  <printOptions/>
  <pageMargins bottom="0.75" footer="0.0" header="0.0" left="0.7" right="0.7" top="0.75"/>
  <pageSetup orientation="landscape"/>
  <drawing r:id="rId1"/>
</worksheet>
</file>