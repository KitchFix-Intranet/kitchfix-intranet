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3" sheetId="1" r:id="rId5"/>
    <sheet state="visible" name="Actuals - Billing - 2023" sheetId="2" r:id="rId6"/>
    <sheet state="visible" name="Copy of Actuals - Billing - 202" sheetId="3" r:id="rId7"/>
    <sheet state="visible" name="Clicker Count - 2023" sheetId="4" r:id="rId8"/>
  </sheets>
  <definedNames/>
  <calcPr/>
</workbook>
</file>

<file path=xl/sharedStrings.xml><?xml version="1.0" encoding="utf-8"?>
<sst xmlns="http://schemas.openxmlformats.org/spreadsheetml/2006/main" count="3496" uniqueCount="60">
  <si>
    <t>Tampa Bay Rays @ Port Charlotte, FL</t>
  </si>
  <si>
    <t xml:space="preserve">Major League </t>
  </si>
  <si>
    <t>Minor League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</si>
  <si>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</si>
  <si>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</si>
  <si>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</si>
  <si>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</si>
  <si>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</si>
  <si>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</si>
  <si>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</si>
  <si>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</si>
  <si>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</si>
  <si>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</si>
  <si>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Umpire Meal</t>
  </si>
  <si>
    <t>AFTER HOURS MEALS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</si>
  <si>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</si>
  <si>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</si>
  <si>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</si>
  <si>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</si>
  <si>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</si>
  <si>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</si>
  <si>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</si>
  <si>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</si>
  <si>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</si>
  <si>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</si>
  <si>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</si>
  <si>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</si>
  <si>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</si>
  <si>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</si>
  <si>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Breakfast - Road</t>
  </si>
  <si>
    <t>Umpire meal</t>
  </si>
  <si>
    <t>Traveling Meals</t>
  </si>
  <si>
    <t>Extra Protein - Chicken/Pork</t>
  </si>
  <si>
    <t>Extra Protein - Beef/Seafood</t>
  </si>
  <si>
    <t>Week 2</t>
  </si>
  <si>
    <t xml:space="preserve"> </t>
  </si>
  <si>
    <t>Week 3</t>
  </si>
  <si>
    <t>Week 4</t>
  </si>
  <si>
    <t xml:space="preserve">winter </t>
  </si>
  <si>
    <t>winter</t>
  </si>
  <si>
    <t>MLB ST</t>
  </si>
  <si>
    <t>MiLB ST</t>
  </si>
  <si>
    <t>SRQ camp</t>
  </si>
  <si>
    <t>closed</t>
  </si>
  <si>
    <t xml:space="preserve">GCL </t>
  </si>
  <si>
    <t>OFF</t>
  </si>
  <si>
    <t>Breakdown Per Period:</t>
  </si>
  <si>
    <t>Rev</t>
  </si>
  <si>
    <t>MiLB</t>
  </si>
  <si>
    <t>MLB</t>
  </si>
  <si>
    <t>CLOSED</t>
  </si>
  <si>
    <t>GCL</t>
  </si>
  <si>
    <t>MiLB Est Sum</t>
  </si>
  <si>
    <t>MLB Est Sum</t>
  </si>
  <si>
    <t>Service Fee Est</t>
  </si>
  <si>
    <t>Hurricane Fee</t>
  </si>
  <si>
    <t>%</t>
  </si>
  <si>
    <t>Grand Sum</t>
  </si>
  <si>
    <t>Closed</t>
  </si>
  <si>
    <t>instructs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</si>
</sst>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10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b/>
      <sz val="16.0"/>
      <color rgb="FFFFFFFF"/>
      <name val="Arial"/>
    </font>
    <font>
      <color theme="1"/>
      <name val="Calibri"/>
      <scheme val="minor"/>
    </font>
    <font>
      <color theme="1"/>
      <name val="Arial"/>
    </font>
    <font>
      <sz val="12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</fills>
  <borders count="5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0" xfId="0" applyAlignment="1" applyBorder="1" applyFont="1">
      <alignment textRotation="90"/>
    </xf>
    <xf borderId="7" fillId="0" fontId="4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textRotation="90"/>
    </xf>
    <xf borderId="7" fillId="0" fontId="1" numFmtId="164" xfId="0" applyAlignment="1" applyBorder="1" applyFont="1" applyNumberFormat="1">
      <alignment readingOrder="0" textRotation="90"/>
    </xf>
    <xf borderId="7" fillId="0" fontId="4" numFmtId="164" xfId="0" applyAlignment="1" applyBorder="1" applyFont="1" applyNumberFormat="1">
      <alignment textRotation="90"/>
    </xf>
    <xf borderId="7" fillId="5" fontId="3" numFmtId="0" xfId="0" applyAlignment="1" applyBorder="1" applyFill="1" applyFont="1">
      <alignment shrinkToFit="0" textRotation="90" wrapText="1"/>
    </xf>
    <xf borderId="8" fillId="0" fontId="5" numFmtId="0" xfId="0" applyAlignment="1" applyBorder="1" applyFont="1">
      <alignment horizontal="right" readingOrder="0"/>
    </xf>
    <xf borderId="8" fillId="0" fontId="5" numFmtId="14" xfId="0" applyAlignment="1" applyBorder="1" applyFont="1" applyNumberFormat="1">
      <alignment readingOrder="0"/>
    </xf>
    <xf borderId="8" fillId="0" fontId="5" numFmtId="0" xfId="0" applyBorder="1" applyFont="1"/>
    <xf borderId="8" fillId="0" fontId="5" numFmtId="0" xfId="0" applyAlignment="1" applyBorder="1" applyFont="1">
      <alignment readingOrder="0"/>
    </xf>
    <xf borderId="9" fillId="0" fontId="5" numFmtId="0" xfId="0" applyBorder="1" applyFont="1"/>
    <xf borderId="10" fillId="6" fontId="5" numFmtId="0" xfId="0" applyAlignment="1" applyBorder="1" applyFill="1" applyFont="1">
      <alignment readingOrder="0"/>
    </xf>
    <xf borderId="0" fillId="6" fontId="5" numFmtId="0" xfId="0" applyAlignment="1" applyFill="1" applyFont="1">
      <alignment readingOrder="0"/>
    </xf>
    <xf borderId="0" fillId="6" fontId="5" numFmtId="0" xfId="0" applyFill="1" applyFont="1"/>
    <xf borderId="11" fillId="0" fontId="2" numFmtId="0" xfId="0" applyBorder="1" applyFont="1"/>
    <xf borderId="10" fillId="6" fontId="5" numFmtId="0" xfId="0" applyBorder="1" applyFill="1" applyFont="1"/>
    <xf borderId="10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10" fillId="0" fontId="5" numFmtId="0" xfId="0" applyBorder="1" applyFont="1"/>
    <xf borderId="12" fillId="0" fontId="5" numFmtId="165" xfId="0" applyBorder="1" applyFont="1" applyNumberFormat="1"/>
    <xf borderId="9" fillId="0" fontId="5" numFmtId="165" xfId="0" applyBorder="1" applyFont="1" applyNumberFormat="1"/>
    <xf borderId="13" fillId="0" fontId="5" numFmtId="0" xfId="0" applyAlignment="1" applyBorder="1" applyFont="1">
      <alignment horizontal="right" readingOrder="0"/>
    </xf>
    <xf borderId="13" fillId="0" fontId="5" numFmtId="14" xfId="0" applyBorder="1" applyFont="1" applyNumberFormat="1"/>
    <xf borderId="13" fillId="0" fontId="5" numFmtId="0" xfId="0" applyBorder="1" applyFont="1"/>
    <xf borderId="13" fillId="0" fontId="5" numFmtId="0" xfId="0" applyAlignment="1" applyBorder="1" applyFont="1">
      <alignment readingOrder="0"/>
    </xf>
    <xf borderId="11" fillId="0" fontId="5" numFmtId="0" xfId="0" applyBorder="1" applyFont="1"/>
    <xf borderId="10" fillId="0" fontId="5" numFmtId="165" xfId="0" applyBorder="1" applyFont="1" applyNumberFormat="1"/>
    <xf borderId="11" fillId="0" fontId="5" numFmtId="165" xfId="0" applyBorder="1" applyFont="1" applyNumberFormat="1"/>
    <xf borderId="4" fillId="0" fontId="6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right" readingOrder="0"/>
    </xf>
    <xf borderId="8" fillId="0" fontId="1" numFmtId="0" xfId="0" applyBorder="1" applyFont="1"/>
    <xf borderId="14" fillId="0" fontId="4" numFmtId="164" xfId="0" applyAlignment="1" applyBorder="1" applyFont="1" applyNumberFormat="1">
      <alignment readingOrder="0" textRotation="90"/>
    </xf>
    <xf borderId="14" fillId="0" fontId="1" numFmtId="164" xfId="0" applyAlignment="1" applyBorder="1" applyFont="1" applyNumberFormat="1">
      <alignment textRotation="90"/>
    </xf>
    <xf borderId="15" fillId="0" fontId="5" numFmtId="0" xfId="0" applyAlignment="1" applyBorder="1" applyFont="1">
      <alignment horizontal="right" readingOrder="0"/>
    </xf>
    <xf borderId="15" fillId="0" fontId="5" numFmtId="14" xfId="0" applyBorder="1" applyFont="1" applyNumberFormat="1"/>
    <xf borderId="14" fillId="0" fontId="1" numFmtId="0" xfId="0" applyAlignment="1" applyBorder="1" applyFont="1">
      <alignment readingOrder="0" textRotation="90"/>
    </xf>
    <xf borderId="15" fillId="0" fontId="5" numFmtId="0" xfId="0" applyBorder="1" applyFont="1"/>
    <xf borderId="15" fillId="0" fontId="5" numFmtId="0" xfId="0" applyAlignment="1" applyBorder="1" applyFont="1">
      <alignment readingOrder="0"/>
    </xf>
    <xf borderId="8" fillId="0" fontId="1" numFmtId="164" xfId="0" applyAlignment="1" applyBorder="1" applyFont="1" applyNumberFormat="1">
      <alignment textRotation="90"/>
    </xf>
    <xf borderId="16" fillId="0" fontId="5" numFmtId="0" xfId="0" applyBorder="1" applyFont="1"/>
    <xf borderId="17" fillId="6" fontId="5" numFmtId="0" xfId="0" applyAlignment="1" applyBorder="1" applyFill="1" applyFont="1">
      <alignment readingOrder="0"/>
    </xf>
    <xf borderId="8" fillId="0" fontId="4" numFmtId="164" xfId="0" applyAlignment="1" applyBorder="1" applyFont="1" applyNumberFormat="1">
      <alignment readingOrder="0" textRotation="90"/>
    </xf>
    <xf borderId="18" fillId="0" fontId="2" numFmtId="0" xfId="0" applyBorder="1" applyFont="1"/>
    <xf borderId="18" fillId="6" fontId="5" numFmtId="0" xfId="0" applyAlignment="1" applyBorder="1" applyFill="1" applyFont="1">
      <alignment readingOrder="0"/>
    </xf>
    <xf borderId="18" fillId="6" fontId="5" numFmtId="0" xfId="0" applyBorder="1" applyFill="1" applyFont="1"/>
    <xf borderId="16" fillId="0" fontId="2" numFmtId="0" xfId="0" applyBorder="1" applyFont="1"/>
    <xf borderId="17" fillId="6" fontId="5" numFmtId="0" xfId="0" applyBorder="1" applyFill="1" applyFont="1"/>
    <xf borderId="8" fillId="0" fontId="1" numFmtId="164" xfId="0" applyAlignment="1" applyBorder="1" applyFont="1" applyNumberFormat="1">
      <alignment readingOrder="0" textRotation="90"/>
    </xf>
    <xf borderId="17" fillId="0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8" fillId="0" fontId="1" numFmtId="164" xfId="0" applyAlignment="1" applyBorder="1" applyFont="1" applyNumberFormat="1">
      <alignment horizontal="left" readingOrder="0" textRotation="90"/>
    </xf>
    <xf borderId="17" fillId="0" fontId="5" numFmtId="165" xfId="0" applyBorder="1" applyFont="1" applyNumberFormat="1"/>
    <xf borderId="18" fillId="0" fontId="5" numFmtId="0" xfId="0" applyBorder="1" applyFont="1"/>
    <xf borderId="16" fillId="0" fontId="5" numFmtId="165" xfId="0" applyBorder="1" applyFont="1" applyNumberFormat="1"/>
    <xf borderId="17" fillId="0" fontId="5" numFmtId="0" xfId="0" applyBorder="1" applyFont="1"/>
    <xf borderId="8" fillId="0" fontId="5" numFmtId="14" xfId="0" applyBorder="1" applyFont="1" applyNumberFormat="1"/>
    <xf borderId="8" fillId="0" fontId="4" numFmtId="164" xfId="0" applyAlignment="1" applyBorder="1" applyFont="1" applyNumberFormat="1">
      <alignment textRotation="90"/>
    </xf>
    <xf borderId="12" fillId="6" fontId="5" numFmtId="0" xfId="0" applyAlignment="1" applyBorder="1" applyFill="1" applyFont="1">
      <alignment readingOrder="0"/>
    </xf>
    <xf borderId="19" fillId="0" fontId="2" numFmtId="0" xfId="0" applyBorder="1" applyFont="1"/>
    <xf borderId="19" fillId="6" fontId="5" numFmtId="0" xfId="0" applyAlignment="1" applyBorder="1" applyFill="1" applyFont="1">
      <alignment readingOrder="0"/>
    </xf>
    <xf borderId="9" fillId="0" fontId="2" numFmtId="0" xfId="0" applyBorder="1" applyFont="1"/>
    <xf borderId="8" fillId="5" fontId="3" numFmtId="0" xfId="0" applyAlignment="1" applyBorder="1" applyFill="1" applyFont="1">
      <alignment shrinkToFit="0" textRotation="90" wrapText="1"/>
    </xf>
    <xf borderId="20" fillId="7" fontId="5" numFmtId="0" xfId="0" applyAlignment="1" applyBorder="1" applyFill="1" applyFont="1">
      <alignment horizontal="right" readingOrder="0"/>
    </xf>
    <xf borderId="21" fillId="7" fontId="5" numFmtId="14" xfId="0" applyAlignment="1" applyBorder="1" applyFill="1" applyFont="1" applyNumberFormat="1">
      <alignment readingOrder="0"/>
    </xf>
    <xf borderId="21" fillId="7" fontId="5" numFmtId="0" xfId="0" applyBorder="1" applyFill="1" applyFont="1"/>
    <xf borderId="21" fillId="7" fontId="5" numFmtId="0" xfId="0" applyAlignment="1" applyBorder="1" applyFill="1" applyFont="1">
      <alignment readingOrder="0"/>
    </xf>
    <xf borderId="22" fillId="7" fontId="5" numFmtId="0" xfId="0" applyBorder="1" applyFill="1" applyFont="1"/>
    <xf borderId="17" fillId="7" fontId="5" numFmtId="0" xfId="0" applyAlignment="1" applyBorder="1" applyFill="1" applyFont="1">
      <alignment readingOrder="0"/>
    </xf>
    <xf borderId="12" fillId="0" fontId="5" numFmtId="0" xfId="0" applyAlignment="1" applyBorder="1" applyFont="1">
      <alignment readingOrder="0"/>
    </xf>
    <xf borderId="19" fillId="0" fontId="5" numFmtId="0" xfId="0" applyAlignment="1" applyBorder="1" applyFont="1">
      <alignment readingOrder="0"/>
    </xf>
    <xf borderId="23" fillId="7" fontId="5" numFmtId="0" xfId="0" applyAlignment="1" applyBorder="1" applyFill="1" applyFont="1">
      <alignment readingOrder="0"/>
    </xf>
    <xf borderId="24" fillId="0" fontId="2" numFmtId="0" xfId="0" applyBorder="1" applyFont="1"/>
    <xf borderId="23" fillId="7" fontId="5" numFmtId="0" xfId="0" applyBorder="1" applyFill="1" applyFont="1"/>
    <xf borderId="11" fillId="0" fontId="5" numFmtId="0" xfId="0" applyAlignment="1" applyBorder="1" applyFont="1">
      <alignment readingOrder="0"/>
    </xf>
    <xf borderId="22" fillId="7" fontId="5" numFmtId="165" xfId="0" applyBorder="1" applyFill="1" applyFont="1" applyNumberFormat="1"/>
    <xf borderId="25" fillId="7" fontId="5" numFmtId="165" xfId="0" applyBorder="1" applyFill="1" applyFont="1" applyNumberFormat="1"/>
    <xf borderId="26" fillId="7" fontId="5" numFmtId="0" xfId="0" applyAlignment="1" applyBorder="1" applyFill="1" applyFont="1">
      <alignment horizontal="right" readingOrder="0"/>
    </xf>
    <xf borderId="13" fillId="7" fontId="5" numFmtId="14" xfId="0" applyBorder="1" applyFill="1" applyFont="1" applyNumberFormat="1"/>
    <xf borderId="13" fillId="7" fontId="5" numFmtId="0" xfId="0" applyBorder="1" applyFill="1" applyFont="1"/>
    <xf borderId="13" fillId="7" fontId="5" numFmtId="0" xfId="0" applyAlignment="1" applyBorder="1" applyFill="1" applyFont="1">
      <alignment readingOrder="0"/>
    </xf>
    <xf borderId="7" fillId="7" fontId="5" numFmtId="0" xfId="0" applyBorder="1" applyFill="1" applyFont="1"/>
    <xf borderId="1" fillId="7" fontId="5" numFmtId="0" xfId="0" applyAlignment="1" applyBorder="1" applyFill="1" applyFont="1">
      <alignment readingOrder="0"/>
    </xf>
    <xf borderId="1" fillId="7" fontId="5" numFmtId="0" xfId="0" applyBorder="1" applyFill="1" applyFont="1"/>
    <xf borderId="7" fillId="7" fontId="5" numFmtId="165" xfId="0" applyBorder="1" applyFill="1" applyFont="1" applyNumberFormat="1"/>
    <xf borderId="27" fillId="7" fontId="5" numFmtId="165" xfId="0" applyBorder="1" applyFill="1" applyFont="1" applyNumberFormat="1"/>
    <xf borderId="28" fillId="7" fontId="5" numFmtId="0" xfId="0" applyAlignment="1" applyBorder="1" applyFill="1" applyFont="1">
      <alignment horizontal="right" readingOrder="0"/>
    </xf>
    <xf borderId="29" fillId="7" fontId="5" numFmtId="14" xfId="0" applyBorder="1" applyFill="1" applyFont="1" applyNumberFormat="1"/>
    <xf borderId="29" fillId="7" fontId="5" numFmtId="0" xfId="0" applyBorder="1" applyFill="1" applyFont="1"/>
    <xf borderId="29" fillId="7" fontId="5" numFmtId="0" xfId="0" applyAlignment="1" applyBorder="1" applyFill="1" applyFont="1">
      <alignment readingOrder="0"/>
    </xf>
    <xf borderId="14" fillId="7" fontId="5" numFmtId="0" xfId="0" applyBorder="1" applyFill="1" applyFont="1"/>
    <xf borderId="30" fillId="7" fontId="5" numFmtId="0" xfId="0" applyAlignment="1" applyBorder="1" applyFill="1" applyFont="1">
      <alignment readingOrder="0"/>
    </xf>
    <xf borderId="31" fillId="0" fontId="2" numFmtId="0" xfId="0" applyBorder="1" applyFont="1"/>
    <xf borderId="30" fillId="7" fontId="5" numFmtId="0" xfId="0" applyBorder="1" applyFill="1" applyFont="1"/>
    <xf borderId="14" fillId="7" fontId="5" numFmtId="165" xfId="0" applyBorder="1" applyFill="1" applyFont="1" applyNumberFormat="1"/>
    <xf borderId="32" fillId="7" fontId="5" numFmtId="165" xfId="0" applyBorder="1" applyFill="1" applyFont="1" applyNumberFormat="1"/>
    <xf borderId="20" fillId="8" fontId="5" numFmtId="0" xfId="0" applyAlignment="1" applyBorder="1" applyFill="1" applyFont="1">
      <alignment horizontal="right" readingOrder="0"/>
    </xf>
    <xf borderId="21" fillId="8" fontId="5" numFmtId="14" xfId="0" applyBorder="1" applyFill="1" applyFont="1" applyNumberFormat="1"/>
    <xf borderId="21" fillId="8" fontId="5" numFmtId="0" xfId="0" applyBorder="1" applyFill="1" applyFont="1"/>
    <xf borderId="22" fillId="8" fontId="5" numFmtId="0" xfId="0" applyAlignment="1" applyBorder="1" applyFill="1" applyFont="1">
      <alignment readingOrder="0"/>
    </xf>
    <xf borderId="23" fillId="8" fontId="5" numFmtId="0" xfId="0" applyAlignment="1" applyBorder="1" applyFill="1" applyFont="1">
      <alignment readingOrder="0"/>
    </xf>
    <xf borderId="23" fillId="8" fontId="5" numFmtId="0" xfId="0" applyBorder="1" applyFill="1" applyFont="1"/>
    <xf borderId="22" fillId="8" fontId="5" numFmtId="165" xfId="0" applyBorder="1" applyFill="1" applyFont="1" applyNumberFormat="1"/>
    <xf borderId="22" fillId="8" fontId="5" numFmtId="0" xfId="0" applyBorder="1" applyFill="1" applyFont="1"/>
    <xf borderId="25" fillId="8" fontId="5" numFmtId="165" xfId="0" applyBorder="1" applyFill="1" applyFont="1" applyNumberFormat="1"/>
    <xf borderId="26" fillId="8" fontId="5" numFmtId="0" xfId="0" applyAlignment="1" applyBorder="1" applyFill="1" applyFont="1">
      <alignment horizontal="right" readingOrder="0"/>
    </xf>
    <xf borderId="13" fillId="8" fontId="5" numFmtId="14" xfId="0" applyBorder="1" applyFill="1" applyFont="1" applyNumberFormat="1"/>
    <xf borderId="13" fillId="8" fontId="5" numFmtId="0" xfId="0" applyBorder="1" applyFill="1" applyFont="1"/>
    <xf borderId="7" fillId="8" fontId="5" numFmtId="0" xfId="0" applyAlignment="1" applyBorder="1" applyFill="1" applyFont="1">
      <alignment readingOrder="0"/>
    </xf>
    <xf borderId="1" fillId="8" fontId="5" numFmtId="0" xfId="0" applyAlignment="1" applyBorder="1" applyFill="1" applyFont="1">
      <alignment readingOrder="0"/>
    </xf>
    <xf borderId="1" fillId="8" fontId="5" numFmtId="0" xfId="0" applyBorder="1" applyFill="1" applyFont="1"/>
    <xf borderId="7" fillId="8" fontId="5" numFmtId="165" xfId="0" applyBorder="1" applyFill="1" applyFont="1" applyNumberFormat="1"/>
    <xf borderId="7" fillId="8" fontId="5" numFmtId="0" xfId="0" applyBorder="1" applyFill="1" applyFont="1"/>
    <xf borderId="27" fillId="8" fontId="5" numFmtId="165" xfId="0" applyBorder="1" applyFill="1" applyFont="1" applyNumberFormat="1"/>
    <xf borderId="28" fillId="8" fontId="5" numFmtId="0" xfId="0" applyAlignment="1" applyBorder="1" applyFill="1" applyFont="1">
      <alignment horizontal="right" readingOrder="0"/>
    </xf>
    <xf borderId="29" fillId="8" fontId="5" numFmtId="14" xfId="0" applyBorder="1" applyFill="1" applyFont="1" applyNumberFormat="1"/>
    <xf borderId="29" fillId="8" fontId="5" numFmtId="0" xfId="0" applyBorder="1" applyFill="1" applyFont="1"/>
    <xf borderId="14" fillId="8" fontId="5" numFmtId="0" xfId="0" applyBorder="1" applyFill="1" applyFont="1"/>
    <xf borderId="30" fillId="8" fontId="5" numFmtId="0" xfId="0" applyAlignment="1" applyBorder="1" applyFill="1" applyFont="1">
      <alignment readingOrder="0"/>
    </xf>
    <xf borderId="30" fillId="8" fontId="5" numFmtId="0" xfId="0" applyBorder="1" applyFill="1" applyFont="1"/>
    <xf borderId="14" fillId="8" fontId="5" numFmtId="165" xfId="0" applyBorder="1" applyFill="1" applyFont="1" applyNumberFormat="1"/>
    <xf borderId="32" fillId="8" fontId="5" numFmtId="165" xfId="0" applyBorder="1" applyFill="1" applyFont="1" applyNumberFormat="1"/>
    <xf borderId="20" fillId="9" fontId="5" numFmtId="0" xfId="0" applyAlignment="1" applyBorder="1" applyFill="1" applyFont="1">
      <alignment horizontal="right" readingOrder="0"/>
    </xf>
    <xf borderId="21" fillId="9" fontId="5" numFmtId="14" xfId="0" applyBorder="1" applyFill="1" applyFont="1" applyNumberFormat="1"/>
    <xf borderId="21" fillId="9" fontId="5" numFmtId="0" xfId="0" applyBorder="1" applyFill="1" applyFont="1"/>
    <xf borderId="22" fillId="9" fontId="5" numFmtId="0" xfId="0" applyAlignment="1" applyBorder="1" applyFill="1" applyFont="1">
      <alignment readingOrder="0"/>
    </xf>
    <xf borderId="23" fillId="9" fontId="5" numFmtId="0" xfId="0" applyAlignment="1" applyBorder="1" applyFill="1" applyFont="1">
      <alignment readingOrder="0"/>
    </xf>
    <xf borderId="23" fillId="9" fontId="5" numFmtId="0" xfId="0" applyBorder="1" applyFill="1" applyFont="1"/>
    <xf borderId="22" fillId="9" fontId="5" numFmtId="165" xfId="0" applyBorder="1" applyFill="1" applyFont="1" applyNumberFormat="1"/>
    <xf borderId="22" fillId="9" fontId="5" numFmtId="0" xfId="0" applyBorder="1" applyFill="1" applyFont="1"/>
    <xf borderId="25" fillId="9" fontId="5" numFmtId="165" xfId="0" applyBorder="1" applyFill="1" applyFont="1" applyNumberFormat="1"/>
    <xf borderId="26" fillId="9" fontId="5" numFmtId="0" xfId="0" applyAlignment="1" applyBorder="1" applyFill="1" applyFont="1">
      <alignment horizontal="right" readingOrder="0"/>
    </xf>
    <xf borderId="13" fillId="9" fontId="5" numFmtId="14" xfId="0" applyBorder="1" applyFill="1" applyFont="1" applyNumberFormat="1"/>
    <xf borderId="13" fillId="9" fontId="5" numFmtId="0" xfId="0" applyBorder="1" applyFill="1" applyFont="1"/>
    <xf borderId="7" fillId="9" fontId="5" numFmtId="0" xfId="0" applyAlignment="1" applyBorder="1" applyFill="1" applyFont="1">
      <alignment readingOrder="0"/>
    </xf>
    <xf borderId="1" fillId="9" fontId="5" numFmtId="0" xfId="0" applyAlignment="1" applyBorder="1" applyFill="1" applyFont="1">
      <alignment readingOrder="0"/>
    </xf>
    <xf borderId="1" fillId="9" fontId="5" numFmtId="0" xfId="0" applyBorder="1" applyFill="1" applyFont="1"/>
    <xf borderId="7" fillId="9" fontId="5" numFmtId="165" xfId="0" applyBorder="1" applyFill="1" applyFont="1" applyNumberFormat="1"/>
    <xf borderId="7" fillId="9" fontId="5" numFmtId="0" xfId="0" applyBorder="1" applyFill="1" applyFont="1"/>
    <xf borderId="27" fillId="9" fontId="5" numFmtId="165" xfId="0" applyBorder="1" applyFill="1" applyFont="1" applyNumberFormat="1"/>
    <xf borderId="12" fillId="10" fontId="5" numFmtId="0" xfId="0" applyAlignment="1" applyBorder="1" applyFill="1" applyFont="1">
      <alignment readingOrder="0"/>
    </xf>
    <xf borderId="19" fillId="10" fontId="5" numFmtId="0" xfId="0" applyAlignment="1" applyBorder="1" applyFill="1" applyFont="1">
      <alignment readingOrder="0"/>
    </xf>
    <xf borderId="10" fillId="11" fontId="5" numFmtId="0" xfId="0" applyAlignment="1" applyBorder="1" applyFill="1" applyFont="1">
      <alignment readingOrder="0"/>
    </xf>
    <xf borderId="0" fillId="11" fontId="5" numFmtId="0" xfId="0" applyAlignment="1" applyFill="1" applyFont="1">
      <alignment readingOrder="0"/>
    </xf>
    <xf borderId="10" fillId="10" fontId="5" numFmtId="0" xfId="0" applyAlignment="1" applyBorder="1" applyFill="1" applyFont="1">
      <alignment readingOrder="0"/>
    </xf>
    <xf borderId="8" fillId="9" fontId="5" numFmtId="0" xfId="0" applyBorder="1" applyFill="1" applyFont="1"/>
    <xf borderId="0" fillId="10" fontId="5" numFmtId="0" xfId="0" applyAlignment="1" applyFill="1" applyFont="1">
      <alignment readingOrder="0"/>
    </xf>
    <xf borderId="12" fillId="9" fontId="5" numFmtId="0" xfId="0" applyAlignment="1" applyBorder="1" applyFill="1" applyFont="1">
      <alignment readingOrder="0"/>
    </xf>
    <xf borderId="12" fillId="9" fontId="5" numFmtId="0" xfId="0" applyBorder="1" applyFill="1" applyFont="1"/>
    <xf borderId="8" fillId="9" fontId="5" numFmtId="165" xfId="0" applyBorder="1" applyFill="1" applyFont="1" applyNumberFormat="1"/>
    <xf borderId="33" fillId="9" fontId="5" numFmtId="165" xfId="0" applyBorder="1" applyFill="1" applyFont="1" applyNumberFormat="1"/>
    <xf borderId="22" fillId="8" fontId="5" numFmtId="0" xfId="0" applyAlignment="1" applyBorder="1" applyFill="1" applyFont="1">
      <alignment readingOrder="0"/>
    </xf>
    <xf borderId="23" fillId="8" fontId="5" numFmtId="0" xfId="0" applyAlignment="1" applyBorder="1" applyFill="1" applyFont="1">
      <alignment readingOrder="0"/>
    </xf>
    <xf borderId="7" fillId="8" fontId="5" numFmtId="0" xfId="0" applyAlignment="1" applyBorder="1" applyFill="1" applyFont="1">
      <alignment readingOrder="0"/>
    </xf>
    <xf borderId="1" fillId="8" fontId="5" numFmtId="0" xfId="0" applyAlignment="1" applyBorder="1" applyFill="1" applyFont="1">
      <alignment readingOrder="0"/>
    </xf>
    <xf borderId="17" fillId="10" fontId="5" numFmtId="0" xfId="0" applyAlignment="1" applyBorder="1" applyFill="1" applyFont="1">
      <alignment readingOrder="0"/>
    </xf>
    <xf borderId="18" fillId="10" fontId="5" numFmtId="0" xfId="0" applyAlignment="1" applyBorder="1" applyFill="1" applyFont="1">
      <alignment readingOrder="0"/>
    </xf>
    <xf borderId="17" fillId="11" fontId="5" numFmtId="0" xfId="0" applyAlignment="1" applyBorder="1" applyFill="1" applyFont="1">
      <alignment readingOrder="0"/>
    </xf>
    <xf borderId="18" fillId="11" fontId="5" numFmtId="0" xfId="0" applyAlignment="1" applyBorder="1" applyFill="1" applyFont="1">
      <alignment readingOrder="0"/>
    </xf>
    <xf borderId="30" fillId="8" fontId="5" numFmtId="0" xfId="0" applyAlignment="1" applyBorder="1" applyFill="1" applyFont="1">
      <alignment readingOrder="0"/>
    </xf>
    <xf borderId="12" fillId="11" fontId="5" numFmtId="0" xfId="0" applyAlignment="1" applyBorder="1" applyFill="1" applyFont="1">
      <alignment readingOrder="0"/>
    </xf>
    <xf borderId="19" fillId="11" fontId="5" numFmtId="0" xfId="0" applyAlignment="1" applyBorder="1" applyFill="1" applyFont="1">
      <alignment readingOrder="0"/>
    </xf>
    <xf borderId="22" fillId="9" fontId="5" numFmtId="0" xfId="0" applyAlignment="1" applyBorder="1" applyFill="1" applyFont="1">
      <alignment readingOrder="0"/>
    </xf>
    <xf borderId="7" fillId="9" fontId="5" numFmtId="0" xfId="0" applyAlignment="1" applyBorder="1" applyFill="1" applyFont="1">
      <alignment readingOrder="0"/>
    </xf>
    <xf borderId="28" fillId="9" fontId="5" numFmtId="0" xfId="0" applyAlignment="1" applyBorder="1" applyFill="1" applyFont="1">
      <alignment horizontal="right" readingOrder="0"/>
    </xf>
    <xf borderId="8" fillId="9" fontId="5" numFmtId="165" xfId="0" applyAlignment="1" applyBorder="1" applyFill="1" applyFont="1" applyNumberFormat="1">
      <alignment readingOrder="0"/>
    </xf>
    <xf borderId="10" fillId="8" fontId="5" numFmtId="0" xfId="0" applyAlignment="1" applyBorder="1" applyFill="1" applyFont="1">
      <alignment horizontal="right" readingOrder="0"/>
    </xf>
    <xf borderId="20" fillId="8" fontId="5" numFmtId="14" xfId="0" applyBorder="1" applyFill="1" applyFont="1" applyNumberFormat="1"/>
    <xf borderId="26" fillId="8" fontId="5" numFmtId="14" xfId="0" applyBorder="1" applyFill="1" applyFont="1" applyNumberFormat="1"/>
    <xf borderId="8" fillId="8" fontId="5" numFmtId="0" xfId="0" applyBorder="1" applyFill="1" applyFont="1"/>
    <xf borderId="12" fillId="8" fontId="5" numFmtId="0" xfId="0" applyAlignment="1" applyBorder="1" applyFill="1" applyFont="1">
      <alignment readingOrder="0"/>
    </xf>
    <xf borderId="8" fillId="8" fontId="5" numFmtId="165" xfId="0" applyBorder="1" applyFill="1" applyFont="1" applyNumberFormat="1"/>
    <xf borderId="33" fillId="8" fontId="5" numFmtId="165" xfId="0" applyBorder="1" applyFill="1" applyFont="1" applyNumberFormat="1"/>
    <xf borderId="34" fillId="12" fontId="5" numFmtId="0" xfId="0" applyAlignment="1" applyBorder="1" applyFill="1" applyFont="1">
      <alignment horizontal="right" readingOrder="0"/>
    </xf>
    <xf borderId="35" fillId="12" fontId="5" numFmtId="14" xfId="0" applyBorder="1" applyFill="1" applyFont="1" applyNumberFormat="1"/>
    <xf borderId="35" fillId="12" fontId="5" numFmtId="0" xfId="0" applyBorder="1" applyFill="1" applyFont="1"/>
    <xf borderId="36" fillId="12" fontId="5" numFmtId="0" xfId="0" applyAlignment="1" applyBorder="1" applyFill="1" applyFont="1">
      <alignment readingOrder="0"/>
    </xf>
    <xf borderId="37" fillId="12" fontId="5" numFmtId="0" xfId="0" applyAlignment="1" applyBorder="1" applyFill="1" applyFont="1">
      <alignment readingOrder="0"/>
    </xf>
    <xf borderId="38" fillId="0" fontId="2" numFmtId="0" xfId="0" applyBorder="1" applyFont="1"/>
    <xf borderId="36" fillId="12" fontId="5" numFmtId="165" xfId="0" applyBorder="1" applyFill="1" applyFont="1" applyNumberFormat="1"/>
    <xf borderId="36" fillId="12" fontId="5" numFmtId="0" xfId="0" applyBorder="1" applyFill="1" applyFont="1"/>
    <xf borderId="39" fillId="12" fontId="5" numFmtId="165" xfId="0" applyBorder="1" applyFill="1" applyFont="1" applyNumberFormat="1"/>
    <xf borderId="40" fillId="12" fontId="5" numFmtId="0" xfId="0" applyAlignment="1" applyBorder="1" applyFill="1" applyFont="1">
      <alignment horizontal="right" readingOrder="0"/>
    </xf>
    <xf borderId="13" fillId="12" fontId="5" numFmtId="14" xfId="0" applyBorder="1" applyFill="1" applyFont="1" applyNumberFormat="1"/>
    <xf borderId="13" fillId="12" fontId="5" numFmtId="0" xfId="0" applyBorder="1" applyFill="1" applyFont="1"/>
    <xf borderId="7" fillId="12" fontId="5" numFmtId="0" xfId="0" applyAlignment="1" applyBorder="1" applyFill="1" applyFont="1">
      <alignment readingOrder="0"/>
    </xf>
    <xf borderId="1" fillId="12" fontId="5" numFmtId="0" xfId="0" applyAlignment="1" applyBorder="1" applyFill="1" applyFont="1">
      <alignment readingOrder="0"/>
    </xf>
    <xf borderId="7" fillId="12" fontId="5" numFmtId="165" xfId="0" applyBorder="1" applyFill="1" applyFont="1" applyNumberFormat="1"/>
    <xf borderId="7" fillId="12" fontId="5" numFmtId="0" xfId="0" applyBorder="1" applyFill="1" applyFont="1"/>
    <xf borderId="41" fillId="12" fontId="5" numFmtId="165" xfId="0" applyBorder="1" applyFill="1" applyFont="1" applyNumberFormat="1"/>
    <xf borderId="42" fillId="12" fontId="5" numFmtId="0" xfId="0" applyAlignment="1" applyBorder="1" applyFill="1" applyFont="1">
      <alignment horizontal="right" readingOrder="0"/>
    </xf>
    <xf borderId="43" fillId="12" fontId="5" numFmtId="14" xfId="0" applyBorder="1" applyFill="1" applyFont="1" applyNumberFormat="1"/>
    <xf borderId="43" fillId="12" fontId="5" numFmtId="0" xfId="0" applyBorder="1" applyFill="1" applyFont="1"/>
    <xf borderId="14" fillId="12" fontId="5" numFmtId="0" xfId="0" applyAlignment="1" applyBorder="1" applyFill="1" applyFont="1">
      <alignment readingOrder="0"/>
    </xf>
    <xf borderId="44" fillId="12" fontId="5" numFmtId="0" xfId="0" applyAlignment="1" applyBorder="1" applyFill="1" applyFont="1">
      <alignment readingOrder="0"/>
    </xf>
    <xf borderId="45" fillId="0" fontId="2" numFmtId="0" xfId="0" applyBorder="1" applyFont="1"/>
    <xf borderId="46" fillId="12" fontId="5" numFmtId="165" xfId="0" applyBorder="1" applyFill="1" applyFont="1" applyNumberFormat="1"/>
    <xf borderId="46" fillId="12" fontId="5" numFmtId="0" xfId="0" applyBorder="1" applyFill="1" applyFont="1"/>
    <xf borderId="47" fillId="12" fontId="5" numFmtId="165" xfId="0" applyBorder="1" applyFill="1" applyFont="1" applyNumberFormat="1"/>
    <xf borderId="13" fillId="12" fontId="5" numFmtId="0" xfId="0" applyAlignment="1" applyBorder="1" applyFill="1" applyFont="1">
      <alignment horizontal="right" readingOrder="0"/>
    </xf>
    <xf borderId="17" fillId="12" fontId="5" numFmtId="0" xfId="0" applyAlignment="1" applyBorder="1" applyFill="1" applyFont="1">
      <alignment readingOrder="0"/>
    </xf>
    <xf borderId="15" fillId="12" fontId="5" numFmtId="165" xfId="0" applyBorder="1" applyFill="1" applyFont="1" applyNumberFormat="1"/>
    <xf borderId="15" fillId="12" fontId="5" numFmtId="0" xfId="0" applyBorder="1" applyFill="1" applyFont="1"/>
    <xf borderId="8" fillId="12" fontId="5" numFmtId="0" xfId="0" applyAlignment="1" applyBorder="1" applyFill="1" applyFont="1">
      <alignment readingOrder="0"/>
    </xf>
    <xf borderId="12" fillId="12" fontId="5" numFmtId="0" xfId="0" applyAlignment="1" applyBorder="1" applyFill="1" applyFont="1">
      <alignment readingOrder="0"/>
    </xf>
    <xf borderId="10" fillId="12" fontId="5" numFmtId="0" xfId="0" applyAlignment="1" applyBorder="1" applyFill="1" applyFont="1">
      <alignment readingOrder="0"/>
    </xf>
    <xf borderId="8" fillId="12" fontId="5" numFmtId="165" xfId="0" applyBorder="1" applyFill="1" applyFont="1" applyNumberFormat="1"/>
    <xf borderId="8" fillId="12" fontId="5" numFmtId="0" xfId="0" applyBorder="1" applyFill="1" applyFont="1"/>
    <xf borderId="34" fillId="13" fontId="5" numFmtId="0" xfId="0" applyAlignment="1" applyBorder="1" applyFill="1" applyFont="1">
      <alignment horizontal="right" readingOrder="0"/>
    </xf>
    <xf borderId="35" fillId="13" fontId="5" numFmtId="14" xfId="0" applyBorder="1" applyFill="1" applyFont="1" applyNumberFormat="1"/>
    <xf borderId="35" fillId="13" fontId="5" numFmtId="0" xfId="0" applyBorder="1" applyFill="1" applyFont="1"/>
    <xf borderId="36" fillId="13" fontId="5" numFmtId="0" xfId="0" applyAlignment="1" applyBorder="1" applyFill="1" applyFont="1">
      <alignment readingOrder="0"/>
    </xf>
    <xf borderId="37" fillId="13" fontId="5" numFmtId="0" xfId="0" applyAlignment="1" applyBorder="1" applyFill="1" applyFont="1">
      <alignment readingOrder="0"/>
    </xf>
    <xf borderId="36" fillId="13" fontId="5" numFmtId="165" xfId="0" applyBorder="1" applyFill="1" applyFont="1" applyNumberFormat="1"/>
    <xf borderId="36" fillId="13" fontId="5" numFmtId="0" xfId="0" applyBorder="1" applyFill="1" applyFont="1"/>
    <xf borderId="39" fillId="13" fontId="5" numFmtId="165" xfId="0" applyBorder="1" applyFill="1" applyFont="1" applyNumberFormat="1"/>
    <xf borderId="40" fillId="13" fontId="5" numFmtId="0" xfId="0" applyAlignment="1" applyBorder="1" applyFill="1" applyFont="1">
      <alignment horizontal="right" readingOrder="0"/>
    </xf>
    <xf borderId="13" fillId="13" fontId="5" numFmtId="14" xfId="0" applyBorder="1" applyFill="1" applyFont="1" applyNumberFormat="1"/>
    <xf borderId="13" fillId="13" fontId="5" numFmtId="0" xfId="0" applyBorder="1" applyFill="1" applyFont="1"/>
    <xf borderId="7" fillId="13" fontId="5" numFmtId="0" xfId="0" applyAlignment="1" applyBorder="1" applyFill="1" applyFont="1">
      <alignment readingOrder="0"/>
    </xf>
    <xf borderId="1" fillId="13" fontId="5" numFmtId="0" xfId="0" applyAlignment="1" applyBorder="1" applyFill="1" applyFont="1">
      <alignment readingOrder="0"/>
    </xf>
    <xf borderId="7" fillId="13" fontId="5" numFmtId="165" xfId="0" applyBorder="1" applyFill="1" applyFont="1" applyNumberFormat="1"/>
    <xf borderId="7" fillId="13" fontId="5" numFmtId="0" xfId="0" applyBorder="1" applyFill="1" applyFont="1"/>
    <xf borderId="41" fillId="13" fontId="5" numFmtId="165" xfId="0" applyBorder="1" applyFill="1" applyFont="1" applyNumberFormat="1"/>
    <xf borderId="8" fillId="13" fontId="5" numFmtId="0" xfId="0" applyAlignment="1" applyBorder="1" applyFill="1" applyFont="1">
      <alignment readingOrder="0"/>
    </xf>
    <xf borderId="12" fillId="13" fontId="5" numFmtId="0" xfId="0" applyAlignment="1" applyBorder="1" applyFill="1" applyFont="1">
      <alignment readingOrder="0"/>
    </xf>
    <xf borderId="8" fillId="13" fontId="5" numFmtId="165" xfId="0" applyBorder="1" applyFill="1" applyFont="1" applyNumberFormat="1"/>
    <xf borderId="8" fillId="13" fontId="5" numFmtId="0" xfId="0" applyBorder="1" applyFill="1" applyFont="1"/>
    <xf borderId="48" fillId="13" fontId="5" numFmtId="165" xfId="0" applyBorder="1" applyFill="1" applyFont="1" applyNumberFormat="1"/>
    <xf borderId="42" fillId="13" fontId="5" numFmtId="0" xfId="0" applyAlignment="1" applyBorder="1" applyFill="1" applyFont="1">
      <alignment horizontal="right" readingOrder="0"/>
    </xf>
    <xf borderId="43" fillId="13" fontId="5" numFmtId="14" xfId="0" applyBorder="1" applyFill="1" applyFont="1" applyNumberFormat="1"/>
    <xf borderId="43" fillId="13" fontId="5" numFmtId="0" xfId="0" applyBorder="1" applyFill="1" applyFont="1"/>
    <xf borderId="46" fillId="13" fontId="5" numFmtId="0" xfId="0" applyAlignment="1" applyBorder="1" applyFill="1" applyFont="1">
      <alignment readingOrder="0"/>
    </xf>
    <xf borderId="44" fillId="13" fontId="5" numFmtId="0" xfId="0" applyAlignment="1" applyBorder="1" applyFill="1" applyFont="1">
      <alignment readingOrder="0"/>
    </xf>
    <xf borderId="46" fillId="13" fontId="5" numFmtId="165" xfId="0" applyBorder="1" applyFill="1" applyFont="1" applyNumberFormat="1"/>
    <xf borderId="46" fillId="13" fontId="5" numFmtId="0" xfId="0" applyBorder="1" applyFill="1" applyFont="1"/>
    <xf borderId="47" fillId="13" fontId="5" numFmtId="165" xfId="0" applyBorder="1" applyFill="1" applyFont="1" applyNumberFormat="1"/>
    <xf borderId="34" fillId="8" fontId="5" numFmtId="0" xfId="0" applyAlignment="1" applyBorder="1" applyFill="1" applyFont="1">
      <alignment horizontal="right" readingOrder="0"/>
    </xf>
    <xf borderId="35" fillId="8" fontId="5" numFmtId="14" xfId="0" applyBorder="1" applyFill="1" applyFont="1" applyNumberFormat="1"/>
    <xf borderId="35" fillId="8" fontId="5" numFmtId="0" xfId="0" applyBorder="1" applyFill="1" applyFont="1"/>
    <xf borderId="36" fillId="8" fontId="5" numFmtId="0" xfId="0" applyAlignment="1" applyBorder="1" applyFill="1" applyFont="1">
      <alignment readingOrder="0"/>
    </xf>
    <xf borderId="37" fillId="8" fontId="5" numFmtId="0" xfId="0" applyAlignment="1" applyBorder="1" applyFill="1" applyFont="1">
      <alignment readingOrder="0"/>
    </xf>
    <xf borderId="36" fillId="8" fontId="5" numFmtId="165" xfId="0" applyBorder="1" applyFill="1" applyFont="1" applyNumberFormat="1"/>
    <xf borderId="36" fillId="8" fontId="5" numFmtId="0" xfId="0" applyBorder="1" applyFill="1" applyFont="1"/>
    <xf borderId="39" fillId="8" fontId="5" numFmtId="165" xfId="0" applyBorder="1" applyFill="1" applyFont="1" applyNumberFormat="1"/>
    <xf borderId="40" fillId="8" fontId="5" numFmtId="0" xfId="0" applyAlignment="1" applyBorder="1" applyFill="1" applyFont="1">
      <alignment horizontal="right" readingOrder="0"/>
    </xf>
    <xf borderId="41" fillId="8" fontId="5" numFmtId="165" xfId="0" applyBorder="1" applyFill="1" applyFont="1" applyNumberFormat="1"/>
    <xf borderId="8" fillId="8" fontId="5" numFmtId="0" xfId="0" applyAlignment="1" applyBorder="1" applyFill="1" applyFont="1">
      <alignment readingOrder="0"/>
    </xf>
    <xf borderId="44" fillId="8" fontId="5" numFmtId="0" xfId="0" applyAlignment="1" applyBorder="1" applyFill="1" applyFont="1">
      <alignment readingOrder="0"/>
    </xf>
    <xf borderId="48" fillId="8" fontId="5" numFmtId="165" xfId="0" applyBorder="1" applyFill="1" applyFont="1" applyNumberFormat="1"/>
    <xf borderId="20" fillId="13" fontId="5" numFmtId="0" xfId="0" applyAlignment="1" applyBorder="1" applyFill="1" applyFont="1">
      <alignment horizontal="right" readingOrder="0"/>
    </xf>
    <xf borderId="21" fillId="13" fontId="5" numFmtId="14" xfId="0" applyBorder="1" applyFill="1" applyFont="1" applyNumberFormat="1"/>
    <xf borderId="21" fillId="13" fontId="5" numFmtId="0" xfId="0" applyBorder="1" applyFill="1" applyFont="1"/>
    <xf borderId="22" fillId="13" fontId="5" numFmtId="0" xfId="0" applyAlignment="1" applyBorder="1" applyFill="1" applyFont="1">
      <alignment readingOrder="0"/>
    </xf>
    <xf borderId="23" fillId="13" fontId="5" numFmtId="0" xfId="0" applyAlignment="1" applyBorder="1" applyFill="1" applyFont="1">
      <alignment readingOrder="0"/>
    </xf>
    <xf borderId="23" fillId="13" fontId="5" numFmtId="0" xfId="0" applyAlignment="1" applyBorder="1" applyFill="1" applyFont="1">
      <alignment horizontal="right" readingOrder="0"/>
    </xf>
    <xf borderId="17" fillId="13" fontId="5" numFmtId="0" xfId="0" applyAlignment="1" applyBorder="1" applyFill="1" applyFont="1">
      <alignment readingOrder="0"/>
    </xf>
    <xf borderId="22" fillId="13" fontId="5" numFmtId="165" xfId="0" applyBorder="1" applyFill="1" applyFont="1" applyNumberFormat="1"/>
    <xf borderId="22" fillId="13" fontId="5" numFmtId="0" xfId="0" applyBorder="1" applyFill="1" applyFont="1"/>
    <xf borderId="25" fillId="13" fontId="5" numFmtId="165" xfId="0" applyBorder="1" applyFill="1" applyFont="1" applyNumberFormat="1"/>
    <xf borderId="26" fillId="13" fontId="5" numFmtId="0" xfId="0" applyAlignment="1" applyBorder="1" applyFill="1" applyFont="1">
      <alignment horizontal="right" readingOrder="0"/>
    </xf>
    <xf borderId="1" fillId="13" fontId="5" numFmtId="0" xfId="0" applyAlignment="1" applyBorder="1" applyFill="1" applyFont="1">
      <alignment horizontal="right" readingOrder="0"/>
    </xf>
    <xf borderId="27" fillId="13" fontId="5" numFmtId="165" xfId="0" applyBorder="1" applyFill="1" applyFont="1" applyNumberFormat="1"/>
    <xf borderId="12" fillId="13" fontId="5" numFmtId="0" xfId="0" applyAlignment="1" applyBorder="1" applyFill="1" applyFont="1">
      <alignment horizontal="right" readingOrder="0"/>
    </xf>
    <xf borderId="33" fillId="13" fontId="5" numFmtId="165" xfId="0" applyBorder="1" applyFill="1" applyFont="1" applyNumberFormat="1"/>
    <xf borderId="15" fillId="8" fontId="5" numFmtId="0" xfId="0" applyBorder="1" applyFill="1" applyFont="1"/>
    <xf borderId="22" fillId="13" fontId="5" numFmtId="165" xfId="0" applyAlignment="1" applyBorder="1" applyFill="1" applyFont="1" applyNumberFormat="1">
      <alignment readingOrder="0"/>
    </xf>
    <xf borderId="0" fillId="13" fontId="7" numFmtId="0" xfId="0" applyFill="1" applyFont="1"/>
    <xf borderId="13" fillId="9" fontId="5" numFmtId="0" xfId="0" applyAlignment="1" applyBorder="1" applyFill="1" applyFont="1">
      <alignment readingOrder="0"/>
    </xf>
    <xf borderId="8" fillId="9" fontId="5" numFmtId="0" xfId="0" applyAlignment="1" applyBorder="1" applyFill="1" applyFont="1">
      <alignment readingOrder="0"/>
    </xf>
    <xf borderId="29" fillId="9" fontId="5" numFmtId="14" xfId="0" applyBorder="1" applyFill="1" applyFont="1" applyNumberFormat="1"/>
    <xf borderId="29" fillId="9" fontId="5" numFmtId="0" xfId="0" applyBorder="1" applyFill="1" applyFont="1"/>
    <xf borderId="14" fillId="9" fontId="5" numFmtId="0" xfId="0" applyAlignment="1" applyBorder="1" applyFill="1" applyFont="1">
      <alignment readingOrder="0"/>
    </xf>
    <xf borderId="30" fillId="9" fontId="5" numFmtId="0" xfId="0" applyAlignment="1" applyBorder="1" applyFill="1" applyFont="1">
      <alignment readingOrder="0"/>
    </xf>
    <xf borderId="14" fillId="9" fontId="5" numFmtId="165" xfId="0" applyBorder="1" applyFill="1" applyFont="1" applyNumberFormat="1"/>
    <xf borderId="14" fillId="9" fontId="5" numFmtId="0" xfId="0" applyBorder="1" applyFill="1" applyFont="1"/>
    <xf borderId="32" fillId="9" fontId="5" numFmtId="165" xfId="0" applyBorder="1" applyFill="1" applyFont="1" applyNumberFormat="1"/>
    <xf borderId="13" fillId="9" fontId="5" numFmtId="0" xfId="0" applyAlignment="1" applyBorder="1" applyFill="1" applyFont="1">
      <alignment horizontal="right" readingOrder="0"/>
    </xf>
    <xf borderId="10" fillId="9" fontId="5" numFmtId="14" xfId="0" applyBorder="1" applyFill="1" applyFont="1" applyNumberFormat="1"/>
    <xf borderId="34" fillId="9" fontId="5" numFmtId="0" xfId="0" applyBorder="1" applyFill="1" applyFont="1"/>
    <xf borderId="35" fillId="9" fontId="5" numFmtId="0" xfId="0" applyBorder="1" applyFill="1" applyFont="1"/>
    <xf borderId="36" fillId="9" fontId="5" numFmtId="0" xfId="0" applyAlignment="1" applyBorder="1" applyFill="1" applyFont="1">
      <alignment readingOrder="0"/>
    </xf>
    <xf borderId="37" fillId="9" fontId="5" numFmtId="0" xfId="0" applyAlignment="1" applyBorder="1" applyFill="1" applyFont="1">
      <alignment readingOrder="0"/>
    </xf>
    <xf borderId="36" fillId="9" fontId="5" numFmtId="165" xfId="0" applyBorder="1" applyFill="1" applyFont="1" applyNumberFormat="1"/>
    <xf borderId="36" fillId="9" fontId="5" numFmtId="0" xfId="0" applyBorder="1" applyFill="1" applyFont="1"/>
    <xf borderId="39" fillId="9" fontId="5" numFmtId="165" xfId="0" applyBorder="1" applyFill="1" applyFont="1" applyNumberFormat="1"/>
    <xf borderId="40" fillId="9" fontId="5" numFmtId="0" xfId="0" applyBorder="1" applyFill="1" applyFont="1"/>
    <xf borderId="41" fillId="9" fontId="5" numFmtId="165" xfId="0" applyBorder="1" applyFill="1" applyFont="1" applyNumberFormat="1"/>
    <xf borderId="48" fillId="9" fontId="5" numFmtId="165" xfId="0" applyBorder="1" applyFill="1" applyFont="1" applyNumberFormat="1"/>
    <xf borderId="15" fillId="8" fontId="5" numFmtId="0" xfId="0" applyAlignment="1" applyBorder="1" applyFill="1" applyFont="1">
      <alignment readingOrder="0"/>
    </xf>
    <xf borderId="42" fillId="8" fontId="5" numFmtId="0" xfId="0" applyAlignment="1" applyBorder="1" applyFill="1" applyFont="1">
      <alignment horizontal="right" readingOrder="0"/>
    </xf>
    <xf borderId="43" fillId="8" fontId="5" numFmtId="14" xfId="0" applyBorder="1" applyFill="1" applyFont="1" applyNumberFormat="1"/>
    <xf borderId="43" fillId="8" fontId="5" numFmtId="0" xfId="0" applyBorder="1" applyFill="1" applyFont="1"/>
    <xf borderId="46" fillId="8" fontId="5" numFmtId="0" xfId="0" applyAlignment="1" applyBorder="1" applyFill="1" applyFont="1">
      <alignment readingOrder="0"/>
    </xf>
    <xf borderId="46" fillId="8" fontId="5" numFmtId="165" xfId="0" applyBorder="1" applyFill="1" applyFont="1" applyNumberFormat="1"/>
    <xf borderId="46" fillId="8" fontId="5" numFmtId="0" xfId="0" applyBorder="1" applyFill="1" applyFont="1"/>
    <xf borderId="47" fillId="8" fontId="5" numFmtId="165" xfId="0" applyBorder="1" applyFill="1" applyFont="1" applyNumberFormat="1"/>
    <xf borderId="15" fillId="12" fontId="5" numFmtId="0" xfId="0" applyAlignment="1" applyBorder="1" applyFill="1" applyFont="1">
      <alignment readingOrder="0"/>
    </xf>
    <xf borderId="0" fillId="0" fontId="4" numFmtId="14" xfId="0" applyAlignment="1" applyFont="1" applyNumberFormat="1">
      <alignment horizontal="right"/>
    </xf>
    <xf borderId="0" fillId="0" fontId="4" numFmtId="14" xfId="0" applyFont="1" applyNumberFormat="1"/>
    <xf borderId="0" fillId="0" fontId="8" numFmtId="0" xfId="0" applyFont="1"/>
    <xf borderId="0" fillId="0" fontId="8" numFmtId="165" xfId="0" applyFont="1" applyNumberFormat="1"/>
    <xf borderId="0" fillId="0" fontId="8" numFmtId="166" xfId="0" applyAlignment="1" applyFont="1" applyNumberFormat="1">
      <alignment horizontal="left" shrinkToFit="0" wrapText="0"/>
    </xf>
    <xf borderId="0" fillId="0" fontId="8" numFmtId="0" xfId="0" applyAlignment="1" applyFont="1">
      <alignment horizontal="left" shrinkToFit="0" wrapText="0"/>
    </xf>
    <xf borderId="0" fillId="0" fontId="4" numFmtId="165" xfId="0" applyFont="1" applyNumberFormat="1"/>
    <xf borderId="0" fillId="0" fontId="4" numFmtId="3" xfId="0" applyFont="1" applyNumberFormat="1"/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49" fillId="13" fontId="5" numFmtId="0" xfId="0" applyAlignment="1" applyBorder="1" applyFill="1" applyFont="1">
      <alignment horizontal="right" readingOrder="0"/>
    </xf>
    <xf borderId="15" fillId="13" fontId="5" numFmtId="14" xfId="0" applyBorder="1" applyFill="1" applyFont="1" applyNumberFormat="1"/>
    <xf borderId="15" fillId="13" fontId="5" numFmtId="0" xfId="0" applyBorder="1" applyFill="1" applyFont="1"/>
    <xf borderId="34" fillId="9" fontId="5" numFmtId="0" xfId="0" applyAlignment="1" applyBorder="1" applyFill="1" applyFont="1">
      <alignment horizontal="right" readingOrder="0"/>
    </xf>
    <xf borderId="35" fillId="9" fontId="5" numFmtId="14" xfId="0" applyBorder="1" applyFill="1" applyFont="1" applyNumberFormat="1"/>
    <xf borderId="40" fillId="9" fontId="5" numFmtId="0" xfId="0" applyAlignment="1" applyBorder="1" applyFill="1" applyFont="1">
      <alignment horizontal="right" readingOrder="0"/>
    </xf>
    <xf borderId="46" fillId="12" fontId="5" numFmtId="0" xfId="0" applyAlignment="1" applyBorder="1" applyFill="1" applyFont="1">
      <alignment readingOrder="0"/>
    </xf>
    <xf borderId="42" fillId="9" fontId="5" numFmtId="0" xfId="0" applyAlignment="1" applyBorder="1" applyFill="1" applyFont="1">
      <alignment horizontal="right" readingOrder="0"/>
    </xf>
    <xf borderId="43" fillId="9" fontId="5" numFmtId="14" xfId="0" applyBorder="1" applyFill="1" applyFont="1" applyNumberFormat="1"/>
    <xf borderId="43" fillId="9" fontId="5" numFmtId="0" xfId="0" applyBorder="1" applyFill="1" applyFont="1"/>
    <xf borderId="46" fillId="9" fontId="5" numFmtId="0" xfId="0" applyAlignment="1" applyBorder="1" applyFill="1" applyFont="1">
      <alignment readingOrder="0"/>
    </xf>
    <xf borderId="44" fillId="9" fontId="5" numFmtId="0" xfId="0" applyAlignment="1" applyBorder="1" applyFill="1" applyFont="1">
      <alignment readingOrder="0"/>
    </xf>
    <xf borderId="46" fillId="9" fontId="5" numFmtId="165" xfId="0" applyBorder="1" applyFill="1" applyFont="1" applyNumberFormat="1"/>
    <xf borderId="46" fillId="9" fontId="5" numFmtId="0" xfId="0" applyBorder="1" applyFill="1" applyFont="1"/>
    <xf borderId="47" fillId="9" fontId="5" numFmtId="165" xfId="0" applyBorder="1" applyFill="1" applyFont="1" applyNumberFormat="1"/>
    <xf borderId="36" fillId="8" fontId="5" numFmtId="0" xfId="0" applyAlignment="1" applyBorder="1" applyFill="1" applyFont="1">
      <alignment readingOrder="0"/>
    </xf>
    <xf borderId="37" fillId="8" fontId="5" numFmtId="0" xfId="0" applyAlignment="1" applyBorder="1" applyFill="1" applyFont="1">
      <alignment readingOrder="0"/>
    </xf>
    <xf borderId="8" fillId="8" fontId="5" numFmtId="0" xfId="0" applyAlignment="1" applyBorder="1" applyFill="1" applyFont="1">
      <alignment readingOrder="0"/>
    </xf>
    <xf borderId="12" fillId="8" fontId="5" numFmtId="0" xfId="0" applyAlignment="1" applyBorder="1" applyFill="1" applyFont="1">
      <alignment readingOrder="0"/>
    </xf>
    <xf borderId="36" fillId="9" fontId="5" numFmtId="0" xfId="0" applyAlignment="1" applyBorder="1" applyFill="1" applyFont="1">
      <alignment readingOrder="0"/>
    </xf>
    <xf borderId="37" fillId="9" fontId="5" numFmtId="0" xfId="0" applyAlignment="1" applyBorder="1" applyFill="1" applyFont="1">
      <alignment readingOrder="0"/>
    </xf>
    <xf borderId="1" fillId="9" fontId="5" numFmtId="0" xfId="0" applyAlignment="1" applyBorder="1" applyFill="1" applyFont="1">
      <alignment readingOrder="0"/>
    </xf>
    <xf borderId="46" fillId="9" fontId="5" numFmtId="0" xfId="0" applyAlignment="1" applyBorder="1" applyFill="1" applyFont="1">
      <alignment horizontal="right" readingOrder="0"/>
    </xf>
    <xf borderId="46" fillId="9" fontId="5" numFmtId="14" xfId="0" applyBorder="1" applyFill="1" applyFont="1" applyNumberFormat="1"/>
    <xf borderId="44" fillId="9" fontId="5" numFmtId="0" xfId="0" applyAlignment="1" applyBorder="1" applyFill="1" applyFont="1">
      <alignment readingOrder="0"/>
    </xf>
    <xf borderId="44" fillId="8" fontId="5" numFmtId="0" xfId="0" applyAlignment="1" applyBorder="1" applyFill="1" applyFont="1">
      <alignment readingOrder="0"/>
    </xf>
    <xf borderId="15" fillId="9" fontId="5" numFmtId="0" xfId="0" applyAlignment="1" applyBorder="1" applyFill="1" applyFont="1">
      <alignment readingOrder="0"/>
    </xf>
    <xf borderId="17" fillId="9" fontId="5" numFmtId="0" xfId="0" applyAlignment="1" applyBorder="1" applyFill="1" applyFont="1">
      <alignment readingOrder="0"/>
    </xf>
    <xf borderId="15" fillId="9" fontId="5" numFmtId="165" xfId="0" applyBorder="1" applyFill="1" applyFont="1" applyNumberFormat="1"/>
    <xf borderId="15" fillId="9" fontId="5" numFmtId="0" xfId="0" applyBorder="1" applyFill="1" applyFont="1"/>
    <xf borderId="8" fillId="9" fontId="5" numFmtId="0" xfId="0" applyAlignment="1" applyBorder="1" applyFill="1" applyFont="1">
      <alignment horizontal="right" readingOrder="0"/>
    </xf>
    <xf borderId="8" fillId="9" fontId="5" numFmtId="14" xfId="0" applyBorder="1" applyFill="1" applyFont="1" applyNumberFormat="1"/>
    <xf borderId="12" fillId="9" fontId="5" numFmtId="0" xfId="0" applyAlignment="1" applyBorder="1" applyFill="1" applyFont="1">
      <alignment readingOrder="0"/>
    </xf>
    <xf borderId="50" fillId="8" fontId="5" numFmtId="0" xfId="0" applyAlignment="1" applyBorder="1" applyFill="1" applyFont="1">
      <alignment horizontal="right" readingOrder="0"/>
    </xf>
    <xf borderId="36" fillId="8" fontId="5" numFmtId="14" xfId="0" applyBorder="1" applyFill="1" applyFont="1" applyNumberFormat="1"/>
    <xf borderId="51" fillId="8" fontId="5" numFmtId="0" xfId="0" applyAlignment="1" applyBorder="1" applyFill="1" applyFont="1">
      <alignment horizontal="right" readingOrder="0"/>
    </xf>
    <xf borderId="7" fillId="8" fontId="5" numFmtId="14" xfId="0" applyBorder="1" applyFill="1" applyFont="1" applyNumberFormat="1"/>
    <xf borderId="0" fillId="0" fontId="8" numFmtId="166" xfId="0" applyFont="1" applyNumberFormat="1"/>
    <xf borderId="0" fillId="0" fontId="8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52" fillId="8" fontId="5" numFmtId="0" xfId="0" applyAlignment="1" applyBorder="1" applyFill="1" applyFont="1">
      <alignment horizontal="right" readingOrder="0"/>
    </xf>
    <xf borderId="46" fillId="8" fontId="5" numFmtId="14" xfId="0" applyBorder="1" applyFill="1" applyFont="1" applyNumberFormat="1"/>
    <xf borderId="37" fillId="13" fontId="5" numFmtId="0" xfId="0" applyAlignment="1" applyBorder="1" applyFill="1" applyFont="1">
      <alignment readingOrder="0"/>
    </xf>
    <xf borderId="1" fillId="13" fontId="5" numFmtId="0" xfId="0" applyAlignment="1" applyBorder="1" applyFill="1" applyFont="1">
      <alignment readingOrder="0"/>
    </xf>
    <xf borderId="12" fillId="13" fontId="5" numFmtId="0" xfId="0" applyAlignment="1" applyBorder="1" applyFill="1" applyFont="1">
      <alignment readingOrder="0"/>
    </xf>
    <xf borderId="8" fillId="13" fontId="5" numFmtId="165" xfId="0" applyAlignment="1" applyBorder="1" applyFill="1" applyFont="1" applyNumberFormat="1">
      <alignment readingOrder="0"/>
    </xf>
    <xf borderId="37" fillId="12" fontId="5" numFmtId="0" xfId="0" applyAlignment="1" applyBorder="1" applyFill="1" applyFont="1">
      <alignment readingOrder="0"/>
    </xf>
    <xf borderId="1" fillId="12" fontId="5" numFmtId="0" xfId="0" applyAlignment="1" applyBorder="1" applyFill="1" applyFont="1">
      <alignment readingOrder="0"/>
    </xf>
    <xf borderId="12" fillId="12" fontId="5" numFmtId="0" xfId="0" applyAlignment="1" applyBorder="1" applyFill="1" applyFont="1">
      <alignment readingOrder="0"/>
    </xf>
    <xf borderId="48" fillId="12" fontId="5" numFmtId="165" xfId="0" applyBorder="1" applyFill="1" applyFont="1" applyNumberFormat="1"/>
    <xf borderId="37" fillId="12" fontId="5" numFmtId="0" xfId="0" applyBorder="1" applyFill="1" applyFont="1"/>
    <xf borderId="1" fillId="12" fontId="5" numFmtId="0" xfId="0" applyBorder="1" applyFill="1" applyFont="1"/>
    <xf borderId="44" fillId="12" fontId="5" numFmtId="0" xfId="0" applyBorder="1" applyFill="1" applyFont="1"/>
    <xf borderId="37" fillId="9" fontId="5" numFmtId="0" xfId="0" applyBorder="1" applyFill="1" applyFont="1"/>
    <xf borderId="44" fillId="9" fontId="5" numFmtId="0" xfId="0" applyBorder="1" applyFill="1" applyFont="1"/>
    <xf borderId="13" fillId="8" fontId="5" numFmtId="0" xfId="0" applyAlignment="1" applyBorder="1" applyFill="1" applyFont="1">
      <alignment horizontal="right" readingOrder="0"/>
    </xf>
    <xf borderId="17" fillId="8" fontId="5" numFmtId="0" xfId="0" applyAlignment="1" applyBorder="1" applyFill="1" applyFont="1">
      <alignment readingOrder="0"/>
    </xf>
    <xf borderId="15" fillId="8" fontId="5" numFmtId="165" xfId="0" applyBorder="1" applyFill="1" applyFont="1" applyNumberFormat="1"/>
    <xf borderId="15" fillId="8" fontId="5" numFmtId="0" xfId="0" applyAlignment="1" applyBorder="1" applyFill="1" applyFont="1">
      <alignment horizontal="right" readingOrder="0"/>
    </xf>
    <xf borderId="15" fillId="8" fontId="5" numFmtId="14" xfId="0" applyBorder="1" applyFill="1" applyFont="1" applyNumberFormat="1"/>
    <xf borderId="15" fillId="9" fontId="5" numFmtId="0" xfId="0" applyAlignment="1" applyBorder="1" applyFill="1" applyFont="1">
      <alignment horizontal="right" readingOrder="0"/>
    </xf>
    <xf borderId="15" fillId="9" fontId="5" numFmtId="14" xfId="0" applyBorder="1" applyFill="1" applyFont="1" applyNumberFormat="1"/>
    <xf borderId="8" fillId="12" fontId="5" numFmtId="0" xfId="0" applyAlignment="1" applyBorder="1" applyFill="1" applyFont="1">
      <alignment horizontal="right" readingOrder="0"/>
    </xf>
    <xf borderId="8" fillId="12" fontId="5" numFmtId="14" xfId="0" applyBorder="1" applyFill="1" applyFont="1" applyNumberFormat="1"/>
    <xf borderId="15" fillId="12" fontId="5" numFmtId="0" xfId="0" applyAlignment="1" applyBorder="1" applyFill="1" applyFont="1">
      <alignment horizontal="right" readingOrder="0"/>
    </xf>
    <xf borderId="15" fillId="12" fontId="5" numFmtId="14" xfId="0" applyBorder="1" applyFill="1" applyFont="1" applyNumberFormat="1"/>
    <xf borderId="7" fillId="0" fontId="5" numFmtId="0" xfId="0" applyBorder="1" applyFont="1"/>
    <xf borderId="1" fillId="6" fontId="5" numFmtId="0" xfId="0" applyBorder="1" applyFill="1" applyFont="1"/>
    <xf borderId="1" fillId="6" fontId="5" numFmtId="0" xfId="0" applyAlignment="1" applyBorder="1" applyFill="1" applyFont="1">
      <alignment readingOrder="0"/>
    </xf>
    <xf borderId="7" fillId="0" fontId="5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4" width="6.44"/>
    <col customWidth="1" min="5" max="5" width="10.56"/>
    <col customWidth="1" min="6" max="6" width="11.78"/>
    <col customWidth="1" min="7" max="7" width="6.56"/>
    <col customWidth="1" min="8" max="8" width="3.67"/>
    <col customWidth="1" min="9" max="9" width="5.67"/>
    <col customWidth="1" min="10" max="15" width="3.67"/>
    <col customWidth="1" min="16" max="16" width="5.67"/>
    <col customWidth="1" min="17" max="17" width="3.67"/>
    <col customWidth="1" min="18" max="18" width="6.0"/>
    <col customWidth="1" min="19" max="38" width="3.67"/>
    <col customWidth="1" min="39" max="39" width="10.78"/>
    <col customWidth="1" min="40" max="40" width="12.33"/>
    <col customWidth="1" min="41" max="41" width="8.0"/>
    <col customWidth="1" min="42" max="42" width="11.44"/>
    <col customWidth="1" min="43" max="43" width="8.0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3"/>
      <c r="O1" s="5" t="s">
        <v>2</v>
      </c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6" t="s">
        <v>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7" t="s">
        <v>4</v>
      </c>
      <c r="AN1" s="8"/>
      <c r="AO1" s="8"/>
      <c r="AP1" s="8"/>
      <c r="AQ1" s="9"/>
    </row>
    <row r="2" ht="132.75" customHeight="1">
      <c r="A2" s="10" t="s">
        <v>5</v>
      </c>
      <c r="B2" s="11" t="s">
        <v>6</v>
      </c>
      <c r="C2" s="11" t="s">
        <v>7</v>
      </c>
      <c r="D2" s="11"/>
      <c r="E2" s="11" t="s">
        <v>8</v>
      </c>
      <c r="F2" s="11" t="s">
        <v>9</v>
      </c>
      <c r="G2" s="12" t="s">
        <v>10</v>
      </c>
      <c r="H2" s="13">
        <f>31.86+1</f>
        <v>32.86</v>
      </c>
      <c r="I2" s="14" t="s">
        <v>11</v>
      </c>
      <c r="J2" s="13">
        <f>35.3+1</f>
        <v>36.3</v>
      </c>
      <c r="K2" s="14" t="s">
        <v>12</v>
      </c>
      <c r="L2" s="13">
        <f>35.3+1</f>
        <v>36.3</v>
      </c>
      <c r="M2" s="15" t="s">
        <v>13</v>
      </c>
      <c r="N2" s="13">
        <v>0.0</v>
      </c>
      <c r="O2" s="14" t="s">
        <v>10</v>
      </c>
      <c r="P2" s="13">
        <f>15.3 + 1</f>
        <v>16.3</v>
      </c>
      <c r="Q2" s="14" t="s">
        <v>11</v>
      </c>
      <c r="R2" s="13">
        <f>18.74+1</f>
        <v>19.74</v>
      </c>
      <c r="S2" s="14" t="s">
        <v>12</v>
      </c>
      <c r="T2" s="13">
        <f>18.74+1</f>
        <v>19.74</v>
      </c>
      <c r="U2" s="15" t="s">
        <v>14</v>
      </c>
      <c r="V2" s="13">
        <f>18.74+1</f>
        <v>19.74</v>
      </c>
      <c r="W2" s="16" t="s">
        <v>15</v>
      </c>
      <c r="X2" s="16">
        <v>0.0</v>
      </c>
      <c r="Y2" s="16" t="s">
        <v>15</v>
      </c>
      <c r="Z2" s="16">
        <v>0.0</v>
      </c>
      <c r="AA2" s="16" t="s">
        <v>15</v>
      </c>
      <c r="AB2" s="16">
        <v>0.0</v>
      </c>
      <c r="AC2" s="16" t="s">
        <v>15</v>
      </c>
      <c r="AD2" s="16">
        <v>0.0</v>
      </c>
      <c r="AE2" s="16" t="s">
        <v>15</v>
      </c>
      <c r="AF2" s="16">
        <v>0.0</v>
      </c>
      <c r="AG2" s="16" t="s">
        <v>15</v>
      </c>
      <c r="AH2" s="16">
        <v>0.0</v>
      </c>
      <c r="AI2" s="16" t="s">
        <v>15</v>
      </c>
      <c r="AJ2" s="16">
        <v>0.0</v>
      </c>
      <c r="AK2" s="16" t="s">
        <v>15</v>
      </c>
      <c r="AL2" s="16">
        <v>0.0</v>
      </c>
      <c r="AM2" s="17" t="s">
        <v>16</v>
      </c>
      <c r="AN2" s="17" t="s">
        <v>17</v>
      </c>
      <c r="AO2" s="17" t="s">
        <v>18</v>
      </c>
      <c r="AP2" s="17" t="s">
        <v>19</v>
      </c>
      <c r="AQ2" s="17" t="s">
        <v>20</v>
      </c>
    </row>
    <row r="3" ht="15.75" customHeight="1">
      <c r="A3" s="18" t="s">
        <v>21</v>
      </c>
      <c r="B3" s="19">
        <v>44928.0</v>
      </c>
      <c r="C3" s="20">
        <v>1.0</v>
      </c>
      <c r="D3" s="20"/>
      <c r="E3" s="21" t="s">
        <v>22</v>
      </c>
      <c r="F3" s="22"/>
      <c r="G3" s="28">
        <v>0.0</v>
      </c>
      <c r="I3" s="29">
        <v>0.0</v>
      </c>
      <c r="K3" s="29">
        <v>0.0</v>
      </c>
      <c r="M3" s="29">
        <v>0.0</v>
      </c>
      <c r="O3" s="28">
        <v>0.0</v>
      </c>
      <c r="Q3" s="29">
        <v>0.0</v>
      </c>
      <c r="S3" s="29">
        <v>0.0</v>
      </c>
      <c r="U3" s="29"/>
      <c r="W3" s="30"/>
      <c r="Y3" s="30"/>
      <c r="Z3" s="26"/>
      <c r="AA3" s="31"/>
      <c r="AC3" s="30"/>
      <c r="AE3" s="30"/>
      <c r="AG3" s="30"/>
      <c r="AI3" s="30"/>
      <c r="AK3" s="30"/>
      <c r="AL3" s="26"/>
      <c r="AM3" s="32">
        <f t="shared" ref="AM3:AM359" si="1">(G3*H$2)+(I3*J$2)+(K3*L$2)+(O3*P$2)+(Q3*R$2)+(S3*T$2)+(U3*V$2)+(W3*X$2)+(Y3*Z$2)+(AA3*AB$2)+(AC3*AD$2)+(AE3*AF$2)+(AG3*AH$2)+(AI3*AJ$2)+(AK3*AL$2)</f>
        <v>0</v>
      </c>
      <c r="AN3" s="20">
        <f t="shared" ref="AN3:AN359" si="2">sum(G3,I3,K3,M3,O3,Q3,S3)</f>
        <v>0</v>
      </c>
      <c r="AO3" s="20">
        <f t="shared" ref="AO3:AO359" si="3">0</f>
        <v>0</v>
      </c>
      <c r="AP3" s="20">
        <f t="shared" ref="AP3:AP359" si="4">sum(G3:AL3)</f>
        <v>0</v>
      </c>
      <c r="AQ3" s="33" t="str">
        <f t="shared" ref="AQ3:AQ359" si="5">iferror(AM3/AP3,"")</f>
        <v/>
      </c>
    </row>
    <row r="4" ht="15.75" customHeight="1">
      <c r="A4" s="34" t="s">
        <v>23</v>
      </c>
      <c r="B4" s="35">
        <f t="shared" ref="B4:B359" si="6">B3+1</f>
        <v>44929</v>
      </c>
      <c r="C4" s="36">
        <v>1.0</v>
      </c>
      <c r="D4" s="36"/>
      <c r="E4" s="37" t="s">
        <v>22</v>
      </c>
      <c r="F4" s="38"/>
      <c r="G4" s="28">
        <v>0.0</v>
      </c>
      <c r="I4" s="29">
        <v>0.0</v>
      </c>
      <c r="K4" s="29">
        <v>0.0</v>
      </c>
      <c r="M4" s="29">
        <v>0.0</v>
      </c>
      <c r="O4" s="28">
        <v>0.0</v>
      </c>
      <c r="Q4" s="29">
        <v>0.0</v>
      </c>
      <c r="S4" s="29">
        <v>0.0</v>
      </c>
      <c r="U4" s="29"/>
      <c r="W4" s="30"/>
      <c r="Y4" s="30"/>
      <c r="Z4" s="26"/>
      <c r="AA4" s="31"/>
      <c r="AC4" s="30"/>
      <c r="AE4" s="30"/>
      <c r="AG4" s="30"/>
      <c r="AI4" s="30"/>
      <c r="AK4" s="30"/>
      <c r="AL4" s="26"/>
      <c r="AM4" s="39">
        <f t="shared" si="1"/>
        <v>0</v>
      </c>
      <c r="AN4" s="36">
        <f t="shared" si="2"/>
        <v>0</v>
      </c>
      <c r="AO4" s="36">
        <f t="shared" si="3"/>
        <v>0</v>
      </c>
      <c r="AP4" s="36">
        <f t="shared" si="4"/>
        <v>0</v>
      </c>
      <c r="AQ4" s="40" t="str">
        <f t="shared" si="5"/>
        <v/>
      </c>
    </row>
    <row r="5" ht="15.75" customHeight="1">
      <c r="A5" s="34" t="s">
        <v>24</v>
      </c>
      <c r="B5" s="35">
        <f t="shared" si="6"/>
        <v>44930</v>
      </c>
      <c r="C5" s="36">
        <v>1.0</v>
      </c>
      <c r="D5" s="36"/>
      <c r="E5" s="37" t="s">
        <v>22</v>
      </c>
      <c r="F5" s="38"/>
      <c r="G5" s="28">
        <v>0.0</v>
      </c>
      <c r="I5" s="29">
        <v>0.0</v>
      </c>
      <c r="K5" s="29">
        <v>0.0</v>
      </c>
      <c r="M5" s="29">
        <v>0.0</v>
      </c>
      <c r="O5" s="28">
        <v>0.0</v>
      </c>
      <c r="Q5" s="29">
        <v>0.0</v>
      </c>
      <c r="S5" s="29">
        <v>0.0</v>
      </c>
      <c r="U5" s="29"/>
      <c r="W5" s="30"/>
      <c r="Y5" s="30"/>
      <c r="Z5" s="26"/>
      <c r="AA5" s="31"/>
      <c r="AC5" s="30"/>
      <c r="AE5" s="30"/>
      <c r="AG5" s="30"/>
      <c r="AI5" s="30"/>
      <c r="AK5" s="30"/>
      <c r="AL5" s="26"/>
      <c r="AM5" s="39">
        <f t="shared" si="1"/>
        <v>0</v>
      </c>
      <c r="AN5" s="36">
        <f t="shared" si="2"/>
        <v>0</v>
      </c>
      <c r="AO5" s="36">
        <f t="shared" si="3"/>
        <v>0</v>
      </c>
      <c r="AP5" s="36">
        <f t="shared" si="4"/>
        <v>0</v>
      </c>
      <c r="AQ5" s="40" t="str">
        <f t="shared" si="5"/>
        <v/>
      </c>
    </row>
    <row r="6" ht="15.75" customHeight="1">
      <c r="A6" s="34" t="s">
        <v>25</v>
      </c>
      <c r="B6" s="35">
        <f t="shared" si="6"/>
        <v>44931</v>
      </c>
      <c r="C6" s="36">
        <v>1.0</v>
      </c>
      <c r="D6" s="36"/>
      <c r="E6" s="37" t="s">
        <v>22</v>
      </c>
      <c r="F6" s="38"/>
      <c r="G6" s="28">
        <v>0.0</v>
      </c>
      <c r="I6" s="29">
        <v>0.0</v>
      </c>
      <c r="K6" s="29">
        <v>0.0</v>
      </c>
      <c r="M6" s="29">
        <v>0.0</v>
      </c>
      <c r="O6" s="28">
        <v>0.0</v>
      </c>
      <c r="Q6" s="29">
        <v>0.0</v>
      </c>
      <c r="S6" s="29">
        <v>0.0</v>
      </c>
      <c r="U6" s="29"/>
      <c r="W6" s="30"/>
      <c r="Y6" s="30"/>
      <c r="Z6" s="26"/>
      <c r="AA6" s="31"/>
      <c r="AC6" s="30"/>
      <c r="AE6" s="30"/>
      <c r="AG6" s="30"/>
      <c r="AI6" s="30"/>
      <c r="AK6" s="30"/>
      <c r="AL6" s="26"/>
      <c r="AM6" s="39">
        <f t="shared" si="1"/>
        <v>0</v>
      </c>
      <c r="AN6" s="36">
        <f t="shared" si="2"/>
        <v>0</v>
      </c>
      <c r="AO6" s="36">
        <f t="shared" si="3"/>
        <v>0</v>
      </c>
      <c r="AP6" s="36">
        <f t="shared" si="4"/>
        <v>0</v>
      </c>
      <c r="AQ6" s="40" t="str">
        <f t="shared" si="5"/>
        <v/>
      </c>
    </row>
    <row r="7" ht="15.75" customHeight="1">
      <c r="A7" s="34" t="s">
        <v>26</v>
      </c>
      <c r="B7" s="35">
        <f t="shared" si="6"/>
        <v>44932</v>
      </c>
      <c r="C7" s="36">
        <v>1.0</v>
      </c>
      <c r="D7" s="36"/>
      <c r="E7" s="37" t="s">
        <v>22</v>
      </c>
      <c r="F7" s="38"/>
      <c r="G7" s="28">
        <v>0.0</v>
      </c>
      <c r="I7" s="29">
        <v>0.0</v>
      </c>
      <c r="K7" s="29">
        <v>0.0</v>
      </c>
      <c r="M7" s="29">
        <v>0.0</v>
      </c>
      <c r="O7" s="28">
        <v>0.0</v>
      </c>
      <c r="Q7" s="29">
        <v>0.0</v>
      </c>
      <c r="S7" s="29">
        <v>0.0</v>
      </c>
      <c r="U7" s="29"/>
      <c r="W7" s="30"/>
      <c r="Y7" s="30"/>
      <c r="Z7" s="26"/>
      <c r="AA7" s="31"/>
      <c r="AC7" s="30"/>
      <c r="AE7" s="30"/>
      <c r="AG7" s="30"/>
      <c r="AI7" s="30"/>
      <c r="AK7" s="30"/>
      <c r="AL7" s="26"/>
      <c r="AM7" s="39">
        <f t="shared" si="1"/>
        <v>0</v>
      </c>
      <c r="AN7" s="36">
        <f t="shared" si="2"/>
        <v>0</v>
      </c>
      <c r="AO7" s="36">
        <f t="shared" si="3"/>
        <v>0</v>
      </c>
      <c r="AP7" s="36">
        <f t="shared" si="4"/>
        <v>0</v>
      </c>
      <c r="AQ7" s="40" t="str">
        <f t="shared" si="5"/>
        <v/>
      </c>
    </row>
    <row r="8" ht="15.75" customHeight="1">
      <c r="A8" s="34" t="s">
        <v>27</v>
      </c>
      <c r="B8" s="35">
        <f t="shared" si="6"/>
        <v>44933</v>
      </c>
      <c r="C8" s="36">
        <v>1.0</v>
      </c>
      <c r="D8" s="36"/>
      <c r="E8" s="37" t="s">
        <v>22</v>
      </c>
      <c r="F8" s="38"/>
      <c r="G8" s="28">
        <v>0.0</v>
      </c>
      <c r="I8" s="29">
        <v>0.0</v>
      </c>
      <c r="K8" s="29">
        <v>0.0</v>
      </c>
      <c r="M8" s="29">
        <v>0.0</v>
      </c>
      <c r="O8" s="28">
        <v>0.0</v>
      </c>
      <c r="Q8" s="29">
        <v>0.0</v>
      </c>
      <c r="S8" s="29">
        <v>0.0</v>
      </c>
      <c r="U8" s="29"/>
      <c r="W8" s="30"/>
      <c r="Y8" s="30"/>
      <c r="Z8" s="26"/>
      <c r="AA8" s="31"/>
      <c r="AC8" s="30"/>
      <c r="AE8" s="30"/>
      <c r="AG8" s="30"/>
      <c r="AI8" s="30"/>
      <c r="AK8" s="30"/>
      <c r="AL8" s="26"/>
      <c r="AM8" s="39">
        <f t="shared" si="1"/>
        <v>0</v>
      </c>
      <c r="AN8" s="36">
        <f t="shared" si="2"/>
        <v>0</v>
      </c>
      <c r="AO8" s="36">
        <f t="shared" si="3"/>
        <v>0</v>
      </c>
      <c r="AP8" s="36">
        <f t="shared" si="4"/>
        <v>0</v>
      </c>
      <c r="AQ8" s="40" t="str">
        <f t="shared" si="5"/>
        <v/>
      </c>
    </row>
    <row r="9" ht="15.75" customHeight="1">
      <c r="A9" s="46" t="s">
        <v>28</v>
      </c>
      <c r="B9" s="47">
        <f t="shared" si="6"/>
        <v>44934</v>
      </c>
      <c r="C9" s="49">
        <v>1.0</v>
      </c>
      <c r="D9" s="49"/>
      <c r="E9" s="50" t="s">
        <v>22</v>
      </c>
      <c r="F9" s="52"/>
      <c r="G9" s="28">
        <v>0.0</v>
      </c>
      <c r="I9" s="29">
        <v>0.0</v>
      </c>
      <c r="K9" s="29">
        <v>0.0</v>
      </c>
      <c r="M9" s="29">
        <v>0.0</v>
      </c>
      <c r="O9" s="61">
        <v>0.0</v>
      </c>
      <c r="P9" s="55"/>
      <c r="Q9" s="62">
        <v>0.0</v>
      </c>
      <c r="R9" s="55"/>
      <c r="S9" s="62">
        <v>0.0</v>
      </c>
      <c r="T9" s="55"/>
      <c r="U9" s="62"/>
      <c r="V9" s="55"/>
      <c r="W9" s="65"/>
      <c r="X9" s="55"/>
      <c r="Y9" s="65"/>
      <c r="Z9" s="58"/>
      <c r="AA9" s="67"/>
      <c r="AB9" s="55"/>
      <c r="AC9" s="65"/>
      <c r="AD9" s="55"/>
      <c r="AE9" s="65"/>
      <c r="AF9" s="55"/>
      <c r="AG9" s="65"/>
      <c r="AH9" s="55"/>
      <c r="AI9" s="65"/>
      <c r="AJ9" s="55"/>
      <c r="AK9" s="65"/>
      <c r="AL9" s="58"/>
      <c r="AM9" s="64">
        <f t="shared" si="1"/>
        <v>0</v>
      </c>
      <c r="AN9" s="49">
        <f t="shared" si="2"/>
        <v>0</v>
      </c>
      <c r="AO9" s="49">
        <f t="shared" si="3"/>
        <v>0</v>
      </c>
      <c r="AP9" s="49">
        <f t="shared" si="4"/>
        <v>0</v>
      </c>
      <c r="AQ9" s="66" t="str">
        <f t="shared" si="5"/>
        <v/>
      </c>
    </row>
    <row r="10" ht="15.75" customHeight="1">
      <c r="A10" s="18" t="s">
        <v>21</v>
      </c>
      <c r="B10" s="68">
        <f t="shared" si="6"/>
        <v>44935</v>
      </c>
      <c r="C10" s="20">
        <v>1.0</v>
      </c>
      <c r="D10" s="20"/>
      <c r="E10" s="20" t="s">
        <v>34</v>
      </c>
      <c r="F10" s="22"/>
      <c r="G10" s="81">
        <v>0.0</v>
      </c>
      <c r="H10" s="71"/>
      <c r="I10" s="82">
        <v>0.0</v>
      </c>
      <c r="J10" s="71"/>
      <c r="K10" s="82">
        <v>0.0</v>
      </c>
      <c r="L10" s="71"/>
      <c r="M10" s="82">
        <v>0.0</v>
      </c>
      <c r="N10" s="73"/>
      <c r="O10" s="28">
        <v>65.0</v>
      </c>
      <c r="Q10" s="29">
        <v>65.0</v>
      </c>
      <c r="S10" s="29">
        <v>0.0</v>
      </c>
      <c r="U10" s="29"/>
      <c r="W10" s="30"/>
      <c r="Y10" s="30"/>
      <c r="Z10" s="26"/>
      <c r="AA10" s="31"/>
      <c r="AC10" s="30"/>
      <c r="AE10" s="30"/>
      <c r="AG10" s="30"/>
      <c r="AI10" s="30"/>
      <c r="AK10" s="30"/>
      <c r="AL10" s="26"/>
      <c r="AM10" s="32">
        <f t="shared" si="1"/>
        <v>2342.6</v>
      </c>
      <c r="AN10" s="20">
        <f t="shared" si="2"/>
        <v>130</v>
      </c>
      <c r="AO10" s="20">
        <f t="shared" si="3"/>
        <v>0</v>
      </c>
      <c r="AP10" s="20">
        <f t="shared" si="4"/>
        <v>130</v>
      </c>
      <c r="AQ10" s="33">
        <f t="shared" si="5"/>
        <v>18.02</v>
      </c>
    </row>
    <row r="11" ht="15.75" customHeight="1">
      <c r="A11" s="34" t="s">
        <v>23</v>
      </c>
      <c r="B11" s="35">
        <f t="shared" si="6"/>
        <v>44936</v>
      </c>
      <c r="C11" s="36">
        <v>1.0</v>
      </c>
      <c r="D11" s="36"/>
      <c r="E11" s="36" t="s">
        <v>34</v>
      </c>
      <c r="F11" s="38"/>
      <c r="G11" s="28">
        <v>0.0</v>
      </c>
      <c r="I11" s="29">
        <v>0.0</v>
      </c>
      <c r="K11" s="29">
        <v>0.0</v>
      </c>
      <c r="M11" s="29">
        <v>0.0</v>
      </c>
      <c r="N11" s="26"/>
      <c r="O11" s="28">
        <v>65.0</v>
      </c>
      <c r="Q11" s="29">
        <v>65.0</v>
      </c>
      <c r="S11" s="29">
        <v>0.0</v>
      </c>
      <c r="U11" s="29"/>
      <c r="W11" s="30"/>
      <c r="Y11" s="30"/>
      <c r="Z11" s="26"/>
      <c r="AA11" s="31"/>
      <c r="AC11" s="30"/>
      <c r="AE11" s="30"/>
      <c r="AG11" s="30"/>
      <c r="AI11" s="30"/>
      <c r="AK11" s="30"/>
      <c r="AL11" s="26"/>
      <c r="AM11" s="39">
        <f t="shared" si="1"/>
        <v>2342.6</v>
      </c>
      <c r="AN11" s="36">
        <f t="shared" si="2"/>
        <v>130</v>
      </c>
      <c r="AO11" s="36">
        <f t="shared" si="3"/>
        <v>0</v>
      </c>
      <c r="AP11" s="36">
        <f t="shared" si="4"/>
        <v>130</v>
      </c>
      <c r="AQ11" s="40">
        <f t="shared" si="5"/>
        <v>18.02</v>
      </c>
    </row>
    <row r="12" ht="15.75" customHeight="1">
      <c r="A12" s="34" t="s">
        <v>24</v>
      </c>
      <c r="B12" s="35">
        <f t="shared" si="6"/>
        <v>44937</v>
      </c>
      <c r="C12" s="36">
        <v>1.0</v>
      </c>
      <c r="D12" s="36"/>
      <c r="E12" s="36" t="s">
        <v>34</v>
      </c>
      <c r="F12" s="86" t="s">
        <v>35</v>
      </c>
      <c r="G12" s="28">
        <v>0.0</v>
      </c>
      <c r="I12" s="29">
        <v>0.0</v>
      </c>
      <c r="K12" s="29">
        <v>0.0</v>
      </c>
      <c r="M12" s="29">
        <v>0.0</v>
      </c>
      <c r="N12" s="26"/>
      <c r="O12" s="28">
        <v>65.0</v>
      </c>
      <c r="Q12" s="29">
        <v>65.0</v>
      </c>
      <c r="S12" s="29">
        <v>0.0</v>
      </c>
      <c r="U12" s="29"/>
      <c r="W12" s="30"/>
      <c r="Y12" s="30"/>
      <c r="Z12" s="26"/>
      <c r="AA12" s="31"/>
      <c r="AC12" s="30"/>
      <c r="AE12" s="30"/>
      <c r="AG12" s="30"/>
      <c r="AI12" s="30"/>
      <c r="AK12" s="30"/>
      <c r="AL12" s="26"/>
      <c r="AM12" s="39">
        <f t="shared" si="1"/>
        <v>2342.6</v>
      </c>
      <c r="AN12" s="36">
        <f t="shared" si="2"/>
        <v>130</v>
      </c>
      <c r="AO12" s="36">
        <f t="shared" si="3"/>
        <v>0</v>
      </c>
      <c r="AP12" s="36">
        <f t="shared" si="4"/>
        <v>130</v>
      </c>
      <c r="AQ12" s="40">
        <f t="shared" si="5"/>
        <v>18.02</v>
      </c>
    </row>
    <row r="13" ht="15.75" customHeight="1">
      <c r="A13" s="34" t="s">
        <v>25</v>
      </c>
      <c r="B13" s="35">
        <f t="shared" si="6"/>
        <v>44938</v>
      </c>
      <c r="C13" s="36">
        <v>1.0</v>
      </c>
      <c r="D13" s="36"/>
      <c r="E13" s="36" t="s">
        <v>34</v>
      </c>
      <c r="F13" s="38"/>
      <c r="G13" s="28">
        <v>0.0</v>
      </c>
      <c r="I13" s="29">
        <v>0.0</v>
      </c>
      <c r="K13" s="29">
        <v>0.0</v>
      </c>
      <c r="M13" s="29">
        <v>0.0</v>
      </c>
      <c r="N13" s="26"/>
      <c r="O13" s="28">
        <v>65.0</v>
      </c>
      <c r="Q13" s="29">
        <v>65.0</v>
      </c>
      <c r="S13" s="29">
        <v>0.0</v>
      </c>
      <c r="U13" s="29"/>
      <c r="W13" s="30"/>
      <c r="Y13" s="30"/>
      <c r="Z13" s="26"/>
      <c r="AA13" s="31"/>
      <c r="AC13" s="30"/>
      <c r="AE13" s="30"/>
      <c r="AG13" s="30"/>
      <c r="AI13" s="30"/>
      <c r="AK13" s="30"/>
      <c r="AL13" s="26"/>
      <c r="AM13" s="39">
        <f t="shared" si="1"/>
        <v>2342.6</v>
      </c>
      <c r="AN13" s="36">
        <f t="shared" si="2"/>
        <v>130</v>
      </c>
      <c r="AO13" s="36">
        <f t="shared" si="3"/>
        <v>0</v>
      </c>
      <c r="AP13" s="36">
        <f t="shared" si="4"/>
        <v>130</v>
      </c>
      <c r="AQ13" s="40">
        <f t="shared" si="5"/>
        <v>18.02</v>
      </c>
    </row>
    <row r="14" ht="15.75" customHeight="1">
      <c r="A14" s="34" t="s">
        <v>26</v>
      </c>
      <c r="B14" s="35">
        <f t="shared" si="6"/>
        <v>44939</v>
      </c>
      <c r="C14" s="36">
        <v>1.0</v>
      </c>
      <c r="D14" s="36"/>
      <c r="E14" s="36" t="s">
        <v>34</v>
      </c>
      <c r="F14" s="38"/>
      <c r="G14" s="28">
        <v>0.0</v>
      </c>
      <c r="I14" s="29">
        <v>0.0</v>
      </c>
      <c r="K14" s="29">
        <v>0.0</v>
      </c>
      <c r="M14" s="29">
        <v>0.0</v>
      </c>
      <c r="N14" s="26"/>
      <c r="O14" s="28">
        <v>65.0</v>
      </c>
      <c r="Q14" s="29">
        <v>65.0</v>
      </c>
      <c r="S14" s="29">
        <v>0.0</v>
      </c>
      <c r="U14" s="29"/>
      <c r="W14" s="30"/>
      <c r="Y14" s="30"/>
      <c r="Z14" s="26"/>
      <c r="AA14" s="31"/>
      <c r="AC14" s="30"/>
      <c r="AE14" s="30"/>
      <c r="AG14" s="30"/>
      <c r="AI14" s="30"/>
      <c r="AK14" s="30"/>
      <c r="AL14" s="26"/>
      <c r="AM14" s="39">
        <f t="shared" si="1"/>
        <v>2342.6</v>
      </c>
      <c r="AN14" s="36">
        <f t="shared" si="2"/>
        <v>130</v>
      </c>
      <c r="AO14" s="36">
        <f t="shared" si="3"/>
        <v>0</v>
      </c>
      <c r="AP14" s="36">
        <f t="shared" si="4"/>
        <v>130</v>
      </c>
      <c r="AQ14" s="40">
        <f t="shared" si="5"/>
        <v>18.02</v>
      </c>
    </row>
    <row r="15" ht="15.75" customHeight="1">
      <c r="A15" s="34" t="s">
        <v>27</v>
      </c>
      <c r="B15" s="35">
        <f t="shared" si="6"/>
        <v>44940</v>
      </c>
      <c r="C15" s="36">
        <v>1.0</v>
      </c>
      <c r="D15" s="36"/>
      <c r="E15" s="36" t="s">
        <v>34</v>
      </c>
      <c r="F15" s="38"/>
      <c r="G15" s="28">
        <v>0.0</v>
      </c>
      <c r="I15" s="29">
        <v>0.0</v>
      </c>
      <c r="K15" s="29">
        <v>0.0</v>
      </c>
      <c r="M15" s="29">
        <v>0.0</v>
      </c>
      <c r="N15" s="26"/>
      <c r="O15" s="28">
        <v>0.0</v>
      </c>
      <c r="Q15" s="29">
        <v>0.0</v>
      </c>
      <c r="S15" s="29">
        <v>0.0</v>
      </c>
      <c r="U15" s="29"/>
      <c r="W15" s="30"/>
      <c r="Y15" s="30"/>
      <c r="Z15" s="26"/>
      <c r="AA15" s="31"/>
      <c r="AC15" s="30"/>
      <c r="AE15" s="30"/>
      <c r="AG15" s="30"/>
      <c r="AI15" s="30"/>
      <c r="AK15" s="30"/>
      <c r="AL15" s="26"/>
      <c r="AM15" s="39">
        <f t="shared" si="1"/>
        <v>0</v>
      </c>
      <c r="AN15" s="36">
        <f t="shared" si="2"/>
        <v>0</v>
      </c>
      <c r="AO15" s="36">
        <f t="shared" si="3"/>
        <v>0</v>
      </c>
      <c r="AP15" s="36">
        <f t="shared" si="4"/>
        <v>0</v>
      </c>
      <c r="AQ15" s="40" t="str">
        <f t="shared" si="5"/>
        <v/>
      </c>
    </row>
    <row r="16" ht="15.75" customHeight="1">
      <c r="A16" s="46" t="s">
        <v>28</v>
      </c>
      <c r="B16" s="47">
        <f t="shared" si="6"/>
        <v>44941</v>
      </c>
      <c r="C16" s="49">
        <v>1.0</v>
      </c>
      <c r="D16" s="49"/>
      <c r="E16" s="49" t="s">
        <v>34</v>
      </c>
      <c r="F16" s="52"/>
      <c r="G16" s="61">
        <v>0.0</v>
      </c>
      <c r="H16" s="55"/>
      <c r="I16" s="62">
        <v>0.0</v>
      </c>
      <c r="J16" s="55"/>
      <c r="K16" s="62">
        <v>0.0</v>
      </c>
      <c r="L16" s="55"/>
      <c r="M16" s="62">
        <v>0.0</v>
      </c>
      <c r="N16" s="58"/>
      <c r="O16" s="61">
        <v>0.0</v>
      </c>
      <c r="P16" s="55"/>
      <c r="Q16" s="62">
        <v>0.0</v>
      </c>
      <c r="R16" s="55"/>
      <c r="S16" s="62">
        <v>0.0</v>
      </c>
      <c r="T16" s="55"/>
      <c r="U16" s="62"/>
      <c r="V16" s="55"/>
      <c r="W16" s="65"/>
      <c r="X16" s="55"/>
      <c r="Y16" s="65"/>
      <c r="Z16" s="58"/>
      <c r="AA16" s="67"/>
      <c r="AB16" s="55"/>
      <c r="AC16" s="65"/>
      <c r="AD16" s="55"/>
      <c r="AE16" s="65"/>
      <c r="AF16" s="55"/>
      <c r="AG16" s="65"/>
      <c r="AH16" s="55"/>
      <c r="AI16" s="65"/>
      <c r="AJ16" s="55"/>
      <c r="AK16" s="65"/>
      <c r="AL16" s="58"/>
      <c r="AM16" s="64">
        <f t="shared" si="1"/>
        <v>0</v>
      </c>
      <c r="AN16" s="49">
        <f t="shared" si="2"/>
        <v>0</v>
      </c>
      <c r="AO16" s="49">
        <f t="shared" si="3"/>
        <v>0</v>
      </c>
      <c r="AP16" s="49">
        <f t="shared" si="4"/>
        <v>0</v>
      </c>
      <c r="AQ16" s="66" t="str">
        <f t="shared" si="5"/>
        <v/>
      </c>
    </row>
    <row r="17" ht="15.75" customHeight="1">
      <c r="A17" s="18" t="s">
        <v>21</v>
      </c>
      <c r="B17" s="68">
        <f t="shared" si="6"/>
        <v>44942</v>
      </c>
      <c r="C17" s="20">
        <v>1.0</v>
      </c>
      <c r="D17" s="20"/>
      <c r="E17" s="20" t="s">
        <v>36</v>
      </c>
      <c r="F17" s="22"/>
      <c r="G17" s="28">
        <v>0.0</v>
      </c>
      <c r="I17" s="29">
        <v>0.0</v>
      </c>
      <c r="K17" s="29">
        <v>0.0</v>
      </c>
      <c r="M17" s="29">
        <v>0.0</v>
      </c>
      <c r="O17" s="28">
        <v>55.0</v>
      </c>
      <c r="Q17" s="29">
        <v>55.0</v>
      </c>
      <c r="S17" s="29">
        <v>0.0</v>
      </c>
      <c r="U17" s="29"/>
      <c r="W17" s="30"/>
      <c r="Y17" s="30"/>
      <c r="Z17" s="26"/>
      <c r="AA17" s="31"/>
      <c r="AC17" s="30"/>
      <c r="AE17" s="30"/>
      <c r="AG17" s="30"/>
      <c r="AI17" s="30"/>
      <c r="AK17" s="30"/>
      <c r="AL17" s="26"/>
      <c r="AM17" s="32">
        <f t="shared" si="1"/>
        <v>1982.2</v>
      </c>
      <c r="AN17" s="20">
        <f t="shared" si="2"/>
        <v>110</v>
      </c>
      <c r="AO17" s="20">
        <f t="shared" si="3"/>
        <v>0</v>
      </c>
      <c r="AP17" s="20">
        <f t="shared" si="4"/>
        <v>110</v>
      </c>
      <c r="AQ17" s="33">
        <f t="shared" si="5"/>
        <v>18.02</v>
      </c>
    </row>
    <row r="18" ht="15.75" customHeight="1">
      <c r="A18" s="34" t="s">
        <v>23</v>
      </c>
      <c r="B18" s="35">
        <f t="shared" si="6"/>
        <v>44943</v>
      </c>
      <c r="C18" s="36">
        <v>1.0</v>
      </c>
      <c r="D18" s="36"/>
      <c r="E18" s="36" t="s">
        <v>36</v>
      </c>
      <c r="F18" s="38"/>
      <c r="G18" s="28">
        <v>0.0</v>
      </c>
      <c r="I18" s="29">
        <v>0.0</v>
      </c>
      <c r="K18" s="29">
        <v>0.0</v>
      </c>
      <c r="M18" s="29">
        <v>0.0</v>
      </c>
      <c r="O18" s="28">
        <v>55.0</v>
      </c>
      <c r="Q18" s="29">
        <v>55.0</v>
      </c>
      <c r="S18" s="29">
        <v>0.0</v>
      </c>
      <c r="U18" s="29"/>
      <c r="W18" s="30"/>
      <c r="Y18" s="30"/>
      <c r="Z18" s="26"/>
      <c r="AA18" s="31"/>
      <c r="AC18" s="30"/>
      <c r="AE18" s="30"/>
      <c r="AG18" s="30"/>
      <c r="AI18" s="30"/>
      <c r="AK18" s="30"/>
      <c r="AL18" s="26"/>
      <c r="AM18" s="39">
        <f t="shared" si="1"/>
        <v>1982.2</v>
      </c>
      <c r="AN18" s="36">
        <f t="shared" si="2"/>
        <v>110</v>
      </c>
      <c r="AO18" s="36">
        <f t="shared" si="3"/>
        <v>0</v>
      </c>
      <c r="AP18" s="36">
        <f t="shared" si="4"/>
        <v>110</v>
      </c>
      <c r="AQ18" s="40">
        <f t="shared" si="5"/>
        <v>18.02</v>
      </c>
    </row>
    <row r="19" ht="15.75" customHeight="1">
      <c r="A19" s="34" t="s">
        <v>24</v>
      </c>
      <c r="B19" s="35">
        <f t="shared" si="6"/>
        <v>44944</v>
      </c>
      <c r="C19" s="36">
        <v>1.0</v>
      </c>
      <c r="D19" s="36"/>
      <c r="E19" s="36" t="s">
        <v>36</v>
      </c>
      <c r="F19" s="38"/>
      <c r="G19" s="28">
        <v>0.0</v>
      </c>
      <c r="I19" s="29">
        <v>0.0</v>
      </c>
      <c r="K19" s="29">
        <v>0.0</v>
      </c>
      <c r="M19" s="29">
        <v>0.0</v>
      </c>
      <c r="O19" s="28">
        <v>55.0</v>
      </c>
      <c r="Q19" s="29">
        <v>55.0</v>
      </c>
      <c r="S19" s="29">
        <v>0.0</v>
      </c>
      <c r="U19" s="29"/>
      <c r="W19" s="30"/>
      <c r="Y19" s="30"/>
      <c r="Z19" s="26"/>
      <c r="AA19" s="31"/>
      <c r="AC19" s="30"/>
      <c r="AE19" s="30"/>
      <c r="AG19" s="30"/>
      <c r="AI19" s="30"/>
      <c r="AK19" s="30"/>
      <c r="AL19" s="26"/>
      <c r="AM19" s="39">
        <f t="shared" si="1"/>
        <v>1982.2</v>
      </c>
      <c r="AN19" s="36">
        <f t="shared" si="2"/>
        <v>110</v>
      </c>
      <c r="AO19" s="36">
        <f t="shared" si="3"/>
        <v>0</v>
      </c>
      <c r="AP19" s="36">
        <f t="shared" si="4"/>
        <v>110</v>
      </c>
      <c r="AQ19" s="40">
        <f t="shared" si="5"/>
        <v>18.02</v>
      </c>
    </row>
    <row r="20" ht="15.75" customHeight="1">
      <c r="A20" s="34" t="s">
        <v>25</v>
      </c>
      <c r="B20" s="35">
        <f t="shared" si="6"/>
        <v>44945</v>
      </c>
      <c r="C20" s="36">
        <v>1.0</v>
      </c>
      <c r="D20" s="36"/>
      <c r="E20" s="36" t="s">
        <v>36</v>
      </c>
      <c r="F20" s="38"/>
      <c r="G20" s="28">
        <v>0.0</v>
      </c>
      <c r="I20" s="29">
        <v>0.0</v>
      </c>
      <c r="K20" s="29">
        <v>0.0</v>
      </c>
      <c r="M20" s="29">
        <v>0.0</v>
      </c>
      <c r="O20" s="28">
        <v>55.0</v>
      </c>
      <c r="Q20" s="29">
        <v>55.0</v>
      </c>
      <c r="S20" s="29">
        <v>0.0</v>
      </c>
      <c r="U20" s="29"/>
      <c r="W20" s="30"/>
      <c r="Y20" s="30"/>
      <c r="Z20" s="26"/>
      <c r="AA20" s="31"/>
      <c r="AC20" s="30"/>
      <c r="AE20" s="30"/>
      <c r="AG20" s="30"/>
      <c r="AI20" s="30"/>
      <c r="AK20" s="30"/>
      <c r="AL20" s="26"/>
      <c r="AM20" s="39">
        <f t="shared" si="1"/>
        <v>1982.2</v>
      </c>
      <c r="AN20" s="36">
        <f t="shared" si="2"/>
        <v>110</v>
      </c>
      <c r="AO20" s="36">
        <f t="shared" si="3"/>
        <v>0</v>
      </c>
      <c r="AP20" s="36">
        <f t="shared" si="4"/>
        <v>110</v>
      </c>
      <c r="AQ20" s="40">
        <f t="shared" si="5"/>
        <v>18.02</v>
      </c>
    </row>
    <row r="21" ht="15.75" customHeight="1">
      <c r="A21" s="34" t="s">
        <v>26</v>
      </c>
      <c r="B21" s="35">
        <f t="shared" si="6"/>
        <v>44946</v>
      </c>
      <c r="C21" s="36">
        <v>1.0</v>
      </c>
      <c r="D21" s="36"/>
      <c r="E21" s="36" t="s">
        <v>36</v>
      </c>
      <c r="F21" s="38"/>
      <c r="G21" s="28">
        <v>0.0</v>
      </c>
      <c r="I21" s="29">
        <v>0.0</v>
      </c>
      <c r="K21" s="29">
        <v>0.0</v>
      </c>
      <c r="M21" s="29">
        <v>0.0</v>
      </c>
      <c r="O21" s="28">
        <v>55.0</v>
      </c>
      <c r="Q21" s="29">
        <v>55.0</v>
      </c>
      <c r="S21" s="29">
        <v>0.0</v>
      </c>
      <c r="U21" s="29"/>
      <c r="W21" s="30"/>
      <c r="Y21" s="30"/>
      <c r="Z21" s="26"/>
      <c r="AA21" s="31"/>
      <c r="AC21" s="30"/>
      <c r="AE21" s="30"/>
      <c r="AG21" s="30"/>
      <c r="AI21" s="30"/>
      <c r="AK21" s="30"/>
      <c r="AL21" s="26"/>
      <c r="AM21" s="39">
        <f t="shared" si="1"/>
        <v>1982.2</v>
      </c>
      <c r="AN21" s="36">
        <f t="shared" si="2"/>
        <v>110</v>
      </c>
      <c r="AO21" s="36">
        <f t="shared" si="3"/>
        <v>0</v>
      </c>
      <c r="AP21" s="36">
        <f t="shared" si="4"/>
        <v>110</v>
      </c>
      <c r="AQ21" s="40">
        <f t="shared" si="5"/>
        <v>18.02</v>
      </c>
    </row>
    <row r="22" ht="15.75" customHeight="1">
      <c r="A22" s="34" t="s">
        <v>27</v>
      </c>
      <c r="B22" s="35">
        <f t="shared" si="6"/>
        <v>44947</v>
      </c>
      <c r="C22" s="36">
        <v>1.0</v>
      </c>
      <c r="D22" s="36"/>
      <c r="E22" s="36" t="s">
        <v>36</v>
      </c>
      <c r="F22" s="38"/>
      <c r="G22" s="28">
        <v>0.0</v>
      </c>
      <c r="I22" s="29">
        <v>0.0</v>
      </c>
      <c r="K22" s="29">
        <v>0.0</v>
      </c>
      <c r="M22" s="29">
        <v>0.0</v>
      </c>
      <c r="O22" s="28">
        <v>0.0</v>
      </c>
      <c r="Q22" s="29">
        <v>0.0</v>
      </c>
      <c r="S22" s="29">
        <v>0.0</v>
      </c>
      <c r="U22" s="29"/>
      <c r="W22" s="30"/>
      <c r="Y22" s="30"/>
      <c r="Z22" s="26"/>
      <c r="AA22" s="31"/>
      <c r="AC22" s="30"/>
      <c r="AE22" s="30"/>
      <c r="AG22" s="30"/>
      <c r="AI22" s="30"/>
      <c r="AK22" s="30"/>
      <c r="AL22" s="26"/>
      <c r="AM22" s="39">
        <f t="shared" si="1"/>
        <v>0</v>
      </c>
      <c r="AN22" s="36">
        <f t="shared" si="2"/>
        <v>0</v>
      </c>
      <c r="AO22" s="36">
        <f t="shared" si="3"/>
        <v>0</v>
      </c>
      <c r="AP22" s="36">
        <f t="shared" si="4"/>
        <v>0</v>
      </c>
      <c r="AQ22" s="40" t="str">
        <f t="shared" si="5"/>
        <v/>
      </c>
    </row>
    <row r="23" ht="15.75" customHeight="1">
      <c r="A23" s="46" t="s">
        <v>28</v>
      </c>
      <c r="B23" s="47">
        <f t="shared" si="6"/>
        <v>44948</v>
      </c>
      <c r="C23" s="49">
        <v>1.0</v>
      </c>
      <c r="D23" s="49"/>
      <c r="E23" s="49" t="s">
        <v>36</v>
      </c>
      <c r="F23" s="52"/>
      <c r="G23" s="28">
        <v>0.0</v>
      </c>
      <c r="I23" s="29">
        <v>0.0</v>
      </c>
      <c r="K23" s="29">
        <v>0.0</v>
      </c>
      <c r="M23" s="29">
        <v>0.0</v>
      </c>
      <c r="O23" s="61">
        <v>0.0</v>
      </c>
      <c r="P23" s="55"/>
      <c r="Q23" s="62">
        <v>0.0</v>
      </c>
      <c r="R23" s="55"/>
      <c r="S23" s="62">
        <v>0.0</v>
      </c>
      <c r="T23" s="55"/>
      <c r="U23" s="62"/>
      <c r="V23" s="55"/>
      <c r="W23" s="65"/>
      <c r="X23" s="55"/>
      <c r="Y23" s="65"/>
      <c r="Z23" s="58"/>
      <c r="AA23" s="67"/>
      <c r="AB23" s="55"/>
      <c r="AC23" s="65"/>
      <c r="AD23" s="55"/>
      <c r="AE23" s="65"/>
      <c r="AF23" s="55"/>
      <c r="AG23" s="65"/>
      <c r="AH23" s="55"/>
      <c r="AI23" s="65"/>
      <c r="AJ23" s="55"/>
      <c r="AK23" s="65"/>
      <c r="AL23" s="58"/>
      <c r="AM23" s="64">
        <f t="shared" si="1"/>
        <v>0</v>
      </c>
      <c r="AN23" s="49">
        <f t="shared" si="2"/>
        <v>0</v>
      </c>
      <c r="AO23" s="49">
        <f t="shared" si="3"/>
        <v>0</v>
      </c>
      <c r="AP23" s="49">
        <f t="shared" si="4"/>
        <v>0</v>
      </c>
      <c r="AQ23" s="66" t="str">
        <f t="shared" si="5"/>
        <v/>
      </c>
    </row>
    <row r="24" ht="15.75" customHeight="1">
      <c r="A24" s="18" t="s">
        <v>21</v>
      </c>
      <c r="B24" s="68">
        <f t="shared" si="6"/>
        <v>44949</v>
      </c>
      <c r="C24" s="20">
        <v>1.0</v>
      </c>
      <c r="D24" s="20"/>
      <c r="E24" s="20" t="s">
        <v>37</v>
      </c>
      <c r="F24" s="22"/>
      <c r="G24" s="81">
        <v>0.0</v>
      </c>
      <c r="H24" s="71"/>
      <c r="I24" s="82">
        <v>0.0</v>
      </c>
      <c r="J24" s="71"/>
      <c r="K24" s="82">
        <v>0.0</v>
      </c>
      <c r="L24" s="71"/>
      <c r="M24" s="82">
        <v>0.0</v>
      </c>
      <c r="N24" s="73"/>
      <c r="O24" s="28">
        <v>55.0</v>
      </c>
      <c r="Q24" s="29">
        <v>55.0</v>
      </c>
      <c r="S24" s="29">
        <v>0.0</v>
      </c>
      <c r="U24" s="29"/>
      <c r="W24" s="30"/>
      <c r="Y24" s="30"/>
      <c r="Z24" s="26"/>
      <c r="AA24" s="31"/>
      <c r="AC24" s="30"/>
      <c r="AE24" s="30"/>
      <c r="AG24" s="30"/>
      <c r="AI24" s="30"/>
      <c r="AK24" s="30"/>
      <c r="AL24" s="26"/>
      <c r="AM24" s="32">
        <f t="shared" si="1"/>
        <v>1982.2</v>
      </c>
      <c r="AN24" s="20">
        <f t="shared" si="2"/>
        <v>110</v>
      </c>
      <c r="AO24" s="20">
        <f t="shared" si="3"/>
        <v>0</v>
      </c>
      <c r="AP24" s="20">
        <f t="shared" si="4"/>
        <v>110</v>
      </c>
      <c r="AQ24" s="33">
        <f t="shared" si="5"/>
        <v>18.02</v>
      </c>
    </row>
    <row r="25" ht="15.75" customHeight="1">
      <c r="A25" s="34" t="s">
        <v>23</v>
      </c>
      <c r="B25" s="35">
        <f t="shared" si="6"/>
        <v>44950</v>
      </c>
      <c r="C25" s="36">
        <v>1.0</v>
      </c>
      <c r="D25" s="36"/>
      <c r="E25" s="36" t="s">
        <v>37</v>
      </c>
      <c r="F25" s="38"/>
      <c r="G25" s="28">
        <v>0.0</v>
      </c>
      <c r="I25" s="29">
        <v>0.0</v>
      </c>
      <c r="K25" s="29">
        <v>0.0</v>
      </c>
      <c r="M25" s="29">
        <v>0.0</v>
      </c>
      <c r="N25" s="26"/>
      <c r="O25" s="28">
        <v>55.0</v>
      </c>
      <c r="Q25" s="29">
        <v>55.0</v>
      </c>
      <c r="S25" s="29">
        <v>0.0</v>
      </c>
      <c r="U25" s="29"/>
      <c r="W25" s="30"/>
      <c r="Y25" s="30"/>
      <c r="Z25" s="26"/>
      <c r="AA25" s="31"/>
      <c r="AC25" s="30"/>
      <c r="AE25" s="30"/>
      <c r="AG25" s="30"/>
      <c r="AI25" s="30"/>
      <c r="AK25" s="30"/>
      <c r="AL25" s="26"/>
      <c r="AM25" s="39">
        <f t="shared" si="1"/>
        <v>1982.2</v>
      </c>
      <c r="AN25" s="36">
        <f t="shared" si="2"/>
        <v>110</v>
      </c>
      <c r="AO25" s="36">
        <f t="shared" si="3"/>
        <v>0</v>
      </c>
      <c r="AP25" s="36">
        <f t="shared" si="4"/>
        <v>110</v>
      </c>
      <c r="AQ25" s="40">
        <f t="shared" si="5"/>
        <v>18.02</v>
      </c>
    </row>
    <row r="26" ht="15.75" customHeight="1">
      <c r="A26" s="34" t="s">
        <v>24</v>
      </c>
      <c r="B26" s="35">
        <f t="shared" si="6"/>
        <v>44951</v>
      </c>
      <c r="C26" s="36">
        <v>1.0</v>
      </c>
      <c r="D26" s="36"/>
      <c r="E26" s="36" t="s">
        <v>37</v>
      </c>
      <c r="F26" s="38"/>
      <c r="G26" s="28">
        <v>0.0</v>
      </c>
      <c r="I26" s="29">
        <v>0.0</v>
      </c>
      <c r="K26" s="29">
        <v>0.0</v>
      </c>
      <c r="M26" s="29">
        <v>0.0</v>
      </c>
      <c r="N26" s="26"/>
      <c r="O26" s="28">
        <v>55.0</v>
      </c>
      <c r="Q26" s="29">
        <v>55.0</v>
      </c>
      <c r="S26" s="29">
        <v>0.0</v>
      </c>
      <c r="U26" s="29"/>
      <c r="W26" s="30"/>
      <c r="Y26" s="30"/>
      <c r="Z26" s="26"/>
      <c r="AA26" s="31"/>
      <c r="AC26" s="30"/>
      <c r="AE26" s="30"/>
      <c r="AG26" s="30"/>
      <c r="AI26" s="30"/>
      <c r="AK26" s="30"/>
      <c r="AL26" s="26"/>
      <c r="AM26" s="39">
        <f t="shared" si="1"/>
        <v>1982.2</v>
      </c>
      <c r="AN26" s="36">
        <f t="shared" si="2"/>
        <v>110</v>
      </c>
      <c r="AO26" s="36">
        <f t="shared" si="3"/>
        <v>0</v>
      </c>
      <c r="AP26" s="36">
        <f t="shared" si="4"/>
        <v>110</v>
      </c>
      <c r="AQ26" s="40">
        <f t="shared" si="5"/>
        <v>18.02</v>
      </c>
    </row>
    <row r="27" ht="15.75" customHeight="1">
      <c r="A27" s="34" t="s">
        <v>25</v>
      </c>
      <c r="B27" s="35">
        <f t="shared" si="6"/>
        <v>44952</v>
      </c>
      <c r="C27" s="36">
        <v>1.0</v>
      </c>
      <c r="D27" s="36"/>
      <c r="E27" s="36" t="s">
        <v>37</v>
      </c>
      <c r="F27" s="38"/>
      <c r="G27" s="28">
        <v>0.0</v>
      </c>
      <c r="I27" s="29">
        <v>0.0</v>
      </c>
      <c r="K27" s="29">
        <v>0.0</v>
      </c>
      <c r="M27" s="29">
        <v>0.0</v>
      </c>
      <c r="N27" s="26"/>
      <c r="O27" s="28">
        <v>55.0</v>
      </c>
      <c r="Q27" s="29">
        <v>55.0</v>
      </c>
      <c r="S27" s="29">
        <v>0.0</v>
      </c>
      <c r="U27" s="29"/>
      <c r="W27" s="30"/>
      <c r="Y27" s="30"/>
      <c r="Z27" s="26"/>
      <c r="AA27" s="31"/>
      <c r="AC27" s="30"/>
      <c r="AE27" s="30"/>
      <c r="AG27" s="30"/>
      <c r="AI27" s="30"/>
      <c r="AK27" s="30"/>
      <c r="AL27" s="26"/>
      <c r="AM27" s="39">
        <f t="shared" si="1"/>
        <v>1982.2</v>
      </c>
      <c r="AN27" s="36">
        <f t="shared" si="2"/>
        <v>110</v>
      </c>
      <c r="AO27" s="36">
        <f t="shared" si="3"/>
        <v>0</v>
      </c>
      <c r="AP27" s="36">
        <f t="shared" si="4"/>
        <v>110</v>
      </c>
      <c r="AQ27" s="40">
        <f t="shared" si="5"/>
        <v>18.02</v>
      </c>
    </row>
    <row r="28" ht="15.75" customHeight="1">
      <c r="A28" s="34" t="s">
        <v>26</v>
      </c>
      <c r="B28" s="35">
        <f t="shared" si="6"/>
        <v>44953</v>
      </c>
      <c r="C28" s="36">
        <v>1.0</v>
      </c>
      <c r="D28" s="36"/>
      <c r="E28" s="36" t="s">
        <v>37</v>
      </c>
      <c r="F28" s="38"/>
      <c r="G28" s="28">
        <v>0.0</v>
      </c>
      <c r="I28" s="29">
        <v>0.0</v>
      </c>
      <c r="K28" s="29">
        <v>0.0</v>
      </c>
      <c r="M28" s="29">
        <v>0.0</v>
      </c>
      <c r="N28" s="26"/>
      <c r="O28" s="28">
        <v>55.0</v>
      </c>
      <c r="Q28" s="29">
        <v>55.0</v>
      </c>
      <c r="S28" s="29">
        <v>0.0</v>
      </c>
      <c r="U28" s="29"/>
      <c r="W28" s="30"/>
      <c r="Y28" s="30"/>
      <c r="Z28" s="26"/>
      <c r="AA28" s="31"/>
      <c r="AC28" s="30"/>
      <c r="AE28" s="30"/>
      <c r="AG28" s="30"/>
      <c r="AI28" s="30"/>
      <c r="AK28" s="30"/>
      <c r="AL28" s="26"/>
      <c r="AM28" s="39">
        <f t="shared" si="1"/>
        <v>1982.2</v>
      </c>
      <c r="AN28" s="36">
        <f t="shared" si="2"/>
        <v>110</v>
      </c>
      <c r="AO28" s="36">
        <f t="shared" si="3"/>
        <v>0</v>
      </c>
      <c r="AP28" s="36">
        <f t="shared" si="4"/>
        <v>110</v>
      </c>
      <c r="AQ28" s="40">
        <f t="shared" si="5"/>
        <v>18.02</v>
      </c>
    </row>
    <row r="29" ht="15.75" customHeight="1">
      <c r="A29" s="34" t="s">
        <v>27</v>
      </c>
      <c r="B29" s="35">
        <f t="shared" si="6"/>
        <v>44954</v>
      </c>
      <c r="C29" s="36">
        <v>1.0</v>
      </c>
      <c r="D29" s="36"/>
      <c r="E29" s="36" t="s">
        <v>37</v>
      </c>
      <c r="F29" s="38"/>
      <c r="G29" s="28">
        <v>0.0</v>
      </c>
      <c r="I29" s="29">
        <v>0.0</v>
      </c>
      <c r="K29" s="29">
        <v>0.0</v>
      </c>
      <c r="M29" s="29">
        <v>0.0</v>
      </c>
      <c r="N29" s="26"/>
      <c r="O29" s="28">
        <v>0.0</v>
      </c>
      <c r="Q29" s="29">
        <v>0.0</v>
      </c>
      <c r="S29" s="29">
        <v>0.0</v>
      </c>
      <c r="U29" s="29"/>
      <c r="W29" s="30"/>
      <c r="Y29" s="30"/>
      <c r="Z29" s="26"/>
      <c r="AA29" s="31"/>
      <c r="AC29" s="30"/>
      <c r="AE29" s="30"/>
      <c r="AG29" s="30"/>
      <c r="AI29" s="30"/>
      <c r="AK29" s="30"/>
      <c r="AL29" s="26"/>
      <c r="AM29" s="39">
        <f t="shared" si="1"/>
        <v>0</v>
      </c>
      <c r="AN29" s="36">
        <f t="shared" si="2"/>
        <v>0</v>
      </c>
      <c r="AO29" s="36">
        <f t="shared" si="3"/>
        <v>0</v>
      </c>
      <c r="AP29" s="36">
        <f t="shared" si="4"/>
        <v>0</v>
      </c>
      <c r="AQ29" s="40" t="str">
        <f t="shared" si="5"/>
        <v/>
      </c>
    </row>
    <row r="30" ht="15.75" customHeight="1">
      <c r="A30" s="46" t="s">
        <v>28</v>
      </c>
      <c r="B30" s="47">
        <f t="shared" si="6"/>
        <v>44955</v>
      </c>
      <c r="C30" s="49">
        <v>1.0</v>
      </c>
      <c r="D30" s="49"/>
      <c r="E30" s="49" t="s">
        <v>37</v>
      </c>
      <c r="F30" s="52"/>
      <c r="G30" s="61">
        <v>0.0</v>
      </c>
      <c r="H30" s="55"/>
      <c r="I30" s="62">
        <v>0.0</v>
      </c>
      <c r="J30" s="55"/>
      <c r="K30" s="62">
        <v>0.0</v>
      </c>
      <c r="L30" s="55"/>
      <c r="M30" s="62">
        <v>0.0</v>
      </c>
      <c r="N30" s="58"/>
      <c r="O30" s="61">
        <v>0.0</v>
      </c>
      <c r="P30" s="55"/>
      <c r="Q30" s="62">
        <v>0.0</v>
      </c>
      <c r="R30" s="55"/>
      <c r="S30" s="62">
        <v>0.0</v>
      </c>
      <c r="T30" s="55"/>
      <c r="U30" s="62"/>
      <c r="V30" s="55"/>
      <c r="W30" s="65"/>
      <c r="X30" s="55"/>
      <c r="Y30" s="65"/>
      <c r="Z30" s="58"/>
      <c r="AA30" s="67"/>
      <c r="AB30" s="55"/>
      <c r="AC30" s="65"/>
      <c r="AD30" s="55"/>
      <c r="AE30" s="65"/>
      <c r="AF30" s="55"/>
      <c r="AG30" s="65"/>
      <c r="AH30" s="55"/>
      <c r="AI30" s="65"/>
      <c r="AJ30" s="55"/>
      <c r="AK30" s="65"/>
      <c r="AL30" s="58"/>
      <c r="AM30" s="64">
        <f t="shared" si="1"/>
        <v>0</v>
      </c>
      <c r="AN30" s="49">
        <f t="shared" si="2"/>
        <v>0</v>
      </c>
      <c r="AO30" s="49">
        <f t="shared" si="3"/>
        <v>0</v>
      </c>
      <c r="AP30" s="49">
        <f t="shared" si="4"/>
        <v>0</v>
      </c>
      <c r="AQ30" s="66" t="str">
        <f t="shared" si="5"/>
        <v/>
      </c>
    </row>
    <row r="31" ht="15.75" customHeight="1">
      <c r="A31" s="18" t="s">
        <v>21</v>
      </c>
      <c r="B31" s="68">
        <f t="shared" si="6"/>
        <v>44956</v>
      </c>
      <c r="C31" s="20">
        <v>2.0</v>
      </c>
      <c r="D31" s="20"/>
      <c r="E31" s="20" t="s">
        <v>22</v>
      </c>
      <c r="F31" s="22"/>
      <c r="G31" s="81">
        <v>0.0</v>
      </c>
      <c r="H31" s="71"/>
      <c r="I31" s="82">
        <v>0.0</v>
      </c>
      <c r="J31" s="71"/>
      <c r="K31" s="82">
        <v>0.0</v>
      </c>
      <c r="L31" s="71"/>
      <c r="M31" s="82">
        <v>0.0</v>
      </c>
      <c r="N31" s="73"/>
      <c r="O31" s="28">
        <v>75.0</v>
      </c>
      <c r="Q31" s="29">
        <v>75.0</v>
      </c>
      <c r="S31" s="29">
        <v>0.0</v>
      </c>
      <c r="U31" s="29"/>
      <c r="W31" s="30"/>
      <c r="Y31" s="30"/>
      <c r="Z31" s="26"/>
      <c r="AA31" s="31"/>
      <c r="AC31" s="30"/>
      <c r="AE31" s="30"/>
      <c r="AG31" s="30"/>
      <c r="AI31" s="30"/>
      <c r="AK31" s="30"/>
      <c r="AL31" s="26"/>
      <c r="AM31" s="32">
        <f t="shared" si="1"/>
        <v>2703</v>
      </c>
      <c r="AN31" s="20">
        <f t="shared" si="2"/>
        <v>150</v>
      </c>
      <c r="AO31" s="20">
        <f t="shared" si="3"/>
        <v>0</v>
      </c>
      <c r="AP31" s="20">
        <f t="shared" si="4"/>
        <v>150</v>
      </c>
      <c r="AQ31" s="33">
        <f t="shared" si="5"/>
        <v>18.02</v>
      </c>
    </row>
    <row r="32" ht="15.75" customHeight="1">
      <c r="A32" s="34" t="s">
        <v>23</v>
      </c>
      <c r="B32" s="35">
        <f t="shared" si="6"/>
        <v>44957</v>
      </c>
      <c r="C32" s="36">
        <v>2.0</v>
      </c>
      <c r="D32" s="36"/>
      <c r="E32" s="36" t="s">
        <v>22</v>
      </c>
      <c r="F32" s="38"/>
      <c r="G32" s="28">
        <v>0.0</v>
      </c>
      <c r="I32" s="29">
        <v>0.0</v>
      </c>
      <c r="K32" s="29">
        <v>0.0</v>
      </c>
      <c r="M32" s="29">
        <v>0.0</v>
      </c>
      <c r="N32" s="26"/>
      <c r="O32" s="28">
        <v>75.0</v>
      </c>
      <c r="Q32" s="29">
        <v>75.0</v>
      </c>
      <c r="S32" s="29">
        <v>0.0</v>
      </c>
      <c r="U32" s="29"/>
      <c r="W32" s="30"/>
      <c r="Y32" s="30"/>
      <c r="Z32" s="26"/>
      <c r="AA32" s="31"/>
      <c r="AC32" s="30"/>
      <c r="AE32" s="30"/>
      <c r="AG32" s="30"/>
      <c r="AI32" s="30"/>
      <c r="AK32" s="30"/>
      <c r="AL32" s="26"/>
      <c r="AM32" s="39">
        <f t="shared" si="1"/>
        <v>2703</v>
      </c>
      <c r="AN32" s="36">
        <f t="shared" si="2"/>
        <v>150</v>
      </c>
      <c r="AO32" s="36">
        <f t="shared" si="3"/>
        <v>0</v>
      </c>
      <c r="AP32" s="36">
        <f t="shared" si="4"/>
        <v>150</v>
      </c>
      <c r="AQ32" s="40">
        <f t="shared" si="5"/>
        <v>18.02</v>
      </c>
    </row>
    <row r="33" ht="15.75" customHeight="1">
      <c r="A33" s="34" t="s">
        <v>24</v>
      </c>
      <c r="B33" s="35">
        <f t="shared" si="6"/>
        <v>44958</v>
      </c>
      <c r="C33" s="36">
        <v>2.0</v>
      </c>
      <c r="D33" s="36"/>
      <c r="E33" s="36" t="s">
        <v>22</v>
      </c>
      <c r="F33" s="38"/>
      <c r="G33" s="28">
        <v>0.0</v>
      </c>
      <c r="I33" s="29">
        <v>0.0</v>
      </c>
      <c r="K33" s="29">
        <v>0.0</v>
      </c>
      <c r="M33" s="29">
        <v>0.0</v>
      </c>
      <c r="N33" s="26"/>
      <c r="O33" s="28">
        <v>75.0</v>
      </c>
      <c r="Q33" s="29">
        <v>75.0</v>
      </c>
      <c r="S33" s="29">
        <v>0.0</v>
      </c>
      <c r="U33" s="29"/>
      <c r="W33" s="30"/>
      <c r="Y33" s="30"/>
      <c r="Z33" s="26"/>
      <c r="AA33" s="31"/>
      <c r="AC33" s="30"/>
      <c r="AE33" s="30"/>
      <c r="AG33" s="30"/>
      <c r="AI33" s="30"/>
      <c r="AK33" s="30"/>
      <c r="AL33" s="26"/>
      <c r="AM33" s="39">
        <f t="shared" si="1"/>
        <v>2703</v>
      </c>
      <c r="AN33" s="36">
        <f t="shared" si="2"/>
        <v>150</v>
      </c>
      <c r="AO33" s="36">
        <f t="shared" si="3"/>
        <v>0</v>
      </c>
      <c r="AP33" s="36">
        <f t="shared" si="4"/>
        <v>150</v>
      </c>
      <c r="AQ33" s="40">
        <f t="shared" si="5"/>
        <v>18.02</v>
      </c>
    </row>
    <row r="34" ht="15.75" customHeight="1">
      <c r="A34" s="34" t="s">
        <v>25</v>
      </c>
      <c r="B34" s="35">
        <f t="shared" si="6"/>
        <v>44959</v>
      </c>
      <c r="C34" s="36">
        <v>2.0</v>
      </c>
      <c r="D34" s="36"/>
      <c r="E34" s="36" t="s">
        <v>22</v>
      </c>
      <c r="F34" s="38"/>
      <c r="G34" s="28">
        <v>0.0</v>
      </c>
      <c r="I34" s="29">
        <v>0.0</v>
      </c>
      <c r="K34" s="29">
        <v>0.0</v>
      </c>
      <c r="M34" s="29">
        <v>0.0</v>
      </c>
      <c r="N34" s="26"/>
      <c r="O34" s="28">
        <v>75.0</v>
      </c>
      <c r="Q34" s="29">
        <v>75.0</v>
      </c>
      <c r="S34" s="29">
        <v>0.0</v>
      </c>
      <c r="U34" s="29"/>
      <c r="W34" s="30"/>
      <c r="Y34" s="30"/>
      <c r="Z34" s="26"/>
      <c r="AA34" s="31"/>
      <c r="AC34" s="30"/>
      <c r="AE34" s="30"/>
      <c r="AG34" s="30"/>
      <c r="AI34" s="30"/>
      <c r="AK34" s="30"/>
      <c r="AL34" s="26"/>
      <c r="AM34" s="39">
        <f t="shared" si="1"/>
        <v>2703</v>
      </c>
      <c r="AN34" s="36">
        <f t="shared" si="2"/>
        <v>150</v>
      </c>
      <c r="AO34" s="36">
        <f t="shared" si="3"/>
        <v>0</v>
      </c>
      <c r="AP34" s="36">
        <f t="shared" si="4"/>
        <v>150</v>
      </c>
      <c r="AQ34" s="40">
        <f t="shared" si="5"/>
        <v>18.02</v>
      </c>
    </row>
    <row r="35" ht="15.75" customHeight="1">
      <c r="A35" s="34" t="s">
        <v>26</v>
      </c>
      <c r="B35" s="35">
        <f t="shared" si="6"/>
        <v>44960</v>
      </c>
      <c r="C35" s="36">
        <v>2.0</v>
      </c>
      <c r="D35" s="36"/>
      <c r="E35" s="36" t="s">
        <v>22</v>
      </c>
      <c r="F35" s="38"/>
      <c r="G35" s="28">
        <v>0.0</v>
      </c>
      <c r="I35" s="29">
        <v>0.0</v>
      </c>
      <c r="K35" s="29">
        <v>0.0</v>
      </c>
      <c r="M35" s="29">
        <v>0.0</v>
      </c>
      <c r="N35" s="26"/>
      <c r="O35" s="28">
        <v>75.0</v>
      </c>
      <c r="Q35" s="29">
        <v>75.0</v>
      </c>
      <c r="S35" s="29">
        <v>0.0</v>
      </c>
      <c r="U35" s="29"/>
      <c r="W35" s="30"/>
      <c r="Y35" s="30"/>
      <c r="Z35" s="26"/>
      <c r="AA35" s="31"/>
      <c r="AC35" s="30"/>
      <c r="AE35" s="30"/>
      <c r="AG35" s="30"/>
      <c r="AI35" s="30"/>
      <c r="AK35" s="30"/>
      <c r="AL35" s="26"/>
      <c r="AM35" s="39">
        <f t="shared" si="1"/>
        <v>2703</v>
      </c>
      <c r="AN35" s="36">
        <f t="shared" si="2"/>
        <v>150</v>
      </c>
      <c r="AO35" s="36">
        <f t="shared" si="3"/>
        <v>0</v>
      </c>
      <c r="AP35" s="36">
        <f t="shared" si="4"/>
        <v>150</v>
      </c>
      <c r="AQ35" s="40">
        <f t="shared" si="5"/>
        <v>18.02</v>
      </c>
    </row>
    <row r="36" ht="15.75" customHeight="1">
      <c r="A36" s="34" t="s">
        <v>27</v>
      </c>
      <c r="B36" s="35">
        <f t="shared" si="6"/>
        <v>44961</v>
      </c>
      <c r="C36" s="36">
        <v>2.0</v>
      </c>
      <c r="D36" s="36"/>
      <c r="E36" s="36" t="s">
        <v>22</v>
      </c>
      <c r="F36" s="38"/>
      <c r="G36" s="28">
        <v>0.0</v>
      </c>
      <c r="I36" s="29">
        <v>0.0</v>
      </c>
      <c r="K36" s="29">
        <v>0.0</v>
      </c>
      <c r="M36" s="29">
        <v>0.0</v>
      </c>
      <c r="N36" s="26"/>
      <c r="O36" s="28">
        <v>0.0</v>
      </c>
      <c r="Q36" s="29">
        <v>0.0</v>
      </c>
      <c r="S36" s="29">
        <v>0.0</v>
      </c>
      <c r="U36" s="29"/>
      <c r="W36" s="30"/>
      <c r="Y36" s="30"/>
      <c r="Z36" s="26"/>
      <c r="AA36" s="31"/>
      <c r="AC36" s="30"/>
      <c r="AE36" s="30"/>
      <c r="AG36" s="30"/>
      <c r="AI36" s="30"/>
      <c r="AK36" s="30"/>
      <c r="AL36" s="26"/>
      <c r="AM36" s="39">
        <f t="shared" si="1"/>
        <v>0</v>
      </c>
      <c r="AN36" s="36">
        <f t="shared" si="2"/>
        <v>0</v>
      </c>
      <c r="AO36" s="36">
        <f t="shared" si="3"/>
        <v>0</v>
      </c>
      <c r="AP36" s="36">
        <f t="shared" si="4"/>
        <v>0</v>
      </c>
      <c r="AQ36" s="40" t="str">
        <f t="shared" si="5"/>
        <v/>
      </c>
    </row>
    <row r="37" ht="15.75" customHeight="1">
      <c r="A37" s="46" t="s">
        <v>28</v>
      </c>
      <c r="B37" s="47">
        <f t="shared" si="6"/>
        <v>44962</v>
      </c>
      <c r="C37" s="49">
        <v>2.0</v>
      </c>
      <c r="D37" s="49"/>
      <c r="E37" s="49" t="s">
        <v>22</v>
      </c>
      <c r="F37" s="52"/>
      <c r="G37" s="61">
        <v>0.0</v>
      </c>
      <c r="H37" s="55"/>
      <c r="I37" s="62">
        <v>0.0</v>
      </c>
      <c r="J37" s="55"/>
      <c r="K37" s="62">
        <v>0.0</v>
      </c>
      <c r="L37" s="55"/>
      <c r="M37" s="62">
        <v>0.0</v>
      </c>
      <c r="N37" s="58"/>
      <c r="O37" s="61">
        <v>0.0</v>
      </c>
      <c r="P37" s="55"/>
      <c r="Q37" s="62">
        <v>0.0</v>
      </c>
      <c r="R37" s="55"/>
      <c r="S37" s="62">
        <v>0.0</v>
      </c>
      <c r="T37" s="55"/>
      <c r="U37" s="62"/>
      <c r="V37" s="55"/>
      <c r="W37" s="65"/>
      <c r="X37" s="55"/>
      <c r="Y37" s="65"/>
      <c r="Z37" s="58"/>
      <c r="AA37" s="67"/>
      <c r="AB37" s="55"/>
      <c r="AC37" s="65"/>
      <c r="AD37" s="55"/>
      <c r="AE37" s="65"/>
      <c r="AF37" s="55"/>
      <c r="AG37" s="65"/>
      <c r="AH37" s="55"/>
      <c r="AI37" s="65"/>
      <c r="AJ37" s="55"/>
      <c r="AK37" s="65"/>
      <c r="AL37" s="58"/>
      <c r="AM37" s="64">
        <f t="shared" si="1"/>
        <v>0</v>
      </c>
      <c r="AN37" s="49">
        <f t="shared" si="2"/>
        <v>0</v>
      </c>
      <c r="AO37" s="49">
        <f t="shared" si="3"/>
        <v>0</v>
      </c>
      <c r="AP37" s="49">
        <f t="shared" si="4"/>
        <v>0</v>
      </c>
      <c r="AQ37" s="66" t="str">
        <f t="shared" si="5"/>
        <v/>
      </c>
    </row>
    <row r="38" ht="15.75" customHeight="1">
      <c r="A38" s="18" t="s">
        <v>21</v>
      </c>
      <c r="B38" s="68">
        <f t="shared" si="6"/>
        <v>44963</v>
      </c>
      <c r="C38" s="20">
        <v>2.0</v>
      </c>
      <c r="D38" s="20"/>
      <c r="E38" s="20" t="s">
        <v>34</v>
      </c>
      <c r="F38" s="22"/>
      <c r="G38" s="81">
        <v>0.0</v>
      </c>
      <c r="H38" s="71"/>
      <c r="I38" s="82">
        <v>0.0</v>
      </c>
      <c r="J38" s="71"/>
      <c r="K38" s="82">
        <v>0.0</v>
      </c>
      <c r="L38" s="71"/>
      <c r="M38" s="82">
        <v>0.0</v>
      </c>
      <c r="N38" s="73"/>
      <c r="O38" s="28">
        <v>75.0</v>
      </c>
      <c r="Q38" s="29">
        <v>75.0</v>
      </c>
      <c r="S38" s="29">
        <v>0.0</v>
      </c>
      <c r="U38" s="29"/>
      <c r="W38" s="30"/>
      <c r="Y38" s="30"/>
      <c r="Z38" s="26"/>
      <c r="AA38" s="31"/>
      <c r="AC38" s="30"/>
      <c r="AE38" s="30"/>
      <c r="AG38" s="30"/>
      <c r="AI38" s="30"/>
      <c r="AK38" s="30"/>
      <c r="AL38" s="26"/>
      <c r="AM38" s="32">
        <f t="shared" si="1"/>
        <v>2703</v>
      </c>
      <c r="AN38" s="20">
        <f t="shared" si="2"/>
        <v>150</v>
      </c>
      <c r="AO38" s="20">
        <f t="shared" si="3"/>
        <v>0</v>
      </c>
      <c r="AP38" s="20">
        <f t="shared" si="4"/>
        <v>150</v>
      </c>
      <c r="AQ38" s="33">
        <f t="shared" si="5"/>
        <v>18.02</v>
      </c>
    </row>
    <row r="39" ht="15.75" customHeight="1">
      <c r="A39" s="34" t="s">
        <v>23</v>
      </c>
      <c r="B39" s="35">
        <f t="shared" si="6"/>
        <v>44964</v>
      </c>
      <c r="C39" s="36">
        <v>2.0</v>
      </c>
      <c r="D39" s="36"/>
      <c r="E39" s="36" t="s">
        <v>34</v>
      </c>
      <c r="F39" s="38"/>
      <c r="G39" s="28">
        <v>0.0</v>
      </c>
      <c r="I39" s="29">
        <v>0.0</v>
      </c>
      <c r="K39" s="29">
        <v>0.0</v>
      </c>
      <c r="M39" s="29">
        <v>0.0</v>
      </c>
      <c r="N39" s="26"/>
      <c r="O39" s="28">
        <v>75.0</v>
      </c>
      <c r="Q39" s="29">
        <v>75.0</v>
      </c>
      <c r="S39" s="29">
        <v>0.0</v>
      </c>
      <c r="U39" s="29"/>
      <c r="W39" s="30"/>
      <c r="Y39" s="30"/>
      <c r="Z39" s="26"/>
      <c r="AA39" s="31"/>
      <c r="AC39" s="30"/>
      <c r="AE39" s="30"/>
      <c r="AG39" s="30"/>
      <c r="AI39" s="30"/>
      <c r="AK39" s="30"/>
      <c r="AL39" s="26"/>
      <c r="AM39" s="39">
        <f t="shared" si="1"/>
        <v>2703</v>
      </c>
      <c r="AN39" s="36">
        <f t="shared" si="2"/>
        <v>150</v>
      </c>
      <c r="AO39" s="36">
        <f t="shared" si="3"/>
        <v>0</v>
      </c>
      <c r="AP39" s="36">
        <f t="shared" si="4"/>
        <v>150</v>
      </c>
      <c r="AQ39" s="40">
        <f t="shared" si="5"/>
        <v>18.02</v>
      </c>
    </row>
    <row r="40" ht="15.75" customHeight="1">
      <c r="A40" s="34" t="s">
        <v>24</v>
      </c>
      <c r="B40" s="35">
        <f t="shared" si="6"/>
        <v>44965</v>
      </c>
      <c r="C40" s="36">
        <v>2.0</v>
      </c>
      <c r="D40" s="36"/>
      <c r="E40" s="36" t="s">
        <v>34</v>
      </c>
      <c r="F40" s="38"/>
      <c r="G40" s="28">
        <v>0.0</v>
      </c>
      <c r="I40" s="29">
        <v>0.0</v>
      </c>
      <c r="K40" s="29">
        <v>0.0</v>
      </c>
      <c r="M40" s="29">
        <v>0.0</v>
      </c>
      <c r="N40" s="26"/>
      <c r="O40" s="28">
        <v>75.0</v>
      </c>
      <c r="Q40" s="29">
        <v>75.0</v>
      </c>
      <c r="S40" s="29">
        <v>0.0</v>
      </c>
      <c r="U40" s="29"/>
      <c r="W40" s="30"/>
      <c r="Y40" s="30"/>
      <c r="Z40" s="26"/>
      <c r="AA40" s="31"/>
      <c r="AC40" s="30"/>
      <c r="AE40" s="30"/>
      <c r="AG40" s="30"/>
      <c r="AI40" s="30"/>
      <c r="AK40" s="30"/>
      <c r="AL40" s="26"/>
      <c r="AM40" s="39">
        <f t="shared" si="1"/>
        <v>2703</v>
      </c>
      <c r="AN40" s="36">
        <f t="shared" si="2"/>
        <v>150</v>
      </c>
      <c r="AO40" s="36">
        <f t="shared" si="3"/>
        <v>0</v>
      </c>
      <c r="AP40" s="36">
        <f t="shared" si="4"/>
        <v>150</v>
      </c>
      <c r="AQ40" s="40">
        <f t="shared" si="5"/>
        <v>18.02</v>
      </c>
    </row>
    <row r="41" ht="15.75" customHeight="1">
      <c r="A41" s="34" t="s">
        <v>25</v>
      </c>
      <c r="B41" s="35">
        <f t="shared" si="6"/>
        <v>44966</v>
      </c>
      <c r="C41" s="36">
        <v>2.0</v>
      </c>
      <c r="D41" s="36"/>
      <c r="E41" s="36" t="s">
        <v>34</v>
      </c>
      <c r="F41" s="38"/>
      <c r="G41" s="28">
        <v>0.0</v>
      </c>
      <c r="I41" s="29">
        <v>0.0</v>
      </c>
      <c r="K41" s="29">
        <v>0.0</v>
      </c>
      <c r="M41" s="29">
        <v>0.0</v>
      </c>
      <c r="N41" s="26"/>
      <c r="O41" s="28">
        <v>75.0</v>
      </c>
      <c r="Q41" s="29">
        <v>75.0</v>
      </c>
      <c r="S41" s="29">
        <v>0.0</v>
      </c>
      <c r="U41" s="29"/>
      <c r="W41" s="30"/>
      <c r="Y41" s="30"/>
      <c r="Z41" s="26"/>
      <c r="AA41" s="31"/>
      <c r="AC41" s="30"/>
      <c r="AE41" s="30"/>
      <c r="AG41" s="30"/>
      <c r="AI41" s="30"/>
      <c r="AK41" s="30"/>
      <c r="AL41" s="26"/>
      <c r="AM41" s="39">
        <f t="shared" si="1"/>
        <v>2703</v>
      </c>
      <c r="AN41" s="36">
        <f t="shared" si="2"/>
        <v>150</v>
      </c>
      <c r="AO41" s="36">
        <f t="shared" si="3"/>
        <v>0</v>
      </c>
      <c r="AP41" s="36">
        <f t="shared" si="4"/>
        <v>150</v>
      </c>
      <c r="AQ41" s="40">
        <f t="shared" si="5"/>
        <v>18.02</v>
      </c>
    </row>
    <row r="42" ht="15.75" customHeight="1">
      <c r="A42" s="34" t="s">
        <v>26</v>
      </c>
      <c r="B42" s="35">
        <f t="shared" si="6"/>
        <v>44967</v>
      </c>
      <c r="C42" s="36">
        <v>2.0</v>
      </c>
      <c r="D42" s="36"/>
      <c r="E42" s="36" t="s">
        <v>34</v>
      </c>
      <c r="F42" s="38"/>
      <c r="G42" s="28">
        <v>0.0</v>
      </c>
      <c r="I42" s="29">
        <v>0.0</v>
      </c>
      <c r="K42" s="29">
        <v>0.0</v>
      </c>
      <c r="M42" s="29">
        <v>0.0</v>
      </c>
      <c r="N42" s="26"/>
      <c r="O42" s="28">
        <v>75.0</v>
      </c>
      <c r="Q42" s="29">
        <v>75.0</v>
      </c>
      <c r="S42" s="29">
        <v>0.0</v>
      </c>
      <c r="U42" s="29"/>
      <c r="W42" s="30"/>
      <c r="Y42" s="30"/>
      <c r="Z42" s="26"/>
      <c r="AA42" s="31"/>
      <c r="AC42" s="30"/>
      <c r="AE42" s="30"/>
      <c r="AG42" s="30"/>
      <c r="AI42" s="30"/>
      <c r="AK42" s="30"/>
      <c r="AL42" s="26"/>
      <c r="AM42" s="39">
        <f t="shared" si="1"/>
        <v>2703</v>
      </c>
      <c r="AN42" s="36">
        <f t="shared" si="2"/>
        <v>150</v>
      </c>
      <c r="AO42" s="36">
        <f t="shared" si="3"/>
        <v>0</v>
      </c>
      <c r="AP42" s="36">
        <f t="shared" si="4"/>
        <v>150</v>
      </c>
      <c r="AQ42" s="40">
        <f t="shared" si="5"/>
        <v>18.02</v>
      </c>
    </row>
    <row r="43" ht="15.75" customHeight="1">
      <c r="A43" s="34" t="s">
        <v>27</v>
      </c>
      <c r="B43" s="35">
        <f t="shared" si="6"/>
        <v>44968</v>
      </c>
      <c r="C43" s="36">
        <v>2.0</v>
      </c>
      <c r="D43" s="36"/>
      <c r="E43" s="36" t="s">
        <v>34</v>
      </c>
      <c r="F43" s="38"/>
      <c r="G43" s="28">
        <v>0.0</v>
      </c>
      <c r="I43" s="29">
        <v>0.0</v>
      </c>
      <c r="K43" s="29">
        <v>0.0</v>
      </c>
      <c r="M43" s="29">
        <v>0.0</v>
      </c>
      <c r="N43" s="26"/>
      <c r="O43" s="28">
        <v>0.0</v>
      </c>
      <c r="Q43" s="29">
        <v>0.0</v>
      </c>
      <c r="S43" s="29">
        <v>0.0</v>
      </c>
      <c r="U43" s="29"/>
      <c r="W43" s="30"/>
      <c r="Y43" s="30"/>
      <c r="Z43" s="26"/>
      <c r="AA43" s="31"/>
      <c r="AC43" s="30"/>
      <c r="AE43" s="30"/>
      <c r="AG43" s="30"/>
      <c r="AI43" s="30"/>
      <c r="AK43" s="30"/>
      <c r="AL43" s="26"/>
      <c r="AM43" s="39">
        <f t="shared" si="1"/>
        <v>0</v>
      </c>
      <c r="AN43" s="36">
        <f t="shared" si="2"/>
        <v>0</v>
      </c>
      <c r="AO43" s="36">
        <f t="shared" si="3"/>
        <v>0</v>
      </c>
      <c r="AP43" s="36">
        <f t="shared" si="4"/>
        <v>0</v>
      </c>
      <c r="AQ43" s="40" t="str">
        <f t="shared" si="5"/>
        <v/>
      </c>
    </row>
    <row r="44" ht="15.75" customHeight="1">
      <c r="A44" s="46" t="s">
        <v>28</v>
      </c>
      <c r="B44" s="47">
        <f t="shared" si="6"/>
        <v>44969</v>
      </c>
      <c r="C44" s="49">
        <v>2.0</v>
      </c>
      <c r="D44" s="49"/>
      <c r="E44" s="49" t="s">
        <v>34</v>
      </c>
      <c r="F44" s="52"/>
      <c r="G44" s="61">
        <v>0.0</v>
      </c>
      <c r="H44" s="55"/>
      <c r="I44" s="62">
        <v>0.0</v>
      </c>
      <c r="J44" s="55"/>
      <c r="K44" s="62">
        <v>0.0</v>
      </c>
      <c r="L44" s="55"/>
      <c r="M44" s="62">
        <v>0.0</v>
      </c>
      <c r="N44" s="58"/>
      <c r="O44" s="61">
        <v>0.0</v>
      </c>
      <c r="P44" s="55"/>
      <c r="Q44" s="62">
        <v>0.0</v>
      </c>
      <c r="R44" s="55"/>
      <c r="S44" s="62">
        <v>0.0</v>
      </c>
      <c r="T44" s="55"/>
      <c r="U44" s="62"/>
      <c r="V44" s="55"/>
      <c r="W44" s="65"/>
      <c r="X44" s="55"/>
      <c r="Y44" s="65"/>
      <c r="Z44" s="58"/>
      <c r="AA44" s="67"/>
      <c r="AB44" s="55"/>
      <c r="AC44" s="65"/>
      <c r="AD44" s="55"/>
      <c r="AE44" s="65"/>
      <c r="AF44" s="55"/>
      <c r="AG44" s="65"/>
      <c r="AH44" s="55"/>
      <c r="AI44" s="65"/>
      <c r="AJ44" s="55"/>
      <c r="AK44" s="65"/>
      <c r="AL44" s="58"/>
      <c r="AM44" s="64">
        <f t="shared" si="1"/>
        <v>0</v>
      </c>
      <c r="AN44" s="49">
        <f t="shared" si="2"/>
        <v>0</v>
      </c>
      <c r="AO44" s="49">
        <f t="shared" si="3"/>
        <v>0</v>
      </c>
      <c r="AP44" s="49">
        <f t="shared" si="4"/>
        <v>0</v>
      </c>
      <c r="AQ44" s="66" t="str">
        <f t="shared" si="5"/>
        <v/>
      </c>
    </row>
    <row r="45" ht="15.75" customHeight="1">
      <c r="A45" s="18" t="s">
        <v>21</v>
      </c>
      <c r="B45" s="68">
        <f t="shared" si="6"/>
        <v>44970</v>
      </c>
      <c r="C45" s="20">
        <v>2.0</v>
      </c>
      <c r="D45" s="20"/>
      <c r="E45" s="20" t="s">
        <v>36</v>
      </c>
      <c r="F45" s="22"/>
      <c r="G45" s="152">
        <v>100.0</v>
      </c>
      <c r="H45" s="71"/>
      <c r="I45" s="153">
        <v>100.0</v>
      </c>
      <c r="J45" s="71"/>
      <c r="K45" s="82">
        <v>0.0</v>
      </c>
      <c r="L45" s="71"/>
      <c r="M45" s="82">
        <v>0.0</v>
      </c>
      <c r="N45" s="73"/>
      <c r="O45" s="154"/>
      <c r="Q45" s="155"/>
      <c r="S45" s="155"/>
      <c r="U45" s="29"/>
      <c r="W45" s="30"/>
      <c r="Y45" s="30"/>
      <c r="Z45" s="26"/>
      <c r="AA45" s="31"/>
      <c r="AC45" s="30"/>
      <c r="AE45" s="30"/>
      <c r="AG45" s="30"/>
      <c r="AI45" s="30"/>
      <c r="AK45" s="30"/>
      <c r="AL45" s="26"/>
      <c r="AM45" s="32">
        <f t="shared" si="1"/>
        <v>6916</v>
      </c>
      <c r="AN45" s="20">
        <f t="shared" si="2"/>
        <v>200</v>
      </c>
      <c r="AO45" s="20">
        <f t="shared" si="3"/>
        <v>0</v>
      </c>
      <c r="AP45" s="20">
        <f t="shared" si="4"/>
        <v>200</v>
      </c>
      <c r="AQ45" s="33">
        <f t="shared" si="5"/>
        <v>34.58</v>
      </c>
    </row>
    <row r="46" ht="15.75" customHeight="1">
      <c r="A46" s="34" t="s">
        <v>23</v>
      </c>
      <c r="B46" s="35">
        <f t="shared" si="6"/>
        <v>44971</v>
      </c>
      <c r="C46" s="36">
        <v>2.0</v>
      </c>
      <c r="D46" s="36"/>
      <c r="E46" s="36" t="s">
        <v>36</v>
      </c>
      <c r="F46" s="38"/>
      <c r="G46" s="156">
        <v>100.0</v>
      </c>
      <c r="I46" s="158">
        <v>100.0</v>
      </c>
      <c r="K46" s="29">
        <v>0.0</v>
      </c>
      <c r="M46" s="29">
        <v>0.0</v>
      </c>
      <c r="N46" s="26"/>
      <c r="O46" s="154"/>
      <c r="Q46" s="155"/>
      <c r="S46" s="155"/>
      <c r="U46" s="29"/>
      <c r="W46" s="30"/>
      <c r="Y46" s="30"/>
      <c r="Z46" s="26"/>
      <c r="AA46" s="31"/>
      <c r="AC46" s="30"/>
      <c r="AE46" s="30"/>
      <c r="AG46" s="30"/>
      <c r="AI46" s="30"/>
      <c r="AK46" s="30"/>
      <c r="AL46" s="26"/>
      <c r="AM46" s="39">
        <f t="shared" si="1"/>
        <v>6916</v>
      </c>
      <c r="AN46" s="36">
        <f t="shared" si="2"/>
        <v>200</v>
      </c>
      <c r="AO46" s="36">
        <f t="shared" si="3"/>
        <v>0</v>
      </c>
      <c r="AP46" s="36">
        <f t="shared" si="4"/>
        <v>200</v>
      </c>
      <c r="AQ46" s="40">
        <f t="shared" si="5"/>
        <v>34.58</v>
      </c>
    </row>
    <row r="47" ht="15.75" customHeight="1">
      <c r="A47" s="34" t="s">
        <v>24</v>
      </c>
      <c r="B47" s="35">
        <f t="shared" si="6"/>
        <v>44972</v>
      </c>
      <c r="C47" s="36">
        <v>2.0</v>
      </c>
      <c r="D47" s="36"/>
      <c r="E47" s="36" t="s">
        <v>36</v>
      </c>
      <c r="F47" s="38"/>
      <c r="G47" s="156">
        <v>100.0</v>
      </c>
      <c r="I47" s="158">
        <v>100.0</v>
      </c>
      <c r="K47" s="29">
        <v>0.0</v>
      </c>
      <c r="M47" s="29">
        <v>0.0</v>
      </c>
      <c r="N47" s="26"/>
      <c r="O47" s="154"/>
      <c r="Q47" s="155"/>
      <c r="S47" s="155"/>
      <c r="U47" s="29"/>
      <c r="W47" s="30"/>
      <c r="Y47" s="30"/>
      <c r="Z47" s="26"/>
      <c r="AA47" s="31"/>
      <c r="AC47" s="30"/>
      <c r="AE47" s="30"/>
      <c r="AG47" s="30"/>
      <c r="AI47" s="30"/>
      <c r="AK47" s="30"/>
      <c r="AL47" s="26"/>
      <c r="AM47" s="39">
        <f t="shared" si="1"/>
        <v>6916</v>
      </c>
      <c r="AN47" s="36">
        <f t="shared" si="2"/>
        <v>200</v>
      </c>
      <c r="AO47" s="36">
        <f t="shared" si="3"/>
        <v>0</v>
      </c>
      <c r="AP47" s="36">
        <f t="shared" si="4"/>
        <v>200</v>
      </c>
      <c r="AQ47" s="40">
        <f t="shared" si="5"/>
        <v>34.58</v>
      </c>
    </row>
    <row r="48" ht="15.75" customHeight="1">
      <c r="A48" s="34" t="s">
        <v>25</v>
      </c>
      <c r="B48" s="35">
        <f t="shared" si="6"/>
        <v>44973</v>
      </c>
      <c r="C48" s="36">
        <v>2.0</v>
      </c>
      <c r="D48" s="36"/>
      <c r="E48" s="36" t="s">
        <v>36</v>
      </c>
      <c r="F48" s="38"/>
      <c r="G48" s="156">
        <v>100.0</v>
      </c>
      <c r="I48" s="158">
        <v>100.0</v>
      </c>
      <c r="K48" s="29">
        <v>0.0</v>
      </c>
      <c r="M48" s="29">
        <v>0.0</v>
      </c>
      <c r="N48" s="26"/>
      <c r="O48" s="154"/>
      <c r="Q48" s="155"/>
      <c r="S48" s="155"/>
      <c r="U48" s="29"/>
      <c r="W48" s="30"/>
      <c r="Y48" s="30"/>
      <c r="Z48" s="26"/>
      <c r="AA48" s="31"/>
      <c r="AC48" s="30"/>
      <c r="AE48" s="30"/>
      <c r="AG48" s="30"/>
      <c r="AI48" s="30"/>
      <c r="AK48" s="30"/>
      <c r="AL48" s="26"/>
      <c r="AM48" s="39">
        <f t="shared" si="1"/>
        <v>6916</v>
      </c>
      <c r="AN48" s="36">
        <f t="shared" si="2"/>
        <v>200</v>
      </c>
      <c r="AO48" s="36">
        <f t="shared" si="3"/>
        <v>0</v>
      </c>
      <c r="AP48" s="36">
        <f t="shared" si="4"/>
        <v>200</v>
      </c>
      <c r="AQ48" s="40">
        <f t="shared" si="5"/>
        <v>34.58</v>
      </c>
    </row>
    <row r="49" ht="15.75" customHeight="1">
      <c r="A49" s="34" t="s">
        <v>26</v>
      </c>
      <c r="B49" s="35">
        <f t="shared" si="6"/>
        <v>44974</v>
      </c>
      <c r="C49" s="36">
        <v>2.0</v>
      </c>
      <c r="D49" s="36"/>
      <c r="E49" s="36" t="s">
        <v>36</v>
      </c>
      <c r="F49" s="38"/>
      <c r="G49" s="156">
        <v>100.0</v>
      </c>
      <c r="I49" s="158">
        <v>100.0</v>
      </c>
      <c r="K49" s="29">
        <v>0.0</v>
      </c>
      <c r="M49" s="29">
        <v>0.0</v>
      </c>
      <c r="N49" s="26"/>
      <c r="O49" s="154"/>
      <c r="Q49" s="155"/>
      <c r="S49" s="155"/>
      <c r="U49" s="29"/>
      <c r="W49" s="30"/>
      <c r="Y49" s="30"/>
      <c r="Z49" s="26"/>
      <c r="AA49" s="31"/>
      <c r="AC49" s="30"/>
      <c r="AE49" s="30"/>
      <c r="AG49" s="30"/>
      <c r="AI49" s="30"/>
      <c r="AK49" s="30"/>
      <c r="AL49" s="26"/>
      <c r="AM49" s="39">
        <f t="shared" si="1"/>
        <v>6916</v>
      </c>
      <c r="AN49" s="36">
        <f t="shared" si="2"/>
        <v>200</v>
      </c>
      <c r="AO49" s="36">
        <f t="shared" si="3"/>
        <v>0</v>
      </c>
      <c r="AP49" s="36">
        <f t="shared" si="4"/>
        <v>200</v>
      </c>
      <c r="AQ49" s="40">
        <f t="shared" si="5"/>
        <v>34.58</v>
      </c>
    </row>
    <row r="50" ht="15.75" customHeight="1">
      <c r="A50" s="34" t="s">
        <v>27</v>
      </c>
      <c r="B50" s="35">
        <f t="shared" si="6"/>
        <v>44975</v>
      </c>
      <c r="C50" s="36">
        <v>2.0</v>
      </c>
      <c r="D50" s="36"/>
      <c r="E50" s="36" t="s">
        <v>36</v>
      </c>
      <c r="F50" s="38"/>
      <c r="G50" s="156">
        <v>100.0</v>
      </c>
      <c r="I50" s="158">
        <v>100.0</v>
      </c>
      <c r="K50" s="29">
        <v>0.0</v>
      </c>
      <c r="M50" s="29">
        <v>0.0</v>
      </c>
      <c r="N50" s="26"/>
      <c r="O50" s="154"/>
      <c r="Q50" s="155"/>
      <c r="S50" s="155"/>
      <c r="U50" s="29"/>
      <c r="W50" s="30"/>
      <c r="Y50" s="30"/>
      <c r="Z50" s="26"/>
      <c r="AA50" s="31"/>
      <c r="AC50" s="30"/>
      <c r="AE50" s="30"/>
      <c r="AG50" s="30"/>
      <c r="AI50" s="30"/>
      <c r="AK50" s="30"/>
      <c r="AL50" s="26"/>
      <c r="AM50" s="39">
        <f t="shared" si="1"/>
        <v>6916</v>
      </c>
      <c r="AN50" s="36">
        <f t="shared" si="2"/>
        <v>200</v>
      </c>
      <c r="AO50" s="36">
        <f t="shared" si="3"/>
        <v>0</v>
      </c>
      <c r="AP50" s="36">
        <f t="shared" si="4"/>
        <v>200</v>
      </c>
      <c r="AQ50" s="40">
        <f t="shared" si="5"/>
        <v>34.58</v>
      </c>
    </row>
    <row r="51" ht="15.75" customHeight="1">
      <c r="A51" s="46" t="s">
        <v>28</v>
      </c>
      <c r="B51" s="47">
        <f t="shared" si="6"/>
        <v>44976</v>
      </c>
      <c r="C51" s="49">
        <v>2.0</v>
      </c>
      <c r="D51" s="49"/>
      <c r="E51" s="49" t="s">
        <v>36</v>
      </c>
      <c r="F51" s="52"/>
      <c r="G51" s="167">
        <v>100.0</v>
      </c>
      <c r="H51" s="55"/>
      <c r="I51" s="168">
        <v>100.0</v>
      </c>
      <c r="J51" s="55"/>
      <c r="K51" s="62">
        <v>0.0</v>
      </c>
      <c r="L51" s="55"/>
      <c r="M51" s="62">
        <v>0.0</v>
      </c>
      <c r="N51" s="58"/>
      <c r="O51" s="169"/>
      <c r="P51" s="55"/>
      <c r="Q51" s="170"/>
      <c r="R51" s="55"/>
      <c r="S51" s="170"/>
      <c r="T51" s="55"/>
      <c r="U51" s="62"/>
      <c r="V51" s="55"/>
      <c r="W51" s="65"/>
      <c r="X51" s="55"/>
      <c r="Y51" s="65"/>
      <c r="Z51" s="58"/>
      <c r="AA51" s="67"/>
      <c r="AB51" s="55"/>
      <c r="AC51" s="65"/>
      <c r="AD51" s="55"/>
      <c r="AE51" s="65"/>
      <c r="AF51" s="55"/>
      <c r="AG51" s="65"/>
      <c r="AH51" s="55"/>
      <c r="AI51" s="65"/>
      <c r="AJ51" s="55"/>
      <c r="AK51" s="65"/>
      <c r="AL51" s="58"/>
      <c r="AM51" s="64">
        <f t="shared" si="1"/>
        <v>6916</v>
      </c>
      <c r="AN51" s="49">
        <f t="shared" si="2"/>
        <v>200</v>
      </c>
      <c r="AO51" s="49">
        <f t="shared" si="3"/>
        <v>0</v>
      </c>
      <c r="AP51" s="49">
        <f t="shared" si="4"/>
        <v>200</v>
      </c>
      <c r="AQ51" s="66">
        <f t="shared" si="5"/>
        <v>34.58</v>
      </c>
    </row>
    <row r="52" ht="15.75" customHeight="1">
      <c r="A52" s="18" t="s">
        <v>21</v>
      </c>
      <c r="B52" s="68">
        <f t="shared" si="6"/>
        <v>44977</v>
      </c>
      <c r="C52" s="20">
        <v>2.0</v>
      </c>
      <c r="D52" s="20"/>
      <c r="E52" s="20" t="s">
        <v>37</v>
      </c>
      <c r="F52" s="22"/>
      <c r="G52" s="152">
        <v>100.0</v>
      </c>
      <c r="H52" s="71"/>
      <c r="I52" s="153">
        <v>100.0</v>
      </c>
      <c r="J52" s="71"/>
      <c r="K52" s="82">
        <v>0.0</v>
      </c>
      <c r="L52" s="71"/>
      <c r="M52" s="82">
        <v>0.0</v>
      </c>
      <c r="N52" s="73"/>
      <c r="O52" s="154"/>
      <c r="Q52" s="155"/>
      <c r="S52" s="155"/>
      <c r="U52" s="29"/>
      <c r="W52" s="30"/>
      <c r="Y52" s="30"/>
      <c r="Z52" s="26"/>
      <c r="AA52" s="31"/>
      <c r="AC52" s="30"/>
      <c r="AE52" s="30"/>
      <c r="AG52" s="30"/>
      <c r="AI52" s="30"/>
      <c r="AK52" s="30"/>
      <c r="AL52" s="26"/>
      <c r="AM52" s="32">
        <f t="shared" si="1"/>
        <v>6916</v>
      </c>
      <c r="AN52" s="20">
        <f t="shared" si="2"/>
        <v>200</v>
      </c>
      <c r="AO52" s="20">
        <f t="shared" si="3"/>
        <v>0</v>
      </c>
      <c r="AP52" s="20">
        <f t="shared" si="4"/>
        <v>200</v>
      </c>
      <c r="AQ52" s="33">
        <f t="shared" si="5"/>
        <v>34.58</v>
      </c>
    </row>
    <row r="53" ht="15.75" customHeight="1">
      <c r="A53" s="34" t="s">
        <v>23</v>
      </c>
      <c r="B53" s="35">
        <f t="shared" si="6"/>
        <v>44978</v>
      </c>
      <c r="C53" s="36">
        <v>2.0</v>
      </c>
      <c r="D53" s="36"/>
      <c r="E53" s="36" t="s">
        <v>37</v>
      </c>
      <c r="F53" s="38"/>
      <c r="G53" s="156">
        <v>100.0</v>
      </c>
      <c r="I53" s="158">
        <v>100.0</v>
      </c>
      <c r="K53" s="29">
        <v>0.0</v>
      </c>
      <c r="M53" s="29">
        <v>0.0</v>
      </c>
      <c r="N53" s="26"/>
      <c r="O53" s="154"/>
      <c r="Q53" s="155"/>
      <c r="S53" s="155"/>
      <c r="U53" s="29"/>
      <c r="W53" s="30"/>
      <c r="Y53" s="30"/>
      <c r="Z53" s="26"/>
      <c r="AA53" s="31"/>
      <c r="AC53" s="30"/>
      <c r="AE53" s="30"/>
      <c r="AG53" s="30"/>
      <c r="AI53" s="30"/>
      <c r="AK53" s="30"/>
      <c r="AL53" s="26"/>
      <c r="AM53" s="39">
        <f t="shared" si="1"/>
        <v>6916</v>
      </c>
      <c r="AN53" s="36">
        <f t="shared" si="2"/>
        <v>200</v>
      </c>
      <c r="AO53" s="36">
        <f t="shared" si="3"/>
        <v>0</v>
      </c>
      <c r="AP53" s="36">
        <f t="shared" si="4"/>
        <v>200</v>
      </c>
      <c r="AQ53" s="40">
        <f t="shared" si="5"/>
        <v>34.58</v>
      </c>
    </row>
    <row r="54" ht="15.75" customHeight="1">
      <c r="A54" s="34" t="s">
        <v>24</v>
      </c>
      <c r="B54" s="35">
        <f t="shared" si="6"/>
        <v>44979</v>
      </c>
      <c r="C54" s="36">
        <v>2.0</v>
      </c>
      <c r="D54" s="36"/>
      <c r="E54" s="36" t="s">
        <v>37</v>
      </c>
      <c r="F54" s="38"/>
      <c r="G54" s="156">
        <v>100.0</v>
      </c>
      <c r="I54" s="158">
        <v>100.0</v>
      </c>
      <c r="K54" s="29">
        <v>0.0</v>
      </c>
      <c r="M54" s="29">
        <v>0.0</v>
      </c>
      <c r="N54" s="26"/>
      <c r="O54" s="154"/>
      <c r="Q54" s="155"/>
      <c r="S54" s="155"/>
      <c r="U54" s="29"/>
      <c r="W54" s="30"/>
      <c r="Y54" s="30"/>
      <c r="Z54" s="26"/>
      <c r="AA54" s="31"/>
      <c r="AC54" s="30"/>
      <c r="AE54" s="30"/>
      <c r="AG54" s="30"/>
      <c r="AI54" s="30"/>
      <c r="AK54" s="30"/>
      <c r="AL54" s="26"/>
      <c r="AM54" s="39">
        <f t="shared" si="1"/>
        <v>6916</v>
      </c>
      <c r="AN54" s="36">
        <f t="shared" si="2"/>
        <v>200</v>
      </c>
      <c r="AO54" s="36">
        <f t="shared" si="3"/>
        <v>0</v>
      </c>
      <c r="AP54" s="36">
        <f t="shared" si="4"/>
        <v>200</v>
      </c>
      <c r="AQ54" s="40">
        <f t="shared" si="5"/>
        <v>34.58</v>
      </c>
    </row>
    <row r="55" ht="15.75" customHeight="1">
      <c r="A55" s="34" t="s">
        <v>25</v>
      </c>
      <c r="B55" s="35">
        <f t="shared" si="6"/>
        <v>44980</v>
      </c>
      <c r="C55" s="36">
        <v>2.0</v>
      </c>
      <c r="D55" s="36"/>
      <c r="E55" s="36" t="s">
        <v>37</v>
      </c>
      <c r="F55" s="38"/>
      <c r="G55" s="156">
        <v>100.0</v>
      </c>
      <c r="I55" s="158">
        <v>100.0</v>
      </c>
      <c r="K55" s="29">
        <v>0.0</v>
      </c>
      <c r="M55" s="29">
        <v>0.0</v>
      </c>
      <c r="N55" s="26"/>
      <c r="O55" s="154"/>
      <c r="Q55" s="155"/>
      <c r="S55" s="155"/>
      <c r="U55" s="29"/>
      <c r="W55" s="30"/>
      <c r="Y55" s="30"/>
      <c r="Z55" s="26"/>
      <c r="AA55" s="31"/>
      <c r="AC55" s="30"/>
      <c r="AE55" s="30"/>
      <c r="AG55" s="30"/>
      <c r="AI55" s="30"/>
      <c r="AK55" s="30"/>
      <c r="AL55" s="26"/>
      <c r="AM55" s="39">
        <f t="shared" si="1"/>
        <v>6916</v>
      </c>
      <c r="AN55" s="36">
        <f t="shared" si="2"/>
        <v>200</v>
      </c>
      <c r="AO55" s="36">
        <f t="shared" si="3"/>
        <v>0</v>
      </c>
      <c r="AP55" s="36">
        <f t="shared" si="4"/>
        <v>200</v>
      </c>
      <c r="AQ55" s="40">
        <f t="shared" si="5"/>
        <v>34.58</v>
      </c>
    </row>
    <row r="56" ht="15.75" customHeight="1">
      <c r="A56" s="34" t="s">
        <v>26</v>
      </c>
      <c r="B56" s="35">
        <f t="shared" si="6"/>
        <v>44981</v>
      </c>
      <c r="C56" s="36">
        <v>2.0</v>
      </c>
      <c r="D56" s="36"/>
      <c r="E56" s="36" t="s">
        <v>37</v>
      </c>
      <c r="F56" s="38"/>
      <c r="G56" s="156">
        <v>100.0</v>
      </c>
      <c r="I56" s="158">
        <v>100.0</v>
      </c>
      <c r="K56" s="29">
        <v>0.0</v>
      </c>
      <c r="M56" s="29">
        <v>0.0</v>
      </c>
      <c r="N56" s="26"/>
      <c r="O56" s="154"/>
      <c r="Q56" s="155"/>
      <c r="S56" s="155"/>
      <c r="U56" s="29"/>
      <c r="W56" s="30"/>
      <c r="Y56" s="30"/>
      <c r="Z56" s="26"/>
      <c r="AA56" s="31"/>
      <c r="AC56" s="30"/>
      <c r="AE56" s="30"/>
      <c r="AG56" s="30"/>
      <c r="AI56" s="30"/>
      <c r="AK56" s="30"/>
      <c r="AL56" s="26"/>
      <c r="AM56" s="39">
        <f t="shared" si="1"/>
        <v>6916</v>
      </c>
      <c r="AN56" s="36">
        <f t="shared" si="2"/>
        <v>200</v>
      </c>
      <c r="AO56" s="36">
        <f t="shared" si="3"/>
        <v>0</v>
      </c>
      <c r="AP56" s="36">
        <f t="shared" si="4"/>
        <v>200</v>
      </c>
      <c r="AQ56" s="40">
        <f t="shared" si="5"/>
        <v>34.58</v>
      </c>
    </row>
    <row r="57" ht="15.75" customHeight="1">
      <c r="A57" s="34" t="s">
        <v>27</v>
      </c>
      <c r="B57" s="35">
        <f t="shared" si="6"/>
        <v>44982</v>
      </c>
      <c r="C57" s="36">
        <v>2.0</v>
      </c>
      <c r="D57" s="36"/>
      <c r="E57" s="36" t="s">
        <v>37</v>
      </c>
      <c r="F57" s="38"/>
      <c r="G57" s="156">
        <v>100.0</v>
      </c>
      <c r="I57" s="158">
        <v>100.0</v>
      </c>
      <c r="K57" s="29">
        <v>0.0</v>
      </c>
      <c r="M57" s="29">
        <v>0.0</v>
      </c>
      <c r="N57" s="26"/>
      <c r="O57" s="154"/>
      <c r="Q57" s="155"/>
      <c r="S57" s="155"/>
      <c r="U57" s="29"/>
      <c r="W57" s="30"/>
      <c r="Y57" s="30"/>
      <c r="Z57" s="26"/>
      <c r="AA57" s="31"/>
      <c r="AC57" s="30"/>
      <c r="AE57" s="30"/>
      <c r="AG57" s="30"/>
      <c r="AI57" s="30"/>
      <c r="AK57" s="30"/>
      <c r="AL57" s="26"/>
      <c r="AM57" s="39">
        <f t="shared" si="1"/>
        <v>6916</v>
      </c>
      <c r="AN57" s="36">
        <f t="shared" si="2"/>
        <v>200</v>
      </c>
      <c r="AO57" s="36">
        <f t="shared" si="3"/>
        <v>0</v>
      </c>
      <c r="AP57" s="36">
        <f t="shared" si="4"/>
        <v>200</v>
      </c>
      <c r="AQ57" s="40">
        <f t="shared" si="5"/>
        <v>34.58</v>
      </c>
    </row>
    <row r="58" ht="15.75" customHeight="1">
      <c r="A58" s="46" t="s">
        <v>28</v>
      </c>
      <c r="B58" s="47">
        <f t="shared" si="6"/>
        <v>44983</v>
      </c>
      <c r="C58" s="49">
        <v>2.0</v>
      </c>
      <c r="D58" s="49"/>
      <c r="E58" s="49" t="s">
        <v>37</v>
      </c>
      <c r="F58" s="52"/>
      <c r="G58" s="167">
        <v>100.0</v>
      </c>
      <c r="H58" s="55"/>
      <c r="I58" s="168">
        <v>100.0</v>
      </c>
      <c r="J58" s="55"/>
      <c r="K58" s="62">
        <v>0.0</v>
      </c>
      <c r="L58" s="55"/>
      <c r="M58" s="62">
        <v>0.0</v>
      </c>
      <c r="N58" s="58"/>
      <c r="O58" s="169"/>
      <c r="P58" s="55"/>
      <c r="Q58" s="170"/>
      <c r="R58" s="55"/>
      <c r="S58" s="170"/>
      <c r="T58" s="55"/>
      <c r="U58" s="62"/>
      <c r="V58" s="55"/>
      <c r="W58" s="65"/>
      <c r="X58" s="55"/>
      <c r="Y58" s="65"/>
      <c r="Z58" s="58"/>
      <c r="AA58" s="67"/>
      <c r="AB58" s="55"/>
      <c r="AC58" s="65"/>
      <c r="AD58" s="55"/>
      <c r="AE58" s="65"/>
      <c r="AF58" s="55"/>
      <c r="AG58" s="65"/>
      <c r="AH58" s="55"/>
      <c r="AI58" s="65"/>
      <c r="AJ58" s="55"/>
      <c r="AK58" s="65"/>
      <c r="AL58" s="58"/>
      <c r="AM58" s="64">
        <f t="shared" si="1"/>
        <v>6916</v>
      </c>
      <c r="AN58" s="49">
        <f t="shared" si="2"/>
        <v>200</v>
      </c>
      <c r="AO58" s="49">
        <f t="shared" si="3"/>
        <v>0</v>
      </c>
      <c r="AP58" s="49">
        <f t="shared" si="4"/>
        <v>200</v>
      </c>
      <c r="AQ58" s="66">
        <f t="shared" si="5"/>
        <v>34.58</v>
      </c>
    </row>
    <row r="59" ht="15.75" customHeight="1">
      <c r="A59" s="18" t="s">
        <v>21</v>
      </c>
      <c r="B59" s="68">
        <f t="shared" si="6"/>
        <v>44984</v>
      </c>
      <c r="C59" s="20">
        <v>3.0</v>
      </c>
      <c r="D59" s="20"/>
      <c r="E59" s="20" t="s">
        <v>22</v>
      </c>
      <c r="F59" s="22"/>
      <c r="G59" s="172"/>
      <c r="H59" s="71"/>
      <c r="I59" s="173"/>
      <c r="J59" s="71"/>
      <c r="K59" s="173"/>
      <c r="L59" s="71"/>
      <c r="M59" s="173"/>
      <c r="N59" s="73"/>
      <c r="O59" s="28">
        <v>225.0</v>
      </c>
      <c r="Q59" s="29">
        <v>225.0</v>
      </c>
      <c r="S59" s="29">
        <v>0.0</v>
      </c>
      <c r="U59" s="29"/>
      <c r="W59" s="30"/>
      <c r="Y59" s="30"/>
      <c r="Z59" s="26"/>
      <c r="AA59" s="31"/>
      <c r="AC59" s="30"/>
      <c r="AE59" s="30"/>
      <c r="AG59" s="30"/>
      <c r="AI59" s="30"/>
      <c r="AK59" s="30"/>
      <c r="AL59" s="26"/>
      <c r="AM59" s="32">
        <f t="shared" si="1"/>
        <v>8109</v>
      </c>
      <c r="AN59" s="20">
        <f t="shared" si="2"/>
        <v>450</v>
      </c>
      <c r="AO59" s="20">
        <f t="shared" si="3"/>
        <v>0</v>
      </c>
      <c r="AP59" s="20">
        <f t="shared" si="4"/>
        <v>450</v>
      </c>
      <c r="AQ59" s="33">
        <f t="shared" si="5"/>
        <v>18.02</v>
      </c>
    </row>
    <row r="60" ht="15.75" customHeight="1">
      <c r="A60" s="34" t="s">
        <v>23</v>
      </c>
      <c r="B60" s="35">
        <f t="shared" si="6"/>
        <v>44985</v>
      </c>
      <c r="C60" s="36">
        <v>3.0</v>
      </c>
      <c r="D60" s="36"/>
      <c r="E60" s="36" t="s">
        <v>22</v>
      </c>
      <c r="F60" s="38"/>
      <c r="G60" s="154"/>
      <c r="I60" s="155"/>
      <c r="K60" s="155"/>
      <c r="M60" s="155"/>
      <c r="N60" s="26"/>
      <c r="O60" s="28">
        <v>225.0</v>
      </c>
      <c r="Q60" s="29">
        <v>225.0</v>
      </c>
      <c r="S60" s="29">
        <v>0.0</v>
      </c>
      <c r="U60" s="29"/>
      <c r="W60" s="30"/>
      <c r="Y60" s="30"/>
      <c r="Z60" s="26"/>
      <c r="AA60" s="31"/>
      <c r="AC60" s="30"/>
      <c r="AE60" s="30"/>
      <c r="AG60" s="30"/>
      <c r="AI60" s="30"/>
      <c r="AK60" s="30"/>
      <c r="AL60" s="26"/>
      <c r="AM60" s="39">
        <f t="shared" si="1"/>
        <v>8109</v>
      </c>
      <c r="AN60" s="36">
        <f t="shared" si="2"/>
        <v>450</v>
      </c>
      <c r="AO60" s="36">
        <f t="shared" si="3"/>
        <v>0</v>
      </c>
      <c r="AP60" s="36">
        <f t="shared" si="4"/>
        <v>450</v>
      </c>
      <c r="AQ60" s="40">
        <f t="shared" si="5"/>
        <v>18.02</v>
      </c>
    </row>
    <row r="61" ht="15.75" customHeight="1">
      <c r="A61" s="34" t="s">
        <v>24</v>
      </c>
      <c r="B61" s="35">
        <f t="shared" si="6"/>
        <v>44986</v>
      </c>
      <c r="C61" s="36">
        <v>3.0</v>
      </c>
      <c r="D61" s="36"/>
      <c r="E61" s="36" t="s">
        <v>22</v>
      </c>
      <c r="F61" s="38"/>
      <c r="G61" s="154"/>
      <c r="I61" s="155"/>
      <c r="K61" s="155"/>
      <c r="M61" s="155"/>
      <c r="N61" s="26"/>
      <c r="O61" s="28">
        <v>225.0</v>
      </c>
      <c r="Q61" s="29">
        <v>225.0</v>
      </c>
      <c r="S61" s="29">
        <v>0.0</v>
      </c>
      <c r="U61" s="29"/>
      <c r="W61" s="30"/>
      <c r="Y61" s="30"/>
      <c r="Z61" s="26"/>
      <c r="AA61" s="31"/>
      <c r="AC61" s="30"/>
      <c r="AE61" s="30"/>
      <c r="AG61" s="30"/>
      <c r="AI61" s="30"/>
      <c r="AK61" s="30"/>
      <c r="AL61" s="26"/>
      <c r="AM61" s="39">
        <f t="shared" si="1"/>
        <v>8109</v>
      </c>
      <c r="AN61" s="36">
        <f t="shared" si="2"/>
        <v>450</v>
      </c>
      <c r="AO61" s="36">
        <f t="shared" si="3"/>
        <v>0</v>
      </c>
      <c r="AP61" s="36">
        <f t="shared" si="4"/>
        <v>450</v>
      </c>
      <c r="AQ61" s="40">
        <f t="shared" si="5"/>
        <v>18.02</v>
      </c>
    </row>
    <row r="62" ht="15.75" customHeight="1">
      <c r="A62" s="34" t="s">
        <v>25</v>
      </c>
      <c r="B62" s="35">
        <f t="shared" si="6"/>
        <v>44987</v>
      </c>
      <c r="C62" s="36">
        <v>3.0</v>
      </c>
      <c r="D62" s="36"/>
      <c r="E62" s="36" t="s">
        <v>22</v>
      </c>
      <c r="F62" s="38"/>
      <c r="G62" s="154"/>
      <c r="I62" s="155"/>
      <c r="K62" s="155"/>
      <c r="M62" s="155"/>
      <c r="N62" s="26"/>
      <c r="O62" s="28">
        <v>225.0</v>
      </c>
      <c r="Q62" s="29">
        <v>225.0</v>
      </c>
      <c r="S62" s="29">
        <v>0.0</v>
      </c>
      <c r="U62" s="29"/>
      <c r="W62" s="30"/>
      <c r="Y62" s="30"/>
      <c r="Z62" s="26"/>
      <c r="AA62" s="31"/>
      <c r="AC62" s="30"/>
      <c r="AE62" s="30"/>
      <c r="AG62" s="30"/>
      <c r="AI62" s="30"/>
      <c r="AK62" s="30"/>
      <c r="AL62" s="26"/>
      <c r="AM62" s="39">
        <f t="shared" si="1"/>
        <v>8109</v>
      </c>
      <c r="AN62" s="36">
        <f t="shared" si="2"/>
        <v>450</v>
      </c>
      <c r="AO62" s="36">
        <f t="shared" si="3"/>
        <v>0</v>
      </c>
      <c r="AP62" s="36">
        <f t="shared" si="4"/>
        <v>450</v>
      </c>
      <c r="AQ62" s="40">
        <f t="shared" si="5"/>
        <v>18.02</v>
      </c>
    </row>
    <row r="63" ht="15.75" customHeight="1">
      <c r="A63" s="34" t="s">
        <v>26</v>
      </c>
      <c r="B63" s="35">
        <f t="shared" si="6"/>
        <v>44988</v>
      </c>
      <c r="C63" s="36">
        <v>3.0</v>
      </c>
      <c r="D63" s="36"/>
      <c r="E63" s="36" t="s">
        <v>22</v>
      </c>
      <c r="F63" s="38"/>
      <c r="G63" s="154"/>
      <c r="I63" s="155"/>
      <c r="K63" s="155"/>
      <c r="M63" s="155"/>
      <c r="N63" s="26"/>
      <c r="O63" s="28">
        <v>225.0</v>
      </c>
      <c r="Q63" s="29">
        <v>225.0</v>
      </c>
      <c r="S63" s="29">
        <v>0.0</v>
      </c>
      <c r="U63" s="29"/>
      <c r="W63" s="30"/>
      <c r="Y63" s="30"/>
      <c r="Z63" s="26"/>
      <c r="AA63" s="31"/>
      <c r="AC63" s="30"/>
      <c r="AE63" s="30"/>
      <c r="AG63" s="30"/>
      <c r="AI63" s="30"/>
      <c r="AK63" s="30"/>
      <c r="AL63" s="26"/>
      <c r="AM63" s="39">
        <f t="shared" si="1"/>
        <v>8109</v>
      </c>
      <c r="AN63" s="36">
        <f t="shared" si="2"/>
        <v>450</v>
      </c>
      <c r="AO63" s="36">
        <f t="shared" si="3"/>
        <v>0</v>
      </c>
      <c r="AP63" s="36">
        <f t="shared" si="4"/>
        <v>450</v>
      </c>
      <c r="AQ63" s="40">
        <f t="shared" si="5"/>
        <v>18.02</v>
      </c>
    </row>
    <row r="64" ht="15.75" customHeight="1">
      <c r="A64" s="34" t="s">
        <v>27</v>
      </c>
      <c r="B64" s="35">
        <f t="shared" si="6"/>
        <v>44989</v>
      </c>
      <c r="C64" s="36">
        <v>3.0</v>
      </c>
      <c r="D64" s="36"/>
      <c r="E64" s="36" t="s">
        <v>22</v>
      </c>
      <c r="F64" s="38"/>
      <c r="G64" s="154"/>
      <c r="I64" s="155"/>
      <c r="K64" s="155"/>
      <c r="M64" s="155"/>
      <c r="N64" s="26"/>
      <c r="O64" s="28">
        <v>225.0</v>
      </c>
      <c r="Q64" s="29">
        <v>225.0</v>
      </c>
      <c r="S64" s="29">
        <v>0.0</v>
      </c>
      <c r="U64" s="29"/>
      <c r="W64" s="30"/>
      <c r="Y64" s="30"/>
      <c r="Z64" s="26"/>
      <c r="AA64" s="31"/>
      <c r="AC64" s="30"/>
      <c r="AE64" s="30"/>
      <c r="AG64" s="30"/>
      <c r="AI64" s="30"/>
      <c r="AK64" s="30"/>
      <c r="AL64" s="26"/>
      <c r="AM64" s="39">
        <f t="shared" si="1"/>
        <v>8109</v>
      </c>
      <c r="AN64" s="36">
        <f t="shared" si="2"/>
        <v>450</v>
      </c>
      <c r="AO64" s="36">
        <f t="shared" si="3"/>
        <v>0</v>
      </c>
      <c r="AP64" s="36">
        <f t="shared" si="4"/>
        <v>450</v>
      </c>
      <c r="AQ64" s="40">
        <f t="shared" si="5"/>
        <v>18.02</v>
      </c>
    </row>
    <row r="65" ht="15.75" customHeight="1">
      <c r="A65" s="46" t="s">
        <v>28</v>
      </c>
      <c r="B65" s="47">
        <f t="shared" si="6"/>
        <v>44990</v>
      </c>
      <c r="C65" s="49">
        <v>3.0</v>
      </c>
      <c r="D65" s="49"/>
      <c r="E65" s="49" t="s">
        <v>22</v>
      </c>
      <c r="F65" s="52"/>
      <c r="G65" s="169"/>
      <c r="H65" s="55"/>
      <c r="I65" s="170"/>
      <c r="J65" s="55"/>
      <c r="K65" s="170"/>
      <c r="L65" s="55"/>
      <c r="M65" s="170"/>
      <c r="N65" s="58"/>
      <c r="O65" s="61">
        <v>225.0</v>
      </c>
      <c r="P65" s="55"/>
      <c r="Q65" s="62">
        <v>225.0</v>
      </c>
      <c r="R65" s="55"/>
      <c r="S65" s="62">
        <v>0.0</v>
      </c>
      <c r="T65" s="55"/>
      <c r="U65" s="62"/>
      <c r="V65" s="55"/>
      <c r="W65" s="65"/>
      <c r="X65" s="55"/>
      <c r="Y65" s="65"/>
      <c r="Z65" s="58"/>
      <c r="AA65" s="67"/>
      <c r="AB65" s="55"/>
      <c r="AC65" s="65"/>
      <c r="AD65" s="55"/>
      <c r="AE65" s="65"/>
      <c r="AF65" s="55"/>
      <c r="AG65" s="65"/>
      <c r="AH65" s="55"/>
      <c r="AI65" s="65"/>
      <c r="AJ65" s="55"/>
      <c r="AK65" s="65"/>
      <c r="AL65" s="58"/>
      <c r="AM65" s="64">
        <f t="shared" si="1"/>
        <v>8109</v>
      </c>
      <c r="AN65" s="49">
        <f t="shared" si="2"/>
        <v>450</v>
      </c>
      <c r="AO65" s="49">
        <f t="shared" si="3"/>
        <v>0</v>
      </c>
      <c r="AP65" s="49">
        <f t="shared" si="4"/>
        <v>450</v>
      </c>
      <c r="AQ65" s="66">
        <f t="shared" si="5"/>
        <v>18.02</v>
      </c>
    </row>
    <row r="66" ht="15.75" customHeight="1">
      <c r="A66" s="18" t="s">
        <v>21</v>
      </c>
      <c r="B66" s="68">
        <f t="shared" si="6"/>
        <v>44991</v>
      </c>
      <c r="C66" s="20">
        <v>3.0</v>
      </c>
      <c r="D66" s="20"/>
      <c r="E66" s="20" t="s">
        <v>34</v>
      </c>
      <c r="F66" s="22"/>
      <c r="G66" s="172"/>
      <c r="H66" s="71"/>
      <c r="I66" s="173"/>
      <c r="J66" s="71"/>
      <c r="K66" s="173"/>
      <c r="L66" s="71"/>
      <c r="M66" s="173"/>
      <c r="N66" s="73"/>
      <c r="O66" s="28">
        <v>225.0</v>
      </c>
      <c r="Q66" s="29">
        <v>225.0</v>
      </c>
      <c r="S66" s="29">
        <v>0.0</v>
      </c>
      <c r="U66" s="29"/>
      <c r="W66" s="30"/>
      <c r="Y66" s="30"/>
      <c r="Z66" s="26"/>
      <c r="AA66" s="31"/>
      <c r="AC66" s="30"/>
      <c r="AE66" s="30"/>
      <c r="AG66" s="30"/>
      <c r="AI66" s="30"/>
      <c r="AK66" s="30"/>
      <c r="AL66" s="26"/>
      <c r="AM66" s="32">
        <f t="shared" si="1"/>
        <v>8109</v>
      </c>
      <c r="AN66" s="20">
        <f t="shared" si="2"/>
        <v>450</v>
      </c>
      <c r="AO66" s="20">
        <f t="shared" si="3"/>
        <v>0</v>
      </c>
      <c r="AP66" s="20">
        <f t="shared" si="4"/>
        <v>450</v>
      </c>
      <c r="AQ66" s="33">
        <f t="shared" si="5"/>
        <v>18.02</v>
      </c>
    </row>
    <row r="67" ht="15.75" customHeight="1">
      <c r="A67" s="34" t="s">
        <v>23</v>
      </c>
      <c r="B67" s="35">
        <f t="shared" si="6"/>
        <v>44992</v>
      </c>
      <c r="C67" s="36">
        <v>3.0</v>
      </c>
      <c r="D67" s="36"/>
      <c r="E67" s="36" t="s">
        <v>34</v>
      </c>
      <c r="F67" s="38"/>
      <c r="G67" s="154"/>
      <c r="I67" s="155"/>
      <c r="K67" s="155"/>
      <c r="M67" s="155"/>
      <c r="N67" s="26"/>
      <c r="O67" s="28">
        <v>225.0</v>
      </c>
      <c r="Q67" s="29">
        <v>225.0</v>
      </c>
      <c r="S67" s="29">
        <v>0.0</v>
      </c>
      <c r="U67" s="29"/>
      <c r="W67" s="30"/>
      <c r="Y67" s="30"/>
      <c r="Z67" s="26"/>
      <c r="AA67" s="31"/>
      <c r="AC67" s="30"/>
      <c r="AE67" s="30"/>
      <c r="AG67" s="30"/>
      <c r="AI67" s="30"/>
      <c r="AK67" s="30"/>
      <c r="AL67" s="26"/>
      <c r="AM67" s="39">
        <f t="shared" si="1"/>
        <v>8109</v>
      </c>
      <c r="AN67" s="36">
        <f t="shared" si="2"/>
        <v>450</v>
      </c>
      <c r="AO67" s="36">
        <f t="shared" si="3"/>
        <v>0</v>
      </c>
      <c r="AP67" s="36">
        <f t="shared" si="4"/>
        <v>450</v>
      </c>
      <c r="AQ67" s="40">
        <f t="shared" si="5"/>
        <v>18.02</v>
      </c>
    </row>
    <row r="68" ht="15.75" customHeight="1">
      <c r="A68" s="34" t="s">
        <v>24</v>
      </c>
      <c r="B68" s="35">
        <f t="shared" si="6"/>
        <v>44993</v>
      </c>
      <c r="C68" s="36">
        <v>3.0</v>
      </c>
      <c r="D68" s="36"/>
      <c r="E68" s="36" t="s">
        <v>34</v>
      </c>
      <c r="F68" s="38"/>
      <c r="G68" s="154"/>
      <c r="I68" s="155"/>
      <c r="K68" s="155"/>
      <c r="M68" s="155"/>
      <c r="N68" s="26"/>
      <c r="O68" s="28">
        <v>225.0</v>
      </c>
      <c r="Q68" s="29">
        <v>225.0</v>
      </c>
      <c r="S68" s="29">
        <v>0.0</v>
      </c>
      <c r="U68" s="29"/>
      <c r="W68" s="30"/>
      <c r="Y68" s="30"/>
      <c r="Z68" s="26"/>
      <c r="AA68" s="31"/>
      <c r="AC68" s="30"/>
      <c r="AE68" s="30"/>
      <c r="AG68" s="30"/>
      <c r="AI68" s="30"/>
      <c r="AK68" s="30"/>
      <c r="AL68" s="26"/>
      <c r="AM68" s="39">
        <f t="shared" si="1"/>
        <v>8109</v>
      </c>
      <c r="AN68" s="36">
        <f t="shared" si="2"/>
        <v>450</v>
      </c>
      <c r="AO68" s="36">
        <f t="shared" si="3"/>
        <v>0</v>
      </c>
      <c r="AP68" s="36">
        <f t="shared" si="4"/>
        <v>450</v>
      </c>
      <c r="AQ68" s="40">
        <f t="shared" si="5"/>
        <v>18.02</v>
      </c>
    </row>
    <row r="69" ht="15.75" customHeight="1">
      <c r="A69" s="34" t="s">
        <v>25</v>
      </c>
      <c r="B69" s="35">
        <f t="shared" si="6"/>
        <v>44994</v>
      </c>
      <c r="C69" s="36">
        <v>3.0</v>
      </c>
      <c r="D69" s="36"/>
      <c r="E69" s="36" t="s">
        <v>34</v>
      </c>
      <c r="F69" s="38"/>
      <c r="G69" s="154"/>
      <c r="I69" s="155"/>
      <c r="K69" s="155"/>
      <c r="M69" s="155"/>
      <c r="N69" s="26"/>
      <c r="O69" s="28">
        <v>225.0</v>
      </c>
      <c r="Q69" s="29">
        <v>225.0</v>
      </c>
      <c r="S69" s="29">
        <v>0.0</v>
      </c>
      <c r="U69" s="29"/>
      <c r="W69" s="30"/>
      <c r="Y69" s="30"/>
      <c r="Z69" s="26"/>
      <c r="AA69" s="31"/>
      <c r="AC69" s="30"/>
      <c r="AE69" s="30"/>
      <c r="AG69" s="30"/>
      <c r="AI69" s="30"/>
      <c r="AK69" s="30"/>
      <c r="AL69" s="26"/>
      <c r="AM69" s="39">
        <f t="shared" si="1"/>
        <v>8109</v>
      </c>
      <c r="AN69" s="36">
        <f t="shared" si="2"/>
        <v>450</v>
      </c>
      <c r="AO69" s="36">
        <f t="shared" si="3"/>
        <v>0</v>
      </c>
      <c r="AP69" s="36">
        <f t="shared" si="4"/>
        <v>450</v>
      </c>
      <c r="AQ69" s="40">
        <f t="shared" si="5"/>
        <v>18.02</v>
      </c>
    </row>
    <row r="70" ht="15.75" customHeight="1">
      <c r="A70" s="34" t="s">
        <v>26</v>
      </c>
      <c r="B70" s="35">
        <f t="shared" si="6"/>
        <v>44995</v>
      </c>
      <c r="C70" s="36">
        <v>3.0</v>
      </c>
      <c r="D70" s="36"/>
      <c r="E70" s="36" t="s">
        <v>34</v>
      </c>
      <c r="F70" s="38"/>
      <c r="G70" s="154"/>
      <c r="I70" s="155"/>
      <c r="K70" s="155"/>
      <c r="M70" s="155"/>
      <c r="N70" s="26"/>
      <c r="O70" s="28">
        <v>225.0</v>
      </c>
      <c r="Q70" s="29">
        <v>225.0</v>
      </c>
      <c r="S70" s="29">
        <v>0.0</v>
      </c>
      <c r="U70" s="29"/>
      <c r="W70" s="30"/>
      <c r="Y70" s="30"/>
      <c r="Z70" s="26"/>
      <c r="AA70" s="31"/>
      <c r="AC70" s="30"/>
      <c r="AE70" s="30"/>
      <c r="AG70" s="30"/>
      <c r="AI70" s="30"/>
      <c r="AK70" s="30"/>
      <c r="AL70" s="26"/>
      <c r="AM70" s="39">
        <f t="shared" si="1"/>
        <v>8109</v>
      </c>
      <c r="AN70" s="36">
        <f t="shared" si="2"/>
        <v>450</v>
      </c>
      <c r="AO70" s="36">
        <f t="shared" si="3"/>
        <v>0</v>
      </c>
      <c r="AP70" s="36">
        <f t="shared" si="4"/>
        <v>450</v>
      </c>
      <c r="AQ70" s="40">
        <f t="shared" si="5"/>
        <v>18.02</v>
      </c>
    </row>
    <row r="71" ht="15.75" customHeight="1">
      <c r="A71" s="34" t="s">
        <v>27</v>
      </c>
      <c r="B71" s="35">
        <f t="shared" si="6"/>
        <v>44996</v>
      </c>
      <c r="C71" s="36">
        <v>3.0</v>
      </c>
      <c r="D71" s="36"/>
      <c r="E71" s="36" t="s">
        <v>34</v>
      </c>
      <c r="F71" s="38"/>
      <c r="G71" s="154"/>
      <c r="I71" s="155"/>
      <c r="K71" s="155"/>
      <c r="M71" s="155"/>
      <c r="N71" s="26"/>
      <c r="O71" s="28">
        <v>225.0</v>
      </c>
      <c r="Q71" s="29">
        <v>225.0</v>
      </c>
      <c r="S71" s="29">
        <v>0.0</v>
      </c>
      <c r="U71" s="29"/>
      <c r="W71" s="30"/>
      <c r="Y71" s="30"/>
      <c r="Z71" s="26"/>
      <c r="AA71" s="31"/>
      <c r="AC71" s="30"/>
      <c r="AE71" s="30"/>
      <c r="AG71" s="30"/>
      <c r="AI71" s="30"/>
      <c r="AK71" s="30"/>
      <c r="AL71" s="26"/>
      <c r="AM71" s="39">
        <f t="shared" si="1"/>
        <v>8109</v>
      </c>
      <c r="AN71" s="36">
        <f t="shared" si="2"/>
        <v>450</v>
      </c>
      <c r="AO71" s="36">
        <f t="shared" si="3"/>
        <v>0</v>
      </c>
      <c r="AP71" s="36">
        <f t="shared" si="4"/>
        <v>450</v>
      </c>
      <c r="AQ71" s="40">
        <f t="shared" si="5"/>
        <v>18.02</v>
      </c>
    </row>
    <row r="72" ht="15.75" customHeight="1">
      <c r="A72" s="46" t="s">
        <v>28</v>
      </c>
      <c r="B72" s="47">
        <f t="shared" si="6"/>
        <v>44997</v>
      </c>
      <c r="C72" s="49">
        <v>3.0</v>
      </c>
      <c r="D72" s="49"/>
      <c r="E72" s="49" t="s">
        <v>34</v>
      </c>
      <c r="F72" s="52"/>
      <c r="G72" s="169"/>
      <c r="H72" s="55"/>
      <c r="I72" s="170"/>
      <c r="J72" s="55"/>
      <c r="K72" s="170"/>
      <c r="L72" s="55"/>
      <c r="M72" s="170"/>
      <c r="N72" s="58"/>
      <c r="O72" s="61">
        <v>225.0</v>
      </c>
      <c r="P72" s="55"/>
      <c r="Q72" s="62">
        <v>225.0</v>
      </c>
      <c r="R72" s="55"/>
      <c r="S72" s="62">
        <v>0.0</v>
      </c>
      <c r="T72" s="55"/>
      <c r="U72" s="62"/>
      <c r="V72" s="55"/>
      <c r="W72" s="65"/>
      <c r="X72" s="55"/>
      <c r="Y72" s="65"/>
      <c r="Z72" s="58"/>
      <c r="AA72" s="67"/>
      <c r="AB72" s="55"/>
      <c r="AC72" s="65"/>
      <c r="AD72" s="55"/>
      <c r="AE72" s="65"/>
      <c r="AF72" s="55"/>
      <c r="AG72" s="65"/>
      <c r="AH72" s="55"/>
      <c r="AI72" s="65"/>
      <c r="AJ72" s="55"/>
      <c r="AK72" s="65"/>
      <c r="AL72" s="58"/>
      <c r="AM72" s="64">
        <f t="shared" si="1"/>
        <v>8109</v>
      </c>
      <c r="AN72" s="49">
        <f t="shared" si="2"/>
        <v>450</v>
      </c>
      <c r="AO72" s="49">
        <f t="shared" si="3"/>
        <v>0</v>
      </c>
      <c r="AP72" s="49">
        <f t="shared" si="4"/>
        <v>450</v>
      </c>
      <c r="AQ72" s="66">
        <f t="shared" si="5"/>
        <v>18.02</v>
      </c>
    </row>
    <row r="73" ht="15.75" customHeight="1">
      <c r="A73" s="18" t="s">
        <v>21</v>
      </c>
      <c r="B73" s="68">
        <f t="shared" si="6"/>
        <v>44998</v>
      </c>
      <c r="C73" s="20">
        <v>3.0</v>
      </c>
      <c r="D73" s="20"/>
      <c r="E73" s="20" t="s">
        <v>36</v>
      </c>
      <c r="F73" s="22"/>
      <c r="G73" s="172"/>
      <c r="H73" s="71"/>
      <c r="I73" s="173"/>
      <c r="J73" s="71"/>
      <c r="K73" s="173"/>
      <c r="L73" s="71"/>
      <c r="M73" s="173"/>
      <c r="N73" s="73"/>
      <c r="O73" s="28">
        <v>225.0</v>
      </c>
      <c r="Q73" s="29">
        <v>225.0</v>
      </c>
      <c r="S73" s="29">
        <v>0.0</v>
      </c>
      <c r="U73" s="29"/>
      <c r="W73" s="30"/>
      <c r="Y73" s="30"/>
      <c r="Z73" s="26"/>
      <c r="AA73" s="31"/>
      <c r="AC73" s="30"/>
      <c r="AE73" s="30"/>
      <c r="AG73" s="30"/>
      <c r="AI73" s="30"/>
      <c r="AK73" s="30"/>
      <c r="AL73" s="26"/>
      <c r="AM73" s="32">
        <f t="shared" si="1"/>
        <v>8109</v>
      </c>
      <c r="AN73" s="20">
        <f t="shared" si="2"/>
        <v>450</v>
      </c>
      <c r="AO73" s="20">
        <f t="shared" si="3"/>
        <v>0</v>
      </c>
      <c r="AP73" s="20">
        <f t="shared" si="4"/>
        <v>450</v>
      </c>
      <c r="AQ73" s="33">
        <f t="shared" si="5"/>
        <v>18.02</v>
      </c>
    </row>
    <row r="74" ht="15.75" customHeight="1">
      <c r="A74" s="34" t="s">
        <v>23</v>
      </c>
      <c r="B74" s="35">
        <f t="shared" si="6"/>
        <v>44999</v>
      </c>
      <c r="C74" s="36">
        <v>3.0</v>
      </c>
      <c r="D74" s="36"/>
      <c r="E74" s="36" t="s">
        <v>36</v>
      </c>
      <c r="F74" s="38"/>
      <c r="G74" s="154"/>
      <c r="I74" s="155"/>
      <c r="K74" s="155"/>
      <c r="M74" s="155"/>
      <c r="N74" s="26"/>
      <c r="O74" s="28">
        <v>225.0</v>
      </c>
      <c r="Q74" s="29">
        <v>225.0</v>
      </c>
      <c r="S74" s="29">
        <v>0.0</v>
      </c>
      <c r="U74" s="29"/>
      <c r="W74" s="30"/>
      <c r="Y74" s="30"/>
      <c r="Z74" s="26"/>
      <c r="AA74" s="31"/>
      <c r="AC74" s="30"/>
      <c r="AE74" s="30"/>
      <c r="AG74" s="30"/>
      <c r="AI74" s="30"/>
      <c r="AK74" s="30"/>
      <c r="AL74" s="26"/>
      <c r="AM74" s="39">
        <f t="shared" si="1"/>
        <v>8109</v>
      </c>
      <c r="AN74" s="36">
        <f t="shared" si="2"/>
        <v>450</v>
      </c>
      <c r="AO74" s="36">
        <f t="shared" si="3"/>
        <v>0</v>
      </c>
      <c r="AP74" s="36">
        <f t="shared" si="4"/>
        <v>450</v>
      </c>
      <c r="AQ74" s="40">
        <f t="shared" si="5"/>
        <v>18.02</v>
      </c>
    </row>
    <row r="75" ht="15.75" customHeight="1">
      <c r="A75" s="34" t="s">
        <v>24</v>
      </c>
      <c r="B75" s="35">
        <f t="shared" si="6"/>
        <v>45000</v>
      </c>
      <c r="C75" s="36">
        <v>3.0</v>
      </c>
      <c r="D75" s="36"/>
      <c r="E75" s="36" t="s">
        <v>36</v>
      </c>
      <c r="F75" s="38"/>
      <c r="G75" s="154"/>
      <c r="I75" s="155"/>
      <c r="K75" s="155"/>
      <c r="M75" s="155"/>
      <c r="N75" s="26"/>
      <c r="O75" s="28">
        <v>225.0</v>
      </c>
      <c r="Q75" s="29">
        <v>225.0</v>
      </c>
      <c r="S75" s="29">
        <v>0.0</v>
      </c>
      <c r="U75" s="29"/>
      <c r="W75" s="30"/>
      <c r="Y75" s="30"/>
      <c r="Z75" s="26"/>
      <c r="AA75" s="31"/>
      <c r="AC75" s="30"/>
      <c r="AE75" s="30"/>
      <c r="AG75" s="30"/>
      <c r="AI75" s="30"/>
      <c r="AK75" s="30"/>
      <c r="AL75" s="26"/>
      <c r="AM75" s="39">
        <f t="shared" si="1"/>
        <v>8109</v>
      </c>
      <c r="AN75" s="36">
        <f t="shared" si="2"/>
        <v>450</v>
      </c>
      <c r="AO75" s="36">
        <f t="shared" si="3"/>
        <v>0</v>
      </c>
      <c r="AP75" s="36">
        <f t="shared" si="4"/>
        <v>450</v>
      </c>
      <c r="AQ75" s="40">
        <f t="shared" si="5"/>
        <v>18.02</v>
      </c>
    </row>
    <row r="76" ht="15.75" customHeight="1">
      <c r="A76" s="34" t="s">
        <v>25</v>
      </c>
      <c r="B76" s="35">
        <f t="shared" si="6"/>
        <v>45001</v>
      </c>
      <c r="C76" s="36">
        <v>3.0</v>
      </c>
      <c r="D76" s="36"/>
      <c r="E76" s="36" t="s">
        <v>36</v>
      </c>
      <c r="F76" s="38"/>
      <c r="G76" s="154"/>
      <c r="I76" s="155"/>
      <c r="K76" s="155"/>
      <c r="M76" s="155"/>
      <c r="N76" s="26"/>
      <c r="O76" s="28">
        <v>225.0</v>
      </c>
      <c r="Q76" s="29">
        <v>225.0</v>
      </c>
      <c r="S76" s="29">
        <v>0.0</v>
      </c>
      <c r="U76" s="29"/>
      <c r="W76" s="30"/>
      <c r="Y76" s="30"/>
      <c r="Z76" s="26"/>
      <c r="AA76" s="31"/>
      <c r="AC76" s="30"/>
      <c r="AE76" s="30"/>
      <c r="AG76" s="30"/>
      <c r="AI76" s="30"/>
      <c r="AK76" s="30"/>
      <c r="AL76" s="26"/>
      <c r="AM76" s="39">
        <f t="shared" si="1"/>
        <v>8109</v>
      </c>
      <c r="AN76" s="36">
        <f t="shared" si="2"/>
        <v>450</v>
      </c>
      <c r="AO76" s="36">
        <f t="shared" si="3"/>
        <v>0</v>
      </c>
      <c r="AP76" s="36">
        <f t="shared" si="4"/>
        <v>450</v>
      </c>
      <c r="AQ76" s="40">
        <f t="shared" si="5"/>
        <v>18.02</v>
      </c>
    </row>
    <row r="77" ht="15.75" customHeight="1">
      <c r="A77" s="34" t="s">
        <v>26</v>
      </c>
      <c r="B77" s="35">
        <f t="shared" si="6"/>
        <v>45002</v>
      </c>
      <c r="C77" s="36">
        <v>3.0</v>
      </c>
      <c r="D77" s="36"/>
      <c r="E77" s="36" t="s">
        <v>36</v>
      </c>
      <c r="F77" s="38"/>
      <c r="G77" s="154"/>
      <c r="I77" s="155"/>
      <c r="K77" s="155"/>
      <c r="M77" s="155"/>
      <c r="N77" s="26"/>
      <c r="O77" s="28">
        <v>225.0</v>
      </c>
      <c r="Q77" s="29">
        <v>225.0</v>
      </c>
      <c r="S77" s="29">
        <v>0.0</v>
      </c>
      <c r="U77" s="29"/>
      <c r="W77" s="30"/>
      <c r="Y77" s="30"/>
      <c r="Z77" s="26"/>
      <c r="AA77" s="31"/>
      <c r="AC77" s="30"/>
      <c r="AE77" s="30"/>
      <c r="AG77" s="30"/>
      <c r="AI77" s="30"/>
      <c r="AK77" s="30"/>
      <c r="AL77" s="26"/>
      <c r="AM77" s="39">
        <f t="shared" si="1"/>
        <v>8109</v>
      </c>
      <c r="AN77" s="36">
        <f t="shared" si="2"/>
        <v>450</v>
      </c>
      <c r="AO77" s="36">
        <f t="shared" si="3"/>
        <v>0</v>
      </c>
      <c r="AP77" s="36">
        <f t="shared" si="4"/>
        <v>450</v>
      </c>
      <c r="AQ77" s="40">
        <f t="shared" si="5"/>
        <v>18.02</v>
      </c>
    </row>
    <row r="78" ht="15.75" customHeight="1">
      <c r="A78" s="34" t="s">
        <v>27</v>
      </c>
      <c r="B78" s="35">
        <f t="shared" si="6"/>
        <v>45003</v>
      </c>
      <c r="C78" s="36">
        <v>3.0</v>
      </c>
      <c r="D78" s="36"/>
      <c r="E78" s="36" t="s">
        <v>36</v>
      </c>
      <c r="F78" s="38"/>
      <c r="G78" s="154"/>
      <c r="I78" s="155"/>
      <c r="K78" s="155"/>
      <c r="M78" s="155"/>
      <c r="N78" s="26"/>
      <c r="O78" s="28">
        <v>225.0</v>
      </c>
      <c r="Q78" s="29">
        <v>225.0</v>
      </c>
      <c r="S78" s="29">
        <v>0.0</v>
      </c>
      <c r="U78" s="29"/>
      <c r="W78" s="30"/>
      <c r="Y78" s="30"/>
      <c r="Z78" s="26"/>
      <c r="AA78" s="31"/>
      <c r="AC78" s="30"/>
      <c r="AE78" s="30"/>
      <c r="AG78" s="30"/>
      <c r="AI78" s="30"/>
      <c r="AK78" s="30"/>
      <c r="AL78" s="26"/>
      <c r="AM78" s="39">
        <f t="shared" si="1"/>
        <v>8109</v>
      </c>
      <c r="AN78" s="36">
        <f t="shared" si="2"/>
        <v>450</v>
      </c>
      <c r="AO78" s="36">
        <f t="shared" si="3"/>
        <v>0</v>
      </c>
      <c r="AP78" s="36">
        <f t="shared" si="4"/>
        <v>450</v>
      </c>
      <c r="AQ78" s="40">
        <f t="shared" si="5"/>
        <v>18.02</v>
      </c>
    </row>
    <row r="79" ht="15.75" customHeight="1">
      <c r="A79" s="46" t="s">
        <v>28</v>
      </c>
      <c r="B79" s="47">
        <f t="shared" si="6"/>
        <v>45004</v>
      </c>
      <c r="C79" s="49">
        <v>3.0</v>
      </c>
      <c r="D79" s="49"/>
      <c r="E79" s="49" t="s">
        <v>36</v>
      </c>
      <c r="F79" s="52"/>
      <c r="G79" s="169"/>
      <c r="H79" s="55"/>
      <c r="I79" s="170"/>
      <c r="J79" s="55"/>
      <c r="K79" s="170"/>
      <c r="L79" s="55"/>
      <c r="M79" s="170"/>
      <c r="N79" s="58"/>
      <c r="O79" s="61">
        <v>225.0</v>
      </c>
      <c r="P79" s="55"/>
      <c r="Q79" s="62">
        <v>225.0</v>
      </c>
      <c r="R79" s="55"/>
      <c r="S79" s="62">
        <v>0.0</v>
      </c>
      <c r="T79" s="55"/>
      <c r="U79" s="62"/>
      <c r="V79" s="55"/>
      <c r="W79" s="65"/>
      <c r="X79" s="55"/>
      <c r="Y79" s="65"/>
      <c r="Z79" s="58"/>
      <c r="AA79" s="67"/>
      <c r="AB79" s="55"/>
      <c r="AC79" s="65"/>
      <c r="AD79" s="55"/>
      <c r="AE79" s="65"/>
      <c r="AF79" s="55"/>
      <c r="AG79" s="65"/>
      <c r="AH79" s="55"/>
      <c r="AI79" s="65"/>
      <c r="AJ79" s="55"/>
      <c r="AK79" s="65"/>
      <c r="AL79" s="58"/>
      <c r="AM79" s="64">
        <f t="shared" si="1"/>
        <v>8109</v>
      </c>
      <c r="AN79" s="49">
        <f t="shared" si="2"/>
        <v>450</v>
      </c>
      <c r="AO79" s="49">
        <f t="shared" si="3"/>
        <v>0</v>
      </c>
      <c r="AP79" s="49">
        <f t="shared" si="4"/>
        <v>450</v>
      </c>
      <c r="AQ79" s="66">
        <f t="shared" si="5"/>
        <v>18.02</v>
      </c>
    </row>
    <row r="80" ht="15.75" customHeight="1">
      <c r="A80" s="18" t="s">
        <v>21</v>
      </c>
      <c r="B80" s="68">
        <f t="shared" si="6"/>
        <v>45005</v>
      </c>
      <c r="C80" s="20">
        <v>3.0</v>
      </c>
      <c r="D80" s="20"/>
      <c r="E80" s="20" t="s">
        <v>37</v>
      </c>
      <c r="F80" s="22"/>
      <c r="G80" s="172"/>
      <c r="H80" s="71"/>
      <c r="I80" s="173"/>
      <c r="J80" s="71"/>
      <c r="K80" s="173"/>
      <c r="L80" s="71"/>
      <c r="M80" s="173"/>
      <c r="N80" s="73"/>
      <c r="O80" s="28">
        <v>225.0</v>
      </c>
      <c r="Q80" s="29">
        <v>225.0</v>
      </c>
      <c r="S80" s="29">
        <v>0.0</v>
      </c>
      <c r="U80" s="29"/>
      <c r="W80" s="30"/>
      <c r="Y80" s="30"/>
      <c r="Z80" s="26"/>
      <c r="AA80" s="31"/>
      <c r="AC80" s="30"/>
      <c r="AE80" s="30"/>
      <c r="AG80" s="30"/>
      <c r="AI80" s="30"/>
      <c r="AK80" s="30"/>
      <c r="AL80" s="26"/>
      <c r="AM80" s="32">
        <f t="shared" si="1"/>
        <v>8109</v>
      </c>
      <c r="AN80" s="20">
        <f t="shared" si="2"/>
        <v>450</v>
      </c>
      <c r="AO80" s="20">
        <f t="shared" si="3"/>
        <v>0</v>
      </c>
      <c r="AP80" s="20">
        <f t="shared" si="4"/>
        <v>450</v>
      </c>
      <c r="AQ80" s="33">
        <f t="shared" si="5"/>
        <v>18.02</v>
      </c>
    </row>
    <row r="81" ht="15.75" customHeight="1">
      <c r="A81" s="34" t="s">
        <v>23</v>
      </c>
      <c r="B81" s="35">
        <f t="shared" si="6"/>
        <v>45006</v>
      </c>
      <c r="C81" s="36">
        <v>3.0</v>
      </c>
      <c r="D81" s="36"/>
      <c r="E81" s="36" t="s">
        <v>37</v>
      </c>
      <c r="F81" s="38"/>
      <c r="G81" s="154"/>
      <c r="I81" s="155"/>
      <c r="K81" s="155"/>
      <c r="M81" s="155"/>
      <c r="N81" s="26"/>
      <c r="O81" s="28">
        <v>225.0</v>
      </c>
      <c r="Q81" s="29">
        <v>225.0</v>
      </c>
      <c r="S81" s="29">
        <v>0.0</v>
      </c>
      <c r="U81" s="29"/>
      <c r="W81" s="30"/>
      <c r="Y81" s="30"/>
      <c r="Z81" s="26"/>
      <c r="AA81" s="31"/>
      <c r="AC81" s="30"/>
      <c r="AE81" s="30"/>
      <c r="AG81" s="30"/>
      <c r="AI81" s="30"/>
      <c r="AK81" s="30"/>
      <c r="AL81" s="26"/>
      <c r="AM81" s="39">
        <f t="shared" si="1"/>
        <v>8109</v>
      </c>
      <c r="AN81" s="36">
        <f t="shared" si="2"/>
        <v>450</v>
      </c>
      <c r="AO81" s="36">
        <f t="shared" si="3"/>
        <v>0</v>
      </c>
      <c r="AP81" s="36">
        <f t="shared" si="4"/>
        <v>450</v>
      </c>
      <c r="AQ81" s="40">
        <f t="shared" si="5"/>
        <v>18.02</v>
      </c>
    </row>
    <row r="82" ht="15.75" customHeight="1">
      <c r="A82" s="34" t="s">
        <v>24</v>
      </c>
      <c r="B82" s="35">
        <f t="shared" si="6"/>
        <v>45007</v>
      </c>
      <c r="C82" s="36">
        <v>3.0</v>
      </c>
      <c r="D82" s="36"/>
      <c r="E82" s="36" t="s">
        <v>37</v>
      </c>
      <c r="F82" s="38"/>
      <c r="G82" s="154"/>
      <c r="I82" s="155"/>
      <c r="K82" s="155"/>
      <c r="M82" s="155"/>
      <c r="N82" s="26"/>
      <c r="O82" s="28">
        <v>225.0</v>
      </c>
      <c r="Q82" s="29">
        <v>225.0</v>
      </c>
      <c r="S82" s="29">
        <v>0.0</v>
      </c>
      <c r="U82" s="29"/>
      <c r="W82" s="30"/>
      <c r="Y82" s="30"/>
      <c r="Z82" s="26"/>
      <c r="AA82" s="31"/>
      <c r="AC82" s="30"/>
      <c r="AE82" s="30"/>
      <c r="AG82" s="30"/>
      <c r="AI82" s="30"/>
      <c r="AK82" s="30"/>
      <c r="AL82" s="26"/>
      <c r="AM82" s="39">
        <f t="shared" si="1"/>
        <v>8109</v>
      </c>
      <c r="AN82" s="36">
        <f t="shared" si="2"/>
        <v>450</v>
      </c>
      <c r="AO82" s="36">
        <f t="shared" si="3"/>
        <v>0</v>
      </c>
      <c r="AP82" s="36">
        <f t="shared" si="4"/>
        <v>450</v>
      </c>
      <c r="AQ82" s="40">
        <f t="shared" si="5"/>
        <v>18.02</v>
      </c>
    </row>
    <row r="83" ht="15.75" customHeight="1">
      <c r="A83" s="34" t="s">
        <v>25</v>
      </c>
      <c r="B83" s="35">
        <f t="shared" si="6"/>
        <v>45008</v>
      </c>
      <c r="C83" s="36">
        <v>3.0</v>
      </c>
      <c r="D83" s="36"/>
      <c r="E83" s="36" t="s">
        <v>37</v>
      </c>
      <c r="F83" s="38"/>
      <c r="G83" s="154"/>
      <c r="I83" s="155"/>
      <c r="K83" s="155"/>
      <c r="M83" s="155"/>
      <c r="N83" s="26"/>
      <c r="O83" s="28">
        <v>225.0</v>
      </c>
      <c r="Q83" s="29">
        <v>225.0</v>
      </c>
      <c r="S83" s="29">
        <v>0.0</v>
      </c>
      <c r="U83" s="29"/>
      <c r="W83" s="30"/>
      <c r="Y83" s="30"/>
      <c r="Z83" s="26"/>
      <c r="AA83" s="31"/>
      <c r="AC83" s="30"/>
      <c r="AE83" s="30"/>
      <c r="AG83" s="30"/>
      <c r="AI83" s="30"/>
      <c r="AK83" s="30"/>
      <c r="AL83" s="26"/>
      <c r="AM83" s="39">
        <f t="shared" si="1"/>
        <v>8109</v>
      </c>
      <c r="AN83" s="36">
        <f t="shared" si="2"/>
        <v>450</v>
      </c>
      <c r="AO83" s="36">
        <f t="shared" si="3"/>
        <v>0</v>
      </c>
      <c r="AP83" s="36">
        <f t="shared" si="4"/>
        <v>450</v>
      </c>
      <c r="AQ83" s="40">
        <f t="shared" si="5"/>
        <v>18.02</v>
      </c>
    </row>
    <row r="84" ht="15.75" customHeight="1">
      <c r="A84" s="34" t="s">
        <v>26</v>
      </c>
      <c r="B84" s="35">
        <f t="shared" si="6"/>
        <v>45009</v>
      </c>
      <c r="C84" s="36">
        <v>3.0</v>
      </c>
      <c r="D84" s="36"/>
      <c r="E84" s="36" t="s">
        <v>37</v>
      </c>
      <c r="F84" s="38"/>
      <c r="G84" s="154"/>
      <c r="I84" s="155"/>
      <c r="K84" s="155"/>
      <c r="M84" s="155"/>
      <c r="N84" s="26"/>
      <c r="O84" s="28">
        <v>225.0</v>
      </c>
      <c r="Q84" s="29">
        <v>225.0</v>
      </c>
      <c r="S84" s="29">
        <v>0.0</v>
      </c>
      <c r="U84" s="29"/>
      <c r="W84" s="30"/>
      <c r="Y84" s="30"/>
      <c r="Z84" s="26"/>
      <c r="AA84" s="31"/>
      <c r="AC84" s="30"/>
      <c r="AE84" s="30"/>
      <c r="AG84" s="30"/>
      <c r="AI84" s="30"/>
      <c r="AK84" s="30"/>
      <c r="AL84" s="26"/>
      <c r="AM84" s="39">
        <f t="shared" si="1"/>
        <v>8109</v>
      </c>
      <c r="AN84" s="36">
        <f t="shared" si="2"/>
        <v>450</v>
      </c>
      <c r="AO84" s="36">
        <f t="shared" si="3"/>
        <v>0</v>
      </c>
      <c r="AP84" s="36">
        <f t="shared" si="4"/>
        <v>450</v>
      </c>
      <c r="AQ84" s="40">
        <f t="shared" si="5"/>
        <v>18.02</v>
      </c>
    </row>
    <row r="85" ht="15.75" customHeight="1">
      <c r="A85" s="34" t="s">
        <v>27</v>
      </c>
      <c r="B85" s="35">
        <f t="shared" si="6"/>
        <v>45010</v>
      </c>
      <c r="C85" s="36">
        <v>3.0</v>
      </c>
      <c r="D85" s="36"/>
      <c r="E85" s="36" t="s">
        <v>37</v>
      </c>
      <c r="F85" s="38"/>
      <c r="G85" s="154"/>
      <c r="I85" s="155"/>
      <c r="K85" s="155"/>
      <c r="M85" s="155"/>
      <c r="N85" s="26"/>
      <c r="O85" s="28">
        <v>225.0</v>
      </c>
      <c r="Q85" s="29">
        <v>225.0</v>
      </c>
      <c r="S85" s="29">
        <v>0.0</v>
      </c>
      <c r="U85" s="29"/>
      <c r="W85" s="30"/>
      <c r="Y85" s="30"/>
      <c r="Z85" s="26"/>
      <c r="AA85" s="31"/>
      <c r="AC85" s="30"/>
      <c r="AE85" s="30"/>
      <c r="AG85" s="30"/>
      <c r="AI85" s="30"/>
      <c r="AK85" s="30"/>
      <c r="AL85" s="26"/>
      <c r="AM85" s="39">
        <f t="shared" si="1"/>
        <v>8109</v>
      </c>
      <c r="AN85" s="36">
        <f t="shared" si="2"/>
        <v>450</v>
      </c>
      <c r="AO85" s="36">
        <f t="shared" si="3"/>
        <v>0</v>
      </c>
      <c r="AP85" s="36">
        <f t="shared" si="4"/>
        <v>450</v>
      </c>
      <c r="AQ85" s="40">
        <f t="shared" si="5"/>
        <v>18.02</v>
      </c>
    </row>
    <row r="86" ht="15.75" customHeight="1">
      <c r="A86" s="46" t="s">
        <v>28</v>
      </c>
      <c r="B86" s="47">
        <f t="shared" si="6"/>
        <v>45011</v>
      </c>
      <c r="C86" s="49">
        <v>3.0</v>
      </c>
      <c r="D86" s="49"/>
      <c r="E86" s="49" t="s">
        <v>37</v>
      </c>
      <c r="F86" s="52"/>
      <c r="G86" s="169"/>
      <c r="H86" s="55"/>
      <c r="I86" s="170"/>
      <c r="J86" s="55"/>
      <c r="K86" s="170"/>
      <c r="L86" s="55"/>
      <c r="M86" s="170"/>
      <c r="N86" s="58"/>
      <c r="O86" s="61">
        <v>225.0</v>
      </c>
      <c r="P86" s="55"/>
      <c r="Q86" s="62">
        <v>225.0</v>
      </c>
      <c r="R86" s="55"/>
      <c r="S86" s="62">
        <v>0.0</v>
      </c>
      <c r="T86" s="55"/>
      <c r="U86" s="62"/>
      <c r="V86" s="55"/>
      <c r="W86" s="65"/>
      <c r="X86" s="55"/>
      <c r="Y86" s="65"/>
      <c r="Z86" s="58"/>
      <c r="AA86" s="67"/>
      <c r="AB86" s="55"/>
      <c r="AC86" s="65"/>
      <c r="AD86" s="55"/>
      <c r="AE86" s="65"/>
      <c r="AF86" s="55"/>
      <c r="AG86" s="65"/>
      <c r="AH86" s="55"/>
      <c r="AI86" s="65"/>
      <c r="AJ86" s="55"/>
      <c r="AK86" s="65"/>
      <c r="AL86" s="58"/>
      <c r="AM86" s="64">
        <f t="shared" si="1"/>
        <v>8109</v>
      </c>
      <c r="AN86" s="49">
        <f t="shared" si="2"/>
        <v>450</v>
      </c>
      <c r="AO86" s="49">
        <f t="shared" si="3"/>
        <v>0</v>
      </c>
      <c r="AP86" s="49">
        <f t="shared" si="4"/>
        <v>450</v>
      </c>
      <c r="AQ86" s="66">
        <f t="shared" si="5"/>
        <v>18.02</v>
      </c>
    </row>
    <row r="87" ht="15.75" customHeight="1">
      <c r="A87" s="18" t="s">
        <v>21</v>
      </c>
      <c r="B87" s="68">
        <f t="shared" si="6"/>
        <v>45012</v>
      </c>
      <c r="C87" s="20">
        <v>4.0</v>
      </c>
      <c r="D87" s="20"/>
      <c r="E87" s="20" t="s">
        <v>22</v>
      </c>
      <c r="F87" s="22"/>
      <c r="G87" s="31"/>
      <c r="I87" s="30"/>
      <c r="K87" s="30"/>
      <c r="M87" s="30"/>
      <c r="O87" s="28">
        <v>225.0</v>
      </c>
      <c r="Q87" s="29">
        <v>225.0</v>
      </c>
      <c r="S87" s="29">
        <v>0.0</v>
      </c>
      <c r="U87" s="29"/>
      <c r="W87" s="30"/>
      <c r="Y87" s="30"/>
      <c r="Z87" s="26"/>
      <c r="AA87" s="31"/>
      <c r="AC87" s="30"/>
      <c r="AE87" s="30"/>
      <c r="AG87" s="30"/>
      <c r="AI87" s="30"/>
      <c r="AK87" s="30"/>
      <c r="AL87" s="26"/>
      <c r="AM87" s="32">
        <f t="shared" si="1"/>
        <v>8109</v>
      </c>
      <c r="AN87" s="20">
        <f t="shared" si="2"/>
        <v>450</v>
      </c>
      <c r="AO87" s="20">
        <f t="shared" si="3"/>
        <v>0</v>
      </c>
      <c r="AP87" s="20">
        <f t="shared" si="4"/>
        <v>450</v>
      </c>
      <c r="AQ87" s="33">
        <f t="shared" si="5"/>
        <v>18.02</v>
      </c>
    </row>
    <row r="88" ht="15.75" customHeight="1">
      <c r="A88" s="34" t="s">
        <v>23</v>
      </c>
      <c r="B88" s="35">
        <f t="shared" si="6"/>
        <v>45013</v>
      </c>
      <c r="C88" s="36">
        <v>4.0</v>
      </c>
      <c r="D88" s="36"/>
      <c r="E88" s="36" t="s">
        <v>22</v>
      </c>
      <c r="F88" s="38"/>
      <c r="G88" s="31"/>
      <c r="I88" s="30"/>
      <c r="K88" s="30"/>
      <c r="M88" s="30"/>
      <c r="O88" s="28">
        <v>225.0</v>
      </c>
      <c r="Q88" s="29">
        <v>225.0</v>
      </c>
      <c r="S88" s="29">
        <v>0.0</v>
      </c>
      <c r="U88" s="29"/>
      <c r="W88" s="30"/>
      <c r="Y88" s="30"/>
      <c r="Z88" s="26"/>
      <c r="AA88" s="31"/>
      <c r="AC88" s="30"/>
      <c r="AE88" s="30"/>
      <c r="AG88" s="30"/>
      <c r="AI88" s="30"/>
      <c r="AK88" s="30"/>
      <c r="AL88" s="26"/>
      <c r="AM88" s="39">
        <f t="shared" si="1"/>
        <v>8109</v>
      </c>
      <c r="AN88" s="36">
        <f t="shared" si="2"/>
        <v>450</v>
      </c>
      <c r="AO88" s="36">
        <f t="shared" si="3"/>
        <v>0</v>
      </c>
      <c r="AP88" s="36">
        <f t="shared" si="4"/>
        <v>450</v>
      </c>
      <c r="AQ88" s="40">
        <f t="shared" si="5"/>
        <v>18.02</v>
      </c>
    </row>
    <row r="89" ht="15.75" customHeight="1">
      <c r="A89" s="34" t="s">
        <v>24</v>
      </c>
      <c r="B89" s="35">
        <f t="shared" si="6"/>
        <v>45014</v>
      </c>
      <c r="C89" s="36">
        <v>4.0</v>
      </c>
      <c r="D89" s="36"/>
      <c r="E89" s="36" t="s">
        <v>22</v>
      </c>
      <c r="F89" s="38"/>
      <c r="G89" s="31"/>
      <c r="I89" s="30"/>
      <c r="K89" s="30"/>
      <c r="M89" s="30"/>
      <c r="O89" s="28">
        <v>225.0</v>
      </c>
      <c r="Q89" s="29">
        <v>225.0</v>
      </c>
      <c r="S89" s="29">
        <v>0.0</v>
      </c>
      <c r="U89" s="29"/>
      <c r="W89" s="30"/>
      <c r="Y89" s="30"/>
      <c r="Z89" s="26"/>
      <c r="AA89" s="31"/>
      <c r="AC89" s="30"/>
      <c r="AE89" s="30"/>
      <c r="AG89" s="30"/>
      <c r="AI89" s="30"/>
      <c r="AK89" s="30"/>
      <c r="AL89" s="26"/>
      <c r="AM89" s="39">
        <f t="shared" si="1"/>
        <v>8109</v>
      </c>
      <c r="AN89" s="36">
        <f t="shared" si="2"/>
        <v>450</v>
      </c>
      <c r="AO89" s="36">
        <f t="shared" si="3"/>
        <v>0</v>
      </c>
      <c r="AP89" s="36">
        <f t="shared" si="4"/>
        <v>450</v>
      </c>
      <c r="AQ89" s="40">
        <f t="shared" si="5"/>
        <v>18.02</v>
      </c>
    </row>
    <row r="90" ht="15.75" customHeight="1">
      <c r="A90" s="34" t="s">
        <v>25</v>
      </c>
      <c r="B90" s="35">
        <f t="shared" si="6"/>
        <v>45015</v>
      </c>
      <c r="C90" s="36">
        <v>4.0</v>
      </c>
      <c r="D90" s="36"/>
      <c r="E90" s="36" t="s">
        <v>22</v>
      </c>
      <c r="F90" s="38"/>
      <c r="G90" s="31"/>
      <c r="I90" s="30"/>
      <c r="K90" s="30"/>
      <c r="M90" s="30"/>
      <c r="O90" s="28">
        <v>225.0</v>
      </c>
      <c r="Q90" s="29">
        <v>225.0</v>
      </c>
      <c r="S90" s="29">
        <v>0.0</v>
      </c>
      <c r="U90" s="29"/>
      <c r="W90" s="30"/>
      <c r="Y90" s="30"/>
      <c r="Z90" s="26"/>
      <c r="AA90" s="31"/>
      <c r="AC90" s="30"/>
      <c r="AE90" s="30"/>
      <c r="AG90" s="30"/>
      <c r="AI90" s="30"/>
      <c r="AK90" s="30"/>
      <c r="AL90" s="26"/>
      <c r="AM90" s="39">
        <f t="shared" si="1"/>
        <v>8109</v>
      </c>
      <c r="AN90" s="36">
        <f t="shared" si="2"/>
        <v>450</v>
      </c>
      <c r="AO90" s="36">
        <f t="shared" si="3"/>
        <v>0</v>
      </c>
      <c r="AP90" s="36">
        <f t="shared" si="4"/>
        <v>450</v>
      </c>
      <c r="AQ90" s="40">
        <f t="shared" si="5"/>
        <v>18.02</v>
      </c>
    </row>
    <row r="91" ht="15.75" customHeight="1">
      <c r="A91" s="34" t="s">
        <v>26</v>
      </c>
      <c r="B91" s="35">
        <f t="shared" si="6"/>
        <v>45016</v>
      </c>
      <c r="C91" s="36">
        <v>4.0</v>
      </c>
      <c r="D91" s="36"/>
      <c r="E91" s="36" t="s">
        <v>22</v>
      </c>
      <c r="F91" s="38"/>
      <c r="G91" s="31"/>
      <c r="I91" s="30"/>
      <c r="K91" s="30"/>
      <c r="M91" s="30"/>
      <c r="O91" s="28">
        <v>225.0</v>
      </c>
      <c r="Q91" s="29">
        <v>225.0</v>
      </c>
      <c r="S91" s="29">
        <v>0.0</v>
      </c>
      <c r="U91" s="29"/>
      <c r="W91" s="30"/>
      <c r="Y91" s="30"/>
      <c r="Z91" s="26"/>
      <c r="AA91" s="31"/>
      <c r="AC91" s="30"/>
      <c r="AE91" s="30"/>
      <c r="AG91" s="30"/>
      <c r="AI91" s="30"/>
      <c r="AK91" s="30"/>
      <c r="AL91" s="26"/>
      <c r="AM91" s="39">
        <f t="shared" si="1"/>
        <v>8109</v>
      </c>
      <c r="AN91" s="36">
        <f t="shared" si="2"/>
        <v>450</v>
      </c>
      <c r="AO91" s="36">
        <f t="shared" si="3"/>
        <v>0</v>
      </c>
      <c r="AP91" s="36">
        <f t="shared" si="4"/>
        <v>450</v>
      </c>
      <c r="AQ91" s="40">
        <f t="shared" si="5"/>
        <v>18.02</v>
      </c>
    </row>
    <row r="92" ht="15.75" customHeight="1">
      <c r="A92" s="34" t="s">
        <v>27</v>
      </c>
      <c r="B92" s="35">
        <f t="shared" si="6"/>
        <v>45017</v>
      </c>
      <c r="C92" s="36">
        <v>4.0</v>
      </c>
      <c r="D92" s="36"/>
      <c r="E92" s="36" t="s">
        <v>22</v>
      </c>
      <c r="F92" s="38"/>
      <c r="G92" s="31"/>
      <c r="I92" s="30"/>
      <c r="K92" s="30"/>
      <c r="M92" s="30"/>
      <c r="O92" s="28">
        <v>225.0</v>
      </c>
      <c r="Q92" s="29">
        <v>225.0</v>
      </c>
      <c r="S92" s="29">
        <v>0.0</v>
      </c>
      <c r="U92" s="29"/>
      <c r="W92" s="30"/>
      <c r="Y92" s="30"/>
      <c r="Z92" s="26"/>
      <c r="AA92" s="31"/>
      <c r="AC92" s="30"/>
      <c r="AE92" s="30"/>
      <c r="AG92" s="30"/>
      <c r="AI92" s="30"/>
      <c r="AK92" s="30"/>
      <c r="AL92" s="26"/>
      <c r="AM92" s="39">
        <f t="shared" si="1"/>
        <v>8109</v>
      </c>
      <c r="AN92" s="36">
        <f t="shared" si="2"/>
        <v>450</v>
      </c>
      <c r="AO92" s="36">
        <f t="shared" si="3"/>
        <v>0</v>
      </c>
      <c r="AP92" s="36">
        <f t="shared" si="4"/>
        <v>450</v>
      </c>
      <c r="AQ92" s="40">
        <f t="shared" si="5"/>
        <v>18.02</v>
      </c>
    </row>
    <row r="93" ht="15.75" customHeight="1">
      <c r="A93" s="46" t="s">
        <v>28</v>
      </c>
      <c r="B93" s="47">
        <f t="shared" si="6"/>
        <v>45018</v>
      </c>
      <c r="C93" s="49">
        <v>4.0</v>
      </c>
      <c r="D93" s="49"/>
      <c r="E93" s="49" t="s">
        <v>22</v>
      </c>
      <c r="F93" s="52"/>
      <c r="G93" s="67"/>
      <c r="H93" s="55"/>
      <c r="I93" s="65"/>
      <c r="J93" s="55"/>
      <c r="K93" s="65"/>
      <c r="L93" s="55"/>
      <c r="M93" s="65"/>
      <c r="N93" s="55"/>
      <c r="O93" s="61">
        <v>0.0</v>
      </c>
      <c r="P93" s="55"/>
      <c r="Q93" s="62">
        <v>0.0</v>
      </c>
      <c r="R93" s="55"/>
      <c r="S93" s="62">
        <v>0.0</v>
      </c>
      <c r="T93" s="55"/>
      <c r="U93" s="62"/>
      <c r="V93" s="55"/>
      <c r="W93" s="65"/>
      <c r="X93" s="55"/>
      <c r="Y93" s="65"/>
      <c r="Z93" s="58"/>
      <c r="AA93" s="67"/>
      <c r="AB93" s="55"/>
      <c r="AC93" s="65"/>
      <c r="AD93" s="55"/>
      <c r="AE93" s="65"/>
      <c r="AF93" s="55"/>
      <c r="AG93" s="65"/>
      <c r="AH93" s="55"/>
      <c r="AI93" s="65"/>
      <c r="AJ93" s="55"/>
      <c r="AK93" s="65"/>
      <c r="AL93" s="58"/>
      <c r="AM93" s="64">
        <f t="shared" si="1"/>
        <v>0</v>
      </c>
      <c r="AN93" s="49">
        <f t="shared" si="2"/>
        <v>0</v>
      </c>
      <c r="AO93" s="49">
        <f t="shared" si="3"/>
        <v>0</v>
      </c>
      <c r="AP93" s="49">
        <f t="shared" si="4"/>
        <v>0</v>
      </c>
      <c r="AQ93" s="66" t="str">
        <f t="shared" si="5"/>
        <v/>
      </c>
    </row>
    <row r="94" ht="15.75" customHeight="1">
      <c r="A94" s="18" t="s">
        <v>21</v>
      </c>
      <c r="B94" s="68">
        <f t="shared" si="6"/>
        <v>45019</v>
      </c>
      <c r="C94" s="20">
        <v>4.0</v>
      </c>
      <c r="D94" s="20"/>
      <c r="E94" s="20" t="s">
        <v>34</v>
      </c>
      <c r="F94" s="22"/>
      <c r="G94" s="31"/>
      <c r="I94" s="30"/>
      <c r="K94" s="30"/>
      <c r="M94" s="30"/>
      <c r="O94" s="28">
        <v>40.0</v>
      </c>
      <c r="Q94" s="29">
        <v>40.0</v>
      </c>
      <c r="S94" s="29">
        <v>0.0</v>
      </c>
      <c r="U94" s="29"/>
      <c r="W94" s="30"/>
      <c r="Y94" s="30"/>
      <c r="Z94" s="26"/>
      <c r="AA94" s="31"/>
      <c r="AC94" s="30"/>
      <c r="AE94" s="30"/>
      <c r="AG94" s="30"/>
      <c r="AI94" s="30"/>
      <c r="AK94" s="30"/>
      <c r="AL94" s="26"/>
      <c r="AM94" s="32">
        <f t="shared" si="1"/>
        <v>1441.6</v>
      </c>
      <c r="AN94" s="20">
        <f t="shared" si="2"/>
        <v>80</v>
      </c>
      <c r="AO94" s="20">
        <f t="shared" si="3"/>
        <v>0</v>
      </c>
      <c r="AP94" s="20">
        <f t="shared" si="4"/>
        <v>80</v>
      </c>
      <c r="AQ94" s="33">
        <f t="shared" si="5"/>
        <v>18.02</v>
      </c>
    </row>
    <row r="95" ht="15.75" customHeight="1">
      <c r="A95" s="34" t="s">
        <v>23</v>
      </c>
      <c r="B95" s="35">
        <f t="shared" si="6"/>
        <v>45020</v>
      </c>
      <c r="C95" s="36">
        <v>4.0</v>
      </c>
      <c r="D95" s="36"/>
      <c r="E95" s="36" t="s">
        <v>34</v>
      </c>
      <c r="F95" s="38"/>
      <c r="G95" s="31"/>
      <c r="I95" s="30"/>
      <c r="K95" s="30"/>
      <c r="M95" s="30"/>
      <c r="O95" s="28">
        <v>40.0</v>
      </c>
      <c r="Q95" s="29">
        <v>40.0</v>
      </c>
      <c r="S95" s="29">
        <v>0.0</v>
      </c>
      <c r="U95" s="29"/>
      <c r="W95" s="30"/>
      <c r="Y95" s="30"/>
      <c r="Z95" s="26"/>
      <c r="AA95" s="31"/>
      <c r="AC95" s="30"/>
      <c r="AE95" s="30"/>
      <c r="AG95" s="30"/>
      <c r="AI95" s="30"/>
      <c r="AK95" s="30"/>
      <c r="AL95" s="26"/>
      <c r="AM95" s="39">
        <f t="shared" si="1"/>
        <v>1441.6</v>
      </c>
      <c r="AN95" s="36">
        <f t="shared" si="2"/>
        <v>80</v>
      </c>
      <c r="AO95" s="36">
        <f t="shared" si="3"/>
        <v>0</v>
      </c>
      <c r="AP95" s="36">
        <f t="shared" si="4"/>
        <v>80</v>
      </c>
      <c r="AQ95" s="40">
        <f t="shared" si="5"/>
        <v>18.02</v>
      </c>
    </row>
    <row r="96" ht="15.75" customHeight="1">
      <c r="A96" s="34" t="s">
        <v>24</v>
      </c>
      <c r="B96" s="35">
        <f t="shared" si="6"/>
        <v>45021</v>
      </c>
      <c r="C96" s="36">
        <v>4.0</v>
      </c>
      <c r="D96" s="36"/>
      <c r="E96" s="36" t="s">
        <v>34</v>
      </c>
      <c r="F96" s="38"/>
      <c r="G96" s="31"/>
      <c r="I96" s="30"/>
      <c r="K96" s="30"/>
      <c r="M96" s="30"/>
      <c r="O96" s="28">
        <v>40.0</v>
      </c>
      <c r="Q96" s="29">
        <v>40.0</v>
      </c>
      <c r="S96" s="29">
        <v>0.0</v>
      </c>
      <c r="U96" s="29"/>
      <c r="W96" s="30"/>
      <c r="Y96" s="30"/>
      <c r="Z96" s="26"/>
      <c r="AA96" s="31"/>
      <c r="AC96" s="30"/>
      <c r="AE96" s="30"/>
      <c r="AG96" s="30"/>
      <c r="AI96" s="30"/>
      <c r="AK96" s="30"/>
      <c r="AL96" s="26"/>
      <c r="AM96" s="39">
        <f t="shared" si="1"/>
        <v>1441.6</v>
      </c>
      <c r="AN96" s="36">
        <f t="shared" si="2"/>
        <v>80</v>
      </c>
      <c r="AO96" s="36">
        <f t="shared" si="3"/>
        <v>0</v>
      </c>
      <c r="AP96" s="36">
        <f t="shared" si="4"/>
        <v>80</v>
      </c>
      <c r="AQ96" s="40">
        <f t="shared" si="5"/>
        <v>18.02</v>
      </c>
    </row>
    <row r="97" ht="15.75" customHeight="1">
      <c r="A97" s="34" t="s">
        <v>25</v>
      </c>
      <c r="B97" s="35">
        <f t="shared" si="6"/>
        <v>45022</v>
      </c>
      <c r="C97" s="36">
        <v>4.0</v>
      </c>
      <c r="D97" s="36"/>
      <c r="E97" s="36" t="s">
        <v>34</v>
      </c>
      <c r="F97" s="38"/>
      <c r="G97" s="31"/>
      <c r="I97" s="30"/>
      <c r="K97" s="30"/>
      <c r="M97" s="30"/>
      <c r="O97" s="28">
        <v>40.0</v>
      </c>
      <c r="Q97" s="29">
        <v>40.0</v>
      </c>
      <c r="S97" s="29">
        <v>0.0</v>
      </c>
      <c r="U97" s="29"/>
      <c r="W97" s="30"/>
      <c r="Y97" s="30"/>
      <c r="Z97" s="26"/>
      <c r="AA97" s="31"/>
      <c r="AC97" s="30"/>
      <c r="AE97" s="30"/>
      <c r="AG97" s="30"/>
      <c r="AI97" s="30"/>
      <c r="AK97" s="30"/>
      <c r="AL97" s="26"/>
      <c r="AM97" s="39">
        <f t="shared" si="1"/>
        <v>1441.6</v>
      </c>
      <c r="AN97" s="36">
        <f t="shared" si="2"/>
        <v>80</v>
      </c>
      <c r="AO97" s="36">
        <f t="shared" si="3"/>
        <v>0</v>
      </c>
      <c r="AP97" s="36">
        <f t="shared" si="4"/>
        <v>80</v>
      </c>
      <c r="AQ97" s="40">
        <f t="shared" si="5"/>
        <v>18.02</v>
      </c>
    </row>
    <row r="98" ht="15.75" customHeight="1">
      <c r="A98" s="34" t="s">
        <v>26</v>
      </c>
      <c r="B98" s="35">
        <f t="shared" si="6"/>
        <v>45023</v>
      </c>
      <c r="C98" s="36">
        <v>4.0</v>
      </c>
      <c r="D98" s="36"/>
      <c r="E98" s="36" t="s">
        <v>34</v>
      </c>
      <c r="F98" s="38"/>
      <c r="G98" s="31"/>
      <c r="I98" s="30"/>
      <c r="K98" s="30"/>
      <c r="M98" s="30"/>
      <c r="O98" s="28">
        <v>40.0</v>
      </c>
      <c r="Q98" s="29">
        <v>40.0</v>
      </c>
      <c r="S98" s="29">
        <v>0.0</v>
      </c>
      <c r="U98" s="29"/>
      <c r="W98" s="30"/>
      <c r="Y98" s="30"/>
      <c r="Z98" s="26"/>
      <c r="AA98" s="31"/>
      <c r="AC98" s="30"/>
      <c r="AE98" s="30"/>
      <c r="AG98" s="30"/>
      <c r="AI98" s="30"/>
      <c r="AK98" s="30"/>
      <c r="AL98" s="26"/>
      <c r="AM98" s="39">
        <f t="shared" si="1"/>
        <v>1441.6</v>
      </c>
      <c r="AN98" s="36">
        <f t="shared" si="2"/>
        <v>80</v>
      </c>
      <c r="AO98" s="36">
        <f t="shared" si="3"/>
        <v>0</v>
      </c>
      <c r="AP98" s="36">
        <f t="shared" si="4"/>
        <v>80</v>
      </c>
      <c r="AQ98" s="40">
        <f t="shared" si="5"/>
        <v>18.02</v>
      </c>
    </row>
    <row r="99" ht="15.75" customHeight="1">
      <c r="A99" s="34" t="s">
        <v>27</v>
      </c>
      <c r="B99" s="35">
        <f t="shared" si="6"/>
        <v>45024</v>
      </c>
      <c r="C99" s="36">
        <v>4.0</v>
      </c>
      <c r="D99" s="36"/>
      <c r="E99" s="36" t="s">
        <v>34</v>
      </c>
      <c r="F99" s="38"/>
      <c r="G99" s="31"/>
      <c r="I99" s="30"/>
      <c r="K99" s="30"/>
      <c r="M99" s="30"/>
      <c r="O99" s="28">
        <v>40.0</v>
      </c>
      <c r="Q99" s="29">
        <v>40.0</v>
      </c>
      <c r="S99" s="29">
        <v>0.0</v>
      </c>
      <c r="U99" s="29"/>
      <c r="W99" s="30"/>
      <c r="Y99" s="30"/>
      <c r="Z99" s="26"/>
      <c r="AA99" s="31"/>
      <c r="AC99" s="30"/>
      <c r="AE99" s="30"/>
      <c r="AG99" s="30"/>
      <c r="AI99" s="30"/>
      <c r="AK99" s="30"/>
      <c r="AL99" s="26"/>
      <c r="AM99" s="39">
        <f t="shared" si="1"/>
        <v>1441.6</v>
      </c>
      <c r="AN99" s="36">
        <f t="shared" si="2"/>
        <v>80</v>
      </c>
      <c r="AO99" s="36">
        <f t="shared" si="3"/>
        <v>0</v>
      </c>
      <c r="AP99" s="36">
        <f t="shared" si="4"/>
        <v>80</v>
      </c>
      <c r="AQ99" s="40">
        <f t="shared" si="5"/>
        <v>18.02</v>
      </c>
    </row>
    <row r="100" ht="15.75" customHeight="1">
      <c r="A100" s="46" t="s">
        <v>28</v>
      </c>
      <c r="B100" s="47">
        <f t="shared" si="6"/>
        <v>45025</v>
      </c>
      <c r="C100" s="49">
        <v>4.0</v>
      </c>
      <c r="D100" s="49"/>
      <c r="E100" s="49" t="s">
        <v>34</v>
      </c>
      <c r="F100" s="52"/>
      <c r="G100" s="67"/>
      <c r="H100" s="55"/>
      <c r="I100" s="65"/>
      <c r="J100" s="55"/>
      <c r="K100" s="65"/>
      <c r="L100" s="55"/>
      <c r="M100" s="65"/>
      <c r="N100" s="55"/>
      <c r="O100" s="61">
        <v>0.0</v>
      </c>
      <c r="P100" s="55"/>
      <c r="Q100" s="62">
        <v>0.0</v>
      </c>
      <c r="R100" s="55"/>
      <c r="S100" s="62">
        <v>0.0</v>
      </c>
      <c r="T100" s="55"/>
      <c r="U100" s="62"/>
      <c r="V100" s="55"/>
      <c r="W100" s="65"/>
      <c r="X100" s="55"/>
      <c r="Y100" s="65"/>
      <c r="Z100" s="58"/>
      <c r="AA100" s="67"/>
      <c r="AB100" s="55"/>
      <c r="AC100" s="65"/>
      <c r="AD100" s="55"/>
      <c r="AE100" s="65"/>
      <c r="AF100" s="55"/>
      <c r="AG100" s="65"/>
      <c r="AH100" s="55"/>
      <c r="AI100" s="65"/>
      <c r="AJ100" s="55"/>
      <c r="AK100" s="65"/>
      <c r="AL100" s="58"/>
      <c r="AM100" s="64">
        <f t="shared" si="1"/>
        <v>0</v>
      </c>
      <c r="AN100" s="49">
        <f t="shared" si="2"/>
        <v>0</v>
      </c>
      <c r="AO100" s="49">
        <f t="shared" si="3"/>
        <v>0</v>
      </c>
      <c r="AP100" s="49">
        <f t="shared" si="4"/>
        <v>0</v>
      </c>
      <c r="AQ100" s="66" t="str">
        <f t="shared" si="5"/>
        <v/>
      </c>
    </row>
    <row r="101" ht="15.75" customHeight="1">
      <c r="A101" s="18" t="s">
        <v>21</v>
      </c>
      <c r="B101" s="68">
        <f t="shared" si="6"/>
        <v>45026</v>
      </c>
      <c r="C101" s="20">
        <v>4.0</v>
      </c>
      <c r="D101" s="20"/>
      <c r="E101" s="20" t="s">
        <v>36</v>
      </c>
      <c r="F101" s="22"/>
      <c r="G101" s="31"/>
      <c r="I101" s="30"/>
      <c r="K101" s="30"/>
      <c r="M101" s="30"/>
      <c r="O101" s="28">
        <v>125.0</v>
      </c>
      <c r="Q101" s="29">
        <v>125.0</v>
      </c>
      <c r="S101" s="29">
        <v>0.0</v>
      </c>
      <c r="U101" s="29"/>
      <c r="W101" s="30"/>
      <c r="Y101" s="30"/>
      <c r="Z101" s="26"/>
      <c r="AA101" s="31"/>
      <c r="AC101" s="30"/>
      <c r="AE101" s="30"/>
      <c r="AG101" s="30"/>
      <c r="AI101" s="30"/>
      <c r="AK101" s="30"/>
      <c r="AL101" s="26"/>
      <c r="AM101" s="32">
        <f t="shared" si="1"/>
        <v>4505</v>
      </c>
      <c r="AN101" s="20">
        <f t="shared" si="2"/>
        <v>250</v>
      </c>
      <c r="AO101" s="20">
        <f t="shared" si="3"/>
        <v>0</v>
      </c>
      <c r="AP101" s="20">
        <f t="shared" si="4"/>
        <v>250</v>
      </c>
      <c r="AQ101" s="33">
        <f t="shared" si="5"/>
        <v>18.02</v>
      </c>
    </row>
    <row r="102" ht="15.75" customHeight="1">
      <c r="A102" s="34" t="s">
        <v>23</v>
      </c>
      <c r="B102" s="35">
        <f t="shared" si="6"/>
        <v>45027</v>
      </c>
      <c r="C102" s="36">
        <v>4.0</v>
      </c>
      <c r="D102" s="36"/>
      <c r="E102" s="36" t="s">
        <v>36</v>
      </c>
      <c r="F102" s="38"/>
      <c r="G102" s="31"/>
      <c r="I102" s="30"/>
      <c r="K102" s="30"/>
      <c r="M102" s="30"/>
      <c r="O102" s="28">
        <v>125.0</v>
      </c>
      <c r="Q102" s="29">
        <v>125.0</v>
      </c>
      <c r="S102" s="29">
        <v>0.0</v>
      </c>
      <c r="U102" s="29"/>
      <c r="W102" s="30"/>
      <c r="Y102" s="30"/>
      <c r="Z102" s="26"/>
      <c r="AA102" s="31"/>
      <c r="AC102" s="30"/>
      <c r="AE102" s="30"/>
      <c r="AG102" s="30"/>
      <c r="AI102" s="30"/>
      <c r="AK102" s="30"/>
      <c r="AL102" s="26"/>
      <c r="AM102" s="39">
        <f t="shared" si="1"/>
        <v>4505</v>
      </c>
      <c r="AN102" s="36">
        <f t="shared" si="2"/>
        <v>250</v>
      </c>
      <c r="AO102" s="36">
        <f t="shared" si="3"/>
        <v>0</v>
      </c>
      <c r="AP102" s="36">
        <f t="shared" si="4"/>
        <v>250</v>
      </c>
      <c r="AQ102" s="40">
        <f t="shared" si="5"/>
        <v>18.02</v>
      </c>
    </row>
    <row r="103" ht="15.75" customHeight="1">
      <c r="A103" s="34" t="s">
        <v>24</v>
      </c>
      <c r="B103" s="35">
        <f t="shared" si="6"/>
        <v>45028</v>
      </c>
      <c r="C103" s="36">
        <v>4.0</v>
      </c>
      <c r="D103" s="36"/>
      <c r="E103" s="36" t="s">
        <v>36</v>
      </c>
      <c r="F103" s="38"/>
      <c r="G103" s="31"/>
      <c r="I103" s="30"/>
      <c r="K103" s="30"/>
      <c r="M103" s="30"/>
      <c r="O103" s="28">
        <v>125.0</v>
      </c>
      <c r="Q103" s="29">
        <v>125.0</v>
      </c>
      <c r="S103" s="29">
        <v>0.0</v>
      </c>
      <c r="U103" s="29"/>
      <c r="W103" s="30"/>
      <c r="Y103" s="30"/>
      <c r="Z103" s="26"/>
      <c r="AA103" s="31"/>
      <c r="AC103" s="30"/>
      <c r="AE103" s="30"/>
      <c r="AG103" s="30"/>
      <c r="AI103" s="30"/>
      <c r="AK103" s="30"/>
      <c r="AL103" s="26"/>
      <c r="AM103" s="39">
        <f t="shared" si="1"/>
        <v>4505</v>
      </c>
      <c r="AN103" s="36">
        <f t="shared" si="2"/>
        <v>250</v>
      </c>
      <c r="AO103" s="36">
        <f t="shared" si="3"/>
        <v>0</v>
      </c>
      <c r="AP103" s="36">
        <f t="shared" si="4"/>
        <v>250</v>
      </c>
      <c r="AQ103" s="40">
        <f t="shared" si="5"/>
        <v>18.02</v>
      </c>
    </row>
    <row r="104" ht="15.75" customHeight="1">
      <c r="A104" s="34" t="s">
        <v>25</v>
      </c>
      <c r="B104" s="35">
        <f t="shared" si="6"/>
        <v>45029</v>
      </c>
      <c r="C104" s="36">
        <v>4.0</v>
      </c>
      <c r="D104" s="36"/>
      <c r="E104" s="36" t="s">
        <v>36</v>
      </c>
      <c r="F104" s="38"/>
      <c r="G104" s="31"/>
      <c r="I104" s="30"/>
      <c r="K104" s="30"/>
      <c r="M104" s="30"/>
      <c r="O104" s="28">
        <v>125.0</v>
      </c>
      <c r="Q104" s="29">
        <v>125.0</v>
      </c>
      <c r="S104" s="29">
        <v>0.0</v>
      </c>
      <c r="U104" s="29"/>
      <c r="W104" s="30"/>
      <c r="Y104" s="30"/>
      <c r="Z104" s="26"/>
      <c r="AA104" s="31"/>
      <c r="AC104" s="30"/>
      <c r="AE104" s="30"/>
      <c r="AG104" s="30"/>
      <c r="AI104" s="30"/>
      <c r="AK104" s="30"/>
      <c r="AL104" s="26"/>
      <c r="AM104" s="39">
        <f t="shared" si="1"/>
        <v>4505</v>
      </c>
      <c r="AN104" s="36">
        <f t="shared" si="2"/>
        <v>250</v>
      </c>
      <c r="AO104" s="36">
        <f t="shared" si="3"/>
        <v>0</v>
      </c>
      <c r="AP104" s="36">
        <f t="shared" si="4"/>
        <v>250</v>
      </c>
      <c r="AQ104" s="40">
        <f t="shared" si="5"/>
        <v>18.02</v>
      </c>
    </row>
    <row r="105" ht="15.75" customHeight="1">
      <c r="A105" s="34" t="s">
        <v>26</v>
      </c>
      <c r="B105" s="35">
        <f t="shared" si="6"/>
        <v>45030</v>
      </c>
      <c r="C105" s="36">
        <v>4.0</v>
      </c>
      <c r="D105" s="36"/>
      <c r="E105" s="36" t="s">
        <v>36</v>
      </c>
      <c r="F105" s="38"/>
      <c r="G105" s="31"/>
      <c r="I105" s="30"/>
      <c r="K105" s="30"/>
      <c r="M105" s="30"/>
      <c r="O105" s="28">
        <v>125.0</v>
      </c>
      <c r="Q105" s="29">
        <v>125.0</v>
      </c>
      <c r="S105" s="29">
        <v>0.0</v>
      </c>
      <c r="U105" s="29"/>
      <c r="W105" s="30"/>
      <c r="Y105" s="30"/>
      <c r="Z105" s="26"/>
      <c r="AA105" s="31"/>
      <c r="AC105" s="30"/>
      <c r="AE105" s="30"/>
      <c r="AG105" s="30"/>
      <c r="AI105" s="30"/>
      <c r="AK105" s="30"/>
      <c r="AL105" s="26"/>
      <c r="AM105" s="39">
        <f t="shared" si="1"/>
        <v>4505</v>
      </c>
      <c r="AN105" s="36">
        <f t="shared" si="2"/>
        <v>250</v>
      </c>
      <c r="AO105" s="36">
        <f t="shared" si="3"/>
        <v>0</v>
      </c>
      <c r="AP105" s="36">
        <f t="shared" si="4"/>
        <v>250</v>
      </c>
      <c r="AQ105" s="40">
        <f t="shared" si="5"/>
        <v>18.02</v>
      </c>
    </row>
    <row r="106" ht="15.75" customHeight="1">
      <c r="A106" s="34" t="s">
        <v>27</v>
      </c>
      <c r="B106" s="35">
        <f t="shared" si="6"/>
        <v>45031</v>
      </c>
      <c r="C106" s="36">
        <v>4.0</v>
      </c>
      <c r="D106" s="36"/>
      <c r="E106" s="36" t="s">
        <v>36</v>
      </c>
      <c r="F106" s="38"/>
      <c r="G106" s="31"/>
      <c r="I106" s="30"/>
      <c r="K106" s="30"/>
      <c r="M106" s="30"/>
      <c r="O106" s="28">
        <v>125.0</v>
      </c>
      <c r="Q106" s="29">
        <v>125.0</v>
      </c>
      <c r="S106" s="29">
        <v>0.0</v>
      </c>
      <c r="U106" s="29"/>
      <c r="W106" s="30"/>
      <c r="Y106" s="30"/>
      <c r="Z106" s="26"/>
      <c r="AA106" s="31"/>
      <c r="AC106" s="30"/>
      <c r="AE106" s="30"/>
      <c r="AG106" s="30"/>
      <c r="AI106" s="30"/>
      <c r="AK106" s="30"/>
      <c r="AL106" s="26"/>
      <c r="AM106" s="39">
        <f t="shared" si="1"/>
        <v>4505</v>
      </c>
      <c r="AN106" s="36">
        <f t="shared" si="2"/>
        <v>250</v>
      </c>
      <c r="AO106" s="36">
        <f t="shared" si="3"/>
        <v>0</v>
      </c>
      <c r="AP106" s="36">
        <f t="shared" si="4"/>
        <v>250</v>
      </c>
      <c r="AQ106" s="40">
        <f t="shared" si="5"/>
        <v>18.02</v>
      </c>
    </row>
    <row r="107" ht="15.75" customHeight="1">
      <c r="A107" s="46" t="s">
        <v>28</v>
      </c>
      <c r="B107" s="47">
        <f t="shared" si="6"/>
        <v>45032</v>
      </c>
      <c r="C107" s="49">
        <v>4.0</v>
      </c>
      <c r="D107" s="49"/>
      <c r="E107" s="49" t="s">
        <v>36</v>
      </c>
      <c r="F107" s="52"/>
      <c r="G107" s="67"/>
      <c r="H107" s="55"/>
      <c r="I107" s="65"/>
      <c r="J107" s="55"/>
      <c r="K107" s="65"/>
      <c r="L107" s="55"/>
      <c r="M107" s="65"/>
      <c r="N107" s="55"/>
      <c r="O107" s="61">
        <v>0.0</v>
      </c>
      <c r="P107" s="55"/>
      <c r="Q107" s="62">
        <v>0.0</v>
      </c>
      <c r="R107" s="55"/>
      <c r="S107" s="62">
        <v>0.0</v>
      </c>
      <c r="T107" s="55"/>
      <c r="U107" s="62"/>
      <c r="V107" s="55"/>
      <c r="W107" s="65"/>
      <c r="X107" s="55"/>
      <c r="Y107" s="65"/>
      <c r="Z107" s="58"/>
      <c r="AA107" s="67"/>
      <c r="AB107" s="55"/>
      <c r="AC107" s="65"/>
      <c r="AD107" s="55"/>
      <c r="AE107" s="65"/>
      <c r="AF107" s="55"/>
      <c r="AG107" s="65"/>
      <c r="AH107" s="55"/>
      <c r="AI107" s="65"/>
      <c r="AJ107" s="55"/>
      <c r="AK107" s="65"/>
      <c r="AL107" s="58"/>
      <c r="AM107" s="64">
        <f t="shared" si="1"/>
        <v>0</v>
      </c>
      <c r="AN107" s="49">
        <f t="shared" si="2"/>
        <v>0</v>
      </c>
      <c r="AO107" s="49">
        <f t="shared" si="3"/>
        <v>0</v>
      </c>
      <c r="AP107" s="49">
        <f t="shared" si="4"/>
        <v>0</v>
      </c>
      <c r="AQ107" s="66" t="str">
        <f t="shared" si="5"/>
        <v/>
      </c>
    </row>
    <row r="108" ht="15.75" customHeight="1">
      <c r="A108" s="18" t="s">
        <v>21</v>
      </c>
      <c r="B108" s="68">
        <f t="shared" si="6"/>
        <v>45033</v>
      </c>
      <c r="C108" s="20">
        <v>4.0</v>
      </c>
      <c r="D108" s="20"/>
      <c r="E108" s="20" t="s">
        <v>37</v>
      </c>
      <c r="F108" s="22"/>
      <c r="G108" s="31"/>
      <c r="I108" s="30"/>
      <c r="K108" s="30"/>
      <c r="M108" s="30"/>
      <c r="O108" s="28">
        <v>125.0</v>
      </c>
      <c r="Q108" s="29">
        <v>125.0</v>
      </c>
      <c r="S108" s="29">
        <v>0.0</v>
      </c>
      <c r="U108" s="29"/>
      <c r="W108" s="30"/>
      <c r="Y108" s="30"/>
      <c r="Z108" s="26"/>
      <c r="AA108" s="31"/>
      <c r="AC108" s="30"/>
      <c r="AE108" s="30"/>
      <c r="AG108" s="30"/>
      <c r="AI108" s="30"/>
      <c r="AK108" s="30"/>
      <c r="AL108" s="26"/>
      <c r="AM108" s="32">
        <f t="shared" si="1"/>
        <v>4505</v>
      </c>
      <c r="AN108" s="20">
        <f t="shared" si="2"/>
        <v>250</v>
      </c>
      <c r="AO108" s="20">
        <f t="shared" si="3"/>
        <v>0</v>
      </c>
      <c r="AP108" s="20">
        <f t="shared" si="4"/>
        <v>250</v>
      </c>
      <c r="AQ108" s="33">
        <f t="shared" si="5"/>
        <v>18.02</v>
      </c>
    </row>
    <row r="109" ht="15.75" customHeight="1">
      <c r="A109" s="34" t="s">
        <v>23</v>
      </c>
      <c r="B109" s="35">
        <f t="shared" si="6"/>
        <v>45034</v>
      </c>
      <c r="C109" s="36">
        <v>4.0</v>
      </c>
      <c r="D109" s="36"/>
      <c r="E109" s="36" t="s">
        <v>37</v>
      </c>
      <c r="F109" s="38"/>
      <c r="G109" s="31"/>
      <c r="I109" s="30"/>
      <c r="K109" s="30"/>
      <c r="M109" s="30"/>
      <c r="O109" s="28">
        <v>125.0</v>
      </c>
      <c r="Q109" s="29">
        <v>125.0</v>
      </c>
      <c r="S109" s="29">
        <v>0.0</v>
      </c>
      <c r="U109" s="29"/>
      <c r="W109" s="30"/>
      <c r="Y109" s="30"/>
      <c r="Z109" s="26"/>
      <c r="AA109" s="31"/>
      <c r="AC109" s="30"/>
      <c r="AE109" s="30"/>
      <c r="AG109" s="30"/>
      <c r="AI109" s="30"/>
      <c r="AK109" s="30"/>
      <c r="AL109" s="26"/>
      <c r="AM109" s="39">
        <f t="shared" si="1"/>
        <v>4505</v>
      </c>
      <c r="AN109" s="36">
        <f t="shared" si="2"/>
        <v>250</v>
      </c>
      <c r="AO109" s="36">
        <f t="shared" si="3"/>
        <v>0</v>
      </c>
      <c r="AP109" s="36">
        <f t="shared" si="4"/>
        <v>250</v>
      </c>
      <c r="AQ109" s="40">
        <f t="shared" si="5"/>
        <v>18.02</v>
      </c>
    </row>
    <row r="110" ht="15.75" customHeight="1">
      <c r="A110" s="34" t="s">
        <v>24</v>
      </c>
      <c r="B110" s="35">
        <f t="shared" si="6"/>
        <v>45035</v>
      </c>
      <c r="C110" s="36">
        <v>4.0</v>
      </c>
      <c r="D110" s="36"/>
      <c r="E110" s="36" t="s">
        <v>37</v>
      </c>
      <c r="F110" s="38"/>
      <c r="G110" s="31"/>
      <c r="I110" s="30"/>
      <c r="K110" s="30"/>
      <c r="M110" s="30"/>
      <c r="O110" s="28">
        <v>125.0</v>
      </c>
      <c r="Q110" s="29">
        <v>125.0</v>
      </c>
      <c r="S110" s="29">
        <v>0.0</v>
      </c>
      <c r="U110" s="29"/>
      <c r="W110" s="30"/>
      <c r="Y110" s="30"/>
      <c r="Z110" s="26"/>
      <c r="AA110" s="31"/>
      <c r="AC110" s="30"/>
      <c r="AE110" s="30"/>
      <c r="AG110" s="30"/>
      <c r="AI110" s="30"/>
      <c r="AK110" s="30"/>
      <c r="AL110" s="26"/>
      <c r="AM110" s="39">
        <f t="shared" si="1"/>
        <v>4505</v>
      </c>
      <c r="AN110" s="36">
        <f t="shared" si="2"/>
        <v>250</v>
      </c>
      <c r="AO110" s="36">
        <f t="shared" si="3"/>
        <v>0</v>
      </c>
      <c r="AP110" s="36">
        <f t="shared" si="4"/>
        <v>250</v>
      </c>
      <c r="AQ110" s="40">
        <f t="shared" si="5"/>
        <v>18.02</v>
      </c>
    </row>
    <row r="111" ht="15.75" customHeight="1">
      <c r="A111" s="34" t="s">
        <v>25</v>
      </c>
      <c r="B111" s="35">
        <f t="shared" si="6"/>
        <v>45036</v>
      </c>
      <c r="C111" s="36">
        <v>4.0</v>
      </c>
      <c r="D111" s="36"/>
      <c r="E111" s="36" t="s">
        <v>37</v>
      </c>
      <c r="F111" s="38"/>
      <c r="G111" s="31"/>
      <c r="I111" s="30"/>
      <c r="K111" s="30"/>
      <c r="M111" s="30"/>
      <c r="O111" s="28">
        <v>125.0</v>
      </c>
      <c r="Q111" s="29">
        <v>125.0</v>
      </c>
      <c r="S111" s="29">
        <v>0.0</v>
      </c>
      <c r="U111" s="29"/>
      <c r="W111" s="30"/>
      <c r="Y111" s="30"/>
      <c r="Z111" s="26"/>
      <c r="AA111" s="31"/>
      <c r="AC111" s="30"/>
      <c r="AE111" s="30"/>
      <c r="AG111" s="30"/>
      <c r="AI111" s="30"/>
      <c r="AK111" s="30"/>
      <c r="AL111" s="26"/>
      <c r="AM111" s="39">
        <f t="shared" si="1"/>
        <v>4505</v>
      </c>
      <c r="AN111" s="36">
        <f t="shared" si="2"/>
        <v>250</v>
      </c>
      <c r="AO111" s="36">
        <f t="shared" si="3"/>
        <v>0</v>
      </c>
      <c r="AP111" s="36">
        <f t="shared" si="4"/>
        <v>250</v>
      </c>
      <c r="AQ111" s="40">
        <f t="shared" si="5"/>
        <v>18.02</v>
      </c>
    </row>
    <row r="112" ht="15.75" customHeight="1">
      <c r="A112" s="34" t="s">
        <v>26</v>
      </c>
      <c r="B112" s="35">
        <f t="shared" si="6"/>
        <v>45037</v>
      </c>
      <c r="C112" s="36">
        <v>4.0</v>
      </c>
      <c r="D112" s="36"/>
      <c r="E112" s="36" t="s">
        <v>37</v>
      </c>
      <c r="F112" s="38"/>
      <c r="G112" s="31"/>
      <c r="I112" s="30"/>
      <c r="K112" s="30"/>
      <c r="M112" s="30"/>
      <c r="O112" s="28">
        <v>125.0</v>
      </c>
      <c r="Q112" s="29">
        <v>125.0</v>
      </c>
      <c r="S112" s="29">
        <v>0.0</v>
      </c>
      <c r="U112" s="29"/>
      <c r="W112" s="30"/>
      <c r="Y112" s="30"/>
      <c r="Z112" s="26"/>
      <c r="AA112" s="31"/>
      <c r="AC112" s="30"/>
      <c r="AE112" s="30"/>
      <c r="AG112" s="30"/>
      <c r="AI112" s="30"/>
      <c r="AK112" s="30"/>
      <c r="AL112" s="26"/>
      <c r="AM112" s="39">
        <f t="shared" si="1"/>
        <v>4505</v>
      </c>
      <c r="AN112" s="36">
        <f t="shared" si="2"/>
        <v>250</v>
      </c>
      <c r="AO112" s="36">
        <f t="shared" si="3"/>
        <v>0</v>
      </c>
      <c r="AP112" s="36">
        <f t="shared" si="4"/>
        <v>250</v>
      </c>
      <c r="AQ112" s="40">
        <f t="shared" si="5"/>
        <v>18.02</v>
      </c>
    </row>
    <row r="113" ht="15.75" customHeight="1">
      <c r="A113" s="34" t="s">
        <v>27</v>
      </c>
      <c r="B113" s="35">
        <f t="shared" si="6"/>
        <v>45038</v>
      </c>
      <c r="C113" s="36">
        <v>4.0</v>
      </c>
      <c r="D113" s="36"/>
      <c r="E113" s="36" t="s">
        <v>37</v>
      </c>
      <c r="F113" s="38"/>
      <c r="G113" s="31"/>
      <c r="I113" s="30"/>
      <c r="K113" s="30"/>
      <c r="M113" s="30"/>
      <c r="O113" s="28">
        <v>125.0</v>
      </c>
      <c r="Q113" s="29">
        <v>125.0</v>
      </c>
      <c r="S113" s="29">
        <v>0.0</v>
      </c>
      <c r="U113" s="29"/>
      <c r="W113" s="30"/>
      <c r="Y113" s="30"/>
      <c r="Z113" s="26"/>
      <c r="AA113" s="31"/>
      <c r="AC113" s="30"/>
      <c r="AE113" s="30"/>
      <c r="AG113" s="30"/>
      <c r="AI113" s="30"/>
      <c r="AK113" s="30"/>
      <c r="AL113" s="26"/>
      <c r="AM113" s="39">
        <f t="shared" si="1"/>
        <v>4505</v>
      </c>
      <c r="AN113" s="36">
        <f t="shared" si="2"/>
        <v>250</v>
      </c>
      <c r="AO113" s="36">
        <f t="shared" si="3"/>
        <v>0</v>
      </c>
      <c r="AP113" s="36">
        <f t="shared" si="4"/>
        <v>250</v>
      </c>
      <c r="AQ113" s="40">
        <f t="shared" si="5"/>
        <v>18.02</v>
      </c>
    </row>
    <row r="114" ht="15.75" customHeight="1">
      <c r="A114" s="46" t="s">
        <v>28</v>
      </c>
      <c r="B114" s="47">
        <f t="shared" si="6"/>
        <v>45039</v>
      </c>
      <c r="C114" s="49">
        <v>4.0</v>
      </c>
      <c r="D114" s="49"/>
      <c r="E114" s="49" t="s">
        <v>37</v>
      </c>
      <c r="F114" s="52"/>
      <c r="G114" s="67"/>
      <c r="H114" s="55"/>
      <c r="I114" s="65"/>
      <c r="J114" s="55"/>
      <c r="K114" s="65"/>
      <c r="L114" s="55"/>
      <c r="M114" s="65"/>
      <c r="N114" s="55"/>
      <c r="O114" s="61">
        <v>0.0</v>
      </c>
      <c r="P114" s="55"/>
      <c r="Q114" s="62">
        <v>0.0</v>
      </c>
      <c r="R114" s="55"/>
      <c r="S114" s="62">
        <v>0.0</v>
      </c>
      <c r="T114" s="55"/>
      <c r="U114" s="62"/>
      <c r="V114" s="55"/>
      <c r="W114" s="65"/>
      <c r="X114" s="55"/>
      <c r="Y114" s="65"/>
      <c r="Z114" s="58"/>
      <c r="AA114" s="67"/>
      <c r="AB114" s="55"/>
      <c r="AC114" s="65"/>
      <c r="AD114" s="55"/>
      <c r="AE114" s="65"/>
      <c r="AF114" s="55"/>
      <c r="AG114" s="65"/>
      <c r="AH114" s="55"/>
      <c r="AI114" s="65"/>
      <c r="AJ114" s="55"/>
      <c r="AK114" s="65"/>
      <c r="AL114" s="58"/>
      <c r="AM114" s="64">
        <f t="shared" si="1"/>
        <v>0</v>
      </c>
      <c r="AN114" s="49">
        <f t="shared" si="2"/>
        <v>0</v>
      </c>
      <c r="AO114" s="49">
        <f t="shared" si="3"/>
        <v>0</v>
      </c>
      <c r="AP114" s="49">
        <f t="shared" si="4"/>
        <v>0</v>
      </c>
      <c r="AQ114" s="66" t="str">
        <f t="shared" si="5"/>
        <v/>
      </c>
    </row>
    <row r="115" ht="15.75" customHeight="1">
      <c r="A115" s="18" t="s">
        <v>21</v>
      </c>
      <c r="B115" s="68">
        <f t="shared" si="6"/>
        <v>45040</v>
      </c>
      <c r="C115" s="20">
        <v>5.0</v>
      </c>
      <c r="D115" s="20"/>
      <c r="E115" s="20" t="s">
        <v>22</v>
      </c>
      <c r="F115" s="22"/>
      <c r="G115" s="31"/>
      <c r="I115" s="30"/>
      <c r="K115" s="30"/>
      <c r="M115" s="30"/>
      <c r="O115" s="28">
        <v>125.0</v>
      </c>
      <c r="Q115" s="29">
        <v>125.0</v>
      </c>
      <c r="S115" s="29">
        <v>0.0</v>
      </c>
      <c r="U115" s="29"/>
      <c r="W115" s="30"/>
      <c r="Y115" s="30"/>
      <c r="Z115" s="26"/>
      <c r="AA115" s="31"/>
      <c r="AC115" s="30"/>
      <c r="AE115" s="30"/>
      <c r="AG115" s="30"/>
      <c r="AI115" s="30"/>
      <c r="AK115" s="30"/>
      <c r="AL115" s="26"/>
      <c r="AM115" s="32">
        <f t="shared" si="1"/>
        <v>4505</v>
      </c>
      <c r="AN115" s="20">
        <f t="shared" si="2"/>
        <v>250</v>
      </c>
      <c r="AO115" s="20">
        <f t="shared" si="3"/>
        <v>0</v>
      </c>
      <c r="AP115" s="20">
        <f t="shared" si="4"/>
        <v>250</v>
      </c>
      <c r="AQ115" s="33">
        <f t="shared" si="5"/>
        <v>18.02</v>
      </c>
    </row>
    <row r="116" ht="15.75" customHeight="1">
      <c r="A116" s="34" t="s">
        <v>23</v>
      </c>
      <c r="B116" s="35">
        <f t="shared" si="6"/>
        <v>45041</v>
      </c>
      <c r="C116" s="36">
        <v>5.0</v>
      </c>
      <c r="D116" s="36"/>
      <c r="E116" s="36" t="s">
        <v>22</v>
      </c>
      <c r="F116" s="38"/>
      <c r="G116" s="31"/>
      <c r="I116" s="30"/>
      <c r="K116" s="30"/>
      <c r="M116" s="30"/>
      <c r="O116" s="28">
        <v>125.0</v>
      </c>
      <c r="Q116" s="29">
        <v>125.0</v>
      </c>
      <c r="S116" s="29">
        <v>0.0</v>
      </c>
      <c r="U116" s="29"/>
      <c r="W116" s="30"/>
      <c r="Y116" s="30"/>
      <c r="Z116" s="26"/>
      <c r="AA116" s="31"/>
      <c r="AC116" s="30"/>
      <c r="AE116" s="30"/>
      <c r="AG116" s="30"/>
      <c r="AI116" s="30"/>
      <c r="AK116" s="30"/>
      <c r="AL116" s="26"/>
      <c r="AM116" s="39">
        <f t="shared" si="1"/>
        <v>4505</v>
      </c>
      <c r="AN116" s="36">
        <f t="shared" si="2"/>
        <v>250</v>
      </c>
      <c r="AO116" s="36">
        <f t="shared" si="3"/>
        <v>0</v>
      </c>
      <c r="AP116" s="36">
        <f t="shared" si="4"/>
        <v>250</v>
      </c>
      <c r="AQ116" s="40">
        <f t="shared" si="5"/>
        <v>18.02</v>
      </c>
    </row>
    <row r="117" ht="15.75" customHeight="1">
      <c r="A117" s="34" t="s">
        <v>24</v>
      </c>
      <c r="B117" s="35">
        <f t="shared" si="6"/>
        <v>45042</v>
      </c>
      <c r="C117" s="36">
        <v>5.0</v>
      </c>
      <c r="D117" s="36"/>
      <c r="E117" s="36" t="s">
        <v>22</v>
      </c>
      <c r="F117" s="38"/>
      <c r="G117" s="31"/>
      <c r="I117" s="30"/>
      <c r="K117" s="30"/>
      <c r="M117" s="30"/>
      <c r="O117" s="28">
        <v>125.0</v>
      </c>
      <c r="Q117" s="29">
        <v>125.0</v>
      </c>
      <c r="S117" s="29">
        <v>0.0</v>
      </c>
      <c r="U117" s="29"/>
      <c r="W117" s="30"/>
      <c r="Y117" s="30"/>
      <c r="Z117" s="26"/>
      <c r="AA117" s="31"/>
      <c r="AC117" s="30"/>
      <c r="AE117" s="30"/>
      <c r="AG117" s="30"/>
      <c r="AI117" s="30"/>
      <c r="AK117" s="30"/>
      <c r="AL117" s="26"/>
      <c r="AM117" s="39">
        <f t="shared" si="1"/>
        <v>4505</v>
      </c>
      <c r="AN117" s="36">
        <f t="shared" si="2"/>
        <v>250</v>
      </c>
      <c r="AO117" s="36">
        <f t="shared" si="3"/>
        <v>0</v>
      </c>
      <c r="AP117" s="36">
        <f t="shared" si="4"/>
        <v>250</v>
      </c>
      <c r="AQ117" s="40">
        <f t="shared" si="5"/>
        <v>18.02</v>
      </c>
    </row>
    <row r="118" ht="15.75" customHeight="1">
      <c r="A118" s="34" t="s">
        <v>25</v>
      </c>
      <c r="B118" s="35">
        <f t="shared" si="6"/>
        <v>45043</v>
      </c>
      <c r="C118" s="36">
        <v>5.0</v>
      </c>
      <c r="D118" s="36"/>
      <c r="E118" s="36" t="s">
        <v>22</v>
      </c>
      <c r="F118" s="38"/>
      <c r="G118" s="31"/>
      <c r="I118" s="30"/>
      <c r="K118" s="30"/>
      <c r="M118" s="30"/>
      <c r="O118" s="28">
        <v>125.0</v>
      </c>
      <c r="Q118" s="29">
        <v>125.0</v>
      </c>
      <c r="S118" s="29">
        <v>0.0</v>
      </c>
      <c r="U118" s="29"/>
      <c r="W118" s="30"/>
      <c r="Y118" s="30"/>
      <c r="Z118" s="26"/>
      <c r="AA118" s="31"/>
      <c r="AC118" s="30"/>
      <c r="AE118" s="30"/>
      <c r="AG118" s="30"/>
      <c r="AI118" s="30"/>
      <c r="AK118" s="30"/>
      <c r="AL118" s="26"/>
      <c r="AM118" s="39">
        <f t="shared" si="1"/>
        <v>4505</v>
      </c>
      <c r="AN118" s="36">
        <f t="shared" si="2"/>
        <v>250</v>
      </c>
      <c r="AO118" s="36">
        <f t="shared" si="3"/>
        <v>0</v>
      </c>
      <c r="AP118" s="36">
        <f t="shared" si="4"/>
        <v>250</v>
      </c>
      <c r="AQ118" s="40">
        <f t="shared" si="5"/>
        <v>18.02</v>
      </c>
    </row>
    <row r="119" ht="15.75" customHeight="1">
      <c r="A119" s="34" t="s">
        <v>26</v>
      </c>
      <c r="B119" s="35">
        <f t="shared" si="6"/>
        <v>45044</v>
      </c>
      <c r="C119" s="36">
        <v>5.0</v>
      </c>
      <c r="D119" s="36"/>
      <c r="E119" s="36" t="s">
        <v>22</v>
      </c>
      <c r="F119" s="38"/>
      <c r="G119" s="31"/>
      <c r="I119" s="30"/>
      <c r="K119" s="30"/>
      <c r="M119" s="30"/>
      <c r="O119" s="28">
        <v>125.0</v>
      </c>
      <c r="Q119" s="29">
        <v>125.0</v>
      </c>
      <c r="S119" s="29">
        <v>0.0</v>
      </c>
      <c r="U119" s="29"/>
      <c r="W119" s="30"/>
      <c r="Y119" s="30"/>
      <c r="Z119" s="26"/>
      <c r="AA119" s="31"/>
      <c r="AC119" s="30"/>
      <c r="AE119" s="30"/>
      <c r="AG119" s="30"/>
      <c r="AI119" s="30"/>
      <c r="AK119" s="30"/>
      <c r="AL119" s="26"/>
      <c r="AM119" s="39">
        <f t="shared" si="1"/>
        <v>4505</v>
      </c>
      <c r="AN119" s="36">
        <f t="shared" si="2"/>
        <v>250</v>
      </c>
      <c r="AO119" s="36">
        <f t="shared" si="3"/>
        <v>0</v>
      </c>
      <c r="AP119" s="36">
        <f t="shared" si="4"/>
        <v>250</v>
      </c>
      <c r="AQ119" s="40">
        <f t="shared" si="5"/>
        <v>18.02</v>
      </c>
    </row>
    <row r="120" ht="15.75" customHeight="1">
      <c r="A120" s="34" t="s">
        <v>27</v>
      </c>
      <c r="B120" s="35">
        <f t="shared" si="6"/>
        <v>45045</v>
      </c>
      <c r="C120" s="36">
        <v>5.0</v>
      </c>
      <c r="D120" s="36"/>
      <c r="E120" s="36" t="s">
        <v>22</v>
      </c>
      <c r="F120" s="38"/>
      <c r="G120" s="31"/>
      <c r="I120" s="30"/>
      <c r="K120" s="30"/>
      <c r="M120" s="30"/>
      <c r="O120" s="28">
        <v>125.0</v>
      </c>
      <c r="Q120" s="29">
        <v>125.0</v>
      </c>
      <c r="S120" s="29">
        <v>0.0</v>
      </c>
      <c r="U120" s="29"/>
      <c r="W120" s="30"/>
      <c r="Y120" s="30"/>
      <c r="Z120" s="26"/>
      <c r="AA120" s="31"/>
      <c r="AC120" s="30"/>
      <c r="AE120" s="30"/>
      <c r="AG120" s="30"/>
      <c r="AI120" s="30"/>
      <c r="AK120" s="30"/>
      <c r="AL120" s="26"/>
      <c r="AM120" s="39">
        <f t="shared" si="1"/>
        <v>4505</v>
      </c>
      <c r="AN120" s="36">
        <f t="shared" si="2"/>
        <v>250</v>
      </c>
      <c r="AO120" s="36">
        <f t="shared" si="3"/>
        <v>0</v>
      </c>
      <c r="AP120" s="36">
        <f t="shared" si="4"/>
        <v>250</v>
      </c>
      <c r="AQ120" s="40">
        <f t="shared" si="5"/>
        <v>18.02</v>
      </c>
    </row>
    <row r="121" ht="15.75" customHeight="1">
      <c r="A121" s="46" t="s">
        <v>28</v>
      </c>
      <c r="B121" s="47">
        <f t="shared" si="6"/>
        <v>45046</v>
      </c>
      <c r="C121" s="49">
        <v>5.0</v>
      </c>
      <c r="D121" s="49"/>
      <c r="E121" s="49" t="s">
        <v>22</v>
      </c>
      <c r="F121" s="52"/>
      <c r="G121" s="67"/>
      <c r="H121" s="55"/>
      <c r="I121" s="65"/>
      <c r="J121" s="55"/>
      <c r="K121" s="65"/>
      <c r="L121" s="55"/>
      <c r="M121" s="65"/>
      <c r="N121" s="55"/>
      <c r="O121" s="61">
        <v>0.0</v>
      </c>
      <c r="P121" s="55"/>
      <c r="Q121" s="62">
        <v>0.0</v>
      </c>
      <c r="R121" s="55"/>
      <c r="S121" s="62">
        <v>0.0</v>
      </c>
      <c r="T121" s="55"/>
      <c r="U121" s="62"/>
      <c r="V121" s="55"/>
      <c r="W121" s="65"/>
      <c r="X121" s="55"/>
      <c r="Y121" s="65"/>
      <c r="Z121" s="58"/>
      <c r="AA121" s="67"/>
      <c r="AB121" s="55"/>
      <c r="AC121" s="65"/>
      <c r="AD121" s="55"/>
      <c r="AE121" s="65"/>
      <c r="AF121" s="55"/>
      <c r="AG121" s="65"/>
      <c r="AH121" s="55"/>
      <c r="AI121" s="65"/>
      <c r="AJ121" s="55"/>
      <c r="AK121" s="65"/>
      <c r="AL121" s="58"/>
      <c r="AM121" s="64">
        <f t="shared" si="1"/>
        <v>0</v>
      </c>
      <c r="AN121" s="49">
        <f t="shared" si="2"/>
        <v>0</v>
      </c>
      <c r="AO121" s="49">
        <f t="shared" si="3"/>
        <v>0</v>
      </c>
      <c r="AP121" s="49">
        <f t="shared" si="4"/>
        <v>0</v>
      </c>
      <c r="AQ121" s="66" t="str">
        <f t="shared" si="5"/>
        <v/>
      </c>
    </row>
    <row r="122" ht="15.75" customHeight="1">
      <c r="A122" s="18" t="s">
        <v>21</v>
      </c>
      <c r="B122" s="68">
        <f t="shared" si="6"/>
        <v>45047</v>
      </c>
      <c r="C122" s="20">
        <v>5.0</v>
      </c>
      <c r="D122" s="20"/>
      <c r="E122" s="20" t="s">
        <v>34</v>
      </c>
      <c r="F122" s="22"/>
      <c r="G122" s="31"/>
      <c r="I122" s="30"/>
      <c r="K122" s="30"/>
      <c r="M122" s="30"/>
      <c r="O122" s="28">
        <v>125.0</v>
      </c>
      <c r="Q122" s="29">
        <v>125.0</v>
      </c>
      <c r="S122" s="29">
        <v>0.0</v>
      </c>
      <c r="U122" s="29"/>
      <c r="W122" s="30"/>
      <c r="Y122" s="30"/>
      <c r="Z122" s="26"/>
      <c r="AA122" s="31"/>
      <c r="AC122" s="30"/>
      <c r="AE122" s="30"/>
      <c r="AG122" s="30"/>
      <c r="AI122" s="30"/>
      <c r="AK122" s="30"/>
      <c r="AL122" s="26"/>
      <c r="AM122" s="32">
        <f t="shared" si="1"/>
        <v>4505</v>
      </c>
      <c r="AN122" s="20">
        <f t="shared" si="2"/>
        <v>250</v>
      </c>
      <c r="AO122" s="20">
        <f t="shared" si="3"/>
        <v>0</v>
      </c>
      <c r="AP122" s="20">
        <f t="shared" si="4"/>
        <v>250</v>
      </c>
      <c r="AQ122" s="33">
        <f t="shared" si="5"/>
        <v>18.02</v>
      </c>
    </row>
    <row r="123" ht="15.75" customHeight="1">
      <c r="A123" s="34" t="s">
        <v>23</v>
      </c>
      <c r="B123" s="35">
        <f t="shared" si="6"/>
        <v>45048</v>
      </c>
      <c r="C123" s="36">
        <v>5.0</v>
      </c>
      <c r="D123" s="36"/>
      <c r="E123" s="36" t="s">
        <v>34</v>
      </c>
      <c r="F123" s="38"/>
      <c r="G123" s="31"/>
      <c r="I123" s="30"/>
      <c r="K123" s="30"/>
      <c r="M123" s="30"/>
      <c r="O123" s="28">
        <v>125.0</v>
      </c>
      <c r="Q123" s="29">
        <v>125.0</v>
      </c>
      <c r="S123" s="29">
        <v>0.0</v>
      </c>
      <c r="U123" s="29"/>
      <c r="W123" s="30"/>
      <c r="Y123" s="30"/>
      <c r="Z123" s="26"/>
      <c r="AA123" s="31"/>
      <c r="AC123" s="30"/>
      <c r="AE123" s="30"/>
      <c r="AG123" s="30"/>
      <c r="AI123" s="30"/>
      <c r="AK123" s="30"/>
      <c r="AL123" s="26"/>
      <c r="AM123" s="39">
        <f t="shared" si="1"/>
        <v>4505</v>
      </c>
      <c r="AN123" s="36">
        <f t="shared" si="2"/>
        <v>250</v>
      </c>
      <c r="AO123" s="36">
        <f t="shared" si="3"/>
        <v>0</v>
      </c>
      <c r="AP123" s="36">
        <f t="shared" si="4"/>
        <v>250</v>
      </c>
      <c r="AQ123" s="40">
        <f t="shared" si="5"/>
        <v>18.02</v>
      </c>
    </row>
    <row r="124" ht="15.75" customHeight="1">
      <c r="A124" s="34" t="s">
        <v>24</v>
      </c>
      <c r="B124" s="35">
        <f t="shared" si="6"/>
        <v>45049</v>
      </c>
      <c r="C124" s="36">
        <v>5.0</v>
      </c>
      <c r="D124" s="36"/>
      <c r="E124" s="36" t="s">
        <v>34</v>
      </c>
      <c r="F124" s="38"/>
      <c r="G124" s="31"/>
      <c r="I124" s="30"/>
      <c r="K124" s="30"/>
      <c r="M124" s="30"/>
      <c r="O124" s="28">
        <v>125.0</v>
      </c>
      <c r="Q124" s="29">
        <v>125.0</v>
      </c>
      <c r="S124" s="29">
        <v>0.0</v>
      </c>
      <c r="U124" s="29"/>
      <c r="W124" s="30"/>
      <c r="Y124" s="30"/>
      <c r="Z124" s="26"/>
      <c r="AA124" s="31"/>
      <c r="AC124" s="30"/>
      <c r="AE124" s="30"/>
      <c r="AG124" s="30"/>
      <c r="AI124" s="30"/>
      <c r="AK124" s="30"/>
      <c r="AL124" s="26"/>
      <c r="AM124" s="39">
        <f t="shared" si="1"/>
        <v>4505</v>
      </c>
      <c r="AN124" s="36">
        <f t="shared" si="2"/>
        <v>250</v>
      </c>
      <c r="AO124" s="36">
        <f t="shared" si="3"/>
        <v>0</v>
      </c>
      <c r="AP124" s="36">
        <f t="shared" si="4"/>
        <v>250</v>
      </c>
      <c r="AQ124" s="40">
        <f t="shared" si="5"/>
        <v>18.02</v>
      </c>
    </row>
    <row r="125" ht="15.75" customHeight="1">
      <c r="A125" s="34" t="s">
        <v>25</v>
      </c>
      <c r="B125" s="35">
        <f t="shared" si="6"/>
        <v>45050</v>
      </c>
      <c r="C125" s="36">
        <v>5.0</v>
      </c>
      <c r="D125" s="36"/>
      <c r="E125" s="36" t="s">
        <v>34</v>
      </c>
      <c r="F125" s="38"/>
      <c r="G125" s="31"/>
      <c r="I125" s="30"/>
      <c r="K125" s="30"/>
      <c r="M125" s="30"/>
      <c r="O125" s="28">
        <v>125.0</v>
      </c>
      <c r="Q125" s="29">
        <v>125.0</v>
      </c>
      <c r="S125" s="29">
        <v>0.0</v>
      </c>
      <c r="U125" s="29"/>
      <c r="W125" s="30"/>
      <c r="Y125" s="30"/>
      <c r="Z125" s="26"/>
      <c r="AA125" s="31"/>
      <c r="AC125" s="30"/>
      <c r="AE125" s="30"/>
      <c r="AG125" s="30"/>
      <c r="AI125" s="30"/>
      <c r="AK125" s="30"/>
      <c r="AL125" s="26"/>
      <c r="AM125" s="39">
        <f t="shared" si="1"/>
        <v>4505</v>
      </c>
      <c r="AN125" s="36">
        <f t="shared" si="2"/>
        <v>250</v>
      </c>
      <c r="AO125" s="36">
        <f t="shared" si="3"/>
        <v>0</v>
      </c>
      <c r="AP125" s="36">
        <f t="shared" si="4"/>
        <v>250</v>
      </c>
      <c r="AQ125" s="40">
        <f t="shared" si="5"/>
        <v>18.02</v>
      </c>
    </row>
    <row r="126" ht="15.75" customHeight="1">
      <c r="A126" s="34" t="s">
        <v>26</v>
      </c>
      <c r="B126" s="35">
        <f t="shared" si="6"/>
        <v>45051</v>
      </c>
      <c r="C126" s="36">
        <v>5.0</v>
      </c>
      <c r="D126" s="36"/>
      <c r="E126" s="36" t="s">
        <v>34</v>
      </c>
      <c r="F126" s="38"/>
      <c r="G126" s="31"/>
      <c r="I126" s="30"/>
      <c r="K126" s="30"/>
      <c r="M126" s="30"/>
      <c r="O126" s="28">
        <v>125.0</v>
      </c>
      <c r="Q126" s="29">
        <v>125.0</v>
      </c>
      <c r="S126" s="29">
        <v>0.0</v>
      </c>
      <c r="U126" s="29"/>
      <c r="W126" s="30"/>
      <c r="Y126" s="30"/>
      <c r="Z126" s="26"/>
      <c r="AA126" s="31"/>
      <c r="AC126" s="30"/>
      <c r="AE126" s="30"/>
      <c r="AG126" s="30"/>
      <c r="AI126" s="30"/>
      <c r="AK126" s="30"/>
      <c r="AL126" s="26"/>
      <c r="AM126" s="39">
        <f t="shared" si="1"/>
        <v>4505</v>
      </c>
      <c r="AN126" s="36">
        <f t="shared" si="2"/>
        <v>250</v>
      </c>
      <c r="AO126" s="36">
        <f t="shared" si="3"/>
        <v>0</v>
      </c>
      <c r="AP126" s="36">
        <f t="shared" si="4"/>
        <v>250</v>
      </c>
      <c r="AQ126" s="40">
        <f t="shared" si="5"/>
        <v>18.02</v>
      </c>
    </row>
    <row r="127" ht="15.75" customHeight="1">
      <c r="A127" s="34" t="s">
        <v>27</v>
      </c>
      <c r="B127" s="35">
        <f t="shared" si="6"/>
        <v>45052</v>
      </c>
      <c r="C127" s="36">
        <v>5.0</v>
      </c>
      <c r="D127" s="36"/>
      <c r="E127" s="36" t="s">
        <v>34</v>
      </c>
      <c r="F127" s="38"/>
      <c r="G127" s="31"/>
      <c r="I127" s="30"/>
      <c r="K127" s="30"/>
      <c r="M127" s="30"/>
      <c r="O127" s="28">
        <v>125.0</v>
      </c>
      <c r="Q127" s="29">
        <v>125.0</v>
      </c>
      <c r="S127" s="29">
        <v>0.0</v>
      </c>
      <c r="U127" s="29"/>
      <c r="W127" s="30"/>
      <c r="Y127" s="30"/>
      <c r="Z127" s="26"/>
      <c r="AA127" s="31"/>
      <c r="AC127" s="30"/>
      <c r="AE127" s="30"/>
      <c r="AG127" s="30"/>
      <c r="AI127" s="30"/>
      <c r="AK127" s="30"/>
      <c r="AL127" s="26"/>
      <c r="AM127" s="39">
        <f t="shared" si="1"/>
        <v>4505</v>
      </c>
      <c r="AN127" s="36">
        <f t="shared" si="2"/>
        <v>250</v>
      </c>
      <c r="AO127" s="36">
        <f t="shared" si="3"/>
        <v>0</v>
      </c>
      <c r="AP127" s="36">
        <f t="shared" si="4"/>
        <v>250</v>
      </c>
      <c r="AQ127" s="40">
        <f t="shared" si="5"/>
        <v>18.02</v>
      </c>
    </row>
    <row r="128" ht="15.75" customHeight="1">
      <c r="A128" s="46" t="s">
        <v>28</v>
      </c>
      <c r="B128" s="47">
        <f t="shared" si="6"/>
        <v>45053</v>
      </c>
      <c r="C128" s="49">
        <v>5.0</v>
      </c>
      <c r="D128" s="49"/>
      <c r="E128" s="49" t="s">
        <v>34</v>
      </c>
      <c r="F128" s="52"/>
      <c r="G128" s="67"/>
      <c r="H128" s="55"/>
      <c r="I128" s="65"/>
      <c r="J128" s="55"/>
      <c r="K128" s="65"/>
      <c r="L128" s="55"/>
      <c r="M128" s="65"/>
      <c r="N128" s="55"/>
      <c r="O128" s="61">
        <v>0.0</v>
      </c>
      <c r="P128" s="55"/>
      <c r="Q128" s="62">
        <v>0.0</v>
      </c>
      <c r="R128" s="55"/>
      <c r="S128" s="62">
        <v>0.0</v>
      </c>
      <c r="T128" s="55"/>
      <c r="U128" s="62"/>
      <c r="V128" s="55"/>
      <c r="W128" s="65"/>
      <c r="X128" s="55"/>
      <c r="Y128" s="65"/>
      <c r="Z128" s="58"/>
      <c r="AA128" s="67"/>
      <c r="AB128" s="55"/>
      <c r="AC128" s="65"/>
      <c r="AD128" s="55"/>
      <c r="AE128" s="65"/>
      <c r="AF128" s="55"/>
      <c r="AG128" s="65"/>
      <c r="AH128" s="55"/>
      <c r="AI128" s="65"/>
      <c r="AJ128" s="55"/>
      <c r="AK128" s="65"/>
      <c r="AL128" s="58"/>
      <c r="AM128" s="64">
        <f t="shared" si="1"/>
        <v>0</v>
      </c>
      <c r="AN128" s="49">
        <f t="shared" si="2"/>
        <v>0</v>
      </c>
      <c r="AO128" s="49">
        <f t="shared" si="3"/>
        <v>0</v>
      </c>
      <c r="AP128" s="49">
        <f t="shared" si="4"/>
        <v>0</v>
      </c>
      <c r="AQ128" s="66" t="str">
        <f t="shared" si="5"/>
        <v/>
      </c>
    </row>
    <row r="129" ht="15.75" customHeight="1">
      <c r="A129" s="18" t="s">
        <v>21</v>
      </c>
      <c r="B129" s="68">
        <f t="shared" si="6"/>
        <v>45054</v>
      </c>
      <c r="C129" s="20">
        <v>5.0</v>
      </c>
      <c r="D129" s="20"/>
      <c r="E129" s="20" t="s">
        <v>36</v>
      </c>
      <c r="F129" s="22"/>
      <c r="G129" s="31"/>
      <c r="I129" s="30"/>
      <c r="K129" s="30"/>
      <c r="M129" s="30"/>
      <c r="O129" s="28">
        <v>125.0</v>
      </c>
      <c r="Q129" s="29">
        <v>125.0</v>
      </c>
      <c r="S129" s="29">
        <v>0.0</v>
      </c>
      <c r="U129" s="29"/>
      <c r="W129" s="30"/>
      <c r="Y129" s="30"/>
      <c r="Z129" s="26"/>
      <c r="AA129" s="31"/>
      <c r="AC129" s="30"/>
      <c r="AE129" s="30"/>
      <c r="AG129" s="30"/>
      <c r="AI129" s="30"/>
      <c r="AK129" s="30"/>
      <c r="AL129" s="26"/>
      <c r="AM129" s="32">
        <f t="shared" si="1"/>
        <v>4505</v>
      </c>
      <c r="AN129" s="20">
        <f t="shared" si="2"/>
        <v>250</v>
      </c>
      <c r="AO129" s="20">
        <f t="shared" si="3"/>
        <v>0</v>
      </c>
      <c r="AP129" s="20">
        <f t="shared" si="4"/>
        <v>250</v>
      </c>
      <c r="AQ129" s="33">
        <f t="shared" si="5"/>
        <v>18.02</v>
      </c>
    </row>
    <row r="130" ht="15.75" customHeight="1">
      <c r="A130" s="34" t="s">
        <v>23</v>
      </c>
      <c r="B130" s="35">
        <f t="shared" si="6"/>
        <v>45055</v>
      </c>
      <c r="C130" s="36">
        <v>5.0</v>
      </c>
      <c r="D130" s="36"/>
      <c r="E130" s="36" t="s">
        <v>36</v>
      </c>
      <c r="F130" s="38"/>
      <c r="G130" s="31"/>
      <c r="I130" s="30"/>
      <c r="K130" s="30"/>
      <c r="M130" s="30"/>
      <c r="O130" s="28">
        <v>125.0</v>
      </c>
      <c r="Q130" s="29">
        <v>125.0</v>
      </c>
      <c r="S130" s="29">
        <v>0.0</v>
      </c>
      <c r="U130" s="29"/>
      <c r="W130" s="30"/>
      <c r="Y130" s="30"/>
      <c r="Z130" s="26"/>
      <c r="AA130" s="31"/>
      <c r="AC130" s="30"/>
      <c r="AE130" s="30"/>
      <c r="AG130" s="30"/>
      <c r="AI130" s="30"/>
      <c r="AK130" s="30"/>
      <c r="AL130" s="26"/>
      <c r="AM130" s="39">
        <f t="shared" si="1"/>
        <v>4505</v>
      </c>
      <c r="AN130" s="36">
        <f t="shared" si="2"/>
        <v>250</v>
      </c>
      <c r="AO130" s="36">
        <f t="shared" si="3"/>
        <v>0</v>
      </c>
      <c r="AP130" s="36">
        <f t="shared" si="4"/>
        <v>250</v>
      </c>
      <c r="AQ130" s="40">
        <f t="shared" si="5"/>
        <v>18.02</v>
      </c>
    </row>
    <row r="131" ht="15.75" customHeight="1">
      <c r="A131" s="34" t="s">
        <v>24</v>
      </c>
      <c r="B131" s="35">
        <f t="shared" si="6"/>
        <v>45056</v>
      </c>
      <c r="C131" s="36">
        <v>5.0</v>
      </c>
      <c r="D131" s="36"/>
      <c r="E131" s="36" t="s">
        <v>36</v>
      </c>
      <c r="F131" s="38"/>
      <c r="G131" s="31"/>
      <c r="I131" s="30"/>
      <c r="K131" s="30"/>
      <c r="M131" s="30"/>
      <c r="O131" s="28">
        <v>125.0</v>
      </c>
      <c r="Q131" s="29">
        <v>125.0</v>
      </c>
      <c r="S131" s="29">
        <v>0.0</v>
      </c>
      <c r="U131" s="29"/>
      <c r="W131" s="30"/>
      <c r="Y131" s="30"/>
      <c r="Z131" s="26"/>
      <c r="AA131" s="31"/>
      <c r="AC131" s="30"/>
      <c r="AE131" s="30"/>
      <c r="AG131" s="30"/>
      <c r="AI131" s="30"/>
      <c r="AK131" s="30"/>
      <c r="AL131" s="26"/>
      <c r="AM131" s="39">
        <f t="shared" si="1"/>
        <v>4505</v>
      </c>
      <c r="AN131" s="36">
        <f t="shared" si="2"/>
        <v>250</v>
      </c>
      <c r="AO131" s="36">
        <f t="shared" si="3"/>
        <v>0</v>
      </c>
      <c r="AP131" s="36">
        <f t="shared" si="4"/>
        <v>250</v>
      </c>
      <c r="AQ131" s="40">
        <f t="shared" si="5"/>
        <v>18.02</v>
      </c>
    </row>
    <row r="132" ht="15.75" customHeight="1">
      <c r="A132" s="34" t="s">
        <v>25</v>
      </c>
      <c r="B132" s="35">
        <f t="shared" si="6"/>
        <v>45057</v>
      </c>
      <c r="C132" s="36">
        <v>5.0</v>
      </c>
      <c r="D132" s="36"/>
      <c r="E132" s="36" t="s">
        <v>36</v>
      </c>
      <c r="F132" s="38"/>
      <c r="G132" s="31"/>
      <c r="I132" s="30"/>
      <c r="K132" s="30"/>
      <c r="M132" s="30"/>
      <c r="O132" s="28">
        <v>125.0</v>
      </c>
      <c r="Q132" s="29">
        <v>125.0</v>
      </c>
      <c r="S132" s="29">
        <v>0.0</v>
      </c>
      <c r="U132" s="29"/>
      <c r="W132" s="30"/>
      <c r="Y132" s="30"/>
      <c r="Z132" s="26"/>
      <c r="AA132" s="31"/>
      <c r="AC132" s="30"/>
      <c r="AE132" s="30"/>
      <c r="AG132" s="30"/>
      <c r="AI132" s="30"/>
      <c r="AK132" s="30"/>
      <c r="AL132" s="26"/>
      <c r="AM132" s="39">
        <f t="shared" si="1"/>
        <v>4505</v>
      </c>
      <c r="AN132" s="36">
        <f t="shared" si="2"/>
        <v>250</v>
      </c>
      <c r="AO132" s="36">
        <f t="shared" si="3"/>
        <v>0</v>
      </c>
      <c r="AP132" s="36">
        <f t="shared" si="4"/>
        <v>250</v>
      </c>
      <c r="AQ132" s="40">
        <f t="shared" si="5"/>
        <v>18.02</v>
      </c>
    </row>
    <row r="133" ht="15.75" customHeight="1">
      <c r="A133" s="34" t="s">
        <v>26</v>
      </c>
      <c r="B133" s="35">
        <f t="shared" si="6"/>
        <v>45058</v>
      </c>
      <c r="C133" s="36">
        <v>5.0</v>
      </c>
      <c r="D133" s="36"/>
      <c r="E133" s="36" t="s">
        <v>36</v>
      </c>
      <c r="F133" s="38"/>
      <c r="G133" s="31"/>
      <c r="I133" s="30"/>
      <c r="K133" s="30"/>
      <c r="M133" s="30"/>
      <c r="O133" s="28">
        <v>125.0</v>
      </c>
      <c r="Q133" s="29">
        <v>125.0</v>
      </c>
      <c r="S133" s="29">
        <v>0.0</v>
      </c>
      <c r="U133" s="29"/>
      <c r="W133" s="30"/>
      <c r="Y133" s="30"/>
      <c r="Z133" s="26"/>
      <c r="AA133" s="31"/>
      <c r="AC133" s="30"/>
      <c r="AE133" s="30"/>
      <c r="AG133" s="30"/>
      <c r="AI133" s="30"/>
      <c r="AK133" s="30"/>
      <c r="AL133" s="26"/>
      <c r="AM133" s="39">
        <f t="shared" si="1"/>
        <v>4505</v>
      </c>
      <c r="AN133" s="36">
        <f t="shared" si="2"/>
        <v>250</v>
      </c>
      <c r="AO133" s="36">
        <f t="shared" si="3"/>
        <v>0</v>
      </c>
      <c r="AP133" s="36">
        <f t="shared" si="4"/>
        <v>250</v>
      </c>
      <c r="AQ133" s="40">
        <f t="shared" si="5"/>
        <v>18.02</v>
      </c>
    </row>
    <row r="134" ht="15.75" customHeight="1">
      <c r="A134" s="34" t="s">
        <v>27</v>
      </c>
      <c r="B134" s="35">
        <f t="shared" si="6"/>
        <v>45059</v>
      </c>
      <c r="C134" s="36">
        <v>5.0</v>
      </c>
      <c r="D134" s="36"/>
      <c r="E134" s="36" t="s">
        <v>36</v>
      </c>
      <c r="F134" s="38"/>
      <c r="G134" s="31"/>
      <c r="I134" s="30"/>
      <c r="K134" s="30"/>
      <c r="M134" s="30"/>
      <c r="O134" s="28">
        <v>125.0</v>
      </c>
      <c r="Q134" s="29">
        <v>125.0</v>
      </c>
      <c r="S134" s="29">
        <v>0.0</v>
      </c>
      <c r="U134" s="29"/>
      <c r="W134" s="30"/>
      <c r="Y134" s="30"/>
      <c r="Z134" s="26"/>
      <c r="AA134" s="31"/>
      <c r="AC134" s="30"/>
      <c r="AE134" s="30"/>
      <c r="AG134" s="30"/>
      <c r="AI134" s="30"/>
      <c r="AK134" s="30"/>
      <c r="AL134" s="26"/>
      <c r="AM134" s="39">
        <f t="shared" si="1"/>
        <v>4505</v>
      </c>
      <c r="AN134" s="36">
        <f t="shared" si="2"/>
        <v>250</v>
      </c>
      <c r="AO134" s="36">
        <f t="shared" si="3"/>
        <v>0</v>
      </c>
      <c r="AP134" s="36">
        <f t="shared" si="4"/>
        <v>250</v>
      </c>
      <c r="AQ134" s="40">
        <f t="shared" si="5"/>
        <v>18.02</v>
      </c>
    </row>
    <row r="135" ht="15.75" customHeight="1">
      <c r="A135" s="46" t="s">
        <v>28</v>
      </c>
      <c r="B135" s="47">
        <f t="shared" si="6"/>
        <v>45060</v>
      </c>
      <c r="C135" s="49">
        <v>5.0</v>
      </c>
      <c r="D135" s="49"/>
      <c r="E135" s="49" t="s">
        <v>36</v>
      </c>
      <c r="F135" s="52"/>
      <c r="G135" s="67"/>
      <c r="H135" s="55"/>
      <c r="I135" s="65"/>
      <c r="J135" s="55"/>
      <c r="K135" s="65"/>
      <c r="L135" s="55"/>
      <c r="M135" s="65"/>
      <c r="N135" s="55"/>
      <c r="O135" s="61">
        <v>0.0</v>
      </c>
      <c r="P135" s="55"/>
      <c r="Q135" s="62">
        <v>0.0</v>
      </c>
      <c r="R135" s="55"/>
      <c r="S135" s="62">
        <v>0.0</v>
      </c>
      <c r="T135" s="55"/>
      <c r="U135" s="62"/>
      <c r="V135" s="55"/>
      <c r="W135" s="65"/>
      <c r="X135" s="55"/>
      <c r="Y135" s="65"/>
      <c r="Z135" s="58"/>
      <c r="AA135" s="67"/>
      <c r="AB135" s="55"/>
      <c r="AC135" s="65"/>
      <c r="AD135" s="55"/>
      <c r="AE135" s="65"/>
      <c r="AF135" s="55"/>
      <c r="AG135" s="65"/>
      <c r="AH135" s="55"/>
      <c r="AI135" s="65"/>
      <c r="AJ135" s="55"/>
      <c r="AK135" s="65"/>
      <c r="AL135" s="58"/>
      <c r="AM135" s="64">
        <f t="shared" si="1"/>
        <v>0</v>
      </c>
      <c r="AN135" s="49">
        <f t="shared" si="2"/>
        <v>0</v>
      </c>
      <c r="AO135" s="49">
        <f t="shared" si="3"/>
        <v>0</v>
      </c>
      <c r="AP135" s="49">
        <f t="shared" si="4"/>
        <v>0</v>
      </c>
      <c r="AQ135" s="66" t="str">
        <f t="shared" si="5"/>
        <v/>
      </c>
    </row>
    <row r="136" ht="15.75" customHeight="1">
      <c r="A136" s="18" t="s">
        <v>21</v>
      </c>
      <c r="B136" s="68">
        <f t="shared" si="6"/>
        <v>45061</v>
      </c>
      <c r="C136" s="20">
        <v>5.0</v>
      </c>
      <c r="D136" s="20"/>
      <c r="E136" s="20" t="s">
        <v>37</v>
      </c>
      <c r="F136" s="22"/>
      <c r="G136" s="31"/>
      <c r="I136" s="30"/>
      <c r="K136" s="30"/>
      <c r="M136" s="30"/>
      <c r="O136" s="28">
        <v>125.0</v>
      </c>
      <c r="Q136" s="29">
        <v>125.0</v>
      </c>
      <c r="S136" s="29">
        <v>0.0</v>
      </c>
      <c r="U136" s="29"/>
      <c r="W136" s="30"/>
      <c r="Y136" s="30"/>
      <c r="Z136" s="26"/>
      <c r="AA136" s="31"/>
      <c r="AC136" s="30"/>
      <c r="AE136" s="30"/>
      <c r="AG136" s="30"/>
      <c r="AI136" s="30"/>
      <c r="AK136" s="30"/>
      <c r="AL136" s="26"/>
      <c r="AM136" s="32">
        <f t="shared" si="1"/>
        <v>4505</v>
      </c>
      <c r="AN136" s="20">
        <f t="shared" si="2"/>
        <v>250</v>
      </c>
      <c r="AO136" s="20">
        <f t="shared" si="3"/>
        <v>0</v>
      </c>
      <c r="AP136" s="20">
        <f t="shared" si="4"/>
        <v>250</v>
      </c>
      <c r="AQ136" s="33">
        <f t="shared" si="5"/>
        <v>18.02</v>
      </c>
    </row>
    <row r="137" ht="15.75" customHeight="1">
      <c r="A137" s="34" t="s">
        <v>23</v>
      </c>
      <c r="B137" s="35">
        <f t="shared" si="6"/>
        <v>45062</v>
      </c>
      <c r="C137" s="36">
        <v>5.0</v>
      </c>
      <c r="D137" s="36"/>
      <c r="E137" s="36" t="s">
        <v>37</v>
      </c>
      <c r="F137" s="38"/>
      <c r="G137" s="31"/>
      <c r="I137" s="30"/>
      <c r="K137" s="30"/>
      <c r="M137" s="30"/>
      <c r="O137" s="28">
        <v>125.0</v>
      </c>
      <c r="Q137" s="29">
        <v>125.0</v>
      </c>
      <c r="S137" s="29">
        <v>0.0</v>
      </c>
      <c r="U137" s="29"/>
      <c r="W137" s="30"/>
      <c r="Y137" s="30"/>
      <c r="Z137" s="26"/>
      <c r="AA137" s="31"/>
      <c r="AC137" s="30"/>
      <c r="AE137" s="30"/>
      <c r="AG137" s="30"/>
      <c r="AI137" s="30"/>
      <c r="AK137" s="30"/>
      <c r="AL137" s="26"/>
      <c r="AM137" s="39">
        <f t="shared" si="1"/>
        <v>4505</v>
      </c>
      <c r="AN137" s="36">
        <f t="shared" si="2"/>
        <v>250</v>
      </c>
      <c r="AO137" s="36">
        <f t="shared" si="3"/>
        <v>0</v>
      </c>
      <c r="AP137" s="36">
        <f t="shared" si="4"/>
        <v>250</v>
      </c>
      <c r="AQ137" s="40">
        <f t="shared" si="5"/>
        <v>18.02</v>
      </c>
    </row>
    <row r="138" ht="15.75" customHeight="1">
      <c r="A138" s="34" t="s">
        <v>24</v>
      </c>
      <c r="B138" s="35">
        <f t="shared" si="6"/>
        <v>45063</v>
      </c>
      <c r="C138" s="36">
        <v>5.0</v>
      </c>
      <c r="D138" s="36"/>
      <c r="E138" s="36" t="s">
        <v>37</v>
      </c>
      <c r="F138" s="38"/>
      <c r="G138" s="31"/>
      <c r="I138" s="30"/>
      <c r="K138" s="30"/>
      <c r="M138" s="30"/>
      <c r="O138" s="28">
        <v>125.0</v>
      </c>
      <c r="Q138" s="29">
        <v>125.0</v>
      </c>
      <c r="S138" s="29">
        <v>0.0</v>
      </c>
      <c r="U138" s="29"/>
      <c r="W138" s="30"/>
      <c r="Y138" s="30"/>
      <c r="Z138" s="26"/>
      <c r="AA138" s="31"/>
      <c r="AC138" s="30"/>
      <c r="AE138" s="30"/>
      <c r="AG138" s="30"/>
      <c r="AI138" s="30"/>
      <c r="AK138" s="30"/>
      <c r="AL138" s="26"/>
      <c r="AM138" s="39">
        <f t="shared" si="1"/>
        <v>4505</v>
      </c>
      <c r="AN138" s="36">
        <f t="shared" si="2"/>
        <v>250</v>
      </c>
      <c r="AO138" s="36">
        <f t="shared" si="3"/>
        <v>0</v>
      </c>
      <c r="AP138" s="36">
        <f t="shared" si="4"/>
        <v>250</v>
      </c>
      <c r="AQ138" s="40">
        <f t="shared" si="5"/>
        <v>18.02</v>
      </c>
    </row>
    <row r="139" ht="15.75" customHeight="1">
      <c r="A139" s="34" t="s">
        <v>25</v>
      </c>
      <c r="B139" s="35">
        <f t="shared" si="6"/>
        <v>45064</v>
      </c>
      <c r="C139" s="36">
        <v>5.0</v>
      </c>
      <c r="D139" s="36"/>
      <c r="E139" s="36" t="s">
        <v>37</v>
      </c>
      <c r="F139" s="38"/>
      <c r="G139" s="31"/>
      <c r="I139" s="30"/>
      <c r="K139" s="30"/>
      <c r="M139" s="30"/>
      <c r="O139" s="28">
        <v>125.0</v>
      </c>
      <c r="Q139" s="29">
        <v>125.0</v>
      </c>
      <c r="S139" s="29">
        <v>0.0</v>
      </c>
      <c r="U139" s="29"/>
      <c r="W139" s="30"/>
      <c r="Y139" s="30"/>
      <c r="Z139" s="26"/>
      <c r="AA139" s="31"/>
      <c r="AC139" s="30"/>
      <c r="AE139" s="30"/>
      <c r="AG139" s="30"/>
      <c r="AI139" s="30"/>
      <c r="AK139" s="30"/>
      <c r="AL139" s="26"/>
      <c r="AM139" s="39">
        <f t="shared" si="1"/>
        <v>4505</v>
      </c>
      <c r="AN139" s="36">
        <f t="shared" si="2"/>
        <v>250</v>
      </c>
      <c r="AO139" s="36">
        <f t="shared" si="3"/>
        <v>0</v>
      </c>
      <c r="AP139" s="36">
        <f t="shared" si="4"/>
        <v>250</v>
      </c>
      <c r="AQ139" s="40">
        <f t="shared" si="5"/>
        <v>18.02</v>
      </c>
    </row>
    <row r="140" ht="15.75" customHeight="1">
      <c r="A140" s="34" t="s">
        <v>26</v>
      </c>
      <c r="B140" s="35">
        <f t="shared" si="6"/>
        <v>45065</v>
      </c>
      <c r="C140" s="36">
        <v>5.0</v>
      </c>
      <c r="D140" s="36"/>
      <c r="E140" s="36" t="s">
        <v>37</v>
      </c>
      <c r="F140" s="38"/>
      <c r="G140" s="31"/>
      <c r="I140" s="30"/>
      <c r="K140" s="30"/>
      <c r="M140" s="30"/>
      <c r="O140" s="28">
        <v>125.0</v>
      </c>
      <c r="Q140" s="29">
        <v>125.0</v>
      </c>
      <c r="S140" s="29">
        <v>0.0</v>
      </c>
      <c r="U140" s="29"/>
      <c r="W140" s="30"/>
      <c r="Y140" s="30"/>
      <c r="Z140" s="26"/>
      <c r="AA140" s="31"/>
      <c r="AC140" s="30"/>
      <c r="AE140" s="30"/>
      <c r="AG140" s="30"/>
      <c r="AI140" s="30"/>
      <c r="AK140" s="30"/>
      <c r="AL140" s="26"/>
      <c r="AM140" s="39">
        <f t="shared" si="1"/>
        <v>4505</v>
      </c>
      <c r="AN140" s="36">
        <f t="shared" si="2"/>
        <v>250</v>
      </c>
      <c r="AO140" s="36">
        <f t="shared" si="3"/>
        <v>0</v>
      </c>
      <c r="AP140" s="36">
        <f t="shared" si="4"/>
        <v>250</v>
      </c>
      <c r="AQ140" s="40">
        <f t="shared" si="5"/>
        <v>18.02</v>
      </c>
    </row>
    <row r="141" ht="15.75" customHeight="1">
      <c r="A141" s="34" t="s">
        <v>27</v>
      </c>
      <c r="B141" s="35">
        <f t="shared" si="6"/>
        <v>45066</v>
      </c>
      <c r="C141" s="36">
        <v>5.0</v>
      </c>
      <c r="D141" s="36"/>
      <c r="E141" s="36" t="s">
        <v>37</v>
      </c>
      <c r="F141" s="38"/>
      <c r="G141" s="31"/>
      <c r="I141" s="30"/>
      <c r="K141" s="30"/>
      <c r="M141" s="30"/>
      <c r="O141" s="28">
        <v>125.0</v>
      </c>
      <c r="Q141" s="29">
        <v>125.0</v>
      </c>
      <c r="S141" s="29">
        <v>0.0</v>
      </c>
      <c r="U141" s="29"/>
      <c r="W141" s="30"/>
      <c r="Y141" s="30"/>
      <c r="Z141" s="26"/>
      <c r="AA141" s="31"/>
      <c r="AC141" s="30"/>
      <c r="AE141" s="30"/>
      <c r="AG141" s="30"/>
      <c r="AI141" s="30"/>
      <c r="AK141" s="30"/>
      <c r="AL141" s="26"/>
      <c r="AM141" s="39">
        <f t="shared" si="1"/>
        <v>4505</v>
      </c>
      <c r="AN141" s="36">
        <f t="shared" si="2"/>
        <v>250</v>
      </c>
      <c r="AO141" s="36">
        <f t="shared" si="3"/>
        <v>0</v>
      </c>
      <c r="AP141" s="36">
        <f t="shared" si="4"/>
        <v>250</v>
      </c>
      <c r="AQ141" s="40">
        <f t="shared" si="5"/>
        <v>18.02</v>
      </c>
    </row>
    <row r="142" ht="15.75" customHeight="1">
      <c r="A142" s="46" t="s">
        <v>28</v>
      </c>
      <c r="B142" s="47">
        <f t="shared" si="6"/>
        <v>45067</v>
      </c>
      <c r="C142" s="49">
        <v>5.0</v>
      </c>
      <c r="D142" s="49"/>
      <c r="E142" s="49" t="s">
        <v>37</v>
      </c>
      <c r="F142" s="52"/>
      <c r="G142" s="67"/>
      <c r="H142" s="55"/>
      <c r="I142" s="65"/>
      <c r="J142" s="55"/>
      <c r="K142" s="65"/>
      <c r="L142" s="55"/>
      <c r="M142" s="65"/>
      <c r="N142" s="55"/>
      <c r="O142" s="61">
        <v>0.0</v>
      </c>
      <c r="P142" s="55"/>
      <c r="Q142" s="62">
        <v>0.0</v>
      </c>
      <c r="R142" s="55"/>
      <c r="S142" s="62">
        <v>0.0</v>
      </c>
      <c r="T142" s="55"/>
      <c r="U142" s="62"/>
      <c r="V142" s="55"/>
      <c r="W142" s="65"/>
      <c r="X142" s="55"/>
      <c r="Y142" s="65"/>
      <c r="Z142" s="58"/>
      <c r="AA142" s="67"/>
      <c r="AB142" s="55"/>
      <c r="AC142" s="65"/>
      <c r="AD142" s="55"/>
      <c r="AE142" s="65"/>
      <c r="AF142" s="55"/>
      <c r="AG142" s="65"/>
      <c r="AH142" s="55"/>
      <c r="AI142" s="65"/>
      <c r="AJ142" s="55"/>
      <c r="AK142" s="65"/>
      <c r="AL142" s="58"/>
      <c r="AM142" s="64">
        <f t="shared" si="1"/>
        <v>0</v>
      </c>
      <c r="AN142" s="49">
        <f t="shared" si="2"/>
        <v>0</v>
      </c>
      <c r="AO142" s="49">
        <f t="shared" si="3"/>
        <v>0</v>
      </c>
      <c r="AP142" s="49">
        <f t="shared" si="4"/>
        <v>0</v>
      </c>
      <c r="AQ142" s="66" t="str">
        <f t="shared" si="5"/>
        <v/>
      </c>
    </row>
    <row r="143" ht="15.75" customHeight="1">
      <c r="A143" s="18" t="s">
        <v>21</v>
      </c>
      <c r="B143" s="68">
        <f t="shared" si="6"/>
        <v>45068</v>
      </c>
      <c r="C143" s="20">
        <v>6.0</v>
      </c>
      <c r="D143" s="20"/>
      <c r="E143" s="20" t="s">
        <v>22</v>
      </c>
      <c r="F143" s="22"/>
      <c r="G143" s="31"/>
      <c r="I143" s="30"/>
      <c r="K143" s="30"/>
      <c r="M143" s="30"/>
      <c r="O143" s="28">
        <v>125.0</v>
      </c>
      <c r="Q143" s="29">
        <v>125.0</v>
      </c>
      <c r="S143" s="29">
        <v>0.0</v>
      </c>
      <c r="U143" s="29"/>
      <c r="W143" s="30"/>
      <c r="Y143" s="30"/>
      <c r="Z143" s="26"/>
      <c r="AA143" s="31"/>
      <c r="AC143" s="30"/>
      <c r="AE143" s="30"/>
      <c r="AG143" s="30"/>
      <c r="AI143" s="30"/>
      <c r="AK143" s="30"/>
      <c r="AL143" s="26"/>
      <c r="AM143" s="32">
        <f t="shared" si="1"/>
        <v>4505</v>
      </c>
      <c r="AN143" s="20">
        <f t="shared" si="2"/>
        <v>250</v>
      </c>
      <c r="AO143" s="20">
        <f t="shared" si="3"/>
        <v>0</v>
      </c>
      <c r="AP143" s="20">
        <f t="shared" si="4"/>
        <v>250</v>
      </c>
      <c r="AQ143" s="33">
        <f t="shared" si="5"/>
        <v>18.02</v>
      </c>
    </row>
    <row r="144" ht="15.75" customHeight="1">
      <c r="A144" s="34" t="s">
        <v>23</v>
      </c>
      <c r="B144" s="35">
        <f t="shared" si="6"/>
        <v>45069</v>
      </c>
      <c r="C144" s="36">
        <v>6.0</v>
      </c>
      <c r="D144" s="36"/>
      <c r="E144" s="36" t="s">
        <v>22</v>
      </c>
      <c r="F144" s="38"/>
      <c r="G144" s="31"/>
      <c r="I144" s="30"/>
      <c r="K144" s="30"/>
      <c r="M144" s="30"/>
      <c r="O144" s="28">
        <v>125.0</v>
      </c>
      <c r="Q144" s="29">
        <v>125.0</v>
      </c>
      <c r="S144" s="29">
        <v>0.0</v>
      </c>
      <c r="U144" s="29"/>
      <c r="W144" s="30"/>
      <c r="Y144" s="30"/>
      <c r="Z144" s="26"/>
      <c r="AA144" s="31"/>
      <c r="AC144" s="30"/>
      <c r="AE144" s="30"/>
      <c r="AG144" s="30"/>
      <c r="AI144" s="30"/>
      <c r="AK144" s="30"/>
      <c r="AL144" s="26"/>
      <c r="AM144" s="39">
        <f t="shared" si="1"/>
        <v>4505</v>
      </c>
      <c r="AN144" s="36">
        <f t="shared" si="2"/>
        <v>250</v>
      </c>
      <c r="AO144" s="36">
        <f t="shared" si="3"/>
        <v>0</v>
      </c>
      <c r="AP144" s="36">
        <f t="shared" si="4"/>
        <v>250</v>
      </c>
      <c r="AQ144" s="40">
        <f t="shared" si="5"/>
        <v>18.02</v>
      </c>
    </row>
    <row r="145" ht="15.75" customHeight="1">
      <c r="A145" s="34" t="s">
        <v>24</v>
      </c>
      <c r="B145" s="35">
        <f t="shared" si="6"/>
        <v>45070</v>
      </c>
      <c r="C145" s="36">
        <v>6.0</v>
      </c>
      <c r="D145" s="36"/>
      <c r="E145" s="36" t="s">
        <v>22</v>
      </c>
      <c r="F145" s="38"/>
      <c r="G145" s="31"/>
      <c r="I145" s="30"/>
      <c r="K145" s="30"/>
      <c r="M145" s="30"/>
      <c r="O145" s="28">
        <v>125.0</v>
      </c>
      <c r="Q145" s="29">
        <v>125.0</v>
      </c>
      <c r="S145" s="29">
        <v>0.0</v>
      </c>
      <c r="U145" s="29"/>
      <c r="W145" s="30"/>
      <c r="Y145" s="30"/>
      <c r="Z145" s="26"/>
      <c r="AA145" s="31"/>
      <c r="AC145" s="30"/>
      <c r="AE145" s="30"/>
      <c r="AG145" s="30"/>
      <c r="AI145" s="30"/>
      <c r="AK145" s="30"/>
      <c r="AL145" s="26"/>
      <c r="AM145" s="39">
        <f t="shared" si="1"/>
        <v>4505</v>
      </c>
      <c r="AN145" s="36">
        <f t="shared" si="2"/>
        <v>250</v>
      </c>
      <c r="AO145" s="36">
        <f t="shared" si="3"/>
        <v>0</v>
      </c>
      <c r="AP145" s="36">
        <f t="shared" si="4"/>
        <v>250</v>
      </c>
      <c r="AQ145" s="40">
        <f t="shared" si="5"/>
        <v>18.02</v>
      </c>
    </row>
    <row r="146" ht="15.75" customHeight="1">
      <c r="A146" s="34" t="s">
        <v>25</v>
      </c>
      <c r="B146" s="35">
        <f t="shared" si="6"/>
        <v>45071</v>
      </c>
      <c r="C146" s="36">
        <v>6.0</v>
      </c>
      <c r="D146" s="36"/>
      <c r="E146" s="36" t="s">
        <v>22</v>
      </c>
      <c r="F146" s="38"/>
      <c r="G146" s="31"/>
      <c r="I146" s="30"/>
      <c r="K146" s="30"/>
      <c r="M146" s="30"/>
      <c r="O146" s="28">
        <v>125.0</v>
      </c>
      <c r="Q146" s="29">
        <v>125.0</v>
      </c>
      <c r="S146" s="29">
        <v>0.0</v>
      </c>
      <c r="U146" s="29"/>
      <c r="W146" s="30"/>
      <c r="Y146" s="30"/>
      <c r="Z146" s="26"/>
      <c r="AA146" s="31"/>
      <c r="AC146" s="30"/>
      <c r="AE146" s="30"/>
      <c r="AG146" s="30"/>
      <c r="AI146" s="30"/>
      <c r="AK146" s="30"/>
      <c r="AL146" s="26"/>
      <c r="AM146" s="39">
        <f t="shared" si="1"/>
        <v>4505</v>
      </c>
      <c r="AN146" s="36">
        <f t="shared" si="2"/>
        <v>250</v>
      </c>
      <c r="AO146" s="36">
        <f t="shared" si="3"/>
        <v>0</v>
      </c>
      <c r="AP146" s="36">
        <f t="shared" si="4"/>
        <v>250</v>
      </c>
      <c r="AQ146" s="40">
        <f t="shared" si="5"/>
        <v>18.02</v>
      </c>
    </row>
    <row r="147" ht="15.75" customHeight="1">
      <c r="A147" s="34" t="s">
        <v>26</v>
      </c>
      <c r="B147" s="35">
        <f t="shared" si="6"/>
        <v>45072</v>
      </c>
      <c r="C147" s="36">
        <v>6.0</v>
      </c>
      <c r="D147" s="36"/>
      <c r="E147" s="36" t="s">
        <v>22</v>
      </c>
      <c r="F147" s="38"/>
      <c r="G147" s="31"/>
      <c r="I147" s="30"/>
      <c r="K147" s="30"/>
      <c r="M147" s="30"/>
      <c r="O147" s="28">
        <v>125.0</v>
      </c>
      <c r="Q147" s="29">
        <v>125.0</v>
      </c>
      <c r="S147" s="29">
        <v>0.0</v>
      </c>
      <c r="U147" s="29"/>
      <c r="W147" s="30"/>
      <c r="Y147" s="30"/>
      <c r="Z147" s="26"/>
      <c r="AA147" s="31"/>
      <c r="AC147" s="30"/>
      <c r="AE147" s="30"/>
      <c r="AG147" s="30"/>
      <c r="AI147" s="30"/>
      <c r="AK147" s="30"/>
      <c r="AL147" s="26"/>
      <c r="AM147" s="39">
        <f t="shared" si="1"/>
        <v>4505</v>
      </c>
      <c r="AN147" s="36">
        <f t="shared" si="2"/>
        <v>250</v>
      </c>
      <c r="AO147" s="36">
        <f t="shared" si="3"/>
        <v>0</v>
      </c>
      <c r="AP147" s="36">
        <f t="shared" si="4"/>
        <v>250</v>
      </c>
      <c r="AQ147" s="40">
        <f t="shared" si="5"/>
        <v>18.02</v>
      </c>
    </row>
    <row r="148" ht="15.75" customHeight="1">
      <c r="A148" s="34" t="s">
        <v>27</v>
      </c>
      <c r="B148" s="35">
        <f t="shared" si="6"/>
        <v>45073</v>
      </c>
      <c r="C148" s="36">
        <v>6.0</v>
      </c>
      <c r="D148" s="36"/>
      <c r="E148" s="36" t="s">
        <v>22</v>
      </c>
      <c r="F148" s="38"/>
      <c r="G148" s="31"/>
      <c r="I148" s="30"/>
      <c r="K148" s="30"/>
      <c r="M148" s="30"/>
      <c r="O148" s="28">
        <v>125.0</v>
      </c>
      <c r="Q148" s="29">
        <v>125.0</v>
      </c>
      <c r="S148" s="29">
        <v>0.0</v>
      </c>
      <c r="U148" s="29"/>
      <c r="W148" s="30"/>
      <c r="Y148" s="30"/>
      <c r="Z148" s="26"/>
      <c r="AA148" s="31"/>
      <c r="AC148" s="30"/>
      <c r="AE148" s="30"/>
      <c r="AG148" s="30"/>
      <c r="AI148" s="30"/>
      <c r="AK148" s="30"/>
      <c r="AL148" s="26"/>
      <c r="AM148" s="39">
        <f t="shared" si="1"/>
        <v>4505</v>
      </c>
      <c r="AN148" s="36">
        <f t="shared" si="2"/>
        <v>250</v>
      </c>
      <c r="AO148" s="36">
        <f t="shared" si="3"/>
        <v>0</v>
      </c>
      <c r="AP148" s="36">
        <f t="shared" si="4"/>
        <v>250</v>
      </c>
      <c r="AQ148" s="40">
        <f t="shared" si="5"/>
        <v>18.02</v>
      </c>
    </row>
    <row r="149" ht="15.75" customHeight="1">
      <c r="A149" s="46" t="s">
        <v>28</v>
      </c>
      <c r="B149" s="47">
        <f t="shared" si="6"/>
        <v>45074</v>
      </c>
      <c r="C149" s="49">
        <v>6.0</v>
      </c>
      <c r="D149" s="49"/>
      <c r="E149" s="49" t="s">
        <v>22</v>
      </c>
      <c r="F149" s="52"/>
      <c r="G149" s="67"/>
      <c r="H149" s="55"/>
      <c r="I149" s="65"/>
      <c r="J149" s="55"/>
      <c r="K149" s="65"/>
      <c r="L149" s="55"/>
      <c r="M149" s="65"/>
      <c r="N149" s="55"/>
      <c r="O149" s="61">
        <v>0.0</v>
      </c>
      <c r="P149" s="55"/>
      <c r="Q149" s="62">
        <v>0.0</v>
      </c>
      <c r="R149" s="55"/>
      <c r="S149" s="62">
        <v>0.0</v>
      </c>
      <c r="T149" s="55"/>
      <c r="U149" s="62"/>
      <c r="V149" s="55"/>
      <c r="W149" s="65"/>
      <c r="X149" s="55"/>
      <c r="Y149" s="65"/>
      <c r="Z149" s="58"/>
      <c r="AA149" s="67"/>
      <c r="AB149" s="55"/>
      <c r="AC149" s="65"/>
      <c r="AD149" s="55"/>
      <c r="AE149" s="65"/>
      <c r="AF149" s="55"/>
      <c r="AG149" s="65"/>
      <c r="AH149" s="55"/>
      <c r="AI149" s="65"/>
      <c r="AJ149" s="55"/>
      <c r="AK149" s="65"/>
      <c r="AL149" s="58"/>
      <c r="AM149" s="64">
        <f t="shared" si="1"/>
        <v>0</v>
      </c>
      <c r="AN149" s="49">
        <f t="shared" si="2"/>
        <v>0</v>
      </c>
      <c r="AO149" s="49">
        <f t="shared" si="3"/>
        <v>0</v>
      </c>
      <c r="AP149" s="49">
        <f t="shared" si="4"/>
        <v>0</v>
      </c>
      <c r="AQ149" s="66" t="str">
        <f t="shared" si="5"/>
        <v/>
      </c>
    </row>
    <row r="150" ht="15.75" customHeight="1">
      <c r="A150" s="18" t="s">
        <v>21</v>
      </c>
      <c r="B150" s="68">
        <f t="shared" si="6"/>
        <v>45075</v>
      </c>
      <c r="C150" s="20">
        <v>6.0</v>
      </c>
      <c r="D150" s="20"/>
      <c r="E150" s="20" t="s">
        <v>34</v>
      </c>
      <c r="F150" s="22"/>
      <c r="G150" s="31"/>
      <c r="I150" s="30"/>
      <c r="K150" s="30"/>
      <c r="M150" s="30"/>
      <c r="O150" s="28">
        <v>125.0</v>
      </c>
      <c r="Q150" s="29">
        <v>125.0</v>
      </c>
      <c r="S150" s="29">
        <v>0.0</v>
      </c>
      <c r="U150" s="29"/>
      <c r="W150" s="30"/>
      <c r="Y150" s="30"/>
      <c r="Z150" s="26"/>
      <c r="AA150" s="31"/>
      <c r="AC150" s="30"/>
      <c r="AE150" s="30"/>
      <c r="AG150" s="30"/>
      <c r="AI150" s="30"/>
      <c r="AK150" s="30"/>
      <c r="AL150" s="26"/>
      <c r="AM150" s="32">
        <f t="shared" si="1"/>
        <v>4505</v>
      </c>
      <c r="AN150" s="20">
        <f t="shared" si="2"/>
        <v>250</v>
      </c>
      <c r="AO150" s="20">
        <f t="shared" si="3"/>
        <v>0</v>
      </c>
      <c r="AP150" s="20">
        <f t="shared" si="4"/>
        <v>250</v>
      </c>
      <c r="AQ150" s="33">
        <f t="shared" si="5"/>
        <v>18.02</v>
      </c>
    </row>
    <row r="151" ht="15.75" customHeight="1">
      <c r="A151" s="34" t="s">
        <v>23</v>
      </c>
      <c r="B151" s="35">
        <f t="shared" si="6"/>
        <v>45076</v>
      </c>
      <c r="C151" s="36">
        <v>6.0</v>
      </c>
      <c r="D151" s="36"/>
      <c r="E151" s="36" t="s">
        <v>34</v>
      </c>
      <c r="F151" s="38"/>
      <c r="G151" s="31"/>
      <c r="I151" s="30"/>
      <c r="K151" s="30"/>
      <c r="M151" s="30"/>
      <c r="O151" s="28">
        <v>125.0</v>
      </c>
      <c r="Q151" s="29">
        <v>125.0</v>
      </c>
      <c r="S151" s="29">
        <v>0.0</v>
      </c>
      <c r="U151" s="29"/>
      <c r="W151" s="30"/>
      <c r="Y151" s="30"/>
      <c r="Z151" s="26"/>
      <c r="AA151" s="31"/>
      <c r="AC151" s="30"/>
      <c r="AE151" s="30"/>
      <c r="AG151" s="30"/>
      <c r="AI151" s="30"/>
      <c r="AK151" s="30"/>
      <c r="AL151" s="26"/>
      <c r="AM151" s="39">
        <f t="shared" si="1"/>
        <v>4505</v>
      </c>
      <c r="AN151" s="36">
        <f t="shared" si="2"/>
        <v>250</v>
      </c>
      <c r="AO151" s="36">
        <f t="shared" si="3"/>
        <v>0</v>
      </c>
      <c r="AP151" s="36">
        <f t="shared" si="4"/>
        <v>250</v>
      </c>
      <c r="AQ151" s="40">
        <f t="shared" si="5"/>
        <v>18.02</v>
      </c>
    </row>
    <row r="152" ht="15.75" customHeight="1">
      <c r="A152" s="34" t="s">
        <v>24</v>
      </c>
      <c r="B152" s="35">
        <f t="shared" si="6"/>
        <v>45077</v>
      </c>
      <c r="C152" s="36">
        <v>6.0</v>
      </c>
      <c r="D152" s="36"/>
      <c r="E152" s="36" t="s">
        <v>34</v>
      </c>
      <c r="F152" s="38"/>
      <c r="G152" s="31"/>
      <c r="I152" s="30"/>
      <c r="K152" s="30"/>
      <c r="M152" s="30"/>
      <c r="O152" s="28">
        <v>125.0</v>
      </c>
      <c r="Q152" s="29">
        <v>125.0</v>
      </c>
      <c r="S152" s="29">
        <v>0.0</v>
      </c>
      <c r="U152" s="29"/>
      <c r="W152" s="30"/>
      <c r="Y152" s="30"/>
      <c r="Z152" s="26"/>
      <c r="AA152" s="31"/>
      <c r="AC152" s="30"/>
      <c r="AE152" s="30"/>
      <c r="AG152" s="30"/>
      <c r="AI152" s="30"/>
      <c r="AK152" s="30"/>
      <c r="AL152" s="26"/>
      <c r="AM152" s="39">
        <f t="shared" si="1"/>
        <v>4505</v>
      </c>
      <c r="AN152" s="36">
        <f t="shared" si="2"/>
        <v>250</v>
      </c>
      <c r="AO152" s="36">
        <f t="shared" si="3"/>
        <v>0</v>
      </c>
      <c r="AP152" s="36">
        <f t="shared" si="4"/>
        <v>250</v>
      </c>
      <c r="AQ152" s="40">
        <f t="shared" si="5"/>
        <v>18.02</v>
      </c>
    </row>
    <row r="153" ht="15.75" customHeight="1">
      <c r="A153" s="34" t="s">
        <v>25</v>
      </c>
      <c r="B153" s="35">
        <f t="shared" si="6"/>
        <v>45078</v>
      </c>
      <c r="C153" s="36">
        <v>6.0</v>
      </c>
      <c r="D153" s="36"/>
      <c r="E153" s="36" t="s">
        <v>34</v>
      </c>
      <c r="F153" s="38"/>
      <c r="G153" s="31"/>
      <c r="I153" s="30"/>
      <c r="K153" s="30"/>
      <c r="M153" s="30"/>
      <c r="O153" s="28">
        <v>125.0</v>
      </c>
      <c r="Q153" s="29">
        <v>125.0</v>
      </c>
      <c r="S153" s="29">
        <v>0.0</v>
      </c>
      <c r="U153" s="29"/>
      <c r="W153" s="30"/>
      <c r="Y153" s="30"/>
      <c r="Z153" s="26"/>
      <c r="AA153" s="31"/>
      <c r="AC153" s="30"/>
      <c r="AE153" s="30"/>
      <c r="AG153" s="30"/>
      <c r="AI153" s="30"/>
      <c r="AK153" s="30"/>
      <c r="AL153" s="26"/>
      <c r="AM153" s="39">
        <f t="shared" si="1"/>
        <v>4505</v>
      </c>
      <c r="AN153" s="36">
        <f t="shared" si="2"/>
        <v>250</v>
      </c>
      <c r="AO153" s="36">
        <f t="shared" si="3"/>
        <v>0</v>
      </c>
      <c r="AP153" s="36">
        <f t="shared" si="4"/>
        <v>250</v>
      </c>
      <c r="AQ153" s="40">
        <f t="shared" si="5"/>
        <v>18.02</v>
      </c>
    </row>
    <row r="154" ht="15.75" customHeight="1">
      <c r="A154" s="34" t="s">
        <v>26</v>
      </c>
      <c r="B154" s="35">
        <f t="shared" si="6"/>
        <v>45079</v>
      </c>
      <c r="C154" s="36">
        <v>6.0</v>
      </c>
      <c r="D154" s="36"/>
      <c r="E154" s="36" t="s">
        <v>34</v>
      </c>
      <c r="F154" s="38"/>
      <c r="G154" s="31"/>
      <c r="I154" s="30"/>
      <c r="K154" s="30"/>
      <c r="M154" s="30"/>
      <c r="O154" s="28">
        <v>125.0</v>
      </c>
      <c r="Q154" s="29">
        <v>125.0</v>
      </c>
      <c r="S154" s="29">
        <v>0.0</v>
      </c>
      <c r="U154" s="29"/>
      <c r="W154" s="30"/>
      <c r="Y154" s="30"/>
      <c r="Z154" s="26"/>
      <c r="AA154" s="31"/>
      <c r="AC154" s="30"/>
      <c r="AE154" s="30"/>
      <c r="AG154" s="30"/>
      <c r="AI154" s="30"/>
      <c r="AK154" s="30"/>
      <c r="AL154" s="26"/>
      <c r="AM154" s="39">
        <f t="shared" si="1"/>
        <v>4505</v>
      </c>
      <c r="AN154" s="36">
        <f t="shared" si="2"/>
        <v>250</v>
      </c>
      <c r="AO154" s="36">
        <f t="shared" si="3"/>
        <v>0</v>
      </c>
      <c r="AP154" s="36">
        <f t="shared" si="4"/>
        <v>250</v>
      </c>
      <c r="AQ154" s="40">
        <f t="shared" si="5"/>
        <v>18.02</v>
      </c>
    </row>
    <row r="155" ht="15.75" customHeight="1">
      <c r="A155" s="34" t="s">
        <v>27</v>
      </c>
      <c r="B155" s="35">
        <f t="shared" si="6"/>
        <v>45080</v>
      </c>
      <c r="C155" s="36">
        <v>6.0</v>
      </c>
      <c r="D155" s="36"/>
      <c r="E155" s="36" t="s">
        <v>34</v>
      </c>
      <c r="F155" s="38"/>
      <c r="G155" s="31"/>
      <c r="I155" s="30"/>
      <c r="K155" s="30"/>
      <c r="M155" s="30"/>
      <c r="O155" s="28">
        <v>125.0</v>
      </c>
      <c r="Q155" s="29">
        <v>125.0</v>
      </c>
      <c r="S155" s="29">
        <v>0.0</v>
      </c>
      <c r="U155" s="29"/>
      <c r="W155" s="30"/>
      <c r="Y155" s="30"/>
      <c r="Z155" s="26"/>
      <c r="AA155" s="31"/>
      <c r="AC155" s="30"/>
      <c r="AE155" s="30"/>
      <c r="AG155" s="30"/>
      <c r="AI155" s="30"/>
      <c r="AK155" s="30"/>
      <c r="AL155" s="26"/>
      <c r="AM155" s="39">
        <f t="shared" si="1"/>
        <v>4505</v>
      </c>
      <c r="AN155" s="36">
        <f t="shared" si="2"/>
        <v>250</v>
      </c>
      <c r="AO155" s="36">
        <f t="shared" si="3"/>
        <v>0</v>
      </c>
      <c r="AP155" s="36">
        <f t="shared" si="4"/>
        <v>250</v>
      </c>
      <c r="AQ155" s="40">
        <f t="shared" si="5"/>
        <v>18.02</v>
      </c>
    </row>
    <row r="156" ht="15.75" customHeight="1">
      <c r="A156" s="46" t="s">
        <v>28</v>
      </c>
      <c r="B156" s="47">
        <f t="shared" si="6"/>
        <v>45081</v>
      </c>
      <c r="C156" s="49">
        <v>6.0</v>
      </c>
      <c r="D156" s="49"/>
      <c r="E156" s="49" t="s">
        <v>34</v>
      </c>
      <c r="F156" s="52"/>
      <c r="G156" s="67"/>
      <c r="H156" s="55"/>
      <c r="I156" s="65"/>
      <c r="J156" s="55"/>
      <c r="K156" s="65"/>
      <c r="L156" s="55"/>
      <c r="M156" s="65"/>
      <c r="N156" s="55"/>
      <c r="O156" s="61">
        <v>0.0</v>
      </c>
      <c r="P156" s="55"/>
      <c r="Q156" s="62">
        <v>0.0</v>
      </c>
      <c r="R156" s="55"/>
      <c r="S156" s="62">
        <v>0.0</v>
      </c>
      <c r="T156" s="55"/>
      <c r="U156" s="62"/>
      <c r="V156" s="55"/>
      <c r="W156" s="65"/>
      <c r="X156" s="55"/>
      <c r="Y156" s="65"/>
      <c r="Z156" s="58"/>
      <c r="AA156" s="67"/>
      <c r="AB156" s="55"/>
      <c r="AC156" s="65"/>
      <c r="AD156" s="55"/>
      <c r="AE156" s="65"/>
      <c r="AF156" s="55"/>
      <c r="AG156" s="65"/>
      <c r="AH156" s="55"/>
      <c r="AI156" s="65"/>
      <c r="AJ156" s="55"/>
      <c r="AK156" s="65"/>
      <c r="AL156" s="58"/>
      <c r="AM156" s="64">
        <f t="shared" si="1"/>
        <v>0</v>
      </c>
      <c r="AN156" s="49">
        <f t="shared" si="2"/>
        <v>0</v>
      </c>
      <c r="AO156" s="49">
        <f t="shared" si="3"/>
        <v>0</v>
      </c>
      <c r="AP156" s="49">
        <f t="shared" si="4"/>
        <v>0</v>
      </c>
      <c r="AQ156" s="66" t="str">
        <f t="shared" si="5"/>
        <v/>
      </c>
    </row>
    <row r="157" ht="15.75" customHeight="1">
      <c r="A157" s="18" t="s">
        <v>21</v>
      </c>
      <c r="B157" s="68">
        <f t="shared" si="6"/>
        <v>45082</v>
      </c>
      <c r="C157" s="20">
        <v>6.0</v>
      </c>
      <c r="D157" s="20"/>
      <c r="E157" s="20" t="s">
        <v>36</v>
      </c>
      <c r="F157" s="22"/>
      <c r="G157" s="31"/>
      <c r="I157" s="30"/>
      <c r="K157" s="30"/>
      <c r="M157" s="30"/>
      <c r="O157" s="28">
        <v>125.0</v>
      </c>
      <c r="Q157" s="29">
        <v>125.0</v>
      </c>
      <c r="S157" s="29">
        <v>30.0</v>
      </c>
      <c r="U157" s="29"/>
      <c r="W157" s="30"/>
      <c r="Y157" s="30"/>
      <c r="Z157" s="26"/>
      <c r="AA157" s="31"/>
      <c r="AC157" s="30"/>
      <c r="AE157" s="30"/>
      <c r="AG157" s="30"/>
      <c r="AI157" s="30"/>
      <c r="AK157" s="30"/>
      <c r="AL157" s="26"/>
      <c r="AM157" s="32">
        <f t="shared" si="1"/>
        <v>5097.2</v>
      </c>
      <c r="AN157" s="20">
        <f t="shared" si="2"/>
        <v>280</v>
      </c>
      <c r="AO157" s="20">
        <f t="shared" si="3"/>
        <v>0</v>
      </c>
      <c r="AP157" s="20">
        <f t="shared" si="4"/>
        <v>280</v>
      </c>
      <c r="AQ157" s="33">
        <f t="shared" si="5"/>
        <v>18.20428571</v>
      </c>
    </row>
    <row r="158" ht="15.75" customHeight="1">
      <c r="A158" s="34" t="s">
        <v>23</v>
      </c>
      <c r="B158" s="35">
        <f t="shared" si="6"/>
        <v>45083</v>
      </c>
      <c r="C158" s="36">
        <v>6.0</v>
      </c>
      <c r="D158" s="36"/>
      <c r="E158" s="36" t="s">
        <v>36</v>
      </c>
      <c r="F158" s="38"/>
      <c r="G158" s="31"/>
      <c r="I158" s="30"/>
      <c r="K158" s="30"/>
      <c r="M158" s="30"/>
      <c r="O158" s="28">
        <v>125.0</v>
      </c>
      <c r="Q158" s="29">
        <v>125.0</v>
      </c>
      <c r="S158" s="29">
        <v>30.0</v>
      </c>
      <c r="U158" s="29"/>
      <c r="W158" s="30"/>
      <c r="Y158" s="30"/>
      <c r="Z158" s="26"/>
      <c r="AA158" s="31"/>
      <c r="AC158" s="30"/>
      <c r="AE158" s="30"/>
      <c r="AG158" s="30"/>
      <c r="AI158" s="30"/>
      <c r="AK158" s="30"/>
      <c r="AL158" s="26"/>
      <c r="AM158" s="39">
        <f t="shared" si="1"/>
        <v>5097.2</v>
      </c>
      <c r="AN158" s="36">
        <f t="shared" si="2"/>
        <v>280</v>
      </c>
      <c r="AO158" s="36">
        <f t="shared" si="3"/>
        <v>0</v>
      </c>
      <c r="AP158" s="36">
        <f t="shared" si="4"/>
        <v>280</v>
      </c>
      <c r="AQ158" s="40">
        <f t="shared" si="5"/>
        <v>18.20428571</v>
      </c>
    </row>
    <row r="159" ht="15.75" customHeight="1">
      <c r="A159" s="34" t="s">
        <v>24</v>
      </c>
      <c r="B159" s="35">
        <f t="shared" si="6"/>
        <v>45084</v>
      </c>
      <c r="C159" s="36">
        <v>6.0</v>
      </c>
      <c r="D159" s="36"/>
      <c r="E159" s="36" t="s">
        <v>36</v>
      </c>
      <c r="F159" s="38"/>
      <c r="G159" s="31"/>
      <c r="I159" s="30"/>
      <c r="K159" s="30"/>
      <c r="M159" s="30"/>
      <c r="O159" s="28">
        <v>125.0</v>
      </c>
      <c r="Q159" s="29">
        <v>125.0</v>
      </c>
      <c r="S159" s="29">
        <v>30.0</v>
      </c>
      <c r="U159" s="29"/>
      <c r="W159" s="30"/>
      <c r="Y159" s="30"/>
      <c r="Z159" s="26"/>
      <c r="AA159" s="31"/>
      <c r="AC159" s="30"/>
      <c r="AE159" s="30"/>
      <c r="AG159" s="30"/>
      <c r="AI159" s="30"/>
      <c r="AK159" s="30"/>
      <c r="AL159" s="26"/>
      <c r="AM159" s="39">
        <f t="shared" si="1"/>
        <v>5097.2</v>
      </c>
      <c r="AN159" s="36">
        <f t="shared" si="2"/>
        <v>280</v>
      </c>
      <c r="AO159" s="36">
        <f t="shared" si="3"/>
        <v>0</v>
      </c>
      <c r="AP159" s="36">
        <f t="shared" si="4"/>
        <v>280</v>
      </c>
      <c r="AQ159" s="40">
        <f t="shared" si="5"/>
        <v>18.20428571</v>
      </c>
    </row>
    <row r="160" ht="15.75" customHeight="1">
      <c r="A160" s="34" t="s">
        <v>25</v>
      </c>
      <c r="B160" s="35">
        <f t="shared" si="6"/>
        <v>45085</v>
      </c>
      <c r="C160" s="36">
        <v>6.0</v>
      </c>
      <c r="D160" s="36"/>
      <c r="E160" s="36" t="s">
        <v>36</v>
      </c>
      <c r="F160" s="38"/>
      <c r="G160" s="31"/>
      <c r="I160" s="30"/>
      <c r="K160" s="30"/>
      <c r="M160" s="30"/>
      <c r="O160" s="28">
        <v>125.0</v>
      </c>
      <c r="Q160" s="29">
        <v>125.0</v>
      </c>
      <c r="S160" s="29">
        <v>30.0</v>
      </c>
      <c r="U160" s="29"/>
      <c r="W160" s="30"/>
      <c r="Y160" s="30"/>
      <c r="Z160" s="26"/>
      <c r="AA160" s="31"/>
      <c r="AC160" s="30"/>
      <c r="AE160" s="30"/>
      <c r="AG160" s="30"/>
      <c r="AI160" s="30"/>
      <c r="AK160" s="30"/>
      <c r="AL160" s="26"/>
      <c r="AM160" s="39">
        <f t="shared" si="1"/>
        <v>5097.2</v>
      </c>
      <c r="AN160" s="36">
        <f t="shared" si="2"/>
        <v>280</v>
      </c>
      <c r="AO160" s="36">
        <f t="shared" si="3"/>
        <v>0</v>
      </c>
      <c r="AP160" s="36">
        <f t="shared" si="4"/>
        <v>280</v>
      </c>
      <c r="AQ160" s="40">
        <f t="shared" si="5"/>
        <v>18.20428571</v>
      </c>
    </row>
    <row r="161" ht="15.75" customHeight="1">
      <c r="A161" s="34" t="s">
        <v>26</v>
      </c>
      <c r="B161" s="35">
        <f t="shared" si="6"/>
        <v>45086</v>
      </c>
      <c r="C161" s="36">
        <v>6.0</v>
      </c>
      <c r="D161" s="36"/>
      <c r="E161" s="36" t="s">
        <v>36</v>
      </c>
      <c r="F161" s="38"/>
      <c r="G161" s="31"/>
      <c r="I161" s="30"/>
      <c r="K161" s="30"/>
      <c r="M161" s="30"/>
      <c r="O161" s="28">
        <v>125.0</v>
      </c>
      <c r="Q161" s="29">
        <v>125.0</v>
      </c>
      <c r="S161" s="29">
        <v>30.0</v>
      </c>
      <c r="U161" s="29"/>
      <c r="W161" s="30"/>
      <c r="Y161" s="30"/>
      <c r="Z161" s="26"/>
      <c r="AA161" s="31"/>
      <c r="AC161" s="30"/>
      <c r="AE161" s="30"/>
      <c r="AG161" s="30"/>
      <c r="AI161" s="30"/>
      <c r="AK161" s="30"/>
      <c r="AL161" s="26"/>
      <c r="AM161" s="39">
        <f t="shared" si="1"/>
        <v>5097.2</v>
      </c>
      <c r="AN161" s="36">
        <f t="shared" si="2"/>
        <v>280</v>
      </c>
      <c r="AO161" s="36">
        <f t="shared" si="3"/>
        <v>0</v>
      </c>
      <c r="AP161" s="36">
        <f t="shared" si="4"/>
        <v>280</v>
      </c>
      <c r="AQ161" s="40">
        <f t="shared" si="5"/>
        <v>18.20428571</v>
      </c>
    </row>
    <row r="162" ht="15.75" customHeight="1">
      <c r="A162" s="34" t="s">
        <v>27</v>
      </c>
      <c r="B162" s="35">
        <f t="shared" si="6"/>
        <v>45087</v>
      </c>
      <c r="C162" s="36">
        <v>6.0</v>
      </c>
      <c r="D162" s="36"/>
      <c r="E162" s="36" t="s">
        <v>36</v>
      </c>
      <c r="F162" s="38"/>
      <c r="G162" s="31"/>
      <c r="I162" s="30"/>
      <c r="K162" s="30"/>
      <c r="M162" s="30"/>
      <c r="O162" s="28">
        <v>125.0</v>
      </c>
      <c r="Q162" s="29">
        <v>125.0</v>
      </c>
      <c r="S162" s="29">
        <v>30.0</v>
      </c>
      <c r="U162" s="29"/>
      <c r="W162" s="30"/>
      <c r="Y162" s="30"/>
      <c r="Z162" s="26"/>
      <c r="AA162" s="31"/>
      <c r="AC162" s="30"/>
      <c r="AE162" s="30"/>
      <c r="AG162" s="30"/>
      <c r="AI162" s="30"/>
      <c r="AK162" s="30"/>
      <c r="AL162" s="26"/>
      <c r="AM162" s="39">
        <f t="shared" si="1"/>
        <v>5097.2</v>
      </c>
      <c r="AN162" s="36">
        <f t="shared" si="2"/>
        <v>280</v>
      </c>
      <c r="AO162" s="36">
        <f t="shared" si="3"/>
        <v>0</v>
      </c>
      <c r="AP162" s="36">
        <f t="shared" si="4"/>
        <v>280</v>
      </c>
      <c r="AQ162" s="40">
        <f t="shared" si="5"/>
        <v>18.20428571</v>
      </c>
    </row>
    <row r="163" ht="15.75" customHeight="1">
      <c r="A163" s="46" t="s">
        <v>28</v>
      </c>
      <c r="B163" s="47">
        <f t="shared" si="6"/>
        <v>45088</v>
      </c>
      <c r="C163" s="49">
        <v>6.0</v>
      </c>
      <c r="D163" s="49"/>
      <c r="E163" s="49" t="s">
        <v>36</v>
      </c>
      <c r="F163" s="52"/>
      <c r="G163" s="67"/>
      <c r="H163" s="55"/>
      <c r="I163" s="65"/>
      <c r="J163" s="55"/>
      <c r="K163" s="65"/>
      <c r="L163" s="55"/>
      <c r="M163" s="65"/>
      <c r="N163" s="55"/>
      <c r="O163" s="53">
        <v>0.0</v>
      </c>
      <c r="P163" s="55"/>
      <c r="Q163" s="56">
        <v>0.0</v>
      </c>
      <c r="R163" s="55"/>
      <c r="S163" s="56">
        <v>0.0</v>
      </c>
      <c r="T163" s="55"/>
      <c r="U163" s="56"/>
      <c r="V163" s="55"/>
      <c r="W163" s="65"/>
      <c r="X163" s="55"/>
      <c r="Y163" s="65"/>
      <c r="Z163" s="58"/>
      <c r="AA163" s="67"/>
      <c r="AB163" s="55"/>
      <c r="AC163" s="65"/>
      <c r="AD163" s="55"/>
      <c r="AE163" s="65"/>
      <c r="AF163" s="55"/>
      <c r="AG163" s="65"/>
      <c r="AH163" s="55"/>
      <c r="AI163" s="65"/>
      <c r="AJ163" s="55"/>
      <c r="AK163" s="65"/>
      <c r="AL163" s="58"/>
      <c r="AM163" s="64">
        <f t="shared" si="1"/>
        <v>0</v>
      </c>
      <c r="AN163" s="49">
        <f t="shared" si="2"/>
        <v>0</v>
      </c>
      <c r="AO163" s="49">
        <f t="shared" si="3"/>
        <v>0</v>
      </c>
      <c r="AP163" s="49">
        <f t="shared" si="4"/>
        <v>0</v>
      </c>
      <c r="AQ163" s="66" t="str">
        <f t="shared" si="5"/>
        <v/>
      </c>
    </row>
    <row r="164" ht="15.75" customHeight="1">
      <c r="A164" s="18" t="s">
        <v>21</v>
      </c>
      <c r="B164" s="68">
        <f t="shared" si="6"/>
        <v>45089</v>
      </c>
      <c r="C164" s="20">
        <v>6.0</v>
      </c>
      <c r="D164" s="20"/>
      <c r="E164" s="20" t="s">
        <v>37</v>
      </c>
      <c r="F164" s="22"/>
      <c r="G164" s="31"/>
      <c r="I164" s="30"/>
      <c r="K164" s="30"/>
      <c r="M164" s="30"/>
      <c r="O164" s="23">
        <v>125.0</v>
      </c>
      <c r="Q164" s="24">
        <v>125.0</v>
      </c>
      <c r="S164" s="24">
        <v>30.0</v>
      </c>
      <c r="U164" s="24"/>
      <c r="W164" s="30"/>
      <c r="Y164" s="30"/>
      <c r="Z164" s="26"/>
      <c r="AA164" s="31"/>
      <c r="AC164" s="30"/>
      <c r="AE164" s="30"/>
      <c r="AG164" s="30"/>
      <c r="AI164" s="30"/>
      <c r="AK164" s="30"/>
      <c r="AL164" s="26"/>
      <c r="AM164" s="32">
        <f t="shared" si="1"/>
        <v>5097.2</v>
      </c>
      <c r="AN164" s="20">
        <f t="shared" si="2"/>
        <v>280</v>
      </c>
      <c r="AO164" s="20">
        <f t="shared" si="3"/>
        <v>0</v>
      </c>
      <c r="AP164" s="20">
        <f t="shared" si="4"/>
        <v>280</v>
      </c>
      <c r="AQ164" s="33">
        <f t="shared" si="5"/>
        <v>18.20428571</v>
      </c>
    </row>
    <row r="165" ht="15.75" customHeight="1">
      <c r="A165" s="34" t="s">
        <v>23</v>
      </c>
      <c r="B165" s="35">
        <f t="shared" si="6"/>
        <v>45090</v>
      </c>
      <c r="C165" s="36">
        <v>6.0</v>
      </c>
      <c r="D165" s="36"/>
      <c r="E165" s="36" t="s">
        <v>37</v>
      </c>
      <c r="F165" s="38"/>
      <c r="G165" s="31"/>
      <c r="I165" s="30"/>
      <c r="K165" s="30"/>
      <c r="M165" s="30"/>
      <c r="O165" s="23">
        <v>125.0</v>
      </c>
      <c r="Q165" s="24">
        <v>125.0</v>
      </c>
      <c r="S165" s="24">
        <v>30.0</v>
      </c>
      <c r="U165" s="24"/>
      <c r="W165" s="30"/>
      <c r="Y165" s="30"/>
      <c r="Z165" s="26"/>
      <c r="AA165" s="31"/>
      <c r="AC165" s="30"/>
      <c r="AE165" s="30"/>
      <c r="AG165" s="30"/>
      <c r="AI165" s="30"/>
      <c r="AK165" s="30"/>
      <c r="AL165" s="26"/>
      <c r="AM165" s="39">
        <f t="shared" si="1"/>
        <v>5097.2</v>
      </c>
      <c r="AN165" s="36">
        <f t="shared" si="2"/>
        <v>280</v>
      </c>
      <c r="AO165" s="36">
        <f t="shared" si="3"/>
        <v>0</v>
      </c>
      <c r="AP165" s="36">
        <f t="shared" si="4"/>
        <v>280</v>
      </c>
      <c r="AQ165" s="40">
        <f t="shared" si="5"/>
        <v>18.20428571</v>
      </c>
    </row>
    <row r="166" ht="15.75" customHeight="1">
      <c r="A166" s="34" t="s">
        <v>24</v>
      </c>
      <c r="B166" s="35">
        <f t="shared" si="6"/>
        <v>45091</v>
      </c>
      <c r="C166" s="36">
        <v>6.0</v>
      </c>
      <c r="D166" s="36"/>
      <c r="E166" s="36" t="s">
        <v>37</v>
      </c>
      <c r="F166" s="38"/>
      <c r="G166" s="31"/>
      <c r="I166" s="30"/>
      <c r="K166" s="30"/>
      <c r="M166" s="30"/>
      <c r="O166" s="23">
        <v>125.0</v>
      </c>
      <c r="Q166" s="24">
        <v>125.0</v>
      </c>
      <c r="S166" s="24">
        <v>30.0</v>
      </c>
      <c r="U166" s="24"/>
      <c r="W166" s="30"/>
      <c r="Y166" s="30"/>
      <c r="Z166" s="26"/>
      <c r="AA166" s="31"/>
      <c r="AC166" s="30"/>
      <c r="AE166" s="30"/>
      <c r="AG166" s="30"/>
      <c r="AI166" s="30"/>
      <c r="AK166" s="30"/>
      <c r="AL166" s="26"/>
      <c r="AM166" s="39">
        <f t="shared" si="1"/>
        <v>5097.2</v>
      </c>
      <c r="AN166" s="36">
        <f t="shared" si="2"/>
        <v>280</v>
      </c>
      <c r="AO166" s="36">
        <f t="shared" si="3"/>
        <v>0</v>
      </c>
      <c r="AP166" s="36">
        <f t="shared" si="4"/>
        <v>280</v>
      </c>
      <c r="AQ166" s="40">
        <f t="shared" si="5"/>
        <v>18.20428571</v>
      </c>
    </row>
    <row r="167" ht="15.75" customHeight="1">
      <c r="A167" s="34" t="s">
        <v>25</v>
      </c>
      <c r="B167" s="35">
        <f t="shared" si="6"/>
        <v>45092</v>
      </c>
      <c r="C167" s="36">
        <v>6.0</v>
      </c>
      <c r="D167" s="36"/>
      <c r="E167" s="36" t="s">
        <v>37</v>
      </c>
      <c r="F167" s="38"/>
      <c r="G167" s="31"/>
      <c r="I167" s="30"/>
      <c r="K167" s="30"/>
      <c r="M167" s="30"/>
      <c r="O167" s="23">
        <v>125.0</v>
      </c>
      <c r="Q167" s="24">
        <v>125.0</v>
      </c>
      <c r="S167" s="24">
        <v>30.0</v>
      </c>
      <c r="U167" s="24"/>
      <c r="W167" s="30"/>
      <c r="Y167" s="30"/>
      <c r="Z167" s="26"/>
      <c r="AA167" s="31"/>
      <c r="AC167" s="30"/>
      <c r="AE167" s="30"/>
      <c r="AG167" s="30"/>
      <c r="AI167" s="30"/>
      <c r="AK167" s="30"/>
      <c r="AL167" s="26"/>
      <c r="AM167" s="39">
        <f t="shared" si="1"/>
        <v>5097.2</v>
      </c>
      <c r="AN167" s="36">
        <f t="shared" si="2"/>
        <v>280</v>
      </c>
      <c r="AO167" s="36">
        <f t="shared" si="3"/>
        <v>0</v>
      </c>
      <c r="AP167" s="36">
        <f t="shared" si="4"/>
        <v>280</v>
      </c>
      <c r="AQ167" s="40">
        <f t="shared" si="5"/>
        <v>18.20428571</v>
      </c>
    </row>
    <row r="168" ht="15.75" customHeight="1">
      <c r="A168" s="34" t="s">
        <v>26</v>
      </c>
      <c r="B168" s="35">
        <f t="shared" si="6"/>
        <v>45093</v>
      </c>
      <c r="C168" s="36">
        <v>6.0</v>
      </c>
      <c r="D168" s="36"/>
      <c r="E168" s="36" t="s">
        <v>37</v>
      </c>
      <c r="F168" s="38"/>
      <c r="G168" s="31"/>
      <c r="I168" s="30"/>
      <c r="K168" s="30"/>
      <c r="M168" s="30"/>
      <c r="O168" s="23">
        <v>125.0</v>
      </c>
      <c r="Q168" s="24">
        <v>125.0</v>
      </c>
      <c r="S168" s="24">
        <v>30.0</v>
      </c>
      <c r="U168" s="24"/>
      <c r="W168" s="30"/>
      <c r="Y168" s="30"/>
      <c r="Z168" s="26"/>
      <c r="AA168" s="31"/>
      <c r="AC168" s="30"/>
      <c r="AE168" s="30"/>
      <c r="AG168" s="30"/>
      <c r="AI168" s="30"/>
      <c r="AK168" s="30"/>
      <c r="AL168" s="26"/>
      <c r="AM168" s="39">
        <f t="shared" si="1"/>
        <v>5097.2</v>
      </c>
      <c r="AN168" s="36">
        <f t="shared" si="2"/>
        <v>280</v>
      </c>
      <c r="AO168" s="36">
        <f t="shared" si="3"/>
        <v>0</v>
      </c>
      <c r="AP168" s="36">
        <f t="shared" si="4"/>
        <v>280</v>
      </c>
      <c r="AQ168" s="40">
        <f t="shared" si="5"/>
        <v>18.20428571</v>
      </c>
    </row>
    <row r="169" ht="15.75" customHeight="1">
      <c r="A169" s="34" t="s">
        <v>27</v>
      </c>
      <c r="B169" s="35">
        <f t="shared" si="6"/>
        <v>45094</v>
      </c>
      <c r="C169" s="36">
        <v>6.0</v>
      </c>
      <c r="D169" s="36"/>
      <c r="E169" s="36" t="s">
        <v>37</v>
      </c>
      <c r="F169" s="38"/>
      <c r="G169" s="31"/>
      <c r="I169" s="30"/>
      <c r="K169" s="30"/>
      <c r="M169" s="30"/>
      <c r="O169" s="23">
        <v>125.0</v>
      </c>
      <c r="Q169" s="24">
        <v>125.0</v>
      </c>
      <c r="S169" s="24">
        <v>30.0</v>
      </c>
      <c r="U169" s="24"/>
      <c r="W169" s="30"/>
      <c r="Y169" s="30"/>
      <c r="Z169" s="26"/>
      <c r="AA169" s="31"/>
      <c r="AC169" s="30"/>
      <c r="AE169" s="30"/>
      <c r="AG169" s="30"/>
      <c r="AI169" s="30"/>
      <c r="AK169" s="30"/>
      <c r="AL169" s="26"/>
      <c r="AM169" s="39">
        <f t="shared" si="1"/>
        <v>5097.2</v>
      </c>
      <c r="AN169" s="36">
        <f t="shared" si="2"/>
        <v>280</v>
      </c>
      <c r="AO169" s="36">
        <f t="shared" si="3"/>
        <v>0</v>
      </c>
      <c r="AP169" s="36">
        <f t="shared" si="4"/>
        <v>280</v>
      </c>
      <c r="AQ169" s="40">
        <f t="shared" si="5"/>
        <v>18.20428571</v>
      </c>
    </row>
    <row r="170" ht="15.75" customHeight="1">
      <c r="A170" s="46" t="s">
        <v>28</v>
      </c>
      <c r="B170" s="47">
        <f t="shared" si="6"/>
        <v>45095</v>
      </c>
      <c r="C170" s="49">
        <v>6.0</v>
      </c>
      <c r="D170" s="49"/>
      <c r="E170" s="49" t="s">
        <v>37</v>
      </c>
      <c r="F170" s="52"/>
      <c r="G170" s="67"/>
      <c r="H170" s="55"/>
      <c r="I170" s="65"/>
      <c r="J170" s="55"/>
      <c r="K170" s="65"/>
      <c r="L170" s="55"/>
      <c r="M170" s="65"/>
      <c r="N170" s="55"/>
      <c r="O170" s="53">
        <v>0.0</v>
      </c>
      <c r="P170" s="55"/>
      <c r="Q170" s="56">
        <v>0.0</v>
      </c>
      <c r="R170" s="55"/>
      <c r="S170" s="56">
        <v>0.0</v>
      </c>
      <c r="T170" s="55"/>
      <c r="U170" s="56"/>
      <c r="V170" s="55"/>
      <c r="W170" s="65"/>
      <c r="X170" s="55"/>
      <c r="Y170" s="65"/>
      <c r="Z170" s="58"/>
      <c r="AA170" s="67"/>
      <c r="AB170" s="55"/>
      <c r="AC170" s="65"/>
      <c r="AD170" s="55"/>
      <c r="AE170" s="65"/>
      <c r="AF170" s="55"/>
      <c r="AG170" s="65"/>
      <c r="AH170" s="55"/>
      <c r="AI170" s="65"/>
      <c r="AJ170" s="55"/>
      <c r="AK170" s="65"/>
      <c r="AL170" s="58"/>
      <c r="AM170" s="64">
        <f t="shared" si="1"/>
        <v>0</v>
      </c>
      <c r="AN170" s="49">
        <f t="shared" si="2"/>
        <v>0</v>
      </c>
      <c r="AO170" s="49">
        <f t="shared" si="3"/>
        <v>0</v>
      </c>
      <c r="AP170" s="49">
        <f t="shared" si="4"/>
        <v>0</v>
      </c>
      <c r="AQ170" s="66" t="str">
        <f t="shared" si="5"/>
        <v/>
      </c>
    </row>
    <row r="171" ht="15.75" customHeight="1">
      <c r="A171" s="18" t="s">
        <v>21</v>
      </c>
      <c r="B171" s="68">
        <f t="shared" si="6"/>
        <v>45096</v>
      </c>
      <c r="C171" s="20">
        <v>7.0</v>
      </c>
      <c r="D171" s="20"/>
      <c r="E171" s="20" t="s">
        <v>22</v>
      </c>
      <c r="F171" s="22"/>
      <c r="G171" s="31"/>
      <c r="I171" s="30"/>
      <c r="K171" s="30"/>
      <c r="M171" s="30"/>
      <c r="O171" s="28">
        <v>125.0</v>
      </c>
      <c r="Q171" s="29">
        <v>125.0</v>
      </c>
      <c r="S171" s="29">
        <v>30.0</v>
      </c>
      <c r="U171" s="29"/>
      <c r="W171" s="30"/>
      <c r="Y171" s="30"/>
      <c r="Z171" s="26"/>
      <c r="AA171" s="31"/>
      <c r="AC171" s="30"/>
      <c r="AE171" s="30"/>
      <c r="AG171" s="30"/>
      <c r="AI171" s="30"/>
      <c r="AK171" s="30"/>
      <c r="AL171" s="26"/>
      <c r="AM171" s="32">
        <f t="shared" si="1"/>
        <v>5097.2</v>
      </c>
      <c r="AN171" s="20">
        <f t="shared" si="2"/>
        <v>280</v>
      </c>
      <c r="AO171" s="20">
        <f t="shared" si="3"/>
        <v>0</v>
      </c>
      <c r="AP171" s="20">
        <f t="shared" si="4"/>
        <v>280</v>
      </c>
      <c r="AQ171" s="33">
        <f t="shared" si="5"/>
        <v>18.20428571</v>
      </c>
    </row>
    <row r="172" ht="15.75" customHeight="1">
      <c r="A172" s="34" t="s">
        <v>23</v>
      </c>
      <c r="B172" s="35">
        <f t="shared" si="6"/>
        <v>45097</v>
      </c>
      <c r="C172" s="36">
        <v>7.0</v>
      </c>
      <c r="D172" s="36"/>
      <c r="E172" s="36" t="s">
        <v>22</v>
      </c>
      <c r="F172" s="38"/>
      <c r="G172" s="31"/>
      <c r="I172" s="30"/>
      <c r="K172" s="30"/>
      <c r="M172" s="30"/>
      <c r="O172" s="28">
        <v>125.0</v>
      </c>
      <c r="Q172" s="29">
        <v>125.0</v>
      </c>
      <c r="S172" s="29">
        <v>30.0</v>
      </c>
      <c r="U172" s="29"/>
      <c r="W172" s="30"/>
      <c r="Y172" s="30"/>
      <c r="Z172" s="26"/>
      <c r="AA172" s="31"/>
      <c r="AC172" s="30"/>
      <c r="AE172" s="30"/>
      <c r="AG172" s="30"/>
      <c r="AI172" s="30"/>
      <c r="AK172" s="30"/>
      <c r="AL172" s="26"/>
      <c r="AM172" s="39">
        <f t="shared" si="1"/>
        <v>5097.2</v>
      </c>
      <c r="AN172" s="36">
        <f t="shared" si="2"/>
        <v>280</v>
      </c>
      <c r="AO172" s="36">
        <f t="shared" si="3"/>
        <v>0</v>
      </c>
      <c r="AP172" s="36">
        <f t="shared" si="4"/>
        <v>280</v>
      </c>
      <c r="AQ172" s="40">
        <f t="shared" si="5"/>
        <v>18.20428571</v>
      </c>
    </row>
    <row r="173" ht="15.75" customHeight="1">
      <c r="A173" s="34" t="s">
        <v>24</v>
      </c>
      <c r="B173" s="35">
        <f t="shared" si="6"/>
        <v>45098</v>
      </c>
      <c r="C173" s="36">
        <v>7.0</v>
      </c>
      <c r="D173" s="36"/>
      <c r="E173" s="36" t="s">
        <v>22</v>
      </c>
      <c r="F173" s="38"/>
      <c r="G173" s="31"/>
      <c r="I173" s="30"/>
      <c r="K173" s="30"/>
      <c r="M173" s="30"/>
      <c r="O173" s="28">
        <v>125.0</v>
      </c>
      <c r="Q173" s="29">
        <v>125.0</v>
      </c>
      <c r="S173" s="29">
        <v>30.0</v>
      </c>
      <c r="U173" s="29"/>
      <c r="W173" s="30"/>
      <c r="Y173" s="30"/>
      <c r="Z173" s="26"/>
      <c r="AA173" s="31"/>
      <c r="AC173" s="30"/>
      <c r="AE173" s="30"/>
      <c r="AG173" s="30"/>
      <c r="AI173" s="30"/>
      <c r="AK173" s="30"/>
      <c r="AL173" s="26"/>
      <c r="AM173" s="39">
        <f t="shared" si="1"/>
        <v>5097.2</v>
      </c>
      <c r="AN173" s="36">
        <f t="shared" si="2"/>
        <v>280</v>
      </c>
      <c r="AO173" s="36">
        <f t="shared" si="3"/>
        <v>0</v>
      </c>
      <c r="AP173" s="36">
        <f t="shared" si="4"/>
        <v>280</v>
      </c>
      <c r="AQ173" s="40">
        <f t="shared" si="5"/>
        <v>18.20428571</v>
      </c>
    </row>
    <row r="174" ht="15.75" customHeight="1">
      <c r="A174" s="34" t="s">
        <v>25</v>
      </c>
      <c r="B174" s="35">
        <f t="shared" si="6"/>
        <v>45099</v>
      </c>
      <c r="C174" s="36">
        <v>7.0</v>
      </c>
      <c r="D174" s="36"/>
      <c r="E174" s="36" t="s">
        <v>22</v>
      </c>
      <c r="F174" s="38"/>
      <c r="G174" s="31"/>
      <c r="I174" s="30"/>
      <c r="K174" s="30"/>
      <c r="M174" s="30"/>
      <c r="O174" s="28">
        <v>125.0</v>
      </c>
      <c r="Q174" s="29">
        <v>125.0</v>
      </c>
      <c r="S174" s="29">
        <v>30.0</v>
      </c>
      <c r="U174" s="29"/>
      <c r="W174" s="30"/>
      <c r="Y174" s="30"/>
      <c r="Z174" s="26"/>
      <c r="AA174" s="31"/>
      <c r="AC174" s="30"/>
      <c r="AE174" s="30"/>
      <c r="AG174" s="30"/>
      <c r="AI174" s="30"/>
      <c r="AK174" s="30"/>
      <c r="AL174" s="26"/>
      <c r="AM174" s="39">
        <f t="shared" si="1"/>
        <v>5097.2</v>
      </c>
      <c r="AN174" s="36">
        <f t="shared" si="2"/>
        <v>280</v>
      </c>
      <c r="AO174" s="36">
        <f t="shared" si="3"/>
        <v>0</v>
      </c>
      <c r="AP174" s="36">
        <f t="shared" si="4"/>
        <v>280</v>
      </c>
      <c r="AQ174" s="40">
        <f t="shared" si="5"/>
        <v>18.20428571</v>
      </c>
    </row>
    <row r="175" ht="15.75" customHeight="1">
      <c r="A175" s="34" t="s">
        <v>26</v>
      </c>
      <c r="B175" s="35">
        <f t="shared" si="6"/>
        <v>45100</v>
      </c>
      <c r="C175" s="36">
        <v>7.0</v>
      </c>
      <c r="D175" s="36"/>
      <c r="E175" s="36" t="s">
        <v>22</v>
      </c>
      <c r="F175" s="38"/>
      <c r="G175" s="31"/>
      <c r="I175" s="30"/>
      <c r="K175" s="30"/>
      <c r="M175" s="30"/>
      <c r="O175" s="28">
        <v>125.0</v>
      </c>
      <c r="Q175" s="29">
        <v>125.0</v>
      </c>
      <c r="S175" s="29">
        <v>30.0</v>
      </c>
      <c r="U175" s="29"/>
      <c r="W175" s="30"/>
      <c r="Y175" s="30"/>
      <c r="Z175" s="26"/>
      <c r="AA175" s="31"/>
      <c r="AC175" s="30"/>
      <c r="AE175" s="30"/>
      <c r="AG175" s="30"/>
      <c r="AI175" s="30"/>
      <c r="AK175" s="30"/>
      <c r="AL175" s="26"/>
      <c r="AM175" s="39">
        <f t="shared" si="1"/>
        <v>5097.2</v>
      </c>
      <c r="AN175" s="36">
        <f t="shared" si="2"/>
        <v>280</v>
      </c>
      <c r="AO175" s="36">
        <f t="shared" si="3"/>
        <v>0</v>
      </c>
      <c r="AP175" s="36">
        <f t="shared" si="4"/>
        <v>280</v>
      </c>
      <c r="AQ175" s="40">
        <f t="shared" si="5"/>
        <v>18.20428571</v>
      </c>
    </row>
    <row r="176" ht="15.75" customHeight="1">
      <c r="A176" s="34" t="s">
        <v>27</v>
      </c>
      <c r="B176" s="35">
        <f t="shared" si="6"/>
        <v>45101</v>
      </c>
      <c r="C176" s="36">
        <v>7.0</v>
      </c>
      <c r="D176" s="36"/>
      <c r="E176" s="36" t="s">
        <v>22</v>
      </c>
      <c r="F176" s="38"/>
      <c r="G176" s="31"/>
      <c r="I176" s="30"/>
      <c r="K176" s="30"/>
      <c r="M176" s="30"/>
      <c r="O176" s="28">
        <v>125.0</v>
      </c>
      <c r="Q176" s="29">
        <v>125.0</v>
      </c>
      <c r="S176" s="29">
        <v>30.0</v>
      </c>
      <c r="U176" s="29"/>
      <c r="W176" s="30"/>
      <c r="Y176" s="30"/>
      <c r="Z176" s="26"/>
      <c r="AA176" s="31"/>
      <c r="AC176" s="30"/>
      <c r="AE176" s="30"/>
      <c r="AG176" s="30"/>
      <c r="AI176" s="30"/>
      <c r="AK176" s="30"/>
      <c r="AL176" s="26"/>
      <c r="AM176" s="39">
        <f t="shared" si="1"/>
        <v>5097.2</v>
      </c>
      <c r="AN176" s="36">
        <f t="shared" si="2"/>
        <v>280</v>
      </c>
      <c r="AO176" s="36">
        <f t="shared" si="3"/>
        <v>0</v>
      </c>
      <c r="AP176" s="36">
        <f t="shared" si="4"/>
        <v>280</v>
      </c>
      <c r="AQ176" s="40">
        <f t="shared" si="5"/>
        <v>18.20428571</v>
      </c>
    </row>
    <row r="177" ht="15.75" customHeight="1">
      <c r="A177" s="46" t="s">
        <v>28</v>
      </c>
      <c r="B177" s="47">
        <f t="shared" si="6"/>
        <v>45102</v>
      </c>
      <c r="C177" s="49">
        <v>7.0</v>
      </c>
      <c r="D177" s="49"/>
      <c r="E177" s="49" t="s">
        <v>22</v>
      </c>
      <c r="F177" s="52"/>
      <c r="G177" s="67"/>
      <c r="H177" s="55"/>
      <c r="I177" s="65"/>
      <c r="J177" s="55"/>
      <c r="K177" s="65"/>
      <c r="L177" s="55"/>
      <c r="M177" s="65"/>
      <c r="N177" s="55"/>
      <c r="O177" s="61">
        <v>0.0</v>
      </c>
      <c r="P177" s="55"/>
      <c r="Q177" s="62">
        <v>0.0</v>
      </c>
      <c r="R177" s="55"/>
      <c r="S177" s="62">
        <v>0.0</v>
      </c>
      <c r="T177" s="55"/>
      <c r="U177" s="62"/>
      <c r="V177" s="55"/>
      <c r="W177" s="65"/>
      <c r="X177" s="55"/>
      <c r="Y177" s="65"/>
      <c r="Z177" s="58"/>
      <c r="AA177" s="67"/>
      <c r="AB177" s="55"/>
      <c r="AC177" s="65"/>
      <c r="AD177" s="55"/>
      <c r="AE177" s="65"/>
      <c r="AF177" s="55"/>
      <c r="AG177" s="65"/>
      <c r="AH177" s="55"/>
      <c r="AI177" s="65"/>
      <c r="AJ177" s="55"/>
      <c r="AK177" s="65"/>
      <c r="AL177" s="58"/>
      <c r="AM177" s="64">
        <f t="shared" si="1"/>
        <v>0</v>
      </c>
      <c r="AN177" s="49">
        <f t="shared" si="2"/>
        <v>0</v>
      </c>
      <c r="AO177" s="49">
        <f t="shared" si="3"/>
        <v>0</v>
      </c>
      <c r="AP177" s="49">
        <f t="shared" si="4"/>
        <v>0</v>
      </c>
      <c r="AQ177" s="66" t="str">
        <f t="shared" si="5"/>
        <v/>
      </c>
    </row>
    <row r="178" ht="15.75" customHeight="1">
      <c r="A178" s="18" t="s">
        <v>21</v>
      </c>
      <c r="B178" s="68">
        <f t="shared" si="6"/>
        <v>45103</v>
      </c>
      <c r="C178" s="20">
        <v>7.0</v>
      </c>
      <c r="D178" s="20"/>
      <c r="E178" s="20" t="s">
        <v>34</v>
      </c>
      <c r="F178" s="22"/>
      <c r="G178" s="31"/>
      <c r="I178" s="30"/>
      <c r="K178" s="30"/>
      <c r="M178" s="30"/>
      <c r="O178" s="28">
        <v>125.0</v>
      </c>
      <c r="Q178" s="29">
        <v>125.0</v>
      </c>
      <c r="S178" s="29">
        <v>30.0</v>
      </c>
      <c r="U178" s="29"/>
      <c r="W178" s="30"/>
      <c r="Y178" s="30"/>
      <c r="Z178" s="26"/>
      <c r="AA178" s="31"/>
      <c r="AC178" s="30"/>
      <c r="AE178" s="30"/>
      <c r="AG178" s="30"/>
      <c r="AI178" s="30"/>
      <c r="AK178" s="30"/>
      <c r="AL178" s="26"/>
      <c r="AM178" s="32">
        <f t="shared" si="1"/>
        <v>5097.2</v>
      </c>
      <c r="AN178" s="20">
        <f t="shared" si="2"/>
        <v>280</v>
      </c>
      <c r="AO178" s="20">
        <f t="shared" si="3"/>
        <v>0</v>
      </c>
      <c r="AP178" s="20">
        <f t="shared" si="4"/>
        <v>280</v>
      </c>
      <c r="AQ178" s="33">
        <f t="shared" si="5"/>
        <v>18.20428571</v>
      </c>
    </row>
    <row r="179" ht="15.75" customHeight="1">
      <c r="A179" s="34" t="s">
        <v>23</v>
      </c>
      <c r="B179" s="35">
        <f t="shared" si="6"/>
        <v>45104</v>
      </c>
      <c r="C179" s="36">
        <v>7.0</v>
      </c>
      <c r="D179" s="36"/>
      <c r="E179" s="36" t="s">
        <v>34</v>
      </c>
      <c r="F179" s="38"/>
      <c r="G179" s="31"/>
      <c r="I179" s="30"/>
      <c r="K179" s="30"/>
      <c r="M179" s="30"/>
      <c r="O179" s="28">
        <v>125.0</v>
      </c>
      <c r="Q179" s="29">
        <v>125.0</v>
      </c>
      <c r="S179" s="29">
        <v>30.0</v>
      </c>
      <c r="U179" s="29"/>
      <c r="W179" s="30"/>
      <c r="Y179" s="30"/>
      <c r="Z179" s="26"/>
      <c r="AA179" s="31"/>
      <c r="AC179" s="30"/>
      <c r="AE179" s="30"/>
      <c r="AG179" s="30"/>
      <c r="AI179" s="30"/>
      <c r="AK179" s="30"/>
      <c r="AL179" s="26"/>
      <c r="AM179" s="39">
        <f t="shared" si="1"/>
        <v>5097.2</v>
      </c>
      <c r="AN179" s="36">
        <f t="shared" si="2"/>
        <v>280</v>
      </c>
      <c r="AO179" s="36">
        <f t="shared" si="3"/>
        <v>0</v>
      </c>
      <c r="AP179" s="36">
        <f t="shared" si="4"/>
        <v>280</v>
      </c>
      <c r="AQ179" s="40">
        <f t="shared" si="5"/>
        <v>18.20428571</v>
      </c>
    </row>
    <row r="180" ht="15.75" customHeight="1">
      <c r="A180" s="34" t="s">
        <v>24</v>
      </c>
      <c r="B180" s="35">
        <f t="shared" si="6"/>
        <v>45105</v>
      </c>
      <c r="C180" s="36">
        <v>7.0</v>
      </c>
      <c r="D180" s="36"/>
      <c r="E180" s="36" t="s">
        <v>34</v>
      </c>
      <c r="F180" s="38"/>
      <c r="G180" s="31"/>
      <c r="I180" s="30"/>
      <c r="K180" s="30"/>
      <c r="M180" s="30"/>
      <c r="O180" s="28">
        <v>125.0</v>
      </c>
      <c r="Q180" s="29">
        <v>125.0</v>
      </c>
      <c r="S180" s="29">
        <v>30.0</v>
      </c>
      <c r="U180" s="29"/>
      <c r="W180" s="30"/>
      <c r="Y180" s="30"/>
      <c r="Z180" s="26"/>
      <c r="AA180" s="31"/>
      <c r="AC180" s="30"/>
      <c r="AE180" s="30"/>
      <c r="AG180" s="30"/>
      <c r="AI180" s="30"/>
      <c r="AK180" s="30"/>
      <c r="AL180" s="26"/>
      <c r="AM180" s="39">
        <f t="shared" si="1"/>
        <v>5097.2</v>
      </c>
      <c r="AN180" s="36">
        <f t="shared" si="2"/>
        <v>280</v>
      </c>
      <c r="AO180" s="36">
        <f t="shared" si="3"/>
        <v>0</v>
      </c>
      <c r="AP180" s="36">
        <f t="shared" si="4"/>
        <v>280</v>
      </c>
      <c r="AQ180" s="40">
        <f t="shared" si="5"/>
        <v>18.20428571</v>
      </c>
    </row>
    <row r="181" ht="15.75" customHeight="1">
      <c r="A181" s="34" t="s">
        <v>25</v>
      </c>
      <c r="B181" s="35">
        <f t="shared" si="6"/>
        <v>45106</v>
      </c>
      <c r="C181" s="36">
        <v>7.0</v>
      </c>
      <c r="D181" s="36"/>
      <c r="E181" s="36" t="s">
        <v>34</v>
      </c>
      <c r="F181" s="38"/>
      <c r="G181" s="31"/>
      <c r="I181" s="30"/>
      <c r="K181" s="30"/>
      <c r="M181" s="30"/>
      <c r="O181" s="28">
        <v>125.0</v>
      </c>
      <c r="Q181" s="29">
        <v>125.0</v>
      </c>
      <c r="S181" s="29">
        <v>30.0</v>
      </c>
      <c r="U181" s="29"/>
      <c r="W181" s="30"/>
      <c r="Y181" s="30"/>
      <c r="Z181" s="26"/>
      <c r="AA181" s="31"/>
      <c r="AC181" s="30"/>
      <c r="AE181" s="30"/>
      <c r="AG181" s="30"/>
      <c r="AI181" s="30"/>
      <c r="AK181" s="30"/>
      <c r="AL181" s="26"/>
      <c r="AM181" s="39">
        <f t="shared" si="1"/>
        <v>5097.2</v>
      </c>
      <c r="AN181" s="36">
        <f t="shared" si="2"/>
        <v>280</v>
      </c>
      <c r="AO181" s="36">
        <f t="shared" si="3"/>
        <v>0</v>
      </c>
      <c r="AP181" s="36">
        <f t="shared" si="4"/>
        <v>280</v>
      </c>
      <c r="AQ181" s="40">
        <f t="shared" si="5"/>
        <v>18.20428571</v>
      </c>
    </row>
    <row r="182" ht="15.75" customHeight="1">
      <c r="A182" s="34" t="s">
        <v>26</v>
      </c>
      <c r="B182" s="35">
        <f t="shared" si="6"/>
        <v>45107</v>
      </c>
      <c r="C182" s="36">
        <v>7.0</v>
      </c>
      <c r="D182" s="36"/>
      <c r="E182" s="36" t="s">
        <v>34</v>
      </c>
      <c r="F182" s="38"/>
      <c r="G182" s="31"/>
      <c r="I182" s="30"/>
      <c r="K182" s="30"/>
      <c r="M182" s="30"/>
      <c r="O182" s="28">
        <v>125.0</v>
      </c>
      <c r="Q182" s="29">
        <v>125.0</v>
      </c>
      <c r="S182" s="29">
        <v>30.0</v>
      </c>
      <c r="U182" s="29"/>
      <c r="W182" s="30"/>
      <c r="Y182" s="30"/>
      <c r="Z182" s="26"/>
      <c r="AA182" s="31"/>
      <c r="AC182" s="30"/>
      <c r="AE182" s="30"/>
      <c r="AG182" s="30"/>
      <c r="AI182" s="30"/>
      <c r="AK182" s="30"/>
      <c r="AL182" s="26"/>
      <c r="AM182" s="39">
        <f t="shared" si="1"/>
        <v>5097.2</v>
      </c>
      <c r="AN182" s="36">
        <f t="shared" si="2"/>
        <v>280</v>
      </c>
      <c r="AO182" s="36">
        <f t="shared" si="3"/>
        <v>0</v>
      </c>
      <c r="AP182" s="36">
        <f t="shared" si="4"/>
        <v>280</v>
      </c>
      <c r="AQ182" s="40">
        <f t="shared" si="5"/>
        <v>18.20428571</v>
      </c>
    </row>
    <row r="183" ht="15.75" customHeight="1">
      <c r="A183" s="34" t="s">
        <v>27</v>
      </c>
      <c r="B183" s="35">
        <f t="shared" si="6"/>
        <v>45108</v>
      </c>
      <c r="C183" s="36">
        <v>7.0</v>
      </c>
      <c r="D183" s="36"/>
      <c r="E183" s="36" t="s">
        <v>34</v>
      </c>
      <c r="F183" s="38"/>
      <c r="G183" s="31"/>
      <c r="I183" s="30"/>
      <c r="K183" s="30"/>
      <c r="M183" s="30"/>
      <c r="O183" s="28">
        <v>125.0</v>
      </c>
      <c r="Q183" s="29">
        <v>125.0</v>
      </c>
      <c r="S183" s="29">
        <v>30.0</v>
      </c>
      <c r="U183" s="29"/>
      <c r="W183" s="30"/>
      <c r="Y183" s="30"/>
      <c r="Z183" s="26"/>
      <c r="AA183" s="31"/>
      <c r="AC183" s="30"/>
      <c r="AE183" s="30"/>
      <c r="AG183" s="30"/>
      <c r="AI183" s="30"/>
      <c r="AK183" s="30"/>
      <c r="AL183" s="26"/>
      <c r="AM183" s="39">
        <f t="shared" si="1"/>
        <v>5097.2</v>
      </c>
      <c r="AN183" s="36">
        <f t="shared" si="2"/>
        <v>280</v>
      </c>
      <c r="AO183" s="36">
        <f t="shared" si="3"/>
        <v>0</v>
      </c>
      <c r="AP183" s="36">
        <f t="shared" si="4"/>
        <v>280</v>
      </c>
      <c r="AQ183" s="40">
        <f t="shared" si="5"/>
        <v>18.20428571</v>
      </c>
    </row>
    <row r="184" ht="15.75" customHeight="1">
      <c r="A184" s="46" t="s">
        <v>28</v>
      </c>
      <c r="B184" s="47">
        <f t="shared" si="6"/>
        <v>45109</v>
      </c>
      <c r="C184" s="49">
        <v>7.0</v>
      </c>
      <c r="D184" s="49"/>
      <c r="E184" s="49" t="s">
        <v>34</v>
      </c>
      <c r="F184" s="52"/>
      <c r="G184" s="67"/>
      <c r="H184" s="55"/>
      <c r="I184" s="65"/>
      <c r="J184" s="55"/>
      <c r="K184" s="65"/>
      <c r="L184" s="55"/>
      <c r="M184" s="65"/>
      <c r="N184" s="55"/>
      <c r="O184" s="61">
        <v>0.0</v>
      </c>
      <c r="P184" s="55"/>
      <c r="Q184" s="62">
        <v>0.0</v>
      </c>
      <c r="R184" s="55"/>
      <c r="S184" s="62">
        <v>0.0</v>
      </c>
      <c r="T184" s="55"/>
      <c r="U184" s="62"/>
      <c r="V184" s="55"/>
      <c r="W184" s="65"/>
      <c r="X184" s="55"/>
      <c r="Y184" s="65"/>
      <c r="Z184" s="58"/>
      <c r="AA184" s="67"/>
      <c r="AB184" s="55"/>
      <c r="AC184" s="65"/>
      <c r="AD184" s="55"/>
      <c r="AE184" s="65"/>
      <c r="AF184" s="55"/>
      <c r="AG184" s="65"/>
      <c r="AH184" s="55"/>
      <c r="AI184" s="65"/>
      <c r="AJ184" s="55"/>
      <c r="AK184" s="65"/>
      <c r="AL184" s="58"/>
      <c r="AM184" s="64">
        <f t="shared" si="1"/>
        <v>0</v>
      </c>
      <c r="AN184" s="49">
        <f t="shared" si="2"/>
        <v>0</v>
      </c>
      <c r="AO184" s="49">
        <f t="shared" si="3"/>
        <v>0</v>
      </c>
      <c r="AP184" s="49">
        <f t="shared" si="4"/>
        <v>0</v>
      </c>
      <c r="AQ184" s="66" t="str">
        <f t="shared" si="5"/>
        <v/>
      </c>
    </row>
    <row r="185" ht="15.75" customHeight="1">
      <c r="A185" s="18" t="s">
        <v>21</v>
      </c>
      <c r="B185" s="68">
        <f t="shared" si="6"/>
        <v>45110</v>
      </c>
      <c r="C185" s="20">
        <v>7.0</v>
      </c>
      <c r="D185" s="20"/>
      <c r="E185" s="20" t="s">
        <v>36</v>
      </c>
      <c r="F185" s="22"/>
      <c r="G185" s="31"/>
      <c r="I185" s="30"/>
      <c r="K185" s="30"/>
      <c r="M185" s="30"/>
      <c r="O185" s="28">
        <v>125.0</v>
      </c>
      <c r="Q185" s="29">
        <v>125.0</v>
      </c>
      <c r="S185" s="29">
        <v>30.0</v>
      </c>
      <c r="U185" s="29"/>
      <c r="W185" s="30"/>
      <c r="Y185" s="30"/>
      <c r="Z185" s="26"/>
      <c r="AA185" s="31"/>
      <c r="AC185" s="30"/>
      <c r="AE185" s="30"/>
      <c r="AG185" s="30"/>
      <c r="AI185" s="30"/>
      <c r="AK185" s="30"/>
      <c r="AL185" s="26"/>
      <c r="AM185" s="32">
        <f t="shared" si="1"/>
        <v>5097.2</v>
      </c>
      <c r="AN185" s="20">
        <f t="shared" si="2"/>
        <v>280</v>
      </c>
      <c r="AO185" s="20">
        <f t="shared" si="3"/>
        <v>0</v>
      </c>
      <c r="AP185" s="20">
        <f t="shared" si="4"/>
        <v>280</v>
      </c>
      <c r="AQ185" s="33">
        <f t="shared" si="5"/>
        <v>18.20428571</v>
      </c>
    </row>
    <row r="186" ht="15.75" customHeight="1">
      <c r="A186" s="34" t="s">
        <v>23</v>
      </c>
      <c r="B186" s="35">
        <f t="shared" si="6"/>
        <v>45111</v>
      </c>
      <c r="C186" s="36">
        <v>7.0</v>
      </c>
      <c r="D186" s="36"/>
      <c r="E186" s="36" t="s">
        <v>36</v>
      </c>
      <c r="F186" s="38"/>
      <c r="G186" s="31"/>
      <c r="I186" s="30"/>
      <c r="K186" s="30"/>
      <c r="M186" s="30"/>
      <c r="O186" s="28">
        <v>125.0</v>
      </c>
      <c r="Q186" s="29">
        <v>125.0</v>
      </c>
      <c r="S186" s="29">
        <v>30.0</v>
      </c>
      <c r="U186" s="29"/>
      <c r="W186" s="30"/>
      <c r="Y186" s="30"/>
      <c r="Z186" s="26"/>
      <c r="AA186" s="31"/>
      <c r="AC186" s="30"/>
      <c r="AE186" s="30"/>
      <c r="AG186" s="30"/>
      <c r="AI186" s="30"/>
      <c r="AK186" s="30"/>
      <c r="AL186" s="26"/>
      <c r="AM186" s="39">
        <f t="shared" si="1"/>
        <v>5097.2</v>
      </c>
      <c r="AN186" s="36">
        <f t="shared" si="2"/>
        <v>280</v>
      </c>
      <c r="AO186" s="36">
        <f t="shared" si="3"/>
        <v>0</v>
      </c>
      <c r="AP186" s="36">
        <f t="shared" si="4"/>
        <v>280</v>
      </c>
      <c r="AQ186" s="40">
        <f t="shared" si="5"/>
        <v>18.20428571</v>
      </c>
    </row>
    <row r="187" ht="15.75" customHeight="1">
      <c r="A187" s="34" t="s">
        <v>24</v>
      </c>
      <c r="B187" s="35">
        <f t="shared" si="6"/>
        <v>45112</v>
      </c>
      <c r="C187" s="36">
        <v>7.0</v>
      </c>
      <c r="D187" s="36"/>
      <c r="E187" s="36" t="s">
        <v>36</v>
      </c>
      <c r="F187" s="38"/>
      <c r="G187" s="31"/>
      <c r="I187" s="30"/>
      <c r="K187" s="30"/>
      <c r="M187" s="30"/>
      <c r="O187" s="28">
        <v>125.0</v>
      </c>
      <c r="Q187" s="29">
        <v>125.0</v>
      </c>
      <c r="S187" s="29">
        <v>30.0</v>
      </c>
      <c r="U187" s="29"/>
      <c r="W187" s="30"/>
      <c r="Y187" s="30"/>
      <c r="Z187" s="26"/>
      <c r="AA187" s="31"/>
      <c r="AC187" s="30"/>
      <c r="AE187" s="30"/>
      <c r="AG187" s="30"/>
      <c r="AI187" s="30"/>
      <c r="AK187" s="30"/>
      <c r="AL187" s="26"/>
      <c r="AM187" s="39">
        <f t="shared" si="1"/>
        <v>5097.2</v>
      </c>
      <c r="AN187" s="36">
        <f t="shared" si="2"/>
        <v>280</v>
      </c>
      <c r="AO187" s="36">
        <f t="shared" si="3"/>
        <v>0</v>
      </c>
      <c r="AP187" s="36">
        <f t="shared" si="4"/>
        <v>280</v>
      </c>
      <c r="AQ187" s="40">
        <f t="shared" si="5"/>
        <v>18.20428571</v>
      </c>
    </row>
    <row r="188" ht="15.75" customHeight="1">
      <c r="A188" s="34" t="s">
        <v>25</v>
      </c>
      <c r="B188" s="35">
        <f t="shared" si="6"/>
        <v>45113</v>
      </c>
      <c r="C188" s="36">
        <v>7.0</v>
      </c>
      <c r="D188" s="36"/>
      <c r="E188" s="36" t="s">
        <v>36</v>
      </c>
      <c r="F188" s="38"/>
      <c r="G188" s="31"/>
      <c r="I188" s="30"/>
      <c r="K188" s="30"/>
      <c r="M188" s="30"/>
      <c r="O188" s="28">
        <v>125.0</v>
      </c>
      <c r="Q188" s="29">
        <v>125.0</v>
      </c>
      <c r="S188" s="29">
        <v>30.0</v>
      </c>
      <c r="U188" s="29"/>
      <c r="W188" s="30"/>
      <c r="Y188" s="30"/>
      <c r="Z188" s="26"/>
      <c r="AA188" s="31"/>
      <c r="AC188" s="30"/>
      <c r="AE188" s="30"/>
      <c r="AG188" s="30"/>
      <c r="AI188" s="30"/>
      <c r="AK188" s="30"/>
      <c r="AL188" s="26"/>
      <c r="AM188" s="39">
        <f t="shared" si="1"/>
        <v>5097.2</v>
      </c>
      <c r="AN188" s="36">
        <f t="shared" si="2"/>
        <v>280</v>
      </c>
      <c r="AO188" s="36">
        <f t="shared" si="3"/>
        <v>0</v>
      </c>
      <c r="AP188" s="36">
        <f t="shared" si="4"/>
        <v>280</v>
      </c>
      <c r="AQ188" s="40">
        <f t="shared" si="5"/>
        <v>18.20428571</v>
      </c>
    </row>
    <row r="189" ht="15.75" customHeight="1">
      <c r="A189" s="34" t="s">
        <v>26</v>
      </c>
      <c r="B189" s="35">
        <f t="shared" si="6"/>
        <v>45114</v>
      </c>
      <c r="C189" s="36">
        <v>7.0</v>
      </c>
      <c r="D189" s="36"/>
      <c r="E189" s="36" t="s">
        <v>36</v>
      </c>
      <c r="F189" s="38"/>
      <c r="G189" s="31"/>
      <c r="I189" s="30"/>
      <c r="K189" s="30"/>
      <c r="M189" s="30"/>
      <c r="O189" s="28">
        <v>125.0</v>
      </c>
      <c r="Q189" s="29">
        <v>125.0</v>
      </c>
      <c r="S189" s="29">
        <v>30.0</v>
      </c>
      <c r="U189" s="29"/>
      <c r="W189" s="30"/>
      <c r="Y189" s="30"/>
      <c r="Z189" s="26"/>
      <c r="AA189" s="31"/>
      <c r="AC189" s="30"/>
      <c r="AE189" s="30"/>
      <c r="AG189" s="30"/>
      <c r="AI189" s="30"/>
      <c r="AK189" s="30"/>
      <c r="AL189" s="26"/>
      <c r="AM189" s="39">
        <f t="shared" si="1"/>
        <v>5097.2</v>
      </c>
      <c r="AN189" s="36">
        <f t="shared" si="2"/>
        <v>280</v>
      </c>
      <c r="AO189" s="36">
        <f t="shared" si="3"/>
        <v>0</v>
      </c>
      <c r="AP189" s="36">
        <f t="shared" si="4"/>
        <v>280</v>
      </c>
      <c r="AQ189" s="40">
        <f t="shared" si="5"/>
        <v>18.20428571</v>
      </c>
    </row>
    <row r="190" ht="15.75" customHeight="1">
      <c r="A190" s="34" t="s">
        <v>27</v>
      </c>
      <c r="B190" s="35">
        <f t="shared" si="6"/>
        <v>45115</v>
      </c>
      <c r="C190" s="36">
        <v>7.0</v>
      </c>
      <c r="D190" s="36"/>
      <c r="E190" s="36" t="s">
        <v>36</v>
      </c>
      <c r="F190" s="38"/>
      <c r="G190" s="31"/>
      <c r="I190" s="30"/>
      <c r="K190" s="30"/>
      <c r="M190" s="30"/>
      <c r="O190" s="28">
        <v>125.0</v>
      </c>
      <c r="Q190" s="29">
        <v>125.0</v>
      </c>
      <c r="S190" s="29">
        <v>30.0</v>
      </c>
      <c r="U190" s="29"/>
      <c r="W190" s="30"/>
      <c r="Y190" s="30"/>
      <c r="Z190" s="26"/>
      <c r="AA190" s="31"/>
      <c r="AC190" s="30"/>
      <c r="AE190" s="30"/>
      <c r="AG190" s="30"/>
      <c r="AI190" s="30"/>
      <c r="AK190" s="30"/>
      <c r="AL190" s="26"/>
      <c r="AM190" s="39">
        <f t="shared" si="1"/>
        <v>5097.2</v>
      </c>
      <c r="AN190" s="36">
        <f t="shared" si="2"/>
        <v>280</v>
      </c>
      <c r="AO190" s="36">
        <f t="shared" si="3"/>
        <v>0</v>
      </c>
      <c r="AP190" s="36">
        <f t="shared" si="4"/>
        <v>280</v>
      </c>
      <c r="AQ190" s="40">
        <f t="shared" si="5"/>
        <v>18.20428571</v>
      </c>
    </row>
    <row r="191" ht="15.75" customHeight="1">
      <c r="A191" s="46" t="s">
        <v>28</v>
      </c>
      <c r="B191" s="47">
        <f t="shared" si="6"/>
        <v>45116</v>
      </c>
      <c r="C191" s="49">
        <v>7.0</v>
      </c>
      <c r="D191" s="49"/>
      <c r="E191" s="49" t="s">
        <v>36</v>
      </c>
      <c r="F191" s="52"/>
      <c r="G191" s="67"/>
      <c r="H191" s="55"/>
      <c r="I191" s="65"/>
      <c r="J191" s="55"/>
      <c r="K191" s="65"/>
      <c r="L191" s="55"/>
      <c r="M191" s="65"/>
      <c r="N191" s="55"/>
      <c r="O191" s="61">
        <v>0.0</v>
      </c>
      <c r="P191" s="55"/>
      <c r="Q191" s="62">
        <v>0.0</v>
      </c>
      <c r="R191" s="55"/>
      <c r="S191" s="62">
        <v>0.0</v>
      </c>
      <c r="T191" s="55"/>
      <c r="U191" s="62"/>
      <c r="V191" s="55"/>
      <c r="W191" s="65"/>
      <c r="X191" s="55"/>
      <c r="Y191" s="65"/>
      <c r="Z191" s="58"/>
      <c r="AA191" s="67"/>
      <c r="AB191" s="55"/>
      <c r="AC191" s="65"/>
      <c r="AD191" s="55"/>
      <c r="AE191" s="65"/>
      <c r="AF191" s="55"/>
      <c r="AG191" s="65"/>
      <c r="AH191" s="55"/>
      <c r="AI191" s="65"/>
      <c r="AJ191" s="55"/>
      <c r="AK191" s="65"/>
      <c r="AL191" s="58"/>
      <c r="AM191" s="64">
        <f t="shared" si="1"/>
        <v>0</v>
      </c>
      <c r="AN191" s="49">
        <f t="shared" si="2"/>
        <v>0</v>
      </c>
      <c r="AO191" s="49">
        <f t="shared" si="3"/>
        <v>0</v>
      </c>
      <c r="AP191" s="49">
        <f t="shared" si="4"/>
        <v>0</v>
      </c>
      <c r="AQ191" s="66" t="str">
        <f t="shared" si="5"/>
        <v/>
      </c>
    </row>
    <row r="192" ht="15.75" customHeight="1">
      <c r="A192" s="18" t="s">
        <v>21</v>
      </c>
      <c r="B192" s="68">
        <f t="shared" si="6"/>
        <v>45117</v>
      </c>
      <c r="C192" s="20">
        <v>7.0</v>
      </c>
      <c r="D192" s="20"/>
      <c r="E192" s="20" t="s">
        <v>37</v>
      </c>
      <c r="F192" s="22"/>
      <c r="G192" s="31"/>
      <c r="I192" s="30"/>
      <c r="K192" s="30"/>
      <c r="M192" s="30"/>
      <c r="O192" s="28">
        <v>0.0</v>
      </c>
      <c r="Q192" s="29">
        <v>0.0</v>
      </c>
      <c r="S192" s="29">
        <v>0.0</v>
      </c>
      <c r="U192" s="29"/>
      <c r="W192" s="30"/>
      <c r="Y192" s="30"/>
      <c r="Z192" s="26"/>
      <c r="AA192" s="31"/>
      <c r="AC192" s="30"/>
      <c r="AE192" s="30"/>
      <c r="AG192" s="30"/>
      <c r="AI192" s="30"/>
      <c r="AK192" s="30"/>
      <c r="AL192" s="26"/>
      <c r="AM192" s="32">
        <f t="shared" si="1"/>
        <v>0</v>
      </c>
      <c r="AN192" s="20">
        <f t="shared" si="2"/>
        <v>0</v>
      </c>
      <c r="AO192" s="20">
        <f t="shared" si="3"/>
        <v>0</v>
      </c>
      <c r="AP192" s="20">
        <f t="shared" si="4"/>
        <v>0</v>
      </c>
      <c r="AQ192" s="33" t="str">
        <f t="shared" si="5"/>
        <v/>
      </c>
    </row>
    <row r="193" ht="15.75" customHeight="1">
      <c r="A193" s="34" t="s">
        <v>23</v>
      </c>
      <c r="B193" s="35">
        <f t="shared" si="6"/>
        <v>45118</v>
      </c>
      <c r="C193" s="36">
        <v>7.0</v>
      </c>
      <c r="D193" s="36"/>
      <c r="E193" s="36" t="s">
        <v>37</v>
      </c>
      <c r="F193" s="38"/>
      <c r="G193" s="31"/>
      <c r="I193" s="30"/>
      <c r="K193" s="30"/>
      <c r="M193" s="30"/>
      <c r="O193" s="28">
        <v>0.0</v>
      </c>
      <c r="Q193" s="29">
        <v>0.0</v>
      </c>
      <c r="S193" s="29">
        <v>0.0</v>
      </c>
      <c r="U193" s="29"/>
      <c r="W193" s="30"/>
      <c r="Y193" s="30"/>
      <c r="Z193" s="26"/>
      <c r="AA193" s="31"/>
      <c r="AC193" s="30"/>
      <c r="AE193" s="30"/>
      <c r="AG193" s="30"/>
      <c r="AI193" s="30"/>
      <c r="AK193" s="30"/>
      <c r="AL193" s="26"/>
      <c r="AM193" s="39">
        <f t="shared" si="1"/>
        <v>0</v>
      </c>
      <c r="AN193" s="36">
        <f t="shared" si="2"/>
        <v>0</v>
      </c>
      <c r="AO193" s="36">
        <f t="shared" si="3"/>
        <v>0</v>
      </c>
      <c r="AP193" s="36">
        <f t="shared" si="4"/>
        <v>0</v>
      </c>
      <c r="AQ193" s="40" t="str">
        <f t="shared" si="5"/>
        <v/>
      </c>
    </row>
    <row r="194" ht="15.75" customHeight="1">
      <c r="A194" s="34" t="s">
        <v>24</v>
      </c>
      <c r="B194" s="35">
        <f t="shared" si="6"/>
        <v>45119</v>
      </c>
      <c r="C194" s="36">
        <v>7.0</v>
      </c>
      <c r="D194" s="36"/>
      <c r="E194" s="36" t="s">
        <v>37</v>
      </c>
      <c r="F194" s="38"/>
      <c r="G194" s="31"/>
      <c r="I194" s="30"/>
      <c r="K194" s="30"/>
      <c r="M194" s="30"/>
      <c r="O194" s="28">
        <v>0.0</v>
      </c>
      <c r="Q194" s="29">
        <v>0.0</v>
      </c>
      <c r="S194" s="29">
        <v>0.0</v>
      </c>
      <c r="U194" s="29"/>
      <c r="W194" s="30"/>
      <c r="Y194" s="30"/>
      <c r="Z194" s="26"/>
      <c r="AA194" s="31"/>
      <c r="AC194" s="30"/>
      <c r="AE194" s="30"/>
      <c r="AG194" s="30"/>
      <c r="AI194" s="30"/>
      <c r="AK194" s="30"/>
      <c r="AL194" s="26"/>
      <c r="AM194" s="39">
        <f t="shared" si="1"/>
        <v>0</v>
      </c>
      <c r="AN194" s="36">
        <f t="shared" si="2"/>
        <v>0</v>
      </c>
      <c r="AO194" s="36">
        <f t="shared" si="3"/>
        <v>0</v>
      </c>
      <c r="AP194" s="36">
        <f t="shared" si="4"/>
        <v>0</v>
      </c>
      <c r="AQ194" s="40" t="str">
        <f t="shared" si="5"/>
        <v/>
      </c>
    </row>
    <row r="195" ht="15.75" customHeight="1">
      <c r="A195" s="34" t="s">
        <v>25</v>
      </c>
      <c r="B195" s="35">
        <f t="shared" si="6"/>
        <v>45120</v>
      </c>
      <c r="C195" s="36">
        <v>7.0</v>
      </c>
      <c r="D195" s="36"/>
      <c r="E195" s="36" t="s">
        <v>37</v>
      </c>
      <c r="F195" s="38"/>
      <c r="G195" s="31"/>
      <c r="I195" s="30"/>
      <c r="K195" s="30"/>
      <c r="M195" s="30"/>
      <c r="O195" s="28">
        <v>125.0</v>
      </c>
      <c r="Q195" s="29">
        <v>125.0</v>
      </c>
      <c r="S195" s="29">
        <v>30.0</v>
      </c>
      <c r="U195" s="29"/>
      <c r="W195" s="30"/>
      <c r="Y195" s="30"/>
      <c r="Z195" s="26"/>
      <c r="AA195" s="31"/>
      <c r="AC195" s="30"/>
      <c r="AE195" s="30"/>
      <c r="AG195" s="30"/>
      <c r="AI195" s="30"/>
      <c r="AK195" s="30"/>
      <c r="AL195" s="26"/>
      <c r="AM195" s="39">
        <f t="shared" si="1"/>
        <v>5097.2</v>
      </c>
      <c r="AN195" s="36">
        <f t="shared" si="2"/>
        <v>280</v>
      </c>
      <c r="AO195" s="36">
        <f t="shared" si="3"/>
        <v>0</v>
      </c>
      <c r="AP195" s="36">
        <f t="shared" si="4"/>
        <v>280</v>
      </c>
      <c r="AQ195" s="40">
        <f t="shared" si="5"/>
        <v>18.20428571</v>
      </c>
    </row>
    <row r="196" ht="15.75" customHeight="1">
      <c r="A196" s="34" t="s">
        <v>26</v>
      </c>
      <c r="B196" s="35">
        <f t="shared" si="6"/>
        <v>45121</v>
      </c>
      <c r="C196" s="36">
        <v>7.0</v>
      </c>
      <c r="D196" s="36"/>
      <c r="E196" s="36" t="s">
        <v>37</v>
      </c>
      <c r="F196" s="38"/>
      <c r="G196" s="31"/>
      <c r="I196" s="30"/>
      <c r="K196" s="30"/>
      <c r="M196" s="30"/>
      <c r="O196" s="28">
        <v>125.0</v>
      </c>
      <c r="Q196" s="29">
        <v>125.0</v>
      </c>
      <c r="S196" s="29">
        <v>30.0</v>
      </c>
      <c r="U196" s="29"/>
      <c r="W196" s="30"/>
      <c r="Y196" s="30"/>
      <c r="Z196" s="26"/>
      <c r="AA196" s="31"/>
      <c r="AC196" s="30"/>
      <c r="AE196" s="30"/>
      <c r="AG196" s="30"/>
      <c r="AI196" s="30"/>
      <c r="AK196" s="30"/>
      <c r="AL196" s="26"/>
      <c r="AM196" s="39">
        <f t="shared" si="1"/>
        <v>5097.2</v>
      </c>
      <c r="AN196" s="36">
        <f t="shared" si="2"/>
        <v>280</v>
      </c>
      <c r="AO196" s="36">
        <f t="shared" si="3"/>
        <v>0</v>
      </c>
      <c r="AP196" s="36">
        <f t="shared" si="4"/>
        <v>280</v>
      </c>
      <c r="AQ196" s="40">
        <f t="shared" si="5"/>
        <v>18.20428571</v>
      </c>
    </row>
    <row r="197" ht="15.75" customHeight="1">
      <c r="A197" s="34" t="s">
        <v>27</v>
      </c>
      <c r="B197" s="35">
        <f t="shared" si="6"/>
        <v>45122</v>
      </c>
      <c r="C197" s="36">
        <v>7.0</v>
      </c>
      <c r="D197" s="36"/>
      <c r="E197" s="36" t="s">
        <v>37</v>
      </c>
      <c r="F197" s="38"/>
      <c r="G197" s="31"/>
      <c r="I197" s="30"/>
      <c r="K197" s="30"/>
      <c r="M197" s="30"/>
      <c r="O197" s="28">
        <v>125.0</v>
      </c>
      <c r="Q197" s="29">
        <v>125.0</v>
      </c>
      <c r="S197" s="29">
        <v>30.0</v>
      </c>
      <c r="U197" s="29"/>
      <c r="W197" s="30"/>
      <c r="Y197" s="30"/>
      <c r="Z197" s="26"/>
      <c r="AA197" s="31"/>
      <c r="AC197" s="30"/>
      <c r="AE197" s="30"/>
      <c r="AG197" s="30"/>
      <c r="AI197" s="30"/>
      <c r="AK197" s="30"/>
      <c r="AL197" s="26"/>
      <c r="AM197" s="39">
        <f t="shared" si="1"/>
        <v>5097.2</v>
      </c>
      <c r="AN197" s="36">
        <f t="shared" si="2"/>
        <v>280</v>
      </c>
      <c r="AO197" s="36">
        <f t="shared" si="3"/>
        <v>0</v>
      </c>
      <c r="AP197" s="36">
        <f t="shared" si="4"/>
        <v>280</v>
      </c>
      <c r="AQ197" s="40">
        <f t="shared" si="5"/>
        <v>18.20428571</v>
      </c>
    </row>
    <row r="198" ht="15.75" customHeight="1">
      <c r="A198" s="46" t="s">
        <v>28</v>
      </c>
      <c r="B198" s="47">
        <f t="shared" si="6"/>
        <v>45123</v>
      </c>
      <c r="C198" s="49">
        <v>7.0</v>
      </c>
      <c r="D198" s="49"/>
      <c r="E198" s="49" t="s">
        <v>37</v>
      </c>
      <c r="F198" s="52"/>
      <c r="G198" s="67"/>
      <c r="H198" s="55"/>
      <c r="I198" s="65"/>
      <c r="J198" s="55"/>
      <c r="K198" s="65"/>
      <c r="L198" s="55"/>
      <c r="M198" s="65"/>
      <c r="N198" s="55"/>
      <c r="O198" s="61">
        <v>0.0</v>
      </c>
      <c r="P198" s="55"/>
      <c r="Q198" s="62">
        <v>0.0</v>
      </c>
      <c r="R198" s="55"/>
      <c r="S198" s="62">
        <v>0.0</v>
      </c>
      <c r="T198" s="55"/>
      <c r="U198" s="62"/>
      <c r="V198" s="55"/>
      <c r="W198" s="65"/>
      <c r="X198" s="55"/>
      <c r="Y198" s="65"/>
      <c r="Z198" s="58"/>
      <c r="AA198" s="67"/>
      <c r="AB198" s="55"/>
      <c r="AC198" s="65"/>
      <c r="AD198" s="55"/>
      <c r="AE198" s="65"/>
      <c r="AF198" s="55"/>
      <c r="AG198" s="65"/>
      <c r="AH198" s="55"/>
      <c r="AI198" s="65"/>
      <c r="AJ198" s="55"/>
      <c r="AK198" s="65"/>
      <c r="AL198" s="58"/>
      <c r="AM198" s="64">
        <f t="shared" si="1"/>
        <v>0</v>
      </c>
      <c r="AN198" s="49">
        <f t="shared" si="2"/>
        <v>0</v>
      </c>
      <c r="AO198" s="49">
        <f t="shared" si="3"/>
        <v>0</v>
      </c>
      <c r="AP198" s="49">
        <f t="shared" si="4"/>
        <v>0</v>
      </c>
      <c r="AQ198" s="66" t="str">
        <f t="shared" si="5"/>
        <v/>
      </c>
    </row>
    <row r="199" ht="15.75" customHeight="1">
      <c r="A199" s="18" t="s">
        <v>21</v>
      </c>
      <c r="B199" s="68">
        <f t="shared" si="6"/>
        <v>45124</v>
      </c>
      <c r="C199" s="20">
        <v>8.0</v>
      </c>
      <c r="D199" s="20"/>
      <c r="E199" s="20" t="s">
        <v>22</v>
      </c>
      <c r="F199" s="22"/>
      <c r="G199" s="31"/>
      <c r="I199" s="30"/>
      <c r="K199" s="30"/>
      <c r="M199" s="30"/>
      <c r="O199" s="28">
        <v>125.0</v>
      </c>
      <c r="Q199" s="29">
        <v>125.0</v>
      </c>
      <c r="S199" s="29">
        <v>30.0</v>
      </c>
      <c r="U199" s="29"/>
      <c r="W199" s="30"/>
      <c r="Y199" s="30"/>
      <c r="Z199" s="26"/>
      <c r="AA199" s="31"/>
      <c r="AC199" s="30"/>
      <c r="AE199" s="30"/>
      <c r="AG199" s="30"/>
      <c r="AI199" s="30"/>
      <c r="AK199" s="30"/>
      <c r="AL199" s="26"/>
      <c r="AM199" s="32">
        <f t="shared" si="1"/>
        <v>5097.2</v>
      </c>
      <c r="AN199" s="20">
        <f t="shared" si="2"/>
        <v>280</v>
      </c>
      <c r="AO199" s="20">
        <f t="shared" si="3"/>
        <v>0</v>
      </c>
      <c r="AP199" s="20">
        <f t="shared" si="4"/>
        <v>280</v>
      </c>
      <c r="AQ199" s="33">
        <f t="shared" si="5"/>
        <v>18.20428571</v>
      </c>
    </row>
    <row r="200" ht="15.75" customHeight="1">
      <c r="A200" s="34" t="s">
        <v>23</v>
      </c>
      <c r="B200" s="35">
        <f t="shared" si="6"/>
        <v>45125</v>
      </c>
      <c r="C200" s="36">
        <v>8.0</v>
      </c>
      <c r="D200" s="36"/>
      <c r="E200" s="36" t="s">
        <v>22</v>
      </c>
      <c r="F200" s="38"/>
      <c r="G200" s="31"/>
      <c r="I200" s="30"/>
      <c r="K200" s="30"/>
      <c r="M200" s="30"/>
      <c r="O200" s="28">
        <v>125.0</v>
      </c>
      <c r="Q200" s="29">
        <v>125.0</v>
      </c>
      <c r="S200" s="29">
        <v>30.0</v>
      </c>
      <c r="U200" s="29"/>
      <c r="W200" s="30"/>
      <c r="Y200" s="30"/>
      <c r="Z200" s="26"/>
      <c r="AA200" s="31"/>
      <c r="AC200" s="30"/>
      <c r="AE200" s="30"/>
      <c r="AG200" s="30"/>
      <c r="AI200" s="30"/>
      <c r="AK200" s="30"/>
      <c r="AL200" s="26"/>
      <c r="AM200" s="39">
        <f t="shared" si="1"/>
        <v>5097.2</v>
      </c>
      <c r="AN200" s="36">
        <f t="shared" si="2"/>
        <v>280</v>
      </c>
      <c r="AO200" s="36">
        <f t="shared" si="3"/>
        <v>0</v>
      </c>
      <c r="AP200" s="36">
        <f t="shared" si="4"/>
        <v>280</v>
      </c>
      <c r="AQ200" s="40">
        <f t="shared" si="5"/>
        <v>18.20428571</v>
      </c>
    </row>
    <row r="201" ht="15.75" customHeight="1">
      <c r="A201" s="34" t="s">
        <v>24</v>
      </c>
      <c r="B201" s="35">
        <f t="shared" si="6"/>
        <v>45126</v>
      </c>
      <c r="C201" s="36">
        <v>8.0</v>
      </c>
      <c r="D201" s="36"/>
      <c r="E201" s="36" t="s">
        <v>22</v>
      </c>
      <c r="F201" s="38"/>
      <c r="G201" s="31"/>
      <c r="I201" s="30"/>
      <c r="K201" s="30"/>
      <c r="M201" s="30"/>
      <c r="O201" s="28">
        <v>125.0</v>
      </c>
      <c r="Q201" s="29">
        <v>125.0</v>
      </c>
      <c r="S201" s="29">
        <v>30.0</v>
      </c>
      <c r="U201" s="29"/>
      <c r="W201" s="30"/>
      <c r="Y201" s="30"/>
      <c r="Z201" s="26"/>
      <c r="AA201" s="31"/>
      <c r="AC201" s="30"/>
      <c r="AE201" s="30"/>
      <c r="AG201" s="30"/>
      <c r="AI201" s="30"/>
      <c r="AK201" s="30"/>
      <c r="AL201" s="26"/>
      <c r="AM201" s="39">
        <f t="shared" si="1"/>
        <v>5097.2</v>
      </c>
      <c r="AN201" s="36">
        <f t="shared" si="2"/>
        <v>280</v>
      </c>
      <c r="AO201" s="36">
        <f t="shared" si="3"/>
        <v>0</v>
      </c>
      <c r="AP201" s="36">
        <f t="shared" si="4"/>
        <v>280</v>
      </c>
      <c r="AQ201" s="40">
        <f t="shared" si="5"/>
        <v>18.20428571</v>
      </c>
    </row>
    <row r="202" ht="15.75" customHeight="1">
      <c r="A202" s="34" t="s">
        <v>25</v>
      </c>
      <c r="B202" s="35">
        <f t="shared" si="6"/>
        <v>45127</v>
      </c>
      <c r="C202" s="36">
        <v>8.0</v>
      </c>
      <c r="D202" s="36"/>
      <c r="E202" s="36" t="s">
        <v>22</v>
      </c>
      <c r="F202" s="38"/>
      <c r="G202" s="31"/>
      <c r="I202" s="30"/>
      <c r="K202" s="30"/>
      <c r="M202" s="30"/>
      <c r="O202" s="28">
        <v>125.0</v>
      </c>
      <c r="Q202" s="29">
        <v>125.0</v>
      </c>
      <c r="S202" s="29">
        <v>30.0</v>
      </c>
      <c r="U202" s="29"/>
      <c r="W202" s="30"/>
      <c r="Y202" s="30"/>
      <c r="Z202" s="26"/>
      <c r="AA202" s="31"/>
      <c r="AC202" s="30"/>
      <c r="AE202" s="30"/>
      <c r="AG202" s="30"/>
      <c r="AI202" s="30"/>
      <c r="AK202" s="30"/>
      <c r="AL202" s="26"/>
      <c r="AM202" s="39">
        <f t="shared" si="1"/>
        <v>5097.2</v>
      </c>
      <c r="AN202" s="36">
        <f t="shared" si="2"/>
        <v>280</v>
      </c>
      <c r="AO202" s="36">
        <f t="shared" si="3"/>
        <v>0</v>
      </c>
      <c r="AP202" s="36">
        <f t="shared" si="4"/>
        <v>280</v>
      </c>
      <c r="AQ202" s="40">
        <f t="shared" si="5"/>
        <v>18.20428571</v>
      </c>
    </row>
    <row r="203" ht="15.75" customHeight="1">
      <c r="A203" s="34" t="s">
        <v>26</v>
      </c>
      <c r="B203" s="35">
        <f t="shared" si="6"/>
        <v>45128</v>
      </c>
      <c r="C203" s="36">
        <v>8.0</v>
      </c>
      <c r="D203" s="36"/>
      <c r="E203" s="36" t="s">
        <v>22</v>
      </c>
      <c r="F203" s="38"/>
      <c r="G203" s="31"/>
      <c r="I203" s="30"/>
      <c r="K203" s="30"/>
      <c r="M203" s="30"/>
      <c r="O203" s="28">
        <v>125.0</v>
      </c>
      <c r="Q203" s="29">
        <v>125.0</v>
      </c>
      <c r="S203" s="29">
        <v>30.0</v>
      </c>
      <c r="U203" s="29"/>
      <c r="W203" s="30"/>
      <c r="Y203" s="30"/>
      <c r="Z203" s="26"/>
      <c r="AA203" s="31"/>
      <c r="AC203" s="30"/>
      <c r="AE203" s="30"/>
      <c r="AG203" s="30"/>
      <c r="AI203" s="30"/>
      <c r="AK203" s="30"/>
      <c r="AL203" s="26"/>
      <c r="AM203" s="39">
        <f t="shared" si="1"/>
        <v>5097.2</v>
      </c>
      <c r="AN203" s="36">
        <f t="shared" si="2"/>
        <v>280</v>
      </c>
      <c r="AO203" s="36">
        <f t="shared" si="3"/>
        <v>0</v>
      </c>
      <c r="AP203" s="36">
        <f t="shared" si="4"/>
        <v>280</v>
      </c>
      <c r="AQ203" s="40">
        <f t="shared" si="5"/>
        <v>18.20428571</v>
      </c>
    </row>
    <row r="204" ht="15.75" customHeight="1">
      <c r="A204" s="34" t="s">
        <v>27</v>
      </c>
      <c r="B204" s="35">
        <f t="shared" si="6"/>
        <v>45129</v>
      </c>
      <c r="C204" s="36">
        <v>8.0</v>
      </c>
      <c r="D204" s="36"/>
      <c r="E204" s="36" t="s">
        <v>22</v>
      </c>
      <c r="F204" s="38"/>
      <c r="G204" s="31"/>
      <c r="I204" s="30"/>
      <c r="K204" s="30"/>
      <c r="M204" s="30"/>
      <c r="O204" s="28">
        <v>125.0</v>
      </c>
      <c r="Q204" s="29">
        <v>125.0</v>
      </c>
      <c r="S204" s="29">
        <v>30.0</v>
      </c>
      <c r="U204" s="29"/>
      <c r="W204" s="30"/>
      <c r="Y204" s="30"/>
      <c r="Z204" s="26"/>
      <c r="AA204" s="31"/>
      <c r="AC204" s="30"/>
      <c r="AE204" s="30"/>
      <c r="AG204" s="30"/>
      <c r="AI204" s="30"/>
      <c r="AK204" s="30"/>
      <c r="AL204" s="26"/>
      <c r="AM204" s="39">
        <f t="shared" si="1"/>
        <v>5097.2</v>
      </c>
      <c r="AN204" s="36">
        <f t="shared" si="2"/>
        <v>280</v>
      </c>
      <c r="AO204" s="36">
        <f t="shared" si="3"/>
        <v>0</v>
      </c>
      <c r="AP204" s="36">
        <f t="shared" si="4"/>
        <v>280</v>
      </c>
      <c r="AQ204" s="40">
        <f t="shared" si="5"/>
        <v>18.20428571</v>
      </c>
    </row>
    <row r="205" ht="15.75" customHeight="1">
      <c r="A205" s="46" t="s">
        <v>28</v>
      </c>
      <c r="B205" s="47">
        <f t="shared" si="6"/>
        <v>45130</v>
      </c>
      <c r="C205" s="49">
        <v>8.0</v>
      </c>
      <c r="D205" s="49"/>
      <c r="E205" s="49" t="s">
        <v>22</v>
      </c>
      <c r="F205" s="52"/>
      <c r="G205" s="67"/>
      <c r="H205" s="55"/>
      <c r="I205" s="65"/>
      <c r="J205" s="55"/>
      <c r="K205" s="65"/>
      <c r="L205" s="55"/>
      <c r="M205" s="65"/>
      <c r="N205" s="55"/>
      <c r="O205" s="61">
        <v>0.0</v>
      </c>
      <c r="P205" s="55"/>
      <c r="Q205" s="62">
        <v>0.0</v>
      </c>
      <c r="R205" s="55"/>
      <c r="S205" s="62">
        <v>0.0</v>
      </c>
      <c r="T205" s="55"/>
      <c r="U205" s="62"/>
      <c r="V205" s="55"/>
      <c r="W205" s="65"/>
      <c r="X205" s="55"/>
      <c r="Y205" s="65"/>
      <c r="Z205" s="58"/>
      <c r="AA205" s="67"/>
      <c r="AB205" s="55"/>
      <c r="AC205" s="65"/>
      <c r="AD205" s="55"/>
      <c r="AE205" s="65"/>
      <c r="AF205" s="55"/>
      <c r="AG205" s="65"/>
      <c r="AH205" s="55"/>
      <c r="AI205" s="65"/>
      <c r="AJ205" s="55"/>
      <c r="AK205" s="65"/>
      <c r="AL205" s="58"/>
      <c r="AM205" s="64">
        <f t="shared" si="1"/>
        <v>0</v>
      </c>
      <c r="AN205" s="49">
        <f t="shared" si="2"/>
        <v>0</v>
      </c>
      <c r="AO205" s="49">
        <f t="shared" si="3"/>
        <v>0</v>
      </c>
      <c r="AP205" s="49">
        <f t="shared" si="4"/>
        <v>0</v>
      </c>
      <c r="AQ205" s="66" t="str">
        <f t="shared" si="5"/>
        <v/>
      </c>
    </row>
    <row r="206" ht="15.75" customHeight="1">
      <c r="A206" s="18" t="s">
        <v>21</v>
      </c>
      <c r="B206" s="68">
        <f t="shared" si="6"/>
        <v>45131</v>
      </c>
      <c r="C206" s="20">
        <v>8.0</v>
      </c>
      <c r="D206" s="20"/>
      <c r="E206" s="20" t="s">
        <v>34</v>
      </c>
      <c r="F206" s="22"/>
      <c r="G206" s="31"/>
      <c r="I206" s="30"/>
      <c r="K206" s="30"/>
      <c r="M206" s="30"/>
      <c r="O206" s="28">
        <v>125.0</v>
      </c>
      <c r="Q206" s="29">
        <v>125.0</v>
      </c>
      <c r="S206" s="29">
        <v>30.0</v>
      </c>
      <c r="U206" s="29"/>
      <c r="W206" s="30"/>
      <c r="Y206" s="30"/>
      <c r="Z206" s="26"/>
      <c r="AA206" s="31"/>
      <c r="AC206" s="30"/>
      <c r="AE206" s="30"/>
      <c r="AG206" s="30"/>
      <c r="AI206" s="30"/>
      <c r="AK206" s="30"/>
      <c r="AL206" s="26"/>
      <c r="AM206" s="32">
        <f t="shared" si="1"/>
        <v>5097.2</v>
      </c>
      <c r="AN206" s="20">
        <f t="shared" si="2"/>
        <v>280</v>
      </c>
      <c r="AO206" s="20">
        <f t="shared" si="3"/>
        <v>0</v>
      </c>
      <c r="AP206" s="20">
        <f t="shared" si="4"/>
        <v>280</v>
      </c>
      <c r="AQ206" s="33">
        <f t="shared" si="5"/>
        <v>18.20428571</v>
      </c>
    </row>
    <row r="207" ht="15.75" customHeight="1">
      <c r="A207" s="34" t="s">
        <v>23</v>
      </c>
      <c r="B207" s="35">
        <f t="shared" si="6"/>
        <v>45132</v>
      </c>
      <c r="C207" s="36">
        <v>8.0</v>
      </c>
      <c r="D207" s="36"/>
      <c r="E207" s="36" t="s">
        <v>34</v>
      </c>
      <c r="F207" s="38"/>
      <c r="G207" s="31"/>
      <c r="I207" s="30"/>
      <c r="K207" s="30"/>
      <c r="M207" s="30"/>
      <c r="O207" s="28">
        <v>125.0</v>
      </c>
      <c r="Q207" s="29">
        <v>125.0</v>
      </c>
      <c r="S207" s="29">
        <v>30.0</v>
      </c>
      <c r="U207" s="29"/>
      <c r="W207" s="30"/>
      <c r="Y207" s="30"/>
      <c r="Z207" s="26"/>
      <c r="AA207" s="31"/>
      <c r="AC207" s="30"/>
      <c r="AE207" s="30"/>
      <c r="AG207" s="30"/>
      <c r="AI207" s="30"/>
      <c r="AK207" s="30"/>
      <c r="AL207" s="26"/>
      <c r="AM207" s="39">
        <f t="shared" si="1"/>
        <v>5097.2</v>
      </c>
      <c r="AN207" s="36">
        <f t="shared" si="2"/>
        <v>280</v>
      </c>
      <c r="AO207" s="36">
        <f t="shared" si="3"/>
        <v>0</v>
      </c>
      <c r="AP207" s="36">
        <f t="shared" si="4"/>
        <v>280</v>
      </c>
      <c r="AQ207" s="40">
        <f t="shared" si="5"/>
        <v>18.20428571</v>
      </c>
    </row>
    <row r="208" ht="15.75" customHeight="1">
      <c r="A208" s="34" t="s">
        <v>24</v>
      </c>
      <c r="B208" s="35">
        <f t="shared" si="6"/>
        <v>45133</v>
      </c>
      <c r="C208" s="36">
        <v>8.0</v>
      </c>
      <c r="D208" s="36"/>
      <c r="E208" s="36" t="s">
        <v>34</v>
      </c>
      <c r="F208" s="38"/>
      <c r="G208" s="31"/>
      <c r="I208" s="30"/>
      <c r="K208" s="30"/>
      <c r="M208" s="30"/>
      <c r="O208" s="28">
        <v>125.0</v>
      </c>
      <c r="Q208" s="29">
        <v>125.0</v>
      </c>
      <c r="S208" s="29">
        <v>30.0</v>
      </c>
      <c r="U208" s="29"/>
      <c r="W208" s="30"/>
      <c r="Y208" s="30"/>
      <c r="Z208" s="26"/>
      <c r="AA208" s="31"/>
      <c r="AC208" s="30"/>
      <c r="AE208" s="30"/>
      <c r="AG208" s="30"/>
      <c r="AI208" s="30"/>
      <c r="AK208" s="30"/>
      <c r="AL208" s="26"/>
      <c r="AM208" s="39">
        <f t="shared" si="1"/>
        <v>5097.2</v>
      </c>
      <c r="AN208" s="36">
        <f t="shared" si="2"/>
        <v>280</v>
      </c>
      <c r="AO208" s="36">
        <f t="shared" si="3"/>
        <v>0</v>
      </c>
      <c r="AP208" s="36">
        <f t="shared" si="4"/>
        <v>280</v>
      </c>
      <c r="AQ208" s="40">
        <f t="shared" si="5"/>
        <v>18.20428571</v>
      </c>
    </row>
    <row r="209" ht="15.75" customHeight="1">
      <c r="A209" s="34" t="s">
        <v>25</v>
      </c>
      <c r="B209" s="35">
        <f t="shared" si="6"/>
        <v>45134</v>
      </c>
      <c r="C209" s="36">
        <v>8.0</v>
      </c>
      <c r="D209" s="36"/>
      <c r="E209" s="36" t="s">
        <v>34</v>
      </c>
      <c r="F209" s="38"/>
      <c r="G209" s="31"/>
      <c r="I209" s="30"/>
      <c r="K209" s="30"/>
      <c r="M209" s="30"/>
      <c r="O209" s="28">
        <v>125.0</v>
      </c>
      <c r="Q209" s="29">
        <v>125.0</v>
      </c>
      <c r="S209" s="29">
        <v>30.0</v>
      </c>
      <c r="U209" s="29"/>
      <c r="W209" s="30"/>
      <c r="Y209" s="30"/>
      <c r="Z209" s="26"/>
      <c r="AA209" s="31"/>
      <c r="AC209" s="30"/>
      <c r="AE209" s="30"/>
      <c r="AG209" s="30"/>
      <c r="AI209" s="30"/>
      <c r="AK209" s="30"/>
      <c r="AL209" s="26"/>
      <c r="AM209" s="39">
        <f t="shared" si="1"/>
        <v>5097.2</v>
      </c>
      <c r="AN209" s="36">
        <f t="shared" si="2"/>
        <v>280</v>
      </c>
      <c r="AO209" s="36">
        <f t="shared" si="3"/>
        <v>0</v>
      </c>
      <c r="AP209" s="36">
        <f t="shared" si="4"/>
        <v>280</v>
      </c>
      <c r="AQ209" s="40">
        <f t="shared" si="5"/>
        <v>18.20428571</v>
      </c>
    </row>
    <row r="210" ht="15.75" customHeight="1">
      <c r="A210" s="34" t="s">
        <v>26</v>
      </c>
      <c r="B210" s="35">
        <f t="shared" si="6"/>
        <v>45135</v>
      </c>
      <c r="C210" s="36">
        <v>8.0</v>
      </c>
      <c r="D210" s="36"/>
      <c r="E210" s="36" t="s">
        <v>34</v>
      </c>
      <c r="F210" s="38"/>
      <c r="G210" s="31"/>
      <c r="I210" s="30"/>
      <c r="K210" s="30"/>
      <c r="M210" s="30"/>
      <c r="O210" s="28">
        <v>125.0</v>
      </c>
      <c r="Q210" s="29">
        <v>125.0</v>
      </c>
      <c r="S210" s="29">
        <v>30.0</v>
      </c>
      <c r="U210" s="29"/>
      <c r="W210" s="30"/>
      <c r="Y210" s="30"/>
      <c r="Z210" s="26"/>
      <c r="AA210" s="31"/>
      <c r="AC210" s="30"/>
      <c r="AE210" s="30"/>
      <c r="AG210" s="30"/>
      <c r="AI210" s="30"/>
      <c r="AK210" s="30"/>
      <c r="AL210" s="26"/>
      <c r="AM210" s="39">
        <f t="shared" si="1"/>
        <v>5097.2</v>
      </c>
      <c r="AN210" s="36">
        <f t="shared" si="2"/>
        <v>280</v>
      </c>
      <c r="AO210" s="36">
        <f t="shared" si="3"/>
        <v>0</v>
      </c>
      <c r="AP210" s="36">
        <f t="shared" si="4"/>
        <v>280</v>
      </c>
      <c r="AQ210" s="40">
        <f t="shared" si="5"/>
        <v>18.20428571</v>
      </c>
    </row>
    <row r="211" ht="15.75" customHeight="1">
      <c r="A211" s="34" t="s">
        <v>27</v>
      </c>
      <c r="B211" s="35">
        <f t="shared" si="6"/>
        <v>45136</v>
      </c>
      <c r="C211" s="36">
        <v>8.0</v>
      </c>
      <c r="D211" s="36"/>
      <c r="E211" s="36" t="s">
        <v>34</v>
      </c>
      <c r="F211" s="38"/>
      <c r="G211" s="31"/>
      <c r="I211" s="30"/>
      <c r="K211" s="30"/>
      <c r="M211" s="30"/>
      <c r="O211" s="28">
        <v>125.0</v>
      </c>
      <c r="Q211" s="29">
        <v>125.0</v>
      </c>
      <c r="S211" s="29">
        <v>30.0</v>
      </c>
      <c r="U211" s="29"/>
      <c r="W211" s="30"/>
      <c r="Y211" s="30"/>
      <c r="Z211" s="26"/>
      <c r="AA211" s="31"/>
      <c r="AC211" s="30"/>
      <c r="AE211" s="30"/>
      <c r="AG211" s="30"/>
      <c r="AI211" s="30"/>
      <c r="AK211" s="30"/>
      <c r="AL211" s="26"/>
      <c r="AM211" s="39">
        <f t="shared" si="1"/>
        <v>5097.2</v>
      </c>
      <c r="AN211" s="36">
        <f t="shared" si="2"/>
        <v>280</v>
      </c>
      <c r="AO211" s="36">
        <f t="shared" si="3"/>
        <v>0</v>
      </c>
      <c r="AP211" s="36">
        <f t="shared" si="4"/>
        <v>280</v>
      </c>
      <c r="AQ211" s="40">
        <f t="shared" si="5"/>
        <v>18.20428571</v>
      </c>
    </row>
    <row r="212" ht="15.75" customHeight="1">
      <c r="A212" s="46" t="s">
        <v>28</v>
      </c>
      <c r="B212" s="47">
        <f t="shared" si="6"/>
        <v>45137</v>
      </c>
      <c r="C212" s="49">
        <v>8.0</v>
      </c>
      <c r="D212" s="49"/>
      <c r="E212" s="49" t="s">
        <v>34</v>
      </c>
      <c r="F212" s="52"/>
      <c r="G212" s="67"/>
      <c r="H212" s="55"/>
      <c r="I212" s="65"/>
      <c r="J212" s="55"/>
      <c r="K212" s="65"/>
      <c r="L212" s="55"/>
      <c r="M212" s="65"/>
      <c r="N212" s="55"/>
      <c r="O212" s="61">
        <v>0.0</v>
      </c>
      <c r="P212" s="55"/>
      <c r="Q212" s="62">
        <v>0.0</v>
      </c>
      <c r="R212" s="55"/>
      <c r="S212" s="62">
        <v>0.0</v>
      </c>
      <c r="T212" s="55"/>
      <c r="U212" s="62"/>
      <c r="V212" s="55"/>
      <c r="W212" s="65"/>
      <c r="X212" s="55"/>
      <c r="Y212" s="65"/>
      <c r="Z212" s="58"/>
      <c r="AA212" s="67"/>
      <c r="AB212" s="55"/>
      <c r="AC212" s="65"/>
      <c r="AD212" s="55"/>
      <c r="AE212" s="65"/>
      <c r="AF212" s="55"/>
      <c r="AG212" s="65"/>
      <c r="AH212" s="55"/>
      <c r="AI212" s="65"/>
      <c r="AJ212" s="55"/>
      <c r="AK212" s="65"/>
      <c r="AL212" s="58"/>
      <c r="AM212" s="64">
        <f t="shared" si="1"/>
        <v>0</v>
      </c>
      <c r="AN212" s="49">
        <f t="shared" si="2"/>
        <v>0</v>
      </c>
      <c r="AO212" s="49">
        <f t="shared" si="3"/>
        <v>0</v>
      </c>
      <c r="AP212" s="49">
        <f t="shared" si="4"/>
        <v>0</v>
      </c>
      <c r="AQ212" s="66" t="str">
        <f t="shared" si="5"/>
        <v/>
      </c>
    </row>
    <row r="213" ht="15.75" customHeight="1">
      <c r="A213" s="18" t="s">
        <v>21</v>
      </c>
      <c r="B213" s="68">
        <f t="shared" si="6"/>
        <v>45138</v>
      </c>
      <c r="C213" s="20">
        <v>8.0</v>
      </c>
      <c r="D213" s="20"/>
      <c r="E213" s="20" t="s">
        <v>36</v>
      </c>
      <c r="F213" s="22"/>
      <c r="G213" s="31"/>
      <c r="I213" s="30"/>
      <c r="K213" s="30"/>
      <c r="M213" s="30"/>
      <c r="O213" s="28">
        <v>125.0</v>
      </c>
      <c r="Q213" s="29">
        <v>125.0</v>
      </c>
      <c r="S213" s="29">
        <v>30.0</v>
      </c>
      <c r="U213" s="29"/>
      <c r="W213" s="30"/>
      <c r="Y213" s="30"/>
      <c r="Z213" s="26"/>
      <c r="AA213" s="31"/>
      <c r="AC213" s="30"/>
      <c r="AE213" s="30"/>
      <c r="AG213" s="30"/>
      <c r="AI213" s="30"/>
      <c r="AK213" s="30"/>
      <c r="AL213" s="26"/>
      <c r="AM213" s="32">
        <f t="shared" si="1"/>
        <v>5097.2</v>
      </c>
      <c r="AN213" s="20">
        <f t="shared" si="2"/>
        <v>280</v>
      </c>
      <c r="AO213" s="20">
        <f t="shared" si="3"/>
        <v>0</v>
      </c>
      <c r="AP213" s="20">
        <f t="shared" si="4"/>
        <v>280</v>
      </c>
      <c r="AQ213" s="33">
        <f t="shared" si="5"/>
        <v>18.20428571</v>
      </c>
    </row>
    <row r="214" ht="15.75" customHeight="1">
      <c r="A214" s="34" t="s">
        <v>23</v>
      </c>
      <c r="B214" s="35">
        <f t="shared" si="6"/>
        <v>45139</v>
      </c>
      <c r="C214" s="36">
        <v>8.0</v>
      </c>
      <c r="D214" s="36"/>
      <c r="E214" s="36" t="s">
        <v>36</v>
      </c>
      <c r="F214" s="38"/>
      <c r="G214" s="31"/>
      <c r="I214" s="30"/>
      <c r="K214" s="30"/>
      <c r="M214" s="30"/>
      <c r="O214" s="28">
        <v>125.0</v>
      </c>
      <c r="Q214" s="29">
        <v>125.0</v>
      </c>
      <c r="S214" s="29">
        <v>30.0</v>
      </c>
      <c r="U214" s="29"/>
      <c r="W214" s="30"/>
      <c r="Y214" s="30"/>
      <c r="Z214" s="26"/>
      <c r="AA214" s="31"/>
      <c r="AC214" s="30"/>
      <c r="AE214" s="30"/>
      <c r="AG214" s="30"/>
      <c r="AI214" s="30"/>
      <c r="AK214" s="30"/>
      <c r="AL214" s="26"/>
      <c r="AM214" s="39">
        <f t="shared" si="1"/>
        <v>5097.2</v>
      </c>
      <c r="AN214" s="36">
        <f t="shared" si="2"/>
        <v>280</v>
      </c>
      <c r="AO214" s="36">
        <f t="shared" si="3"/>
        <v>0</v>
      </c>
      <c r="AP214" s="36">
        <f t="shared" si="4"/>
        <v>280</v>
      </c>
      <c r="AQ214" s="40">
        <f t="shared" si="5"/>
        <v>18.20428571</v>
      </c>
    </row>
    <row r="215" ht="15.75" customHeight="1">
      <c r="A215" s="34" t="s">
        <v>24</v>
      </c>
      <c r="B215" s="35">
        <f t="shared" si="6"/>
        <v>45140</v>
      </c>
      <c r="C215" s="36">
        <v>8.0</v>
      </c>
      <c r="D215" s="36"/>
      <c r="E215" s="36" t="s">
        <v>36</v>
      </c>
      <c r="F215" s="38"/>
      <c r="G215" s="31"/>
      <c r="I215" s="30"/>
      <c r="K215" s="30"/>
      <c r="M215" s="30"/>
      <c r="O215" s="28">
        <v>125.0</v>
      </c>
      <c r="Q215" s="29">
        <v>125.0</v>
      </c>
      <c r="S215" s="29">
        <v>30.0</v>
      </c>
      <c r="U215" s="29"/>
      <c r="W215" s="30"/>
      <c r="Y215" s="30"/>
      <c r="Z215" s="26"/>
      <c r="AA215" s="31"/>
      <c r="AC215" s="30"/>
      <c r="AE215" s="30"/>
      <c r="AG215" s="30"/>
      <c r="AI215" s="30"/>
      <c r="AK215" s="30"/>
      <c r="AL215" s="26"/>
      <c r="AM215" s="39">
        <f t="shared" si="1"/>
        <v>5097.2</v>
      </c>
      <c r="AN215" s="36">
        <f t="shared" si="2"/>
        <v>280</v>
      </c>
      <c r="AO215" s="36">
        <f t="shared" si="3"/>
        <v>0</v>
      </c>
      <c r="AP215" s="36">
        <f t="shared" si="4"/>
        <v>280</v>
      </c>
      <c r="AQ215" s="40">
        <f t="shared" si="5"/>
        <v>18.20428571</v>
      </c>
    </row>
    <row r="216" ht="15.75" customHeight="1">
      <c r="A216" s="34" t="s">
        <v>25</v>
      </c>
      <c r="B216" s="35">
        <f t="shared" si="6"/>
        <v>45141</v>
      </c>
      <c r="C216" s="36">
        <v>8.0</v>
      </c>
      <c r="D216" s="36"/>
      <c r="E216" s="36" t="s">
        <v>36</v>
      </c>
      <c r="F216" s="38"/>
      <c r="G216" s="31"/>
      <c r="I216" s="30"/>
      <c r="K216" s="30"/>
      <c r="M216" s="30"/>
      <c r="O216" s="28">
        <v>125.0</v>
      </c>
      <c r="Q216" s="29">
        <v>125.0</v>
      </c>
      <c r="S216" s="29">
        <v>30.0</v>
      </c>
      <c r="U216" s="29"/>
      <c r="W216" s="30"/>
      <c r="Y216" s="30"/>
      <c r="Z216" s="26"/>
      <c r="AA216" s="31"/>
      <c r="AC216" s="30"/>
      <c r="AE216" s="30"/>
      <c r="AG216" s="30"/>
      <c r="AI216" s="30"/>
      <c r="AK216" s="30"/>
      <c r="AL216" s="26"/>
      <c r="AM216" s="39">
        <f t="shared" si="1"/>
        <v>5097.2</v>
      </c>
      <c r="AN216" s="36">
        <f t="shared" si="2"/>
        <v>280</v>
      </c>
      <c r="AO216" s="36">
        <f t="shared" si="3"/>
        <v>0</v>
      </c>
      <c r="AP216" s="36">
        <f t="shared" si="4"/>
        <v>280</v>
      </c>
      <c r="AQ216" s="40">
        <f t="shared" si="5"/>
        <v>18.20428571</v>
      </c>
    </row>
    <row r="217" ht="15.75" customHeight="1">
      <c r="A217" s="34" t="s">
        <v>26</v>
      </c>
      <c r="B217" s="35">
        <f t="shared" si="6"/>
        <v>45142</v>
      </c>
      <c r="C217" s="36">
        <v>8.0</v>
      </c>
      <c r="D217" s="36"/>
      <c r="E217" s="36" t="s">
        <v>36</v>
      </c>
      <c r="F217" s="38"/>
      <c r="G217" s="31"/>
      <c r="I217" s="30"/>
      <c r="K217" s="30"/>
      <c r="M217" s="30"/>
      <c r="O217" s="28">
        <v>125.0</v>
      </c>
      <c r="Q217" s="29">
        <v>125.0</v>
      </c>
      <c r="S217" s="29">
        <v>30.0</v>
      </c>
      <c r="U217" s="29"/>
      <c r="W217" s="30"/>
      <c r="Y217" s="30"/>
      <c r="Z217" s="26"/>
      <c r="AA217" s="31"/>
      <c r="AC217" s="30"/>
      <c r="AE217" s="30"/>
      <c r="AG217" s="30"/>
      <c r="AI217" s="30"/>
      <c r="AK217" s="30"/>
      <c r="AL217" s="26"/>
      <c r="AM217" s="39">
        <f t="shared" si="1"/>
        <v>5097.2</v>
      </c>
      <c r="AN217" s="36">
        <f t="shared" si="2"/>
        <v>280</v>
      </c>
      <c r="AO217" s="36">
        <f t="shared" si="3"/>
        <v>0</v>
      </c>
      <c r="AP217" s="36">
        <f t="shared" si="4"/>
        <v>280</v>
      </c>
      <c r="AQ217" s="40">
        <f t="shared" si="5"/>
        <v>18.20428571</v>
      </c>
    </row>
    <row r="218" ht="15.75" customHeight="1">
      <c r="A218" s="34" t="s">
        <v>27</v>
      </c>
      <c r="B218" s="35">
        <f t="shared" si="6"/>
        <v>45143</v>
      </c>
      <c r="C218" s="36">
        <v>8.0</v>
      </c>
      <c r="D218" s="36"/>
      <c r="E218" s="36" t="s">
        <v>36</v>
      </c>
      <c r="F218" s="38"/>
      <c r="G218" s="31"/>
      <c r="I218" s="30"/>
      <c r="K218" s="30"/>
      <c r="M218" s="30"/>
      <c r="O218" s="28">
        <v>125.0</v>
      </c>
      <c r="Q218" s="29">
        <v>125.0</v>
      </c>
      <c r="S218" s="29">
        <v>30.0</v>
      </c>
      <c r="U218" s="29"/>
      <c r="W218" s="30"/>
      <c r="Y218" s="30"/>
      <c r="Z218" s="26"/>
      <c r="AA218" s="31"/>
      <c r="AC218" s="30"/>
      <c r="AE218" s="30"/>
      <c r="AG218" s="30"/>
      <c r="AI218" s="30"/>
      <c r="AK218" s="30"/>
      <c r="AL218" s="26"/>
      <c r="AM218" s="39">
        <f t="shared" si="1"/>
        <v>5097.2</v>
      </c>
      <c r="AN218" s="36">
        <f t="shared" si="2"/>
        <v>280</v>
      </c>
      <c r="AO218" s="36">
        <f t="shared" si="3"/>
        <v>0</v>
      </c>
      <c r="AP218" s="36">
        <f t="shared" si="4"/>
        <v>280</v>
      </c>
      <c r="AQ218" s="40">
        <f t="shared" si="5"/>
        <v>18.20428571</v>
      </c>
    </row>
    <row r="219" ht="15.75" customHeight="1">
      <c r="A219" s="46" t="s">
        <v>28</v>
      </c>
      <c r="B219" s="47">
        <f t="shared" si="6"/>
        <v>45144</v>
      </c>
      <c r="C219" s="49">
        <v>8.0</v>
      </c>
      <c r="D219" s="49"/>
      <c r="E219" s="49" t="s">
        <v>36</v>
      </c>
      <c r="F219" s="52"/>
      <c r="G219" s="67"/>
      <c r="H219" s="55"/>
      <c r="I219" s="65"/>
      <c r="J219" s="55"/>
      <c r="K219" s="65"/>
      <c r="L219" s="55"/>
      <c r="M219" s="65"/>
      <c r="N219" s="55"/>
      <c r="O219" s="61">
        <v>0.0</v>
      </c>
      <c r="P219" s="55"/>
      <c r="Q219" s="62">
        <v>0.0</v>
      </c>
      <c r="R219" s="55"/>
      <c r="S219" s="62">
        <v>0.0</v>
      </c>
      <c r="T219" s="55"/>
      <c r="U219" s="62"/>
      <c r="V219" s="55"/>
      <c r="W219" s="65"/>
      <c r="X219" s="55"/>
      <c r="Y219" s="65"/>
      <c r="Z219" s="58"/>
      <c r="AA219" s="67"/>
      <c r="AB219" s="55"/>
      <c r="AC219" s="65"/>
      <c r="AD219" s="55"/>
      <c r="AE219" s="65"/>
      <c r="AF219" s="55"/>
      <c r="AG219" s="65"/>
      <c r="AH219" s="55"/>
      <c r="AI219" s="65"/>
      <c r="AJ219" s="55"/>
      <c r="AK219" s="65"/>
      <c r="AL219" s="58"/>
      <c r="AM219" s="64">
        <f t="shared" si="1"/>
        <v>0</v>
      </c>
      <c r="AN219" s="49">
        <f t="shared" si="2"/>
        <v>0</v>
      </c>
      <c r="AO219" s="49">
        <f t="shared" si="3"/>
        <v>0</v>
      </c>
      <c r="AP219" s="49">
        <f t="shared" si="4"/>
        <v>0</v>
      </c>
      <c r="AQ219" s="66" t="str">
        <f t="shared" si="5"/>
        <v/>
      </c>
    </row>
    <row r="220" ht="15.75" customHeight="1">
      <c r="A220" s="18" t="s">
        <v>21</v>
      </c>
      <c r="B220" s="68">
        <f t="shared" si="6"/>
        <v>45145</v>
      </c>
      <c r="C220" s="20">
        <v>8.0</v>
      </c>
      <c r="D220" s="20"/>
      <c r="E220" s="20" t="s">
        <v>37</v>
      </c>
      <c r="F220" s="22"/>
      <c r="G220" s="31"/>
      <c r="I220" s="30"/>
      <c r="K220" s="30"/>
      <c r="M220" s="30"/>
      <c r="O220" s="28">
        <v>125.0</v>
      </c>
      <c r="Q220" s="29">
        <v>125.0</v>
      </c>
      <c r="S220" s="29">
        <v>30.0</v>
      </c>
      <c r="U220" s="29"/>
      <c r="W220" s="30"/>
      <c r="Y220" s="30"/>
      <c r="Z220" s="26"/>
      <c r="AA220" s="31"/>
      <c r="AC220" s="30"/>
      <c r="AE220" s="30"/>
      <c r="AG220" s="30"/>
      <c r="AI220" s="30"/>
      <c r="AK220" s="30"/>
      <c r="AL220" s="26"/>
      <c r="AM220" s="32">
        <f t="shared" si="1"/>
        <v>5097.2</v>
      </c>
      <c r="AN220" s="20">
        <f t="shared" si="2"/>
        <v>280</v>
      </c>
      <c r="AO220" s="20">
        <f t="shared" si="3"/>
        <v>0</v>
      </c>
      <c r="AP220" s="20">
        <f t="shared" si="4"/>
        <v>280</v>
      </c>
      <c r="AQ220" s="33">
        <f t="shared" si="5"/>
        <v>18.20428571</v>
      </c>
    </row>
    <row r="221" ht="15.75" customHeight="1">
      <c r="A221" s="34" t="s">
        <v>23</v>
      </c>
      <c r="B221" s="35">
        <f t="shared" si="6"/>
        <v>45146</v>
      </c>
      <c r="C221" s="36">
        <v>8.0</v>
      </c>
      <c r="D221" s="36"/>
      <c r="E221" s="36" t="s">
        <v>37</v>
      </c>
      <c r="F221" s="38"/>
      <c r="G221" s="31"/>
      <c r="I221" s="30"/>
      <c r="K221" s="30"/>
      <c r="M221" s="30"/>
      <c r="O221" s="28">
        <v>125.0</v>
      </c>
      <c r="Q221" s="29">
        <v>125.0</v>
      </c>
      <c r="S221" s="29">
        <v>30.0</v>
      </c>
      <c r="U221" s="29"/>
      <c r="W221" s="30"/>
      <c r="Y221" s="30"/>
      <c r="Z221" s="26"/>
      <c r="AA221" s="31"/>
      <c r="AC221" s="30"/>
      <c r="AE221" s="30"/>
      <c r="AG221" s="30"/>
      <c r="AI221" s="30"/>
      <c r="AK221" s="30"/>
      <c r="AL221" s="26"/>
      <c r="AM221" s="39">
        <f t="shared" si="1"/>
        <v>5097.2</v>
      </c>
      <c r="AN221" s="36">
        <f t="shared" si="2"/>
        <v>280</v>
      </c>
      <c r="AO221" s="36">
        <f t="shared" si="3"/>
        <v>0</v>
      </c>
      <c r="AP221" s="36">
        <f t="shared" si="4"/>
        <v>280</v>
      </c>
      <c r="AQ221" s="40">
        <f t="shared" si="5"/>
        <v>18.20428571</v>
      </c>
    </row>
    <row r="222" ht="15.75" customHeight="1">
      <c r="A222" s="34" t="s">
        <v>24</v>
      </c>
      <c r="B222" s="35">
        <f t="shared" si="6"/>
        <v>45147</v>
      </c>
      <c r="C222" s="36">
        <v>8.0</v>
      </c>
      <c r="D222" s="36"/>
      <c r="E222" s="36" t="s">
        <v>37</v>
      </c>
      <c r="F222" s="38"/>
      <c r="G222" s="31"/>
      <c r="I222" s="30"/>
      <c r="K222" s="30"/>
      <c r="M222" s="30"/>
      <c r="O222" s="28">
        <v>125.0</v>
      </c>
      <c r="Q222" s="29">
        <v>125.0</v>
      </c>
      <c r="S222" s="29">
        <v>30.0</v>
      </c>
      <c r="U222" s="29"/>
      <c r="W222" s="30"/>
      <c r="Y222" s="30"/>
      <c r="Z222" s="26"/>
      <c r="AA222" s="31"/>
      <c r="AC222" s="30"/>
      <c r="AE222" s="30"/>
      <c r="AG222" s="30"/>
      <c r="AI222" s="30"/>
      <c r="AK222" s="30"/>
      <c r="AL222" s="26"/>
      <c r="AM222" s="39">
        <f t="shared" si="1"/>
        <v>5097.2</v>
      </c>
      <c r="AN222" s="36">
        <f t="shared" si="2"/>
        <v>280</v>
      </c>
      <c r="AO222" s="36">
        <f t="shared" si="3"/>
        <v>0</v>
      </c>
      <c r="AP222" s="36">
        <f t="shared" si="4"/>
        <v>280</v>
      </c>
      <c r="AQ222" s="40">
        <f t="shared" si="5"/>
        <v>18.20428571</v>
      </c>
    </row>
    <row r="223" ht="15.75" customHeight="1">
      <c r="A223" s="34" t="s">
        <v>25</v>
      </c>
      <c r="B223" s="35">
        <f t="shared" si="6"/>
        <v>45148</v>
      </c>
      <c r="C223" s="36">
        <v>8.0</v>
      </c>
      <c r="D223" s="36"/>
      <c r="E223" s="36" t="s">
        <v>37</v>
      </c>
      <c r="F223" s="38"/>
      <c r="G223" s="31"/>
      <c r="I223" s="30"/>
      <c r="K223" s="30"/>
      <c r="M223" s="30"/>
      <c r="O223" s="28">
        <v>125.0</v>
      </c>
      <c r="Q223" s="29">
        <v>125.0</v>
      </c>
      <c r="S223" s="29">
        <v>30.0</v>
      </c>
      <c r="U223" s="29"/>
      <c r="W223" s="30"/>
      <c r="Y223" s="30"/>
      <c r="Z223" s="26"/>
      <c r="AA223" s="31"/>
      <c r="AC223" s="30"/>
      <c r="AE223" s="30"/>
      <c r="AG223" s="30"/>
      <c r="AI223" s="30"/>
      <c r="AK223" s="30"/>
      <c r="AL223" s="26"/>
      <c r="AM223" s="39">
        <f t="shared" si="1"/>
        <v>5097.2</v>
      </c>
      <c r="AN223" s="36">
        <f t="shared" si="2"/>
        <v>280</v>
      </c>
      <c r="AO223" s="36">
        <f t="shared" si="3"/>
        <v>0</v>
      </c>
      <c r="AP223" s="36">
        <f t="shared" si="4"/>
        <v>280</v>
      </c>
      <c r="AQ223" s="40">
        <f t="shared" si="5"/>
        <v>18.20428571</v>
      </c>
    </row>
    <row r="224" ht="15.75" customHeight="1">
      <c r="A224" s="34" t="s">
        <v>26</v>
      </c>
      <c r="B224" s="35">
        <f t="shared" si="6"/>
        <v>45149</v>
      </c>
      <c r="C224" s="36">
        <v>8.0</v>
      </c>
      <c r="D224" s="36"/>
      <c r="E224" s="36" t="s">
        <v>37</v>
      </c>
      <c r="F224" s="38"/>
      <c r="G224" s="31"/>
      <c r="I224" s="30"/>
      <c r="K224" s="30"/>
      <c r="M224" s="30"/>
      <c r="O224" s="28">
        <v>125.0</v>
      </c>
      <c r="Q224" s="29">
        <v>125.0</v>
      </c>
      <c r="S224" s="29">
        <v>30.0</v>
      </c>
      <c r="U224" s="29"/>
      <c r="W224" s="30"/>
      <c r="Y224" s="30"/>
      <c r="Z224" s="26"/>
      <c r="AA224" s="31"/>
      <c r="AC224" s="30"/>
      <c r="AE224" s="30"/>
      <c r="AG224" s="30"/>
      <c r="AI224" s="30"/>
      <c r="AK224" s="30"/>
      <c r="AL224" s="26"/>
      <c r="AM224" s="39">
        <f t="shared" si="1"/>
        <v>5097.2</v>
      </c>
      <c r="AN224" s="36">
        <f t="shared" si="2"/>
        <v>280</v>
      </c>
      <c r="AO224" s="36">
        <f t="shared" si="3"/>
        <v>0</v>
      </c>
      <c r="AP224" s="36">
        <f t="shared" si="4"/>
        <v>280</v>
      </c>
      <c r="AQ224" s="40">
        <f t="shared" si="5"/>
        <v>18.20428571</v>
      </c>
    </row>
    <row r="225" ht="15.75" customHeight="1">
      <c r="A225" s="34" t="s">
        <v>27</v>
      </c>
      <c r="B225" s="35">
        <f t="shared" si="6"/>
        <v>45150</v>
      </c>
      <c r="C225" s="36">
        <v>8.0</v>
      </c>
      <c r="D225" s="36"/>
      <c r="E225" s="36" t="s">
        <v>37</v>
      </c>
      <c r="F225" s="38"/>
      <c r="G225" s="31"/>
      <c r="I225" s="30"/>
      <c r="K225" s="30"/>
      <c r="M225" s="30"/>
      <c r="O225" s="28">
        <v>125.0</v>
      </c>
      <c r="Q225" s="29">
        <v>125.0</v>
      </c>
      <c r="S225" s="29">
        <v>30.0</v>
      </c>
      <c r="U225" s="29"/>
      <c r="W225" s="30"/>
      <c r="Y225" s="30"/>
      <c r="Z225" s="26"/>
      <c r="AA225" s="31"/>
      <c r="AC225" s="30"/>
      <c r="AE225" s="30"/>
      <c r="AG225" s="30"/>
      <c r="AI225" s="30"/>
      <c r="AK225" s="30"/>
      <c r="AL225" s="26"/>
      <c r="AM225" s="39">
        <f t="shared" si="1"/>
        <v>5097.2</v>
      </c>
      <c r="AN225" s="36">
        <f t="shared" si="2"/>
        <v>280</v>
      </c>
      <c r="AO225" s="36">
        <f t="shared" si="3"/>
        <v>0</v>
      </c>
      <c r="AP225" s="36">
        <f t="shared" si="4"/>
        <v>280</v>
      </c>
      <c r="AQ225" s="40">
        <f t="shared" si="5"/>
        <v>18.20428571</v>
      </c>
    </row>
    <row r="226" ht="15.75" customHeight="1">
      <c r="A226" s="46" t="s">
        <v>28</v>
      </c>
      <c r="B226" s="47">
        <f t="shared" si="6"/>
        <v>45151</v>
      </c>
      <c r="C226" s="49">
        <v>8.0</v>
      </c>
      <c r="D226" s="49"/>
      <c r="E226" s="49" t="s">
        <v>37</v>
      </c>
      <c r="F226" s="52"/>
      <c r="G226" s="67"/>
      <c r="H226" s="55"/>
      <c r="I226" s="65"/>
      <c r="J226" s="55"/>
      <c r="K226" s="65"/>
      <c r="L226" s="55"/>
      <c r="M226" s="65"/>
      <c r="N226" s="55"/>
      <c r="O226" s="61">
        <v>0.0</v>
      </c>
      <c r="P226" s="55"/>
      <c r="Q226" s="62">
        <v>0.0</v>
      </c>
      <c r="R226" s="55"/>
      <c r="S226" s="62">
        <v>0.0</v>
      </c>
      <c r="T226" s="55"/>
      <c r="U226" s="62"/>
      <c r="V226" s="55"/>
      <c r="W226" s="65"/>
      <c r="X226" s="55"/>
      <c r="Y226" s="65"/>
      <c r="Z226" s="58"/>
      <c r="AA226" s="67"/>
      <c r="AB226" s="55"/>
      <c r="AC226" s="65"/>
      <c r="AD226" s="55"/>
      <c r="AE226" s="65"/>
      <c r="AF226" s="55"/>
      <c r="AG226" s="65"/>
      <c r="AH226" s="55"/>
      <c r="AI226" s="65"/>
      <c r="AJ226" s="55"/>
      <c r="AK226" s="65"/>
      <c r="AL226" s="58"/>
      <c r="AM226" s="64">
        <f t="shared" si="1"/>
        <v>0</v>
      </c>
      <c r="AN226" s="49">
        <f t="shared" si="2"/>
        <v>0</v>
      </c>
      <c r="AO226" s="49">
        <f t="shared" si="3"/>
        <v>0</v>
      </c>
      <c r="AP226" s="49">
        <f t="shared" si="4"/>
        <v>0</v>
      </c>
      <c r="AQ226" s="66" t="str">
        <f t="shared" si="5"/>
        <v/>
      </c>
    </row>
    <row r="227" ht="15.75" customHeight="1">
      <c r="A227" s="18" t="s">
        <v>21</v>
      </c>
      <c r="B227" s="68">
        <f t="shared" si="6"/>
        <v>45152</v>
      </c>
      <c r="C227" s="20">
        <v>9.0</v>
      </c>
      <c r="D227" s="20"/>
      <c r="E227" s="20" t="s">
        <v>22</v>
      </c>
      <c r="F227" s="22"/>
      <c r="G227" s="31"/>
      <c r="I227" s="30"/>
      <c r="K227" s="30"/>
      <c r="M227" s="30"/>
      <c r="O227" s="28">
        <v>125.0</v>
      </c>
      <c r="Q227" s="29">
        <v>125.0</v>
      </c>
      <c r="S227" s="29">
        <v>30.0</v>
      </c>
      <c r="U227" s="29"/>
      <c r="W227" s="30"/>
      <c r="Y227" s="30"/>
      <c r="Z227" s="26"/>
      <c r="AA227" s="31"/>
      <c r="AC227" s="30"/>
      <c r="AE227" s="30"/>
      <c r="AG227" s="30"/>
      <c r="AI227" s="30"/>
      <c r="AK227" s="30"/>
      <c r="AL227" s="26"/>
      <c r="AM227" s="32">
        <f t="shared" si="1"/>
        <v>5097.2</v>
      </c>
      <c r="AN227" s="20">
        <f t="shared" si="2"/>
        <v>280</v>
      </c>
      <c r="AO227" s="20">
        <f t="shared" si="3"/>
        <v>0</v>
      </c>
      <c r="AP227" s="20">
        <f t="shared" si="4"/>
        <v>280</v>
      </c>
      <c r="AQ227" s="33">
        <f t="shared" si="5"/>
        <v>18.20428571</v>
      </c>
    </row>
    <row r="228" ht="15.75" customHeight="1">
      <c r="A228" s="34" t="s">
        <v>23</v>
      </c>
      <c r="B228" s="35">
        <f t="shared" si="6"/>
        <v>45153</v>
      </c>
      <c r="C228" s="36">
        <v>9.0</v>
      </c>
      <c r="D228" s="36"/>
      <c r="E228" s="36" t="s">
        <v>22</v>
      </c>
      <c r="F228" s="38"/>
      <c r="G228" s="31"/>
      <c r="I228" s="30"/>
      <c r="K228" s="30"/>
      <c r="M228" s="30"/>
      <c r="O228" s="28">
        <v>125.0</v>
      </c>
      <c r="Q228" s="29">
        <v>125.0</v>
      </c>
      <c r="S228" s="29">
        <v>30.0</v>
      </c>
      <c r="U228" s="29"/>
      <c r="W228" s="30"/>
      <c r="Y228" s="30"/>
      <c r="Z228" s="26"/>
      <c r="AA228" s="31"/>
      <c r="AC228" s="30"/>
      <c r="AE228" s="30"/>
      <c r="AG228" s="30"/>
      <c r="AI228" s="30"/>
      <c r="AK228" s="30"/>
      <c r="AL228" s="26"/>
      <c r="AM228" s="39">
        <f t="shared" si="1"/>
        <v>5097.2</v>
      </c>
      <c r="AN228" s="36">
        <f t="shared" si="2"/>
        <v>280</v>
      </c>
      <c r="AO228" s="36">
        <f t="shared" si="3"/>
        <v>0</v>
      </c>
      <c r="AP228" s="36">
        <f t="shared" si="4"/>
        <v>280</v>
      </c>
      <c r="AQ228" s="40">
        <f t="shared" si="5"/>
        <v>18.20428571</v>
      </c>
    </row>
    <row r="229" ht="15.75" customHeight="1">
      <c r="A229" s="34" t="s">
        <v>24</v>
      </c>
      <c r="B229" s="35">
        <f t="shared" si="6"/>
        <v>45154</v>
      </c>
      <c r="C229" s="36">
        <v>9.0</v>
      </c>
      <c r="D229" s="36"/>
      <c r="E229" s="36" t="s">
        <v>22</v>
      </c>
      <c r="F229" s="38"/>
      <c r="G229" s="31"/>
      <c r="I229" s="30"/>
      <c r="K229" s="30"/>
      <c r="M229" s="30"/>
      <c r="O229" s="28">
        <v>125.0</v>
      </c>
      <c r="Q229" s="29">
        <v>125.0</v>
      </c>
      <c r="S229" s="29">
        <v>30.0</v>
      </c>
      <c r="U229" s="29"/>
      <c r="W229" s="30"/>
      <c r="Y229" s="30"/>
      <c r="Z229" s="26"/>
      <c r="AA229" s="31"/>
      <c r="AC229" s="30"/>
      <c r="AE229" s="30"/>
      <c r="AG229" s="30"/>
      <c r="AI229" s="30"/>
      <c r="AK229" s="30"/>
      <c r="AL229" s="26"/>
      <c r="AM229" s="39">
        <f t="shared" si="1"/>
        <v>5097.2</v>
      </c>
      <c r="AN229" s="36">
        <f t="shared" si="2"/>
        <v>280</v>
      </c>
      <c r="AO229" s="36">
        <f t="shared" si="3"/>
        <v>0</v>
      </c>
      <c r="AP229" s="36">
        <f t="shared" si="4"/>
        <v>280</v>
      </c>
      <c r="AQ229" s="40">
        <f t="shared" si="5"/>
        <v>18.20428571</v>
      </c>
    </row>
    <row r="230" ht="15.75" customHeight="1">
      <c r="A230" s="34" t="s">
        <v>25</v>
      </c>
      <c r="B230" s="35">
        <f t="shared" si="6"/>
        <v>45155</v>
      </c>
      <c r="C230" s="36">
        <v>9.0</v>
      </c>
      <c r="D230" s="36"/>
      <c r="E230" s="36" t="s">
        <v>22</v>
      </c>
      <c r="F230" s="38"/>
      <c r="G230" s="31"/>
      <c r="I230" s="30"/>
      <c r="K230" s="30"/>
      <c r="M230" s="30"/>
      <c r="O230" s="28">
        <v>125.0</v>
      </c>
      <c r="Q230" s="29">
        <v>125.0</v>
      </c>
      <c r="S230" s="29">
        <v>30.0</v>
      </c>
      <c r="U230" s="29"/>
      <c r="W230" s="30"/>
      <c r="Y230" s="30"/>
      <c r="Z230" s="26"/>
      <c r="AA230" s="31"/>
      <c r="AC230" s="30"/>
      <c r="AE230" s="30"/>
      <c r="AG230" s="30"/>
      <c r="AI230" s="30"/>
      <c r="AK230" s="30"/>
      <c r="AL230" s="26"/>
      <c r="AM230" s="39">
        <f t="shared" si="1"/>
        <v>5097.2</v>
      </c>
      <c r="AN230" s="36">
        <f t="shared" si="2"/>
        <v>280</v>
      </c>
      <c r="AO230" s="36">
        <f t="shared" si="3"/>
        <v>0</v>
      </c>
      <c r="AP230" s="36">
        <f t="shared" si="4"/>
        <v>280</v>
      </c>
      <c r="AQ230" s="40">
        <f t="shared" si="5"/>
        <v>18.20428571</v>
      </c>
    </row>
    <row r="231" ht="15.75" customHeight="1">
      <c r="A231" s="34" t="s">
        <v>26</v>
      </c>
      <c r="B231" s="35">
        <f t="shared" si="6"/>
        <v>45156</v>
      </c>
      <c r="C231" s="36">
        <v>9.0</v>
      </c>
      <c r="D231" s="36"/>
      <c r="E231" s="36" t="s">
        <v>22</v>
      </c>
      <c r="F231" s="38"/>
      <c r="G231" s="31"/>
      <c r="I231" s="30"/>
      <c r="K231" s="30"/>
      <c r="M231" s="30"/>
      <c r="O231" s="28">
        <v>125.0</v>
      </c>
      <c r="Q231" s="29">
        <v>125.0</v>
      </c>
      <c r="S231" s="29">
        <v>30.0</v>
      </c>
      <c r="U231" s="29"/>
      <c r="W231" s="30"/>
      <c r="Y231" s="30"/>
      <c r="Z231" s="26"/>
      <c r="AA231" s="31"/>
      <c r="AC231" s="30"/>
      <c r="AE231" s="30"/>
      <c r="AG231" s="30"/>
      <c r="AI231" s="30"/>
      <c r="AK231" s="30"/>
      <c r="AL231" s="26"/>
      <c r="AM231" s="39">
        <f t="shared" si="1"/>
        <v>5097.2</v>
      </c>
      <c r="AN231" s="36">
        <f t="shared" si="2"/>
        <v>280</v>
      </c>
      <c r="AO231" s="36">
        <f t="shared" si="3"/>
        <v>0</v>
      </c>
      <c r="AP231" s="36">
        <f t="shared" si="4"/>
        <v>280</v>
      </c>
      <c r="AQ231" s="40">
        <f t="shared" si="5"/>
        <v>18.20428571</v>
      </c>
    </row>
    <row r="232" ht="15.75" customHeight="1">
      <c r="A232" s="34" t="s">
        <v>27</v>
      </c>
      <c r="B232" s="35">
        <f t="shared" si="6"/>
        <v>45157</v>
      </c>
      <c r="C232" s="36">
        <v>9.0</v>
      </c>
      <c r="D232" s="36"/>
      <c r="E232" s="36" t="s">
        <v>22</v>
      </c>
      <c r="F232" s="38"/>
      <c r="G232" s="31"/>
      <c r="I232" s="30"/>
      <c r="K232" s="30"/>
      <c r="M232" s="30"/>
      <c r="O232" s="28">
        <v>125.0</v>
      </c>
      <c r="Q232" s="29">
        <v>125.0</v>
      </c>
      <c r="S232" s="29">
        <v>30.0</v>
      </c>
      <c r="U232" s="29"/>
      <c r="W232" s="30"/>
      <c r="Y232" s="30"/>
      <c r="Z232" s="26"/>
      <c r="AA232" s="31"/>
      <c r="AC232" s="30"/>
      <c r="AE232" s="30"/>
      <c r="AG232" s="30"/>
      <c r="AI232" s="30"/>
      <c r="AK232" s="30"/>
      <c r="AL232" s="26"/>
      <c r="AM232" s="39">
        <f t="shared" si="1"/>
        <v>5097.2</v>
      </c>
      <c r="AN232" s="36">
        <f t="shared" si="2"/>
        <v>280</v>
      </c>
      <c r="AO232" s="36">
        <f t="shared" si="3"/>
        <v>0</v>
      </c>
      <c r="AP232" s="36">
        <f t="shared" si="4"/>
        <v>280</v>
      </c>
      <c r="AQ232" s="40">
        <f t="shared" si="5"/>
        <v>18.20428571</v>
      </c>
    </row>
    <row r="233" ht="15.75" customHeight="1">
      <c r="A233" s="46" t="s">
        <v>28</v>
      </c>
      <c r="B233" s="47">
        <f t="shared" si="6"/>
        <v>45158</v>
      </c>
      <c r="C233" s="49">
        <v>9.0</v>
      </c>
      <c r="D233" s="49"/>
      <c r="E233" s="49" t="s">
        <v>22</v>
      </c>
      <c r="F233" s="52"/>
      <c r="G233" s="67"/>
      <c r="H233" s="55"/>
      <c r="I233" s="65"/>
      <c r="J233" s="55"/>
      <c r="K233" s="65"/>
      <c r="L233" s="55"/>
      <c r="M233" s="65"/>
      <c r="N233" s="55"/>
      <c r="O233" s="61">
        <v>0.0</v>
      </c>
      <c r="P233" s="55"/>
      <c r="Q233" s="62">
        <v>0.0</v>
      </c>
      <c r="R233" s="55"/>
      <c r="S233" s="62">
        <v>0.0</v>
      </c>
      <c r="T233" s="55"/>
      <c r="U233" s="62"/>
      <c r="V233" s="55"/>
      <c r="W233" s="65"/>
      <c r="X233" s="55"/>
      <c r="Y233" s="65"/>
      <c r="Z233" s="58"/>
      <c r="AA233" s="67"/>
      <c r="AB233" s="55"/>
      <c r="AC233" s="65"/>
      <c r="AD233" s="55"/>
      <c r="AE233" s="65"/>
      <c r="AF233" s="55"/>
      <c r="AG233" s="65"/>
      <c r="AH233" s="55"/>
      <c r="AI233" s="65"/>
      <c r="AJ233" s="55"/>
      <c r="AK233" s="65"/>
      <c r="AL233" s="58"/>
      <c r="AM233" s="64">
        <f t="shared" si="1"/>
        <v>0</v>
      </c>
      <c r="AN233" s="49">
        <f t="shared" si="2"/>
        <v>0</v>
      </c>
      <c r="AO233" s="49">
        <f t="shared" si="3"/>
        <v>0</v>
      </c>
      <c r="AP233" s="49">
        <f t="shared" si="4"/>
        <v>0</v>
      </c>
      <c r="AQ233" s="66" t="str">
        <f t="shared" si="5"/>
        <v/>
      </c>
    </row>
    <row r="234" ht="15.75" customHeight="1">
      <c r="A234" s="18" t="s">
        <v>21</v>
      </c>
      <c r="B234" s="68">
        <f t="shared" si="6"/>
        <v>45159</v>
      </c>
      <c r="C234" s="20">
        <v>9.0</v>
      </c>
      <c r="D234" s="20"/>
      <c r="E234" s="20" t="s">
        <v>34</v>
      </c>
      <c r="F234" s="22"/>
      <c r="G234" s="31"/>
      <c r="I234" s="30"/>
      <c r="K234" s="30"/>
      <c r="M234" s="30"/>
      <c r="O234" s="28">
        <v>125.0</v>
      </c>
      <c r="Q234" s="29">
        <v>125.0</v>
      </c>
      <c r="S234" s="29">
        <v>30.0</v>
      </c>
      <c r="U234" s="29"/>
      <c r="W234" s="30"/>
      <c r="Y234" s="30"/>
      <c r="Z234" s="26"/>
      <c r="AA234" s="31"/>
      <c r="AC234" s="30"/>
      <c r="AE234" s="30"/>
      <c r="AG234" s="30"/>
      <c r="AI234" s="30"/>
      <c r="AK234" s="30"/>
      <c r="AL234" s="26"/>
      <c r="AM234" s="32">
        <f t="shared" si="1"/>
        <v>5097.2</v>
      </c>
      <c r="AN234" s="20">
        <f t="shared" si="2"/>
        <v>280</v>
      </c>
      <c r="AO234" s="20">
        <f t="shared" si="3"/>
        <v>0</v>
      </c>
      <c r="AP234" s="20">
        <f t="shared" si="4"/>
        <v>280</v>
      </c>
      <c r="AQ234" s="33">
        <f t="shared" si="5"/>
        <v>18.20428571</v>
      </c>
    </row>
    <row r="235" ht="15.75" customHeight="1">
      <c r="A235" s="34" t="s">
        <v>23</v>
      </c>
      <c r="B235" s="35">
        <f t="shared" si="6"/>
        <v>45160</v>
      </c>
      <c r="C235" s="36">
        <v>9.0</v>
      </c>
      <c r="D235" s="36"/>
      <c r="E235" s="36" t="s">
        <v>34</v>
      </c>
      <c r="F235" s="38"/>
      <c r="G235" s="31"/>
      <c r="I235" s="30"/>
      <c r="K235" s="30"/>
      <c r="M235" s="30"/>
      <c r="O235" s="28">
        <v>125.0</v>
      </c>
      <c r="Q235" s="29">
        <v>125.0</v>
      </c>
      <c r="S235" s="29">
        <v>30.0</v>
      </c>
      <c r="U235" s="29"/>
      <c r="W235" s="30"/>
      <c r="Y235" s="30"/>
      <c r="Z235" s="26"/>
      <c r="AA235" s="31"/>
      <c r="AC235" s="30"/>
      <c r="AE235" s="30"/>
      <c r="AG235" s="30"/>
      <c r="AI235" s="30"/>
      <c r="AK235" s="30"/>
      <c r="AL235" s="26"/>
      <c r="AM235" s="39">
        <f t="shared" si="1"/>
        <v>5097.2</v>
      </c>
      <c r="AN235" s="36">
        <f t="shared" si="2"/>
        <v>280</v>
      </c>
      <c r="AO235" s="36">
        <f t="shared" si="3"/>
        <v>0</v>
      </c>
      <c r="AP235" s="36">
        <f t="shared" si="4"/>
        <v>280</v>
      </c>
      <c r="AQ235" s="40">
        <f t="shared" si="5"/>
        <v>18.20428571</v>
      </c>
    </row>
    <row r="236" ht="15.75" customHeight="1">
      <c r="A236" s="34" t="s">
        <v>24</v>
      </c>
      <c r="B236" s="35">
        <f t="shared" si="6"/>
        <v>45161</v>
      </c>
      <c r="C236" s="36">
        <v>9.0</v>
      </c>
      <c r="D236" s="36"/>
      <c r="E236" s="36" t="s">
        <v>34</v>
      </c>
      <c r="F236" s="38"/>
      <c r="G236" s="31"/>
      <c r="I236" s="30"/>
      <c r="K236" s="30"/>
      <c r="M236" s="30"/>
      <c r="O236" s="28">
        <v>125.0</v>
      </c>
      <c r="Q236" s="29">
        <v>125.0</v>
      </c>
      <c r="S236" s="29">
        <v>30.0</v>
      </c>
      <c r="U236" s="29"/>
      <c r="W236" s="30"/>
      <c r="Y236" s="30"/>
      <c r="Z236" s="26"/>
      <c r="AA236" s="31"/>
      <c r="AC236" s="30"/>
      <c r="AE236" s="30"/>
      <c r="AG236" s="30"/>
      <c r="AI236" s="30"/>
      <c r="AK236" s="30"/>
      <c r="AL236" s="26"/>
      <c r="AM236" s="39">
        <f t="shared" si="1"/>
        <v>5097.2</v>
      </c>
      <c r="AN236" s="36">
        <f t="shared" si="2"/>
        <v>280</v>
      </c>
      <c r="AO236" s="36">
        <f t="shared" si="3"/>
        <v>0</v>
      </c>
      <c r="AP236" s="36">
        <f t="shared" si="4"/>
        <v>280</v>
      </c>
      <c r="AQ236" s="40">
        <f t="shared" si="5"/>
        <v>18.20428571</v>
      </c>
    </row>
    <row r="237" ht="15.75" customHeight="1">
      <c r="A237" s="34" t="s">
        <v>25</v>
      </c>
      <c r="B237" s="35">
        <f t="shared" si="6"/>
        <v>45162</v>
      </c>
      <c r="C237" s="36">
        <v>9.0</v>
      </c>
      <c r="D237" s="36"/>
      <c r="E237" s="36" t="s">
        <v>34</v>
      </c>
      <c r="F237" s="38"/>
      <c r="G237" s="31"/>
      <c r="I237" s="30"/>
      <c r="K237" s="30"/>
      <c r="M237" s="30"/>
      <c r="O237" s="28">
        <v>125.0</v>
      </c>
      <c r="Q237" s="29">
        <v>125.0</v>
      </c>
      <c r="S237" s="29">
        <v>30.0</v>
      </c>
      <c r="U237" s="29"/>
      <c r="W237" s="30"/>
      <c r="Y237" s="30"/>
      <c r="Z237" s="26"/>
      <c r="AA237" s="31"/>
      <c r="AC237" s="30"/>
      <c r="AE237" s="30"/>
      <c r="AG237" s="30"/>
      <c r="AI237" s="30"/>
      <c r="AK237" s="30"/>
      <c r="AL237" s="26"/>
      <c r="AM237" s="39">
        <f t="shared" si="1"/>
        <v>5097.2</v>
      </c>
      <c r="AN237" s="36">
        <f t="shared" si="2"/>
        <v>280</v>
      </c>
      <c r="AO237" s="36">
        <f t="shared" si="3"/>
        <v>0</v>
      </c>
      <c r="AP237" s="36">
        <f t="shared" si="4"/>
        <v>280</v>
      </c>
      <c r="AQ237" s="40">
        <f t="shared" si="5"/>
        <v>18.20428571</v>
      </c>
    </row>
    <row r="238" ht="15.75" customHeight="1">
      <c r="A238" s="34" t="s">
        <v>26</v>
      </c>
      <c r="B238" s="35">
        <f t="shared" si="6"/>
        <v>45163</v>
      </c>
      <c r="C238" s="36">
        <v>9.0</v>
      </c>
      <c r="D238" s="36"/>
      <c r="E238" s="36" t="s">
        <v>34</v>
      </c>
      <c r="F238" s="38"/>
      <c r="G238" s="31"/>
      <c r="I238" s="30"/>
      <c r="K238" s="30"/>
      <c r="M238" s="30"/>
      <c r="O238" s="28">
        <v>125.0</v>
      </c>
      <c r="Q238" s="29">
        <v>125.0</v>
      </c>
      <c r="S238" s="29">
        <v>30.0</v>
      </c>
      <c r="U238" s="29"/>
      <c r="W238" s="30"/>
      <c r="Y238" s="30"/>
      <c r="Z238" s="26"/>
      <c r="AA238" s="31"/>
      <c r="AC238" s="30"/>
      <c r="AE238" s="30"/>
      <c r="AG238" s="30"/>
      <c r="AI238" s="30"/>
      <c r="AK238" s="30"/>
      <c r="AL238" s="26"/>
      <c r="AM238" s="39">
        <f t="shared" si="1"/>
        <v>5097.2</v>
      </c>
      <c r="AN238" s="36">
        <f t="shared" si="2"/>
        <v>280</v>
      </c>
      <c r="AO238" s="36">
        <f t="shared" si="3"/>
        <v>0</v>
      </c>
      <c r="AP238" s="36">
        <f t="shared" si="4"/>
        <v>280</v>
      </c>
      <c r="AQ238" s="40">
        <f t="shared" si="5"/>
        <v>18.20428571</v>
      </c>
    </row>
    <row r="239" ht="15.75" customHeight="1">
      <c r="A239" s="34" t="s">
        <v>27</v>
      </c>
      <c r="B239" s="35">
        <f t="shared" si="6"/>
        <v>45164</v>
      </c>
      <c r="C239" s="36">
        <v>9.0</v>
      </c>
      <c r="D239" s="36"/>
      <c r="E239" s="36" t="s">
        <v>34</v>
      </c>
      <c r="F239" s="38"/>
      <c r="G239" s="31"/>
      <c r="I239" s="30"/>
      <c r="K239" s="30"/>
      <c r="M239" s="30"/>
      <c r="O239" s="28">
        <v>125.0</v>
      </c>
      <c r="Q239" s="29">
        <v>125.0</v>
      </c>
      <c r="S239" s="29">
        <v>30.0</v>
      </c>
      <c r="U239" s="29"/>
      <c r="W239" s="30"/>
      <c r="Y239" s="30"/>
      <c r="Z239" s="26"/>
      <c r="AA239" s="31"/>
      <c r="AC239" s="30"/>
      <c r="AE239" s="30"/>
      <c r="AG239" s="30"/>
      <c r="AI239" s="30"/>
      <c r="AK239" s="30"/>
      <c r="AL239" s="26"/>
      <c r="AM239" s="39">
        <f t="shared" si="1"/>
        <v>5097.2</v>
      </c>
      <c r="AN239" s="36">
        <f t="shared" si="2"/>
        <v>280</v>
      </c>
      <c r="AO239" s="36">
        <f t="shared" si="3"/>
        <v>0</v>
      </c>
      <c r="AP239" s="36">
        <f t="shared" si="4"/>
        <v>280</v>
      </c>
      <c r="AQ239" s="40">
        <f t="shared" si="5"/>
        <v>18.20428571</v>
      </c>
    </row>
    <row r="240" ht="15.75" customHeight="1">
      <c r="A240" s="46" t="s">
        <v>28</v>
      </c>
      <c r="B240" s="47">
        <f t="shared" si="6"/>
        <v>45165</v>
      </c>
      <c r="C240" s="49">
        <v>9.0</v>
      </c>
      <c r="D240" s="49"/>
      <c r="E240" s="49" t="s">
        <v>34</v>
      </c>
      <c r="F240" s="52"/>
      <c r="G240" s="67"/>
      <c r="H240" s="55"/>
      <c r="I240" s="65"/>
      <c r="J240" s="55"/>
      <c r="K240" s="65"/>
      <c r="L240" s="55"/>
      <c r="M240" s="65"/>
      <c r="N240" s="55"/>
      <c r="O240" s="61">
        <v>0.0</v>
      </c>
      <c r="P240" s="55"/>
      <c r="Q240" s="62">
        <v>0.0</v>
      </c>
      <c r="R240" s="55"/>
      <c r="S240" s="62">
        <v>0.0</v>
      </c>
      <c r="T240" s="55"/>
      <c r="U240" s="62"/>
      <c r="V240" s="55"/>
      <c r="W240" s="65"/>
      <c r="X240" s="55"/>
      <c r="Y240" s="65"/>
      <c r="Z240" s="58"/>
      <c r="AA240" s="67"/>
      <c r="AB240" s="55"/>
      <c r="AC240" s="65"/>
      <c r="AD240" s="55"/>
      <c r="AE240" s="65"/>
      <c r="AF240" s="55"/>
      <c r="AG240" s="65"/>
      <c r="AH240" s="55"/>
      <c r="AI240" s="65"/>
      <c r="AJ240" s="55"/>
      <c r="AK240" s="65"/>
      <c r="AL240" s="58"/>
      <c r="AM240" s="64">
        <f t="shared" si="1"/>
        <v>0</v>
      </c>
      <c r="AN240" s="49">
        <f t="shared" si="2"/>
        <v>0</v>
      </c>
      <c r="AO240" s="49">
        <f t="shared" si="3"/>
        <v>0</v>
      </c>
      <c r="AP240" s="49">
        <f t="shared" si="4"/>
        <v>0</v>
      </c>
      <c r="AQ240" s="66" t="str">
        <f t="shared" si="5"/>
        <v/>
      </c>
    </row>
    <row r="241" ht="15.75" customHeight="1">
      <c r="A241" s="18" t="s">
        <v>21</v>
      </c>
      <c r="B241" s="68">
        <f t="shared" si="6"/>
        <v>45166</v>
      </c>
      <c r="C241" s="20">
        <v>9.0</v>
      </c>
      <c r="D241" s="20"/>
      <c r="E241" s="20" t="s">
        <v>36</v>
      </c>
      <c r="F241" s="22"/>
      <c r="G241" s="31"/>
      <c r="I241" s="30"/>
      <c r="K241" s="30"/>
      <c r="M241" s="30"/>
      <c r="O241" s="28">
        <v>125.0</v>
      </c>
      <c r="Q241" s="29">
        <v>125.0</v>
      </c>
      <c r="S241" s="29">
        <v>30.0</v>
      </c>
      <c r="U241" s="29"/>
      <c r="W241" s="30"/>
      <c r="Y241" s="30"/>
      <c r="Z241" s="26"/>
      <c r="AA241" s="31"/>
      <c r="AC241" s="30"/>
      <c r="AE241" s="30"/>
      <c r="AG241" s="30"/>
      <c r="AI241" s="30"/>
      <c r="AK241" s="30"/>
      <c r="AL241" s="26"/>
      <c r="AM241" s="32">
        <f t="shared" si="1"/>
        <v>5097.2</v>
      </c>
      <c r="AN241" s="20">
        <f t="shared" si="2"/>
        <v>280</v>
      </c>
      <c r="AO241" s="20">
        <f t="shared" si="3"/>
        <v>0</v>
      </c>
      <c r="AP241" s="20">
        <f t="shared" si="4"/>
        <v>280</v>
      </c>
      <c r="AQ241" s="33">
        <f t="shared" si="5"/>
        <v>18.20428571</v>
      </c>
    </row>
    <row r="242" ht="15.75" customHeight="1">
      <c r="A242" s="34" t="s">
        <v>23</v>
      </c>
      <c r="B242" s="35">
        <f t="shared" si="6"/>
        <v>45167</v>
      </c>
      <c r="C242" s="36">
        <v>9.0</v>
      </c>
      <c r="D242" s="36"/>
      <c r="E242" s="36" t="s">
        <v>36</v>
      </c>
      <c r="F242" s="38"/>
      <c r="G242" s="31"/>
      <c r="I242" s="30"/>
      <c r="K242" s="30"/>
      <c r="M242" s="30"/>
      <c r="O242" s="28">
        <v>125.0</v>
      </c>
      <c r="Q242" s="29">
        <v>125.0</v>
      </c>
      <c r="S242" s="29">
        <v>30.0</v>
      </c>
      <c r="U242" s="29"/>
      <c r="W242" s="30"/>
      <c r="Y242" s="30"/>
      <c r="Z242" s="26"/>
      <c r="AA242" s="31"/>
      <c r="AC242" s="30"/>
      <c r="AE242" s="30"/>
      <c r="AG242" s="30"/>
      <c r="AI242" s="30"/>
      <c r="AK242" s="30"/>
      <c r="AL242" s="26"/>
      <c r="AM242" s="39">
        <f t="shared" si="1"/>
        <v>5097.2</v>
      </c>
      <c r="AN242" s="36">
        <f t="shared" si="2"/>
        <v>280</v>
      </c>
      <c r="AO242" s="36">
        <f t="shared" si="3"/>
        <v>0</v>
      </c>
      <c r="AP242" s="36">
        <f t="shared" si="4"/>
        <v>280</v>
      </c>
      <c r="AQ242" s="40">
        <f t="shared" si="5"/>
        <v>18.20428571</v>
      </c>
    </row>
    <row r="243" ht="15.75" customHeight="1">
      <c r="A243" s="34" t="s">
        <v>24</v>
      </c>
      <c r="B243" s="35">
        <f t="shared" si="6"/>
        <v>45168</v>
      </c>
      <c r="C243" s="36">
        <v>9.0</v>
      </c>
      <c r="D243" s="36"/>
      <c r="E243" s="36" t="s">
        <v>36</v>
      </c>
      <c r="F243" s="38"/>
      <c r="G243" s="31"/>
      <c r="I243" s="30"/>
      <c r="K243" s="30"/>
      <c r="M243" s="30"/>
      <c r="O243" s="28">
        <v>125.0</v>
      </c>
      <c r="Q243" s="29">
        <v>125.0</v>
      </c>
      <c r="S243" s="29">
        <v>30.0</v>
      </c>
      <c r="U243" s="29"/>
      <c r="W243" s="30"/>
      <c r="Y243" s="30"/>
      <c r="Z243" s="26"/>
      <c r="AA243" s="31"/>
      <c r="AC243" s="30"/>
      <c r="AE243" s="30"/>
      <c r="AG243" s="30"/>
      <c r="AI243" s="30"/>
      <c r="AK243" s="30"/>
      <c r="AL243" s="26"/>
      <c r="AM243" s="39">
        <f t="shared" si="1"/>
        <v>5097.2</v>
      </c>
      <c r="AN243" s="36">
        <f t="shared" si="2"/>
        <v>280</v>
      </c>
      <c r="AO243" s="36">
        <f t="shared" si="3"/>
        <v>0</v>
      </c>
      <c r="AP243" s="36">
        <f t="shared" si="4"/>
        <v>280</v>
      </c>
      <c r="AQ243" s="40">
        <f t="shared" si="5"/>
        <v>18.20428571</v>
      </c>
    </row>
    <row r="244" ht="15.75" customHeight="1">
      <c r="A244" s="34" t="s">
        <v>25</v>
      </c>
      <c r="B244" s="35">
        <f t="shared" si="6"/>
        <v>45169</v>
      </c>
      <c r="C244" s="36">
        <v>9.0</v>
      </c>
      <c r="D244" s="36"/>
      <c r="E244" s="36" t="s">
        <v>36</v>
      </c>
      <c r="F244" s="38"/>
      <c r="G244" s="31"/>
      <c r="I244" s="30"/>
      <c r="K244" s="30"/>
      <c r="M244" s="30"/>
      <c r="O244" s="28">
        <v>125.0</v>
      </c>
      <c r="Q244" s="29">
        <v>125.0</v>
      </c>
      <c r="S244" s="29">
        <v>30.0</v>
      </c>
      <c r="U244" s="29"/>
      <c r="W244" s="30"/>
      <c r="Y244" s="30"/>
      <c r="Z244" s="26"/>
      <c r="AA244" s="31"/>
      <c r="AC244" s="30"/>
      <c r="AE244" s="30"/>
      <c r="AG244" s="30"/>
      <c r="AI244" s="30"/>
      <c r="AK244" s="30"/>
      <c r="AL244" s="26"/>
      <c r="AM244" s="39">
        <f t="shared" si="1"/>
        <v>5097.2</v>
      </c>
      <c r="AN244" s="36">
        <f t="shared" si="2"/>
        <v>280</v>
      </c>
      <c r="AO244" s="36">
        <f t="shared" si="3"/>
        <v>0</v>
      </c>
      <c r="AP244" s="36">
        <f t="shared" si="4"/>
        <v>280</v>
      </c>
      <c r="AQ244" s="40">
        <f t="shared" si="5"/>
        <v>18.20428571</v>
      </c>
    </row>
    <row r="245" ht="15.75" customHeight="1">
      <c r="A245" s="34" t="s">
        <v>26</v>
      </c>
      <c r="B245" s="35">
        <f t="shared" si="6"/>
        <v>45170</v>
      </c>
      <c r="C245" s="36">
        <v>9.0</v>
      </c>
      <c r="D245" s="36"/>
      <c r="E245" s="36" t="s">
        <v>36</v>
      </c>
      <c r="F245" s="38"/>
      <c r="G245" s="31"/>
      <c r="I245" s="30"/>
      <c r="K245" s="30"/>
      <c r="M245" s="30"/>
      <c r="O245" s="28">
        <v>125.0</v>
      </c>
      <c r="Q245" s="29">
        <v>125.0</v>
      </c>
      <c r="S245" s="29">
        <v>30.0</v>
      </c>
      <c r="U245" s="29"/>
      <c r="W245" s="30"/>
      <c r="Y245" s="30"/>
      <c r="Z245" s="26"/>
      <c r="AA245" s="31"/>
      <c r="AC245" s="30"/>
      <c r="AE245" s="30"/>
      <c r="AG245" s="30"/>
      <c r="AI245" s="30"/>
      <c r="AK245" s="30"/>
      <c r="AL245" s="26"/>
      <c r="AM245" s="39">
        <f t="shared" si="1"/>
        <v>5097.2</v>
      </c>
      <c r="AN245" s="36">
        <f t="shared" si="2"/>
        <v>280</v>
      </c>
      <c r="AO245" s="36">
        <f t="shared" si="3"/>
        <v>0</v>
      </c>
      <c r="AP245" s="36">
        <f t="shared" si="4"/>
        <v>280</v>
      </c>
      <c r="AQ245" s="40">
        <f t="shared" si="5"/>
        <v>18.20428571</v>
      </c>
    </row>
    <row r="246" ht="15.75" customHeight="1">
      <c r="A246" s="34" t="s">
        <v>27</v>
      </c>
      <c r="B246" s="35">
        <f t="shared" si="6"/>
        <v>45171</v>
      </c>
      <c r="C246" s="36">
        <v>9.0</v>
      </c>
      <c r="D246" s="36"/>
      <c r="E246" s="36" t="s">
        <v>36</v>
      </c>
      <c r="F246" s="38"/>
      <c r="G246" s="31"/>
      <c r="I246" s="30"/>
      <c r="K246" s="30"/>
      <c r="M246" s="30"/>
      <c r="O246" s="28">
        <v>125.0</v>
      </c>
      <c r="Q246" s="29">
        <v>125.0</v>
      </c>
      <c r="S246" s="29">
        <v>30.0</v>
      </c>
      <c r="U246" s="29"/>
      <c r="W246" s="30"/>
      <c r="Y246" s="30"/>
      <c r="Z246" s="26"/>
      <c r="AA246" s="31"/>
      <c r="AC246" s="30"/>
      <c r="AE246" s="30"/>
      <c r="AG246" s="30"/>
      <c r="AI246" s="30"/>
      <c r="AK246" s="30"/>
      <c r="AL246" s="26"/>
      <c r="AM246" s="39">
        <f t="shared" si="1"/>
        <v>5097.2</v>
      </c>
      <c r="AN246" s="36">
        <f t="shared" si="2"/>
        <v>280</v>
      </c>
      <c r="AO246" s="36">
        <f t="shared" si="3"/>
        <v>0</v>
      </c>
      <c r="AP246" s="36">
        <f t="shared" si="4"/>
        <v>280</v>
      </c>
      <c r="AQ246" s="40">
        <f t="shared" si="5"/>
        <v>18.20428571</v>
      </c>
    </row>
    <row r="247" ht="15.75" customHeight="1">
      <c r="A247" s="46" t="s">
        <v>28</v>
      </c>
      <c r="B247" s="47">
        <f t="shared" si="6"/>
        <v>45172</v>
      </c>
      <c r="C247" s="49">
        <v>9.0</v>
      </c>
      <c r="D247" s="49"/>
      <c r="E247" s="49" t="s">
        <v>36</v>
      </c>
      <c r="F247" s="52"/>
      <c r="G247" s="67"/>
      <c r="H247" s="55"/>
      <c r="I247" s="65"/>
      <c r="J247" s="55"/>
      <c r="K247" s="65"/>
      <c r="L247" s="55"/>
      <c r="M247" s="65"/>
      <c r="N247" s="55"/>
      <c r="O247" s="61">
        <v>0.0</v>
      </c>
      <c r="P247" s="55"/>
      <c r="Q247" s="62">
        <v>0.0</v>
      </c>
      <c r="R247" s="55"/>
      <c r="S247" s="62">
        <v>0.0</v>
      </c>
      <c r="T247" s="55"/>
      <c r="U247" s="62"/>
      <c r="V247" s="55"/>
      <c r="W247" s="65"/>
      <c r="X247" s="55"/>
      <c r="Y247" s="65"/>
      <c r="Z247" s="58"/>
      <c r="AA247" s="67"/>
      <c r="AB247" s="55"/>
      <c r="AC247" s="65"/>
      <c r="AD247" s="55"/>
      <c r="AE247" s="65"/>
      <c r="AF247" s="55"/>
      <c r="AG247" s="65"/>
      <c r="AH247" s="55"/>
      <c r="AI247" s="65"/>
      <c r="AJ247" s="55"/>
      <c r="AK247" s="65"/>
      <c r="AL247" s="58"/>
      <c r="AM247" s="64">
        <f t="shared" si="1"/>
        <v>0</v>
      </c>
      <c r="AN247" s="49">
        <f t="shared" si="2"/>
        <v>0</v>
      </c>
      <c r="AO247" s="49">
        <f t="shared" si="3"/>
        <v>0</v>
      </c>
      <c r="AP247" s="49">
        <f t="shared" si="4"/>
        <v>0</v>
      </c>
      <c r="AQ247" s="66" t="str">
        <f t="shared" si="5"/>
        <v/>
      </c>
    </row>
    <row r="248" ht="15.75" customHeight="1">
      <c r="A248" s="18" t="s">
        <v>21</v>
      </c>
      <c r="B248" s="68">
        <f t="shared" si="6"/>
        <v>45173</v>
      </c>
      <c r="C248" s="20">
        <v>9.0</v>
      </c>
      <c r="D248" s="20"/>
      <c r="E248" s="20" t="s">
        <v>37</v>
      </c>
      <c r="F248" s="22"/>
      <c r="G248" s="31"/>
      <c r="I248" s="30"/>
      <c r="K248" s="30"/>
      <c r="M248" s="30"/>
      <c r="O248" s="28">
        <v>20.0</v>
      </c>
      <c r="Q248" s="29">
        <v>20.0</v>
      </c>
      <c r="S248" s="29">
        <v>0.0</v>
      </c>
      <c r="U248" s="29"/>
      <c r="W248" s="30"/>
      <c r="Y248" s="30"/>
      <c r="Z248" s="26"/>
      <c r="AA248" s="31"/>
      <c r="AC248" s="30"/>
      <c r="AE248" s="30"/>
      <c r="AG248" s="30"/>
      <c r="AI248" s="30"/>
      <c r="AK248" s="30"/>
      <c r="AL248" s="26"/>
      <c r="AM248" s="32">
        <f t="shared" si="1"/>
        <v>720.8</v>
      </c>
      <c r="AN248" s="20">
        <f t="shared" si="2"/>
        <v>40</v>
      </c>
      <c r="AO248" s="20">
        <f t="shared" si="3"/>
        <v>0</v>
      </c>
      <c r="AP248" s="20">
        <f t="shared" si="4"/>
        <v>40</v>
      </c>
      <c r="AQ248" s="33">
        <f t="shared" si="5"/>
        <v>18.02</v>
      </c>
    </row>
    <row r="249" ht="15.75" customHeight="1">
      <c r="A249" s="34" t="s">
        <v>23</v>
      </c>
      <c r="B249" s="35">
        <f t="shared" si="6"/>
        <v>45174</v>
      </c>
      <c r="C249" s="36">
        <v>9.0</v>
      </c>
      <c r="D249" s="36"/>
      <c r="E249" s="36" t="s">
        <v>37</v>
      </c>
      <c r="F249" s="38"/>
      <c r="G249" s="31"/>
      <c r="I249" s="30"/>
      <c r="K249" s="30"/>
      <c r="M249" s="30"/>
      <c r="O249" s="28">
        <v>20.0</v>
      </c>
      <c r="Q249" s="29">
        <v>20.0</v>
      </c>
      <c r="S249" s="29">
        <v>0.0</v>
      </c>
      <c r="U249" s="29"/>
      <c r="W249" s="30"/>
      <c r="Y249" s="30"/>
      <c r="Z249" s="26"/>
      <c r="AA249" s="31"/>
      <c r="AC249" s="30"/>
      <c r="AE249" s="30"/>
      <c r="AG249" s="30"/>
      <c r="AI249" s="30"/>
      <c r="AK249" s="30"/>
      <c r="AL249" s="26"/>
      <c r="AM249" s="39">
        <f t="shared" si="1"/>
        <v>720.8</v>
      </c>
      <c r="AN249" s="36">
        <f t="shared" si="2"/>
        <v>40</v>
      </c>
      <c r="AO249" s="36">
        <f t="shared" si="3"/>
        <v>0</v>
      </c>
      <c r="AP249" s="36">
        <f t="shared" si="4"/>
        <v>40</v>
      </c>
      <c r="AQ249" s="40">
        <f t="shared" si="5"/>
        <v>18.02</v>
      </c>
    </row>
    <row r="250" ht="15.75" customHeight="1">
      <c r="A250" s="34" t="s">
        <v>24</v>
      </c>
      <c r="B250" s="35">
        <f t="shared" si="6"/>
        <v>45175</v>
      </c>
      <c r="C250" s="36">
        <v>9.0</v>
      </c>
      <c r="D250" s="36"/>
      <c r="E250" s="36" t="s">
        <v>37</v>
      </c>
      <c r="F250" s="38"/>
      <c r="G250" s="31"/>
      <c r="I250" s="30"/>
      <c r="K250" s="30"/>
      <c r="M250" s="30"/>
      <c r="O250" s="28">
        <v>20.0</v>
      </c>
      <c r="Q250" s="29">
        <v>20.0</v>
      </c>
      <c r="S250" s="29">
        <v>0.0</v>
      </c>
      <c r="U250" s="29"/>
      <c r="W250" s="30"/>
      <c r="Y250" s="30"/>
      <c r="Z250" s="26"/>
      <c r="AA250" s="31"/>
      <c r="AC250" s="30"/>
      <c r="AE250" s="30"/>
      <c r="AG250" s="30"/>
      <c r="AI250" s="30"/>
      <c r="AK250" s="30"/>
      <c r="AL250" s="26"/>
      <c r="AM250" s="39">
        <f t="shared" si="1"/>
        <v>720.8</v>
      </c>
      <c r="AN250" s="36">
        <f t="shared" si="2"/>
        <v>40</v>
      </c>
      <c r="AO250" s="36">
        <f t="shared" si="3"/>
        <v>0</v>
      </c>
      <c r="AP250" s="36">
        <f t="shared" si="4"/>
        <v>40</v>
      </c>
      <c r="AQ250" s="40">
        <f t="shared" si="5"/>
        <v>18.02</v>
      </c>
    </row>
    <row r="251" ht="15.75" customHeight="1">
      <c r="A251" s="34" t="s">
        <v>25</v>
      </c>
      <c r="B251" s="35">
        <f t="shared" si="6"/>
        <v>45176</v>
      </c>
      <c r="C251" s="36">
        <v>9.0</v>
      </c>
      <c r="D251" s="36"/>
      <c r="E251" s="36" t="s">
        <v>37</v>
      </c>
      <c r="F251" s="38"/>
      <c r="G251" s="31"/>
      <c r="I251" s="30"/>
      <c r="K251" s="30"/>
      <c r="M251" s="30"/>
      <c r="O251" s="28">
        <v>20.0</v>
      </c>
      <c r="Q251" s="29">
        <v>20.0</v>
      </c>
      <c r="S251" s="29">
        <v>0.0</v>
      </c>
      <c r="U251" s="29"/>
      <c r="W251" s="30"/>
      <c r="Y251" s="30"/>
      <c r="Z251" s="26"/>
      <c r="AA251" s="31"/>
      <c r="AC251" s="30"/>
      <c r="AE251" s="30"/>
      <c r="AG251" s="30"/>
      <c r="AI251" s="30"/>
      <c r="AK251" s="30"/>
      <c r="AL251" s="26"/>
      <c r="AM251" s="39">
        <f t="shared" si="1"/>
        <v>720.8</v>
      </c>
      <c r="AN251" s="36">
        <f t="shared" si="2"/>
        <v>40</v>
      </c>
      <c r="AO251" s="36">
        <f t="shared" si="3"/>
        <v>0</v>
      </c>
      <c r="AP251" s="36">
        <f t="shared" si="4"/>
        <v>40</v>
      </c>
      <c r="AQ251" s="40">
        <f t="shared" si="5"/>
        <v>18.02</v>
      </c>
    </row>
    <row r="252" ht="15.75" customHeight="1">
      <c r="A252" s="34" t="s">
        <v>26</v>
      </c>
      <c r="B252" s="35">
        <f t="shared" si="6"/>
        <v>45177</v>
      </c>
      <c r="C252" s="36">
        <v>9.0</v>
      </c>
      <c r="D252" s="36"/>
      <c r="E252" s="36" t="s">
        <v>37</v>
      </c>
      <c r="F252" s="38"/>
      <c r="G252" s="31"/>
      <c r="I252" s="30"/>
      <c r="K252" s="30"/>
      <c r="M252" s="30"/>
      <c r="O252" s="28">
        <v>20.0</v>
      </c>
      <c r="Q252" s="29">
        <v>20.0</v>
      </c>
      <c r="S252" s="29">
        <v>0.0</v>
      </c>
      <c r="U252" s="29"/>
      <c r="W252" s="30"/>
      <c r="Y252" s="30"/>
      <c r="Z252" s="26"/>
      <c r="AA252" s="31"/>
      <c r="AC252" s="30"/>
      <c r="AE252" s="30"/>
      <c r="AG252" s="30"/>
      <c r="AI252" s="30"/>
      <c r="AK252" s="30"/>
      <c r="AL252" s="26"/>
      <c r="AM252" s="39">
        <f t="shared" si="1"/>
        <v>720.8</v>
      </c>
      <c r="AN252" s="36">
        <f t="shared" si="2"/>
        <v>40</v>
      </c>
      <c r="AO252" s="36">
        <f t="shared" si="3"/>
        <v>0</v>
      </c>
      <c r="AP252" s="36">
        <f t="shared" si="4"/>
        <v>40</v>
      </c>
      <c r="AQ252" s="40">
        <f t="shared" si="5"/>
        <v>18.02</v>
      </c>
    </row>
    <row r="253" ht="15.75" customHeight="1">
      <c r="A253" s="34" t="s">
        <v>27</v>
      </c>
      <c r="B253" s="35">
        <f t="shared" si="6"/>
        <v>45178</v>
      </c>
      <c r="C253" s="36">
        <v>9.0</v>
      </c>
      <c r="D253" s="36"/>
      <c r="E253" s="36" t="s">
        <v>37</v>
      </c>
      <c r="F253" s="38"/>
      <c r="G253" s="31"/>
      <c r="I253" s="30"/>
      <c r="K253" s="30"/>
      <c r="M253" s="30"/>
      <c r="O253" s="28">
        <v>0.0</v>
      </c>
      <c r="Q253" s="29">
        <v>0.0</v>
      </c>
      <c r="S253" s="29">
        <v>0.0</v>
      </c>
      <c r="U253" s="29"/>
      <c r="W253" s="30"/>
      <c r="Y253" s="30"/>
      <c r="Z253" s="26"/>
      <c r="AA253" s="31"/>
      <c r="AC253" s="30"/>
      <c r="AE253" s="30"/>
      <c r="AG253" s="30"/>
      <c r="AI253" s="30"/>
      <c r="AK253" s="30"/>
      <c r="AL253" s="26"/>
      <c r="AM253" s="39">
        <f t="shared" si="1"/>
        <v>0</v>
      </c>
      <c r="AN253" s="36">
        <f t="shared" si="2"/>
        <v>0</v>
      </c>
      <c r="AO253" s="36">
        <f t="shared" si="3"/>
        <v>0</v>
      </c>
      <c r="AP253" s="36">
        <f t="shared" si="4"/>
        <v>0</v>
      </c>
      <c r="AQ253" s="40" t="str">
        <f t="shared" si="5"/>
        <v/>
      </c>
    </row>
    <row r="254" ht="15.75" customHeight="1">
      <c r="A254" s="46" t="s">
        <v>28</v>
      </c>
      <c r="B254" s="47">
        <f t="shared" si="6"/>
        <v>45179</v>
      </c>
      <c r="C254" s="49">
        <v>9.0</v>
      </c>
      <c r="D254" s="49"/>
      <c r="E254" s="49" t="s">
        <v>37</v>
      </c>
      <c r="F254" s="52"/>
      <c r="G254" s="67"/>
      <c r="H254" s="55"/>
      <c r="I254" s="65"/>
      <c r="J254" s="55"/>
      <c r="K254" s="65"/>
      <c r="L254" s="55"/>
      <c r="M254" s="65"/>
      <c r="N254" s="55"/>
      <c r="O254" s="61">
        <v>0.0</v>
      </c>
      <c r="P254" s="55"/>
      <c r="Q254" s="62">
        <v>0.0</v>
      </c>
      <c r="R254" s="55"/>
      <c r="S254" s="62">
        <v>0.0</v>
      </c>
      <c r="T254" s="55"/>
      <c r="U254" s="62"/>
      <c r="V254" s="55"/>
      <c r="W254" s="65"/>
      <c r="X254" s="55"/>
      <c r="Y254" s="65"/>
      <c r="Z254" s="58"/>
      <c r="AA254" s="67"/>
      <c r="AB254" s="55"/>
      <c r="AC254" s="65"/>
      <c r="AD254" s="55"/>
      <c r="AE254" s="65"/>
      <c r="AF254" s="55"/>
      <c r="AG254" s="65"/>
      <c r="AH254" s="55"/>
      <c r="AI254" s="65"/>
      <c r="AJ254" s="55"/>
      <c r="AK254" s="65"/>
      <c r="AL254" s="58"/>
      <c r="AM254" s="64">
        <f t="shared" si="1"/>
        <v>0</v>
      </c>
      <c r="AN254" s="49">
        <f t="shared" si="2"/>
        <v>0</v>
      </c>
      <c r="AO254" s="49">
        <f t="shared" si="3"/>
        <v>0</v>
      </c>
      <c r="AP254" s="49">
        <f t="shared" si="4"/>
        <v>0</v>
      </c>
      <c r="AQ254" s="66" t="str">
        <f t="shared" si="5"/>
        <v/>
      </c>
    </row>
    <row r="255" ht="15.75" customHeight="1">
      <c r="A255" s="18" t="s">
        <v>21</v>
      </c>
      <c r="B255" s="68">
        <f t="shared" si="6"/>
        <v>45180</v>
      </c>
      <c r="C255" s="20">
        <v>10.0</v>
      </c>
      <c r="D255" s="20"/>
      <c r="E255" s="20" t="s">
        <v>22</v>
      </c>
      <c r="F255" s="22"/>
      <c r="G255" s="31"/>
      <c r="I255" s="30"/>
      <c r="K255" s="30"/>
      <c r="M255" s="30"/>
      <c r="O255" s="28">
        <v>110.0</v>
      </c>
      <c r="Q255" s="29">
        <v>110.0</v>
      </c>
      <c r="S255" s="29">
        <v>0.0</v>
      </c>
      <c r="U255" s="29"/>
      <c r="W255" s="30"/>
      <c r="Y255" s="30"/>
      <c r="Z255" s="26"/>
      <c r="AA255" s="31"/>
      <c r="AC255" s="30"/>
      <c r="AE255" s="30"/>
      <c r="AG255" s="30"/>
      <c r="AI255" s="30"/>
      <c r="AK255" s="30"/>
      <c r="AL255" s="26"/>
      <c r="AM255" s="32">
        <f t="shared" si="1"/>
        <v>3964.4</v>
      </c>
      <c r="AN255" s="20">
        <f t="shared" si="2"/>
        <v>220</v>
      </c>
      <c r="AO255" s="20">
        <f t="shared" si="3"/>
        <v>0</v>
      </c>
      <c r="AP255" s="20">
        <f t="shared" si="4"/>
        <v>220</v>
      </c>
      <c r="AQ255" s="33">
        <f t="shared" si="5"/>
        <v>18.02</v>
      </c>
    </row>
    <row r="256" ht="15.75" customHeight="1">
      <c r="A256" s="34" t="s">
        <v>23</v>
      </c>
      <c r="B256" s="35">
        <f t="shared" si="6"/>
        <v>45181</v>
      </c>
      <c r="C256" s="36">
        <v>10.0</v>
      </c>
      <c r="D256" s="36"/>
      <c r="E256" s="36" t="s">
        <v>22</v>
      </c>
      <c r="F256" s="38"/>
      <c r="G256" s="31"/>
      <c r="I256" s="30"/>
      <c r="K256" s="30"/>
      <c r="M256" s="30"/>
      <c r="O256" s="28">
        <v>110.0</v>
      </c>
      <c r="Q256" s="29">
        <v>110.0</v>
      </c>
      <c r="S256" s="29">
        <v>0.0</v>
      </c>
      <c r="U256" s="29"/>
      <c r="W256" s="30"/>
      <c r="Y256" s="30"/>
      <c r="Z256" s="26"/>
      <c r="AA256" s="31"/>
      <c r="AC256" s="30"/>
      <c r="AE256" s="30"/>
      <c r="AG256" s="30"/>
      <c r="AI256" s="30"/>
      <c r="AK256" s="30"/>
      <c r="AL256" s="26"/>
      <c r="AM256" s="39">
        <f t="shared" si="1"/>
        <v>3964.4</v>
      </c>
      <c r="AN256" s="36">
        <f t="shared" si="2"/>
        <v>220</v>
      </c>
      <c r="AO256" s="36">
        <f t="shared" si="3"/>
        <v>0</v>
      </c>
      <c r="AP256" s="36">
        <f t="shared" si="4"/>
        <v>220</v>
      </c>
      <c r="AQ256" s="40">
        <f t="shared" si="5"/>
        <v>18.02</v>
      </c>
    </row>
    <row r="257" ht="15.75" customHeight="1">
      <c r="A257" s="34" t="s">
        <v>24</v>
      </c>
      <c r="B257" s="35">
        <f t="shared" si="6"/>
        <v>45182</v>
      </c>
      <c r="C257" s="36">
        <v>10.0</v>
      </c>
      <c r="D257" s="36"/>
      <c r="E257" s="36" t="s">
        <v>22</v>
      </c>
      <c r="F257" s="38"/>
      <c r="G257" s="31"/>
      <c r="I257" s="30"/>
      <c r="K257" s="30"/>
      <c r="M257" s="30"/>
      <c r="O257" s="28">
        <v>110.0</v>
      </c>
      <c r="Q257" s="29">
        <v>110.0</v>
      </c>
      <c r="S257" s="29">
        <v>0.0</v>
      </c>
      <c r="U257" s="29"/>
      <c r="W257" s="30"/>
      <c r="Y257" s="30"/>
      <c r="Z257" s="26"/>
      <c r="AA257" s="31"/>
      <c r="AC257" s="30"/>
      <c r="AE257" s="30"/>
      <c r="AG257" s="30"/>
      <c r="AI257" s="30"/>
      <c r="AK257" s="30"/>
      <c r="AL257" s="26"/>
      <c r="AM257" s="39">
        <f t="shared" si="1"/>
        <v>3964.4</v>
      </c>
      <c r="AN257" s="36">
        <f t="shared" si="2"/>
        <v>220</v>
      </c>
      <c r="AO257" s="36">
        <f t="shared" si="3"/>
        <v>0</v>
      </c>
      <c r="AP257" s="36">
        <f t="shared" si="4"/>
        <v>220</v>
      </c>
      <c r="AQ257" s="40">
        <f t="shared" si="5"/>
        <v>18.02</v>
      </c>
    </row>
    <row r="258" ht="15.75" customHeight="1">
      <c r="A258" s="34" t="s">
        <v>25</v>
      </c>
      <c r="B258" s="35">
        <f t="shared" si="6"/>
        <v>45183</v>
      </c>
      <c r="C258" s="36">
        <v>10.0</v>
      </c>
      <c r="D258" s="36"/>
      <c r="E258" s="36" t="s">
        <v>22</v>
      </c>
      <c r="F258" s="38"/>
      <c r="G258" s="31"/>
      <c r="I258" s="30"/>
      <c r="K258" s="30"/>
      <c r="M258" s="30"/>
      <c r="O258" s="28">
        <v>110.0</v>
      </c>
      <c r="Q258" s="29">
        <v>110.0</v>
      </c>
      <c r="S258" s="29">
        <v>0.0</v>
      </c>
      <c r="U258" s="29"/>
      <c r="W258" s="30"/>
      <c r="Y258" s="30"/>
      <c r="Z258" s="26"/>
      <c r="AA258" s="31"/>
      <c r="AC258" s="30"/>
      <c r="AE258" s="30"/>
      <c r="AG258" s="30"/>
      <c r="AI258" s="30"/>
      <c r="AK258" s="30"/>
      <c r="AL258" s="26"/>
      <c r="AM258" s="39">
        <f t="shared" si="1"/>
        <v>3964.4</v>
      </c>
      <c r="AN258" s="36">
        <f t="shared" si="2"/>
        <v>220</v>
      </c>
      <c r="AO258" s="36">
        <f t="shared" si="3"/>
        <v>0</v>
      </c>
      <c r="AP258" s="36">
        <f t="shared" si="4"/>
        <v>220</v>
      </c>
      <c r="AQ258" s="40">
        <f t="shared" si="5"/>
        <v>18.02</v>
      </c>
    </row>
    <row r="259" ht="15.75" customHeight="1">
      <c r="A259" s="34" t="s">
        <v>26</v>
      </c>
      <c r="B259" s="35">
        <f t="shared" si="6"/>
        <v>45184</v>
      </c>
      <c r="C259" s="36">
        <v>10.0</v>
      </c>
      <c r="D259" s="36"/>
      <c r="E259" s="36" t="s">
        <v>22</v>
      </c>
      <c r="F259" s="38"/>
      <c r="G259" s="31"/>
      <c r="I259" s="30"/>
      <c r="K259" s="30"/>
      <c r="M259" s="30"/>
      <c r="O259" s="28">
        <v>110.0</v>
      </c>
      <c r="Q259" s="29">
        <v>110.0</v>
      </c>
      <c r="S259" s="29">
        <v>0.0</v>
      </c>
      <c r="U259" s="29"/>
      <c r="W259" s="30"/>
      <c r="Y259" s="30"/>
      <c r="Z259" s="26"/>
      <c r="AA259" s="31"/>
      <c r="AC259" s="30"/>
      <c r="AE259" s="30"/>
      <c r="AG259" s="30"/>
      <c r="AI259" s="30"/>
      <c r="AK259" s="30"/>
      <c r="AL259" s="26"/>
      <c r="AM259" s="39">
        <f t="shared" si="1"/>
        <v>3964.4</v>
      </c>
      <c r="AN259" s="36">
        <f t="shared" si="2"/>
        <v>220</v>
      </c>
      <c r="AO259" s="36">
        <f t="shared" si="3"/>
        <v>0</v>
      </c>
      <c r="AP259" s="36">
        <f t="shared" si="4"/>
        <v>220</v>
      </c>
      <c r="AQ259" s="40">
        <f t="shared" si="5"/>
        <v>18.02</v>
      </c>
    </row>
    <row r="260" ht="15.75" customHeight="1">
      <c r="A260" s="34" t="s">
        <v>27</v>
      </c>
      <c r="B260" s="35">
        <f t="shared" si="6"/>
        <v>45185</v>
      </c>
      <c r="C260" s="36">
        <v>10.0</v>
      </c>
      <c r="D260" s="36"/>
      <c r="E260" s="36" t="s">
        <v>22</v>
      </c>
      <c r="F260" s="38"/>
      <c r="G260" s="31"/>
      <c r="I260" s="30"/>
      <c r="K260" s="30"/>
      <c r="M260" s="30"/>
      <c r="O260" s="28">
        <v>110.0</v>
      </c>
      <c r="Q260" s="29">
        <v>110.0</v>
      </c>
      <c r="S260" s="29">
        <v>0.0</v>
      </c>
      <c r="U260" s="29"/>
      <c r="W260" s="30"/>
      <c r="Y260" s="30"/>
      <c r="Z260" s="26"/>
      <c r="AA260" s="31"/>
      <c r="AC260" s="30"/>
      <c r="AE260" s="30"/>
      <c r="AG260" s="30"/>
      <c r="AI260" s="30"/>
      <c r="AK260" s="30"/>
      <c r="AL260" s="26"/>
      <c r="AM260" s="39">
        <f t="shared" si="1"/>
        <v>3964.4</v>
      </c>
      <c r="AN260" s="36">
        <f t="shared" si="2"/>
        <v>220</v>
      </c>
      <c r="AO260" s="36">
        <f t="shared" si="3"/>
        <v>0</v>
      </c>
      <c r="AP260" s="36">
        <f t="shared" si="4"/>
        <v>220</v>
      </c>
      <c r="AQ260" s="40">
        <f t="shared" si="5"/>
        <v>18.02</v>
      </c>
    </row>
    <row r="261" ht="15.75" customHeight="1">
      <c r="A261" s="46" t="s">
        <v>28</v>
      </c>
      <c r="B261" s="47">
        <f t="shared" si="6"/>
        <v>45186</v>
      </c>
      <c r="C261" s="49">
        <v>10.0</v>
      </c>
      <c r="D261" s="49"/>
      <c r="E261" s="49" t="s">
        <v>22</v>
      </c>
      <c r="F261" s="52"/>
      <c r="G261" s="67"/>
      <c r="H261" s="55"/>
      <c r="I261" s="65"/>
      <c r="J261" s="55"/>
      <c r="K261" s="65"/>
      <c r="L261" s="55"/>
      <c r="M261" s="65"/>
      <c r="N261" s="55"/>
      <c r="O261" s="61">
        <v>0.0</v>
      </c>
      <c r="P261" s="55"/>
      <c r="Q261" s="62">
        <v>0.0</v>
      </c>
      <c r="R261" s="55"/>
      <c r="S261" s="62">
        <v>0.0</v>
      </c>
      <c r="T261" s="55"/>
      <c r="U261" s="62"/>
      <c r="V261" s="55"/>
      <c r="W261" s="65"/>
      <c r="X261" s="55"/>
      <c r="Y261" s="65"/>
      <c r="Z261" s="58"/>
      <c r="AA261" s="67"/>
      <c r="AB261" s="55"/>
      <c r="AC261" s="65"/>
      <c r="AD261" s="55"/>
      <c r="AE261" s="65"/>
      <c r="AF261" s="55"/>
      <c r="AG261" s="65"/>
      <c r="AH261" s="55"/>
      <c r="AI261" s="65"/>
      <c r="AJ261" s="55"/>
      <c r="AK261" s="65"/>
      <c r="AL261" s="58"/>
      <c r="AM261" s="64">
        <f t="shared" si="1"/>
        <v>0</v>
      </c>
      <c r="AN261" s="49">
        <f t="shared" si="2"/>
        <v>0</v>
      </c>
      <c r="AO261" s="49">
        <f t="shared" si="3"/>
        <v>0</v>
      </c>
      <c r="AP261" s="49">
        <f t="shared" si="4"/>
        <v>0</v>
      </c>
      <c r="AQ261" s="66" t="str">
        <f t="shared" si="5"/>
        <v/>
      </c>
    </row>
    <row r="262" ht="15.75" customHeight="1">
      <c r="A262" s="18" t="s">
        <v>21</v>
      </c>
      <c r="B262" s="68">
        <f t="shared" si="6"/>
        <v>45187</v>
      </c>
      <c r="C262" s="20">
        <v>10.0</v>
      </c>
      <c r="D262" s="20"/>
      <c r="E262" s="20" t="s">
        <v>34</v>
      </c>
      <c r="F262" s="22"/>
      <c r="G262" s="31"/>
      <c r="I262" s="30"/>
      <c r="K262" s="30"/>
      <c r="M262" s="30"/>
      <c r="O262" s="28">
        <v>110.0</v>
      </c>
      <c r="Q262" s="29">
        <v>110.0</v>
      </c>
      <c r="S262" s="29">
        <v>0.0</v>
      </c>
      <c r="U262" s="29"/>
      <c r="W262" s="30"/>
      <c r="Y262" s="30"/>
      <c r="Z262" s="26"/>
      <c r="AA262" s="31"/>
      <c r="AC262" s="30"/>
      <c r="AE262" s="30"/>
      <c r="AG262" s="30"/>
      <c r="AI262" s="30"/>
      <c r="AK262" s="30"/>
      <c r="AL262" s="26"/>
      <c r="AM262" s="32">
        <f t="shared" si="1"/>
        <v>3964.4</v>
      </c>
      <c r="AN262" s="20">
        <f t="shared" si="2"/>
        <v>220</v>
      </c>
      <c r="AO262" s="20">
        <f t="shared" si="3"/>
        <v>0</v>
      </c>
      <c r="AP262" s="20">
        <f t="shared" si="4"/>
        <v>220</v>
      </c>
      <c r="AQ262" s="33">
        <f t="shared" si="5"/>
        <v>18.02</v>
      </c>
    </row>
    <row r="263" ht="15.75" customHeight="1">
      <c r="A263" s="34" t="s">
        <v>23</v>
      </c>
      <c r="B263" s="35">
        <f t="shared" si="6"/>
        <v>45188</v>
      </c>
      <c r="C263" s="36">
        <v>10.0</v>
      </c>
      <c r="D263" s="36"/>
      <c r="E263" s="36" t="s">
        <v>34</v>
      </c>
      <c r="F263" s="38"/>
      <c r="G263" s="31"/>
      <c r="I263" s="30"/>
      <c r="K263" s="30"/>
      <c r="M263" s="30"/>
      <c r="O263" s="28">
        <v>110.0</v>
      </c>
      <c r="Q263" s="29">
        <v>110.0</v>
      </c>
      <c r="S263" s="29">
        <v>0.0</v>
      </c>
      <c r="U263" s="29"/>
      <c r="W263" s="30"/>
      <c r="Y263" s="30"/>
      <c r="Z263" s="26"/>
      <c r="AA263" s="31"/>
      <c r="AC263" s="30"/>
      <c r="AE263" s="30"/>
      <c r="AG263" s="30"/>
      <c r="AI263" s="30"/>
      <c r="AK263" s="30"/>
      <c r="AL263" s="26"/>
      <c r="AM263" s="39">
        <f t="shared" si="1"/>
        <v>3964.4</v>
      </c>
      <c r="AN263" s="36">
        <f t="shared" si="2"/>
        <v>220</v>
      </c>
      <c r="AO263" s="36">
        <f t="shared" si="3"/>
        <v>0</v>
      </c>
      <c r="AP263" s="36">
        <f t="shared" si="4"/>
        <v>220</v>
      </c>
      <c r="AQ263" s="40">
        <f t="shared" si="5"/>
        <v>18.02</v>
      </c>
    </row>
    <row r="264" ht="15.75" customHeight="1">
      <c r="A264" s="34" t="s">
        <v>24</v>
      </c>
      <c r="B264" s="35">
        <f t="shared" si="6"/>
        <v>45189</v>
      </c>
      <c r="C264" s="36">
        <v>10.0</v>
      </c>
      <c r="D264" s="36"/>
      <c r="E264" s="36" t="s">
        <v>34</v>
      </c>
      <c r="F264" s="38"/>
      <c r="G264" s="31"/>
      <c r="I264" s="30"/>
      <c r="K264" s="30"/>
      <c r="M264" s="30"/>
      <c r="O264" s="28">
        <v>110.0</v>
      </c>
      <c r="Q264" s="29">
        <v>110.0</v>
      </c>
      <c r="S264" s="29">
        <v>0.0</v>
      </c>
      <c r="U264" s="29"/>
      <c r="W264" s="30"/>
      <c r="Y264" s="30"/>
      <c r="Z264" s="26"/>
      <c r="AA264" s="31"/>
      <c r="AC264" s="30"/>
      <c r="AE264" s="30"/>
      <c r="AG264" s="30"/>
      <c r="AI264" s="30"/>
      <c r="AK264" s="30"/>
      <c r="AL264" s="26"/>
      <c r="AM264" s="39">
        <f t="shared" si="1"/>
        <v>3964.4</v>
      </c>
      <c r="AN264" s="36">
        <f t="shared" si="2"/>
        <v>220</v>
      </c>
      <c r="AO264" s="36">
        <f t="shared" si="3"/>
        <v>0</v>
      </c>
      <c r="AP264" s="36">
        <f t="shared" si="4"/>
        <v>220</v>
      </c>
      <c r="AQ264" s="40">
        <f t="shared" si="5"/>
        <v>18.02</v>
      </c>
    </row>
    <row r="265" ht="15.75" customHeight="1">
      <c r="A265" s="34" t="s">
        <v>25</v>
      </c>
      <c r="B265" s="35">
        <f t="shared" si="6"/>
        <v>45190</v>
      </c>
      <c r="C265" s="36">
        <v>10.0</v>
      </c>
      <c r="D265" s="36"/>
      <c r="E265" s="36" t="s">
        <v>34</v>
      </c>
      <c r="F265" s="38"/>
      <c r="G265" s="31"/>
      <c r="I265" s="30"/>
      <c r="K265" s="30"/>
      <c r="M265" s="30"/>
      <c r="O265" s="28">
        <v>110.0</v>
      </c>
      <c r="Q265" s="29">
        <v>110.0</v>
      </c>
      <c r="S265" s="29">
        <v>0.0</v>
      </c>
      <c r="U265" s="29"/>
      <c r="W265" s="30"/>
      <c r="Y265" s="30"/>
      <c r="Z265" s="26"/>
      <c r="AA265" s="31"/>
      <c r="AC265" s="30"/>
      <c r="AE265" s="30"/>
      <c r="AG265" s="30"/>
      <c r="AI265" s="30"/>
      <c r="AK265" s="30"/>
      <c r="AL265" s="26"/>
      <c r="AM265" s="39">
        <f t="shared" si="1"/>
        <v>3964.4</v>
      </c>
      <c r="AN265" s="36">
        <f t="shared" si="2"/>
        <v>220</v>
      </c>
      <c r="AO265" s="36">
        <f t="shared" si="3"/>
        <v>0</v>
      </c>
      <c r="AP265" s="36">
        <f t="shared" si="4"/>
        <v>220</v>
      </c>
      <c r="AQ265" s="40">
        <f t="shared" si="5"/>
        <v>18.02</v>
      </c>
    </row>
    <row r="266" ht="15.75" customHeight="1">
      <c r="A266" s="34" t="s">
        <v>26</v>
      </c>
      <c r="B266" s="35">
        <f t="shared" si="6"/>
        <v>45191</v>
      </c>
      <c r="C266" s="36">
        <v>10.0</v>
      </c>
      <c r="D266" s="36"/>
      <c r="E266" s="36" t="s">
        <v>34</v>
      </c>
      <c r="F266" s="38"/>
      <c r="G266" s="31"/>
      <c r="I266" s="30"/>
      <c r="K266" s="30"/>
      <c r="M266" s="30"/>
      <c r="O266" s="28">
        <v>110.0</v>
      </c>
      <c r="Q266" s="29">
        <v>110.0</v>
      </c>
      <c r="S266" s="29">
        <v>0.0</v>
      </c>
      <c r="U266" s="29"/>
      <c r="W266" s="30"/>
      <c r="Y266" s="30"/>
      <c r="Z266" s="26"/>
      <c r="AA266" s="31"/>
      <c r="AC266" s="30"/>
      <c r="AE266" s="30"/>
      <c r="AG266" s="30"/>
      <c r="AI266" s="30"/>
      <c r="AK266" s="30"/>
      <c r="AL266" s="26"/>
      <c r="AM266" s="39">
        <f t="shared" si="1"/>
        <v>3964.4</v>
      </c>
      <c r="AN266" s="36">
        <f t="shared" si="2"/>
        <v>220</v>
      </c>
      <c r="AO266" s="36">
        <f t="shared" si="3"/>
        <v>0</v>
      </c>
      <c r="AP266" s="36">
        <f t="shared" si="4"/>
        <v>220</v>
      </c>
      <c r="AQ266" s="40">
        <f t="shared" si="5"/>
        <v>18.02</v>
      </c>
    </row>
    <row r="267" ht="15.75" customHeight="1">
      <c r="A267" s="34" t="s">
        <v>27</v>
      </c>
      <c r="B267" s="35">
        <f t="shared" si="6"/>
        <v>45192</v>
      </c>
      <c r="C267" s="36">
        <v>10.0</v>
      </c>
      <c r="D267" s="36"/>
      <c r="E267" s="36" t="s">
        <v>34</v>
      </c>
      <c r="F267" s="38"/>
      <c r="G267" s="31"/>
      <c r="I267" s="30"/>
      <c r="K267" s="30"/>
      <c r="M267" s="30"/>
      <c r="O267" s="28">
        <v>110.0</v>
      </c>
      <c r="Q267" s="29">
        <v>110.0</v>
      </c>
      <c r="S267" s="29">
        <v>0.0</v>
      </c>
      <c r="U267" s="29"/>
      <c r="W267" s="30"/>
      <c r="Y267" s="30"/>
      <c r="Z267" s="26"/>
      <c r="AA267" s="31"/>
      <c r="AC267" s="30"/>
      <c r="AE267" s="30"/>
      <c r="AG267" s="30"/>
      <c r="AI267" s="30"/>
      <c r="AK267" s="30"/>
      <c r="AL267" s="26"/>
      <c r="AM267" s="39">
        <f t="shared" si="1"/>
        <v>3964.4</v>
      </c>
      <c r="AN267" s="36">
        <f t="shared" si="2"/>
        <v>220</v>
      </c>
      <c r="AO267" s="36">
        <f t="shared" si="3"/>
        <v>0</v>
      </c>
      <c r="AP267" s="36">
        <f t="shared" si="4"/>
        <v>220</v>
      </c>
      <c r="AQ267" s="40">
        <f t="shared" si="5"/>
        <v>18.02</v>
      </c>
    </row>
    <row r="268" ht="15.75" customHeight="1">
      <c r="A268" s="46" t="s">
        <v>28</v>
      </c>
      <c r="B268" s="47">
        <f t="shared" si="6"/>
        <v>45193</v>
      </c>
      <c r="C268" s="49">
        <v>10.0</v>
      </c>
      <c r="D268" s="49"/>
      <c r="E268" s="49" t="s">
        <v>34</v>
      </c>
      <c r="F268" s="52"/>
      <c r="G268" s="67"/>
      <c r="H268" s="55"/>
      <c r="I268" s="65"/>
      <c r="J268" s="55"/>
      <c r="K268" s="65"/>
      <c r="L268" s="55"/>
      <c r="M268" s="65"/>
      <c r="N268" s="55"/>
      <c r="O268" s="61">
        <v>0.0</v>
      </c>
      <c r="P268" s="55"/>
      <c r="Q268" s="62">
        <v>0.0</v>
      </c>
      <c r="R268" s="55"/>
      <c r="S268" s="62">
        <v>0.0</v>
      </c>
      <c r="T268" s="55"/>
      <c r="U268" s="62"/>
      <c r="V268" s="55"/>
      <c r="W268" s="65"/>
      <c r="X268" s="55"/>
      <c r="Y268" s="65"/>
      <c r="Z268" s="58"/>
      <c r="AA268" s="67"/>
      <c r="AB268" s="55"/>
      <c r="AC268" s="65"/>
      <c r="AD268" s="55"/>
      <c r="AE268" s="65"/>
      <c r="AF268" s="55"/>
      <c r="AG268" s="65"/>
      <c r="AH268" s="55"/>
      <c r="AI268" s="65"/>
      <c r="AJ268" s="55"/>
      <c r="AK268" s="65"/>
      <c r="AL268" s="58"/>
      <c r="AM268" s="64">
        <f t="shared" si="1"/>
        <v>0</v>
      </c>
      <c r="AN268" s="49">
        <f t="shared" si="2"/>
        <v>0</v>
      </c>
      <c r="AO268" s="49">
        <f t="shared" si="3"/>
        <v>0</v>
      </c>
      <c r="AP268" s="49">
        <f t="shared" si="4"/>
        <v>0</v>
      </c>
      <c r="AQ268" s="66" t="str">
        <f t="shared" si="5"/>
        <v/>
      </c>
    </row>
    <row r="269" ht="15.75" customHeight="1">
      <c r="A269" s="18" t="s">
        <v>21</v>
      </c>
      <c r="B269" s="68">
        <f t="shared" si="6"/>
        <v>45194</v>
      </c>
      <c r="C269" s="20">
        <v>10.0</v>
      </c>
      <c r="D269" s="20"/>
      <c r="E269" s="20" t="s">
        <v>36</v>
      </c>
      <c r="F269" s="22"/>
      <c r="G269" s="31"/>
      <c r="I269" s="30"/>
      <c r="K269" s="30"/>
      <c r="M269" s="30"/>
      <c r="O269" s="28">
        <v>110.0</v>
      </c>
      <c r="Q269" s="29">
        <v>110.0</v>
      </c>
      <c r="S269" s="29">
        <v>0.0</v>
      </c>
      <c r="U269" s="29"/>
      <c r="W269" s="30"/>
      <c r="Y269" s="30"/>
      <c r="Z269" s="26"/>
      <c r="AA269" s="31"/>
      <c r="AC269" s="30"/>
      <c r="AE269" s="30"/>
      <c r="AG269" s="30"/>
      <c r="AI269" s="30"/>
      <c r="AK269" s="30"/>
      <c r="AL269" s="26"/>
      <c r="AM269" s="32">
        <f t="shared" si="1"/>
        <v>3964.4</v>
      </c>
      <c r="AN269" s="20">
        <f t="shared" si="2"/>
        <v>220</v>
      </c>
      <c r="AO269" s="20">
        <f t="shared" si="3"/>
        <v>0</v>
      </c>
      <c r="AP269" s="20">
        <f t="shared" si="4"/>
        <v>220</v>
      </c>
      <c r="AQ269" s="33">
        <f t="shared" si="5"/>
        <v>18.02</v>
      </c>
    </row>
    <row r="270" ht="15.75" customHeight="1">
      <c r="A270" s="34" t="s">
        <v>23</v>
      </c>
      <c r="B270" s="35">
        <f t="shared" si="6"/>
        <v>45195</v>
      </c>
      <c r="C270" s="36">
        <v>10.0</v>
      </c>
      <c r="D270" s="36"/>
      <c r="E270" s="36" t="s">
        <v>36</v>
      </c>
      <c r="F270" s="38"/>
      <c r="G270" s="31"/>
      <c r="I270" s="30"/>
      <c r="K270" s="30"/>
      <c r="M270" s="30"/>
      <c r="O270" s="28">
        <v>110.0</v>
      </c>
      <c r="Q270" s="29">
        <v>110.0</v>
      </c>
      <c r="S270" s="29">
        <v>0.0</v>
      </c>
      <c r="U270" s="29"/>
      <c r="W270" s="30"/>
      <c r="Y270" s="30"/>
      <c r="Z270" s="26"/>
      <c r="AA270" s="31"/>
      <c r="AC270" s="30"/>
      <c r="AE270" s="30"/>
      <c r="AG270" s="30"/>
      <c r="AI270" s="30"/>
      <c r="AK270" s="30"/>
      <c r="AL270" s="26"/>
      <c r="AM270" s="39">
        <f t="shared" si="1"/>
        <v>3964.4</v>
      </c>
      <c r="AN270" s="36">
        <f t="shared" si="2"/>
        <v>220</v>
      </c>
      <c r="AO270" s="36">
        <f t="shared" si="3"/>
        <v>0</v>
      </c>
      <c r="AP270" s="36">
        <f t="shared" si="4"/>
        <v>220</v>
      </c>
      <c r="AQ270" s="40">
        <f t="shared" si="5"/>
        <v>18.02</v>
      </c>
    </row>
    <row r="271" ht="15.75" customHeight="1">
      <c r="A271" s="34" t="s">
        <v>24</v>
      </c>
      <c r="B271" s="35">
        <f t="shared" si="6"/>
        <v>45196</v>
      </c>
      <c r="C271" s="36">
        <v>10.0</v>
      </c>
      <c r="D271" s="36"/>
      <c r="E271" s="36" t="s">
        <v>36</v>
      </c>
      <c r="F271" s="38"/>
      <c r="G271" s="31"/>
      <c r="I271" s="30"/>
      <c r="K271" s="30"/>
      <c r="M271" s="30"/>
      <c r="O271" s="28">
        <v>110.0</v>
      </c>
      <c r="Q271" s="29">
        <v>110.0</v>
      </c>
      <c r="S271" s="29">
        <v>0.0</v>
      </c>
      <c r="U271" s="29"/>
      <c r="W271" s="30"/>
      <c r="Y271" s="30"/>
      <c r="Z271" s="26"/>
      <c r="AA271" s="31"/>
      <c r="AC271" s="30"/>
      <c r="AE271" s="30"/>
      <c r="AG271" s="30"/>
      <c r="AI271" s="30"/>
      <c r="AK271" s="30"/>
      <c r="AL271" s="26"/>
      <c r="AM271" s="39">
        <f t="shared" si="1"/>
        <v>3964.4</v>
      </c>
      <c r="AN271" s="36">
        <f t="shared" si="2"/>
        <v>220</v>
      </c>
      <c r="AO271" s="36">
        <f t="shared" si="3"/>
        <v>0</v>
      </c>
      <c r="AP271" s="36">
        <f t="shared" si="4"/>
        <v>220</v>
      </c>
      <c r="AQ271" s="40">
        <f t="shared" si="5"/>
        <v>18.02</v>
      </c>
    </row>
    <row r="272" ht="15.75" customHeight="1">
      <c r="A272" s="34" t="s">
        <v>25</v>
      </c>
      <c r="B272" s="35">
        <f t="shared" si="6"/>
        <v>45197</v>
      </c>
      <c r="C272" s="36">
        <v>10.0</v>
      </c>
      <c r="D272" s="36"/>
      <c r="E272" s="36" t="s">
        <v>36</v>
      </c>
      <c r="F272" s="38"/>
      <c r="G272" s="31"/>
      <c r="I272" s="30"/>
      <c r="K272" s="30"/>
      <c r="M272" s="30"/>
      <c r="O272" s="28">
        <v>110.0</v>
      </c>
      <c r="Q272" s="29">
        <v>110.0</v>
      </c>
      <c r="S272" s="29">
        <v>0.0</v>
      </c>
      <c r="U272" s="29"/>
      <c r="W272" s="30"/>
      <c r="Y272" s="30"/>
      <c r="Z272" s="26"/>
      <c r="AA272" s="31"/>
      <c r="AC272" s="30"/>
      <c r="AE272" s="30"/>
      <c r="AG272" s="30"/>
      <c r="AI272" s="30"/>
      <c r="AK272" s="30"/>
      <c r="AL272" s="26"/>
      <c r="AM272" s="39">
        <f t="shared" si="1"/>
        <v>3964.4</v>
      </c>
      <c r="AN272" s="36">
        <f t="shared" si="2"/>
        <v>220</v>
      </c>
      <c r="AO272" s="36">
        <f t="shared" si="3"/>
        <v>0</v>
      </c>
      <c r="AP272" s="36">
        <f t="shared" si="4"/>
        <v>220</v>
      </c>
      <c r="AQ272" s="40">
        <f t="shared" si="5"/>
        <v>18.02</v>
      </c>
    </row>
    <row r="273" ht="15.75" customHeight="1">
      <c r="A273" s="34" t="s">
        <v>26</v>
      </c>
      <c r="B273" s="35">
        <f t="shared" si="6"/>
        <v>45198</v>
      </c>
      <c r="C273" s="36">
        <v>10.0</v>
      </c>
      <c r="D273" s="36"/>
      <c r="E273" s="36" t="s">
        <v>36</v>
      </c>
      <c r="F273" s="38"/>
      <c r="G273" s="31"/>
      <c r="I273" s="30"/>
      <c r="K273" s="30"/>
      <c r="M273" s="30"/>
      <c r="O273" s="28">
        <v>110.0</v>
      </c>
      <c r="Q273" s="29">
        <v>110.0</v>
      </c>
      <c r="S273" s="29">
        <v>0.0</v>
      </c>
      <c r="U273" s="29"/>
      <c r="W273" s="30"/>
      <c r="Y273" s="30"/>
      <c r="Z273" s="26"/>
      <c r="AA273" s="31"/>
      <c r="AC273" s="30"/>
      <c r="AE273" s="30"/>
      <c r="AG273" s="30"/>
      <c r="AI273" s="30"/>
      <c r="AK273" s="30"/>
      <c r="AL273" s="26"/>
      <c r="AM273" s="39">
        <f t="shared" si="1"/>
        <v>3964.4</v>
      </c>
      <c r="AN273" s="36">
        <f t="shared" si="2"/>
        <v>220</v>
      </c>
      <c r="AO273" s="36">
        <f t="shared" si="3"/>
        <v>0</v>
      </c>
      <c r="AP273" s="36">
        <f t="shared" si="4"/>
        <v>220</v>
      </c>
      <c r="AQ273" s="40">
        <f t="shared" si="5"/>
        <v>18.02</v>
      </c>
    </row>
    <row r="274" ht="15.75" customHeight="1">
      <c r="A274" s="34" t="s">
        <v>27</v>
      </c>
      <c r="B274" s="35">
        <f t="shared" si="6"/>
        <v>45199</v>
      </c>
      <c r="C274" s="36">
        <v>10.0</v>
      </c>
      <c r="D274" s="36"/>
      <c r="E274" s="36" t="s">
        <v>36</v>
      </c>
      <c r="F274" s="38"/>
      <c r="G274" s="31"/>
      <c r="I274" s="30"/>
      <c r="K274" s="30"/>
      <c r="M274" s="30"/>
      <c r="O274" s="28">
        <v>110.0</v>
      </c>
      <c r="Q274" s="29">
        <v>110.0</v>
      </c>
      <c r="S274" s="29">
        <v>0.0</v>
      </c>
      <c r="U274" s="29"/>
      <c r="W274" s="30"/>
      <c r="Y274" s="30"/>
      <c r="Z274" s="26"/>
      <c r="AA274" s="31"/>
      <c r="AC274" s="30"/>
      <c r="AE274" s="30"/>
      <c r="AG274" s="30"/>
      <c r="AI274" s="30"/>
      <c r="AK274" s="30"/>
      <c r="AL274" s="26"/>
      <c r="AM274" s="39">
        <f t="shared" si="1"/>
        <v>3964.4</v>
      </c>
      <c r="AN274" s="36">
        <f t="shared" si="2"/>
        <v>220</v>
      </c>
      <c r="AO274" s="36">
        <f t="shared" si="3"/>
        <v>0</v>
      </c>
      <c r="AP274" s="36">
        <f t="shared" si="4"/>
        <v>220</v>
      </c>
      <c r="AQ274" s="40">
        <f t="shared" si="5"/>
        <v>18.02</v>
      </c>
    </row>
    <row r="275" ht="15.75" customHeight="1">
      <c r="A275" s="46" t="s">
        <v>28</v>
      </c>
      <c r="B275" s="47">
        <f t="shared" si="6"/>
        <v>45200</v>
      </c>
      <c r="C275" s="49">
        <v>10.0</v>
      </c>
      <c r="D275" s="49"/>
      <c r="E275" s="49" t="s">
        <v>36</v>
      </c>
      <c r="F275" s="52"/>
      <c r="G275" s="67"/>
      <c r="H275" s="55"/>
      <c r="I275" s="65"/>
      <c r="J275" s="55"/>
      <c r="K275" s="65"/>
      <c r="L275" s="55"/>
      <c r="M275" s="65"/>
      <c r="N275" s="55"/>
      <c r="O275" s="61">
        <v>0.0</v>
      </c>
      <c r="P275" s="55"/>
      <c r="Q275" s="62">
        <v>0.0</v>
      </c>
      <c r="R275" s="55"/>
      <c r="S275" s="62">
        <v>0.0</v>
      </c>
      <c r="T275" s="55"/>
      <c r="U275" s="62"/>
      <c r="V275" s="55"/>
      <c r="W275" s="65"/>
      <c r="X275" s="55"/>
      <c r="Y275" s="65"/>
      <c r="Z275" s="58"/>
      <c r="AA275" s="67"/>
      <c r="AB275" s="55"/>
      <c r="AC275" s="65"/>
      <c r="AD275" s="55"/>
      <c r="AE275" s="65"/>
      <c r="AF275" s="55"/>
      <c r="AG275" s="65"/>
      <c r="AH275" s="55"/>
      <c r="AI275" s="65"/>
      <c r="AJ275" s="55"/>
      <c r="AK275" s="65"/>
      <c r="AL275" s="58"/>
      <c r="AM275" s="64">
        <f t="shared" si="1"/>
        <v>0</v>
      </c>
      <c r="AN275" s="49">
        <f t="shared" si="2"/>
        <v>0</v>
      </c>
      <c r="AO275" s="49">
        <f t="shared" si="3"/>
        <v>0</v>
      </c>
      <c r="AP275" s="49">
        <f t="shared" si="4"/>
        <v>0</v>
      </c>
      <c r="AQ275" s="66" t="str">
        <f t="shared" si="5"/>
        <v/>
      </c>
    </row>
    <row r="276" ht="15.75" customHeight="1">
      <c r="A276" s="18" t="s">
        <v>21</v>
      </c>
      <c r="B276" s="68">
        <f t="shared" si="6"/>
        <v>45201</v>
      </c>
      <c r="C276" s="20">
        <v>10.0</v>
      </c>
      <c r="D276" s="20"/>
      <c r="E276" s="20" t="s">
        <v>37</v>
      </c>
      <c r="F276" s="22"/>
      <c r="G276" s="31"/>
      <c r="I276" s="30"/>
      <c r="K276" s="30"/>
      <c r="M276" s="30"/>
      <c r="O276" s="28">
        <v>110.0</v>
      </c>
      <c r="Q276" s="29">
        <v>110.0</v>
      </c>
      <c r="S276" s="29">
        <v>0.0</v>
      </c>
      <c r="U276" s="29"/>
      <c r="W276" s="30"/>
      <c r="Y276" s="30"/>
      <c r="Z276" s="26"/>
      <c r="AA276" s="31"/>
      <c r="AC276" s="30"/>
      <c r="AE276" s="30"/>
      <c r="AG276" s="30"/>
      <c r="AI276" s="30"/>
      <c r="AK276" s="30"/>
      <c r="AL276" s="26"/>
      <c r="AM276" s="32">
        <f t="shared" si="1"/>
        <v>3964.4</v>
      </c>
      <c r="AN276" s="20">
        <f t="shared" si="2"/>
        <v>220</v>
      </c>
      <c r="AO276" s="20">
        <f t="shared" si="3"/>
        <v>0</v>
      </c>
      <c r="AP276" s="20">
        <f t="shared" si="4"/>
        <v>220</v>
      </c>
      <c r="AQ276" s="33">
        <f t="shared" si="5"/>
        <v>18.02</v>
      </c>
    </row>
    <row r="277" ht="15.75" customHeight="1">
      <c r="A277" s="34" t="s">
        <v>23</v>
      </c>
      <c r="B277" s="35">
        <f t="shared" si="6"/>
        <v>45202</v>
      </c>
      <c r="C277" s="36">
        <v>10.0</v>
      </c>
      <c r="D277" s="36"/>
      <c r="E277" s="36" t="s">
        <v>37</v>
      </c>
      <c r="F277" s="38"/>
      <c r="G277" s="31"/>
      <c r="I277" s="30"/>
      <c r="K277" s="30"/>
      <c r="M277" s="30"/>
      <c r="O277" s="28">
        <v>110.0</v>
      </c>
      <c r="Q277" s="29">
        <v>110.0</v>
      </c>
      <c r="S277" s="29">
        <v>0.0</v>
      </c>
      <c r="U277" s="29"/>
      <c r="W277" s="30"/>
      <c r="Y277" s="30"/>
      <c r="Z277" s="26"/>
      <c r="AA277" s="31"/>
      <c r="AC277" s="30"/>
      <c r="AE277" s="30"/>
      <c r="AG277" s="30"/>
      <c r="AI277" s="30"/>
      <c r="AK277" s="30"/>
      <c r="AL277" s="26"/>
      <c r="AM277" s="39">
        <f t="shared" si="1"/>
        <v>3964.4</v>
      </c>
      <c r="AN277" s="36">
        <f t="shared" si="2"/>
        <v>220</v>
      </c>
      <c r="AO277" s="36">
        <f t="shared" si="3"/>
        <v>0</v>
      </c>
      <c r="AP277" s="36">
        <f t="shared" si="4"/>
        <v>220</v>
      </c>
      <c r="AQ277" s="40">
        <f t="shared" si="5"/>
        <v>18.02</v>
      </c>
    </row>
    <row r="278" ht="15.75" customHeight="1">
      <c r="A278" s="34" t="s">
        <v>24</v>
      </c>
      <c r="B278" s="35">
        <f t="shared" si="6"/>
        <v>45203</v>
      </c>
      <c r="C278" s="36">
        <v>10.0</v>
      </c>
      <c r="D278" s="36"/>
      <c r="E278" s="36" t="s">
        <v>37</v>
      </c>
      <c r="F278" s="38"/>
      <c r="G278" s="31"/>
      <c r="I278" s="30"/>
      <c r="K278" s="30"/>
      <c r="M278" s="30"/>
      <c r="O278" s="28">
        <v>110.0</v>
      </c>
      <c r="Q278" s="29">
        <v>110.0</v>
      </c>
      <c r="S278" s="29">
        <v>0.0</v>
      </c>
      <c r="U278" s="29"/>
      <c r="W278" s="30"/>
      <c r="Y278" s="30"/>
      <c r="Z278" s="26"/>
      <c r="AA278" s="31"/>
      <c r="AC278" s="30"/>
      <c r="AE278" s="30"/>
      <c r="AG278" s="30"/>
      <c r="AI278" s="30"/>
      <c r="AK278" s="30"/>
      <c r="AL278" s="26"/>
      <c r="AM278" s="39">
        <f t="shared" si="1"/>
        <v>3964.4</v>
      </c>
      <c r="AN278" s="36">
        <f t="shared" si="2"/>
        <v>220</v>
      </c>
      <c r="AO278" s="36">
        <f t="shared" si="3"/>
        <v>0</v>
      </c>
      <c r="AP278" s="36">
        <f t="shared" si="4"/>
        <v>220</v>
      </c>
      <c r="AQ278" s="40">
        <f t="shared" si="5"/>
        <v>18.02</v>
      </c>
    </row>
    <row r="279" ht="15.75" customHeight="1">
      <c r="A279" s="34" t="s">
        <v>25</v>
      </c>
      <c r="B279" s="35">
        <f t="shared" si="6"/>
        <v>45204</v>
      </c>
      <c r="C279" s="36">
        <v>10.0</v>
      </c>
      <c r="D279" s="36"/>
      <c r="E279" s="36" t="s">
        <v>37</v>
      </c>
      <c r="F279" s="38"/>
      <c r="G279" s="31"/>
      <c r="I279" s="30"/>
      <c r="K279" s="30"/>
      <c r="M279" s="30"/>
      <c r="O279" s="28">
        <v>110.0</v>
      </c>
      <c r="Q279" s="29">
        <v>110.0</v>
      </c>
      <c r="S279" s="29">
        <v>0.0</v>
      </c>
      <c r="U279" s="29"/>
      <c r="W279" s="30"/>
      <c r="Y279" s="30"/>
      <c r="Z279" s="26"/>
      <c r="AA279" s="31"/>
      <c r="AC279" s="30"/>
      <c r="AE279" s="30"/>
      <c r="AG279" s="30"/>
      <c r="AI279" s="30"/>
      <c r="AK279" s="30"/>
      <c r="AL279" s="26"/>
      <c r="AM279" s="39">
        <f t="shared" si="1"/>
        <v>3964.4</v>
      </c>
      <c r="AN279" s="36">
        <f t="shared" si="2"/>
        <v>220</v>
      </c>
      <c r="AO279" s="36">
        <f t="shared" si="3"/>
        <v>0</v>
      </c>
      <c r="AP279" s="36">
        <f t="shared" si="4"/>
        <v>220</v>
      </c>
      <c r="AQ279" s="40">
        <f t="shared" si="5"/>
        <v>18.02</v>
      </c>
    </row>
    <row r="280" ht="15.75" customHeight="1">
      <c r="A280" s="34" t="s">
        <v>26</v>
      </c>
      <c r="B280" s="35">
        <f t="shared" si="6"/>
        <v>45205</v>
      </c>
      <c r="C280" s="36">
        <v>10.0</v>
      </c>
      <c r="D280" s="36"/>
      <c r="E280" s="36" t="s">
        <v>37</v>
      </c>
      <c r="F280" s="38"/>
      <c r="G280" s="31"/>
      <c r="I280" s="30"/>
      <c r="K280" s="30"/>
      <c r="M280" s="30"/>
      <c r="O280" s="28">
        <v>110.0</v>
      </c>
      <c r="Q280" s="29">
        <v>110.0</v>
      </c>
      <c r="S280" s="29">
        <v>0.0</v>
      </c>
      <c r="U280" s="29"/>
      <c r="W280" s="30"/>
      <c r="Y280" s="30"/>
      <c r="Z280" s="26"/>
      <c r="AA280" s="31"/>
      <c r="AC280" s="30"/>
      <c r="AE280" s="30"/>
      <c r="AG280" s="30"/>
      <c r="AI280" s="30"/>
      <c r="AK280" s="30"/>
      <c r="AL280" s="26"/>
      <c r="AM280" s="39">
        <f t="shared" si="1"/>
        <v>3964.4</v>
      </c>
      <c r="AN280" s="36">
        <f t="shared" si="2"/>
        <v>220</v>
      </c>
      <c r="AO280" s="36">
        <f t="shared" si="3"/>
        <v>0</v>
      </c>
      <c r="AP280" s="36">
        <f t="shared" si="4"/>
        <v>220</v>
      </c>
      <c r="AQ280" s="40">
        <f t="shared" si="5"/>
        <v>18.02</v>
      </c>
    </row>
    <row r="281" ht="15.75" customHeight="1">
      <c r="A281" s="34" t="s">
        <v>27</v>
      </c>
      <c r="B281" s="35">
        <f t="shared" si="6"/>
        <v>45206</v>
      </c>
      <c r="C281" s="36">
        <v>10.0</v>
      </c>
      <c r="D281" s="36"/>
      <c r="E281" s="36" t="s">
        <v>37</v>
      </c>
      <c r="F281" s="38"/>
      <c r="G281" s="31"/>
      <c r="I281" s="30"/>
      <c r="K281" s="30"/>
      <c r="M281" s="30"/>
      <c r="O281" s="28">
        <v>110.0</v>
      </c>
      <c r="Q281" s="29">
        <v>110.0</v>
      </c>
      <c r="S281" s="29">
        <v>0.0</v>
      </c>
      <c r="U281" s="29"/>
      <c r="W281" s="30"/>
      <c r="Y281" s="30"/>
      <c r="Z281" s="26"/>
      <c r="AA281" s="31"/>
      <c r="AC281" s="30"/>
      <c r="AE281" s="30"/>
      <c r="AG281" s="30"/>
      <c r="AI281" s="30"/>
      <c r="AK281" s="30"/>
      <c r="AL281" s="26"/>
      <c r="AM281" s="39">
        <f t="shared" si="1"/>
        <v>3964.4</v>
      </c>
      <c r="AN281" s="36">
        <f t="shared" si="2"/>
        <v>220</v>
      </c>
      <c r="AO281" s="36">
        <f t="shared" si="3"/>
        <v>0</v>
      </c>
      <c r="AP281" s="36">
        <f t="shared" si="4"/>
        <v>220</v>
      </c>
      <c r="AQ281" s="40">
        <f t="shared" si="5"/>
        <v>18.02</v>
      </c>
    </row>
    <row r="282" ht="15.75" customHeight="1">
      <c r="A282" s="46" t="s">
        <v>28</v>
      </c>
      <c r="B282" s="47">
        <f t="shared" si="6"/>
        <v>45207</v>
      </c>
      <c r="C282" s="49">
        <v>10.0</v>
      </c>
      <c r="D282" s="49"/>
      <c r="E282" s="49" t="s">
        <v>37</v>
      </c>
      <c r="F282" s="52"/>
      <c r="G282" s="67"/>
      <c r="H282" s="55"/>
      <c r="I282" s="65"/>
      <c r="J282" s="55"/>
      <c r="K282" s="65"/>
      <c r="L282" s="55"/>
      <c r="M282" s="65"/>
      <c r="N282" s="55"/>
      <c r="O282" s="61">
        <v>0.0</v>
      </c>
      <c r="P282" s="55"/>
      <c r="Q282" s="62">
        <v>0.0</v>
      </c>
      <c r="R282" s="55"/>
      <c r="S282" s="62">
        <v>0.0</v>
      </c>
      <c r="T282" s="55"/>
      <c r="U282" s="62"/>
      <c r="V282" s="55"/>
      <c r="W282" s="65"/>
      <c r="X282" s="55"/>
      <c r="Y282" s="65"/>
      <c r="Z282" s="58"/>
      <c r="AA282" s="67"/>
      <c r="AB282" s="55"/>
      <c r="AC282" s="65"/>
      <c r="AD282" s="55"/>
      <c r="AE282" s="65"/>
      <c r="AF282" s="55"/>
      <c r="AG282" s="65"/>
      <c r="AH282" s="55"/>
      <c r="AI282" s="65"/>
      <c r="AJ282" s="55"/>
      <c r="AK282" s="65"/>
      <c r="AL282" s="58"/>
      <c r="AM282" s="64">
        <f t="shared" si="1"/>
        <v>0</v>
      </c>
      <c r="AN282" s="49">
        <f t="shared" si="2"/>
        <v>0</v>
      </c>
      <c r="AO282" s="49">
        <f t="shared" si="3"/>
        <v>0</v>
      </c>
      <c r="AP282" s="49">
        <f t="shared" si="4"/>
        <v>0</v>
      </c>
      <c r="AQ282" s="66" t="str">
        <f t="shared" si="5"/>
        <v/>
      </c>
    </row>
    <row r="283" ht="15.75" customHeight="1">
      <c r="A283" s="18" t="s">
        <v>21</v>
      </c>
      <c r="B283" s="68">
        <f t="shared" si="6"/>
        <v>45208</v>
      </c>
      <c r="C283" s="20">
        <v>11.0</v>
      </c>
      <c r="D283" s="20"/>
      <c r="E283" s="20" t="s">
        <v>22</v>
      </c>
      <c r="F283" s="22"/>
      <c r="G283" s="31"/>
      <c r="I283" s="30"/>
      <c r="K283" s="30"/>
      <c r="M283" s="30"/>
      <c r="O283" s="28">
        <v>110.0</v>
      </c>
      <c r="Q283" s="29">
        <v>110.0</v>
      </c>
      <c r="S283" s="29">
        <v>0.0</v>
      </c>
      <c r="U283" s="29"/>
      <c r="W283" s="30"/>
      <c r="Y283" s="30"/>
      <c r="Z283" s="26"/>
      <c r="AA283" s="31"/>
      <c r="AC283" s="30"/>
      <c r="AE283" s="30"/>
      <c r="AG283" s="30"/>
      <c r="AI283" s="30"/>
      <c r="AK283" s="30"/>
      <c r="AL283" s="26"/>
      <c r="AM283" s="32">
        <f t="shared" si="1"/>
        <v>3964.4</v>
      </c>
      <c r="AN283" s="20">
        <f t="shared" si="2"/>
        <v>220</v>
      </c>
      <c r="AO283" s="20">
        <f t="shared" si="3"/>
        <v>0</v>
      </c>
      <c r="AP283" s="20">
        <f t="shared" si="4"/>
        <v>220</v>
      </c>
      <c r="AQ283" s="33">
        <f t="shared" si="5"/>
        <v>18.02</v>
      </c>
    </row>
    <row r="284" ht="15.75" customHeight="1">
      <c r="A284" s="34" t="s">
        <v>23</v>
      </c>
      <c r="B284" s="35">
        <f t="shared" si="6"/>
        <v>45209</v>
      </c>
      <c r="C284" s="36">
        <v>11.0</v>
      </c>
      <c r="D284" s="36"/>
      <c r="E284" s="36" t="s">
        <v>22</v>
      </c>
      <c r="F284" s="38"/>
      <c r="G284" s="31"/>
      <c r="I284" s="30"/>
      <c r="K284" s="30"/>
      <c r="M284" s="30"/>
      <c r="O284" s="28">
        <v>110.0</v>
      </c>
      <c r="Q284" s="29">
        <v>110.0</v>
      </c>
      <c r="S284" s="29">
        <v>0.0</v>
      </c>
      <c r="U284" s="29"/>
      <c r="W284" s="30"/>
      <c r="Y284" s="30"/>
      <c r="Z284" s="26"/>
      <c r="AA284" s="31"/>
      <c r="AC284" s="30"/>
      <c r="AE284" s="30"/>
      <c r="AG284" s="30"/>
      <c r="AI284" s="30"/>
      <c r="AK284" s="30"/>
      <c r="AL284" s="26"/>
      <c r="AM284" s="39">
        <f t="shared" si="1"/>
        <v>3964.4</v>
      </c>
      <c r="AN284" s="36">
        <f t="shared" si="2"/>
        <v>220</v>
      </c>
      <c r="AO284" s="36">
        <f t="shared" si="3"/>
        <v>0</v>
      </c>
      <c r="AP284" s="36">
        <f t="shared" si="4"/>
        <v>220</v>
      </c>
      <c r="AQ284" s="40">
        <f t="shared" si="5"/>
        <v>18.02</v>
      </c>
    </row>
    <row r="285" ht="15.75" customHeight="1">
      <c r="A285" s="34" t="s">
        <v>24</v>
      </c>
      <c r="B285" s="35">
        <f t="shared" si="6"/>
        <v>45210</v>
      </c>
      <c r="C285" s="36">
        <v>11.0</v>
      </c>
      <c r="D285" s="36"/>
      <c r="E285" s="36" t="s">
        <v>22</v>
      </c>
      <c r="F285" s="38"/>
      <c r="G285" s="31"/>
      <c r="I285" s="30"/>
      <c r="K285" s="30"/>
      <c r="M285" s="30"/>
      <c r="O285" s="28">
        <v>110.0</v>
      </c>
      <c r="Q285" s="29">
        <v>110.0</v>
      </c>
      <c r="S285" s="29">
        <v>0.0</v>
      </c>
      <c r="U285" s="29"/>
      <c r="W285" s="30"/>
      <c r="Y285" s="30"/>
      <c r="Z285" s="26"/>
      <c r="AA285" s="31"/>
      <c r="AC285" s="30"/>
      <c r="AE285" s="30"/>
      <c r="AG285" s="30"/>
      <c r="AI285" s="30"/>
      <c r="AK285" s="30"/>
      <c r="AL285" s="26"/>
      <c r="AM285" s="39">
        <f t="shared" si="1"/>
        <v>3964.4</v>
      </c>
      <c r="AN285" s="36">
        <f t="shared" si="2"/>
        <v>220</v>
      </c>
      <c r="AO285" s="36">
        <f t="shared" si="3"/>
        <v>0</v>
      </c>
      <c r="AP285" s="36">
        <f t="shared" si="4"/>
        <v>220</v>
      </c>
      <c r="AQ285" s="40">
        <f t="shared" si="5"/>
        <v>18.02</v>
      </c>
    </row>
    <row r="286" ht="15.75" customHeight="1">
      <c r="A286" s="34" t="s">
        <v>25</v>
      </c>
      <c r="B286" s="35">
        <f t="shared" si="6"/>
        <v>45211</v>
      </c>
      <c r="C286" s="36">
        <v>11.0</v>
      </c>
      <c r="D286" s="36"/>
      <c r="E286" s="36" t="s">
        <v>22</v>
      </c>
      <c r="F286" s="38"/>
      <c r="G286" s="31"/>
      <c r="I286" s="30"/>
      <c r="K286" s="30"/>
      <c r="M286" s="30"/>
      <c r="O286" s="28">
        <v>110.0</v>
      </c>
      <c r="Q286" s="29">
        <v>110.0</v>
      </c>
      <c r="S286" s="29">
        <v>0.0</v>
      </c>
      <c r="U286" s="29"/>
      <c r="W286" s="30"/>
      <c r="Y286" s="30"/>
      <c r="Z286" s="26"/>
      <c r="AA286" s="31"/>
      <c r="AC286" s="30"/>
      <c r="AE286" s="30"/>
      <c r="AG286" s="30"/>
      <c r="AI286" s="30"/>
      <c r="AK286" s="30"/>
      <c r="AL286" s="26"/>
      <c r="AM286" s="39">
        <f t="shared" si="1"/>
        <v>3964.4</v>
      </c>
      <c r="AN286" s="36">
        <f t="shared" si="2"/>
        <v>220</v>
      </c>
      <c r="AO286" s="36">
        <f t="shared" si="3"/>
        <v>0</v>
      </c>
      <c r="AP286" s="36">
        <f t="shared" si="4"/>
        <v>220</v>
      </c>
      <c r="AQ286" s="40">
        <f t="shared" si="5"/>
        <v>18.02</v>
      </c>
    </row>
    <row r="287" ht="15.75" customHeight="1">
      <c r="A287" s="34" t="s">
        <v>26</v>
      </c>
      <c r="B287" s="35">
        <f t="shared" si="6"/>
        <v>45212</v>
      </c>
      <c r="C287" s="36">
        <v>11.0</v>
      </c>
      <c r="D287" s="36"/>
      <c r="E287" s="36" t="s">
        <v>22</v>
      </c>
      <c r="F287" s="38"/>
      <c r="G287" s="31"/>
      <c r="I287" s="30"/>
      <c r="K287" s="30"/>
      <c r="M287" s="30"/>
      <c r="O287" s="28">
        <v>110.0</v>
      </c>
      <c r="Q287" s="29">
        <v>110.0</v>
      </c>
      <c r="S287" s="29">
        <v>0.0</v>
      </c>
      <c r="U287" s="29"/>
      <c r="W287" s="30"/>
      <c r="Y287" s="30"/>
      <c r="Z287" s="26"/>
      <c r="AA287" s="31"/>
      <c r="AC287" s="30"/>
      <c r="AE287" s="30"/>
      <c r="AG287" s="30"/>
      <c r="AI287" s="30"/>
      <c r="AK287" s="30"/>
      <c r="AL287" s="26"/>
      <c r="AM287" s="39">
        <f t="shared" si="1"/>
        <v>3964.4</v>
      </c>
      <c r="AN287" s="36">
        <f t="shared" si="2"/>
        <v>220</v>
      </c>
      <c r="AO287" s="36">
        <f t="shared" si="3"/>
        <v>0</v>
      </c>
      <c r="AP287" s="36">
        <f t="shared" si="4"/>
        <v>220</v>
      </c>
      <c r="AQ287" s="40">
        <f t="shared" si="5"/>
        <v>18.02</v>
      </c>
    </row>
    <row r="288" ht="15.75" customHeight="1">
      <c r="A288" s="34" t="s">
        <v>27</v>
      </c>
      <c r="B288" s="35">
        <f t="shared" si="6"/>
        <v>45213</v>
      </c>
      <c r="C288" s="36">
        <v>11.0</v>
      </c>
      <c r="D288" s="36"/>
      <c r="E288" s="36" t="s">
        <v>22</v>
      </c>
      <c r="F288" s="38"/>
      <c r="G288" s="31"/>
      <c r="I288" s="30"/>
      <c r="K288" s="30"/>
      <c r="M288" s="30"/>
      <c r="O288" s="28">
        <v>110.0</v>
      </c>
      <c r="Q288" s="29">
        <v>110.0</v>
      </c>
      <c r="S288" s="29">
        <v>0.0</v>
      </c>
      <c r="U288" s="29"/>
      <c r="W288" s="30"/>
      <c r="Y288" s="30"/>
      <c r="Z288" s="26"/>
      <c r="AA288" s="31"/>
      <c r="AC288" s="30"/>
      <c r="AE288" s="30"/>
      <c r="AG288" s="30"/>
      <c r="AI288" s="30"/>
      <c r="AK288" s="30"/>
      <c r="AL288" s="26"/>
      <c r="AM288" s="39">
        <f t="shared" si="1"/>
        <v>3964.4</v>
      </c>
      <c r="AN288" s="36">
        <f t="shared" si="2"/>
        <v>220</v>
      </c>
      <c r="AO288" s="36">
        <f t="shared" si="3"/>
        <v>0</v>
      </c>
      <c r="AP288" s="36">
        <f t="shared" si="4"/>
        <v>220</v>
      </c>
      <c r="AQ288" s="40">
        <f t="shared" si="5"/>
        <v>18.02</v>
      </c>
    </row>
    <row r="289" ht="15.75" customHeight="1">
      <c r="A289" s="46" t="s">
        <v>28</v>
      </c>
      <c r="B289" s="47">
        <f t="shared" si="6"/>
        <v>45214</v>
      </c>
      <c r="C289" s="49">
        <v>11.0</v>
      </c>
      <c r="D289" s="49"/>
      <c r="E289" s="49" t="s">
        <v>22</v>
      </c>
      <c r="F289" s="52"/>
      <c r="G289" s="67"/>
      <c r="H289" s="55"/>
      <c r="I289" s="65"/>
      <c r="J289" s="55"/>
      <c r="K289" s="65"/>
      <c r="L289" s="55"/>
      <c r="M289" s="65"/>
      <c r="N289" s="55"/>
      <c r="O289" s="61">
        <v>0.0</v>
      </c>
      <c r="P289" s="55"/>
      <c r="Q289" s="62">
        <v>0.0</v>
      </c>
      <c r="R289" s="55"/>
      <c r="S289" s="62">
        <v>0.0</v>
      </c>
      <c r="T289" s="55"/>
      <c r="U289" s="62"/>
      <c r="V289" s="55"/>
      <c r="W289" s="65"/>
      <c r="X289" s="55"/>
      <c r="Y289" s="65"/>
      <c r="Z289" s="58"/>
      <c r="AA289" s="67"/>
      <c r="AB289" s="55"/>
      <c r="AC289" s="65"/>
      <c r="AD289" s="55"/>
      <c r="AE289" s="65"/>
      <c r="AF289" s="55"/>
      <c r="AG289" s="65"/>
      <c r="AH289" s="55"/>
      <c r="AI289" s="65"/>
      <c r="AJ289" s="55"/>
      <c r="AK289" s="65"/>
      <c r="AL289" s="58"/>
      <c r="AM289" s="64">
        <f t="shared" si="1"/>
        <v>0</v>
      </c>
      <c r="AN289" s="49">
        <f t="shared" si="2"/>
        <v>0</v>
      </c>
      <c r="AO289" s="49">
        <f t="shared" si="3"/>
        <v>0</v>
      </c>
      <c r="AP289" s="49">
        <f t="shared" si="4"/>
        <v>0</v>
      </c>
      <c r="AQ289" s="66" t="str">
        <f t="shared" si="5"/>
        <v/>
      </c>
    </row>
    <row r="290" ht="15.75" customHeight="1">
      <c r="A290" s="18" t="s">
        <v>21</v>
      </c>
      <c r="B290" s="68">
        <f t="shared" si="6"/>
        <v>45215</v>
      </c>
      <c r="C290" s="20">
        <v>11.0</v>
      </c>
      <c r="D290" s="20"/>
      <c r="E290" s="20" t="s">
        <v>34</v>
      </c>
      <c r="F290" s="22"/>
      <c r="G290" s="31"/>
      <c r="I290" s="30"/>
      <c r="K290" s="30"/>
      <c r="M290" s="30"/>
      <c r="O290" s="28">
        <v>20.0</v>
      </c>
      <c r="Q290" s="29">
        <v>20.0</v>
      </c>
      <c r="S290" s="29">
        <v>0.0</v>
      </c>
      <c r="U290" s="29"/>
      <c r="W290" s="30"/>
      <c r="Y290" s="30"/>
      <c r="Z290" s="26"/>
      <c r="AA290" s="31"/>
      <c r="AC290" s="30"/>
      <c r="AE290" s="30"/>
      <c r="AG290" s="30"/>
      <c r="AI290" s="30"/>
      <c r="AK290" s="30"/>
      <c r="AL290" s="26"/>
      <c r="AM290" s="32">
        <f t="shared" si="1"/>
        <v>720.8</v>
      </c>
      <c r="AN290" s="20">
        <f t="shared" si="2"/>
        <v>40</v>
      </c>
      <c r="AO290" s="20">
        <f t="shared" si="3"/>
        <v>0</v>
      </c>
      <c r="AP290" s="20">
        <f t="shared" si="4"/>
        <v>40</v>
      </c>
      <c r="AQ290" s="33">
        <f t="shared" si="5"/>
        <v>18.02</v>
      </c>
    </row>
    <row r="291" ht="15.75" customHeight="1">
      <c r="A291" s="34" t="s">
        <v>23</v>
      </c>
      <c r="B291" s="35">
        <f t="shared" si="6"/>
        <v>45216</v>
      </c>
      <c r="C291" s="36">
        <v>11.0</v>
      </c>
      <c r="D291" s="36"/>
      <c r="E291" s="36" t="s">
        <v>34</v>
      </c>
      <c r="F291" s="38"/>
      <c r="G291" s="31"/>
      <c r="I291" s="30"/>
      <c r="K291" s="30"/>
      <c r="M291" s="30"/>
      <c r="O291" s="28">
        <v>20.0</v>
      </c>
      <c r="Q291" s="29">
        <v>20.0</v>
      </c>
      <c r="S291" s="29">
        <v>0.0</v>
      </c>
      <c r="U291" s="29"/>
      <c r="W291" s="30"/>
      <c r="Y291" s="30"/>
      <c r="Z291" s="26"/>
      <c r="AA291" s="31"/>
      <c r="AC291" s="30"/>
      <c r="AE291" s="30"/>
      <c r="AG291" s="30"/>
      <c r="AI291" s="30"/>
      <c r="AK291" s="30"/>
      <c r="AL291" s="26"/>
      <c r="AM291" s="39">
        <f t="shared" si="1"/>
        <v>720.8</v>
      </c>
      <c r="AN291" s="36">
        <f t="shared" si="2"/>
        <v>40</v>
      </c>
      <c r="AO291" s="36">
        <f t="shared" si="3"/>
        <v>0</v>
      </c>
      <c r="AP291" s="36">
        <f t="shared" si="4"/>
        <v>40</v>
      </c>
      <c r="AQ291" s="40">
        <f t="shared" si="5"/>
        <v>18.02</v>
      </c>
    </row>
    <row r="292" ht="15.75" customHeight="1">
      <c r="A292" s="34" t="s">
        <v>24</v>
      </c>
      <c r="B292" s="35">
        <f t="shared" si="6"/>
        <v>45217</v>
      </c>
      <c r="C292" s="36">
        <v>11.0</v>
      </c>
      <c r="D292" s="36"/>
      <c r="E292" s="36" t="s">
        <v>34</v>
      </c>
      <c r="F292" s="38"/>
      <c r="G292" s="31"/>
      <c r="I292" s="30"/>
      <c r="K292" s="30"/>
      <c r="M292" s="30"/>
      <c r="O292" s="28">
        <v>20.0</v>
      </c>
      <c r="Q292" s="29">
        <v>20.0</v>
      </c>
      <c r="S292" s="29">
        <v>0.0</v>
      </c>
      <c r="U292" s="29"/>
      <c r="W292" s="30"/>
      <c r="Y292" s="30"/>
      <c r="Z292" s="26"/>
      <c r="AA292" s="31"/>
      <c r="AC292" s="30"/>
      <c r="AE292" s="30"/>
      <c r="AG292" s="30"/>
      <c r="AI292" s="30"/>
      <c r="AK292" s="30"/>
      <c r="AL292" s="26"/>
      <c r="AM292" s="39">
        <f t="shared" si="1"/>
        <v>720.8</v>
      </c>
      <c r="AN292" s="36">
        <f t="shared" si="2"/>
        <v>40</v>
      </c>
      <c r="AO292" s="36">
        <f t="shared" si="3"/>
        <v>0</v>
      </c>
      <c r="AP292" s="36">
        <f t="shared" si="4"/>
        <v>40</v>
      </c>
      <c r="AQ292" s="40">
        <f t="shared" si="5"/>
        <v>18.02</v>
      </c>
    </row>
    <row r="293" ht="15.75" customHeight="1">
      <c r="A293" s="34" t="s">
        <v>25</v>
      </c>
      <c r="B293" s="35">
        <f t="shared" si="6"/>
        <v>45218</v>
      </c>
      <c r="C293" s="36">
        <v>11.0</v>
      </c>
      <c r="D293" s="36"/>
      <c r="E293" s="36" t="s">
        <v>34</v>
      </c>
      <c r="F293" s="38"/>
      <c r="G293" s="31"/>
      <c r="I293" s="30"/>
      <c r="K293" s="30"/>
      <c r="M293" s="30"/>
      <c r="O293" s="28">
        <v>20.0</v>
      </c>
      <c r="Q293" s="29">
        <v>20.0</v>
      </c>
      <c r="S293" s="29">
        <v>0.0</v>
      </c>
      <c r="U293" s="29"/>
      <c r="W293" s="30"/>
      <c r="Y293" s="30"/>
      <c r="Z293" s="26"/>
      <c r="AA293" s="31"/>
      <c r="AC293" s="30"/>
      <c r="AE293" s="30"/>
      <c r="AG293" s="30"/>
      <c r="AI293" s="30"/>
      <c r="AK293" s="30"/>
      <c r="AL293" s="26"/>
      <c r="AM293" s="39">
        <f t="shared" si="1"/>
        <v>720.8</v>
      </c>
      <c r="AN293" s="36">
        <f t="shared" si="2"/>
        <v>40</v>
      </c>
      <c r="AO293" s="36">
        <f t="shared" si="3"/>
        <v>0</v>
      </c>
      <c r="AP293" s="36">
        <f t="shared" si="4"/>
        <v>40</v>
      </c>
      <c r="AQ293" s="40">
        <f t="shared" si="5"/>
        <v>18.02</v>
      </c>
    </row>
    <row r="294" ht="15.75" customHeight="1">
      <c r="A294" s="34" t="s">
        <v>26</v>
      </c>
      <c r="B294" s="35">
        <f t="shared" si="6"/>
        <v>45219</v>
      </c>
      <c r="C294" s="36">
        <v>11.0</v>
      </c>
      <c r="D294" s="36"/>
      <c r="E294" s="36" t="s">
        <v>34</v>
      </c>
      <c r="F294" s="38"/>
      <c r="G294" s="31"/>
      <c r="I294" s="30"/>
      <c r="K294" s="30"/>
      <c r="M294" s="30"/>
      <c r="O294" s="28">
        <v>20.0</v>
      </c>
      <c r="Q294" s="29">
        <v>20.0</v>
      </c>
      <c r="S294" s="29">
        <v>0.0</v>
      </c>
      <c r="U294" s="29"/>
      <c r="W294" s="30"/>
      <c r="Y294" s="30"/>
      <c r="Z294" s="26"/>
      <c r="AA294" s="31"/>
      <c r="AC294" s="30"/>
      <c r="AE294" s="30"/>
      <c r="AG294" s="30"/>
      <c r="AI294" s="30"/>
      <c r="AK294" s="30"/>
      <c r="AL294" s="26"/>
      <c r="AM294" s="39">
        <f t="shared" si="1"/>
        <v>720.8</v>
      </c>
      <c r="AN294" s="36">
        <f t="shared" si="2"/>
        <v>40</v>
      </c>
      <c r="AO294" s="36">
        <f t="shared" si="3"/>
        <v>0</v>
      </c>
      <c r="AP294" s="36">
        <f t="shared" si="4"/>
        <v>40</v>
      </c>
      <c r="AQ294" s="40">
        <f t="shared" si="5"/>
        <v>18.02</v>
      </c>
    </row>
    <row r="295" ht="15.75" customHeight="1">
      <c r="A295" s="34" t="s">
        <v>27</v>
      </c>
      <c r="B295" s="35">
        <f t="shared" si="6"/>
        <v>45220</v>
      </c>
      <c r="C295" s="36">
        <v>11.0</v>
      </c>
      <c r="D295" s="36"/>
      <c r="E295" s="36" t="s">
        <v>34</v>
      </c>
      <c r="F295" s="38"/>
      <c r="G295" s="31"/>
      <c r="I295" s="30"/>
      <c r="K295" s="30"/>
      <c r="M295" s="30"/>
      <c r="O295" s="28">
        <v>20.0</v>
      </c>
      <c r="Q295" s="29">
        <v>20.0</v>
      </c>
      <c r="S295" s="29">
        <v>0.0</v>
      </c>
      <c r="U295" s="29"/>
      <c r="W295" s="30"/>
      <c r="Y295" s="30"/>
      <c r="Z295" s="26"/>
      <c r="AA295" s="31"/>
      <c r="AC295" s="30"/>
      <c r="AE295" s="30"/>
      <c r="AG295" s="30"/>
      <c r="AI295" s="30"/>
      <c r="AK295" s="30"/>
      <c r="AL295" s="26"/>
      <c r="AM295" s="39">
        <f t="shared" si="1"/>
        <v>720.8</v>
      </c>
      <c r="AN295" s="36">
        <f t="shared" si="2"/>
        <v>40</v>
      </c>
      <c r="AO295" s="36">
        <f t="shared" si="3"/>
        <v>0</v>
      </c>
      <c r="AP295" s="36">
        <f t="shared" si="4"/>
        <v>40</v>
      </c>
      <c r="AQ295" s="40">
        <f t="shared" si="5"/>
        <v>18.02</v>
      </c>
    </row>
    <row r="296" ht="15.75" customHeight="1">
      <c r="A296" s="46" t="s">
        <v>28</v>
      </c>
      <c r="B296" s="47">
        <f t="shared" si="6"/>
        <v>45221</v>
      </c>
      <c r="C296" s="49">
        <v>11.0</v>
      </c>
      <c r="D296" s="49"/>
      <c r="E296" s="49" t="s">
        <v>34</v>
      </c>
      <c r="F296" s="52"/>
      <c r="G296" s="67"/>
      <c r="H296" s="55"/>
      <c r="I296" s="65"/>
      <c r="J296" s="55"/>
      <c r="K296" s="65"/>
      <c r="L296" s="55"/>
      <c r="M296" s="65"/>
      <c r="N296" s="55"/>
      <c r="O296" s="61">
        <v>0.0</v>
      </c>
      <c r="P296" s="55"/>
      <c r="Q296" s="62">
        <v>0.0</v>
      </c>
      <c r="R296" s="55"/>
      <c r="S296" s="62">
        <v>0.0</v>
      </c>
      <c r="T296" s="55"/>
      <c r="U296" s="62"/>
      <c r="V296" s="55"/>
      <c r="W296" s="65"/>
      <c r="X296" s="55"/>
      <c r="Y296" s="65"/>
      <c r="Z296" s="58"/>
      <c r="AA296" s="67"/>
      <c r="AB296" s="55"/>
      <c r="AC296" s="65"/>
      <c r="AD296" s="55"/>
      <c r="AE296" s="65"/>
      <c r="AF296" s="55"/>
      <c r="AG296" s="65"/>
      <c r="AH296" s="55"/>
      <c r="AI296" s="65"/>
      <c r="AJ296" s="55"/>
      <c r="AK296" s="65"/>
      <c r="AL296" s="58"/>
      <c r="AM296" s="64">
        <f t="shared" si="1"/>
        <v>0</v>
      </c>
      <c r="AN296" s="49">
        <f t="shared" si="2"/>
        <v>0</v>
      </c>
      <c r="AO296" s="49">
        <f t="shared" si="3"/>
        <v>0</v>
      </c>
      <c r="AP296" s="49">
        <f t="shared" si="4"/>
        <v>0</v>
      </c>
      <c r="AQ296" s="66" t="str">
        <f t="shared" si="5"/>
        <v/>
      </c>
    </row>
    <row r="297" ht="15.75" customHeight="1">
      <c r="A297" s="18" t="s">
        <v>21</v>
      </c>
      <c r="B297" s="68">
        <f t="shared" si="6"/>
        <v>45222</v>
      </c>
      <c r="C297" s="20">
        <v>11.0</v>
      </c>
      <c r="D297" s="20"/>
      <c r="E297" s="20" t="s">
        <v>36</v>
      </c>
      <c r="F297" s="22"/>
      <c r="G297" s="31"/>
      <c r="I297" s="30"/>
      <c r="K297" s="30"/>
      <c r="M297" s="30"/>
      <c r="O297" s="28">
        <v>20.0</v>
      </c>
      <c r="Q297" s="29">
        <v>20.0</v>
      </c>
      <c r="S297" s="29">
        <v>0.0</v>
      </c>
      <c r="U297" s="29"/>
      <c r="W297" s="30"/>
      <c r="Y297" s="30"/>
      <c r="Z297" s="26"/>
      <c r="AA297" s="31"/>
      <c r="AC297" s="30"/>
      <c r="AE297" s="30"/>
      <c r="AG297" s="30"/>
      <c r="AI297" s="30"/>
      <c r="AK297" s="30"/>
      <c r="AL297" s="26"/>
      <c r="AM297" s="32">
        <f t="shared" si="1"/>
        <v>720.8</v>
      </c>
      <c r="AN297" s="20">
        <f t="shared" si="2"/>
        <v>40</v>
      </c>
      <c r="AO297" s="20">
        <f t="shared" si="3"/>
        <v>0</v>
      </c>
      <c r="AP297" s="20">
        <f t="shared" si="4"/>
        <v>40</v>
      </c>
      <c r="AQ297" s="33">
        <f t="shared" si="5"/>
        <v>18.02</v>
      </c>
    </row>
    <row r="298" ht="15.75" customHeight="1">
      <c r="A298" s="34" t="s">
        <v>23</v>
      </c>
      <c r="B298" s="35">
        <f t="shared" si="6"/>
        <v>45223</v>
      </c>
      <c r="C298" s="36">
        <v>11.0</v>
      </c>
      <c r="D298" s="36"/>
      <c r="E298" s="36" t="s">
        <v>36</v>
      </c>
      <c r="F298" s="38"/>
      <c r="G298" s="31"/>
      <c r="I298" s="30"/>
      <c r="K298" s="30"/>
      <c r="M298" s="30"/>
      <c r="O298" s="28">
        <v>20.0</v>
      </c>
      <c r="Q298" s="29">
        <v>20.0</v>
      </c>
      <c r="S298" s="29">
        <v>0.0</v>
      </c>
      <c r="U298" s="29"/>
      <c r="W298" s="30"/>
      <c r="Y298" s="30"/>
      <c r="Z298" s="26"/>
      <c r="AA298" s="31"/>
      <c r="AC298" s="30"/>
      <c r="AE298" s="30"/>
      <c r="AG298" s="30"/>
      <c r="AI298" s="30"/>
      <c r="AK298" s="30"/>
      <c r="AL298" s="26"/>
      <c r="AM298" s="39">
        <f t="shared" si="1"/>
        <v>720.8</v>
      </c>
      <c r="AN298" s="36">
        <f t="shared" si="2"/>
        <v>40</v>
      </c>
      <c r="AO298" s="36">
        <f t="shared" si="3"/>
        <v>0</v>
      </c>
      <c r="AP298" s="36">
        <f t="shared" si="4"/>
        <v>40</v>
      </c>
      <c r="AQ298" s="40">
        <f t="shared" si="5"/>
        <v>18.02</v>
      </c>
    </row>
    <row r="299" ht="15.75" customHeight="1">
      <c r="A299" s="34" t="s">
        <v>24</v>
      </c>
      <c r="B299" s="35">
        <f t="shared" si="6"/>
        <v>45224</v>
      </c>
      <c r="C299" s="36">
        <v>11.0</v>
      </c>
      <c r="D299" s="36"/>
      <c r="E299" s="36" t="s">
        <v>36</v>
      </c>
      <c r="F299" s="38"/>
      <c r="G299" s="31"/>
      <c r="I299" s="30"/>
      <c r="K299" s="30"/>
      <c r="M299" s="30"/>
      <c r="O299" s="28">
        <v>20.0</v>
      </c>
      <c r="Q299" s="29">
        <v>20.0</v>
      </c>
      <c r="S299" s="29">
        <v>0.0</v>
      </c>
      <c r="U299" s="29"/>
      <c r="W299" s="30"/>
      <c r="Y299" s="30"/>
      <c r="Z299" s="26"/>
      <c r="AA299" s="31"/>
      <c r="AC299" s="30"/>
      <c r="AE299" s="30"/>
      <c r="AG299" s="30"/>
      <c r="AI299" s="30"/>
      <c r="AK299" s="30"/>
      <c r="AL299" s="26"/>
      <c r="AM299" s="39">
        <f t="shared" si="1"/>
        <v>720.8</v>
      </c>
      <c r="AN299" s="36">
        <f t="shared" si="2"/>
        <v>40</v>
      </c>
      <c r="AO299" s="36">
        <f t="shared" si="3"/>
        <v>0</v>
      </c>
      <c r="AP299" s="36">
        <f t="shared" si="4"/>
        <v>40</v>
      </c>
      <c r="AQ299" s="40">
        <f t="shared" si="5"/>
        <v>18.02</v>
      </c>
    </row>
    <row r="300" ht="15.75" customHeight="1">
      <c r="A300" s="34" t="s">
        <v>25</v>
      </c>
      <c r="B300" s="35">
        <f t="shared" si="6"/>
        <v>45225</v>
      </c>
      <c r="C300" s="36">
        <v>11.0</v>
      </c>
      <c r="D300" s="36"/>
      <c r="E300" s="36" t="s">
        <v>36</v>
      </c>
      <c r="F300" s="38"/>
      <c r="G300" s="31"/>
      <c r="I300" s="30"/>
      <c r="K300" s="30"/>
      <c r="M300" s="30"/>
      <c r="O300" s="28">
        <v>20.0</v>
      </c>
      <c r="Q300" s="29">
        <v>20.0</v>
      </c>
      <c r="S300" s="29">
        <v>0.0</v>
      </c>
      <c r="U300" s="29"/>
      <c r="W300" s="30"/>
      <c r="Y300" s="30"/>
      <c r="Z300" s="26"/>
      <c r="AA300" s="31"/>
      <c r="AC300" s="30"/>
      <c r="AE300" s="30"/>
      <c r="AG300" s="30"/>
      <c r="AI300" s="30"/>
      <c r="AK300" s="30"/>
      <c r="AL300" s="26"/>
      <c r="AM300" s="39">
        <f t="shared" si="1"/>
        <v>720.8</v>
      </c>
      <c r="AN300" s="36">
        <f t="shared" si="2"/>
        <v>40</v>
      </c>
      <c r="AO300" s="36">
        <f t="shared" si="3"/>
        <v>0</v>
      </c>
      <c r="AP300" s="36">
        <f t="shared" si="4"/>
        <v>40</v>
      </c>
      <c r="AQ300" s="40">
        <f t="shared" si="5"/>
        <v>18.02</v>
      </c>
    </row>
    <row r="301" ht="15.75" customHeight="1">
      <c r="A301" s="34" t="s">
        <v>26</v>
      </c>
      <c r="B301" s="35">
        <f t="shared" si="6"/>
        <v>45226</v>
      </c>
      <c r="C301" s="36">
        <v>11.0</v>
      </c>
      <c r="D301" s="36"/>
      <c r="E301" s="36" t="s">
        <v>36</v>
      </c>
      <c r="F301" s="38"/>
      <c r="G301" s="31"/>
      <c r="I301" s="30"/>
      <c r="K301" s="30"/>
      <c r="M301" s="30"/>
      <c r="O301" s="28">
        <v>20.0</v>
      </c>
      <c r="Q301" s="29">
        <v>20.0</v>
      </c>
      <c r="S301" s="29">
        <v>0.0</v>
      </c>
      <c r="U301" s="29"/>
      <c r="W301" s="30"/>
      <c r="Y301" s="30"/>
      <c r="Z301" s="26"/>
      <c r="AA301" s="31"/>
      <c r="AC301" s="30"/>
      <c r="AE301" s="30"/>
      <c r="AG301" s="30"/>
      <c r="AI301" s="30"/>
      <c r="AK301" s="30"/>
      <c r="AL301" s="26"/>
      <c r="AM301" s="39">
        <f t="shared" si="1"/>
        <v>720.8</v>
      </c>
      <c r="AN301" s="36">
        <f t="shared" si="2"/>
        <v>40</v>
      </c>
      <c r="AO301" s="36">
        <f t="shared" si="3"/>
        <v>0</v>
      </c>
      <c r="AP301" s="36">
        <f t="shared" si="4"/>
        <v>40</v>
      </c>
      <c r="AQ301" s="40">
        <f t="shared" si="5"/>
        <v>18.02</v>
      </c>
    </row>
    <row r="302" ht="15.75" customHeight="1">
      <c r="A302" s="34" t="s">
        <v>27</v>
      </c>
      <c r="B302" s="35">
        <f t="shared" si="6"/>
        <v>45227</v>
      </c>
      <c r="C302" s="36">
        <v>11.0</v>
      </c>
      <c r="D302" s="36"/>
      <c r="E302" s="36" t="s">
        <v>36</v>
      </c>
      <c r="F302" s="38"/>
      <c r="G302" s="31"/>
      <c r="I302" s="30"/>
      <c r="K302" s="30"/>
      <c r="M302" s="30"/>
      <c r="O302" s="28">
        <v>20.0</v>
      </c>
      <c r="Q302" s="29">
        <v>20.0</v>
      </c>
      <c r="S302" s="29">
        <v>0.0</v>
      </c>
      <c r="U302" s="29"/>
      <c r="W302" s="30"/>
      <c r="Y302" s="30"/>
      <c r="Z302" s="26"/>
      <c r="AA302" s="31"/>
      <c r="AC302" s="30"/>
      <c r="AE302" s="30"/>
      <c r="AG302" s="30"/>
      <c r="AI302" s="30"/>
      <c r="AK302" s="30"/>
      <c r="AL302" s="26"/>
      <c r="AM302" s="39">
        <f t="shared" si="1"/>
        <v>720.8</v>
      </c>
      <c r="AN302" s="36">
        <f t="shared" si="2"/>
        <v>40</v>
      </c>
      <c r="AO302" s="36">
        <f t="shared" si="3"/>
        <v>0</v>
      </c>
      <c r="AP302" s="36">
        <f t="shared" si="4"/>
        <v>40</v>
      </c>
      <c r="AQ302" s="40">
        <f t="shared" si="5"/>
        <v>18.02</v>
      </c>
    </row>
    <row r="303" ht="15.75" customHeight="1">
      <c r="A303" s="46" t="s">
        <v>28</v>
      </c>
      <c r="B303" s="47">
        <f t="shared" si="6"/>
        <v>45228</v>
      </c>
      <c r="C303" s="49">
        <v>11.0</v>
      </c>
      <c r="D303" s="49"/>
      <c r="E303" s="49" t="s">
        <v>36</v>
      </c>
      <c r="F303" s="52"/>
      <c r="G303" s="67"/>
      <c r="H303" s="55"/>
      <c r="I303" s="65"/>
      <c r="J303" s="55"/>
      <c r="K303" s="65"/>
      <c r="L303" s="55"/>
      <c r="M303" s="65"/>
      <c r="N303" s="55"/>
      <c r="O303" s="61">
        <v>0.0</v>
      </c>
      <c r="P303" s="55"/>
      <c r="Q303" s="62">
        <v>0.0</v>
      </c>
      <c r="R303" s="55"/>
      <c r="S303" s="62">
        <v>0.0</v>
      </c>
      <c r="T303" s="55"/>
      <c r="U303" s="62"/>
      <c r="V303" s="55"/>
      <c r="W303" s="65"/>
      <c r="X303" s="55"/>
      <c r="Y303" s="65"/>
      <c r="Z303" s="58"/>
      <c r="AA303" s="67"/>
      <c r="AB303" s="55"/>
      <c r="AC303" s="65"/>
      <c r="AD303" s="55"/>
      <c r="AE303" s="65"/>
      <c r="AF303" s="55"/>
      <c r="AG303" s="65"/>
      <c r="AH303" s="55"/>
      <c r="AI303" s="65"/>
      <c r="AJ303" s="55"/>
      <c r="AK303" s="65"/>
      <c r="AL303" s="58"/>
      <c r="AM303" s="64">
        <f t="shared" si="1"/>
        <v>0</v>
      </c>
      <c r="AN303" s="49">
        <f t="shared" si="2"/>
        <v>0</v>
      </c>
      <c r="AO303" s="49">
        <f t="shared" si="3"/>
        <v>0</v>
      </c>
      <c r="AP303" s="49">
        <f t="shared" si="4"/>
        <v>0</v>
      </c>
      <c r="AQ303" s="66" t="str">
        <f t="shared" si="5"/>
        <v/>
      </c>
    </row>
    <row r="304" ht="15.75" customHeight="1">
      <c r="A304" s="18" t="s">
        <v>21</v>
      </c>
      <c r="B304" s="68">
        <f t="shared" si="6"/>
        <v>45229</v>
      </c>
      <c r="C304" s="20">
        <v>11.0</v>
      </c>
      <c r="D304" s="20"/>
      <c r="E304" s="20" t="s">
        <v>37</v>
      </c>
      <c r="F304" s="22"/>
      <c r="G304" s="31"/>
      <c r="I304" s="30"/>
      <c r="K304" s="30"/>
      <c r="M304" s="30"/>
      <c r="O304" s="28">
        <v>20.0</v>
      </c>
      <c r="Q304" s="29">
        <v>0.0</v>
      </c>
      <c r="S304" s="29">
        <v>0.0</v>
      </c>
      <c r="U304" s="29"/>
      <c r="W304" s="30"/>
      <c r="Y304" s="30"/>
      <c r="Z304" s="26"/>
      <c r="AA304" s="31"/>
      <c r="AC304" s="30"/>
      <c r="AE304" s="30"/>
      <c r="AG304" s="30"/>
      <c r="AI304" s="30"/>
      <c r="AK304" s="30"/>
      <c r="AL304" s="26"/>
      <c r="AM304" s="32">
        <f t="shared" si="1"/>
        <v>326</v>
      </c>
      <c r="AN304" s="20">
        <f t="shared" si="2"/>
        <v>20</v>
      </c>
      <c r="AO304" s="20">
        <f t="shared" si="3"/>
        <v>0</v>
      </c>
      <c r="AP304" s="20">
        <f t="shared" si="4"/>
        <v>20</v>
      </c>
      <c r="AQ304" s="33">
        <f t="shared" si="5"/>
        <v>16.3</v>
      </c>
    </row>
    <row r="305" ht="15.75" customHeight="1">
      <c r="A305" s="34" t="s">
        <v>23</v>
      </c>
      <c r="B305" s="35">
        <f t="shared" si="6"/>
        <v>45230</v>
      </c>
      <c r="C305" s="36">
        <v>11.0</v>
      </c>
      <c r="D305" s="36"/>
      <c r="E305" s="36" t="s">
        <v>37</v>
      </c>
      <c r="F305" s="38"/>
      <c r="G305" s="31"/>
      <c r="I305" s="30"/>
      <c r="K305" s="30"/>
      <c r="M305" s="30"/>
      <c r="O305" s="28">
        <v>20.0</v>
      </c>
      <c r="Q305" s="29">
        <v>0.0</v>
      </c>
      <c r="S305" s="29">
        <v>0.0</v>
      </c>
      <c r="U305" s="29"/>
      <c r="W305" s="30"/>
      <c r="Y305" s="30"/>
      <c r="Z305" s="26"/>
      <c r="AA305" s="31"/>
      <c r="AC305" s="30"/>
      <c r="AE305" s="30"/>
      <c r="AG305" s="30"/>
      <c r="AI305" s="30"/>
      <c r="AK305" s="30"/>
      <c r="AL305" s="26"/>
      <c r="AM305" s="39">
        <f t="shared" si="1"/>
        <v>326</v>
      </c>
      <c r="AN305" s="36">
        <f t="shared" si="2"/>
        <v>20</v>
      </c>
      <c r="AO305" s="36">
        <f t="shared" si="3"/>
        <v>0</v>
      </c>
      <c r="AP305" s="36">
        <f t="shared" si="4"/>
        <v>20</v>
      </c>
      <c r="AQ305" s="40">
        <f t="shared" si="5"/>
        <v>16.3</v>
      </c>
    </row>
    <row r="306" ht="15.75" customHeight="1">
      <c r="A306" s="34" t="s">
        <v>24</v>
      </c>
      <c r="B306" s="35">
        <f t="shared" si="6"/>
        <v>45231</v>
      </c>
      <c r="C306" s="36">
        <v>11.0</v>
      </c>
      <c r="D306" s="36"/>
      <c r="E306" s="36" t="s">
        <v>37</v>
      </c>
      <c r="F306" s="38"/>
      <c r="G306" s="31"/>
      <c r="I306" s="30"/>
      <c r="K306" s="30"/>
      <c r="M306" s="30"/>
      <c r="O306" s="28">
        <v>20.0</v>
      </c>
      <c r="Q306" s="29">
        <v>0.0</v>
      </c>
      <c r="S306" s="29">
        <v>0.0</v>
      </c>
      <c r="U306" s="29"/>
      <c r="W306" s="30"/>
      <c r="Y306" s="30"/>
      <c r="Z306" s="26"/>
      <c r="AA306" s="31"/>
      <c r="AC306" s="30"/>
      <c r="AE306" s="30"/>
      <c r="AG306" s="30"/>
      <c r="AI306" s="30"/>
      <c r="AK306" s="30"/>
      <c r="AL306" s="26"/>
      <c r="AM306" s="39">
        <f t="shared" si="1"/>
        <v>326</v>
      </c>
      <c r="AN306" s="36">
        <f t="shared" si="2"/>
        <v>20</v>
      </c>
      <c r="AO306" s="36">
        <f t="shared" si="3"/>
        <v>0</v>
      </c>
      <c r="AP306" s="36">
        <f t="shared" si="4"/>
        <v>20</v>
      </c>
      <c r="AQ306" s="40">
        <f t="shared" si="5"/>
        <v>16.3</v>
      </c>
    </row>
    <row r="307" ht="15.75" customHeight="1">
      <c r="A307" s="34" t="s">
        <v>25</v>
      </c>
      <c r="B307" s="35">
        <f t="shared" si="6"/>
        <v>45232</v>
      </c>
      <c r="C307" s="36">
        <v>11.0</v>
      </c>
      <c r="D307" s="36"/>
      <c r="E307" s="36" t="s">
        <v>37</v>
      </c>
      <c r="F307" s="38"/>
      <c r="G307" s="31"/>
      <c r="I307" s="30"/>
      <c r="K307" s="30"/>
      <c r="M307" s="30"/>
      <c r="O307" s="28">
        <v>20.0</v>
      </c>
      <c r="Q307" s="29">
        <v>0.0</v>
      </c>
      <c r="S307" s="29">
        <v>0.0</v>
      </c>
      <c r="U307" s="29"/>
      <c r="W307" s="30"/>
      <c r="Y307" s="30"/>
      <c r="Z307" s="26"/>
      <c r="AA307" s="31"/>
      <c r="AC307" s="30"/>
      <c r="AE307" s="30"/>
      <c r="AG307" s="30"/>
      <c r="AI307" s="30"/>
      <c r="AK307" s="30"/>
      <c r="AL307" s="26"/>
      <c r="AM307" s="39">
        <f t="shared" si="1"/>
        <v>326</v>
      </c>
      <c r="AN307" s="36">
        <f t="shared" si="2"/>
        <v>20</v>
      </c>
      <c r="AO307" s="36">
        <f t="shared" si="3"/>
        <v>0</v>
      </c>
      <c r="AP307" s="36">
        <f t="shared" si="4"/>
        <v>20</v>
      </c>
      <c r="AQ307" s="40">
        <f t="shared" si="5"/>
        <v>16.3</v>
      </c>
    </row>
    <row r="308" ht="15.75" customHeight="1">
      <c r="A308" s="34" t="s">
        <v>26</v>
      </c>
      <c r="B308" s="35">
        <f t="shared" si="6"/>
        <v>45233</v>
      </c>
      <c r="C308" s="36">
        <v>11.0</v>
      </c>
      <c r="D308" s="36"/>
      <c r="E308" s="36" t="s">
        <v>37</v>
      </c>
      <c r="F308" s="38"/>
      <c r="G308" s="31"/>
      <c r="I308" s="30"/>
      <c r="K308" s="30"/>
      <c r="M308" s="30"/>
      <c r="O308" s="28">
        <v>20.0</v>
      </c>
      <c r="Q308" s="29">
        <v>0.0</v>
      </c>
      <c r="S308" s="29">
        <v>0.0</v>
      </c>
      <c r="U308" s="29"/>
      <c r="W308" s="30"/>
      <c r="Y308" s="30"/>
      <c r="Z308" s="26"/>
      <c r="AA308" s="31"/>
      <c r="AC308" s="30"/>
      <c r="AE308" s="30"/>
      <c r="AG308" s="30"/>
      <c r="AI308" s="30"/>
      <c r="AK308" s="30"/>
      <c r="AL308" s="26"/>
      <c r="AM308" s="39">
        <f t="shared" si="1"/>
        <v>326</v>
      </c>
      <c r="AN308" s="36">
        <f t="shared" si="2"/>
        <v>20</v>
      </c>
      <c r="AO308" s="36">
        <f t="shared" si="3"/>
        <v>0</v>
      </c>
      <c r="AP308" s="36">
        <f t="shared" si="4"/>
        <v>20</v>
      </c>
      <c r="AQ308" s="40">
        <f t="shared" si="5"/>
        <v>16.3</v>
      </c>
    </row>
    <row r="309" ht="15.75" customHeight="1">
      <c r="A309" s="34" t="s">
        <v>27</v>
      </c>
      <c r="B309" s="35">
        <f t="shared" si="6"/>
        <v>45234</v>
      </c>
      <c r="C309" s="36">
        <v>11.0</v>
      </c>
      <c r="D309" s="36"/>
      <c r="E309" s="36" t="s">
        <v>37</v>
      </c>
      <c r="F309" s="38"/>
      <c r="G309" s="31"/>
      <c r="I309" s="30"/>
      <c r="K309" s="30"/>
      <c r="M309" s="30"/>
      <c r="O309" s="28">
        <v>0.0</v>
      </c>
      <c r="Q309" s="29">
        <v>0.0</v>
      </c>
      <c r="S309" s="29">
        <v>0.0</v>
      </c>
      <c r="U309" s="29"/>
      <c r="W309" s="30"/>
      <c r="Y309" s="30"/>
      <c r="Z309" s="26"/>
      <c r="AA309" s="31"/>
      <c r="AC309" s="30"/>
      <c r="AE309" s="30"/>
      <c r="AG309" s="30"/>
      <c r="AI309" s="30"/>
      <c r="AK309" s="30"/>
      <c r="AL309" s="26"/>
      <c r="AM309" s="39">
        <f t="shared" si="1"/>
        <v>0</v>
      </c>
      <c r="AN309" s="36">
        <f t="shared" si="2"/>
        <v>0</v>
      </c>
      <c r="AO309" s="36">
        <f t="shared" si="3"/>
        <v>0</v>
      </c>
      <c r="AP309" s="36">
        <f t="shared" si="4"/>
        <v>0</v>
      </c>
      <c r="AQ309" s="40" t="str">
        <f t="shared" si="5"/>
        <v/>
      </c>
    </row>
    <row r="310" ht="15.75" customHeight="1">
      <c r="A310" s="46" t="s">
        <v>28</v>
      </c>
      <c r="B310" s="47">
        <f t="shared" si="6"/>
        <v>45235</v>
      </c>
      <c r="C310" s="49">
        <v>11.0</v>
      </c>
      <c r="D310" s="49"/>
      <c r="E310" s="49" t="s">
        <v>37</v>
      </c>
      <c r="F310" s="52"/>
      <c r="G310" s="67"/>
      <c r="H310" s="55"/>
      <c r="I310" s="65"/>
      <c r="J310" s="55"/>
      <c r="K310" s="65"/>
      <c r="L310" s="55"/>
      <c r="M310" s="65"/>
      <c r="N310" s="55"/>
      <c r="O310" s="61">
        <v>0.0</v>
      </c>
      <c r="P310" s="55"/>
      <c r="Q310" s="62">
        <v>0.0</v>
      </c>
      <c r="R310" s="55"/>
      <c r="S310" s="62">
        <v>0.0</v>
      </c>
      <c r="T310" s="55"/>
      <c r="U310" s="62"/>
      <c r="V310" s="55"/>
      <c r="W310" s="65"/>
      <c r="X310" s="55"/>
      <c r="Y310" s="65"/>
      <c r="Z310" s="58"/>
      <c r="AA310" s="67"/>
      <c r="AB310" s="55"/>
      <c r="AC310" s="65"/>
      <c r="AD310" s="55"/>
      <c r="AE310" s="65"/>
      <c r="AF310" s="55"/>
      <c r="AG310" s="65"/>
      <c r="AH310" s="55"/>
      <c r="AI310" s="65"/>
      <c r="AJ310" s="55"/>
      <c r="AK310" s="65"/>
      <c r="AL310" s="58"/>
      <c r="AM310" s="64">
        <f t="shared" si="1"/>
        <v>0</v>
      </c>
      <c r="AN310" s="49">
        <f t="shared" si="2"/>
        <v>0</v>
      </c>
      <c r="AO310" s="49">
        <f t="shared" si="3"/>
        <v>0</v>
      </c>
      <c r="AP310" s="49">
        <f t="shared" si="4"/>
        <v>0</v>
      </c>
      <c r="AQ310" s="66" t="str">
        <f t="shared" si="5"/>
        <v/>
      </c>
    </row>
    <row r="311" ht="15.75" customHeight="1">
      <c r="A311" s="18" t="s">
        <v>21</v>
      </c>
      <c r="B311" s="68">
        <f t="shared" si="6"/>
        <v>45236</v>
      </c>
      <c r="C311" s="20">
        <v>12.0</v>
      </c>
      <c r="D311" s="20"/>
      <c r="E311" s="20" t="s">
        <v>22</v>
      </c>
      <c r="F311" s="22"/>
      <c r="G311" s="31"/>
      <c r="I311" s="30"/>
      <c r="K311" s="30"/>
      <c r="M311" s="30"/>
      <c r="O311" s="28">
        <v>20.0</v>
      </c>
      <c r="Q311" s="29">
        <v>0.0</v>
      </c>
      <c r="S311" s="29">
        <v>0.0</v>
      </c>
      <c r="U311" s="29"/>
      <c r="W311" s="30"/>
      <c r="Y311" s="30"/>
      <c r="Z311" s="26"/>
      <c r="AA311" s="31"/>
      <c r="AC311" s="30"/>
      <c r="AE311" s="30"/>
      <c r="AG311" s="30"/>
      <c r="AI311" s="30"/>
      <c r="AK311" s="30"/>
      <c r="AL311" s="26"/>
      <c r="AM311" s="32">
        <f t="shared" si="1"/>
        <v>326</v>
      </c>
      <c r="AN311" s="20">
        <f t="shared" si="2"/>
        <v>20</v>
      </c>
      <c r="AO311" s="20">
        <f t="shared" si="3"/>
        <v>0</v>
      </c>
      <c r="AP311" s="20">
        <f t="shared" si="4"/>
        <v>20</v>
      </c>
      <c r="AQ311" s="33">
        <f t="shared" si="5"/>
        <v>16.3</v>
      </c>
    </row>
    <row r="312" ht="15.75" customHeight="1">
      <c r="A312" s="34" t="s">
        <v>23</v>
      </c>
      <c r="B312" s="35">
        <f t="shared" si="6"/>
        <v>45237</v>
      </c>
      <c r="C312" s="36">
        <v>12.0</v>
      </c>
      <c r="D312" s="36"/>
      <c r="E312" s="36" t="s">
        <v>22</v>
      </c>
      <c r="F312" s="38"/>
      <c r="G312" s="31"/>
      <c r="I312" s="30"/>
      <c r="K312" s="30"/>
      <c r="M312" s="30"/>
      <c r="O312" s="28">
        <v>20.0</v>
      </c>
      <c r="Q312" s="29">
        <v>0.0</v>
      </c>
      <c r="S312" s="29">
        <v>0.0</v>
      </c>
      <c r="U312" s="29"/>
      <c r="W312" s="30"/>
      <c r="Y312" s="30"/>
      <c r="Z312" s="26"/>
      <c r="AA312" s="31"/>
      <c r="AC312" s="30"/>
      <c r="AE312" s="30"/>
      <c r="AG312" s="30"/>
      <c r="AI312" s="30"/>
      <c r="AK312" s="30"/>
      <c r="AL312" s="26"/>
      <c r="AM312" s="39">
        <f t="shared" si="1"/>
        <v>326</v>
      </c>
      <c r="AN312" s="36">
        <f t="shared" si="2"/>
        <v>20</v>
      </c>
      <c r="AO312" s="36">
        <f t="shared" si="3"/>
        <v>0</v>
      </c>
      <c r="AP312" s="36">
        <f t="shared" si="4"/>
        <v>20</v>
      </c>
      <c r="AQ312" s="40">
        <f t="shared" si="5"/>
        <v>16.3</v>
      </c>
    </row>
    <row r="313" ht="15.75" customHeight="1">
      <c r="A313" s="34" t="s">
        <v>24</v>
      </c>
      <c r="B313" s="35">
        <f t="shared" si="6"/>
        <v>45238</v>
      </c>
      <c r="C313" s="36">
        <v>12.0</v>
      </c>
      <c r="D313" s="36"/>
      <c r="E313" s="36" t="s">
        <v>22</v>
      </c>
      <c r="F313" s="38"/>
      <c r="G313" s="31"/>
      <c r="I313" s="30"/>
      <c r="K313" s="30"/>
      <c r="M313" s="30"/>
      <c r="O313" s="28">
        <v>20.0</v>
      </c>
      <c r="Q313" s="29">
        <v>0.0</v>
      </c>
      <c r="S313" s="29">
        <v>0.0</v>
      </c>
      <c r="U313" s="29"/>
      <c r="W313" s="30"/>
      <c r="Y313" s="30"/>
      <c r="Z313" s="26"/>
      <c r="AA313" s="31"/>
      <c r="AC313" s="30"/>
      <c r="AE313" s="30"/>
      <c r="AG313" s="30"/>
      <c r="AI313" s="30"/>
      <c r="AK313" s="30"/>
      <c r="AL313" s="26"/>
      <c r="AM313" s="39">
        <f t="shared" si="1"/>
        <v>326</v>
      </c>
      <c r="AN313" s="36">
        <f t="shared" si="2"/>
        <v>20</v>
      </c>
      <c r="AO313" s="36">
        <f t="shared" si="3"/>
        <v>0</v>
      </c>
      <c r="AP313" s="36">
        <f t="shared" si="4"/>
        <v>20</v>
      </c>
      <c r="AQ313" s="40">
        <f t="shared" si="5"/>
        <v>16.3</v>
      </c>
    </row>
    <row r="314" ht="15.75" customHeight="1">
      <c r="A314" s="34" t="s">
        <v>25</v>
      </c>
      <c r="B314" s="35">
        <f t="shared" si="6"/>
        <v>45239</v>
      </c>
      <c r="C314" s="36">
        <v>12.0</v>
      </c>
      <c r="D314" s="36"/>
      <c r="E314" s="36" t="s">
        <v>22</v>
      </c>
      <c r="F314" s="38"/>
      <c r="G314" s="31"/>
      <c r="I314" s="30"/>
      <c r="K314" s="30"/>
      <c r="M314" s="30"/>
      <c r="O314" s="28">
        <v>20.0</v>
      </c>
      <c r="Q314" s="29">
        <v>0.0</v>
      </c>
      <c r="S314" s="29">
        <v>0.0</v>
      </c>
      <c r="U314" s="29"/>
      <c r="W314" s="30"/>
      <c r="Y314" s="30"/>
      <c r="Z314" s="26"/>
      <c r="AA314" s="31"/>
      <c r="AC314" s="30"/>
      <c r="AE314" s="30"/>
      <c r="AG314" s="30"/>
      <c r="AI314" s="30"/>
      <c r="AK314" s="30"/>
      <c r="AL314" s="26"/>
      <c r="AM314" s="39">
        <f t="shared" si="1"/>
        <v>326</v>
      </c>
      <c r="AN314" s="36">
        <f t="shared" si="2"/>
        <v>20</v>
      </c>
      <c r="AO314" s="36">
        <f t="shared" si="3"/>
        <v>0</v>
      </c>
      <c r="AP314" s="36">
        <f t="shared" si="4"/>
        <v>20</v>
      </c>
      <c r="AQ314" s="40">
        <f t="shared" si="5"/>
        <v>16.3</v>
      </c>
    </row>
    <row r="315" ht="15.75" customHeight="1">
      <c r="A315" s="34" t="s">
        <v>26</v>
      </c>
      <c r="B315" s="35">
        <f t="shared" si="6"/>
        <v>45240</v>
      </c>
      <c r="C315" s="36">
        <v>12.0</v>
      </c>
      <c r="D315" s="36"/>
      <c r="E315" s="36" t="s">
        <v>22</v>
      </c>
      <c r="F315" s="38"/>
      <c r="G315" s="31"/>
      <c r="I315" s="30"/>
      <c r="K315" s="30"/>
      <c r="M315" s="30"/>
      <c r="O315" s="28">
        <v>20.0</v>
      </c>
      <c r="Q315" s="29">
        <v>0.0</v>
      </c>
      <c r="S315" s="29">
        <v>0.0</v>
      </c>
      <c r="U315" s="29"/>
      <c r="W315" s="30"/>
      <c r="Y315" s="30"/>
      <c r="Z315" s="26"/>
      <c r="AA315" s="31"/>
      <c r="AC315" s="30"/>
      <c r="AE315" s="30"/>
      <c r="AG315" s="30"/>
      <c r="AI315" s="30"/>
      <c r="AK315" s="30"/>
      <c r="AL315" s="26"/>
      <c r="AM315" s="39">
        <f t="shared" si="1"/>
        <v>326</v>
      </c>
      <c r="AN315" s="36">
        <f t="shared" si="2"/>
        <v>20</v>
      </c>
      <c r="AO315" s="36">
        <f t="shared" si="3"/>
        <v>0</v>
      </c>
      <c r="AP315" s="36">
        <f t="shared" si="4"/>
        <v>20</v>
      </c>
      <c r="AQ315" s="40">
        <f t="shared" si="5"/>
        <v>16.3</v>
      </c>
    </row>
    <row r="316" ht="15.75" customHeight="1">
      <c r="A316" s="34" t="s">
        <v>27</v>
      </c>
      <c r="B316" s="35">
        <f t="shared" si="6"/>
        <v>45241</v>
      </c>
      <c r="C316" s="36">
        <v>12.0</v>
      </c>
      <c r="D316" s="36"/>
      <c r="E316" s="36" t="s">
        <v>22</v>
      </c>
      <c r="F316" s="38"/>
      <c r="G316" s="31"/>
      <c r="I316" s="30"/>
      <c r="K316" s="30"/>
      <c r="M316" s="30"/>
      <c r="O316" s="28">
        <v>0.0</v>
      </c>
      <c r="Q316" s="29">
        <v>0.0</v>
      </c>
      <c r="S316" s="29">
        <v>0.0</v>
      </c>
      <c r="U316" s="29"/>
      <c r="W316" s="30"/>
      <c r="Y316" s="30"/>
      <c r="Z316" s="26"/>
      <c r="AA316" s="31"/>
      <c r="AC316" s="30"/>
      <c r="AE316" s="30"/>
      <c r="AG316" s="30"/>
      <c r="AI316" s="30"/>
      <c r="AK316" s="30"/>
      <c r="AL316" s="26"/>
      <c r="AM316" s="39">
        <f t="shared" si="1"/>
        <v>0</v>
      </c>
      <c r="AN316" s="36">
        <f t="shared" si="2"/>
        <v>0</v>
      </c>
      <c r="AO316" s="36">
        <f t="shared" si="3"/>
        <v>0</v>
      </c>
      <c r="AP316" s="36">
        <f t="shared" si="4"/>
        <v>0</v>
      </c>
      <c r="AQ316" s="40" t="str">
        <f t="shared" si="5"/>
        <v/>
      </c>
    </row>
    <row r="317" ht="15.75" customHeight="1">
      <c r="A317" s="46" t="s">
        <v>28</v>
      </c>
      <c r="B317" s="47">
        <f t="shared" si="6"/>
        <v>45242</v>
      </c>
      <c r="C317" s="49">
        <v>12.0</v>
      </c>
      <c r="D317" s="49"/>
      <c r="E317" s="49" t="s">
        <v>22</v>
      </c>
      <c r="F317" s="52"/>
      <c r="G317" s="67"/>
      <c r="H317" s="55"/>
      <c r="I317" s="65"/>
      <c r="J317" s="55"/>
      <c r="K317" s="65"/>
      <c r="L317" s="55"/>
      <c r="M317" s="65"/>
      <c r="N317" s="55"/>
      <c r="O317" s="61">
        <v>0.0</v>
      </c>
      <c r="P317" s="55"/>
      <c r="Q317" s="62">
        <v>0.0</v>
      </c>
      <c r="R317" s="55"/>
      <c r="S317" s="62">
        <v>0.0</v>
      </c>
      <c r="T317" s="55"/>
      <c r="U317" s="62"/>
      <c r="V317" s="55"/>
      <c r="W317" s="65"/>
      <c r="X317" s="55"/>
      <c r="Y317" s="65"/>
      <c r="Z317" s="58"/>
      <c r="AA317" s="67"/>
      <c r="AB317" s="55"/>
      <c r="AC317" s="65"/>
      <c r="AD317" s="55"/>
      <c r="AE317" s="65"/>
      <c r="AF317" s="55"/>
      <c r="AG317" s="65"/>
      <c r="AH317" s="55"/>
      <c r="AI317" s="65"/>
      <c r="AJ317" s="55"/>
      <c r="AK317" s="65"/>
      <c r="AL317" s="58"/>
      <c r="AM317" s="64">
        <f t="shared" si="1"/>
        <v>0</v>
      </c>
      <c r="AN317" s="49">
        <f t="shared" si="2"/>
        <v>0</v>
      </c>
      <c r="AO317" s="49">
        <f t="shared" si="3"/>
        <v>0</v>
      </c>
      <c r="AP317" s="49">
        <f t="shared" si="4"/>
        <v>0</v>
      </c>
      <c r="AQ317" s="66" t="str">
        <f t="shared" si="5"/>
        <v/>
      </c>
    </row>
    <row r="318" ht="15.75" customHeight="1">
      <c r="A318" s="18" t="s">
        <v>21</v>
      </c>
      <c r="B318" s="68">
        <f t="shared" si="6"/>
        <v>45243</v>
      </c>
      <c r="C318" s="20">
        <v>12.0</v>
      </c>
      <c r="D318" s="20"/>
      <c r="E318" s="20" t="s">
        <v>34</v>
      </c>
      <c r="F318" s="22"/>
      <c r="G318" s="31"/>
      <c r="I318" s="30"/>
      <c r="K318" s="30"/>
      <c r="M318" s="30"/>
      <c r="O318" s="28">
        <v>20.0</v>
      </c>
      <c r="Q318" s="29">
        <v>0.0</v>
      </c>
      <c r="S318" s="29">
        <v>0.0</v>
      </c>
      <c r="U318" s="29"/>
      <c r="W318" s="30"/>
      <c r="Y318" s="30"/>
      <c r="Z318" s="26"/>
      <c r="AA318" s="31"/>
      <c r="AC318" s="30"/>
      <c r="AE318" s="30"/>
      <c r="AG318" s="30"/>
      <c r="AI318" s="30"/>
      <c r="AK318" s="30"/>
      <c r="AL318" s="26"/>
      <c r="AM318" s="32">
        <f t="shared" si="1"/>
        <v>326</v>
      </c>
      <c r="AN318" s="20">
        <f t="shared" si="2"/>
        <v>20</v>
      </c>
      <c r="AO318" s="20">
        <f t="shared" si="3"/>
        <v>0</v>
      </c>
      <c r="AP318" s="20">
        <f t="shared" si="4"/>
        <v>20</v>
      </c>
      <c r="AQ318" s="33">
        <f t="shared" si="5"/>
        <v>16.3</v>
      </c>
    </row>
    <row r="319" ht="15.75" customHeight="1">
      <c r="A319" s="34" t="s">
        <v>23</v>
      </c>
      <c r="B319" s="35">
        <f t="shared" si="6"/>
        <v>45244</v>
      </c>
      <c r="C319" s="36">
        <v>12.0</v>
      </c>
      <c r="D319" s="36"/>
      <c r="E319" s="36" t="s">
        <v>34</v>
      </c>
      <c r="F319" s="38"/>
      <c r="G319" s="31"/>
      <c r="I319" s="30"/>
      <c r="K319" s="30"/>
      <c r="M319" s="30"/>
      <c r="O319" s="28">
        <v>20.0</v>
      </c>
      <c r="Q319" s="29">
        <v>0.0</v>
      </c>
      <c r="S319" s="29">
        <v>0.0</v>
      </c>
      <c r="U319" s="29"/>
      <c r="W319" s="30"/>
      <c r="Y319" s="30"/>
      <c r="Z319" s="26"/>
      <c r="AA319" s="31"/>
      <c r="AC319" s="30"/>
      <c r="AE319" s="30"/>
      <c r="AG319" s="30"/>
      <c r="AI319" s="30"/>
      <c r="AK319" s="30"/>
      <c r="AL319" s="26"/>
      <c r="AM319" s="39">
        <f t="shared" si="1"/>
        <v>326</v>
      </c>
      <c r="AN319" s="36">
        <f t="shared" si="2"/>
        <v>20</v>
      </c>
      <c r="AO319" s="36">
        <f t="shared" si="3"/>
        <v>0</v>
      </c>
      <c r="AP319" s="36">
        <f t="shared" si="4"/>
        <v>20</v>
      </c>
      <c r="AQ319" s="40">
        <f t="shared" si="5"/>
        <v>16.3</v>
      </c>
    </row>
    <row r="320" ht="15.75" customHeight="1">
      <c r="A320" s="34" t="s">
        <v>24</v>
      </c>
      <c r="B320" s="35">
        <f t="shared" si="6"/>
        <v>45245</v>
      </c>
      <c r="C320" s="36">
        <v>12.0</v>
      </c>
      <c r="D320" s="36"/>
      <c r="E320" s="36" t="s">
        <v>34</v>
      </c>
      <c r="F320" s="38"/>
      <c r="G320" s="31"/>
      <c r="I320" s="30"/>
      <c r="K320" s="30"/>
      <c r="M320" s="30"/>
      <c r="O320" s="28">
        <v>20.0</v>
      </c>
      <c r="Q320" s="29">
        <v>0.0</v>
      </c>
      <c r="S320" s="29">
        <v>0.0</v>
      </c>
      <c r="U320" s="29"/>
      <c r="W320" s="30"/>
      <c r="Y320" s="30"/>
      <c r="Z320" s="26"/>
      <c r="AA320" s="31"/>
      <c r="AC320" s="30"/>
      <c r="AE320" s="30"/>
      <c r="AG320" s="30"/>
      <c r="AI320" s="30"/>
      <c r="AK320" s="30"/>
      <c r="AL320" s="26"/>
      <c r="AM320" s="39">
        <f t="shared" si="1"/>
        <v>326</v>
      </c>
      <c r="AN320" s="36">
        <f t="shared" si="2"/>
        <v>20</v>
      </c>
      <c r="AO320" s="36">
        <f t="shared" si="3"/>
        <v>0</v>
      </c>
      <c r="AP320" s="36">
        <f t="shared" si="4"/>
        <v>20</v>
      </c>
      <c r="AQ320" s="40">
        <f t="shared" si="5"/>
        <v>16.3</v>
      </c>
    </row>
    <row r="321" ht="15.75" customHeight="1">
      <c r="A321" s="34" t="s">
        <v>25</v>
      </c>
      <c r="B321" s="35">
        <f t="shared" si="6"/>
        <v>45246</v>
      </c>
      <c r="C321" s="36">
        <v>12.0</v>
      </c>
      <c r="D321" s="36"/>
      <c r="E321" s="36" t="s">
        <v>34</v>
      </c>
      <c r="F321" s="38"/>
      <c r="G321" s="31"/>
      <c r="I321" s="30"/>
      <c r="K321" s="30"/>
      <c r="M321" s="30"/>
      <c r="O321" s="28">
        <v>20.0</v>
      </c>
      <c r="Q321" s="29">
        <v>0.0</v>
      </c>
      <c r="S321" s="29">
        <v>0.0</v>
      </c>
      <c r="U321" s="29"/>
      <c r="W321" s="30"/>
      <c r="Y321" s="30"/>
      <c r="Z321" s="26"/>
      <c r="AA321" s="31"/>
      <c r="AC321" s="30"/>
      <c r="AE321" s="30"/>
      <c r="AG321" s="30"/>
      <c r="AI321" s="30"/>
      <c r="AK321" s="30"/>
      <c r="AL321" s="26"/>
      <c r="AM321" s="39">
        <f t="shared" si="1"/>
        <v>326</v>
      </c>
      <c r="AN321" s="36">
        <f t="shared" si="2"/>
        <v>20</v>
      </c>
      <c r="AO321" s="36">
        <f t="shared" si="3"/>
        <v>0</v>
      </c>
      <c r="AP321" s="36">
        <f t="shared" si="4"/>
        <v>20</v>
      </c>
      <c r="AQ321" s="40">
        <f t="shared" si="5"/>
        <v>16.3</v>
      </c>
    </row>
    <row r="322" ht="15.75" customHeight="1">
      <c r="A322" s="34" t="s">
        <v>26</v>
      </c>
      <c r="B322" s="35">
        <f t="shared" si="6"/>
        <v>45247</v>
      </c>
      <c r="C322" s="36">
        <v>12.0</v>
      </c>
      <c r="D322" s="36"/>
      <c r="E322" s="36" t="s">
        <v>34</v>
      </c>
      <c r="F322" s="38"/>
      <c r="G322" s="31"/>
      <c r="I322" s="30"/>
      <c r="K322" s="30"/>
      <c r="M322" s="30"/>
      <c r="O322" s="28">
        <v>20.0</v>
      </c>
      <c r="Q322" s="29">
        <v>0.0</v>
      </c>
      <c r="S322" s="29">
        <v>0.0</v>
      </c>
      <c r="U322" s="29"/>
      <c r="W322" s="30"/>
      <c r="Y322" s="30"/>
      <c r="Z322" s="26"/>
      <c r="AA322" s="31"/>
      <c r="AC322" s="30"/>
      <c r="AE322" s="30"/>
      <c r="AG322" s="30"/>
      <c r="AI322" s="30"/>
      <c r="AK322" s="30"/>
      <c r="AL322" s="26"/>
      <c r="AM322" s="39">
        <f t="shared" si="1"/>
        <v>326</v>
      </c>
      <c r="AN322" s="36">
        <f t="shared" si="2"/>
        <v>20</v>
      </c>
      <c r="AO322" s="36">
        <f t="shared" si="3"/>
        <v>0</v>
      </c>
      <c r="AP322" s="36">
        <f t="shared" si="4"/>
        <v>20</v>
      </c>
      <c r="AQ322" s="40">
        <f t="shared" si="5"/>
        <v>16.3</v>
      </c>
    </row>
    <row r="323" ht="15.75" customHeight="1">
      <c r="A323" s="34" t="s">
        <v>27</v>
      </c>
      <c r="B323" s="35">
        <f t="shared" si="6"/>
        <v>45248</v>
      </c>
      <c r="C323" s="36">
        <v>12.0</v>
      </c>
      <c r="D323" s="36"/>
      <c r="E323" s="36" t="s">
        <v>34</v>
      </c>
      <c r="F323" s="38"/>
      <c r="G323" s="31"/>
      <c r="I323" s="30"/>
      <c r="K323" s="30"/>
      <c r="M323" s="30"/>
      <c r="O323" s="28">
        <v>0.0</v>
      </c>
      <c r="Q323" s="29">
        <v>0.0</v>
      </c>
      <c r="S323" s="29">
        <v>0.0</v>
      </c>
      <c r="U323" s="29"/>
      <c r="W323" s="30"/>
      <c r="Y323" s="30"/>
      <c r="Z323" s="26"/>
      <c r="AA323" s="31"/>
      <c r="AC323" s="30"/>
      <c r="AE323" s="30"/>
      <c r="AG323" s="30"/>
      <c r="AI323" s="30"/>
      <c r="AK323" s="30"/>
      <c r="AL323" s="26"/>
      <c r="AM323" s="39">
        <f t="shared" si="1"/>
        <v>0</v>
      </c>
      <c r="AN323" s="36">
        <f t="shared" si="2"/>
        <v>0</v>
      </c>
      <c r="AO323" s="36">
        <f t="shared" si="3"/>
        <v>0</v>
      </c>
      <c r="AP323" s="36">
        <f t="shared" si="4"/>
        <v>0</v>
      </c>
      <c r="AQ323" s="40" t="str">
        <f t="shared" si="5"/>
        <v/>
      </c>
    </row>
    <row r="324" ht="15.75" customHeight="1">
      <c r="A324" s="46" t="s">
        <v>28</v>
      </c>
      <c r="B324" s="47">
        <f t="shared" si="6"/>
        <v>45249</v>
      </c>
      <c r="C324" s="49">
        <v>12.0</v>
      </c>
      <c r="D324" s="49"/>
      <c r="E324" s="49" t="s">
        <v>34</v>
      </c>
      <c r="F324" s="52"/>
      <c r="G324" s="67"/>
      <c r="H324" s="55"/>
      <c r="I324" s="65"/>
      <c r="J324" s="55"/>
      <c r="K324" s="65"/>
      <c r="L324" s="55"/>
      <c r="M324" s="65"/>
      <c r="N324" s="55"/>
      <c r="O324" s="61">
        <v>0.0</v>
      </c>
      <c r="P324" s="55"/>
      <c r="Q324" s="62">
        <v>0.0</v>
      </c>
      <c r="R324" s="55"/>
      <c r="S324" s="62">
        <v>0.0</v>
      </c>
      <c r="T324" s="55"/>
      <c r="U324" s="62"/>
      <c r="V324" s="55"/>
      <c r="W324" s="65"/>
      <c r="X324" s="55"/>
      <c r="Y324" s="65"/>
      <c r="Z324" s="58"/>
      <c r="AA324" s="67"/>
      <c r="AB324" s="55"/>
      <c r="AC324" s="65"/>
      <c r="AD324" s="55"/>
      <c r="AE324" s="65"/>
      <c r="AF324" s="55"/>
      <c r="AG324" s="65"/>
      <c r="AH324" s="55"/>
      <c r="AI324" s="65"/>
      <c r="AJ324" s="55"/>
      <c r="AK324" s="65"/>
      <c r="AL324" s="58"/>
      <c r="AM324" s="64">
        <f t="shared" si="1"/>
        <v>0</v>
      </c>
      <c r="AN324" s="49">
        <f t="shared" si="2"/>
        <v>0</v>
      </c>
      <c r="AO324" s="49">
        <f t="shared" si="3"/>
        <v>0</v>
      </c>
      <c r="AP324" s="49">
        <f t="shared" si="4"/>
        <v>0</v>
      </c>
      <c r="AQ324" s="66" t="str">
        <f t="shared" si="5"/>
        <v/>
      </c>
    </row>
    <row r="325" ht="15.75" customHeight="1">
      <c r="A325" s="18" t="s">
        <v>21</v>
      </c>
      <c r="B325" s="68">
        <f t="shared" si="6"/>
        <v>45250</v>
      </c>
      <c r="C325" s="20">
        <v>12.0</v>
      </c>
      <c r="D325" s="20"/>
      <c r="E325" s="20" t="s">
        <v>36</v>
      </c>
      <c r="F325" s="22"/>
      <c r="G325" s="31"/>
      <c r="I325" s="30"/>
      <c r="K325" s="30"/>
      <c r="M325" s="30"/>
      <c r="O325" s="28">
        <v>0.0</v>
      </c>
      <c r="Q325" s="29">
        <v>0.0</v>
      </c>
      <c r="S325" s="29">
        <v>0.0</v>
      </c>
      <c r="U325" s="29"/>
      <c r="W325" s="30"/>
      <c r="Y325" s="30"/>
      <c r="Z325" s="26"/>
      <c r="AA325" s="31"/>
      <c r="AC325" s="30"/>
      <c r="AE325" s="30"/>
      <c r="AG325" s="30"/>
      <c r="AI325" s="30"/>
      <c r="AK325" s="30"/>
      <c r="AL325" s="26"/>
      <c r="AM325" s="32">
        <f t="shared" si="1"/>
        <v>0</v>
      </c>
      <c r="AN325" s="20">
        <f t="shared" si="2"/>
        <v>0</v>
      </c>
      <c r="AO325" s="20">
        <f t="shared" si="3"/>
        <v>0</v>
      </c>
      <c r="AP325" s="20">
        <f t="shared" si="4"/>
        <v>0</v>
      </c>
      <c r="AQ325" s="33" t="str">
        <f t="shared" si="5"/>
        <v/>
      </c>
    </row>
    <row r="326" ht="15.75" customHeight="1">
      <c r="A326" s="34" t="s">
        <v>23</v>
      </c>
      <c r="B326" s="35">
        <f t="shared" si="6"/>
        <v>45251</v>
      </c>
      <c r="C326" s="36">
        <v>12.0</v>
      </c>
      <c r="D326" s="36"/>
      <c r="E326" s="36" t="s">
        <v>36</v>
      </c>
      <c r="F326" s="38"/>
      <c r="G326" s="31"/>
      <c r="I326" s="30"/>
      <c r="K326" s="30"/>
      <c r="M326" s="30"/>
      <c r="O326" s="28">
        <v>0.0</v>
      </c>
      <c r="Q326" s="29">
        <v>0.0</v>
      </c>
      <c r="S326" s="29">
        <v>0.0</v>
      </c>
      <c r="U326" s="29"/>
      <c r="W326" s="30"/>
      <c r="Y326" s="30"/>
      <c r="Z326" s="26"/>
      <c r="AA326" s="31"/>
      <c r="AC326" s="30"/>
      <c r="AE326" s="30"/>
      <c r="AG326" s="30"/>
      <c r="AI326" s="30"/>
      <c r="AK326" s="30"/>
      <c r="AL326" s="26"/>
      <c r="AM326" s="39">
        <f t="shared" si="1"/>
        <v>0</v>
      </c>
      <c r="AN326" s="36">
        <f t="shared" si="2"/>
        <v>0</v>
      </c>
      <c r="AO326" s="36">
        <f t="shared" si="3"/>
        <v>0</v>
      </c>
      <c r="AP326" s="36">
        <f t="shared" si="4"/>
        <v>0</v>
      </c>
      <c r="AQ326" s="40" t="str">
        <f t="shared" si="5"/>
        <v/>
      </c>
    </row>
    <row r="327" ht="15.75" customHeight="1">
      <c r="A327" s="34" t="s">
        <v>24</v>
      </c>
      <c r="B327" s="35">
        <f t="shared" si="6"/>
        <v>45252</v>
      </c>
      <c r="C327" s="36">
        <v>12.0</v>
      </c>
      <c r="D327" s="36"/>
      <c r="E327" s="36" t="s">
        <v>36</v>
      </c>
      <c r="F327" s="38"/>
      <c r="G327" s="31"/>
      <c r="I327" s="30"/>
      <c r="K327" s="30"/>
      <c r="M327" s="30"/>
      <c r="O327" s="28">
        <v>0.0</v>
      </c>
      <c r="Q327" s="29">
        <v>0.0</v>
      </c>
      <c r="S327" s="29">
        <v>0.0</v>
      </c>
      <c r="U327" s="29"/>
      <c r="W327" s="30"/>
      <c r="Y327" s="30"/>
      <c r="Z327" s="26"/>
      <c r="AA327" s="31"/>
      <c r="AC327" s="30"/>
      <c r="AE327" s="30"/>
      <c r="AG327" s="30"/>
      <c r="AI327" s="30"/>
      <c r="AK327" s="30"/>
      <c r="AL327" s="26"/>
      <c r="AM327" s="39">
        <f t="shared" si="1"/>
        <v>0</v>
      </c>
      <c r="AN327" s="36">
        <f t="shared" si="2"/>
        <v>0</v>
      </c>
      <c r="AO327" s="36">
        <f t="shared" si="3"/>
        <v>0</v>
      </c>
      <c r="AP327" s="36">
        <f t="shared" si="4"/>
        <v>0</v>
      </c>
      <c r="AQ327" s="40" t="str">
        <f t="shared" si="5"/>
        <v/>
      </c>
    </row>
    <row r="328" ht="15.75" customHeight="1">
      <c r="A328" s="34" t="s">
        <v>25</v>
      </c>
      <c r="B328" s="35">
        <f t="shared" si="6"/>
        <v>45253</v>
      </c>
      <c r="C328" s="36">
        <v>12.0</v>
      </c>
      <c r="D328" s="36"/>
      <c r="E328" s="36" t="s">
        <v>36</v>
      </c>
      <c r="F328" s="38"/>
      <c r="G328" s="31"/>
      <c r="I328" s="30"/>
      <c r="K328" s="30"/>
      <c r="M328" s="30"/>
      <c r="O328" s="28">
        <v>0.0</v>
      </c>
      <c r="Q328" s="29">
        <v>0.0</v>
      </c>
      <c r="S328" s="29">
        <v>0.0</v>
      </c>
      <c r="U328" s="29"/>
      <c r="W328" s="30"/>
      <c r="Y328" s="30"/>
      <c r="Z328" s="26"/>
      <c r="AA328" s="31"/>
      <c r="AC328" s="30"/>
      <c r="AE328" s="30"/>
      <c r="AG328" s="30"/>
      <c r="AI328" s="30"/>
      <c r="AK328" s="30"/>
      <c r="AL328" s="26"/>
      <c r="AM328" s="39">
        <f t="shared" si="1"/>
        <v>0</v>
      </c>
      <c r="AN328" s="36">
        <f t="shared" si="2"/>
        <v>0</v>
      </c>
      <c r="AO328" s="36">
        <f t="shared" si="3"/>
        <v>0</v>
      </c>
      <c r="AP328" s="36">
        <f t="shared" si="4"/>
        <v>0</v>
      </c>
      <c r="AQ328" s="40" t="str">
        <f t="shared" si="5"/>
        <v/>
      </c>
    </row>
    <row r="329" ht="15.75" customHeight="1">
      <c r="A329" s="34" t="s">
        <v>26</v>
      </c>
      <c r="B329" s="35">
        <f t="shared" si="6"/>
        <v>45254</v>
      </c>
      <c r="C329" s="36">
        <v>12.0</v>
      </c>
      <c r="D329" s="36"/>
      <c r="E329" s="36" t="s">
        <v>36</v>
      </c>
      <c r="F329" s="38"/>
      <c r="G329" s="31"/>
      <c r="I329" s="30"/>
      <c r="K329" s="30"/>
      <c r="M329" s="30"/>
      <c r="O329" s="28">
        <v>0.0</v>
      </c>
      <c r="Q329" s="29">
        <v>0.0</v>
      </c>
      <c r="S329" s="29">
        <v>0.0</v>
      </c>
      <c r="U329" s="29"/>
      <c r="W329" s="30"/>
      <c r="Y329" s="30"/>
      <c r="Z329" s="26"/>
      <c r="AA329" s="31"/>
      <c r="AC329" s="30"/>
      <c r="AE329" s="30"/>
      <c r="AG329" s="30"/>
      <c r="AI329" s="30"/>
      <c r="AK329" s="30"/>
      <c r="AL329" s="26"/>
      <c r="AM329" s="39">
        <f t="shared" si="1"/>
        <v>0</v>
      </c>
      <c r="AN329" s="36">
        <f t="shared" si="2"/>
        <v>0</v>
      </c>
      <c r="AO329" s="36">
        <f t="shared" si="3"/>
        <v>0</v>
      </c>
      <c r="AP329" s="36">
        <f t="shared" si="4"/>
        <v>0</v>
      </c>
      <c r="AQ329" s="40" t="str">
        <f t="shared" si="5"/>
        <v/>
      </c>
    </row>
    <row r="330" ht="15.75" customHeight="1">
      <c r="A330" s="34" t="s">
        <v>27</v>
      </c>
      <c r="B330" s="35">
        <f t="shared" si="6"/>
        <v>45255</v>
      </c>
      <c r="C330" s="36">
        <v>12.0</v>
      </c>
      <c r="D330" s="36"/>
      <c r="E330" s="36" t="s">
        <v>36</v>
      </c>
      <c r="F330" s="38"/>
      <c r="G330" s="31"/>
      <c r="I330" s="30"/>
      <c r="K330" s="30"/>
      <c r="M330" s="30"/>
      <c r="O330" s="28">
        <v>0.0</v>
      </c>
      <c r="Q330" s="29">
        <v>0.0</v>
      </c>
      <c r="S330" s="29">
        <v>0.0</v>
      </c>
      <c r="U330" s="29"/>
      <c r="W330" s="30"/>
      <c r="Y330" s="30"/>
      <c r="Z330" s="26"/>
      <c r="AA330" s="31"/>
      <c r="AC330" s="30"/>
      <c r="AE330" s="30"/>
      <c r="AG330" s="30"/>
      <c r="AI330" s="30"/>
      <c r="AK330" s="30"/>
      <c r="AL330" s="26"/>
      <c r="AM330" s="39">
        <f t="shared" si="1"/>
        <v>0</v>
      </c>
      <c r="AN330" s="36">
        <f t="shared" si="2"/>
        <v>0</v>
      </c>
      <c r="AO330" s="36">
        <f t="shared" si="3"/>
        <v>0</v>
      </c>
      <c r="AP330" s="36">
        <f t="shared" si="4"/>
        <v>0</v>
      </c>
      <c r="AQ330" s="40" t="str">
        <f t="shared" si="5"/>
        <v/>
      </c>
    </row>
    <row r="331" ht="15.75" customHeight="1">
      <c r="A331" s="46" t="s">
        <v>28</v>
      </c>
      <c r="B331" s="47">
        <f t="shared" si="6"/>
        <v>45256</v>
      </c>
      <c r="C331" s="49">
        <v>12.0</v>
      </c>
      <c r="D331" s="49"/>
      <c r="E331" s="49" t="s">
        <v>36</v>
      </c>
      <c r="F331" s="52"/>
      <c r="G331" s="67"/>
      <c r="H331" s="55"/>
      <c r="I331" s="65"/>
      <c r="J331" s="55"/>
      <c r="K331" s="65"/>
      <c r="L331" s="55"/>
      <c r="M331" s="65"/>
      <c r="N331" s="55"/>
      <c r="O331" s="61">
        <v>0.0</v>
      </c>
      <c r="P331" s="55"/>
      <c r="Q331" s="62">
        <v>0.0</v>
      </c>
      <c r="R331" s="55"/>
      <c r="S331" s="62">
        <v>0.0</v>
      </c>
      <c r="T331" s="55"/>
      <c r="U331" s="62"/>
      <c r="V331" s="55"/>
      <c r="W331" s="65"/>
      <c r="X331" s="55"/>
      <c r="Y331" s="65"/>
      <c r="Z331" s="58"/>
      <c r="AA331" s="67"/>
      <c r="AB331" s="55"/>
      <c r="AC331" s="65"/>
      <c r="AD331" s="55"/>
      <c r="AE331" s="65"/>
      <c r="AF331" s="55"/>
      <c r="AG331" s="65"/>
      <c r="AH331" s="55"/>
      <c r="AI331" s="65"/>
      <c r="AJ331" s="55"/>
      <c r="AK331" s="65"/>
      <c r="AL331" s="58"/>
      <c r="AM331" s="64">
        <f t="shared" si="1"/>
        <v>0</v>
      </c>
      <c r="AN331" s="49">
        <f t="shared" si="2"/>
        <v>0</v>
      </c>
      <c r="AO331" s="49">
        <f t="shared" si="3"/>
        <v>0</v>
      </c>
      <c r="AP331" s="49">
        <f t="shared" si="4"/>
        <v>0</v>
      </c>
      <c r="AQ331" s="66" t="str">
        <f t="shared" si="5"/>
        <v/>
      </c>
    </row>
    <row r="332" ht="15.75" customHeight="1">
      <c r="A332" s="18" t="s">
        <v>21</v>
      </c>
      <c r="B332" s="68">
        <f t="shared" si="6"/>
        <v>45257</v>
      </c>
      <c r="C332" s="20">
        <v>12.0</v>
      </c>
      <c r="D332" s="20"/>
      <c r="E332" s="20" t="s">
        <v>37</v>
      </c>
      <c r="F332" s="22"/>
      <c r="G332" s="31"/>
      <c r="I332" s="30"/>
      <c r="K332" s="30"/>
      <c r="M332" s="30"/>
      <c r="O332" s="28">
        <v>0.0</v>
      </c>
      <c r="Q332" s="29">
        <v>0.0</v>
      </c>
      <c r="S332" s="29">
        <v>0.0</v>
      </c>
      <c r="U332" s="29"/>
      <c r="W332" s="30"/>
      <c r="Y332" s="30"/>
      <c r="Z332" s="26"/>
      <c r="AA332" s="31"/>
      <c r="AC332" s="30"/>
      <c r="AE332" s="30"/>
      <c r="AG332" s="30"/>
      <c r="AI332" s="30"/>
      <c r="AK332" s="30"/>
      <c r="AL332" s="26"/>
      <c r="AM332" s="32">
        <f t="shared" si="1"/>
        <v>0</v>
      </c>
      <c r="AN332" s="20">
        <f t="shared" si="2"/>
        <v>0</v>
      </c>
      <c r="AO332" s="20">
        <f t="shared" si="3"/>
        <v>0</v>
      </c>
      <c r="AP332" s="20">
        <f t="shared" si="4"/>
        <v>0</v>
      </c>
      <c r="AQ332" s="33" t="str">
        <f t="shared" si="5"/>
        <v/>
      </c>
    </row>
    <row r="333" ht="15.75" customHeight="1">
      <c r="A333" s="34" t="s">
        <v>23</v>
      </c>
      <c r="B333" s="35">
        <f t="shared" si="6"/>
        <v>45258</v>
      </c>
      <c r="C333" s="36">
        <v>12.0</v>
      </c>
      <c r="D333" s="36"/>
      <c r="E333" s="36" t="s">
        <v>37</v>
      </c>
      <c r="F333" s="38"/>
      <c r="G333" s="31"/>
      <c r="I333" s="30"/>
      <c r="K333" s="30"/>
      <c r="M333" s="30"/>
      <c r="O333" s="28">
        <v>0.0</v>
      </c>
      <c r="Q333" s="29">
        <v>0.0</v>
      </c>
      <c r="S333" s="29">
        <v>0.0</v>
      </c>
      <c r="U333" s="29"/>
      <c r="W333" s="30"/>
      <c r="Y333" s="30"/>
      <c r="Z333" s="26"/>
      <c r="AA333" s="31"/>
      <c r="AC333" s="30"/>
      <c r="AE333" s="30"/>
      <c r="AG333" s="30"/>
      <c r="AI333" s="30"/>
      <c r="AK333" s="30"/>
      <c r="AL333" s="26"/>
      <c r="AM333" s="39">
        <f t="shared" si="1"/>
        <v>0</v>
      </c>
      <c r="AN333" s="36">
        <f t="shared" si="2"/>
        <v>0</v>
      </c>
      <c r="AO333" s="36">
        <f t="shared" si="3"/>
        <v>0</v>
      </c>
      <c r="AP333" s="36">
        <f t="shared" si="4"/>
        <v>0</v>
      </c>
      <c r="AQ333" s="40" t="str">
        <f t="shared" si="5"/>
        <v/>
      </c>
    </row>
    <row r="334" ht="15.75" customHeight="1">
      <c r="A334" s="34" t="s">
        <v>24</v>
      </c>
      <c r="B334" s="35">
        <f t="shared" si="6"/>
        <v>45259</v>
      </c>
      <c r="C334" s="36">
        <v>12.0</v>
      </c>
      <c r="D334" s="36"/>
      <c r="E334" s="36" t="s">
        <v>37</v>
      </c>
      <c r="F334" s="38"/>
      <c r="G334" s="31"/>
      <c r="I334" s="30"/>
      <c r="K334" s="30"/>
      <c r="M334" s="30"/>
      <c r="O334" s="28">
        <v>0.0</v>
      </c>
      <c r="Q334" s="29">
        <v>0.0</v>
      </c>
      <c r="S334" s="29">
        <v>0.0</v>
      </c>
      <c r="U334" s="29"/>
      <c r="W334" s="30"/>
      <c r="Y334" s="30"/>
      <c r="Z334" s="26"/>
      <c r="AA334" s="31"/>
      <c r="AC334" s="30"/>
      <c r="AE334" s="30"/>
      <c r="AG334" s="30"/>
      <c r="AI334" s="30"/>
      <c r="AK334" s="30"/>
      <c r="AL334" s="26"/>
      <c r="AM334" s="39">
        <f t="shared" si="1"/>
        <v>0</v>
      </c>
      <c r="AN334" s="36">
        <f t="shared" si="2"/>
        <v>0</v>
      </c>
      <c r="AO334" s="36">
        <f t="shared" si="3"/>
        <v>0</v>
      </c>
      <c r="AP334" s="36">
        <f t="shared" si="4"/>
        <v>0</v>
      </c>
      <c r="AQ334" s="40" t="str">
        <f t="shared" si="5"/>
        <v/>
      </c>
    </row>
    <row r="335" ht="15.75" customHeight="1">
      <c r="A335" s="34" t="s">
        <v>25</v>
      </c>
      <c r="B335" s="35">
        <f t="shared" si="6"/>
        <v>45260</v>
      </c>
      <c r="C335" s="36">
        <v>12.0</v>
      </c>
      <c r="D335" s="36"/>
      <c r="E335" s="36" t="s">
        <v>37</v>
      </c>
      <c r="F335" s="38"/>
      <c r="G335" s="31"/>
      <c r="I335" s="30"/>
      <c r="K335" s="30"/>
      <c r="M335" s="30"/>
      <c r="O335" s="28">
        <v>0.0</v>
      </c>
      <c r="Q335" s="29">
        <v>0.0</v>
      </c>
      <c r="S335" s="29">
        <v>0.0</v>
      </c>
      <c r="U335" s="29"/>
      <c r="W335" s="30"/>
      <c r="Y335" s="30"/>
      <c r="Z335" s="26"/>
      <c r="AA335" s="31"/>
      <c r="AC335" s="30"/>
      <c r="AE335" s="30"/>
      <c r="AG335" s="30"/>
      <c r="AI335" s="30"/>
      <c r="AK335" s="30"/>
      <c r="AL335" s="26"/>
      <c r="AM335" s="39">
        <f t="shared" si="1"/>
        <v>0</v>
      </c>
      <c r="AN335" s="36">
        <f t="shared" si="2"/>
        <v>0</v>
      </c>
      <c r="AO335" s="36">
        <f t="shared" si="3"/>
        <v>0</v>
      </c>
      <c r="AP335" s="36">
        <f t="shared" si="4"/>
        <v>0</v>
      </c>
      <c r="AQ335" s="40" t="str">
        <f t="shared" si="5"/>
        <v/>
      </c>
    </row>
    <row r="336" ht="15.75" customHeight="1">
      <c r="A336" s="34" t="s">
        <v>26</v>
      </c>
      <c r="B336" s="35">
        <f t="shared" si="6"/>
        <v>45261</v>
      </c>
      <c r="C336" s="36">
        <v>12.0</v>
      </c>
      <c r="D336" s="36"/>
      <c r="E336" s="36" t="s">
        <v>37</v>
      </c>
      <c r="F336" s="38"/>
      <c r="G336" s="31"/>
      <c r="I336" s="30"/>
      <c r="K336" s="30"/>
      <c r="M336" s="30"/>
      <c r="O336" s="28">
        <v>0.0</v>
      </c>
      <c r="Q336" s="29">
        <v>0.0</v>
      </c>
      <c r="S336" s="29">
        <v>0.0</v>
      </c>
      <c r="U336" s="29"/>
      <c r="W336" s="30"/>
      <c r="Y336" s="30"/>
      <c r="Z336" s="26"/>
      <c r="AA336" s="31"/>
      <c r="AC336" s="30"/>
      <c r="AE336" s="30"/>
      <c r="AG336" s="30"/>
      <c r="AI336" s="30"/>
      <c r="AK336" s="30"/>
      <c r="AL336" s="26"/>
      <c r="AM336" s="39">
        <f t="shared" si="1"/>
        <v>0</v>
      </c>
      <c r="AN336" s="36">
        <f t="shared" si="2"/>
        <v>0</v>
      </c>
      <c r="AO336" s="36">
        <f t="shared" si="3"/>
        <v>0</v>
      </c>
      <c r="AP336" s="36">
        <f t="shared" si="4"/>
        <v>0</v>
      </c>
      <c r="AQ336" s="40" t="str">
        <f t="shared" si="5"/>
        <v/>
      </c>
    </row>
    <row r="337" ht="15.75" customHeight="1">
      <c r="A337" s="34" t="s">
        <v>27</v>
      </c>
      <c r="B337" s="35">
        <f t="shared" si="6"/>
        <v>45262</v>
      </c>
      <c r="C337" s="36">
        <v>12.0</v>
      </c>
      <c r="D337" s="36"/>
      <c r="E337" s="36" t="s">
        <v>37</v>
      </c>
      <c r="F337" s="38"/>
      <c r="G337" s="31"/>
      <c r="I337" s="30"/>
      <c r="K337" s="30"/>
      <c r="M337" s="30"/>
      <c r="O337" s="28">
        <v>0.0</v>
      </c>
      <c r="Q337" s="29">
        <v>0.0</v>
      </c>
      <c r="S337" s="29">
        <v>0.0</v>
      </c>
      <c r="U337" s="29"/>
      <c r="W337" s="30"/>
      <c r="Y337" s="30"/>
      <c r="Z337" s="26"/>
      <c r="AA337" s="31"/>
      <c r="AC337" s="30"/>
      <c r="AE337" s="30"/>
      <c r="AG337" s="30"/>
      <c r="AI337" s="30"/>
      <c r="AK337" s="30"/>
      <c r="AL337" s="26"/>
      <c r="AM337" s="39">
        <f t="shared" si="1"/>
        <v>0</v>
      </c>
      <c r="AN337" s="36">
        <f t="shared" si="2"/>
        <v>0</v>
      </c>
      <c r="AO337" s="36">
        <f t="shared" si="3"/>
        <v>0</v>
      </c>
      <c r="AP337" s="36">
        <f t="shared" si="4"/>
        <v>0</v>
      </c>
      <c r="AQ337" s="40" t="str">
        <f t="shared" si="5"/>
        <v/>
      </c>
    </row>
    <row r="338" ht="15.75" customHeight="1">
      <c r="A338" s="46" t="s">
        <v>28</v>
      </c>
      <c r="B338" s="47">
        <f t="shared" si="6"/>
        <v>45263</v>
      </c>
      <c r="C338" s="49">
        <v>12.0</v>
      </c>
      <c r="D338" s="49"/>
      <c r="E338" s="49" t="s">
        <v>37</v>
      </c>
      <c r="F338" s="52"/>
      <c r="G338" s="67"/>
      <c r="H338" s="55"/>
      <c r="I338" s="65"/>
      <c r="J338" s="55"/>
      <c r="K338" s="65"/>
      <c r="L338" s="55"/>
      <c r="M338" s="65"/>
      <c r="N338" s="55"/>
      <c r="O338" s="61">
        <v>0.0</v>
      </c>
      <c r="P338" s="55"/>
      <c r="Q338" s="62">
        <v>0.0</v>
      </c>
      <c r="R338" s="55"/>
      <c r="S338" s="62">
        <v>0.0</v>
      </c>
      <c r="T338" s="55"/>
      <c r="U338" s="62"/>
      <c r="V338" s="55"/>
      <c r="W338" s="65"/>
      <c r="X338" s="55"/>
      <c r="Y338" s="65"/>
      <c r="Z338" s="58"/>
      <c r="AA338" s="67"/>
      <c r="AB338" s="55"/>
      <c r="AC338" s="65"/>
      <c r="AD338" s="55"/>
      <c r="AE338" s="65"/>
      <c r="AF338" s="55"/>
      <c r="AG338" s="65"/>
      <c r="AH338" s="55"/>
      <c r="AI338" s="65"/>
      <c r="AJ338" s="55"/>
      <c r="AK338" s="65"/>
      <c r="AL338" s="58"/>
      <c r="AM338" s="64">
        <f t="shared" si="1"/>
        <v>0</v>
      </c>
      <c r="AN338" s="49">
        <f t="shared" si="2"/>
        <v>0</v>
      </c>
      <c r="AO338" s="49">
        <f t="shared" si="3"/>
        <v>0</v>
      </c>
      <c r="AP338" s="49">
        <f t="shared" si="4"/>
        <v>0</v>
      </c>
      <c r="AQ338" s="66" t="str">
        <f t="shared" si="5"/>
        <v/>
      </c>
    </row>
    <row r="339" ht="15.75" customHeight="1">
      <c r="A339" s="18" t="s">
        <v>21</v>
      </c>
      <c r="B339" s="68">
        <f t="shared" si="6"/>
        <v>45264</v>
      </c>
      <c r="C339" s="20">
        <v>13.0</v>
      </c>
      <c r="D339" s="20"/>
      <c r="E339" s="20" t="s">
        <v>22</v>
      </c>
      <c r="F339" s="22"/>
      <c r="G339" s="31"/>
      <c r="I339" s="30"/>
      <c r="K339" s="30"/>
      <c r="M339" s="30"/>
      <c r="O339" s="28">
        <v>0.0</v>
      </c>
      <c r="Q339" s="29">
        <v>0.0</v>
      </c>
      <c r="S339" s="29">
        <v>0.0</v>
      </c>
      <c r="U339" s="29"/>
      <c r="W339" s="30"/>
      <c r="Y339" s="30"/>
      <c r="Z339" s="26"/>
      <c r="AA339" s="31"/>
      <c r="AC339" s="30"/>
      <c r="AE339" s="30"/>
      <c r="AG339" s="30"/>
      <c r="AI339" s="30"/>
      <c r="AK339" s="30"/>
      <c r="AL339" s="26"/>
      <c r="AM339" s="32">
        <f t="shared" si="1"/>
        <v>0</v>
      </c>
      <c r="AN339" s="20">
        <f t="shared" si="2"/>
        <v>0</v>
      </c>
      <c r="AO339" s="20">
        <f t="shared" si="3"/>
        <v>0</v>
      </c>
      <c r="AP339" s="20">
        <f t="shared" si="4"/>
        <v>0</v>
      </c>
      <c r="AQ339" s="33" t="str">
        <f t="shared" si="5"/>
        <v/>
      </c>
    </row>
    <row r="340" ht="15.75" customHeight="1">
      <c r="A340" s="34" t="s">
        <v>23</v>
      </c>
      <c r="B340" s="35">
        <f t="shared" si="6"/>
        <v>45265</v>
      </c>
      <c r="C340" s="36">
        <v>13.0</v>
      </c>
      <c r="D340" s="36"/>
      <c r="E340" s="36" t="s">
        <v>22</v>
      </c>
      <c r="F340" s="38"/>
      <c r="G340" s="31"/>
      <c r="I340" s="30"/>
      <c r="K340" s="30"/>
      <c r="M340" s="30"/>
      <c r="O340" s="28">
        <v>0.0</v>
      </c>
      <c r="Q340" s="29">
        <v>0.0</v>
      </c>
      <c r="S340" s="29">
        <v>0.0</v>
      </c>
      <c r="U340" s="29"/>
      <c r="W340" s="30"/>
      <c r="Y340" s="30"/>
      <c r="Z340" s="26"/>
      <c r="AA340" s="31"/>
      <c r="AC340" s="30"/>
      <c r="AE340" s="30"/>
      <c r="AG340" s="30"/>
      <c r="AI340" s="30"/>
      <c r="AK340" s="30"/>
      <c r="AL340" s="26"/>
      <c r="AM340" s="39">
        <f t="shared" si="1"/>
        <v>0</v>
      </c>
      <c r="AN340" s="36">
        <f t="shared" si="2"/>
        <v>0</v>
      </c>
      <c r="AO340" s="36">
        <f t="shared" si="3"/>
        <v>0</v>
      </c>
      <c r="AP340" s="36">
        <f t="shared" si="4"/>
        <v>0</v>
      </c>
      <c r="AQ340" s="40" t="str">
        <f t="shared" si="5"/>
        <v/>
      </c>
    </row>
    <row r="341" ht="15.75" customHeight="1">
      <c r="A341" s="34" t="s">
        <v>24</v>
      </c>
      <c r="B341" s="35">
        <f t="shared" si="6"/>
        <v>45266</v>
      </c>
      <c r="C341" s="36">
        <v>13.0</v>
      </c>
      <c r="D341" s="36"/>
      <c r="E341" s="36" t="s">
        <v>22</v>
      </c>
      <c r="F341" s="38"/>
      <c r="G341" s="31"/>
      <c r="I341" s="30"/>
      <c r="K341" s="30"/>
      <c r="M341" s="30"/>
      <c r="O341" s="28">
        <v>0.0</v>
      </c>
      <c r="Q341" s="29">
        <v>0.0</v>
      </c>
      <c r="S341" s="29">
        <v>0.0</v>
      </c>
      <c r="U341" s="29"/>
      <c r="W341" s="30"/>
      <c r="Y341" s="30"/>
      <c r="Z341" s="26"/>
      <c r="AA341" s="31"/>
      <c r="AC341" s="30"/>
      <c r="AE341" s="30"/>
      <c r="AG341" s="30"/>
      <c r="AI341" s="30"/>
      <c r="AK341" s="30"/>
      <c r="AL341" s="26"/>
      <c r="AM341" s="39">
        <f t="shared" si="1"/>
        <v>0</v>
      </c>
      <c r="AN341" s="36">
        <f t="shared" si="2"/>
        <v>0</v>
      </c>
      <c r="AO341" s="36">
        <f t="shared" si="3"/>
        <v>0</v>
      </c>
      <c r="AP341" s="36">
        <f t="shared" si="4"/>
        <v>0</v>
      </c>
      <c r="AQ341" s="40" t="str">
        <f t="shared" si="5"/>
        <v/>
      </c>
    </row>
    <row r="342" ht="15.75" customHeight="1">
      <c r="A342" s="34" t="s">
        <v>25</v>
      </c>
      <c r="B342" s="35">
        <f t="shared" si="6"/>
        <v>45267</v>
      </c>
      <c r="C342" s="36">
        <v>13.0</v>
      </c>
      <c r="D342" s="36"/>
      <c r="E342" s="36" t="s">
        <v>22</v>
      </c>
      <c r="F342" s="38"/>
      <c r="G342" s="31"/>
      <c r="I342" s="30"/>
      <c r="K342" s="30"/>
      <c r="M342" s="30"/>
      <c r="O342" s="28">
        <v>0.0</v>
      </c>
      <c r="Q342" s="29">
        <v>0.0</v>
      </c>
      <c r="S342" s="29">
        <v>0.0</v>
      </c>
      <c r="U342" s="29"/>
      <c r="W342" s="30"/>
      <c r="Y342" s="30"/>
      <c r="Z342" s="26"/>
      <c r="AA342" s="31"/>
      <c r="AC342" s="30"/>
      <c r="AE342" s="30"/>
      <c r="AG342" s="30"/>
      <c r="AI342" s="30"/>
      <c r="AK342" s="30"/>
      <c r="AL342" s="26"/>
      <c r="AM342" s="39">
        <f t="shared" si="1"/>
        <v>0</v>
      </c>
      <c r="AN342" s="36">
        <f t="shared" si="2"/>
        <v>0</v>
      </c>
      <c r="AO342" s="36">
        <f t="shared" si="3"/>
        <v>0</v>
      </c>
      <c r="AP342" s="36">
        <f t="shared" si="4"/>
        <v>0</v>
      </c>
      <c r="AQ342" s="40" t="str">
        <f t="shared" si="5"/>
        <v/>
      </c>
    </row>
    <row r="343" ht="15.75" customHeight="1">
      <c r="A343" s="34" t="s">
        <v>26</v>
      </c>
      <c r="B343" s="35">
        <f t="shared" si="6"/>
        <v>45268</v>
      </c>
      <c r="C343" s="36">
        <v>13.0</v>
      </c>
      <c r="D343" s="36"/>
      <c r="E343" s="36" t="s">
        <v>22</v>
      </c>
      <c r="F343" s="38"/>
      <c r="G343" s="31"/>
      <c r="I343" s="30"/>
      <c r="K343" s="30"/>
      <c r="M343" s="30"/>
      <c r="O343" s="28">
        <v>0.0</v>
      </c>
      <c r="Q343" s="29">
        <v>0.0</v>
      </c>
      <c r="S343" s="29">
        <v>0.0</v>
      </c>
      <c r="U343" s="29"/>
      <c r="W343" s="30"/>
      <c r="Y343" s="30"/>
      <c r="Z343" s="26"/>
      <c r="AA343" s="31"/>
      <c r="AC343" s="30"/>
      <c r="AE343" s="30"/>
      <c r="AG343" s="30"/>
      <c r="AI343" s="30"/>
      <c r="AK343" s="30"/>
      <c r="AL343" s="26"/>
      <c r="AM343" s="39">
        <f t="shared" si="1"/>
        <v>0</v>
      </c>
      <c r="AN343" s="36">
        <f t="shared" si="2"/>
        <v>0</v>
      </c>
      <c r="AO343" s="36">
        <f t="shared" si="3"/>
        <v>0</v>
      </c>
      <c r="AP343" s="36">
        <f t="shared" si="4"/>
        <v>0</v>
      </c>
      <c r="AQ343" s="40" t="str">
        <f t="shared" si="5"/>
        <v/>
      </c>
    </row>
    <row r="344" ht="15.75" customHeight="1">
      <c r="A344" s="34" t="s">
        <v>27</v>
      </c>
      <c r="B344" s="35">
        <f t="shared" si="6"/>
        <v>45269</v>
      </c>
      <c r="C344" s="36">
        <v>13.0</v>
      </c>
      <c r="D344" s="36"/>
      <c r="E344" s="36" t="s">
        <v>22</v>
      </c>
      <c r="F344" s="38"/>
      <c r="G344" s="31"/>
      <c r="I344" s="30"/>
      <c r="K344" s="30"/>
      <c r="M344" s="30"/>
      <c r="O344" s="28">
        <v>0.0</v>
      </c>
      <c r="Q344" s="29">
        <v>0.0</v>
      </c>
      <c r="S344" s="29">
        <v>0.0</v>
      </c>
      <c r="U344" s="29"/>
      <c r="W344" s="30"/>
      <c r="Y344" s="30"/>
      <c r="Z344" s="26"/>
      <c r="AA344" s="31"/>
      <c r="AC344" s="30"/>
      <c r="AE344" s="30"/>
      <c r="AG344" s="30"/>
      <c r="AI344" s="30"/>
      <c r="AK344" s="30"/>
      <c r="AL344" s="26"/>
      <c r="AM344" s="39">
        <f t="shared" si="1"/>
        <v>0</v>
      </c>
      <c r="AN344" s="36">
        <f t="shared" si="2"/>
        <v>0</v>
      </c>
      <c r="AO344" s="36">
        <f t="shared" si="3"/>
        <v>0</v>
      </c>
      <c r="AP344" s="36">
        <f t="shared" si="4"/>
        <v>0</v>
      </c>
      <c r="AQ344" s="40" t="str">
        <f t="shared" si="5"/>
        <v/>
      </c>
    </row>
    <row r="345" ht="15.75" customHeight="1">
      <c r="A345" s="46" t="s">
        <v>28</v>
      </c>
      <c r="B345" s="47">
        <f t="shared" si="6"/>
        <v>45270</v>
      </c>
      <c r="C345" s="49">
        <v>13.0</v>
      </c>
      <c r="D345" s="49"/>
      <c r="E345" s="49" t="s">
        <v>22</v>
      </c>
      <c r="F345" s="52"/>
      <c r="G345" s="67"/>
      <c r="H345" s="55"/>
      <c r="I345" s="65"/>
      <c r="J345" s="55"/>
      <c r="K345" s="65"/>
      <c r="L345" s="55"/>
      <c r="M345" s="65"/>
      <c r="N345" s="55"/>
      <c r="O345" s="61">
        <v>0.0</v>
      </c>
      <c r="P345" s="55"/>
      <c r="Q345" s="62">
        <v>0.0</v>
      </c>
      <c r="R345" s="55"/>
      <c r="S345" s="62">
        <v>0.0</v>
      </c>
      <c r="T345" s="55"/>
      <c r="U345" s="62"/>
      <c r="V345" s="55"/>
      <c r="W345" s="65"/>
      <c r="X345" s="55"/>
      <c r="Y345" s="65"/>
      <c r="Z345" s="58"/>
      <c r="AA345" s="67"/>
      <c r="AB345" s="55"/>
      <c r="AC345" s="65"/>
      <c r="AD345" s="55"/>
      <c r="AE345" s="65"/>
      <c r="AF345" s="55"/>
      <c r="AG345" s="65"/>
      <c r="AH345" s="55"/>
      <c r="AI345" s="65"/>
      <c r="AJ345" s="55"/>
      <c r="AK345" s="65"/>
      <c r="AL345" s="58"/>
      <c r="AM345" s="64">
        <f t="shared" si="1"/>
        <v>0</v>
      </c>
      <c r="AN345" s="49">
        <f t="shared" si="2"/>
        <v>0</v>
      </c>
      <c r="AO345" s="49">
        <f t="shared" si="3"/>
        <v>0</v>
      </c>
      <c r="AP345" s="49">
        <f t="shared" si="4"/>
        <v>0</v>
      </c>
      <c r="AQ345" s="66" t="str">
        <f t="shared" si="5"/>
        <v/>
      </c>
    </row>
    <row r="346" ht="15.75" customHeight="1">
      <c r="A346" s="18" t="s">
        <v>21</v>
      </c>
      <c r="B346" s="68">
        <f t="shared" si="6"/>
        <v>45271</v>
      </c>
      <c r="C346" s="20">
        <v>13.0</v>
      </c>
      <c r="D346" s="20"/>
      <c r="E346" s="20" t="s">
        <v>34</v>
      </c>
      <c r="F346" s="22"/>
      <c r="G346" s="31"/>
      <c r="I346" s="30"/>
      <c r="K346" s="30"/>
      <c r="M346" s="30"/>
      <c r="O346" s="28">
        <v>0.0</v>
      </c>
      <c r="Q346" s="29">
        <v>0.0</v>
      </c>
      <c r="S346" s="29">
        <v>0.0</v>
      </c>
      <c r="U346" s="29"/>
      <c r="W346" s="30"/>
      <c r="Y346" s="30"/>
      <c r="Z346" s="26"/>
      <c r="AA346" s="31"/>
      <c r="AC346" s="30"/>
      <c r="AE346" s="30"/>
      <c r="AG346" s="30"/>
      <c r="AI346" s="30"/>
      <c r="AK346" s="30"/>
      <c r="AL346" s="26"/>
      <c r="AM346" s="32">
        <f t="shared" si="1"/>
        <v>0</v>
      </c>
      <c r="AN346" s="20">
        <f t="shared" si="2"/>
        <v>0</v>
      </c>
      <c r="AO346" s="20">
        <f t="shared" si="3"/>
        <v>0</v>
      </c>
      <c r="AP346" s="20">
        <f t="shared" si="4"/>
        <v>0</v>
      </c>
      <c r="AQ346" s="33" t="str">
        <f t="shared" si="5"/>
        <v/>
      </c>
    </row>
    <row r="347" ht="15.75" customHeight="1">
      <c r="A347" s="34" t="s">
        <v>23</v>
      </c>
      <c r="B347" s="35">
        <f t="shared" si="6"/>
        <v>45272</v>
      </c>
      <c r="C347" s="36">
        <v>13.0</v>
      </c>
      <c r="D347" s="36"/>
      <c r="E347" s="36" t="s">
        <v>34</v>
      </c>
      <c r="F347" s="38"/>
      <c r="G347" s="31"/>
      <c r="I347" s="30"/>
      <c r="K347" s="30"/>
      <c r="M347" s="30"/>
      <c r="O347" s="28">
        <v>0.0</v>
      </c>
      <c r="Q347" s="29">
        <v>0.0</v>
      </c>
      <c r="S347" s="29">
        <v>0.0</v>
      </c>
      <c r="U347" s="29"/>
      <c r="W347" s="30"/>
      <c r="Y347" s="30"/>
      <c r="Z347" s="26"/>
      <c r="AA347" s="31"/>
      <c r="AC347" s="30"/>
      <c r="AE347" s="30"/>
      <c r="AG347" s="30"/>
      <c r="AI347" s="30"/>
      <c r="AK347" s="30"/>
      <c r="AL347" s="26"/>
      <c r="AM347" s="39">
        <f t="shared" si="1"/>
        <v>0</v>
      </c>
      <c r="AN347" s="36">
        <f t="shared" si="2"/>
        <v>0</v>
      </c>
      <c r="AO347" s="36">
        <f t="shared" si="3"/>
        <v>0</v>
      </c>
      <c r="AP347" s="36">
        <f t="shared" si="4"/>
        <v>0</v>
      </c>
      <c r="AQ347" s="40" t="str">
        <f t="shared" si="5"/>
        <v/>
      </c>
    </row>
    <row r="348" ht="15.75" customHeight="1">
      <c r="A348" s="34" t="s">
        <v>24</v>
      </c>
      <c r="B348" s="35">
        <f t="shared" si="6"/>
        <v>45273</v>
      </c>
      <c r="C348" s="36">
        <v>13.0</v>
      </c>
      <c r="D348" s="36"/>
      <c r="E348" s="36" t="s">
        <v>34</v>
      </c>
      <c r="F348" s="38"/>
      <c r="G348" s="31"/>
      <c r="I348" s="30"/>
      <c r="K348" s="30"/>
      <c r="M348" s="30"/>
      <c r="O348" s="28">
        <v>0.0</v>
      </c>
      <c r="Q348" s="29">
        <v>0.0</v>
      </c>
      <c r="S348" s="29">
        <v>0.0</v>
      </c>
      <c r="U348" s="29"/>
      <c r="W348" s="30"/>
      <c r="Y348" s="30"/>
      <c r="Z348" s="26"/>
      <c r="AA348" s="31"/>
      <c r="AC348" s="30"/>
      <c r="AE348" s="30"/>
      <c r="AG348" s="30"/>
      <c r="AI348" s="30"/>
      <c r="AK348" s="30"/>
      <c r="AL348" s="26"/>
      <c r="AM348" s="39">
        <f t="shared" si="1"/>
        <v>0</v>
      </c>
      <c r="AN348" s="36">
        <f t="shared" si="2"/>
        <v>0</v>
      </c>
      <c r="AO348" s="36">
        <f t="shared" si="3"/>
        <v>0</v>
      </c>
      <c r="AP348" s="36">
        <f t="shared" si="4"/>
        <v>0</v>
      </c>
      <c r="AQ348" s="40" t="str">
        <f t="shared" si="5"/>
        <v/>
      </c>
    </row>
    <row r="349" ht="15.75" customHeight="1">
      <c r="A349" s="34" t="s">
        <v>25</v>
      </c>
      <c r="B349" s="35">
        <f t="shared" si="6"/>
        <v>45274</v>
      </c>
      <c r="C349" s="36">
        <v>13.0</v>
      </c>
      <c r="D349" s="36"/>
      <c r="E349" s="36" t="s">
        <v>34</v>
      </c>
      <c r="F349" s="38"/>
      <c r="G349" s="31"/>
      <c r="I349" s="30"/>
      <c r="K349" s="30"/>
      <c r="M349" s="30"/>
      <c r="O349" s="28">
        <v>0.0</v>
      </c>
      <c r="Q349" s="29">
        <v>0.0</v>
      </c>
      <c r="S349" s="29">
        <v>0.0</v>
      </c>
      <c r="U349" s="29"/>
      <c r="W349" s="30"/>
      <c r="Y349" s="30"/>
      <c r="Z349" s="26"/>
      <c r="AA349" s="31"/>
      <c r="AC349" s="30"/>
      <c r="AE349" s="30"/>
      <c r="AG349" s="30"/>
      <c r="AI349" s="30"/>
      <c r="AK349" s="30"/>
      <c r="AL349" s="26"/>
      <c r="AM349" s="39">
        <f t="shared" si="1"/>
        <v>0</v>
      </c>
      <c r="AN349" s="36">
        <f t="shared" si="2"/>
        <v>0</v>
      </c>
      <c r="AO349" s="36">
        <f t="shared" si="3"/>
        <v>0</v>
      </c>
      <c r="AP349" s="36">
        <f t="shared" si="4"/>
        <v>0</v>
      </c>
      <c r="AQ349" s="40" t="str">
        <f t="shared" si="5"/>
        <v/>
      </c>
    </row>
    <row r="350" ht="15.75" customHeight="1">
      <c r="A350" s="34" t="s">
        <v>26</v>
      </c>
      <c r="B350" s="35">
        <f t="shared" si="6"/>
        <v>45275</v>
      </c>
      <c r="C350" s="36">
        <v>13.0</v>
      </c>
      <c r="D350" s="36"/>
      <c r="E350" s="36" t="s">
        <v>34</v>
      </c>
      <c r="F350" s="38"/>
      <c r="G350" s="31"/>
      <c r="I350" s="30"/>
      <c r="K350" s="30"/>
      <c r="M350" s="30"/>
      <c r="O350" s="28">
        <v>0.0</v>
      </c>
      <c r="Q350" s="29">
        <v>0.0</v>
      </c>
      <c r="S350" s="29">
        <v>0.0</v>
      </c>
      <c r="U350" s="29"/>
      <c r="W350" s="30"/>
      <c r="Y350" s="30"/>
      <c r="Z350" s="26"/>
      <c r="AA350" s="31"/>
      <c r="AC350" s="30"/>
      <c r="AE350" s="30"/>
      <c r="AG350" s="30"/>
      <c r="AI350" s="30"/>
      <c r="AK350" s="30"/>
      <c r="AL350" s="26"/>
      <c r="AM350" s="39">
        <f t="shared" si="1"/>
        <v>0</v>
      </c>
      <c r="AN350" s="36">
        <f t="shared" si="2"/>
        <v>0</v>
      </c>
      <c r="AO350" s="36">
        <f t="shared" si="3"/>
        <v>0</v>
      </c>
      <c r="AP350" s="36">
        <f t="shared" si="4"/>
        <v>0</v>
      </c>
      <c r="AQ350" s="40" t="str">
        <f t="shared" si="5"/>
        <v/>
      </c>
    </row>
    <row r="351" ht="15.75" customHeight="1">
      <c r="A351" s="34" t="s">
        <v>27</v>
      </c>
      <c r="B351" s="35">
        <f t="shared" si="6"/>
        <v>45276</v>
      </c>
      <c r="C351" s="36">
        <v>13.0</v>
      </c>
      <c r="D351" s="36"/>
      <c r="E351" s="36" t="s">
        <v>34</v>
      </c>
      <c r="F351" s="38"/>
      <c r="G351" s="31"/>
      <c r="I351" s="30"/>
      <c r="K351" s="30"/>
      <c r="M351" s="30"/>
      <c r="O351" s="28">
        <v>0.0</v>
      </c>
      <c r="Q351" s="29">
        <v>0.0</v>
      </c>
      <c r="S351" s="29">
        <v>0.0</v>
      </c>
      <c r="U351" s="29"/>
      <c r="W351" s="30"/>
      <c r="Y351" s="30"/>
      <c r="Z351" s="26"/>
      <c r="AA351" s="31"/>
      <c r="AC351" s="30"/>
      <c r="AE351" s="30"/>
      <c r="AG351" s="30"/>
      <c r="AI351" s="30"/>
      <c r="AK351" s="30"/>
      <c r="AL351" s="26"/>
      <c r="AM351" s="39">
        <f t="shared" si="1"/>
        <v>0</v>
      </c>
      <c r="AN351" s="36">
        <f t="shared" si="2"/>
        <v>0</v>
      </c>
      <c r="AO351" s="36">
        <f t="shared" si="3"/>
        <v>0</v>
      </c>
      <c r="AP351" s="36">
        <f t="shared" si="4"/>
        <v>0</v>
      </c>
      <c r="AQ351" s="40" t="str">
        <f t="shared" si="5"/>
        <v/>
      </c>
    </row>
    <row r="352" ht="15.75" customHeight="1">
      <c r="A352" s="46" t="s">
        <v>28</v>
      </c>
      <c r="B352" s="47">
        <f t="shared" si="6"/>
        <v>45277</v>
      </c>
      <c r="C352" s="49">
        <v>13.0</v>
      </c>
      <c r="D352" s="49"/>
      <c r="E352" s="49" t="s">
        <v>34</v>
      </c>
      <c r="F352" s="52"/>
      <c r="G352" s="67"/>
      <c r="H352" s="55"/>
      <c r="I352" s="65"/>
      <c r="J352" s="55"/>
      <c r="K352" s="65"/>
      <c r="L352" s="55"/>
      <c r="M352" s="65"/>
      <c r="N352" s="55"/>
      <c r="O352" s="61">
        <v>0.0</v>
      </c>
      <c r="P352" s="55"/>
      <c r="Q352" s="62">
        <v>0.0</v>
      </c>
      <c r="R352" s="55"/>
      <c r="S352" s="62">
        <v>0.0</v>
      </c>
      <c r="T352" s="55"/>
      <c r="U352" s="62"/>
      <c r="V352" s="55"/>
      <c r="W352" s="65"/>
      <c r="X352" s="55"/>
      <c r="Y352" s="65"/>
      <c r="Z352" s="58"/>
      <c r="AA352" s="67"/>
      <c r="AB352" s="55"/>
      <c r="AC352" s="65"/>
      <c r="AD352" s="55"/>
      <c r="AE352" s="65"/>
      <c r="AF352" s="55"/>
      <c r="AG352" s="65"/>
      <c r="AH352" s="55"/>
      <c r="AI352" s="65"/>
      <c r="AJ352" s="55"/>
      <c r="AK352" s="65"/>
      <c r="AL352" s="58"/>
      <c r="AM352" s="64">
        <f t="shared" si="1"/>
        <v>0</v>
      </c>
      <c r="AN352" s="49">
        <f t="shared" si="2"/>
        <v>0</v>
      </c>
      <c r="AO352" s="49">
        <f t="shared" si="3"/>
        <v>0</v>
      </c>
      <c r="AP352" s="49">
        <f t="shared" si="4"/>
        <v>0</v>
      </c>
      <c r="AQ352" s="66" t="str">
        <f t="shared" si="5"/>
        <v/>
      </c>
    </row>
    <row r="353" ht="15.75" customHeight="1">
      <c r="A353" s="18" t="s">
        <v>21</v>
      </c>
      <c r="B353" s="68">
        <f t="shared" si="6"/>
        <v>45278</v>
      </c>
      <c r="C353" s="20">
        <v>13.0</v>
      </c>
      <c r="D353" s="20"/>
      <c r="E353" s="20" t="s">
        <v>36</v>
      </c>
      <c r="F353" s="22"/>
      <c r="G353" s="31"/>
      <c r="I353" s="30"/>
      <c r="K353" s="30"/>
      <c r="M353" s="30"/>
      <c r="O353" s="28">
        <v>0.0</v>
      </c>
      <c r="Q353" s="29">
        <v>0.0</v>
      </c>
      <c r="S353" s="29">
        <v>0.0</v>
      </c>
      <c r="U353" s="29"/>
      <c r="W353" s="30"/>
      <c r="Y353" s="30"/>
      <c r="Z353" s="26"/>
      <c r="AA353" s="31"/>
      <c r="AC353" s="30"/>
      <c r="AE353" s="30"/>
      <c r="AG353" s="30"/>
      <c r="AI353" s="30"/>
      <c r="AK353" s="30"/>
      <c r="AL353" s="26"/>
      <c r="AM353" s="32">
        <f t="shared" si="1"/>
        <v>0</v>
      </c>
      <c r="AN353" s="20">
        <f t="shared" si="2"/>
        <v>0</v>
      </c>
      <c r="AO353" s="20">
        <f t="shared" si="3"/>
        <v>0</v>
      </c>
      <c r="AP353" s="20">
        <f t="shared" si="4"/>
        <v>0</v>
      </c>
      <c r="AQ353" s="33" t="str">
        <f t="shared" si="5"/>
        <v/>
      </c>
    </row>
    <row r="354" ht="15.75" customHeight="1">
      <c r="A354" s="34" t="s">
        <v>23</v>
      </c>
      <c r="B354" s="35">
        <f t="shared" si="6"/>
        <v>45279</v>
      </c>
      <c r="C354" s="36">
        <v>13.0</v>
      </c>
      <c r="D354" s="36"/>
      <c r="E354" s="36" t="s">
        <v>36</v>
      </c>
      <c r="F354" s="38"/>
      <c r="G354" s="31"/>
      <c r="I354" s="30"/>
      <c r="K354" s="30"/>
      <c r="M354" s="30"/>
      <c r="O354" s="28">
        <v>0.0</v>
      </c>
      <c r="Q354" s="29">
        <v>0.0</v>
      </c>
      <c r="S354" s="29">
        <v>0.0</v>
      </c>
      <c r="U354" s="29"/>
      <c r="W354" s="30"/>
      <c r="Y354" s="30"/>
      <c r="Z354" s="26"/>
      <c r="AA354" s="31"/>
      <c r="AC354" s="30"/>
      <c r="AE354" s="30"/>
      <c r="AG354" s="30"/>
      <c r="AI354" s="30"/>
      <c r="AK354" s="30"/>
      <c r="AL354" s="26"/>
      <c r="AM354" s="39">
        <f t="shared" si="1"/>
        <v>0</v>
      </c>
      <c r="AN354" s="36">
        <f t="shared" si="2"/>
        <v>0</v>
      </c>
      <c r="AO354" s="36">
        <f t="shared" si="3"/>
        <v>0</v>
      </c>
      <c r="AP354" s="36">
        <f t="shared" si="4"/>
        <v>0</v>
      </c>
      <c r="AQ354" s="40" t="str">
        <f t="shared" si="5"/>
        <v/>
      </c>
    </row>
    <row r="355" ht="15.75" customHeight="1">
      <c r="A355" s="34" t="s">
        <v>24</v>
      </c>
      <c r="B355" s="35">
        <f t="shared" si="6"/>
        <v>45280</v>
      </c>
      <c r="C355" s="36">
        <v>13.0</v>
      </c>
      <c r="D355" s="36"/>
      <c r="E355" s="36" t="s">
        <v>36</v>
      </c>
      <c r="F355" s="38"/>
      <c r="G355" s="31"/>
      <c r="I355" s="30"/>
      <c r="K355" s="30"/>
      <c r="M355" s="30"/>
      <c r="O355" s="28">
        <v>0.0</v>
      </c>
      <c r="Q355" s="29">
        <v>0.0</v>
      </c>
      <c r="S355" s="29">
        <v>0.0</v>
      </c>
      <c r="U355" s="29"/>
      <c r="W355" s="30"/>
      <c r="Y355" s="30"/>
      <c r="Z355" s="26"/>
      <c r="AA355" s="31"/>
      <c r="AC355" s="30"/>
      <c r="AE355" s="30"/>
      <c r="AG355" s="30"/>
      <c r="AI355" s="30"/>
      <c r="AK355" s="30"/>
      <c r="AL355" s="26"/>
      <c r="AM355" s="39">
        <f t="shared" si="1"/>
        <v>0</v>
      </c>
      <c r="AN355" s="36">
        <f t="shared" si="2"/>
        <v>0</v>
      </c>
      <c r="AO355" s="36">
        <f t="shared" si="3"/>
        <v>0</v>
      </c>
      <c r="AP355" s="36">
        <f t="shared" si="4"/>
        <v>0</v>
      </c>
      <c r="AQ355" s="40" t="str">
        <f t="shared" si="5"/>
        <v/>
      </c>
    </row>
    <row r="356" ht="15.75" customHeight="1">
      <c r="A356" s="34" t="s">
        <v>25</v>
      </c>
      <c r="B356" s="35">
        <f t="shared" si="6"/>
        <v>45281</v>
      </c>
      <c r="C356" s="36">
        <v>13.0</v>
      </c>
      <c r="D356" s="36"/>
      <c r="E356" s="36" t="s">
        <v>36</v>
      </c>
      <c r="F356" s="38"/>
      <c r="G356" s="31"/>
      <c r="I356" s="30"/>
      <c r="K356" s="30"/>
      <c r="M356" s="30"/>
      <c r="O356" s="28">
        <v>0.0</v>
      </c>
      <c r="Q356" s="29">
        <v>0.0</v>
      </c>
      <c r="S356" s="29">
        <v>0.0</v>
      </c>
      <c r="U356" s="29"/>
      <c r="W356" s="30"/>
      <c r="Y356" s="30"/>
      <c r="Z356" s="26"/>
      <c r="AA356" s="31"/>
      <c r="AC356" s="30"/>
      <c r="AE356" s="30"/>
      <c r="AG356" s="30"/>
      <c r="AI356" s="30"/>
      <c r="AK356" s="30"/>
      <c r="AL356" s="26"/>
      <c r="AM356" s="39">
        <f t="shared" si="1"/>
        <v>0</v>
      </c>
      <c r="AN356" s="36">
        <f t="shared" si="2"/>
        <v>0</v>
      </c>
      <c r="AO356" s="36">
        <f t="shared" si="3"/>
        <v>0</v>
      </c>
      <c r="AP356" s="36">
        <f t="shared" si="4"/>
        <v>0</v>
      </c>
      <c r="AQ356" s="40" t="str">
        <f t="shared" si="5"/>
        <v/>
      </c>
    </row>
    <row r="357" ht="15.75" customHeight="1">
      <c r="A357" s="34" t="s">
        <v>26</v>
      </c>
      <c r="B357" s="35">
        <f t="shared" si="6"/>
        <v>45282</v>
      </c>
      <c r="C357" s="36">
        <v>13.0</v>
      </c>
      <c r="D357" s="36"/>
      <c r="E357" s="36" t="s">
        <v>36</v>
      </c>
      <c r="F357" s="38"/>
      <c r="G357" s="31"/>
      <c r="I357" s="30"/>
      <c r="K357" s="30"/>
      <c r="M357" s="30"/>
      <c r="O357" s="28">
        <v>0.0</v>
      </c>
      <c r="Q357" s="29">
        <v>0.0</v>
      </c>
      <c r="S357" s="29">
        <v>0.0</v>
      </c>
      <c r="U357" s="29"/>
      <c r="W357" s="30"/>
      <c r="Y357" s="30"/>
      <c r="Z357" s="26"/>
      <c r="AA357" s="31"/>
      <c r="AC357" s="30"/>
      <c r="AE357" s="30"/>
      <c r="AG357" s="30"/>
      <c r="AI357" s="30"/>
      <c r="AK357" s="30"/>
      <c r="AL357" s="26"/>
      <c r="AM357" s="39">
        <f t="shared" si="1"/>
        <v>0</v>
      </c>
      <c r="AN357" s="36">
        <f t="shared" si="2"/>
        <v>0</v>
      </c>
      <c r="AO357" s="36">
        <f t="shared" si="3"/>
        <v>0</v>
      </c>
      <c r="AP357" s="36">
        <f t="shared" si="4"/>
        <v>0</v>
      </c>
      <c r="AQ357" s="40" t="str">
        <f t="shared" si="5"/>
        <v/>
      </c>
    </row>
    <row r="358" ht="15.75" customHeight="1">
      <c r="A358" s="34" t="s">
        <v>27</v>
      </c>
      <c r="B358" s="35">
        <f t="shared" si="6"/>
        <v>45283</v>
      </c>
      <c r="C358" s="36">
        <v>13.0</v>
      </c>
      <c r="D358" s="36"/>
      <c r="E358" s="36" t="s">
        <v>36</v>
      </c>
      <c r="F358" s="38"/>
      <c r="G358" s="31"/>
      <c r="I358" s="30"/>
      <c r="K358" s="30"/>
      <c r="M358" s="30"/>
      <c r="O358" s="28">
        <v>0.0</v>
      </c>
      <c r="Q358" s="29">
        <v>0.0</v>
      </c>
      <c r="S358" s="29">
        <v>0.0</v>
      </c>
      <c r="U358" s="29"/>
      <c r="W358" s="30"/>
      <c r="Y358" s="30"/>
      <c r="Z358" s="26"/>
      <c r="AA358" s="31"/>
      <c r="AC358" s="30"/>
      <c r="AE358" s="30"/>
      <c r="AG358" s="30"/>
      <c r="AI358" s="30"/>
      <c r="AK358" s="30"/>
      <c r="AL358" s="26"/>
      <c r="AM358" s="39">
        <f t="shared" si="1"/>
        <v>0</v>
      </c>
      <c r="AN358" s="36">
        <f t="shared" si="2"/>
        <v>0</v>
      </c>
      <c r="AO358" s="36">
        <f t="shared" si="3"/>
        <v>0</v>
      </c>
      <c r="AP358" s="36">
        <f t="shared" si="4"/>
        <v>0</v>
      </c>
      <c r="AQ358" s="40" t="str">
        <f t="shared" si="5"/>
        <v/>
      </c>
    </row>
    <row r="359" ht="15.75" customHeight="1">
      <c r="A359" s="46" t="s">
        <v>28</v>
      </c>
      <c r="B359" s="47">
        <f t="shared" si="6"/>
        <v>45284</v>
      </c>
      <c r="C359" s="49">
        <v>13.0</v>
      </c>
      <c r="D359" s="49"/>
      <c r="E359" s="49" t="s">
        <v>36</v>
      </c>
      <c r="F359" s="52"/>
      <c r="G359" s="67"/>
      <c r="H359" s="55"/>
      <c r="I359" s="65"/>
      <c r="J359" s="55"/>
      <c r="K359" s="65"/>
      <c r="L359" s="55"/>
      <c r="M359" s="65"/>
      <c r="N359" s="55"/>
      <c r="O359" s="61">
        <v>0.0</v>
      </c>
      <c r="P359" s="55"/>
      <c r="Q359" s="62">
        <v>0.0</v>
      </c>
      <c r="R359" s="55"/>
      <c r="S359" s="62">
        <v>0.0</v>
      </c>
      <c r="T359" s="55"/>
      <c r="U359" s="62"/>
      <c r="V359" s="55"/>
      <c r="W359" s="65"/>
      <c r="X359" s="55"/>
      <c r="Y359" s="65"/>
      <c r="Z359" s="58"/>
      <c r="AA359" s="67"/>
      <c r="AB359" s="55"/>
      <c r="AC359" s="65"/>
      <c r="AD359" s="55"/>
      <c r="AE359" s="65"/>
      <c r="AF359" s="55"/>
      <c r="AG359" s="65"/>
      <c r="AH359" s="55"/>
      <c r="AI359" s="65"/>
      <c r="AJ359" s="55"/>
      <c r="AK359" s="65"/>
      <c r="AL359" s="58"/>
      <c r="AM359" s="64">
        <f t="shared" si="1"/>
        <v>0</v>
      </c>
      <c r="AN359" s="49">
        <f t="shared" si="2"/>
        <v>0</v>
      </c>
      <c r="AO359" s="49">
        <f t="shared" si="3"/>
        <v>0</v>
      </c>
      <c r="AP359" s="49">
        <f t="shared" si="4"/>
        <v>0</v>
      </c>
      <c r="AQ359" s="66" t="str">
        <f t="shared" si="5"/>
        <v/>
      </c>
    </row>
    <row r="360" ht="15.75" customHeight="1">
      <c r="A360" s="310"/>
      <c r="B360" s="311"/>
      <c r="C360" s="312"/>
      <c r="D360" s="312"/>
      <c r="E360" s="312"/>
      <c r="F360" s="312"/>
      <c r="G360" s="312">
        <f>SUM(G3:J359)</f>
        <v>2800</v>
      </c>
      <c r="H360" s="312"/>
      <c r="I360" s="312">
        <f>SUM(I3:L359)</f>
        <v>1400</v>
      </c>
      <c r="J360" s="312"/>
      <c r="K360" s="312"/>
      <c r="L360" s="312"/>
      <c r="M360" s="312"/>
      <c r="N360" s="312"/>
      <c r="O360" s="312"/>
      <c r="P360" s="312">
        <f>SUM(P3:S359)</f>
        <v>30780</v>
      </c>
      <c r="Q360" s="312"/>
      <c r="R360" s="312">
        <f>SUM(R3:U359)</f>
        <v>2250</v>
      </c>
      <c r="S360" s="312"/>
      <c r="T360" s="312">
        <f>SUM(T3:W359)</f>
        <v>0</v>
      </c>
      <c r="U360" s="312"/>
      <c r="V360" s="312"/>
      <c r="W360" s="312"/>
      <c r="X360" s="312"/>
      <c r="Y360" s="312"/>
      <c r="Z360" s="312"/>
      <c r="AA360" s="312"/>
      <c r="AB360" s="312"/>
      <c r="AC360" s="312"/>
      <c r="AD360" s="312"/>
      <c r="AE360" s="312"/>
      <c r="AF360" s="312"/>
      <c r="AG360" s="312"/>
      <c r="AH360" s="312"/>
      <c r="AI360" s="312"/>
      <c r="AJ360" s="312"/>
      <c r="AK360" s="312"/>
      <c r="AL360" s="312"/>
      <c r="AM360" s="312"/>
      <c r="AN360" s="312"/>
      <c r="AO360" s="312"/>
      <c r="AP360" s="312"/>
      <c r="AQ360" s="312"/>
    </row>
    <row r="361">
      <c r="A361" s="310"/>
      <c r="B361" s="311"/>
      <c r="C361" s="312"/>
      <c r="D361" s="312"/>
      <c r="E361" s="312"/>
      <c r="F361" s="312"/>
      <c r="G361" s="312"/>
      <c r="H361" s="314">
        <f>SUM(G3:H359) * H$2</f>
        <v>46004</v>
      </c>
      <c r="I361" s="312"/>
      <c r="J361" s="314">
        <f>SUM(I3:J359) * J$2</f>
        <v>50820</v>
      </c>
      <c r="K361" s="312"/>
      <c r="L361" s="312"/>
      <c r="M361" s="312"/>
      <c r="N361" s="312"/>
      <c r="O361" s="314"/>
      <c r="P361" s="314">
        <f>SUM(O3:P359) * P$2</f>
        <v>469929</v>
      </c>
      <c r="Q361" s="314"/>
      <c r="R361" s="314">
        <f>SUM(Q3:R359) * R$2</f>
        <v>563182.2</v>
      </c>
      <c r="S361" s="314"/>
      <c r="T361" s="314">
        <f>SUM(S3:T359) * T$2</f>
        <v>44415</v>
      </c>
      <c r="U361" s="314"/>
      <c r="V361" s="314">
        <f>SUM(U3:V359) * V$2</f>
        <v>0</v>
      </c>
      <c r="W361" s="315"/>
      <c r="X361" s="312"/>
      <c r="Y361" s="312"/>
      <c r="Z361" s="312"/>
      <c r="AA361" s="312"/>
      <c r="AB361" s="312"/>
      <c r="AC361" s="312"/>
      <c r="AD361" s="312"/>
      <c r="AE361" s="312"/>
      <c r="AF361" s="312"/>
      <c r="AG361" s="312"/>
      <c r="AH361" s="312"/>
      <c r="AI361" s="312"/>
      <c r="AJ361" s="312"/>
      <c r="AK361" s="312"/>
      <c r="AL361" s="312"/>
      <c r="AM361" s="316">
        <f>SUM(AM3:AM359)</f>
        <v>1174350.2</v>
      </c>
      <c r="AN361" s="312"/>
      <c r="AO361" s="312"/>
      <c r="AP361" s="317">
        <f>SUM(AP3:AP359)</f>
        <v>62410</v>
      </c>
      <c r="AQ361" s="312"/>
    </row>
    <row r="362" ht="15.75" customHeight="1">
      <c r="A362" s="310"/>
      <c r="B362" s="311"/>
      <c r="C362" s="312"/>
      <c r="D362" s="312"/>
      <c r="E362" s="312"/>
      <c r="F362" s="312"/>
      <c r="G362" s="312"/>
      <c r="H362" s="312"/>
      <c r="I362" s="312"/>
      <c r="J362" s="312"/>
      <c r="K362" s="312"/>
      <c r="L362" s="312"/>
      <c r="M362" s="312"/>
      <c r="N362" s="312"/>
      <c r="O362" s="312"/>
      <c r="P362" s="312"/>
      <c r="Q362" s="312"/>
      <c r="R362" s="312"/>
      <c r="S362" s="312"/>
      <c r="T362" s="312"/>
      <c r="U362" s="312"/>
      <c r="V362" s="312"/>
      <c r="W362" s="312"/>
      <c r="X362" s="312"/>
      <c r="Y362" s="312"/>
      <c r="Z362" s="312"/>
      <c r="AA362" s="312"/>
      <c r="AB362" s="312"/>
      <c r="AC362" s="312"/>
      <c r="AD362" s="312"/>
      <c r="AE362" s="312"/>
      <c r="AF362" s="312"/>
      <c r="AG362" s="312"/>
      <c r="AH362" s="312"/>
      <c r="AI362" s="312"/>
      <c r="AJ362" s="312"/>
      <c r="AK362" s="312"/>
      <c r="AL362" s="312"/>
      <c r="AM362" s="312"/>
      <c r="AN362" s="312"/>
      <c r="AO362" s="312"/>
      <c r="AP362" s="312"/>
      <c r="AQ362" s="312"/>
    </row>
    <row r="363" ht="15.75" customHeight="1">
      <c r="A363" s="310"/>
      <c r="B363" s="311"/>
      <c r="C363" s="312"/>
      <c r="D363" s="312"/>
      <c r="E363" s="312"/>
      <c r="F363" s="312"/>
      <c r="G363" s="312"/>
      <c r="H363" s="312"/>
      <c r="I363" s="312"/>
      <c r="J363" s="312"/>
      <c r="K363" s="312"/>
      <c r="L363" s="312"/>
      <c r="M363" s="312"/>
      <c r="N363" s="312"/>
      <c r="O363" s="312"/>
      <c r="P363" s="312"/>
      <c r="Q363" s="312"/>
      <c r="R363" s="312"/>
      <c r="S363" s="312"/>
      <c r="T363" s="312"/>
      <c r="U363" s="312"/>
      <c r="V363" s="312"/>
      <c r="W363" s="312"/>
      <c r="X363" s="312"/>
      <c r="Y363" s="312"/>
      <c r="Z363" s="312"/>
      <c r="AA363" s="312"/>
      <c r="AB363" s="312"/>
      <c r="AC363" s="312"/>
      <c r="AD363" s="312"/>
      <c r="AE363" s="312"/>
      <c r="AF363" s="312"/>
      <c r="AG363" s="312"/>
      <c r="AH363" s="312"/>
      <c r="AI363" s="312"/>
      <c r="AJ363" s="312"/>
      <c r="AK363" s="312"/>
      <c r="AL363" s="312"/>
      <c r="AM363" s="359">
        <f>sum(P361:V361)</f>
        <v>1077526.2</v>
      </c>
      <c r="AN363" s="360" t="s">
        <v>52</v>
      </c>
      <c r="AO363" s="312"/>
      <c r="AP363" s="312"/>
      <c r="AQ363" s="312"/>
    </row>
    <row r="364" ht="15.75" customHeight="1">
      <c r="A364" s="310"/>
      <c r="B364" s="311"/>
      <c r="C364" s="312"/>
      <c r="D364" s="312"/>
      <c r="E364" s="312"/>
      <c r="F364" s="312"/>
      <c r="G364" s="312"/>
      <c r="H364" s="312"/>
      <c r="I364" s="312"/>
      <c r="J364" s="312"/>
      <c r="K364" s="312"/>
      <c r="L364" s="312"/>
      <c r="M364" s="312"/>
      <c r="N364" s="312"/>
      <c r="O364" s="312"/>
      <c r="P364" s="312"/>
      <c r="Q364" s="312"/>
      <c r="R364" s="312"/>
      <c r="S364" s="312"/>
      <c r="T364" s="312"/>
      <c r="U364" s="312"/>
      <c r="V364" s="312"/>
      <c r="W364" s="312"/>
      <c r="X364" s="312"/>
      <c r="Y364" s="312"/>
      <c r="Z364" s="312"/>
      <c r="AA364" s="312"/>
      <c r="AB364" s="312"/>
      <c r="AC364" s="312"/>
      <c r="AD364" s="312"/>
      <c r="AE364" s="312"/>
      <c r="AF364" s="312"/>
      <c r="AG364" s="312"/>
      <c r="AH364" s="312"/>
      <c r="AI364" s="312"/>
      <c r="AJ364" s="312"/>
      <c r="AK364" s="312"/>
      <c r="AL364" s="312"/>
      <c r="AM364" s="359">
        <f>sum(H361:J361)</f>
        <v>96824</v>
      </c>
      <c r="AN364" s="360" t="s">
        <v>53</v>
      </c>
      <c r="AO364" s="312"/>
      <c r="AP364" s="312"/>
      <c r="AQ364" s="312"/>
    </row>
    <row r="365" ht="15.75" customHeight="1">
      <c r="A365" s="310"/>
      <c r="B365" s="311"/>
      <c r="C365" s="312"/>
      <c r="D365" s="312"/>
      <c r="E365" s="312"/>
      <c r="F365" s="312"/>
      <c r="G365" s="312"/>
      <c r="H365" s="312"/>
      <c r="I365" s="312"/>
      <c r="J365" s="312"/>
      <c r="K365" s="312"/>
      <c r="L365" s="312"/>
      <c r="M365" s="312"/>
      <c r="N365" s="312"/>
      <c r="O365" s="312"/>
      <c r="P365" s="312"/>
      <c r="Q365" s="312"/>
      <c r="R365" s="312"/>
      <c r="S365" s="312"/>
      <c r="T365" s="312"/>
      <c r="U365" s="312"/>
      <c r="V365" s="312"/>
      <c r="W365" s="312"/>
      <c r="X365" s="312"/>
      <c r="Y365" s="312"/>
      <c r="Z365" s="312"/>
      <c r="AA365" s="312"/>
      <c r="AB365" s="312"/>
      <c r="AC365" s="312"/>
      <c r="AD365" s="312"/>
      <c r="AE365" s="312"/>
      <c r="AF365" s="312"/>
      <c r="AG365" s="312"/>
      <c r="AH365" s="312"/>
      <c r="AI365" s="312"/>
      <c r="AJ365" s="312"/>
      <c r="AK365" s="312"/>
      <c r="AL365" s="312"/>
      <c r="AM365" s="312"/>
      <c r="AN365" s="312"/>
      <c r="AO365" s="312"/>
      <c r="AP365" s="312"/>
      <c r="AQ365" s="312"/>
    </row>
    <row r="366" ht="15.75" customHeight="1">
      <c r="A366" s="318"/>
      <c r="B366" s="312"/>
      <c r="C366" s="312"/>
      <c r="D366" s="312"/>
      <c r="E366" s="312"/>
      <c r="F366" s="312"/>
      <c r="G366" s="312"/>
      <c r="H366" s="312"/>
      <c r="I366" s="312"/>
      <c r="J366" s="312"/>
      <c r="K366" s="312"/>
      <c r="L366" s="312"/>
      <c r="M366" s="312"/>
      <c r="N366" s="312"/>
      <c r="O366" s="312"/>
      <c r="P366" s="312"/>
      <c r="Q366" s="312"/>
      <c r="R366" s="312"/>
      <c r="S366" s="312"/>
      <c r="T366" s="312"/>
      <c r="U366" s="312"/>
      <c r="V366" s="312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  <c r="AJ366" s="312"/>
      <c r="AK366" s="312"/>
      <c r="AL366" s="312"/>
      <c r="AM366" s="359">
        <f>(AM363/0.75) - AM363</f>
        <v>359175.4</v>
      </c>
      <c r="AN366" s="360" t="s">
        <v>54</v>
      </c>
      <c r="AO366" s="312"/>
      <c r="AP366" s="312"/>
      <c r="AQ366" s="312"/>
    </row>
    <row r="367" ht="15.75" customHeight="1">
      <c r="A367" s="318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2"/>
      <c r="S367" s="312"/>
      <c r="T367" s="312"/>
      <c r="U367" s="312"/>
      <c r="V367" s="312"/>
      <c r="W367" s="312"/>
      <c r="X367" s="312"/>
      <c r="Y367" s="312"/>
      <c r="Z367" s="312"/>
      <c r="AA367" s="312"/>
      <c r="AB367" s="312"/>
      <c r="AC367" s="312"/>
      <c r="AD367" s="312"/>
      <c r="AE367" s="312"/>
      <c r="AF367" s="312"/>
      <c r="AG367" s="312"/>
      <c r="AH367" s="312"/>
      <c r="AI367" s="312"/>
      <c r="AJ367" s="312"/>
      <c r="AK367" s="312"/>
      <c r="AL367" s="312"/>
      <c r="AM367" s="361">
        <v>75000.0</v>
      </c>
      <c r="AN367" s="360" t="s">
        <v>55</v>
      </c>
      <c r="AO367" s="29"/>
      <c r="AP367" s="362"/>
      <c r="AQ367" s="29" t="s">
        <v>56</v>
      </c>
    </row>
    <row r="368" ht="15.75" customHeight="1">
      <c r="A368" s="318"/>
      <c r="B368" s="312"/>
      <c r="C368" s="312"/>
      <c r="D368" s="312"/>
      <c r="E368" s="312"/>
      <c r="F368" s="312"/>
      <c r="G368" s="312"/>
      <c r="H368" s="312"/>
      <c r="I368" s="312"/>
      <c r="J368" s="312"/>
      <c r="K368" s="312"/>
      <c r="L368" s="312"/>
      <c r="M368" s="312"/>
      <c r="N368" s="312"/>
      <c r="O368" s="312"/>
      <c r="P368" s="312"/>
      <c r="Q368" s="312"/>
      <c r="R368" s="312"/>
      <c r="S368" s="312"/>
      <c r="T368" s="312"/>
      <c r="U368" s="312"/>
      <c r="V368" s="312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  <c r="AJ368" s="312"/>
      <c r="AK368" s="312"/>
      <c r="AL368" s="312"/>
      <c r="AM368" s="359">
        <f>AM366+AM363</f>
        <v>1436701.6</v>
      </c>
      <c r="AN368" s="312"/>
      <c r="AO368" s="312"/>
      <c r="AP368" s="312"/>
      <c r="AQ368" s="312"/>
    </row>
    <row r="369" ht="15.75" customHeight="1">
      <c r="A369" s="318"/>
      <c r="B369" s="312"/>
      <c r="C369" s="312"/>
      <c r="D369" s="312"/>
      <c r="E369" s="312"/>
      <c r="F369" s="312"/>
      <c r="G369" s="312"/>
      <c r="H369" s="312"/>
      <c r="I369" s="312"/>
      <c r="J369" s="312"/>
      <c r="K369" s="312"/>
      <c r="L369" s="312"/>
      <c r="M369" s="312"/>
      <c r="N369" s="312"/>
      <c r="O369" s="312"/>
      <c r="P369" s="312"/>
      <c r="Q369" s="312"/>
      <c r="R369" s="312"/>
      <c r="S369" s="312"/>
      <c r="T369" s="312"/>
      <c r="U369" s="312"/>
      <c r="V369" s="312"/>
      <c r="W369" s="312"/>
      <c r="X369" s="312"/>
      <c r="Y369" s="312"/>
      <c r="Z369" s="312"/>
      <c r="AA369" s="312"/>
      <c r="AB369" s="312"/>
      <c r="AC369" s="312"/>
      <c r="AD369" s="312"/>
      <c r="AE369" s="312"/>
      <c r="AF369" s="312"/>
      <c r="AG369" s="312"/>
      <c r="AH369" s="312"/>
      <c r="AI369" s="312"/>
      <c r="AJ369" s="312"/>
      <c r="AK369" s="312"/>
      <c r="AL369" s="312"/>
      <c r="AM369" s="312"/>
      <c r="AN369" s="361">
        <v>186300.0</v>
      </c>
      <c r="AO369" s="359">
        <f>(200000+AN369)-AM366</f>
        <v>27124.6</v>
      </c>
      <c r="AP369" s="312"/>
      <c r="AQ369" s="312"/>
    </row>
    <row r="370" ht="15.75" customHeight="1">
      <c r="A370" s="318"/>
      <c r="B370" s="312"/>
      <c r="C370" s="312"/>
      <c r="D370" s="312"/>
      <c r="E370" s="312"/>
      <c r="F370" s="312"/>
      <c r="G370" s="312"/>
      <c r="H370" s="312"/>
      <c r="I370" s="312"/>
      <c r="J370" s="312"/>
      <c r="K370" s="312"/>
      <c r="L370" s="312"/>
      <c r="M370" s="312"/>
      <c r="N370" s="312"/>
      <c r="O370" s="312"/>
      <c r="P370" s="312"/>
      <c r="Q370" s="312"/>
      <c r="R370" s="312"/>
      <c r="S370" s="312"/>
      <c r="T370" s="312"/>
      <c r="U370" s="312"/>
      <c r="V370" s="312"/>
      <c r="W370" s="312"/>
      <c r="X370" s="312"/>
      <c r="Y370" s="312"/>
      <c r="Z370" s="312"/>
      <c r="AA370" s="312"/>
      <c r="AB370" s="312"/>
      <c r="AC370" s="312"/>
      <c r="AD370" s="312"/>
      <c r="AE370" s="312"/>
      <c r="AF370" s="312"/>
      <c r="AG370" s="312"/>
      <c r="AH370" s="312"/>
      <c r="AI370" s="312"/>
      <c r="AJ370" s="312"/>
      <c r="AK370" s="312"/>
      <c r="AL370" s="312"/>
      <c r="AM370" s="312"/>
      <c r="AN370" s="312"/>
      <c r="AO370" s="312"/>
      <c r="AP370" s="312"/>
      <c r="AQ370" s="312"/>
    </row>
    <row r="371" ht="15.75" customHeight="1">
      <c r="A371" s="318"/>
      <c r="B371" s="312"/>
      <c r="C371" s="312"/>
      <c r="D371" s="312"/>
      <c r="E371" s="312"/>
      <c r="F371" s="312"/>
      <c r="G371" s="312"/>
      <c r="H371" s="312"/>
      <c r="I371" s="312"/>
      <c r="J371" s="312"/>
      <c r="K371" s="312"/>
      <c r="L371" s="312"/>
      <c r="M371" s="312"/>
      <c r="N371" s="312"/>
      <c r="O371" s="312"/>
      <c r="P371" s="312"/>
      <c r="Q371" s="312"/>
      <c r="R371" s="312"/>
      <c r="S371" s="312"/>
      <c r="T371" s="312"/>
      <c r="U371" s="312"/>
      <c r="V371" s="312"/>
      <c r="W371" s="312"/>
      <c r="X371" s="312"/>
      <c r="Y371" s="312"/>
      <c r="Z371" s="312"/>
      <c r="AA371" s="312"/>
      <c r="AB371" s="312"/>
      <c r="AC371" s="312"/>
      <c r="AD371" s="312"/>
      <c r="AE371" s="312"/>
      <c r="AF371" s="312"/>
      <c r="AG371" s="312"/>
      <c r="AH371" s="312"/>
      <c r="AI371" s="312"/>
      <c r="AJ371" s="312"/>
      <c r="AK371" s="312"/>
      <c r="AL371" s="312"/>
      <c r="AM371" s="359">
        <f>AM368+AM364+AM367</f>
        <v>1608525.6</v>
      </c>
      <c r="AN371" s="360" t="s">
        <v>57</v>
      </c>
      <c r="AO371" s="312"/>
      <c r="AP371" s="312"/>
      <c r="AQ371" s="312"/>
    </row>
    <row r="372" ht="15.75" customHeight="1">
      <c r="A372" s="318"/>
      <c r="B372" s="312"/>
      <c r="C372" s="312"/>
      <c r="D372" s="312"/>
      <c r="E372" s="312"/>
      <c r="F372" s="312"/>
      <c r="G372" s="312"/>
      <c r="H372" s="312"/>
      <c r="I372" s="312"/>
      <c r="J372" s="312"/>
      <c r="K372" s="312"/>
      <c r="L372" s="312"/>
      <c r="M372" s="312"/>
      <c r="N372" s="312"/>
      <c r="O372" s="312"/>
      <c r="P372" s="312"/>
      <c r="Q372" s="312"/>
      <c r="R372" s="312"/>
      <c r="S372" s="312"/>
      <c r="T372" s="312"/>
      <c r="U372" s="312"/>
      <c r="V372" s="312"/>
      <c r="W372" s="312"/>
      <c r="X372" s="312"/>
      <c r="Y372" s="312"/>
      <c r="Z372" s="312"/>
      <c r="AA372" s="312"/>
      <c r="AB372" s="312"/>
      <c r="AC372" s="312"/>
      <c r="AD372" s="312"/>
      <c r="AE372" s="312"/>
      <c r="AF372" s="312"/>
      <c r="AG372" s="312"/>
      <c r="AH372" s="312"/>
      <c r="AI372" s="312"/>
      <c r="AJ372" s="312"/>
      <c r="AK372" s="312"/>
      <c r="AL372" s="312"/>
      <c r="AM372" s="312"/>
      <c r="AN372" s="312"/>
      <c r="AO372" s="312"/>
      <c r="AP372" s="312"/>
      <c r="AQ372" s="312"/>
    </row>
    <row r="373" ht="15.75" customHeight="1">
      <c r="A373" s="318"/>
      <c r="B373" s="312"/>
      <c r="C373" s="312"/>
      <c r="D373" s="312"/>
      <c r="E373" s="312"/>
      <c r="F373" s="312"/>
      <c r="G373" s="312"/>
      <c r="H373" s="312"/>
      <c r="I373" s="312"/>
      <c r="J373" s="312"/>
      <c r="K373" s="312"/>
      <c r="L373" s="312"/>
      <c r="M373" s="312"/>
      <c r="N373" s="312"/>
      <c r="O373" s="312"/>
      <c r="P373" s="312"/>
      <c r="Q373" s="312"/>
      <c r="R373" s="312"/>
      <c r="S373" s="312"/>
      <c r="T373" s="312"/>
      <c r="U373" s="312"/>
      <c r="V373" s="312"/>
      <c r="W373" s="312"/>
      <c r="X373" s="312"/>
      <c r="Y373" s="312"/>
      <c r="Z373" s="312"/>
      <c r="AA373" s="312"/>
      <c r="AB373" s="312"/>
      <c r="AC373" s="312"/>
      <c r="AD373" s="312"/>
      <c r="AE373" s="312"/>
      <c r="AF373" s="312"/>
      <c r="AG373" s="312"/>
      <c r="AH373" s="312"/>
      <c r="AI373" s="312"/>
      <c r="AJ373" s="312"/>
      <c r="AK373" s="312"/>
      <c r="AL373" s="312"/>
      <c r="AM373" s="319" t="s">
        <v>46</v>
      </c>
      <c r="AN373" s="320" t="s">
        <v>47</v>
      </c>
      <c r="AO373" s="320" t="s">
        <v>48</v>
      </c>
      <c r="AP373" s="320" t="s">
        <v>49</v>
      </c>
      <c r="AQ373" s="312"/>
    </row>
    <row r="374" ht="15.75" customHeight="1">
      <c r="A374" s="318"/>
      <c r="B374" s="312"/>
      <c r="C374" s="312"/>
      <c r="D374" s="312"/>
      <c r="E374" s="312"/>
      <c r="F374" s="312"/>
      <c r="G374" s="312"/>
      <c r="H374" s="312"/>
      <c r="I374" s="312"/>
      <c r="J374" s="312"/>
      <c r="K374" s="312"/>
      <c r="L374" s="312"/>
      <c r="M374" s="312"/>
      <c r="N374" s="312"/>
      <c r="O374" s="312"/>
      <c r="P374" s="312"/>
      <c r="Q374" s="312"/>
      <c r="R374" s="312"/>
      <c r="S374" s="312"/>
      <c r="T374" s="312"/>
      <c r="U374" s="312"/>
      <c r="V374" s="312"/>
      <c r="W374" s="312"/>
      <c r="X374" s="312"/>
      <c r="Y374" s="312"/>
      <c r="Z374" s="312"/>
      <c r="AA374" s="312"/>
      <c r="AB374" s="312"/>
      <c r="AC374" s="312"/>
      <c r="AD374" s="312"/>
      <c r="AE374" s="312"/>
      <c r="AF374" s="312"/>
      <c r="AG374" s="312"/>
      <c r="AH374" s="312"/>
      <c r="AI374" s="312"/>
      <c r="AJ374" s="312"/>
      <c r="AK374" s="312"/>
      <c r="AL374" s="312"/>
      <c r="AM374" s="319">
        <v>1.0</v>
      </c>
      <c r="AN374" s="321">
        <f t="shared" ref="AN374:AN386" si="7">sumif($C$3:$C$359, AM374, $AM$3:$AM$359)</f>
        <v>31535</v>
      </c>
      <c r="AO374" s="319">
        <f>sum(O3:T30)</f>
        <v>1750</v>
      </c>
      <c r="AP374" s="319">
        <v>0.0</v>
      </c>
      <c r="AQ374" s="312"/>
    </row>
    <row r="375" ht="15.75" customHeight="1">
      <c r="A375" s="318"/>
      <c r="B375" s="312"/>
      <c r="C375" s="312"/>
      <c r="D375" s="312"/>
      <c r="E375" s="312"/>
      <c r="F375" s="312"/>
      <c r="G375" s="312"/>
      <c r="H375" s="312"/>
      <c r="I375" s="312"/>
      <c r="J375" s="312"/>
      <c r="K375" s="312"/>
      <c r="L375" s="312"/>
      <c r="M375" s="312"/>
      <c r="N375" s="312"/>
      <c r="O375" s="312"/>
      <c r="P375" s="312"/>
      <c r="Q375" s="312"/>
      <c r="R375" s="312"/>
      <c r="S375" s="312"/>
      <c r="T375" s="312"/>
      <c r="U375" s="312"/>
      <c r="V375" s="312"/>
      <c r="W375" s="312"/>
      <c r="X375" s="312"/>
      <c r="Y375" s="312"/>
      <c r="Z375" s="312"/>
      <c r="AA375" s="312"/>
      <c r="AB375" s="312"/>
      <c r="AC375" s="312"/>
      <c r="AD375" s="312"/>
      <c r="AE375" s="312"/>
      <c r="AF375" s="312"/>
      <c r="AG375" s="312"/>
      <c r="AH375" s="312"/>
      <c r="AI375" s="312"/>
      <c r="AJ375" s="312"/>
      <c r="AK375" s="312"/>
      <c r="AL375" s="312"/>
      <c r="AM375" s="319">
        <v>2.0</v>
      </c>
      <c r="AN375" s="321">
        <f t="shared" si="7"/>
        <v>123854</v>
      </c>
      <c r="AO375" s="319">
        <f>sum(O31:T58)</f>
        <v>1500</v>
      </c>
      <c r="AP375" s="319">
        <f>sum(G31:N58)</f>
        <v>2800</v>
      </c>
      <c r="AQ375" s="312"/>
    </row>
    <row r="376" ht="15.75" customHeight="1">
      <c r="A376" s="318"/>
      <c r="B376" s="312"/>
      <c r="C376" s="312"/>
      <c r="D376" s="312"/>
      <c r="E376" s="312"/>
      <c r="F376" s="312"/>
      <c r="G376" s="312"/>
      <c r="H376" s="312"/>
      <c r="I376" s="312"/>
      <c r="J376" s="312"/>
      <c r="K376" s="312"/>
      <c r="L376" s="312"/>
      <c r="M376" s="312"/>
      <c r="N376" s="312"/>
      <c r="O376" s="312"/>
      <c r="P376" s="312"/>
      <c r="Q376" s="312"/>
      <c r="R376" s="312"/>
      <c r="S376" s="312"/>
      <c r="T376" s="312"/>
      <c r="U376" s="312"/>
      <c r="V376" s="312"/>
      <c r="W376" s="312"/>
      <c r="X376" s="312"/>
      <c r="Y376" s="312"/>
      <c r="Z376" s="312"/>
      <c r="AA376" s="312"/>
      <c r="AB376" s="312"/>
      <c r="AC376" s="312"/>
      <c r="AD376" s="312"/>
      <c r="AE376" s="312"/>
      <c r="AF376" s="312"/>
      <c r="AG376" s="312"/>
      <c r="AH376" s="312"/>
      <c r="AI376" s="312"/>
      <c r="AJ376" s="312"/>
      <c r="AK376" s="312"/>
      <c r="AL376" s="312"/>
      <c r="AM376" s="319">
        <v>3.0</v>
      </c>
      <c r="AN376" s="321">
        <f t="shared" si="7"/>
        <v>227052</v>
      </c>
      <c r="AO376" s="319">
        <f>sum(O59:Z86)</f>
        <v>12600</v>
      </c>
      <c r="AP376" s="319">
        <f>sum(G59:N86)</f>
        <v>0</v>
      </c>
      <c r="AQ376" s="312"/>
    </row>
    <row r="377" ht="15.75" customHeight="1">
      <c r="A377" s="318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2"/>
      <c r="S377" s="312"/>
      <c r="T377" s="312"/>
      <c r="U377" s="312"/>
      <c r="V377" s="312"/>
      <c r="W377" s="312"/>
      <c r="X377" s="312"/>
      <c r="Y377" s="312"/>
      <c r="Z377" s="312"/>
      <c r="AA377" s="312"/>
      <c r="AB377" s="312"/>
      <c r="AC377" s="312"/>
      <c r="AD377" s="312"/>
      <c r="AE377" s="312"/>
      <c r="AF377" s="312"/>
      <c r="AG377" s="312"/>
      <c r="AH377" s="312"/>
      <c r="AI377" s="312"/>
      <c r="AJ377" s="312"/>
      <c r="AK377" s="312"/>
      <c r="AL377" s="312"/>
      <c r="AM377" s="319">
        <v>4.0</v>
      </c>
      <c r="AN377" s="321">
        <f t="shared" si="7"/>
        <v>111363.6</v>
      </c>
      <c r="AO377" s="319">
        <f>sum(O87:Z114)</f>
        <v>6180</v>
      </c>
      <c r="AP377" s="319">
        <v>0.0</v>
      </c>
      <c r="AQ377" s="312"/>
    </row>
    <row r="378" ht="15.75" customHeight="1">
      <c r="A378" s="318"/>
      <c r="B378" s="312"/>
      <c r="C378" s="312"/>
      <c r="D378" s="312"/>
      <c r="E378" s="312"/>
      <c r="F378" s="312"/>
      <c r="G378" s="312"/>
      <c r="H378" s="312"/>
      <c r="I378" s="312"/>
      <c r="J378" s="312"/>
      <c r="K378" s="312"/>
      <c r="L378" s="312"/>
      <c r="M378" s="312"/>
      <c r="N378" s="312"/>
      <c r="O378" s="312"/>
      <c r="P378" s="312"/>
      <c r="Q378" s="312"/>
      <c r="R378" s="312"/>
      <c r="S378" s="312"/>
      <c r="T378" s="312"/>
      <c r="U378" s="312"/>
      <c r="V378" s="312"/>
      <c r="W378" s="312"/>
      <c r="X378" s="312"/>
      <c r="Y378" s="312"/>
      <c r="Z378" s="312"/>
      <c r="AA378" s="312"/>
      <c r="AB378" s="312"/>
      <c r="AC378" s="312"/>
      <c r="AD378" s="312"/>
      <c r="AE378" s="312"/>
      <c r="AF378" s="312"/>
      <c r="AG378" s="312"/>
      <c r="AH378" s="312"/>
      <c r="AI378" s="312"/>
      <c r="AJ378" s="312"/>
      <c r="AK378" s="312"/>
      <c r="AL378" s="312"/>
      <c r="AM378" s="319">
        <v>5.0</v>
      </c>
      <c r="AN378" s="321">
        <f t="shared" si="7"/>
        <v>108120</v>
      </c>
      <c r="AO378" s="319">
        <f>sum(O115:Z142)</f>
        <v>6000</v>
      </c>
      <c r="AP378" s="319">
        <v>0.0</v>
      </c>
      <c r="AQ378" s="312"/>
    </row>
    <row r="379" ht="15.75" customHeight="1">
      <c r="A379" s="318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2"/>
      <c r="S379" s="312"/>
      <c r="T379" s="312"/>
      <c r="U379" s="312"/>
      <c r="V379" s="312"/>
      <c r="W379" s="312"/>
      <c r="X379" s="312"/>
      <c r="Y379" s="312"/>
      <c r="Z379" s="312"/>
      <c r="AA379" s="312"/>
      <c r="AB379" s="312"/>
      <c r="AC379" s="312"/>
      <c r="AD379" s="312"/>
      <c r="AE379" s="312"/>
      <c r="AF379" s="312"/>
      <c r="AG379" s="312"/>
      <c r="AH379" s="312"/>
      <c r="AI379" s="312"/>
      <c r="AJ379" s="312"/>
      <c r="AK379" s="312"/>
      <c r="AL379" s="312"/>
      <c r="AM379" s="319">
        <v>6.0</v>
      </c>
      <c r="AN379" s="321">
        <f t="shared" si="7"/>
        <v>115226.4</v>
      </c>
      <c r="AO379" s="319">
        <f>sum(O143:Z170)</f>
        <v>6360</v>
      </c>
      <c r="AP379" s="319">
        <v>0.0</v>
      </c>
      <c r="AQ379" s="312"/>
    </row>
    <row r="380" ht="15.75" customHeight="1">
      <c r="A380" s="318"/>
      <c r="B380" s="312"/>
      <c r="C380" s="312"/>
      <c r="D380" s="312"/>
      <c r="E380" s="312"/>
      <c r="F380" s="312"/>
      <c r="G380" s="312"/>
      <c r="H380" s="312"/>
      <c r="I380" s="312"/>
      <c r="J380" s="312"/>
      <c r="K380" s="312"/>
      <c r="L380" s="312"/>
      <c r="M380" s="312"/>
      <c r="N380" s="312"/>
      <c r="O380" s="312"/>
      <c r="P380" s="312"/>
      <c r="Q380" s="312"/>
      <c r="R380" s="312"/>
      <c r="S380" s="312"/>
      <c r="T380" s="312"/>
      <c r="U380" s="312"/>
      <c r="V380" s="312"/>
      <c r="W380" s="312"/>
      <c r="X380" s="312"/>
      <c r="Y380" s="312"/>
      <c r="Z380" s="312"/>
      <c r="AA380" s="312"/>
      <c r="AB380" s="312"/>
      <c r="AC380" s="312"/>
      <c r="AD380" s="312"/>
      <c r="AE380" s="312"/>
      <c r="AF380" s="312"/>
      <c r="AG380" s="312"/>
      <c r="AH380" s="312"/>
      <c r="AI380" s="312"/>
      <c r="AJ380" s="312"/>
      <c r="AK380" s="312"/>
      <c r="AL380" s="312"/>
      <c r="AM380" s="319">
        <v>7.0</v>
      </c>
      <c r="AN380" s="321">
        <f t="shared" si="7"/>
        <v>107041.2</v>
      </c>
      <c r="AO380" s="319">
        <f>sum(O171:Z198)</f>
        <v>5880</v>
      </c>
      <c r="AP380" s="319">
        <v>0.0</v>
      </c>
      <c r="AQ380" s="312"/>
    </row>
    <row r="381" ht="15.75" customHeight="1">
      <c r="A381" s="318"/>
      <c r="B381" s="312"/>
      <c r="C381" s="312"/>
      <c r="D381" s="312"/>
      <c r="E381" s="312"/>
      <c r="F381" s="312"/>
      <c r="G381" s="312"/>
      <c r="H381" s="312"/>
      <c r="I381" s="312"/>
      <c r="J381" s="312"/>
      <c r="K381" s="312"/>
      <c r="L381" s="312"/>
      <c r="M381" s="312"/>
      <c r="N381" s="312"/>
      <c r="O381" s="312"/>
      <c r="P381" s="312"/>
      <c r="Q381" s="312"/>
      <c r="R381" s="312"/>
      <c r="S381" s="312"/>
      <c r="T381" s="312"/>
      <c r="U381" s="312"/>
      <c r="V381" s="312"/>
      <c r="W381" s="312"/>
      <c r="X381" s="312"/>
      <c r="Y381" s="312"/>
      <c r="Z381" s="312"/>
      <c r="AA381" s="312"/>
      <c r="AB381" s="312"/>
      <c r="AC381" s="312"/>
      <c r="AD381" s="312"/>
      <c r="AE381" s="312"/>
      <c r="AF381" s="312"/>
      <c r="AG381" s="312"/>
      <c r="AH381" s="312"/>
      <c r="AI381" s="312"/>
      <c r="AJ381" s="312"/>
      <c r="AK381" s="312"/>
      <c r="AL381" s="312"/>
      <c r="AM381" s="319">
        <v>8.0</v>
      </c>
      <c r="AN381" s="321">
        <f t="shared" si="7"/>
        <v>122332.8</v>
      </c>
      <c r="AO381" s="319">
        <f>sum(O199:Z226)</f>
        <v>6720</v>
      </c>
      <c r="AP381" s="319">
        <v>0.0</v>
      </c>
      <c r="AQ381" s="312"/>
    </row>
    <row r="382" ht="15.75" customHeight="1">
      <c r="A382" s="318"/>
      <c r="B382" s="312"/>
      <c r="C382" s="312"/>
      <c r="D382" s="312"/>
      <c r="E382" s="312"/>
      <c r="F382" s="312"/>
      <c r="G382" s="312"/>
      <c r="H382" s="312"/>
      <c r="I382" s="312"/>
      <c r="J382" s="312"/>
      <c r="K382" s="312"/>
      <c r="L382" s="312"/>
      <c r="M382" s="312"/>
      <c r="N382" s="312"/>
      <c r="O382" s="312"/>
      <c r="P382" s="312"/>
      <c r="Q382" s="312"/>
      <c r="R382" s="312"/>
      <c r="S382" s="312"/>
      <c r="T382" s="312"/>
      <c r="U382" s="312"/>
      <c r="V382" s="312"/>
      <c r="W382" s="312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  <c r="AJ382" s="312"/>
      <c r="AK382" s="312"/>
      <c r="AL382" s="312"/>
      <c r="AM382" s="319">
        <v>9.0</v>
      </c>
      <c r="AN382" s="321">
        <f t="shared" si="7"/>
        <v>95353.6</v>
      </c>
      <c r="AO382" s="319">
        <f>sum(O227:Z254)</f>
        <v>5240</v>
      </c>
      <c r="AP382" s="319">
        <v>0.0</v>
      </c>
      <c r="AQ382" s="312"/>
    </row>
    <row r="383" ht="15.75" customHeight="1">
      <c r="A383" s="318"/>
      <c r="B383" s="312"/>
      <c r="C383" s="312"/>
      <c r="D383" s="312"/>
      <c r="E383" s="312"/>
      <c r="F383" s="312"/>
      <c r="G383" s="312"/>
      <c r="H383" s="312"/>
      <c r="I383" s="312"/>
      <c r="J383" s="312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2"/>
      <c r="X383" s="312"/>
      <c r="Y383" s="312"/>
      <c r="Z383" s="312"/>
      <c r="AA383" s="312"/>
      <c r="AB383" s="312"/>
      <c r="AC383" s="312"/>
      <c r="AD383" s="312"/>
      <c r="AE383" s="312"/>
      <c r="AF383" s="312"/>
      <c r="AG383" s="312"/>
      <c r="AH383" s="312"/>
      <c r="AI383" s="312"/>
      <c r="AJ383" s="312"/>
      <c r="AK383" s="312"/>
      <c r="AL383" s="312"/>
      <c r="AM383" s="319">
        <v>10.0</v>
      </c>
      <c r="AN383" s="321">
        <f t="shared" si="7"/>
        <v>95145.6</v>
      </c>
      <c r="AO383" s="319">
        <f>sum(O255:Z282)</f>
        <v>5280</v>
      </c>
      <c r="AP383" s="319">
        <v>0.0</v>
      </c>
      <c r="AQ383" s="312"/>
    </row>
    <row r="384" ht="15.75" customHeight="1">
      <c r="A384" s="318"/>
      <c r="B384" s="312"/>
      <c r="C384" s="312"/>
      <c r="D384" s="312"/>
      <c r="E384" s="312"/>
      <c r="F384" s="312"/>
      <c r="G384" s="312"/>
      <c r="H384" s="312"/>
      <c r="I384" s="312"/>
      <c r="J384" s="312"/>
      <c r="K384" s="312"/>
      <c r="L384" s="312"/>
      <c r="M384" s="312"/>
      <c r="N384" s="312"/>
      <c r="O384" s="312"/>
      <c r="P384" s="312"/>
      <c r="Q384" s="312"/>
      <c r="R384" s="312"/>
      <c r="S384" s="312"/>
      <c r="T384" s="312"/>
      <c r="U384" s="312"/>
      <c r="V384" s="312"/>
      <c r="W384" s="312"/>
      <c r="X384" s="312"/>
      <c r="Y384" s="312"/>
      <c r="Z384" s="312"/>
      <c r="AA384" s="312"/>
      <c r="AB384" s="312"/>
      <c r="AC384" s="312"/>
      <c r="AD384" s="312"/>
      <c r="AE384" s="312"/>
      <c r="AF384" s="312"/>
      <c r="AG384" s="312"/>
      <c r="AH384" s="312"/>
      <c r="AI384" s="312"/>
      <c r="AJ384" s="312"/>
      <c r="AK384" s="312"/>
      <c r="AL384" s="312"/>
      <c r="AM384" s="319">
        <v>11.0</v>
      </c>
      <c r="AN384" s="321">
        <f t="shared" si="7"/>
        <v>34066</v>
      </c>
      <c r="AO384" s="319">
        <f>sum(O283:Z310)</f>
        <v>1900</v>
      </c>
      <c r="AP384" s="319">
        <v>0.0</v>
      </c>
      <c r="AQ384" s="312"/>
    </row>
    <row r="385" ht="15.75" customHeight="1">
      <c r="A385" s="318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2"/>
      <c r="S385" s="312"/>
      <c r="T385" s="312"/>
      <c r="U385" s="312"/>
      <c r="V385" s="312"/>
      <c r="W385" s="312"/>
      <c r="X385" s="312"/>
      <c r="Y385" s="312"/>
      <c r="Z385" s="312"/>
      <c r="AA385" s="312"/>
      <c r="AB385" s="312"/>
      <c r="AC385" s="312"/>
      <c r="AD385" s="312"/>
      <c r="AE385" s="312"/>
      <c r="AF385" s="312"/>
      <c r="AG385" s="312"/>
      <c r="AH385" s="312"/>
      <c r="AI385" s="312"/>
      <c r="AJ385" s="312"/>
      <c r="AK385" s="312"/>
      <c r="AL385" s="312"/>
      <c r="AM385" s="319">
        <v>12.0</v>
      </c>
      <c r="AN385" s="321">
        <f t="shared" si="7"/>
        <v>3260</v>
      </c>
      <c r="AO385" s="319">
        <f>sum(O311:Z338)</f>
        <v>200</v>
      </c>
      <c r="AP385" s="319">
        <v>0.0</v>
      </c>
      <c r="AQ385" s="312"/>
    </row>
    <row r="386" ht="15.75" customHeight="1">
      <c r="A386" s="318"/>
      <c r="B386" s="312"/>
      <c r="C386" s="312"/>
      <c r="D386" s="312"/>
      <c r="E386" s="312"/>
      <c r="F386" s="312"/>
      <c r="G386" s="312"/>
      <c r="H386" s="312"/>
      <c r="I386" s="312"/>
      <c r="J386" s="312"/>
      <c r="K386" s="312"/>
      <c r="L386" s="312"/>
      <c r="M386" s="312"/>
      <c r="N386" s="312"/>
      <c r="O386" s="312"/>
      <c r="P386" s="312"/>
      <c r="Q386" s="312"/>
      <c r="R386" s="312"/>
      <c r="S386" s="312"/>
      <c r="T386" s="312"/>
      <c r="U386" s="312"/>
      <c r="V386" s="312"/>
      <c r="W386" s="312"/>
      <c r="X386" s="312"/>
      <c r="Y386" s="312"/>
      <c r="Z386" s="312"/>
      <c r="AA386" s="312"/>
      <c r="AB386" s="312"/>
      <c r="AC386" s="312"/>
      <c r="AD386" s="312"/>
      <c r="AE386" s="312"/>
      <c r="AF386" s="312"/>
      <c r="AG386" s="312"/>
      <c r="AH386" s="312"/>
      <c r="AI386" s="312"/>
      <c r="AJ386" s="312"/>
      <c r="AK386" s="312"/>
      <c r="AL386" s="312"/>
      <c r="AM386" s="319">
        <v>13.0</v>
      </c>
      <c r="AN386" s="321">
        <f t="shared" si="7"/>
        <v>0</v>
      </c>
      <c r="AO386" s="319">
        <f>sum(O339:Z359)</f>
        <v>0</v>
      </c>
      <c r="AP386" s="319">
        <v>0.0</v>
      </c>
      <c r="AQ386" s="312"/>
    </row>
    <row r="387" ht="15.75" customHeight="1">
      <c r="A387" s="318"/>
      <c r="B387" s="312"/>
      <c r="C387" s="312"/>
      <c r="D387" s="312"/>
      <c r="E387" s="312"/>
      <c r="F387" s="312"/>
      <c r="G387" s="312"/>
      <c r="H387" s="312"/>
      <c r="I387" s="312"/>
      <c r="J387" s="312"/>
      <c r="K387" s="312"/>
      <c r="L387" s="312"/>
      <c r="M387" s="312"/>
      <c r="N387" s="312"/>
      <c r="O387" s="312"/>
      <c r="P387" s="312"/>
      <c r="Q387" s="312"/>
      <c r="R387" s="312"/>
      <c r="S387" s="312"/>
      <c r="T387" s="312"/>
      <c r="U387" s="312"/>
      <c r="V387" s="312"/>
      <c r="W387" s="312"/>
      <c r="X387" s="312"/>
      <c r="Y387" s="312"/>
      <c r="Z387" s="312"/>
      <c r="AA387" s="312"/>
      <c r="AB387" s="312"/>
      <c r="AC387" s="312"/>
      <c r="AD387" s="312"/>
      <c r="AE387" s="312"/>
      <c r="AF387" s="312"/>
      <c r="AG387" s="312"/>
      <c r="AH387" s="312"/>
      <c r="AI387" s="312"/>
      <c r="AJ387" s="312"/>
      <c r="AK387" s="312"/>
      <c r="AL387" s="312"/>
      <c r="AM387" s="312"/>
      <c r="AN387" s="312"/>
      <c r="AO387" s="312"/>
      <c r="AP387" s="312"/>
      <c r="AQ387" s="312"/>
    </row>
    <row r="388" ht="15.75" customHeight="1">
      <c r="A388" s="318"/>
      <c r="B388" s="312"/>
      <c r="C388" s="312"/>
      <c r="D388" s="312"/>
      <c r="E388" s="312"/>
      <c r="F388" s="312"/>
      <c r="G388" s="312"/>
      <c r="H388" s="312"/>
      <c r="I388" s="312"/>
      <c r="J388" s="312"/>
      <c r="K388" s="312"/>
      <c r="L388" s="312"/>
      <c r="M388" s="312"/>
      <c r="N388" s="312"/>
      <c r="O388" s="312"/>
      <c r="P388" s="312"/>
      <c r="Q388" s="312"/>
      <c r="R388" s="312"/>
      <c r="S388" s="312"/>
      <c r="T388" s="312"/>
      <c r="U388" s="312"/>
      <c r="V388" s="312"/>
      <c r="W388" s="312"/>
      <c r="X388" s="312"/>
      <c r="Y388" s="312"/>
      <c r="Z388" s="312"/>
      <c r="AA388" s="312"/>
      <c r="AB388" s="312"/>
      <c r="AC388" s="312"/>
      <c r="AD388" s="312"/>
      <c r="AE388" s="312"/>
      <c r="AF388" s="312"/>
      <c r="AG388" s="312"/>
      <c r="AH388" s="312"/>
      <c r="AI388" s="312"/>
      <c r="AJ388" s="312"/>
      <c r="AK388" s="312"/>
      <c r="AL388" s="312"/>
      <c r="AM388" s="312"/>
      <c r="AN388" s="312"/>
      <c r="AO388" s="312"/>
      <c r="AP388" s="312"/>
      <c r="AQ388" s="312"/>
    </row>
    <row r="389" ht="15.75" customHeight="1">
      <c r="A389" s="318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2"/>
      <c r="S389" s="312"/>
      <c r="T389" s="312"/>
      <c r="U389" s="312"/>
      <c r="V389" s="312"/>
      <c r="W389" s="312"/>
      <c r="X389" s="312"/>
      <c r="Y389" s="312"/>
      <c r="Z389" s="312"/>
      <c r="AA389" s="312"/>
      <c r="AB389" s="312"/>
      <c r="AC389" s="312"/>
      <c r="AD389" s="312"/>
      <c r="AE389" s="312"/>
      <c r="AF389" s="312"/>
      <c r="AG389" s="312"/>
      <c r="AH389" s="312"/>
      <c r="AI389" s="312"/>
      <c r="AJ389" s="312"/>
      <c r="AK389" s="312"/>
      <c r="AL389" s="312"/>
      <c r="AM389" s="312"/>
      <c r="AN389" s="312"/>
      <c r="AO389" s="312"/>
      <c r="AP389" s="312"/>
      <c r="AQ389" s="312"/>
    </row>
    <row r="390" ht="15.75" customHeight="1">
      <c r="A390" s="318"/>
      <c r="B390" s="312"/>
      <c r="C390" s="312"/>
      <c r="D390" s="312"/>
      <c r="E390" s="312"/>
      <c r="F390" s="312"/>
      <c r="G390" s="312"/>
      <c r="H390" s="312"/>
      <c r="I390" s="312"/>
      <c r="J390" s="312"/>
      <c r="K390" s="312"/>
      <c r="L390" s="312"/>
      <c r="M390" s="312"/>
      <c r="N390" s="312"/>
      <c r="O390" s="312"/>
      <c r="P390" s="312"/>
      <c r="Q390" s="312"/>
      <c r="R390" s="312"/>
      <c r="S390" s="312"/>
      <c r="T390" s="312"/>
      <c r="U390" s="312"/>
      <c r="V390" s="312"/>
      <c r="W390" s="312"/>
      <c r="X390" s="312"/>
      <c r="Y390" s="312"/>
      <c r="Z390" s="312"/>
      <c r="AA390" s="312"/>
      <c r="AB390" s="312"/>
      <c r="AC390" s="312"/>
      <c r="AD390" s="312"/>
      <c r="AE390" s="312"/>
      <c r="AF390" s="312"/>
      <c r="AG390" s="312"/>
      <c r="AH390" s="312"/>
      <c r="AI390" s="312"/>
      <c r="AJ390" s="312"/>
      <c r="AK390" s="312"/>
      <c r="AL390" s="312"/>
      <c r="AM390" s="312"/>
      <c r="AN390" s="312"/>
      <c r="AO390" s="312"/>
      <c r="AP390" s="312"/>
      <c r="AQ390" s="312"/>
    </row>
    <row r="391" ht="15.75" customHeight="1">
      <c r="A391" s="318"/>
      <c r="B391" s="312"/>
      <c r="C391" s="312"/>
      <c r="D391" s="312"/>
      <c r="E391" s="312"/>
      <c r="F391" s="312"/>
      <c r="G391" s="312"/>
      <c r="H391" s="312"/>
      <c r="I391" s="312"/>
      <c r="J391" s="312"/>
      <c r="K391" s="312"/>
      <c r="L391" s="312"/>
      <c r="M391" s="312"/>
      <c r="N391" s="312"/>
      <c r="O391" s="312"/>
      <c r="P391" s="312"/>
      <c r="Q391" s="312"/>
      <c r="R391" s="312"/>
      <c r="S391" s="312"/>
      <c r="T391" s="312"/>
      <c r="U391" s="312"/>
      <c r="V391" s="312"/>
      <c r="W391" s="312"/>
      <c r="X391" s="312"/>
      <c r="Y391" s="312"/>
      <c r="Z391" s="312"/>
      <c r="AA391" s="312"/>
      <c r="AB391" s="312"/>
      <c r="AC391" s="312"/>
      <c r="AD391" s="312"/>
      <c r="AE391" s="312"/>
      <c r="AF391" s="312"/>
      <c r="AG391" s="312"/>
      <c r="AH391" s="312"/>
      <c r="AI391" s="312"/>
      <c r="AJ391" s="312"/>
      <c r="AK391" s="312"/>
      <c r="AL391" s="312"/>
      <c r="AM391" s="312"/>
      <c r="AN391" s="312"/>
      <c r="AO391" s="312"/>
      <c r="AP391" s="312"/>
      <c r="AQ391" s="312"/>
    </row>
    <row r="392" ht="15.75" customHeight="1">
      <c r="A392" s="318"/>
      <c r="B392" s="312"/>
      <c r="C392" s="312"/>
      <c r="D392" s="312"/>
      <c r="E392" s="312"/>
      <c r="F392" s="312"/>
      <c r="G392" s="312"/>
      <c r="H392" s="312"/>
      <c r="I392" s="312"/>
      <c r="J392" s="312"/>
      <c r="K392" s="312"/>
      <c r="L392" s="312"/>
      <c r="M392" s="312"/>
      <c r="N392" s="312"/>
      <c r="O392" s="312"/>
      <c r="P392" s="312"/>
      <c r="Q392" s="312"/>
      <c r="R392" s="312"/>
      <c r="S392" s="312"/>
      <c r="T392" s="312"/>
      <c r="U392" s="312"/>
      <c r="V392" s="312"/>
      <c r="W392" s="312"/>
      <c r="X392" s="312"/>
      <c r="Y392" s="312"/>
      <c r="Z392" s="312"/>
      <c r="AA392" s="312"/>
      <c r="AB392" s="312"/>
      <c r="AC392" s="312"/>
      <c r="AD392" s="312"/>
      <c r="AE392" s="312"/>
      <c r="AF392" s="312"/>
      <c r="AG392" s="312"/>
      <c r="AH392" s="312"/>
      <c r="AI392" s="312"/>
      <c r="AJ392" s="312"/>
      <c r="AK392" s="312"/>
      <c r="AL392" s="312"/>
      <c r="AM392" s="312"/>
      <c r="AN392" s="312"/>
      <c r="AO392" s="312"/>
      <c r="AP392" s="312"/>
      <c r="AQ392" s="312"/>
    </row>
    <row r="393" ht="15.75" customHeight="1">
      <c r="A393" s="318"/>
      <c r="B393" s="312"/>
      <c r="C393" s="312"/>
      <c r="D393" s="312"/>
      <c r="E393" s="312"/>
      <c r="F393" s="312"/>
      <c r="G393" s="312"/>
      <c r="H393" s="312"/>
      <c r="I393" s="312"/>
      <c r="J393" s="312"/>
      <c r="K393" s="312"/>
      <c r="L393" s="312"/>
      <c r="M393" s="312"/>
      <c r="N393" s="312"/>
      <c r="O393" s="312"/>
      <c r="P393" s="312"/>
      <c r="Q393" s="312"/>
      <c r="R393" s="312"/>
      <c r="S393" s="312"/>
      <c r="T393" s="312"/>
      <c r="U393" s="312"/>
      <c r="V393" s="312"/>
      <c r="W393" s="312"/>
      <c r="X393" s="312"/>
      <c r="Y393" s="312"/>
      <c r="Z393" s="312"/>
      <c r="AA393" s="312"/>
      <c r="AB393" s="312"/>
      <c r="AC393" s="312"/>
      <c r="AD393" s="312"/>
      <c r="AE393" s="312"/>
      <c r="AF393" s="312"/>
      <c r="AG393" s="312"/>
      <c r="AH393" s="312"/>
      <c r="AI393" s="312"/>
      <c r="AJ393" s="312"/>
      <c r="AK393" s="312"/>
      <c r="AL393" s="312"/>
      <c r="AM393" s="312"/>
      <c r="AN393" s="312"/>
      <c r="AO393" s="312"/>
      <c r="AP393" s="312"/>
      <c r="AQ393" s="312"/>
    </row>
    <row r="394" ht="15.75" customHeight="1">
      <c r="A394" s="318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312"/>
      <c r="AH394" s="312"/>
      <c r="AI394" s="312"/>
      <c r="AJ394" s="312"/>
      <c r="AK394" s="312"/>
      <c r="AL394" s="312"/>
      <c r="AM394" s="312"/>
      <c r="AN394" s="312"/>
      <c r="AO394" s="312"/>
      <c r="AP394" s="312"/>
      <c r="AQ394" s="312"/>
    </row>
    <row r="395" ht="15.75" customHeight="1">
      <c r="A395" s="318"/>
      <c r="B395" s="312"/>
      <c r="C395" s="312"/>
      <c r="D395" s="312"/>
      <c r="E395" s="312"/>
      <c r="F395" s="312"/>
      <c r="G395" s="312"/>
      <c r="H395" s="312"/>
      <c r="I395" s="312"/>
      <c r="J395" s="312"/>
      <c r="K395" s="312"/>
      <c r="L395" s="312"/>
      <c r="M395" s="312"/>
      <c r="N395" s="312"/>
      <c r="O395" s="312"/>
      <c r="P395" s="312"/>
      <c r="Q395" s="312"/>
      <c r="R395" s="312"/>
      <c r="S395" s="312"/>
      <c r="T395" s="312"/>
      <c r="U395" s="312"/>
      <c r="V395" s="312"/>
      <c r="W395" s="312"/>
      <c r="X395" s="312"/>
      <c r="Y395" s="312"/>
      <c r="Z395" s="312"/>
      <c r="AA395" s="312"/>
      <c r="AB395" s="312"/>
      <c r="AC395" s="312"/>
      <c r="AD395" s="312"/>
      <c r="AE395" s="312"/>
      <c r="AF395" s="312"/>
      <c r="AG395" s="312"/>
      <c r="AH395" s="312"/>
      <c r="AI395" s="312"/>
      <c r="AJ395" s="312"/>
      <c r="AK395" s="312"/>
      <c r="AL395" s="312"/>
      <c r="AM395" s="312"/>
      <c r="AN395" s="312"/>
      <c r="AO395" s="312"/>
      <c r="AP395" s="312"/>
      <c r="AQ395" s="312"/>
    </row>
    <row r="396" ht="15.75" customHeight="1">
      <c r="A396" s="318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2"/>
      <c r="S396" s="312"/>
      <c r="T396" s="312"/>
      <c r="U396" s="312"/>
      <c r="V396" s="312"/>
      <c r="W396" s="312"/>
      <c r="X396" s="312"/>
      <c r="Y396" s="312"/>
      <c r="Z396" s="312"/>
      <c r="AA396" s="312"/>
      <c r="AB396" s="312"/>
      <c r="AC396" s="312"/>
      <c r="AD396" s="312"/>
      <c r="AE396" s="312"/>
      <c r="AF396" s="312"/>
      <c r="AG396" s="312"/>
      <c r="AH396" s="312"/>
      <c r="AI396" s="312"/>
      <c r="AJ396" s="312"/>
      <c r="AK396" s="312"/>
      <c r="AL396" s="312"/>
      <c r="AM396" s="312"/>
      <c r="AN396" s="312"/>
      <c r="AO396" s="312"/>
      <c r="AP396" s="312"/>
      <c r="AQ396" s="312"/>
    </row>
    <row r="397" ht="15.75" customHeight="1">
      <c r="A397" s="318"/>
      <c r="B397" s="312"/>
      <c r="C397" s="312"/>
      <c r="D397" s="312"/>
      <c r="E397" s="312"/>
      <c r="F397" s="312"/>
      <c r="G397" s="312"/>
      <c r="H397" s="312"/>
      <c r="I397" s="312"/>
      <c r="J397" s="312"/>
      <c r="K397" s="312"/>
      <c r="L397" s="312"/>
      <c r="M397" s="312"/>
      <c r="N397" s="312"/>
      <c r="O397" s="312"/>
      <c r="P397" s="312"/>
      <c r="Q397" s="312"/>
      <c r="R397" s="312"/>
      <c r="S397" s="312"/>
      <c r="T397" s="312"/>
      <c r="U397" s="312"/>
      <c r="V397" s="312"/>
      <c r="W397" s="312"/>
      <c r="X397" s="312"/>
      <c r="Y397" s="312"/>
      <c r="Z397" s="312"/>
      <c r="AA397" s="312"/>
      <c r="AB397" s="312"/>
      <c r="AC397" s="312"/>
      <c r="AD397" s="312"/>
      <c r="AE397" s="312"/>
      <c r="AF397" s="312"/>
      <c r="AG397" s="312"/>
      <c r="AH397" s="312"/>
      <c r="AI397" s="312"/>
      <c r="AJ397" s="312"/>
      <c r="AK397" s="312"/>
      <c r="AL397" s="312"/>
      <c r="AM397" s="312"/>
      <c r="AN397" s="312"/>
      <c r="AO397" s="312"/>
      <c r="AP397" s="312"/>
      <c r="AQ397" s="312"/>
    </row>
    <row r="398" ht="15.75" customHeight="1">
      <c r="A398" s="318"/>
      <c r="B398" s="312"/>
      <c r="C398" s="312"/>
      <c r="D398" s="312"/>
      <c r="E398" s="312"/>
      <c r="F398" s="312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2"/>
      <c r="S398" s="312"/>
      <c r="T398" s="312"/>
      <c r="U398" s="312"/>
      <c r="V398" s="312"/>
      <c r="W398" s="312"/>
      <c r="X398" s="312"/>
      <c r="Y398" s="312"/>
      <c r="Z398" s="312"/>
      <c r="AA398" s="312"/>
      <c r="AB398" s="312"/>
      <c r="AC398" s="312"/>
      <c r="AD398" s="312"/>
      <c r="AE398" s="312"/>
      <c r="AF398" s="312"/>
      <c r="AG398" s="312"/>
      <c r="AH398" s="312"/>
      <c r="AI398" s="312"/>
      <c r="AJ398" s="312"/>
      <c r="AK398" s="312"/>
      <c r="AL398" s="312"/>
      <c r="AM398" s="312"/>
      <c r="AN398" s="312"/>
      <c r="AO398" s="312"/>
      <c r="AP398" s="312"/>
      <c r="AQ398" s="312"/>
    </row>
    <row r="399" ht="15.75" customHeight="1">
      <c r="A399" s="318"/>
      <c r="B399" s="312"/>
      <c r="C399" s="312"/>
      <c r="D399" s="312"/>
      <c r="E399" s="312"/>
      <c r="F399" s="312"/>
      <c r="G399" s="312"/>
      <c r="H399" s="312"/>
      <c r="I399" s="312"/>
      <c r="J399" s="312"/>
      <c r="K399" s="312"/>
      <c r="L399" s="312"/>
      <c r="M399" s="312"/>
      <c r="N399" s="312"/>
      <c r="O399" s="312"/>
      <c r="P399" s="312"/>
      <c r="Q399" s="312"/>
      <c r="R399" s="312"/>
      <c r="S399" s="312"/>
      <c r="T399" s="312"/>
      <c r="U399" s="312"/>
      <c r="V399" s="312"/>
      <c r="W399" s="312"/>
      <c r="X399" s="312"/>
      <c r="Y399" s="312"/>
      <c r="Z399" s="312"/>
      <c r="AA399" s="312"/>
      <c r="AB399" s="312"/>
      <c r="AC399" s="312"/>
      <c r="AD399" s="312"/>
      <c r="AE399" s="312"/>
      <c r="AF399" s="312"/>
      <c r="AG399" s="312"/>
      <c r="AH399" s="312"/>
      <c r="AI399" s="312"/>
      <c r="AJ399" s="312"/>
      <c r="AK399" s="312"/>
      <c r="AL399" s="312"/>
      <c r="AM399" s="312"/>
      <c r="AN399" s="312"/>
      <c r="AO399" s="312"/>
      <c r="AP399" s="312"/>
      <c r="AQ399" s="312"/>
    </row>
    <row r="400" ht="15.75" customHeight="1">
      <c r="A400" s="318"/>
      <c r="B400" s="312"/>
      <c r="C400" s="312"/>
      <c r="D400" s="312"/>
      <c r="E400" s="312"/>
      <c r="F400" s="312"/>
      <c r="G400" s="312"/>
      <c r="H400" s="312"/>
      <c r="I400" s="312"/>
      <c r="J400" s="312"/>
      <c r="K400" s="312"/>
      <c r="L400" s="312"/>
      <c r="M400" s="312"/>
      <c r="N400" s="312"/>
      <c r="O400" s="312"/>
      <c r="P400" s="312"/>
      <c r="Q400" s="312"/>
      <c r="R400" s="312"/>
      <c r="S400" s="312"/>
      <c r="T400" s="312"/>
      <c r="U400" s="312"/>
      <c r="V400" s="312"/>
      <c r="W400" s="312"/>
      <c r="X400" s="312"/>
      <c r="Y400" s="312"/>
      <c r="Z400" s="312"/>
      <c r="AA400" s="312"/>
      <c r="AB400" s="312"/>
      <c r="AC400" s="312"/>
      <c r="AD400" s="312"/>
      <c r="AE400" s="312"/>
      <c r="AF400" s="312"/>
      <c r="AG400" s="312"/>
      <c r="AH400" s="312"/>
      <c r="AI400" s="312"/>
      <c r="AJ400" s="312"/>
      <c r="AK400" s="312"/>
      <c r="AL400" s="312"/>
      <c r="AM400" s="312"/>
      <c r="AN400" s="312"/>
      <c r="AO400" s="312"/>
      <c r="AP400" s="312"/>
      <c r="AQ400" s="312"/>
    </row>
    <row r="401" ht="15.75" customHeight="1">
      <c r="A401" s="318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2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312"/>
      <c r="AH401" s="312"/>
      <c r="AI401" s="312"/>
      <c r="AJ401" s="312"/>
      <c r="AK401" s="312"/>
      <c r="AL401" s="312"/>
      <c r="AM401" s="312"/>
      <c r="AN401" s="312"/>
      <c r="AO401" s="312"/>
      <c r="AP401" s="312"/>
      <c r="AQ401" s="312"/>
    </row>
    <row r="402" ht="15.75" customHeight="1">
      <c r="A402" s="318"/>
      <c r="B402" s="312"/>
      <c r="C402" s="312"/>
      <c r="D402" s="312"/>
      <c r="E402" s="312"/>
      <c r="F402" s="312"/>
      <c r="G402" s="312"/>
      <c r="H402" s="312"/>
      <c r="I402" s="312"/>
      <c r="J402" s="312"/>
      <c r="K402" s="312"/>
      <c r="L402" s="312"/>
      <c r="M402" s="312"/>
      <c r="N402" s="312"/>
      <c r="O402" s="312"/>
      <c r="P402" s="312"/>
      <c r="Q402" s="312"/>
      <c r="R402" s="312"/>
      <c r="S402" s="312"/>
      <c r="T402" s="312"/>
      <c r="U402" s="312"/>
      <c r="V402" s="312"/>
      <c r="W402" s="312"/>
      <c r="X402" s="312"/>
      <c r="Y402" s="312"/>
      <c r="Z402" s="312"/>
      <c r="AA402" s="312"/>
      <c r="AB402" s="312"/>
      <c r="AC402" s="312"/>
      <c r="AD402" s="312"/>
      <c r="AE402" s="312"/>
      <c r="AF402" s="312"/>
      <c r="AG402" s="312"/>
      <c r="AH402" s="312"/>
      <c r="AI402" s="312"/>
      <c r="AJ402" s="312"/>
      <c r="AK402" s="312"/>
      <c r="AL402" s="312"/>
      <c r="AM402" s="312"/>
      <c r="AN402" s="312"/>
      <c r="AO402" s="312"/>
      <c r="AP402" s="312"/>
      <c r="AQ402" s="312"/>
    </row>
    <row r="403" ht="15.75" customHeight="1">
      <c r="A403" s="318"/>
      <c r="B403" s="312"/>
      <c r="C403" s="312"/>
      <c r="D403" s="312"/>
      <c r="E403" s="312"/>
      <c r="F403" s="312"/>
      <c r="G403" s="312"/>
      <c r="H403" s="312"/>
      <c r="I403" s="312"/>
      <c r="J403" s="312"/>
      <c r="K403" s="312"/>
      <c r="L403" s="312"/>
      <c r="M403" s="312"/>
      <c r="N403" s="312"/>
      <c r="O403" s="312"/>
      <c r="P403" s="312"/>
      <c r="Q403" s="312"/>
      <c r="R403" s="312"/>
      <c r="S403" s="312"/>
      <c r="T403" s="312"/>
      <c r="U403" s="312"/>
      <c r="V403" s="312"/>
      <c r="W403" s="312"/>
      <c r="X403" s="312"/>
      <c r="Y403" s="312"/>
      <c r="Z403" s="312"/>
      <c r="AA403" s="312"/>
      <c r="AB403" s="312"/>
      <c r="AC403" s="312"/>
      <c r="AD403" s="312"/>
      <c r="AE403" s="312"/>
      <c r="AF403" s="312"/>
      <c r="AG403" s="312"/>
      <c r="AH403" s="312"/>
      <c r="AI403" s="312"/>
      <c r="AJ403" s="312"/>
      <c r="AK403" s="312"/>
      <c r="AL403" s="312"/>
      <c r="AM403" s="312"/>
      <c r="AN403" s="312"/>
      <c r="AO403" s="312"/>
      <c r="AP403" s="312"/>
      <c r="AQ403" s="312"/>
    </row>
    <row r="404" ht="15.75" customHeight="1">
      <c r="A404" s="318"/>
      <c r="B404" s="312"/>
      <c r="C404" s="312"/>
      <c r="D404" s="312"/>
      <c r="E404" s="312"/>
      <c r="F404" s="312"/>
      <c r="G404" s="312"/>
      <c r="H404" s="312"/>
      <c r="I404" s="312"/>
      <c r="J404" s="312"/>
      <c r="K404" s="312"/>
      <c r="L404" s="312"/>
      <c r="M404" s="312"/>
      <c r="N404" s="312"/>
      <c r="O404" s="312"/>
      <c r="P404" s="312"/>
      <c r="Q404" s="312"/>
      <c r="R404" s="312"/>
      <c r="S404" s="312"/>
      <c r="T404" s="312"/>
      <c r="U404" s="312"/>
      <c r="V404" s="312"/>
      <c r="W404" s="312"/>
      <c r="X404" s="312"/>
      <c r="Y404" s="312"/>
      <c r="Z404" s="312"/>
      <c r="AA404" s="312"/>
      <c r="AB404" s="312"/>
      <c r="AC404" s="312"/>
      <c r="AD404" s="312"/>
      <c r="AE404" s="312"/>
      <c r="AF404" s="312"/>
      <c r="AG404" s="312"/>
      <c r="AH404" s="312"/>
      <c r="AI404" s="312"/>
      <c r="AJ404" s="312"/>
      <c r="AK404" s="312"/>
      <c r="AL404" s="312"/>
      <c r="AM404" s="312"/>
      <c r="AN404" s="312"/>
      <c r="AO404" s="312"/>
      <c r="AP404" s="312"/>
      <c r="AQ404" s="312"/>
    </row>
    <row r="405" ht="15.75" customHeight="1">
      <c r="A405" s="318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12"/>
      <c r="AJ405" s="312"/>
      <c r="AK405" s="312"/>
      <c r="AL405" s="312"/>
      <c r="AM405" s="312"/>
      <c r="AN405" s="312"/>
      <c r="AO405" s="312"/>
      <c r="AP405" s="312"/>
      <c r="AQ405" s="312"/>
    </row>
    <row r="406" ht="15.75" customHeight="1">
      <c r="A406" s="318"/>
      <c r="B406" s="312"/>
      <c r="C406" s="312"/>
      <c r="D406" s="312"/>
      <c r="E406" s="312"/>
      <c r="F406" s="312"/>
      <c r="G406" s="312"/>
      <c r="H406" s="312"/>
      <c r="I406" s="312"/>
      <c r="J406" s="312"/>
      <c r="K406" s="312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2"/>
      <c r="W406" s="312"/>
      <c r="X406" s="312"/>
      <c r="Y406" s="312"/>
      <c r="Z406" s="312"/>
      <c r="AA406" s="312"/>
      <c r="AB406" s="312"/>
      <c r="AC406" s="312"/>
      <c r="AD406" s="312"/>
      <c r="AE406" s="312"/>
      <c r="AF406" s="312"/>
      <c r="AG406" s="312"/>
      <c r="AH406" s="312"/>
      <c r="AI406" s="312"/>
      <c r="AJ406" s="312"/>
      <c r="AK406" s="312"/>
      <c r="AL406" s="312"/>
      <c r="AM406" s="312"/>
      <c r="AN406" s="312"/>
      <c r="AO406" s="312"/>
      <c r="AP406" s="312"/>
      <c r="AQ406" s="312"/>
    </row>
    <row r="407" ht="15.75" customHeight="1">
      <c r="A407" s="318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2"/>
      <c r="W407" s="312"/>
      <c r="X407" s="312"/>
      <c r="Y407" s="312"/>
      <c r="Z407" s="312"/>
      <c r="AA407" s="312"/>
      <c r="AB407" s="312"/>
      <c r="AC407" s="312"/>
      <c r="AD407" s="312"/>
      <c r="AE407" s="312"/>
      <c r="AF407" s="312"/>
      <c r="AG407" s="312"/>
      <c r="AH407" s="312"/>
      <c r="AI407" s="312"/>
      <c r="AJ407" s="312"/>
      <c r="AK407" s="312"/>
      <c r="AL407" s="312"/>
      <c r="AM407" s="312"/>
      <c r="AN407" s="312"/>
      <c r="AO407" s="312"/>
      <c r="AP407" s="312"/>
      <c r="AQ407" s="312"/>
    </row>
    <row r="408" ht="15.75" customHeight="1">
      <c r="A408" s="318"/>
      <c r="B408" s="312"/>
      <c r="C408" s="312"/>
      <c r="D408" s="312"/>
      <c r="E408" s="312"/>
      <c r="F408" s="312"/>
      <c r="G408" s="312"/>
      <c r="H408" s="312"/>
      <c r="I408" s="312"/>
      <c r="J408" s="312"/>
      <c r="K408" s="312"/>
      <c r="L408" s="312"/>
      <c r="M408" s="312"/>
      <c r="N408" s="312"/>
      <c r="O408" s="312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312"/>
      <c r="AH408" s="312"/>
      <c r="AI408" s="312"/>
      <c r="AJ408" s="312"/>
      <c r="AK408" s="312"/>
      <c r="AL408" s="312"/>
      <c r="AM408" s="312"/>
      <c r="AN408" s="312"/>
      <c r="AO408" s="312"/>
      <c r="AP408" s="312"/>
      <c r="AQ408" s="312"/>
    </row>
    <row r="409" ht="15.75" customHeight="1">
      <c r="A409" s="318"/>
      <c r="B409" s="312"/>
      <c r="C409" s="312"/>
      <c r="D409" s="312"/>
      <c r="E409" s="312"/>
      <c r="F409" s="312"/>
      <c r="G409" s="312"/>
      <c r="H409" s="312"/>
      <c r="I409" s="312"/>
      <c r="J409" s="312"/>
      <c r="K409" s="312"/>
      <c r="L409" s="312"/>
      <c r="M409" s="312"/>
      <c r="N409" s="312"/>
      <c r="O409" s="312"/>
      <c r="P409" s="312"/>
      <c r="Q409" s="312"/>
      <c r="R409" s="312"/>
      <c r="S409" s="312"/>
      <c r="T409" s="312"/>
      <c r="U409" s="312"/>
      <c r="V409" s="312"/>
      <c r="W409" s="312"/>
      <c r="X409" s="312"/>
      <c r="Y409" s="312"/>
      <c r="Z409" s="312"/>
      <c r="AA409" s="312"/>
      <c r="AB409" s="312"/>
      <c r="AC409" s="312"/>
      <c r="AD409" s="312"/>
      <c r="AE409" s="312"/>
      <c r="AF409" s="312"/>
      <c r="AG409" s="312"/>
      <c r="AH409" s="312"/>
      <c r="AI409" s="312"/>
      <c r="AJ409" s="312"/>
      <c r="AK409" s="312"/>
      <c r="AL409" s="312"/>
      <c r="AM409" s="312"/>
      <c r="AN409" s="312"/>
      <c r="AO409" s="312"/>
      <c r="AP409" s="312"/>
      <c r="AQ409" s="312"/>
    </row>
    <row r="410" ht="15.75" customHeight="1">
      <c r="A410" s="318"/>
      <c r="B410" s="312"/>
      <c r="C410" s="312"/>
      <c r="D410" s="312"/>
      <c r="E410" s="312"/>
      <c r="F410" s="312"/>
      <c r="G410" s="312"/>
      <c r="H410" s="312"/>
      <c r="I410" s="312"/>
      <c r="J410" s="312"/>
      <c r="K410" s="312"/>
      <c r="L410" s="312"/>
      <c r="M410" s="312"/>
      <c r="N410" s="312"/>
      <c r="O410" s="312"/>
      <c r="P410" s="312"/>
      <c r="Q410" s="312"/>
      <c r="R410" s="312"/>
      <c r="S410" s="312"/>
      <c r="T410" s="312"/>
      <c r="U410" s="312"/>
      <c r="V410" s="312"/>
      <c r="W410" s="312"/>
      <c r="X410" s="312"/>
      <c r="Y410" s="312"/>
      <c r="Z410" s="312"/>
      <c r="AA410" s="312"/>
      <c r="AB410" s="312"/>
      <c r="AC410" s="312"/>
      <c r="AD410" s="312"/>
      <c r="AE410" s="312"/>
      <c r="AF410" s="312"/>
      <c r="AG410" s="312"/>
      <c r="AH410" s="312"/>
      <c r="AI410" s="312"/>
      <c r="AJ410" s="312"/>
      <c r="AK410" s="312"/>
      <c r="AL410" s="312"/>
      <c r="AM410" s="312"/>
      <c r="AN410" s="312"/>
      <c r="AO410" s="312"/>
      <c r="AP410" s="312"/>
      <c r="AQ410" s="312"/>
    </row>
    <row r="411" ht="15.75" customHeight="1">
      <c r="A411" s="318"/>
      <c r="B411" s="312"/>
      <c r="C411" s="312"/>
      <c r="D411" s="312"/>
      <c r="E411" s="312"/>
      <c r="F411" s="312"/>
      <c r="G411" s="312"/>
      <c r="H411" s="312"/>
      <c r="I411" s="312"/>
      <c r="J411" s="312"/>
      <c r="K411" s="312"/>
      <c r="L411" s="312"/>
      <c r="M411" s="312"/>
      <c r="N411" s="312"/>
      <c r="O411" s="312"/>
      <c r="P411" s="312"/>
      <c r="Q411" s="312"/>
      <c r="R411" s="312"/>
      <c r="S411" s="312"/>
      <c r="T411" s="312"/>
      <c r="U411" s="312"/>
      <c r="V411" s="312"/>
      <c r="W411" s="312"/>
      <c r="X411" s="312"/>
      <c r="Y411" s="312"/>
      <c r="Z411" s="312"/>
      <c r="AA411" s="312"/>
      <c r="AB411" s="312"/>
      <c r="AC411" s="312"/>
      <c r="AD411" s="312"/>
      <c r="AE411" s="312"/>
      <c r="AF411" s="312"/>
      <c r="AG411" s="312"/>
      <c r="AH411" s="312"/>
      <c r="AI411" s="312"/>
      <c r="AJ411" s="312"/>
      <c r="AK411" s="312"/>
      <c r="AL411" s="312"/>
      <c r="AM411" s="312"/>
      <c r="AN411" s="312"/>
      <c r="AO411" s="312"/>
      <c r="AP411" s="312"/>
      <c r="AQ411" s="312"/>
    </row>
    <row r="412" ht="15.75" customHeight="1">
      <c r="A412" s="318"/>
      <c r="B412" s="312"/>
      <c r="C412" s="312"/>
      <c r="D412" s="312"/>
      <c r="E412" s="312"/>
      <c r="F412" s="312"/>
      <c r="G412" s="312"/>
      <c r="H412" s="312"/>
      <c r="I412" s="312"/>
      <c r="J412" s="312"/>
      <c r="K412" s="312"/>
      <c r="L412" s="312"/>
      <c r="M412" s="312"/>
      <c r="N412" s="312"/>
      <c r="O412" s="312"/>
      <c r="P412" s="312"/>
      <c r="Q412" s="312"/>
      <c r="R412" s="312"/>
      <c r="S412" s="312"/>
      <c r="T412" s="312"/>
      <c r="U412" s="312"/>
      <c r="V412" s="312"/>
      <c r="W412" s="312"/>
      <c r="X412" s="312"/>
      <c r="Y412" s="312"/>
      <c r="Z412" s="312"/>
      <c r="AA412" s="312"/>
      <c r="AB412" s="312"/>
      <c r="AC412" s="312"/>
      <c r="AD412" s="312"/>
      <c r="AE412" s="312"/>
      <c r="AF412" s="312"/>
      <c r="AG412" s="312"/>
      <c r="AH412" s="312"/>
      <c r="AI412" s="312"/>
      <c r="AJ412" s="312"/>
      <c r="AK412" s="312"/>
      <c r="AL412" s="312"/>
      <c r="AM412" s="312"/>
      <c r="AN412" s="312"/>
      <c r="AO412" s="312"/>
      <c r="AP412" s="312"/>
      <c r="AQ412" s="312"/>
    </row>
    <row r="413" ht="15.75" customHeight="1">
      <c r="A413" s="318"/>
      <c r="B413" s="312"/>
      <c r="C413" s="312"/>
      <c r="D413" s="312"/>
      <c r="E413" s="312"/>
      <c r="F413" s="312"/>
      <c r="G413" s="312"/>
      <c r="H413" s="312"/>
      <c r="I413" s="312"/>
      <c r="J413" s="312"/>
      <c r="K413" s="312"/>
      <c r="L413" s="312"/>
      <c r="M413" s="312"/>
      <c r="N413" s="312"/>
      <c r="O413" s="312"/>
      <c r="P413" s="312"/>
      <c r="Q413" s="312"/>
      <c r="R413" s="312"/>
      <c r="S413" s="312"/>
      <c r="T413" s="312"/>
      <c r="U413" s="312"/>
      <c r="V413" s="312"/>
      <c r="W413" s="312"/>
      <c r="X413" s="312"/>
      <c r="Y413" s="312"/>
      <c r="Z413" s="312"/>
      <c r="AA413" s="312"/>
      <c r="AB413" s="312"/>
      <c r="AC413" s="312"/>
      <c r="AD413" s="312"/>
      <c r="AE413" s="312"/>
      <c r="AF413" s="312"/>
      <c r="AG413" s="312"/>
      <c r="AH413" s="312"/>
      <c r="AI413" s="312"/>
      <c r="AJ413" s="312"/>
      <c r="AK413" s="312"/>
      <c r="AL413" s="312"/>
      <c r="AM413" s="312"/>
      <c r="AN413" s="312"/>
      <c r="AO413" s="312"/>
      <c r="AP413" s="312"/>
      <c r="AQ413" s="312"/>
    </row>
    <row r="414" ht="15.75" customHeight="1">
      <c r="A414" s="318"/>
      <c r="B414" s="312"/>
      <c r="C414" s="312"/>
      <c r="D414" s="312"/>
      <c r="E414" s="312"/>
      <c r="F414" s="312"/>
      <c r="G414" s="312"/>
      <c r="H414" s="312"/>
      <c r="I414" s="312"/>
      <c r="J414" s="312"/>
      <c r="K414" s="312"/>
      <c r="L414" s="312"/>
      <c r="M414" s="312"/>
      <c r="N414" s="312"/>
      <c r="O414" s="312"/>
      <c r="P414" s="312"/>
      <c r="Q414" s="312"/>
      <c r="R414" s="312"/>
      <c r="S414" s="312"/>
      <c r="T414" s="312"/>
      <c r="U414" s="312"/>
      <c r="V414" s="312"/>
      <c r="W414" s="312"/>
      <c r="X414" s="312"/>
      <c r="Y414" s="312"/>
      <c r="Z414" s="312"/>
      <c r="AA414" s="312"/>
      <c r="AB414" s="312"/>
      <c r="AC414" s="312"/>
      <c r="AD414" s="312"/>
      <c r="AE414" s="312"/>
      <c r="AF414" s="312"/>
      <c r="AG414" s="312"/>
      <c r="AH414" s="312"/>
      <c r="AI414" s="312"/>
      <c r="AJ414" s="312"/>
      <c r="AK414" s="312"/>
      <c r="AL414" s="312"/>
      <c r="AM414" s="312"/>
      <c r="AN414" s="312"/>
      <c r="AO414" s="312"/>
      <c r="AP414" s="312"/>
      <c r="AQ414" s="312"/>
    </row>
    <row r="415" ht="15.75" customHeight="1">
      <c r="A415" s="318"/>
      <c r="B415" s="312"/>
      <c r="C415" s="312"/>
      <c r="D415" s="312"/>
      <c r="E415" s="312"/>
      <c r="F415" s="312"/>
      <c r="G415" s="312"/>
      <c r="H415" s="312"/>
      <c r="I415" s="312"/>
      <c r="J415" s="312"/>
      <c r="K415" s="312"/>
      <c r="L415" s="312"/>
      <c r="M415" s="312"/>
      <c r="N415" s="312"/>
      <c r="O415" s="312"/>
      <c r="P415" s="312"/>
      <c r="Q415" s="312"/>
      <c r="R415" s="312"/>
      <c r="S415" s="312"/>
      <c r="T415" s="312"/>
      <c r="U415" s="312"/>
      <c r="V415" s="312"/>
      <c r="W415" s="312"/>
      <c r="X415" s="312"/>
      <c r="Y415" s="312"/>
      <c r="Z415" s="312"/>
      <c r="AA415" s="312"/>
      <c r="AB415" s="312"/>
      <c r="AC415" s="312"/>
      <c r="AD415" s="312"/>
      <c r="AE415" s="312"/>
      <c r="AF415" s="312"/>
      <c r="AG415" s="312"/>
      <c r="AH415" s="312"/>
      <c r="AI415" s="312"/>
      <c r="AJ415" s="312"/>
      <c r="AK415" s="312"/>
      <c r="AL415" s="312"/>
      <c r="AM415" s="312"/>
      <c r="AN415" s="312"/>
      <c r="AO415" s="312"/>
      <c r="AP415" s="312"/>
      <c r="AQ415" s="312"/>
    </row>
    <row r="416" ht="15.75" customHeight="1">
      <c r="A416" s="318"/>
      <c r="B416" s="312"/>
      <c r="C416" s="312"/>
      <c r="D416" s="312"/>
      <c r="E416" s="312"/>
      <c r="F416" s="312"/>
      <c r="G416" s="312"/>
      <c r="H416" s="312"/>
      <c r="I416" s="312"/>
      <c r="J416" s="312"/>
      <c r="K416" s="312"/>
      <c r="L416" s="312"/>
      <c r="M416" s="312"/>
      <c r="N416" s="312"/>
      <c r="O416" s="312"/>
      <c r="P416" s="312"/>
      <c r="Q416" s="312"/>
      <c r="R416" s="312"/>
      <c r="S416" s="312"/>
      <c r="T416" s="312"/>
      <c r="U416" s="312"/>
      <c r="V416" s="312"/>
      <c r="W416" s="312"/>
      <c r="X416" s="312"/>
      <c r="Y416" s="312"/>
      <c r="Z416" s="312"/>
      <c r="AA416" s="312"/>
      <c r="AB416" s="312"/>
      <c r="AC416" s="312"/>
      <c r="AD416" s="312"/>
      <c r="AE416" s="312"/>
      <c r="AF416" s="312"/>
      <c r="AG416" s="312"/>
      <c r="AH416" s="312"/>
      <c r="AI416" s="312"/>
      <c r="AJ416" s="312"/>
      <c r="AK416" s="312"/>
      <c r="AL416" s="312"/>
      <c r="AM416" s="312"/>
      <c r="AN416" s="312"/>
      <c r="AO416" s="312"/>
      <c r="AP416" s="312"/>
      <c r="AQ416" s="312"/>
    </row>
    <row r="417" ht="15.75" customHeight="1">
      <c r="A417" s="318"/>
      <c r="B417" s="312"/>
      <c r="C417" s="312"/>
      <c r="D417" s="312"/>
      <c r="E417" s="312"/>
      <c r="F417" s="312"/>
      <c r="G417" s="312"/>
      <c r="H417" s="312"/>
      <c r="I417" s="312"/>
      <c r="J417" s="312"/>
      <c r="K417" s="312"/>
      <c r="L417" s="312"/>
      <c r="M417" s="312"/>
      <c r="N417" s="312"/>
      <c r="O417" s="312"/>
      <c r="P417" s="312"/>
      <c r="Q417" s="312"/>
      <c r="R417" s="312"/>
      <c r="S417" s="312"/>
      <c r="T417" s="312"/>
      <c r="U417" s="312"/>
      <c r="V417" s="312"/>
      <c r="W417" s="312"/>
      <c r="X417" s="312"/>
      <c r="Y417" s="312"/>
      <c r="Z417" s="312"/>
      <c r="AA417" s="312"/>
      <c r="AB417" s="312"/>
      <c r="AC417" s="312"/>
      <c r="AD417" s="312"/>
      <c r="AE417" s="312"/>
      <c r="AF417" s="312"/>
      <c r="AG417" s="312"/>
      <c r="AH417" s="312"/>
      <c r="AI417" s="312"/>
      <c r="AJ417" s="312"/>
      <c r="AK417" s="312"/>
      <c r="AL417" s="312"/>
      <c r="AM417" s="312"/>
      <c r="AN417" s="312"/>
      <c r="AO417" s="312"/>
      <c r="AP417" s="312"/>
      <c r="AQ417" s="312"/>
    </row>
    <row r="418" ht="15.75" customHeight="1">
      <c r="A418" s="318"/>
      <c r="B418" s="312"/>
      <c r="C418" s="312"/>
      <c r="D418" s="312"/>
      <c r="E418" s="312"/>
      <c r="F418" s="312"/>
      <c r="G418" s="312"/>
      <c r="H418" s="312"/>
      <c r="I418" s="312"/>
      <c r="J418" s="312"/>
      <c r="K418" s="312"/>
      <c r="L418" s="312"/>
      <c r="M418" s="312"/>
      <c r="N418" s="312"/>
      <c r="O418" s="312"/>
      <c r="P418" s="312"/>
      <c r="Q418" s="312"/>
      <c r="R418" s="312"/>
      <c r="S418" s="312"/>
      <c r="T418" s="312"/>
      <c r="U418" s="312"/>
      <c r="V418" s="312"/>
      <c r="W418" s="312"/>
      <c r="X418" s="312"/>
      <c r="Y418" s="312"/>
      <c r="Z418" s="312"/>
      <c r="AA418" s="312"/>
      <c r="AB418" s="312"/>
      <c r="AC418" s="312"/>
      <c r="AD418" s="312"/>
      <c r="AE418" s="312"/>
      <c r="AF418" s="312"/>
      <c r="AG418" s="312"/>
      <c r="AH418" s="312"/>
      <c r="AI418" s="312"/>
      <c r="AJ418" s="312"/>
      <c r="AK418" s="312"/>
      <c r="AL418" s="312"/>
      <c r="AM418" s="312"/>
      <c r="AN418" s="312"/>
      <c r="AO418" s="312"/>
      <c r="AP418" s="312"/>
      <c r="AQ418" s="312"/>
    </row>
    <row r="419" ht="15.75" customHeight="1">
      <c r="A419" s="318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2"/>
      <c r="W419" s="312"/>
      <c r="X419" s="312"/>
      <c r="Y419" s="312"/>
      <c r="Z419" s="312"/>
      <c r="AA419" s="312"/>
      <c r="AB419" s="312"/>
      <c r="AC419" s="312"/>
      <c r="AD419" s="312"/>
      <c r="AE419" s="312"/>
      <c r="AF419" s="312"/>
      <c r="AG419" s="312"/>
      <c r="AH419" s="312"/>
      <c r="AI419" s="312"/>
      <c r="AJ419" s="312"/>
      <c r="AK419" s="312"/>
      <c r="AL419" s="312"/>
      <c r="AM419" s="312"/>
      <c r="AN419" s="312"/>
      <c r="AO419" s="312"/>
      <c r="AP419" s="312"/>
      <c r="AQ419" s="312"/>
    </row>
    <row r="420" ht="15.75" customHeight="1">
      <c r="A420" s="318"/>
      <c r="B420" s="312"/>
      <c r="C420" s="312"/>
      <c r="D420" s="312"/>
      <c r="E420" s="312"/>
      <c r="F420" s="312"/>
      <c r="G420" s="312"/>
      <c r="H420" s="312"/>
      <c r="I420" s="312"/>
      <c r="J420" s="312"/>
      <c r="K420" s="312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2"/>
      <c r="W420" s="312"/>
      <c r="X420" s="312"/>
      <c r="Y420" s="312"/>
      <c r="Z420" s="312"/>
      <c r="AA420" s="312"/>
      <c r="AB420" s="312"/>
      <c r="AC420" s="312"/>
      <c r="AD420" s="312"/>
      <c r="AE420" s="312"/>
      <c r="AF420" s="312"/>
      <c r="AG420" s="312"/>
      <c r="AH420" s="312"/>
      <c r="AI420" s="312"/>
      <c r="AJ420" s="312"/>
      <c r="AK420" s="312"/>
      <c r="AL420" s="312"/>
      <c r="AM420" s="312"/>
      <c r="AN420" s="312"/>
      <c r="AO420" s="312"/>
      <c r="AP420" s="312"/>
      <c r="AQ420" s="312"/>
    </row>
    <row r="421" ht="15.75" customHeight="1">
      <c r="A421" s="318"/>
      <c r="B421" s="312"/>
      <c r="C421" s="312"/>
      <c r="D421" s="312"/>
      <c r="E421" s="312"/>
      <c r="F421" s="312"/>
      <c r="G421" s="312"/>
      <c r="H421" s="312"/>
      <c r="I421" s="312"/>
      <c r="J421" s="312"/>
      <c r="K421" s="312"/>
      <c r="L421" s="312"/>
      <c r="M421" s="312"/>
      <c r="N421" s="312"/>
      <c r="O421" s="312"/>
      <c r="P421" s="312"/>
      <c r="Q421" s="312"/>
      <c r="R421" s="312"/>
      <c r="S421" s="312"/>
      <c r="T421" s="312"/>
      <c r="U421" s="312"/>
      <c r="V421" s="312"/>
      <c r="W421" s="312"/>
      <c r="X421" s="312"/>
      <c r="Y421" s="312"/>
      <c r="Z421" s="312"/>
      <c r="AA421" s="312"/>
      <c r="AB421" s="312"/>
      <c r="AC421" s="312"/>
      <c r="AD421" s="312"/>
      <c r="AE421" s="312"/>
      <c r="AF421" s="312"/>
      <c r="AG421" s="312"/>
      <c r="AH421" s="312"/>
      <c r="AI421" s="312"/>
      <c r="AJ421" s="312"/>
      <c r="AK421" s="312"/>
      <c r="AL421" s="312"/>
      <c r="AM421" s="312"/>
      <c r="AN421" s="312"/>
      <c r="AO421" s="312"/>
      <c r="AP421" s="312"/>
      <c r="AQ421" s="312"/>
    </row>
    <row r="422" ht="15.75" customHeight="1">
      <c r="A422" s="318"/>
      <c r="B422" s="312"/>
      <c r="C422" s="312"/>
      <c r="D422" s="312"/>
      <c r="E422" s="312"/>
      <c r="F422" s="312"/>
      <c r="G422" s="312"/>
      <c r="H422" s="312"/>
      <c r="I422" s="312"/>
      <c r="J422" s="312"/>
      <c r="K422" s="312"/>
      <c r="L422" s="312"/>
      <c r="M422" s="312"/>
      <c r="N422" s="312"/>
      <c r="O422" s="312"/>
      <c r="P422" s="312"/>
      <c r="Q422" s="312"/>
      <c r="R422" s="312"/>
      <c r="S422" s="312"/>
      <c r="T422" s="312"/>
      <c r="U422" s="312"/>
      <c r="V422" s="312"/>
      <c r="W422" s="312"/>
      <c r="X422" s="312"/>
      <c r="Y422" s="312"/>
      <c r="Z422" s="312"/>
      <c r="AA422" s="312"/>
      <c r="AB422" s="312"/>
      <c r="AC422" s="312"/>
      <c r="AD422" s="312"/>
      <c r="AE422" s="312"/>
      <c r="AF422" s="312"/>
      <c r="AG422" s="312"/>
      <c r="AH422" s="312"/>
      <c r="AI422" s="312"/>
      <c r="AJ422" s="312"/>
      <c r="AK422" s="312"/>
      <c r="AL422" s="312"/>
      <c r="AM422" s="312"/>
      <c r="AN422" s="312"/>
      <c r="AO422" s="312"/>
      <c r="AP422" s="312"/>
      <c r="AQ422" s="312"/>
    </row>
    <row r="423" ht="15.75" customHeight="1">
      <c r="A423" s="318"/>
      <c r="B423" s="312"/>
      <c r="C423" s="312"/>
      <c r="D423" s="312"/>
      <c r="E423" s="312"/>
      <c r="F423" s="312"/>
      <c r="G423" s="312"/>
      <c r="H423" s="312"/>
      <c r="I423" s="312"/>
      <c r="J423" s="312"/>
      <c r="K423" s="312"/>
      <c r="L423" s="312"/>
      <c r="M423" s="312"/>
      <c r="N423" s="312"/>
      <c r="O423" s="312"/>
      <c r="P423" s="312"/>
      <c r="Q423" s="312"/>
      <c r="R423" s="312"/>
      <c r="S423" s="312"/>
      <c r="T423" s="312"/>
      <c r="U423" s="312"/>
      <c r="V423" s="312"/>
      <c r="W423" s="312"/>
      <c r="X423" s="312"/>
      <c r="Y423" s="312"/>
      <c r="Z423" s="312"/>
      <c r="AA423" s="312"/>
      <c r="AB423" s="312"/>
      <c r="AC423" s="312"/>
      <c r="AD423" s="312"/>
      <c r="AE423" s="312"/>
      <c r="AF423" s="312"/>
      <c r="AG423" s="312"/>
      <c r="AH423" s="312"/>
      <c r="AI423" s="312"/>
      <c r="AJ423" s="312"/>
      <c r="AK423" s="312"/>
      <c r="AL423" s="312"/>
      <c r="AM423" s="312"/>
      <c r="AN423" s="312"/>
      <c r="AO423" s="312"/>
      <c r="AP423" s="312"/>
      <c r="AQ423" s="312"/>
    </row>
    <row r="424" ht="15.75" customHeight="1">
      <c r="A424" s="318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2"/>
      <c r="S424" s="312"/>
      <c r="T424" s="312"/>
      <c r="U424" s="312"/>
      <c r="V424" s="312"/>
      <c r="W424" s="312"/>
      <c r="X424" s="312"/>
      <c r="Y424" s="312"/>
      <c r="Z424" s="312"/>
      <c r="AA424" s="312"/>
      <c r="AB424" s="312"/>
      <c r="AC424" s="312"/>
      <c r="AD424" s="312"/>
      <c r="AE424" s="312"/>
      <c r="AF424" s="312"/>
      <c r="AG424" s="312"/>
      <c r="AH424" s="312"/>
      <c r="AI424" s="312"/>
      <c r="AJ424" s="312"/>
      <c r="AK424" s="312"/>
      <c r="AL424" s="312"/>
      <c r="AM424" s="312"/>
      <c r="AN424" s="312"/>
      <c r="AO424" s="312"/>
      <c r="AP424" s="312"/>
      <c r="AQ424" s="312"/>
    </row>
    <row r="425" ht="15.75" customHeight="1">
      <c r="A425" s="318"/>
      <c r="B425" s="312"/>
      <c r="C425" s="312"/>
      <c r="D425" s="312"/>
      <c r="E425" s="312"/>
      <c r="F425" s="312"/>
      <c r="G425" s="312"/>
      <c r="H425" s="312"/>
      <c r="I425" s="312"/>
      <c r="J425" s="312"/>
      <c r="K425" s="312"/>
      <c r="L425" s="312"/>
      <c r="M425" s="312"/>
      <c r="N425" s="312"/>
      <c r="O425" s="312"/>
      <c r="P425" s="312"/>
      <c r="Q425" s="312"/>
      <c r="R425" s="312"/>
      <c r="S425" s="312"/>
      <c r="T425" s="312"/>
      <c r="U425" s="312"/>
      <c r="V425" s="312"/>
      <c r="W425" s="312"/>
      <c r="X425" s="312"/>
      <c r="Y425" s="312"/>
      <c r="Z425" s="312"/>
      <c r="AA425" s="312"/>
      <c r="AB425" s="312"/>
      <c r="AC425" s="312"/>
      <c r="AD425" s="312"/>
      <c r="AE425" s="312"/>
      <c r="AF425" s="312"/>
      <c r="AG425" s="312"/>
      <c r="AH425" s="312"/>
      <c r="AI425" s="312"/>
      <c r="AJ425" s="312"/>
      <c r="AK425" s="312"/>
      <c r="AL425" s="312"/>
      <c r="AM425" s="312"/>
      <c r="AN425" s="312"/>
      <c r="AO425" s="312"/>
      <c r="AP425" s="312"/>
      <c r="AQ425" s="312"/>
    </row>
    <row r="426" ht="15.75" customHeight="1">
      <c r="A426" s="318"/>
      <c r="B426" s="312"/>
      <c r="C426" s="312"/>
      <c r="D426" s="312"/>
      <c r="E426" s="312"/>
      <c r="F426" s="312"/>
      <c r="G426" s="312"/>
      <c r="H426" s="312"/>
      <c r="I426" s="312"/>
      <c r="J426" s="312"/>
      <c r="K426" s="312"/>
      <c r="L426" s="312"/>
      <c r="M426" s="312"/>
      <c r="N426" s="312"/>
      <c r="O426" s="312"/>
      <c r="P426" s="312"/>
      <c r="Q426" s="312"/>
      <c r="R426" s="312"/>
      <c r="S426" s="312"/>
      <c r="T426" s="312"/>
      <c r="U426" s="312"/>
      <c r="V426" s="312"/>
      <c r="W426" s="312"/>
      <c r="X426" s="312"/>
      <c r="Y426" s="312"/>
      <c r="Z426" s="312"/>
      <c r="AA426" s="312"/>
      <c r="AB426" s="312"/>
      <c r="AC426" s="312"/>
      <c r="AD426" s="312"/>
      <c r="AE426" s="312"/>
      <c r="AF426" s="312"/>
      <c r="AG426" s="312"/>
      <c r="AH426" s="312"/>
      <c r="AI426" s="312"/>
      <c r="AJ426" s="312"/>
      <c r="AK426" s="312"/>
      <c r="AL426" s="312"/>
      <c r="AM426" s="312"/>
      <c r="AN426" s="312"/>
      <c r="AO426" s="312"/>
      <c r="AP426" s="312"/>
      <c r="AQ426" s="312"/>
    </row>
    <row r="427" ht="15.75" customHeight="1">
      <c r="A427" s="318"/>
      <c r="B427" s="312"/>
      <c r="C427" s="312"/>
      <c r="D427" s="312"/>
      <c r="E427" s="312"/>
      <c r="F427" s="312"/>
      <c r="G427" s="312"/>
      <c r="H427" s="312"/>
      <c r="I427" s="312"/>
      <c r="J427" s="312"/>
      <c r="K427" s="312"/>
      <c r="L427" s="312"/>
      <c r="M427" s="312"/>
      <c r="N427" s="312"/>
      <c r="O427" s="312"/>
      <c r="P427" s="312"/>
      <c r="Q427" s="312"/>
      <c r="R427" s="312"/>
      <c r="S427" s="312"/>
      <c r="T427" s="312"/>
      <c r="U427" s="312"/>
      <c r="V427" s="312"/>
      <c r="W427" s="312"/>
      <c r="X427" s="312"/>
      <c r="Y427" s="312"/>
      <c r="Z427" s="312"/>
      <c r="AA427" s="312"/>
      <c r="AB427" s="312"/>
      <c r="AC427" s="312"/>
      <c r="AD427" s="312"/>
      <c r="AE427" s="312"/>
      <c r="AF427" s="312"/>
      <c r="AG427" s="312"/>
      <c r="AH427" s="312"/>
      <c r="AI427" s="312"/>
      <c r="AJ427" s="312"/>
      <c r="AK427" s="312"/>
      <c r="AL427" s="312"/>
      <c r="AM427" s="312"/>
      <c r="AN427" s="312"/>
      <c r="AO427" s="312"/>
      <c r="AP427" s="312"/>
      <c r="AQ427" s="312"/>
    </row>
    <row r="428" ht="15.75" customHeight="1">
      <c r="A428" s="318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2"/>
      <c r="S428" s="312"/>
      <c r="T428" s="312"/>
      <c r="U428" s="312"/>
      <c r="V428" s="312"/>
      <c r="W428" s="312"/>
      <c r="X428" s="312"/>
      <c r="Y428" s="312"/>
      <c r="Z428" s="312"/>
      <c r="AA428" s="312"/>
      <c r="AB428" s="312"/>
      <c r="AC428" s="312"/>
      <c r="AD428" s="312"/>
      <c r="AE428" s="312"/>
      <c r="AF428" s="312"/>
      <c r="AG428" s="312"/>
      <c r="AH428" s="312"/>
      <c r="AI428" s="312"/>
      <c r="AJ428" s="312"/>
      <c r="AK428" s="312"/>
      <c r="AL428" s="312"/>
      <c r="AM428" s="312"/>
      <c r="AN428" s="312"/>
      <c r="AO428" s="312"/>
      <c r="AP428" s="312"/>
      <c r="AQ428" s="312"/>
    </row>
    <row r="429" ht="15.75" customHeight="1">
      <c r="A429" s="318"/>
      <c r="B429" s="312"/>
      <c r="C429" s="312"/>
      <c r="D429" s="312"/>
      <c r="E429" s="312"/>
      <c r="F429" s="312"/>
      <c r="G429" s="312"/>
      <c r="H429" s="312"/>
      <c r="I429" s="312"/>
      <c r="J429" s="312"/>
      <c r="K429" s="312"/>
      <c r="L429" s="312"/>
      <c r="M429" s="312"/>
      <c r="N429" s="312"/>
      <c r="O429" s="312"/>
      <c r="P429" s="312"/>
      <c r="Q429" s="312"/>
      <c r="R429" s="312"/>
      <c r="S429" s="312"/>
      <c r="T429" s="312"/>
      <c r="U429" s="312"/>
      <c r="V429" s="312"/>
      <c r="W429" s="312"/>
      <c r="X429" s="312"/>
      <c r="Y429" s="312"/>
      <c r="Z429" s="312"/>
      <c r="AA429" s="312"/>
      <c r="AB429" s="312"/>
      <c r="AC429" s="312"/>
      <c r="AD429" s="312"/>
      <c r="AE429" s="312"/>
      <c r="AF429" s="312"/>
      <c r="AG429" s="312"/>
      <c r="AH429" s="312"/>
      <c r="AI429" s="312"/>
      <c r="AJ429" s="312"/>
      <c r="AK429" s="312"/>
      <c r="AL429" s="312"/>
      <c r="AM429" s="312"/>
      <c r="AN429" s="312"/>
      <c r="AO429" s="312"/>
      <c r="AP429" s="312"/>
      <c r="AQ429" s="312"/>
    </row>
    <row r="430" ht="15.75" customHeight="1">
      <c r="A430" s="318"/>
      <c r="B430" s="312"/>
      <c r="C430" s="312"/>
      <c r="D430" s="312"/>
      <c r="E430" s="312"/>
      <c r="F430" s="312"/>
      <c r="G430" s="312"/>
      <c r="H430" s="312"/>
      <c r="I430" s="312"/>
      <c r="J430" s="312"/>
      <c r="K430" s="312"/>
      <c r="L430" s="312"/>
      <c r="M430" s="312"/>
      <c r="N430" s="312"/>
      <c r="O430" s="312"/>
      <c r="P430" s="312"/>
      <c r="Q430" s="312"/>
      <c r="R430" s="312"/>
      <c r="S430" s="312"/>
      <c r="T430" s="312"/>
      <c r="U430" s="312"/>
      <c r="V430" s="312"/>
      <c r="W430" s="312"/>
      <c r="X430" s="312"/>
      <c r="Y430" s="312"/>
      <c r="Z430" s="312"/>
      <c r="AA430" s="312"/>
      <c r="AB430" s="312"/>
      <c r="AC430" s="312"/>
      <c r="AD430" s="312"/>
      <c r="AE430" s="312"/>
      <c r="AF430" s="312"/>
      <c r="AG430" s="312"/>
      <c r="AH430" s="312"/>
      <c r="AI430" s="312"/>
      <c r="AJ430" s="312"/>
      <c r="AK430" s="312"/>
      <c r="AL430" s="312"/>
      <c r="AM430" s="312"/>
      <c r="AN430" s="312"/>
      <c r="AO430" s="312"/>
      <c r="AP430" s="312"/>
      <c r="AQ430" s="312"/>
    </row>
    <row r="431" ht="15.75" customHeight="1">
      <c r="A431" s="318"/>
      <c r="B431" s="312"/>
      <c r="C431" s="312"/>
      <c r="D431" s="312"/>
      <c r="E431" s="312"/>
      <c r="F431" s="312"/>
      <c r="G431" s="312"/>
      <c r="H431" s="312"/>
      <c r="I431" s="312"/>
      <c r="J431" s="312"/>
      <c r="K431" s="312"/>
      <c r="L431" s="312"/>
      <c r="M431" s="312"/>
      <c r="N431" s="312"/>
      <c r="O431" s="312"/>
      <c r="P431" s="312"/>
      <c r="Q431" s="312"/>
      <c r="R431" s="312"/>
      <c r="S431" s="312"/>
      <c r="T431" s="312"/>
      <c r="U431" s="312"/>
      <c r="V431" s="312"/>
      <c r="W431" s="312"/>
      <c r="X431" s="312"/>
      <c r="Y431" s="312"/>
      <c r="Z431" s="312"/>
      <c r="AA431" s="312"/>
      <c r="AB431" s="312"/>
      <c r="AC431" s="312"/>
      <c r="AD431" s="312"/>
      <c r="AE431" s="312"/>
      <c r="AF431" s="312"/>
      <c r="AG431" s="312"/>
      <c r="AH431" s="312"/>
      <c r="AI431" s="312"/>
      <c r="AJ431" s="312"/>
      <c r="AK431" s="312"/>
      <c r="AL431" s="312"/>
      <c r="AM431" s="312"/>
      <c r="AN431" s="312"/>
      <c r="AO431" s="312"/>
      <c r="AP431" s="312"/>
      <c r="AQ431" s="312"/>
    </row>
    <row r="432" ht="15.75" customHeight="1">
      <c r="A432" s="318"/>
      <c r="B432" s="312"/>
      <c r="C432" s="312"/>
      <c r="D432" s="312"/>
      <c r="E432" s="312"/>
      <c r="F432" s="312"/>
      <c r="G432" s="312"/>
      <c r="H432" s="312"/>
      <c r="I432" s="312"/>
      <c r="J432" s="312"/>
      <c r="K432" s="312"/>
      <c r="L432" s="312"/>
      <c r="M432" s="312"/>
      <c r="N432" s="312"/>
      <c r="O432" s="312"/>
      <c r="P432" s="312"/>
      <c r="Q432" s="312"/>
      <c r="R432" s="312"/>
      <c r="S432" s="312"/>
      <c r="T432" s="312"/>
      <c r="U432" s="312"/>
      <c r="V432" s="312"/>
      <c r="W432" s="312"/>
      <c r="X432" s="312"/>
      <c r="Y432" s="312"/>
      <c r="Z432" s="312"/>
      <c r="AA432" s="312"/>
      <c r="AB432" s="312"/>
      <c r="AC432" s="312"/>
      <c r="AD432" s="312"/>
      <c r="AE432" s="312"/>
      <c r="AF432" s="312"/>
      <c r="AG432" s="312"/>
      <c r="AH432" s="312"/>
      <c r="AI432" s="312"/>
      <c r="AJ432" s="312"/>
      <c r="AK432" s="312"/>
      <c r="AL432" s="312"/>
      <c r="AM432" s="312"/>
      <c r="AN432" s="312"/>
      <c r="AO432" s="312"/>
      <c r="AP432" s="312"/>
      <c r="AQ432" s="312"/>
    </row>
    <row r="433" ht="15.75" customHeight="1">
      <c r="A433" s="318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2"/>
      <c r="S433" s="312"/>
      <c r="T433" s="312"/>
      <c r="U433" s="312"/>
      <c r="V433" s="312"/>
      <c r="W433" s="312"/>
      <c r="X433" s="312"/>
      <c r="Y433" s="312"/>
      <c r="Z433" s="312"/>
      <c r="AA433" s="312"/>
      <c r="AB433" s="312"/>
      <c r="AC433" s="312"/>
      <c r="AD433" s="312"/>
      <c r="AE433" s="312"/>
      <c r="AF433" s="312"/>
      <c r="AG433" s="312"/>
      <c r="AH433" s="312"/>
      <c r="AI433" s="312"/>
      <c r="AJ433" s="312"/>
      <c r="AK433" s="312"/>
      <c r="AL433" s="312"/>
      <c r="AM433" s="312"/>
      <c r="AN433" s="312"/>
      <c r="AO433" s="312"/>
      <c r="AP433" s="312"/>
      <c r="AQ433" s="312"/>
    </row>
    <row r="434" ht="15.75" customHeight="1">
      <c r="A434" s="318"/>
      <c r="B434" s="312"/>
      <c r="C434" s="312"/>
      <c r="D434" s="312"/>
      <c r="E434" s="312"/>
      <c r="F434" s="312"/>
      <c r="G434" s="312"/>
      <c r="H434" s="312"/>
      <c r="I434" s="312"/>
      <c r="J434" s="312"/>
      <c r="K434" s="312"/>
      <c r="L434" s="312"/>
      <c r="M434" s="312"/>
      <c r="N434" s="312"/>
      <c r="O434" s="312"/>
      <c r="P434" s="312"/>
      <c r="Q434" s="312"/>
      <c r="R434" s="312"/>
      <c r="S434" s="312"/>
      <c r="T434" s="312"/>
      <c r="U434" s="312"/>
      <c r="V434" s="312"/>
      <c r="W434" s="312"/>
      <c r="X434" s="312"/>
      <c r="Y434" s="312"/>
      <c r="Z434" s="312"/>
      <c r="AA434" s="312"/>
      <c r="AB434" s="312"/>
      <c r="AC434" s="312"/>
      <c r="AD434" s="312"/>
      <c r="AE434" s="312"/>
      <c r="AF434" s="312"/>
      <c r="AG434" s="312"/>
      <c r="AH434" s="312"/>
      <c r="AI434" s="312"/>
      <c r="AJ434" s="312"/>
      <c r="AK434" s="312"/>
      <c r="AL434" s="312"/>
      <c r="AM434" s="312"/>
      <c r="AN434" s="312"/>
      <c r="AO434" s="312"/>
      <c r="AP434" s="312"/>
      <c r="AQ434" s="312"/>
    </row>
    <row r="435" ht="15.75" customHeight="1">
      <c r="A435" s="318"/>
      <c r="B435" s="312"/>
      <c r="C435" s="312"/>
      <c r="D435" s="312"/>
      <c r="E435" s="312"/>
      <c r="F435" s="312"/>
      <c r="G435" s="312"/>
      <c r="H435" s="312"/>
      <c r="I435" s="312"/>
      <c r="J435" s="312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2"/>
      <c r="X435" s="312"/>
      <c r="Y435" s="312"/>
      <c r="Z435" s="312"/>
      <c r="AA435" s="312"/>
      <c r="AB435" s="312"/>
      <c r="AC435" s="312"/>
      <c r="AD435" s="312"/>
      <c r="AE435" s="312"/>
      <c r="AF435" s="312"/>
      <c r="AG435" s="312"/>
      <c r="AH435" s="312"/>
      <c r="AI435" s="312"/>
      <c r="AJ435" s="312"/>
      <c r="AK435" s="312"/>
      <c r="AL435" s="312"/>
      <c r="AM435" s="312"/>
      <c r="AN435" s="312"/>
      <c r="AO435" s="312"/>
      <c r="AP435" s="312"/>
      <c r="AQ435" s="312"/>
    </row>
    <row r="436" ht="15.75" customHeight="1">
      <c r="A436" s="318"/>
      <c r="B436" s="312"/>
      <c r="C436" s="312"/>
      <c r="D436" s="312"/>
      <c r="E436" s="312"/>
      <c r="F436" s="312"/>
      <c r="G436" s="312"/>
      <c r="H436" s="312"/>
      <c r="I436" s="312"/>
      <c r="J436" s="312"/>
      <c r="K436" s="312"/>
      <c r="L436" s="312"/>
      <c r="M436" s="312"/>
      <c r="N436" s="312"/>
      <c r="O436" s="312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312"/>
      <c r="AH436" s="312"/>
      <c r="AI436" s="312"/>
      <c r="AJ436" s="312"/>
      <c r="AK436" s="312"/>
      <c r="AL436" s="312"/>
      <c r="AM436" s="312"/>
      <c r="AN436" s="312"/>
      <c r="AO436" s="312"/>
      <c r="AP436" s="312"/>
      <c r="AQ436" s="312"/>
    </row>
    <row r="437" ht="15.75" customHeight="1">
      <c r="A437" s="318"/>
      <c r="B437" s="312"/>
      <c r="C437" s="312"/>
      <c r="D437" s="312"/>
      <c r="E437" s="312"/>
      <c r="F437" s="312"/>
      <c r="G437" s="312"/>
      <c r="H437" s="312"/>
      <c r="I437" s="312"/>
      <c r="J437" s="312"/>
      <c r="K437" s="312"/>
      <c r="L437" s="312"/>
      <c r="M437" s="312"/>
      <c r="N437" s="312"/>
      <c r="O437" s="312"/>
      <c r="P437" s="312"/>
      <c r="Q437" s="312"/>
      <c r="R437" s="312"/>
      <c r="S437" s="312"/>
      <c r="T437" s="312"/>
      <c r="U437" s="312"/>
      <c r="V437" s="312"/>
      <c r="W437" s="312"/>
      <c r="X437" s="312"/>
      <c r="Y437" s="312"/>
      <c r="Z437" s="312"/>
      <c r="AA437" s="312"/>
      <c r="AB437" s="312"/>
      <c r="AC437" s="312"/>
      <c r="AD437" s="312"/>
      <c r="AE437" s="312"/>
      <c r="AF437" s="312"/>
      <c r="AG437" s="312"/>
      <c r="AH437" s="312"/>
      <c r="AI437" s="312"/>
      <c r="AJ437" s="312"/>
      <c r="AK437" s="312"/>
      <c r="AL437" s="312"/>
      <c r="AM437" s="312"/>
      <c r="AN437" s="312"/>
      <c r="AO437" s="312"/>
      <c r="AP437" s="312"/>
      <c r="AQ437" s="312"/>
    </row>
    <row r="438" ht="15.75" customHeight="1">
      <c r="A438" s="318"/>
      <c r="B438" s="312"/>
      <c r="C438" s="312"/>
      <c r="D438" s="312"/>
      <c r="E438" s="312"/>
      <c r="F438" s="312"/>
      <c r="G438" s="312"/>
      <c r="H438" s="312"/>
      <c r="I438" s="312"/>
      <c r="J438" s="312"/>
      <c r="K438" s="312"/>
      <c r="L438" s="312"/>
      <c r="M438" s="312"/>
      <c r="N438" s="312"/>
      <c r="O438" s="312"/>
      <c r="P438" s="312"/>
      <c r="Q438" s="312"/>
      <c r="R438" s="312"/>
      <c r="S438" s="312"/>
      <c r="T438" s="312"/>
      <c r="U438" s="312"/>
      <c r="V438" s="312"/>
      <c r="W438" s="312"/>
      <c r="X438" s="312"/>
      <c r="Y438" s="312"/>
      <c r="Z438" s="312"/>
      <c r="AA438" s="312"/>
      <c r="AB438" s="312"/>
      <c r="AC438" s="312"/>
      <c r="AD438" s="312"/>
      <c r="AE438" s="312"/>
      <c r="AF438" s="312"/>
      <c r="AG438" s="312"/>
      <c r="AH438" s="312"/>
      <c r="AI438" s="312"/>
      <c r="AJ438" s="312"/>
      <c r="AK438" s="312"/>
      <c r="AL438" s="312"/>
      <c r="AM438" s="312"/>
      <c r="AN438" s="312"/>
      <c r="AO438" s="312"/>
      <c r="AP438" s="312"/>
      <c r="AQ438" s="312"/>
    </row>
    <row r="439" ht="15.75" customHeight="1">
      <c r="A439" s="318"/>
      <c r="B439" s="312"/>
      <c r="C439" s="312"/>
      <c r="D439" s="312"/>
      <c r="E439" s="312"/>
      <c r="F439" s="312"/>
      <c r="G439" s="312"/>
      <c r="H439" s="312"/>
      <c r="I439" s="312"/>
      <c r="J439" s="312"/>
      <c r="K439" s="312"/>
      <c r="L439" s="312"/>
      <c r="M439" s="312"/>
      <c r="N439" s="312"/>
      <c r="O439" s="312"/>
      <c r="P439" s="312"/>
      <c r="Q439" s="312"/>
      <c r="R439" s="312"/>
      <c r="S439" s="312"/>
      <c r="T439" s="312"/>
      <c r="U439" s="312"/>
      <c r="V439" s="312"/>
      <c r="W439" s="312"/>
      <c r="X439" s="312"/>
      <c r="Y439" s="312"/>
      <c r="Z439" s="312"/>
      <c r="AA439" s="312"/>
      <c r="AB439" s="312"/>
      <c r="AC439" s="312"/>
      <c r="AD439" s="312"/>
      <c r="AE439" s="312"/>
      <c r="AF439" s="312"/>
      <c r="AG439" s="312"/>
      <c r="AH439" s="312"/>
      <c r="AI439" s="312"/>
      <c r="AJ439" s="312"/>
      <c r="AK439" s="312"/>
      <c r="AL439" s="312"/>
      <c r="AM439" s="312"/>
      <c r="AN439" s="312"/>
      <c r="AO439" s="312"/>
      <c r="AP439" s="312"/>
      <c r="AQ439" s="312"/>
    </row>
    <row r="440" ht="15.75" customHeight="1">
      <c r="A440" s="318"/>
      <c r="B440" s="312"/>
      <c r="C440" s="312"/>
      <c r="D440" s="312"/>
      <c r="E440" s="312"/>
      <c r="F440" s="312"/>
      <c r="G440" s="312"/>
      <c r="H440" s="312"/>
      <c r="I440" s="312"/>
      <c r="J440" s="312"/>
      <c r="K440" s="312"/>
      <c r="L440" s="312"/>
      <c r="M440" s="312"/>
      <c r="N440" s="312"/>
      <c r="O440" s="312"/>
      <c r="P440" s="312"/>
      <c r="Q440" s="312"/>
      <c r="R440" s="312"/>
      <c r="S440" s="312"/>
      <c r="T440" s="312"/>
      <c r="U440" s="312"/>
      <c r="V440" s="312"/>
      <c r="W440" s="312"/>
      <c r="X440" s="312"/>
      <c r="Y440" s="312"/>
      <c r="Z440" s="312"/>
      <c r="AA440" s="312"/>
      <c r="AB440" s="312"/>
      <c r="AC440" s="312"/>
      <c r="AD440" s="312"/>
      <c r="AE440" s="312"/>
      <c r="AF440" s="312"/>
      <c r="AG440" s="312"/>
      <c r="AH440" s="312"/>
      <c r="AI440" s="312"/>
      <c r="AJ440" s="312"/>
      <c r="AK440" s="312"/>
      <c r="AL440" s="312"/>
      <c r="AM440" s="312"/>
      <c r="AN440" s="312"/>
      <c r="AO440" s="312"/>
      <c r="AP440" s="312"/>
      <c r="AQ440" s="312"/>
    </row>
    <row r="441" ht="15.75" customHeight="1">
      <c r="A441" s="318"/>
      <c r="B441" s="312"/>
      <c r="C441" s="312"/>
      <c r="D441" s="312"/>
      <c r="E441" s="312"/>
      <c r="F441" s="312"/>
      <c r="G441" s="312"/>
      <c r="H441" s="312"/>
      <c r="I441" s="312"/>
      <c r="J441" s="312"/>
      <c r="K441" s="312"/>
      <c r="L441" s="312"/>
      <c r="M441" s="312"/>
      <c r="N441" s="312"/>
      <c r="O441" s="312"/>
      <c r="P441" s="312"/>
      <c r="Q441" s="312"/>
      <c r="R441" s="312"/>
      <c r="S441" s="312"/>
      <c r="T441" s="312"/>
      <c r="U441" s="312"/>
      <c r="V441" s="312"/>
      <c r="W441" s="312"/>
      <c r="X441" s="312"/>
      <c r="Y441" s="312"/>
      <c r="Z441" s="312"/>
      <c r="AA441" s="312"/>
      <c r="AB441" s="312"/>
      <c r="AC441" s="312"/>
      <c r="AD441" s="312"/>
      <c r="AE441" s="312"/>
      <c r="AF441" s="312"/>
      <c r="AG441" s="312"/>
      <c r="AH441" s="312"/>
      <c r="AI441" s="312"/>
      <c r="AJ441" s="312"/>
      <c r="AK441" s="312"/>
      <c r="AL441" s="312"/>
      <c r="AM441" s="312"/>
      <c r="AN441" s="312"/>
      <c r="AO441" s="312"/>
      <c r="AP441" s="312"/>
      <c r="AQ441" s="312"/>
    </row>
    <row r="442" ht="15.75" customHeight="1">
      <c r="A442" s="318"/>
      <c r="B442" s="312"/>
      <c r="C442" s="312"/>
      <c r="D442" s="312"/>
      <c r="E442" s="312"/>
      <c r="F442" s="312"/>
      <c r="G442" s="312"/>
      <c r="H442" s="312"/>
      <c r="I442" s="312"/>
      <c r="J442" s="312"/>
      <c r="K442" s="312"/>
      <c r="L442" s="312"/>
      <c r="M442" s="312"/>
      <c r="N442" s="312"/>
      <c r="O442" s="312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312"/>
      <c r="AH442" s="312"/>
      <c r="AI442" s="312"/>
      <c r="AJ442" s="312"/>
      <c r="AK442" s="312"/>
      <c r="AL442" s="312"/>
      <c r="AM442" s="312"/>
      <c r="AN442" s="312"/>
      <c r="AO442" s="312"/>
      <c r="AP442" s="312"/>
      <c r="AQ442" s="312"/>
    </row>
    <row r="443" ht="15.75" customHeight="1">
      <c r="A443" s="318"/>
      <c r="B443" s="312"/>
      <c r="C443" s="312"/>
      <c r="D443" s="312"/>
      <c r="E443" s="312"/>
      <c r="F443" s="312"/>
      <c r="G443" s="312"/>
      <c r="H443" s="312"/>
      <c r="I443" s="312"/>
      <c r="J443" s="312"/>
      <c r="K443" s="312"/>
      <c r="L443" s="312"/>
      <c r="M443" s="312"/>
      <c r="N443" s="312"/>
      <c r="O443" s="312"/>
      <c r="P443" s="312"/>
      <c r="Q443" s="312"/>
      <c r="R443" s="312"/>
      <c r="S443" s="312"/>
      <c r="T443" s="312"/>
      <c r="U443" s="312"/>
      <c r="V443" s="312"/>
      <c r="W443" s="312"/>
      <c r="X443" s="312"/>
      <c r="Y443" s="312"/>
      <c r="Z443" s="312"/>
      <c r="AA443" s="312"/>
      <c r="AB443" s="312"/>
      <c r="AC443" s="312"/>
      <c r="AD443" s="312"/>
      <c r="AE443" s="312"/>
      <c r="AF443" s="312"/>
      <c r="AG443" s="312"/>
      <c r="AH443" s="312"/>
      <c r="AI443" s="312"/>
      <c r="AJ443" s="312"/>
      <c r="AK443" s="312"/>
      <c r="AL443" s="312"/>
      <c r="AM443" s="312"/>
      <c r="AN443" s="312"/>
      <c r="AO443" s="312"/>
      <c r="AP443" s="312"/>
      <c r="AQ443" s="312"/>
    </row>
    <row r="444" ht="15.75" customHeight="1">
      <c r="A444" s="318"/>
      <c r="B444" s="312"/>
      <c r="C444" s="312"/>
      <c r="D444" s="312"/>
      <c r="E444" s="312"/>
      <c r="F444" s="312"/>
      <c r="G444" s="312"/>
      <c r="H444" s="312"/>
      <c r="I444" s="312"/>
      <c r="J444" s="312"/>
      <c r="K444" s="312"/>
      <c r="L444" s="312"/>
      <c r="M444" s="312"/>
      <c r="N444" s="312"/>
      <c r="O444" s="312"/>
      <c r="P444" s="312"/>
      <c r="Q444" s="312"/>
      <c r="R444" s="312"/>
      <c r="S444" s="312"/>
      <c r="T444" s="312"/>
      <c r="U444" s="312"/>
      <c r="V444" s="312"/>
      <c r="W444" s="312"/>
      <c r="X444" s="312"/>
      <c r="Y444" s="312"/>
      <c r="Z444" s="312"/>
      <c r="AA444" s="312"/>
      <c r="AB444" s="312"/>
      <c r="AC444" s="312"/>
      <c r="AD444" s="312"/>
      <c r="AE444" s="312"/>
      <c r="AF444" s="312"/>
      <c r="AG444" s="312"/>
      <c r="AH444" s="312"/>
      <c r="AI444" s="312"/>
      <c r="AJ444" s="312"/>
      <c r="AK444" s="312"/>
      <c r="AL444" s="312"/>
      <c r="AM444" s="312"/>
      <c r="AN444" s="312"/>
      <c r="AO444" s="312"/>
      <c r="AP444" s="312"/>
      <c r="AQ444" s="312"/>
    </row>
    <row r="445" ht="15.75" customHeight="1">
      <c r="A445" s="318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2"/>
      <c r="S445" s="312"/>
      <c r="T445" s="312"/>
      <c r="U445" s="312"/>
      <c r="V445" s="312"/>
      <c r="W445" s="312"/>
      <c r="X445" s="312"/>
      <c r="Y445" s="312"/>
      <c r="Z445" s="312"/>
      <c r="AA445" s="312"/>
      <c r="AB445" s="312"/>
      <c r="AC445" s="312"/>
      <c r="AD445" s="312"/>
      <c r="AE445" s="312"/>
      <c r="AF445" s="312"/>
      <c r="AG445" s="312"/>
      <c r="AH445" s="312"/>
      <c r="AI445" s="312"/>
      <c r="AJ445" s="312"/>
      <c r="AK445" s="312"/>
      <c r="AL445" s="312"/>
      <c r="AM445" s="312"/>
      <c r="AN445" s="312"/>
      <c r="AO445" s="312"/>
      <c r="AP445" s="312"/>
      <c r="AQ445" s="312"/>
    </row>
    <row r="446" ht="15.75" customHeight="1">
      <c r="A446" s="318"/>
      <c r="B446" s="312"/>
      <c r="C446" s="312"/>
      <c r="D446" s="312"/>
      <c r="E446" s="312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  <c r="AP446" s="312"/>
      <c r="AQ446" s="312"/>
    </row>
    <row r="447" ht="15.75" customHeight="1">
      <c r="A447" s="318"/>
      <c r="B447" s="312"/>
      <c r="C447" s="312"/>
      <c r="D447" s="312"/>
      <c r="E447" s="312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  <c r="AP447" s="312"/>
      <c r="AQ447" s="312"/>
    </row>
    <row r="448" ht="15.75" customHeight="1">
      <c r="A448" s="318"/>
      <c r="B448" s="312"/>
      <c r="C448" s="312"/>
      <c r="D448" s="312"/>
      <c r="E448" s="312"/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  <c r="AP448" s="312"/>
      <c r="AQ448" s="312"/>
    </row>
    <row r="449" ht="15.75" customHeight="1">
      <c r="A449" s="318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  <c r="AP449" s="312"/>
      <c r="AQ449" s="312"/>
    </row>
    <row r="450" ht="15.75" customHeight="1">
      <c r="A450" s="318"/>
      <c r="B450" s="312"/>
      <c r="C450" s="312"/>
      <c r="D450" s="312"/>
      <c r="E450" s="312"/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  <c r="AP450" s="312"/>
      <c r="AQ450" s="312"/>
    </row>
    <row r="451" ht="15.75" customHeight="1">
      <c r="A451" s="318"/>
      <c r="B451" s="312"/>
      <c r="C451" s="312"/>
      <c r="D451" s="312"/>
      <c r="E451" s="312"/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  <c r="AP451" s="312"/>
      <c r="AQ451" s="312"/>
    </row>
    <row r="452" ht="15.75" customHeight="1">
      <c r="A452" s="318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  <c r="AP452" s="312"/>
      <c r="AQ452" s="312"/>
    </row>
    <row r="453" ht="15.75" customHeight="1">
      <c r="A453" s="318"/>
      <c r="B453" s="312"/>
      <c r="C453" s="312"/>
      <c r="D453" s="312"/>
      <c r="E453" s="312"/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  <c r="AP453" s="312"/>
      <c r="AQ453" s="312"/>
    </row>
    <row r="454" ht="15.75" customHeight="1">
      <c r="A454" s="318"/>
      <c r="B454" s="312"/>
      <c r="C454" s="312"/>
      <c r="D454" s="312"/>
      <c r="E454" s="312"/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  <c r="AP454" s="312"/>
      <c r="AQ454" s="312"/>
    </row>
    <row r="455" ht="15.75" customHeight="1">
      <c r="A455" s="318"/>
      <c r="B455" s="312"/>
      <c r="C455" s="312"/>
      <c r="D455" s="312"/>
      <c r="E455" s="312"/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  <c r="AP455" s="312"/>
      <c r="AQ455" s="312"/>
    </row>
    <row r="456" ht="15.75" customHeight="1">
      <c r="A456" s="318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  <c r="AP456" s="312"/>
      <c r="AQ456" s="312"/>
    </row>
    <row r="457" ht="15.75" customHeight="1">
      <c r="A457" s="318"/>
      <c r="B457" s="312"/>
      <c r="C457" s="312"/>
      <c r="D457" s="312"/>
      <c r="E457" s="312"/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  <c r="AP457" s="312"/>
      <c r="AQ457" s="312"/>
    </row>
    <row r="458" ht="15.75" customHeight="1">
      <c r="A458" s="318"/>
      <c r="B458" s="312"/>
      <c r="C458" s="312"/>
      <c r="D458" s="312"/>
      <c r="E458" s="312"/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  <c r="AP458" s="312"/>
      <c r="AQ458" s="312"/>
    </row>
    <row r="459" ht="15.75" customHeight="1">
      <c r="A459" s="318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  <c r="AP459" s="312"/>
      <c r="AQ459" s="312"/>
    </row>
    <row r="460" ht="15.75" customHeight="1">
      <c r="A460" s="318"/>
      <c r="B460" s="312"/>
      <c r="C460" s="312"/>
      <c r="D460" s="312"/>
      <c r="E460" s="312"/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  <c r="AP460" s="312"/>
      <c r="AQ460" s="312"/>
    </row>
    <row r="461" ht="15.75" customHeight="1">
      <c r="A461" s="318"/>
      <c r="B461" s="312"/>
      <c r="C461" s="312"/>
      <c r="D461" s="312"/>
      <c r="E461" s="312"/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  <c r="AP461" s="312"/>
      <c r="AQ461" s="312"/>
    </row>
    <row r="462" ht="15.75" customHeight="1">
      <c r="A462" s="318"/>
      <c r="B462" s="312"/>
      <c r="C462" s="312"/>
      <c r="D462" s="312"/>
      <c r="E462" s="312"/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  <c r="AP462" s="312"/>
      <c r="AQ462" s="312"/>
    </row>
    <row r="463" ht="15.75" customHeight="1">
      <c r="A463" s="318"/>
      <c r="B463" s="312"/>
      <c r="C463" s="312"/>
      <c r="D463" s="312"/>
      <c r="E463" s="312"/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  <c r="AP463" s="312"/>
      <c r="AQ463" s="312"/>
    </row>
    <row r="464" ht="15.75" customHeight="1">
      <c r="A464" s="318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  <c r="AP464" s="312"/>
      <c r="AQ464" s="312"/>
    </row>
    <row r="465" ht="15.75" customHeight="1">
      <c r="A465" s="318"/>
      <c r="B465" s="312"/>
      <c r="C465" s="312"/>
      <c r="D465" s="312"/>
      <c r="E465" s="312"/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  <c r="AP465" s="312"/>
      <c r="AQ465" s="312"/>
    </row>
    <row r="466" ht="15.75" customHeight="1">
      <c r="A466" s="318"/>
      <c r="B466" s="312"/>
      <c r="C466" s="312"/>
      <c r="D466" s="312"/>
      <c r="E466" s="312"/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  <c r="AP466" s="312"/>
      <c r="AQ466" s="312"/>
    </row>
    <row r="467" ht="15.75" customHeight="1">
      <c r="A467" s="318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  <c r="AP467" s="312"/>
      <c r="AQ467" s="312"/>
    </row>
    <row r="468" ht="15.75" customHeight="1">
      <c r="A468" s="318"/>
      <c r="B468" s="312"/>
      <c r="C468" s="312"/>
      <c r="D468" s="312"/>
      <c r="E468" s="312"/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  <c r="AP468" s="312"/>
      <c r="AQ468" s="312"/>
    </row>
    <row r="469" ht="15.75" customHeight="1">
      <c r="A469" s="318"/>
      <c r="B469" s="312"/>
      <c r="C469" s="312"/>
      <c r="D469" s="312"/>
      <c r="E469" s="312"/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  <c r="AP469" s="312"/>
      <c r="AQ469" s="312"/>
    </row>
    <row r="470" ht="15.75" customHeight="1">
      <c r="A470" s="318"/>
      <c r="B470" s="312"/>
      <c r="C470" s="312"/>
      <c r="D470" s="312"/>
      <c r="E470" s="312"/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  <c r="AP470" s="312"/>
      <c r="AQ470" s="312"/>
    </row>
    <row r="471" ht="15.75" customHeight="1">
      <c r="A471" s="318"/>
      <c r="B471" s="312"/>
      <c r="C471" s="312"/>
      <c r="D471" s="312"/>
      <c r="E471" s="312"/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  <c r="AP471" s="312"/>
      <c r="AQ471" s="312"/>
    </row>
    <row r="472" ht="15.75" customHeight="1">
      <c r="A472" s="318"/>
      <c r="B472" s="312"/>
      <c r="C472" s="312"/>
      <c r="D472" s="312"/>
      <c r="E472" s="312"/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  <c r="AP472" s="312"/>
      <c r="AQ472" s="312"/>
    </row>
    <row r="473" ht="15.75" customHeight="1">
      <c r="A473" s="318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  <c r="AP473" s="312"/>
      <c r="AQ473" s="312"/>
    </row>
    <row r="474" ht="15.75" customHeight="1">
      <c r="A474" s="318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  <c r="AP474" s="312"/>
      <c r="AQ474" s="312"/>
    </row>
    <row r="475" ht="15.75" customHeight="1">
      <c r="A475" s="318"/>
      <c r="B475" s="312"/>
      <c r="C475" s="312"/>
      <c r="D475" s="312"/>
      <c r="E475" s="312"/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  <c r="AP475" s="312"/>
      <c r="AQ475" s="312"/>
    </row>
    <row r="476" ht="15.75" customHeight="1">
      <c r="A476" s="318"/>
      <c r="B476" s="312"/>
      <c r="C476" s="312"/>
      <c r="D476" s="312"/>
      <c r="E476" s="312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  <c r="AP476" s="312"/>
      <c r="AQ476" s="312"/>
    </row>
    <row r="477" ht="15.75" customHeight="1">
      <c r="A477" s="318"/>
      <c r="B477" s="312"/>
      <c r="C477" s="312"/>
      <c r="D477" s="312"/>
      <c r="E477" s="312"/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  <c r="AP477" s="312"/>
      <c r="AQ477" s="312"/>
    </row>
    <row r="478" ht="15.75" customHeight="1">
      <c r="A478" s="318"/>
      <c r="B478" s="312"/>
      <c r="C478" s="312"/>
      <c r="D478" s="312"/>
      <c r="E478" s="312"/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  <c r="AP478" s="312"/>
      <c r="AQ478" s="312"/>
    </row>
    <row r="479" ht="15.75" customHeight="1">
      <c r="A479" s="318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  <c r="AP479" s="312"/>
      <c r="AQ479" s="312"/>
    </row>
    <row r="480" ht="15.75" customHeight="1">
      <c r="A480" s="318"/>
      <c r="B480" s="312"/>
      <c r="C480" s="312"/>
      <c r="D480" s="312"/>
      <c r="E480" s="312"/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  <c r="AP480" s="312"/>
      <c r="AQ480" s="312"/>
    </row>
    <row r="481" ht="15.75" customHeight="1">
      <c r="A481" s="318"/>
      <c r="B481" s="312"/>
      <c r="C481" s="312"/>
      <c r="D481" s="312"/>
      <c r="E481" s="312"/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  <c r="AP481" s="312"/>
      <c r="AQ481" s="312"/>
    </row>
    <row r="482" ht="15.75" customHeight="1">
      <c r="A482" s="318"/>
      <c r="B482" s="312"/>
      <c r="C482" s="312"/>
      <c r="D482" s="312"/>
      <c r="E482" s="312"/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  <c r="AP482" s="312"/>
      <c r="AQ482" s="312"/>
    </row>
    <row r="483" ht="15.75" customHeight="1">
      <c r="A483" s="318"/>
      <c r="B483" s="312"/>
      <c r="C483" s="312"/>
      <c r="D483" s="312"/>
      <c r="E483" s="312"/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  <c r="AP483" s="312"/>
      <c r="AQ483" s="312"/>
    </row>
    <row r="484" ht="15.75" customHeight="1">
      <c r="A484" s="318"/>
      <c r="B484" s="312"/>
      <c r="C484" s="312"/>
      <c r="D484" s="312"/>
      <c r="E484" s="312"/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  <c r="AP484" s="312"/>
      <c r="AQ484" s="312"/>
    </row>
    <row r="485" ht="15.75" customHeight="1">
      <c r="A485" s="318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  <c r="AP485" s="312"/>
      <c r="AQ485" s="312"/>
    </row>
    <row r="486" ht="15.75" customHeight="1">
      <c r="A486" s="318"/>
      <c r="B486" s="312"/>
      <c r="C486" s="312"/>
      <c r="D486" s="312"/>
      <c r="E486" s="312"/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  <c r="AP486" s="312"/>
      <c r="AQ486" s="312"/>
    </row>
    <row r="487" ht="15.75" customHeight="1">
      <c r="A487" s="318"/>
      <c r="B487" s="312"/>
      <c r="C487" s="312"/>
      <c r="D487" s="312"/>
      <c r="E487" s="312"/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  <c r="AP487" s="312"/>
      <c r="AQ487" s="312"/>
    </row>
    <row r="488" ht="15.75" customHeight="1">
      <c r="A488" s="318"/>
      <c r="B488" s="312"/>
      <c r="C488" s="312"/>
      <c r="D488" s="312"/>
      <c r="E488" s="312"/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  <c r="AP488" s="312"/>
      <c r="AQ488" s="312"/>
    </row>
    <row r="489" ht="15.75" customHeight="1">
      <c r="A489" s="318"/>
      <c r="B489" s="312"/>
      <c r="C489" s="312"/>
      <c r="D489" s="312"/>
      <c r="E489" s="312"/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  <c r="AP489" s="312"/>
      <c r="AQ489" s="312"/>
    </row>
    <row r="490" ht="15.75" customHeight="1">
      <c r="A490" s="318"/>
      <c r="B490" s="312"/>
      <c r="C490" s="312"/>
      <c r="D490" s="312"/>
      <c r="E490" s="312"/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  <c r="AP490" s="312"/>
      <c r="AQ490" s="312"/>
    </row>
    <row r="491" ht="15.75" customHeight="1">
      <c r="A491" s="318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  <c r="AP491" s="312"/>
      <c r="AQ491" s="312"/>
    </row>
    <row r="492" ht="15.75" customHeight="1">
      <c r="A492" s="318"/>
      <c r="B492" s="312"/>
      <c r="C492" s="312"/>
      <c r="D492" s="312"/>
      <c r="E492" s="312"/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  <c r="AP492" s="312"/>
      <c r="AQ492" s="312"/>
    </row>
    <row r="493" ht="15.75" customHeight="1">
      <c r="A493" s="318"/>
      <c r="B493" s="312"/>
      <c r="C493" s="312"/>
      <c r="D493" s="312"/>
      <c r="E493" s="312"/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  <c r="AP493" s="312"/>
      <c r="AQ493" s="312"/>
    </row>
    <row r="494" ht="15.75" customHeight="1">
      <c r="A494" s="318"/>
      <c r="B494" s="312"/>
      <c r="C494" s="312"/>
      <c r="D494" s="312"/>
      <c r="E494" s="312"/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  <c r="AP494" s="312"/>
      <c r="AQ494" s="312"/>
    </row>
    <row r="495" ht="15.75" customHeight="1">
      <c r="A495" s="318"/>
      <c r="B495" s="312"/>
      <c r="C495" s="312"/>
      <c r="D495" s="312"/>
      <c r="E495" s="312"/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  <c r="AP495" s="312"/>
      <c r="AQ495" s="312"/>
    </row>
    <row r="496" ht="15.75" customHeight="1">
      <c r="A496" s="318"/>
      <c r="B496" s="312"/>
      <c r="C496" s="312"/>
      <c r="D496" s="312"/>
      <c r="E496" s="312"/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  <c r="AP496" s="312"/>
      <c r="AQ496" s="312"/>
    </row>
    <row r="497" ht="15.75" customHeight="1">
      <c r="A497" s="318"/>
      <c r="B497" s="312"/>
      <c r="C497" s="312"/>
      <c r="D497" s="312"/>
      <c r="E497" s="312"/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  <c r="AP497" s="312"/>
      <c r="AQ497" s="312"/>
    </row>
    <row r="498" ht="15.75" customHeight="1">
      <c r="A498" s="318"/>
      <c r="B498" s="312"/>
      <c r="C498" s="312"/>
      <c r="D498" s="312"/>
      <c r="E498" s="312"/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  <c r="AP498" s="312"/>
      <c r="AQ498" s="312"/>
    </row>
    <row r="499" ht="15.75" customHeight="1">
      <c r="A499" s="318"/>
      <c r="B499" s="312"/>
      <c r="C499" s="312"/>
      <c r="D499" s="312"/>
      <c r="E499" s="312"/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  <c r="AP499" s="312"/>
      <c r="AQ499" s="312"/>
    </row>
    <row r="500" ht="15.75" customHeight="1">
      <c r="A500" s="318"/>
      <c r="B500" s="312"/>
      <c r="C500" s="312"/>
      <c r="D500" s="312"/>
      <c r="E500" s="312"/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  <c r="AP500" s="312"/>
      <c r="AQ500" s="312"/>
    </row>
    <row r="501" ht="15.75" customHeight="1">
      <c r="A501" s="318"/>
      <c r="B501" s="312"/>
      <c r="C501" s="312"/>
      <c r="D501" s="312"/>
      <c r="E501" s="312"/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  <c r="AP501" s="312"/>
      <c r="AQ501" s="312"/>
    </row>
    <row r="502" ht="15.75" customHeight="1">
      <c r="A502" s="318"/>
      <c r="B502" s="312"/>
      <c r="C502" s="312"/>
      <c r="D502" s="312"/>
      <c r="E502" s="312"/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  <c r="AP502" s="312"/>
      <c r="AQ502" s="312"/>
    </row>
    <row r="503" ht="15.75" customHeight="1">
      <c r="A503" s="318"/>
      <c r="B503" s="312"/>
      <c r="C503" s="312"/>
      <c r="D503" s="312"/>
      <c r="E503" s="312"/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  <c r="AP503" s="312"/>
      <c r="AQ503" s="312"/>
    </row>
    <row r="504" ht="15.75" customHeight="1">
      <c r="A504" s="318"/>
      <c r="B504" s="312"/>
      <c r="C504" s="312"/>
      <c r="D504" s="312"/>
      <c r="E504" s="312"/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  <c r="AP504" s="312"/>
      <c r="AQ504" s="312"/>
    </row>
    <row r="505" ht="15.75" customHeight="1">
      <c r="A505" s="318"/>
      <c r="B505" s="312"/>
      <c r="C505" s="312"/>
      <c r="D505" s="312"/>
      <c r="E505" s="312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  <c r="AP505" s="312"/>
      <c r="AQ505" s="312"/>
    </row>
    <row r="506" ht="15.75" customHeight="1">
      <c r="A506" s="318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  <c r="AP506" s="312"/>
      <c r="AQ506" s="312"/>
    </row>
    <row r="507" ht="15.75" customHeight="1">
      <c r="A507" s="318"/>
      <c r="B507" s="312"/>
      <c r="C507" s="312"/>
      <c r="D507" s="312"/>
      <c r="E507" s="312"/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  <c r="AP507" s="312"/>
      <c r="AQ507" s="312"/>
    </row>
    <row r="508" ht="15.75" customHeight="1">
      <c r="A508" s="318"/>
      <c r="B508" s="312"/>
      <c r="C508" s="312"/>
      <c r="D508" s="312"/>
      <c r="E508" s="312"/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  <c r="AP508" s="312"/>
      <c r="AQ508" s="312"/>
    </row>
    <row r="509" ht="15.75" customHeight="1">
      <c r="A509" s="318"/>
      <c r="B509" s="312"/>
      <c r="C509" s="312"/>
      <c r="D509" s="312"/>
      <c r="E509" s="312"/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  <c r="AP509" s="312"/>
      <c r="AQ509" s="312"/>
    </row>
    <row r="510" ht="15.75" customHeight="1">
      <c r="A510" s="318"/>
      <c r="B510" s="312"/>
      <c r="C510" s="312"/>
      <c r="D510" s="312"/>
      <c r="E510" s="312"/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  <c r="AP510" s="312"/>
      <c r="AQ510" s="312"/>
    </row>
    <row r="511" ht="15.75" customHeight="1">
      <c r="A511" s="318"/>
      <c r="B511" s="312"/>
      <c r="C511" s="312"/>
      <c r="D511" s="312"/>
      <c r="E511" s="312"/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  <c r="AP511" s="312"/>
      <c r="AQ511" s="312"/>
    </row>
    <row r="512" ht="15.75" customHeight="1">
      <c r="A512" s="318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  <c r="AP512" s="312"/>
      <c r="AQ512" s="312"/>
    </row>
    <row r="513" ht="15.75" customHeight="1">
      <c r="A513" s="318"/>
      <c r="B513" s="312"/>
      <c r="C513" s="312"/>
      <c r="D513" s="312"/>
      <c r="E513" s="312"/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  <c r="AP513" s="312"/>
      <c r="AQ513" s="312"/>
    </row>
    <row r="514" ht="15.75" customHeight="1">
      <c r="A514" s="318"/>
      <c r="B514" s="312"/>
      <c r="C514" s="312"/>
      <c r="D514" s="312"/>
      <c r="E514" s="312"/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  <c r="AP514" s="312"/>
      <c r="AQ514" s="312"/>
    </row>
    <row r="515" ht="15.75" customHeight="1">
      <c r="A515" s="318"/>
      <c r="B515" s="312"/>
      <c r="C515" s="312"/>
      <c r="D515" s="312"/>
      <c r="E515" s="312"/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  <c r="AP515" s="312"/>
      <c r="AQ515" s="312"/>
    </row>
    <row r="516" ht="15.75" customHeight="1">
      <c r="A516" s="318"/>
      <c r="B516" s="312"/>
      <c r="C516" s="312"/>
      <c r="D516" s="312"/>
      <c r="E516" s="312"/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  <c r="AP516" s="312"/>
      <c r="AQ516" s="312"/>
    </row>
    <row r="517" ht="15.75" customHeight="1">
      <c r="A517" s="318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  <c r="AP517" s="312"/>
      <c r="AQ517" s="312"/>
    </row>
    <row r="518" ht="15.75" customHeight="1">
      <c r="A518" s="318"/>
      <c r="B518" s="312"/>
      <c r="C518" s="312"/>
      <c r="D518" s="312"/>
      <c r="E518" s="312"/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  <c r="AP518" s="312"/>
      <c r="AQ518" s="312"/>
    </row>
    <row r="519" ht="15.75" customHeight="1">
      <c r="A519" s="318"/>
      <c r="B519" s="312"/>
      <c r="C519" s="312"/>
      <c r="D519" s="312"/>
      <c r="E519" s="312"/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  <c r="AP519" s="312"/>
      <c r="AQ519" s="312"/>
    </row>
    <row r="520" ht="15.75" customHeight="1">
      <c r="A520" s="318"/>
      <c r="B520" s="312"/>
      <c r="C520" s="312"/>
      <c r="D520" s="312"/>
      <c r="E520" s="312"/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  <c r="AP520" s="312"/>
      <c r="AQ520" s="312"/>
    </row>
    <row r="521" ht="15.75" customHeight="1">
      <c r="A521" s="318"/>
      <c r="B521" s="312"/>
      <c r="C521" s="312"/>
      <c r="D521" s="312"/>
      <c r="E521" s="312"/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  <c r="AP521" s="312"/>
      <c r="AQ521" s="312"/>
    </row>
    <row r="522" ht="15.75" customHeight="1">
      <c r="A522" s="318"/>
      <c r="B522" s="312"/>
      <c r="C522" s="312"/>
      <c r="D522" s="312"/>
      <c r="E522" s="312"/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  <c r="AP522" s="312"/>
      <c r="AQ522" s="312"/>
    </row>
    <row r="523" ht="15.75" customHeight="1">
      <c r="A523" s="318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  <c r="AP523" s="312"/>
      <c r="AQ523" s="312"/>
    </row>
    <row r="524" ht="15.75" customHeight="1">
      <c r="A524" s="318"/>
      <c r="B524" s="312"/>
      <c r="C524" s="312"/>
      <c r="D524" s="312"/>
      <c r="E524" s="312"/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  <c r="AP524" s="312"/>
      <c r="AQ524" s="312"/>
    </row>
    <row r="525" ht="15.75" customHeight="1">
      <c r="A525" s="318"/>
      <c r="B525" s="312"/>
      <c r="C525" s="312"/>
      <c r="D525" s="312"/>
      <c r="E525" s="312"/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  <c r="AP525" s="312"/>
      <c r="AQ525" s="312"/>
    </row>
    <row r="526" ht="15.75" customHeight="1">
      <c r="A526" s="318"/>
      <c r="B526" s="312"/>
      <c r="C526" s="312"/>
      <c r="D526" s="312"/>
      <c r="E526" s="312"/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  <c r="AP526" s="312"/>
      <c r="AQ526" s="312"/>
    </row>
    <row r="527" ht="15.75" customHeight="1">
      <c r="A527" s="318"/>
      <c r="B527" s="312"/>
      <c r="C527" s="312"/>
      <c r="D527" s="312"/>
      <c r="E527" s="312"/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  <c r="AP527" s="312"/>
      <c r="AQ527" s="312"/>
    </row>
    <row r="528" ht="15.75" customHeight="1">
      <c r="A528" s="318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  <c r="AP528" s="312"/>
      <c r="AQ528" s="312"/>
    </row>
    <row r="529" ht="15.75" customHeight="1">
      <c r="A529" s="318"/>
      <c r="B529" s="312"/>
      <c r="C529" s="312"/>
      <c r="D529" s="312"/>
      <c r="E529" s="312"/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  <c r="AP529" s="312"/>
      <c r="AQ529" s="312"/>
    </row>
    <row r="530" ht="15.75" customHeight="1">
      <c r="A530" s="318"/>
      <c r="B530" s="312"/>
      <c r="C530" s="312"/>
      <c r="D530" s="312"/>
      <c r="E530" s="312"/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  <c r="AP530" s="312"/>
      <c r="AQ530" s="312"/>
    </row>
    <row r="531" ht="15.75" customHeight="1">
      <c r="A531" s="318"/>
      <c r="B531" s="312"/>
      <c r="C531" s="312"/>
      <c r="D531" s="312"/>
      <c r="E531" s="312"/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  <c r="AP531" s="312"/>
      <c r="AQ531" s="312"/>
    </row>
    <row r="532" ht="15.75" customHeight="1">
      <c r="A532" s="318"/>
      <c r="B532" s="312"/>
      <c r="C532" s="312"/>
      <c r="D532" s="312"/>
      <c r="E532" s="312"/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  <c r="AP532" s="312"/>
      <c r="AQ532" s="312"/>
    </row>
    <row r="533" ht="15.75" customHeight="1">
      <c r="A533" s="318"/>
      <c r="B533" s="312"/>
      <c r="C533" s="312"/>
      <c r="D533" s="312"/>
      <c r="E533" s="312"/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  <c r="AP533" s="312"/>
      <c r="AQ533" s="312"/>
    </row>
    <row r="534" ht="15.75" customHeight="1">
      <c r="A534" s="318"/>
      <c r="B534" s="312"/>
      <c r="C534" s="312"/>
      <c r="D534" s="312"/>
      <c r="E534" s="312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  <c r="AP534" s="312"/>
      <c r="AQ534" s="312"/>
    </row>
    <row r="535" ht="15.75" customHeight="1">
      <c r="A535" s="318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  <c r="AP535" s="312"/>
      <c r="AQ535" s="312"/>
    </row>
    <row r="536" ht="15.75" customHeight="1">
      <c r="A536" s="318"/>
      <c r="B536" s="312"/>
      <c r="C536" s="312"/>
      <c r="D536" s="312"/>
      <c r="E536" s="312"/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  <c r="AP536" s="312"/>
      <c r="AQ536" s="312"/>
    </row>
    <row r="537" ht="15.75" customHeight="1">
      <c r="A537" s="318"/>
      <c r="B537" s="312"/>
      <c r="C537" s="312"/>
      <c r="D537" s="312"/>
      <c r="E537" s="312"/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  <c r="AP537" s="312"/>
      <c r="AQ537" s="312"/>
    </row>
    <row r="538" ht="15.75" customHeight="1">
      <c r="A538" s="318"/>
      <c r="B538" s="312"/>
      <c r="C538" s="312"/>
      <c r="D538" s="312"/>
      <c r="E538" s="312"/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  <c r="AP538" s="312"/>
      <c r="AQ538" s="312"/>
    </row>
    <row r="539" ht="15.75" customHeight="1">
      <c r="A539" s="318"/>
      <c r="B539" s="312"/>
      <c r="C539" s="312"/>
      <c r="D539" s="312"/>
      <c r="E539" s="312"/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  <c r="AP539" s="312"/>
      <c r="AQ539" s="312"/>
    </row>
    <row r="540" ht="15.75" customHeight="1">
      <c r="A540" s="318"/>
      <c r="B540" s="312"/>
      <c r="C540" s="312"/>
      <c r="D540" s="312"/>
      <c r="E540" s="312"/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  <c r="AP540" s="312"/>
      <c r="AQ540" s="312"/>
    </row>
    <row r="541" ht="15.75" customHeight="1">
      <c r="A541" s="318"/>
      <c r="B541" s="312"/>
      <c r="C541" s="312"/>
      <c r="D541" s="312"/>
      <c r="E541" s="312"/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  <c r="AP541" s="312"/>
      <c r="AQ541" s="312"/>
    </row>
    <row r="542" ht="15.75" customHeight="1">
      <c r="A542" s="318"/>
      <c r="B542" s="312"/>
      <c r="C542" s="312"/>
      <c r="D542" s="312"/>
      <c r="E542" s="312"/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  <c r="AP542" s="312"/>
      <c r="AQ542" s="312"/>
    </row>
    <row r="543" ht="15.75" customHeight="1">
      <c r="A543" s="318"/>
      <c r="B543" s="312"/>
      <c r="C543" s="312"/>
      <c r="D543" s="312"/>
      <c r="E543" s="312"/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  <c r="AP543" s="312"/>
      <c r="AQ543" s="312"/>
    </row>
    <row r="544" ht="15.75" customHeight="1">
      <c r="A544" s="318"/>
      <c r="B544" s="312"/>
      <c r="C544" s="312"/>
      <c r="D544" s="312"/>
      <c r="E544" s="312"/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  <c r="AP544" s="312"/>
      <c r="AQ544" s="312"/>
    </row>
    <row r="545" ht="15.75" customHeight="1">
      <c r="A545" s="318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  <c r="AP545" s="312"/>
      <c r="AQ545" s="312"/>
    </row>
    <row r="546" ht="15.75" customHeight="1">
      <c r="A546" s="318"/>
      <c r="B546" s="312"/>
      <c r="C546" s="312"/>
      <c r="D546" s="312"/>
      <c r="E546" s="312"/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  <c r="AP546" s="312"/>
      <c r="AQ546" s="312"/>
    </row>
    <row r="547" ht="15.75" customHeight="1">
      <c r="A547" s="318"/>
      <c r="B547" s="312"/>
      <c r="C547" s="312"/>
      <c r="D547" s="312"/>
      <c r="E547" s="312"/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  <c r="AP547" s="312"/>
      <c r="AQ547" s="312"/>
    </row>
    <row r="548" ht="15.75" customHeight="1">
      <c r="A548" s="318"/>
      <c r="B548" s="312"/>
      <c r="C548" s="312"/>
      <c r="D548" s="312"/>
      <c r="E548" s="312"/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  <c r="AP548" s="312"/>
      <c r="AQ548" s="312"/>
    </row>
    <row r="549" ht="15.75" customHeight="1">
      <c r="A549" s="318"/>
      <c r="B549" s="312"/>
      <c r="C549" s="312"/>
      <c r="D549" s="312"/>
      <c r="E549" s="312"/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  <c r="AP549" s="312"/>
      <c r="AQ549" s="312"/>
    </row>
    <row r="550" ht="15.75" customHeight="1">
      <c r="A550" s="318"/>
      <c r="B550" s="312"/>
      <c r="C550" s="312"/>
      <c r="D550" s="312"/>
      <c r="E550" s="312"/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  <c r="AP550" s="312"/>
      <c r="AQ550" s="312"/>
    </row>
    <row r="551" ht="15.75" customHeight="1">
      <c r="A551" s="318"/>
      <c r="B551" s="312"/>
      <c r="C551" s="312"/>
      <c r="D551" s="312"/>
      <c r="E551" s="312"/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  <c r="AP551" s="312"/>
      <c r="AQ551" s="312"/>
    </row>
    <row r="552" ht="15.75" customHeight="1">
      <c r="A552" s="318"/>
      <c r="B552" s="312"/>
      <c r="C552" s="312"/>
      <c r="D552" s="312"/>
      <c r="E552" s="312"/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  <c r="AP552" s="312"/>
      <c r="AQ552" s="312"/>
    </row>
    <row r="553" ht="15.75" customHeight="1">
      <c r="A553" s="318"/>
      <c r="B553" s="312"/>
      <c r="C553" s="312"/>
      <c r="D553" s="312"/>
      <c r="E553" s="312"/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  <c r="AP553" s="312"/>
      <c r="AQ553" s="312"/>
    </row>
    <row r="554" ht="15.75" customHeight="1">
      <c r="A554" s="318"/>
      <c r="B554" s="312"/>
      <c r="C554" s="312"/>
      <c r="D554" s="312"/>
      <c r="E554" s="312"/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  <c r="AP554" s="312"/>
      <c r="AQ554" s="312"/>
    </row>
    <row r="555" ht="15.75" customHeight="1">
      <c r="A555" s="318"/>
      <c r="B555" s="312"/>
      <c r="C555" s="312"/>
      <c r="D555" s="312"/>
      <c r="E555" s="312"/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  <c r="AP555" s="312"/>
      <c r="AQ555" s="312"/>
    </row>
    <row r="556" ht="15.75" customHeight="1">
      <c r="A556" s="318"/>
      <c r="B556" s="312"/>
      <c r="C556" s="312"/>
      <c r="D556" s="312"/>
      <c r="E556" s="312"/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  <c r="AP556" s="312"/>
      <c r="AQ556" s="312"/>
    </row>
    <row r="557" ht="15.75" customHeight="1">
      <c r="A557" s="318"/>
      <c r="B557" s="312"/>
      <c r="C557" s="312"/>
      <c r="D557" s="312"/>
      <c r="E557" s="312"/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  <c r="AP557" s="312"/>
      <c r="AQ557" s="312"/>
    </row>
    <row r="558" ht="15.75" customHeight="1">
      <c r="A558" s="318"/>
      <c r="B558" s="312"/>
      <c r="C558" s="312"/>
      <c r="D558" s="312"/>
      <c r="E558" s="312"/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  <c r="AP558" s="312"/>
      <c r="AQ558" s="312"/>
    </row>
    <row r="559" ht="15.75" customHeight="1">
      <c r="A559" s="318"/>
      <c r="B559" s="312"/>
      <c r="C559" s="312"/>
      <c r="D559" s="312"/>
      <c r="E559" s="312"/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  <c r="AP559" s="312"/>
      <c r="AQ559" s="312"/>
    </row>
    <row r="560" ht="15.75" customHeight="1">
      <c r="A560" s="318"/>
      <c r="B560" s="312"/>
      <c r="C560" s="312"/>
      <c r="D560" s="312"/>
      <c r="E560" s="312"/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  <c r="AP560" s="312"/>
      <c r="AQ560" s="312"/>
    </row>
    <row r="561" ht="15.75" customHeight="1">
      <c r="A561" s="318"/>
      <c r="B561" s="312"/>
      <c r="C561" s="312"/>
      <c r="D561" s="312"/>
      <c r="E561" s="312"/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  <c r="AP561" s="312"/>
      <c r="AQ561" s="312"/>
    </row>
    <row r="562" ht="15.75" customHeight="1">
      <c r="A562" s="318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  <c r="AP562" s="312"/>
      <c r="AQ562" s="312"/>
    </row>
    <row r="563" ht="15.75" customHeight="1">
      <c r="A563" s="318"/>
      <c r="B563" s="312"/>
      <c r="C563" s="312"/>
      <c r="D563" s="312"/>
      <c r="E563" s="312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  <c r="AP563" s="312"/>
      <c r="AQ563" s="312"/>
    </row>
    <row r="564" ht="15.75" customHeight="1">
      <c r="A564" s="318"/>
      <c r="B564" s="312"/>
      <c r="C564" s="312"/>
      <c r="D564" s="312"/>
      <c r="E564" s="312"/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  <c r="AP564" s="312"/>
      <c r="AQ564" s="312"/>
    </row>
    <row r="565" ht="15.75" customHeight="1">
      <c r="A565" s="318"/>
      <c r="B565" s="312"/>
      <c r="C565" s="312"/>
      <c r="D565" s="312"/>
      <c r="E565" s="312"/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  <c r="AP565" s="312"/>
      <c r="AQ565" s="312"/>
    </row>
    <row r="566" ht="15.75" customHeight="1">
      <c r="A566" s="318"/>
      <c r="B566" s="312"/>
      <c r="C566" s="312"/>
      <c r="D566" s="312"/>
      <c r="E566" s="312"/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  <c r="AP566" s="312"/>
      <c r="AQ566" s="312"/>
    </row>
    <row r="567" ht="15.75" customHeight="1">
      <c r="A567" s="318"/>
      <c r="B567" s="312"/>
      <c r="C567" s="312"/>
      <c r="D567" s="312"/>
      <c r="E567" s="312"/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  <c r="AP567" s="312"/>
      <c r="AQ567" s="312"/>
    </row>
    <row r="568" ht="15.75" customHeight="1">
      <c r="A568" s="318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  <c r="AP568" s="312"/>
      <c r="AQ568" s="312"/>
    </row>
    <row r="569" ht="15.75" customHeight="1">
      <c r="A569" s="318"/>
      <c r="B569" s="312"/>
      <c r="C569" s="312"/>
      <c r="D569" s="312"/>
      <c r="E569" s="312"/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  <c r="AP569" s="312"/>
      <c r="AQ569" s="312"/>
    </row>
    <row r="570" ht="15.75" customHeight="1">
      <c r="A570" s="318"/>
      <c r="B570" s="312"/>
      <c r="C570" s="312"/>
      <c r="D570" s="312"/>
      <c r="E570" s="312"/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  <c r="AP570" s="312"/>
      <c r="AQ570" s="312"/>
    </row>
    <row r="571" ht="15.75" customHeight="1">
      <c r="A571" s="318"/>
      <c r="B571" s="312"/>
      <c r="C571" s="312"/>
      <c r="D571" s="312"/>
      <c r="E571" s="312"/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  <c r="AP571" s="312"/>
      <c r="AQ571" s="312"/>
    </row>
    <row r="572" ht="15.75" customHeight="1">
      <c r="A572" s="318"/>
      <c r="B572" s="312"/>
      <c r="C572" s="312"/>
      <c r="D572" s="312"/>
      <c r="E572" s="312"/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  <c r="AP572" s="312"/>
      <c r="AQ572" s="312"/>
    </row>
    <row r="573" ht="15.75" customHeight="1">
      <c r="A573" s="318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  <c r="AP573" s="312"/>
      <c r="AQ573" s="312"/>
    </row>
    <row r="574" ht="15.75" customHeight="1">
      <c r="A574" s="318"/>
      <c r="B574" s="312"/>
      <c r="C574" s="312"/>
      <c r="D574" s="312"/>
      <c r="E574" s="312"/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  <c r="AP574" s="312"/>
      <c r="AQ574" s="312"/>
    </row>
    <row r="575" ht="15.75" customHeight="1">
      <c r="A575" s="318"/>
      <c r="B575" s="312"/>
      <c r="C575" s="312"/>
      <c r="D575" s="312"/>
      <c r="E575" s="312"/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  <c r="AP575" s="312"/>
      <c r="AQ575" s="312"/>
    </row>
    <row r="576" ht="15.75" customHeight="1">
      <c r="A576" s="318"/>
      <c r="B576" s="312"/>
      <c r="C576" s="312"/>
      <c r="D576" s="312"/>
      <c r="E576" s="312"/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  <c r="AP576" s="312"/>
      <c r="AQ576" s="312"/>
    </row>
    <row r="577" ht="15.75" customHeight="1">
      <c r="A577" s="318"/>
      <c r="B577" s="312"/>
      <c r="C577" s="312"/>
      <c r="D577" s="312"/>
      <c r="E577" s="312"/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  <c r="AP577" s="312"/>
      <c r="AQ577" s="312"/>
    </row>
    <row r="578" ht="15.75" customHeight="1">
      <c r="A578" s="318"/>
      <c r="B578" s="312"/>
      <c r="C578" s="312"/>
      <c r="D578" s="312"/>
      <c r="E578" s="312"/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  <c r="AP578" s="312"/>
      <c r="AQ578" s="312"/>
    </row>
    <row r="579" ht="15.75" customHeight="1">
      <c r="A579" s="318"/>
      <c r="B579" s="312"/>
      <c r="C579" s="312"/>
      <c r="D579" s="312"/>
      <c r="E579" s="312"/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  <c r="AP579" s="312"/>
      <c r="AQ579" s="312"/>
    </row>
    <row r="580" ht="15.75" customHeight="1">
      <c r="A580" s="318"/>
      <c r="B580" s="312"/>
      <c r="C580" s="312"/>
      <c r="D580" s="312"/>
      <c r="E580" s="312"/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  <c r="AP580" s="312"/>
      <c r="AQ580" s="312"/>
    </row>
    <row r="581" ht="15.75" customHeight="1">
      <c r="A581" s="318"/>
      <c r="B581" s="312"/>
      <c r="C581" s="312"/>
      <c r="D581" s="312"/>
      <c r="E581" s="312"/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  <c r="AP581" s="312"/>
      <c r="AQ581" s="312"/>
    </row>
    <row r="582" ht="15.75" customHeight="1">
      <c r="A582" s="318"/>
      <c r="B582" s="312"/>
      <c r="C582" s="312"/>
      <c r="D582" s="312"/>
      <c r="E582" s="312"/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  <c r="AP582" s="312"/>
      <c r="AQ582" s="312"/>
    </row>
    <row r="583" ht="15.75" customHeight="1">
      <c r="A583" s="318"/>
      <c r="B583" s="312"/>
      <c r="C583" s="312"/>
      <c r="D583" s="312"/>
      <c r="E583" s="312"/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  <c r="AP583" s="312"/>
      <c r="AQ583" s="312"/>
    </row>
    <row r="584" ht="15.75" customHeight="1">
      <c r="A584" s="318"/>
      <c r="B584" s="312"/>
      <c r="C584" s="312"/>
      <c r="D584" s="312"/>
      <c r="E584" s="312"/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  <c r="AP584" s="312"/>
      <c r="AQ584" s="312"/>
    </row>
    <row r="585" ht="15.75" customHeight="1">
      <c r="A585" s="318"/>
      <c r="B585" s="312"/>
      <c r="C585" s="312"/>
      <c r="D585" s="312"/>
      <c r="E585" s="312"/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  <c r="AP585" s="312"/>
      <c r="AQ585" s="312"/>
    </row>
    <row r="586" ht="15.75" customHeight="1">
      <c r="A586" s="318"/>
      <c r="B586" s="312"/>
      <c r="C586" s="312"/>
      <c r="D586" s="312"/>
      <c r="E586" s="312"/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  <c r="AP586" s="312"/>
      <c r="AQ586" s="312"/>
    </row>
    <row r="587" ht="15.75" customHeight="1">
      <c r="A587" s="318"/>
      <c r="B587" s="312"/>
      <c r="C587" s="312"/>
      <c r="D587" s="312"/>
      <c r="E587" s="312"/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  <c r="AP587" s="312"/>
      <c r="AQ587" s="312"/>
    </row>
    <row r="588" ht="15.75" customHeight="1">
      <c r="A588" s="318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  <c r="AP588" s="312"/>
      <c r="AQ588" s="312"/>
    </row>
    <row r="589" ht="15.75" customHeight="1">
      <c r="A589" s="318"/>
      <c r="B589" s="312"/>
      <c r="C589" s="312"/>
      <c r="D589" s="312"/>
      <c r="E589" s="312"/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  <c r="AP589" s="312"/>
      <c r="AQ589" s="312"/>
    </row>
    <row r="590" ht="15.75" customHeight="1">
      <c r="A590" s="318"/>
      <c r="B590" s="312"/>
      <c r="C590" s="312"/>
      <c r="D590" s="312"/>
      <c r="E590" s="312"/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  <c r="AP590" s="312"/>
      <c r="AQ590" s="312"/>
    </row>
    <row r="591" ht="15.75" customHeight="1">
      <c r="A591" s="318"/>
      <c r="B591" s="312"/>
      <c r="C591" s="312"/>
      <c r="D591" s="312"/>
      <c r="E591" s="312"/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  <c r="AP591" s="312"/>
      <c r="AQ591" s="312"/>
    </row>
    <row r="592" ht="15.75" customHeight="1">
      <c r="A592" s="318"/>
      <c r="B592" s="312"/>
      <c r="C592" s="312"/>
      <c r="D592" s="312"/>
      <c r="E592" s="312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  <c r="AP592" s="312"/>
      <c r="AQ592" s="312"/>
    </row>
    <row r="593" ht="15.75" customHeight="1">
      <c r="A593" s="318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  <c r="AP593" s="312"/>
      <c r="AQ593" s="312"/>
    </row>
    <row r="594" ht="15.75" customHeight="1">
      <c r="A594" s="318"/>
      <c r="B594" s="312"/>
      <c r="C594" s="312"/>
      <c r="D594" s="312"/>
      <c r="E594" s="312"/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  <c r="AP594" s="312"/>
      <c r="AQ594" s="312"/>
    </row>
    <row r="595" ht="15.75" customHeight="1">
      <c r="A595" s="318"/>
      <c r="B595" s="312"/>
      <c r="C595" s="312"/>
      <c r="D595" s="312"/>
      <c r="E595" s="312"/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  <c r="AP595" s="312"/>
      <c r="AQ595" s="312"/>
    </row>
    <row r="596" ht="15.75" customHeight="1">
      <c r="A596" s="318"/>
      <c r="B596" s="312"/>
      <c r="C596" s="312"/>
      <c r="D596" s="312"/>
      <c r="E596" s="312"/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  <c r="AP596" s="312"/>
      <c r="AQ596" s="312"/>
    </row>
    <row r="597" ht="15.75" customHeight="1">
      <c r="A597" s="318"/>
      <c r="B597" s="312"/>
      <c r="C597" s="312"/>
      <c r="D597" s="312"/>
      <c r="E597" s="312"/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  <c r="AP597" s="312"/>
      <c r="AQ597" s="312"/>
    </row>
    <row r="598" ht="15.75" customHeight="1">
      <c r="A598" s="318"/>
      <c r="B598" s="312"/>
      <c r="C598" s="312"/>
      <c r="D598" s="312"/>
      <c r="E598" s="312"/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  <c r="AP598" s="312"/>
      <c r="AQ598" s="312"/>
    </row>
    <row r="599" ht="15.75" customHeight="1">
      <c r="A599" s="318"/>
      <c r="B599" s="312"/>
      <c r="C599" s="312"/>
      <c r="D599" s="312"/>
      <c r="E599" s="312"/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  <c r="AP599" s="312"/>
      <c r="AQ599" s="312"/>
    </row>
    <row r="600" ht="15.75" customHeight="1">
      <c r="A600" s="318"/>
      <c r="B600" s="312"/>
      <c r="C600" s="312"/>
      <c r="D600" s="312"/>
      <c r="E600" s="312"/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  <c r="AP600" s="312"/>
      <c r="AQ600" s="312"/>
    </row>
    <row r="601" ht="15.75" customHeight="1">
      <c r="A601" s="318"/>
      <c r="B601" s="312"/>
      <c r="C601" s="312"/>
      <c r="D601" s="312"/>
      <c r="E601" s="312"/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  <c r="AP601" s="312"/>
      <c r="AQ601" s="312"/>
    </row>
    <row r="602" ht="15.75" customHeight="1">
      <c r="A602" s="318"/>
      <c r="B602" s="312"/>
      <c r="C602" s="312"/>
      <c r="D602" s="312"/>
      <c r="E602" s="312"/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  <c r="AP602" s="312"/>
      <c r="AQ602" s="312"/>
    </row>
    <row r="603" ht="15.75" customHeight="1">
      <c r="A603" s="318"/>
      <c r="B603" s="312"/>
      <c r="C603" s="312"/>
      <c r="D603" s="312"/>
      <c r="E603" s="312"/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  <c r="AP603" s="312"/>
      <c r="AQ603" s="312"/>
    </row>
    <row r="604" ht="15.75" customHeight="1">
      <c r="A604" s="318"/>
      <c r="B604" s="312"/>
      <c r="C604" s="312"/>
      <c r="D604" s="312"/>
      <c r="E604" s="312"/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  <c r="AP604" s="312"/>
      <c r="AQ604" s="312"/>
    </row>
    <row r="605" ht="15.75" customHeight="1">
      <c r="A605" s="318"/>
      <c r="B605" s="312"/>
      <c r="C605" s="312"/>
      <c r="D605" s="312"/>
      <c r="E605" s="312"/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  <c r="AP605" s="312"/>
      <c r="AQ605" s="312"/>
    </row>
    <row r="606" ht="15.75" customHeight="1">
      <c r="A606" s="318"/>
      <c r="B606" s="312"/>
      <c r="C606" s="312"/>
      <c r="D606" s="312"/>
      <c r="E606" s="312"/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  <c r="AP606" s="312"/>
      <c r="AQ606" s="312"/>
    </row>
    <row r="607" ht="15.75" customHeight="1">
      <c r="A607" s="318"/>
      <c r="B607" s="312"/>
      <c r="C607" s="312"/>
      <c r="D607" s="312"/>
      <c r="E607" s="312"/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  <c r="AP607" s="312"/>
      <c r="AQ607" s="312"/>
    </row>
    <row r="608" ht="15.75" customHeight="1">
      <c r="A608" s="318"/>
      <c r="B608" s="312"/>
      <c r="C608" s="312"/>
      <c r="D608" s="312"/>
      <c r="E608" s="312"/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  <c r="AP608" s="312"/>
      <c r="AQ608" s="312"/>
    </row>
    <row r="609" ht="15.75" customHeight="1">
      <c r="A609" s="318"/>
      <c r="B609" s="312"/>
      <c r="C609" s="312"/>
      <c r="D609" s="312"/>
      <c r="E609" s="312"/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  <c r="AP609" s="312"/>
      <c r="AQ609" s="312"/>
    </row>
    <row r="610" ht="15.75" customHeight="1">
      <c r="A610" s="318"/>
      <c r="B610" s="312"/>
      <c r="C610" s="312"/>
      <c r="D610" s="312"/>
      <c r="E610" s="312"/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  <c r="AP610" s="312"/>
      <c r="AQ610" s="312"/>
    </row>
    <row r="611" ht="15.75" customHeight="1">
      <c r="A611" s="318"/>
      <c r="B611" s="312"/>
      <c r="C611" s="312"/>
      <c r="D611" s="312"/>
      <c r="E611" s="312"/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  <c r="AP611" s="312"/>
      <c r="AQ611" s="312"/>
    </row>
    <row r="612" ht="15.75" customHeight="1">
      <c r="A612" s="318"/>
      <c r="B612" s="312"/>
      <c r="C612" s="312"/>
      <c r="D612" s="312"/>
      <c r="E612" s="312"/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  <c r="AP612" s="312"/>
      <c r="AQ612" s="312"/>
    </row>
    <row r="613" ht="15.75" customHeight="1">
      <c r="A613" s="318"/>
      <c r="B613" s="312"/>
      <c r="C613" s="312"/>
      <c r="D613" s="312"/>
      <c r="E613" s="312"/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  <c r="AP613" s="312"/>
      <c r="AQ613" s="312"/>
    </row>
    <row r="614" ht="15.75" customHeight="1">
      <c r="A614" s="318"/>
      <c r="B614" s="312"/>
      <c r="C614" s="312"/>
      <c r="D614" s="312"/>
      <c r="E614" s="312"/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  <c r="AP614" s="312"/>
      <c r="AQ614" s="312"/>
    </row>
    <row r="615" ht="15.75" customHeight="1">
      <c r="A615" s="318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  <c r="AP615" s="312"/>
      <c r="AQ615" s="312"/>
    </row>
    <row r="616" ht="15.75" customHeight="1">
      <c r="A616" s="318"/>
      <c r="B616" s="312"/>
      <c r="C616" s="312"/>
      <c r="D616" s="312"/>
      <c r="E616" s="312"/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  <c r="AP616" s="312"/>
      <c r="AQ616" s="312"/>
    </row>
    <row r="617" ht="15.75" customHeight="1">
      <c r="A617" s="318"/>
      <c r="B617" s="312"/>
      <c r="C617" s="312"/>
      <c r="D617" s="312"/>
      <c r="E617" s="312"/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  <c r="AP617" s="312"/>
      <c r="AQ617" s="312"/>
    </row>
    <row r="618" ht="15.75" customHeight="1">
      <c r="A618" s="318"/>
      <c r="B618" s="312"/>
      <c r="C618" s="312"/>
      <c r="D618" s="312"/>
      <c r="E618" s="312"/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  <c r="AP618" s="312"/>
      <c r="AQ618" s="312"/>
    </row>
    <row r="619" ht="15.75" customHeight="1">
      <c r="A619" s="318"/>
      <c r="B619" s="312"/>
      <c r="C619" s="312"/>
      <c r="D619" s="312"/>
      <c r="E619" s="312"/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  <c r="AP619" s="312"/>
      <c r="AQ619" s="312"/>
    </row>
    <row r="620" ht="15.75" customHeight="1">
      <c r="A620" s="318"/>
      <c r="B620" s="312"/>
      <c r="C620" s="312"/>
      <c r="D620" s="312"/>
      <c r="E620" s="312"/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  <c r="AP620" s="312"/>
      <c r="AQ620" s="312"/>
    </row>
    <row r="621" ht="15.75" customHeight="1">
      <c r="A621" s="318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  <c r="AP621" s="312"/>
      <c r="AQ621" s="312"/>
    </row>
    <row r="622" ht="15.75" customHeight="1">
      <c r="A622" s="318"/>
      <c r="B622" s="312"/>
      <c r="C622" s="312"/>
      <c r="D622" s="312"/>
      <c r="E622" s="312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  <c r="AP622" s="312"/>
      <c r="AQ622" s="312"/>
    </row>
    <row r="623" ht="15.75" customHeight="1">
      <c r="A623" s="318"/>
      <c r="B623" s="312"/>
      <c r="C623" s="312"/>
      <c r="D623" s="312"/>
      <c r="E623" s="312"/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  <c r="AP623" s="312"/>
      <c r="AQ623" s="312"/>
    </row>
    <row r="624" ht="15.75" customHeight="1">
      <c r="A624" s="318"/>
      <c r="B624" s="312"/>
      <c r="C624" s="312"/>
      <c r="D624" s="312"/>
      <c r="E624" s="312"/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  <c r="AP624" s="312"/>
      <c r="AQ624" s="312"/>
    </row>
    <row r="625" ht="15.75" customHeight="1">
      <c r="A625" s="318"/>
      <c r="B625" s="312"/>
      <c r="C625" s="312"/>
      <c r="D625" s="312"/>
      <c r="E625" s="312"/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  <c r="AP625" s="312"/>
      <c r="AQ625" s="312"/>
    </row>
    <row r="626" ht="15.75" customHeight="1">
      <c r="A626" s="318"/>
      <c r="B626" s="312"/>
      <c r="C626" s="312"/>
      <c r="D626" s="312"/>
      <c r="E626" s="312"/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  <c r="AP626" s="312"/>
      <c r="AQ626" s="312"/>
    </row>
    <row r="627" ht="15.75" customHeight="1">
      <c r="A627" s="318"/>
      <c r="B627" s="312"/>
      <c r="C627" s="312"/>
      <c r="D627" s="312"/>
      <c r="E627" s="312"/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  <c r="AP627" s="312"/>
      <c r="AQ627" s="312"/>
    </row>
    <row r="628" ht="15.75" customHeight="1">
      <c r="A628" s="318"/>
      <c r="B628" s="312"/>
      <c r="C628" s="312"/>
      <c r="D628" s="312"/>
      <c r="E628" s="312"/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  <c r="AP628" s="312"/>
      <c r="AQ628" s="312"/>
    </row>
    <row r="629" ht="15.75" customHeight="1">
      <c r="A629" s="318"/>
      <c r="B629" s="312"/>
      <c r="C629" s="312"/>
      <c r="D629" s="312"/>
      <c r="E629" s="312"/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  <c r="AP629" s="312"/>
      <c r="AQ629" s="312"/>
    </row>
    <row r="630" ht="15.75" customHeight="1">
      <c r="A630" s="318"/>
      <c r="B630" s="312"/>
      <c r="C630" s="312"/>
      <c r="D630" s="312"/>
      <c r="E630" s="312"/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  <c r="AP630" s="312"/>
      <c r="AQ630" s="312"/>
    </row>
    <row r="631" ht="15.75" customHeight="1">
      <c r="A631" s="318"/>
      <c r="B631" s="312"/>
      <c r="C631" s="312"/>
      <c r="D631" s="312"/>
      <c r="E631" s="312"/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  <c r="AP631" s="312"/>
      <c r="AQ631" s="312"/>
    </row>
    <row r="632" ht="15.75" customHeight="1">
      <c r="A632" s="318"/>
      <c r="B632" s="312"/>
      <c r="C632" s="312"/>
      <c r="D632" s="312"/>
      <c r="E632" s="312"/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  <c r="AP632" s="312"/>
      <c r="AQ632" s="312"/>
    </row>
    <row r="633" ht="15.75" customHeight="1">
      <c r="A633" s="318"/>
      <c r="B633" s="312"/>
      <c r="C633" s="312"/>
      <c r="D633" s="312"/>
      <c r="E633" s="312"/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  <c r="AP633" s="312"/>
      <c r="AQ633" s="312"/>
    </row>
    <row r="634" ht="15.75" customHeight="1">
      <c r="A634" s="318"/>
      <c r="B634" s="312"/>
      <c r="C634" s="312"/>
      <c r="D634" s="312"/>
      <c r="E634" s="312"/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  <c r="AP634" s="312"/>
      <c r="AQ634" s="312"/>
    </row>
    <row r="635" ht="15.75" customHeight="1">
      <c r="A635" s="318"/>
      <c r="B635" s="312"/>
      <c r="C635" s="312"/>
      <c r="D635" s="312"/>
      <c r="E635" s="312"/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  <c r="AP635" s="312"/>
      <c r="AQ635" s="312"/>
    </row>
    <row r="636" ht="15.75" customHeight="1">
      <c r="A636" s="318"/>
      <c r="B636" s="312"/>
      <c r="C636" s="312"/>
      <c r="D636" s="312"/>
      <c r="E636" s="312"/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  <c r="AP636" s="312"/>
      <c r="AQ636" s="312"/>
    </row>
    <row r="637" ht="15.75" customHeight="1">
      <c r="A637" s="318"/>
      <c r="B637" s="312"/>
      <c r="C637" s="312"/>
      <c r="D637" s="312"/>
      <c r="E637" s="312"/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  <c r="AP637" s="312"/>
      <c r="AQ637" s="312"/>
    </row>
    <row r="638" ht="15.75" customHeight="1">
      <c r="A638" s="318"/>
      <c r="B638" s="312"/>
      <c r="C638" s="312"/>
      <c r="D638" s="312"/>
      <c r="E638" s="312"/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  <c r="AP638" s="312"/>
      <c r="AQ638" s="312"/>
    </row>
    <row r="639" ht="15.75" customHeight="1">
      <c r="A639" s="318"/>
      <c r="B639" s="312"/>
      <c r="C639" s="312"/>
      <c r="D639" s="312"/>
      <c r="E639" s="312"/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  <c r="AP639" s="312"/>
      <c r="AQ639" s="312"/>
    </row>
    <row r="640" ht="15.75" customHeight="1">
      <c r="A640" s="318"/>
      <c r="B640" s="312"/>
      <c r="C640" s="312"/>
      <c r="D640" s="312"/>
      <c r="E640" s="312"/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  <c r="AP640" s="312"/>
      <c r="AQ640" s="312"/>
    </row>
    <row r="641" ht="15.75" customHeight="1">
      <c r="A641" s="318"/>
      <c r="B641" s="312"/>
      <c r="C641" s="312"/>
      <c r="D641" s="312"/>
      <c r="E641" s="312"/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  <c r="AP641" s="312"/>
      <c r="AQ641" s="312"/>
    </row>
    <row r="642" ht="15.75" customHeight="1">
      <c r="A642" s="318"/>
      <c r="B642" s="312"/>
      <c r="C642" s="312"/>
      <c r="D642" s="312"/>
      <c r="E642" s="312"/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  <c r="AP642" s="312"/>
      <c r="AQ642" s="312"/>
    </row>
    <row r="643" ht="15.75" customHeight="1">
      <c r="A643" s="318"/>
      <c r="B643" s="312"/>
      <c r="C643" s="312"/>
      <c r="D643" s="312"/>
      <c r="E643" s="312"/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  <c r="AP643" s="312"/>
      <c r="AQ643" s="312"/>
    </row>
    <row r="644" ht="15.75" customHeight="1">
      <c r="A644" s="318"/>
      <c r="B644" s="312"/>
      <c r="C644" s="312"/>
      <c r="D644" s="312"/>
      <c r="E644" s="312"/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  <c r="AP644" s="312"/>
      <c r="AQ644" s="312"/>
    </row>
    <row r="645" ht="15.75" customHeight="1">
      <c r="A645" s="318"/>
      <c r="B645" s="312"/>
      <c r="C645" s="312"/>
      <c r="D645" s="312"/>
      <c r="E645" s="312"/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  <c r="AP645" s="312"/>
      <c r="AQ645" s="312"/>
    </row>
    <row r="646" ht="15.75" customHeight="1">
      <c r="A646" s="318"/>
      <c r="B646" s="312"/>
      <c r="C646" s="312"/>
      <c r="D646" s="312"/>
      <c r="E646" s="312"/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  <c r="AP646" s="312"/>
      <c r="AQ646" s="312"/>
    </row>
    <row r="647" ht="15.75" customHeight="1">
      <c r="A647" s="318"/>
      <c r="B647" s="312"/>
      <c r="C647" s="312"/>
      <c r="D647" s="312"/>
      <c r="E647" s="312"/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  <c r="AP647" s="312"/>
      <c r="AQ647" s="312"/>
    </row>
    <row r="648" ht="15.75" customHeight="1">
      <c r="A648" s="318"/>
      <c r="B648" s="312"/>
      <c r="C648" s="312"/>
      <c r="D648" s="312"/>
      <c r="E648" s="312"/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  <c r="AP648" s="312"/>
      <c r="AQ648" s="312"/>
    </row>
    <row r="649" ht="15.75" customHeight="1">
      <c r="A649" s="318"/>
      <c r="B649" s="312"/>
      <c r="C649" s="312"/>
      <c r="D649" s="312"/>
      <c r="E649" s="312"/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  <c r="AP649" s="312"/>
      <c r="AQ649" s="312"/>
    </row>
    <row r="650" ht="15.75" customHeight="1">
      <c r="A650" s="318"/>
      <c r="B650" s="312"/>
      <c r="C650" s="312"/>
      <c r="D650" s="312"/>
      <c r="E650" s="312"/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  <c r="AP650" s="312"/>
      <c r="AQ650" s="312"/>
    </row>
    <row r="651" ht="15.75" customHeight="1">
      <c r="A651" s="318"/>
      <c r="B651" s="312"/>
      <c r="C651" s="312"/>
      <c r="D651" s="312"/>
      <c r="E651" s="312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  <c r="AP651" s="312"/>
      <c r="AQ651" s="312"/>
    </row>
    <row r="652" ht="15.75" customHeight="1">
      <c r="A652" s="318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  <c r="AP652" s="312"/>
      <c r="AQ652" s="312"/>
    </row>
    <row r="653" ht="15.75" customHeight="1">
      <c r="A653" s="318"/>
      <c r="B653" s="312"/>
      <c r="C653" s="312"/>
      <c r="D653" s="312"/>
      <c r="E653" s="312"/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  <c r="AP653" s="312"/>
      <c r="AQ653" s="312"/>
    </row>
    <row r="654" ht="15.75" customHeight="1">
      <c r="A654" s="318"/>
      <c r="B654" s="312"/>
      <c r="C654" s="312"/>
      <c r="D654" s="312"/>
      <c r="E654" s="312"/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  <c r="AP654" s="312"/>
      <c r="AQ654" s="312"/>
    </row>
    <row r="655" ht="15.75" customHeight="1">
      <c r="A655" s="318"/>
      <c r="B655" s="312"/>
      <c r="C655" s="312"/>
      <c r="D655" s="312"/>
      <c r="E655" s="312"/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  <c r="AP655" s="312"/>
      <c r="AQ655" s="312"/>
    </row>
    <row r="656" ht="15.75" customHeight="1">
      <c r="A656" s="318"/>
      <c r="B656" s="312"/>
      <c r="C656" s="312"/>
      <c r="D656" s="312"/>
      <c r="E656" s="312"/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  <c r="AP656" s="312"/>
      <c r="AQ656" s="312"/>
    </row>
    <row r="657" ht="15.75" customHeight="1">
      <c r="A657" s="318"/>
      <c r="B657" s="312"/>
      <c r="C657" s="312"/>
      <c r="D657" s="312"/>
      <c r="E657" s="312"/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  <c r="AP657" s="312"/>
      <c r="AQ657" s="312"/>
    </row>
    <row r="658" ht="15.75" customHeight="1">
      <c r="A658" s="318"/>
      <c r="B658" s="312"/>
      <c r="C658" s="312"/>
      <c r="D658" s="312"/>
      <c r="E658" s="312"/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  <c r="AP658" s="312"/>
      <c r="AQ658" s="312"/>
    </row>
    <row r="659" ht="15.75" customHeight="1">
      <c r="A659" s="318"/>
      <c r="B659" s="312"/>
      <c r="C659" s="312"/>
      <c r="D659" s="312"/>
      <c r="E659" s="312"/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  <c r="AP659" s="312"/>
      <c r="AQ659" s="312"/>
    </row>
    <row r="660" ht="15.75" customHeight="1">
      <c r="A660" s="318"/>
      <c r="B660" s="312"/>
      <c r="C660" s="312"/>
      <c r="D660" s="312"/>
      <c r="E660" s="312"/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  <c r="AP660" s="312"/>
      <c r="AQ660" s="312"/>
    </row>
    <row r="661" ht="15.75" customHeight="1">
      <c r="A661" s="318"/>
      <c r="B661" s="312"/>
      <c r="C661" s="312"/>
      <c r="D661" s="312"/>
      <c r="E661" s="312"/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  <c r="AP661" s="312"/>
      <c r="AQ661" s="312"/>
    </row>
    <row r="662" ht="15.75" customHeight="1">
      <c r="A662" s="318"/>
      <c r="B662" s="312"/>
      <c r="C662" s="312"/>
      <c r="D662" s="312"/>
      <c r="E662" s="312"/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  <c r="AP662" s="312"/>
      <c r="AQ662" s="312"/>
    </row>
    <row r="663" ht="15.75" customHeight="1">
      <c r="A663" s="318"/>
      <c r="B663" s="312"/>
      <c r="C663" s="312"/>
      <c r="D663" s="312"/>
      <c r="E663" s="312"/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  <c r="AP663" s="312"/>
      <c r="AQ663" s="312"/>
    </row>
    <row r="664" ht="15.75" customHeight="1">
      <c r="A664" s="318"/>
      <c r="B664" s="312"/>
      <c r="C664" s="312"/>
      <c r="D664" s="312"/>
      <c r="E664" s="312"/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  <c r="AP664" s="312"/>
      <c r="AQ664" s="312"/>
    </row>
    <row r="665" ht="15.75" customHeight="1">
      <c r="A665" s="318"/>
      <c r="B665" s="312"/>
      <c r="C665" s="312"/>
      <c r="D665" s="312"/>
      <c r="E665" s="312"/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  <c r="AP665" s="312"/>
      <c r="AQ665" s="312"/>
    </row>
    <row r="666" ht="15.75" customHeight="1">
      <c r="A666" s="318"/>
      <c r="B666" s="312"/>
      <c r="C666" s="312"/>
      <c r="D666" s="312"/>
      <c r="E666" s="312"/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  <c r="AP666" s="312"/>
      <c r="AQ666" s="312"/>
    </row>
    <row r="667" ht="15.75" customHeight="1">
      <c r="A667" s="318"/>
      <c r="B667" s="312"/>
      <c r="C667" s="312"/>
      <c r="D667" s="312"/>
      <c r="E667" s="312"/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  <c r="AP667" s="312"/>
      <c r="AQ667" s="312"/>
    </row>
    <row r="668" ht="15.75" customHeight="1">
      <c r="A668" s="318"/>
      <c r="B668" s="312"/>
      <c r="C668" s="312"/>
      <c r="D668" s="312"/>
      <c r="E668" s="312"/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  <c r="AP668" s="312"/>
      <c r="AQ668" s="312"/>
    </row>
    <row r="669" ht="15.75" customHeight="1">
      <c r="A669" s="318"/>
      <c r="B669" s="312"/>
      <c r="C669" s="312"/>
      <c r="D669" s="312"/>
      <c r="E669" s="312"/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  <c r="AP669" s="312"/>
      <c r="AQ669" s="312"/>
    </row>
    <row r="670" ht="15.75" customHeight="1">
      <c r="A670" s="318"/>
      <c r="B670" s="312"/>
      <c r="C670" s="312"/>
      <c r="D670" s="312"/>
      <c r="E670" s="312"/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  <c r="AP670" s="312"/>
      <c r="AQ670" s="312"/>
    </row>
    <row r="671" ht="15.75" customHeight="1">
      <c r="A671" s="318"/>
      <c r="B671" s="312"/>
      <c r="C671" s="312"/>
      <c r="D671" s="312"/>
      <c r="E671" s="312"/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  <c r="AP671" s="312"/>
      <c r="AQ671" s="312"/>
    </row>
    <row r="672" ht="15.75" customHeight="1">
      <c r="A672" s="318"/>
      <c r="B672" s="312"/>
      <c r="C672" s="312"/>
      <c r="D672" s="312"/>
      <c r="E672" s="312"/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  <c r="AP672" s="312"/>
      <c r="AQ672" s="312"/>
    </row>
    <row r="673" ht="15.75" customHeight="1">
      <c r="A673" s="318"/>
      <c r="B673" s="312"/>
      <c r="C673" s="312"/>
      <c r="D673" s="312"/>
      <c r="E673" s="312"/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  <c r="AP673" s="312"/>
      <c r="AQ673" s="312"/>
    </row>
    <row r="674" ht="15.75" customHeight="1">
      <c r="A674" s="318"/>
      <c r="B674" s="312"/>
      <c r="C674" s="312"/>
      <c r="D674" s="312"/>
      <c r="E674" s="312"/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  <c r="AP674" s="312"/>
      <c r="AQ674" s="312"/>
    </row>
    <row r="675" ht="15.75" customHeight="1">
      <c r="A675" s="318"/>
      <c r="B675" s="312"/>
      <c r="C675" s="312"/>
      <c r="D675" s="312"/>
      <c r="E675" s="312"/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  <c r="AP675" s="312"/>
      <c r="AQ675" s="312"/>
    </row>
    <row r="676" ht="15.75" customHeight="1">
      <c r="A676" s="318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  <c r="AP676" s="312"/>
      <c r="AQ676" s="312"/>
    </row>
    <row r="677" ht="15.75" customHeight="1">
      <c r="A677" s="318"/>
      <c r="B677" s="312"/>
      <c r="C677" s="312"/>
      <c r="D677" s="312"/>
      <c r="E677" s="312"/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  <c r="AP677" s="312"/>
      <c r="AQ677" s="312"/>
    </row>
    <row r="678" ht="15.75" customHeight="1">
      <c r="A678" s="318"/>
      <c r="B678" s="312"/>
      <c r="C678" s="312"/>
      <c r="D678" s="312"/>
      <c r="E678" s="312"/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  <c r="AP678" s="312"/>
      <c r="AQ678" s="312"/>
    </row>
    <row r="679" ht="15.75" customHeight="1">
      <c r="A679" s="318"/>
      <c r="B679" s="312"/>
      <c r="C679" s="312"/>
      <c r="D679" s="312"/>
      <c r="E679" s="312"/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  <c r="AP679" s="312"/>
      <c r="AQ679" s="312"/>
    </row>
    <row r="680" ht="15.75" customHeight="1">
      <c r="A680" s="318"/>
      <c r="B680" s="312"/>
      <c r="C680" s="312"/>
      <c r="D680" s="312"/>
      <c r="E680" s="312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  <c r="AP680" s="312"/>
      <c r="AQ680" s="312"/>
    </row>
    <row r="681" ht="15.75" customHeight="1">
      <c r="A681" s="318"/>
      <c r="B681" s="312"/>
      <c r="C681" s="312"/>
      <c r="D681" s="312"/>
      <c r="E681" s="312"/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  <c r="AP681" s="312"/>
      <c r="AQ681" s="312"/>
    </row>
    <row r="682" ht="15.75" customHeight="1">
      <c r="A682" s="318"/>
      <c r="B682" s="312"/>
      <c r="C682" s="312"/>
      <c r="D682" s="312"/>
      <c r="E682" s="312"/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  <c r="AP682" s="312"/>
      <c r="AQ682" s="312"/>
    </row>
    <row r="683" ht="15.75" customHeight="1">
      <c r="A683" s="318"/>
      <c r="B683" s="312"/>
      <c r="C683" s="312"/>
      <c r="D683" s="312"/>
      <c r="E683" s="312"/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  <c r="AP683" s="312"/>
      <c r="AQ683" s="312"/>
    </row>
    <row r="684" ht="15.75" customHeight="1">
      <c r="A684" s="318"/>
      <c r="B684" s="312"/>
      <c r="C684" s="312"/>
      <c r="D684" s="312"/>
      <c r="E684" s="312"/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  <c r="AP684" s="312"/>
      <c r="AQ684" s="312"/>
    </row>
    <row r="685" ht="15.75" customHeight="1">
      <c r="A685" s="318"/>
      <c r="B685" s="312"/>
      <c r="C685" s="312"/>
      <c r="D685" s="312"/>
      <c r="E685" s="312"/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  <c r="AP685" s="312"/>
      <c r="AQ685" s="312"/>
    </row>
    <row r="686" ht="15.75" customHeight="1">
      <c r="A686" s="318"/>
      <c r="B686" s="312"/>
      <c r="C686" s="312"/>
      <c r="D686" s="312"/>
      <c r="E686" s="312"/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  <c r="AP686" s="312"/>
      <c r="AQ686" s="312"/>
    </row>
    <row r="687" ht="15.75" customHeight="1">
      <c r="A687" s="318"/>
      <c r="B687" s="312"/>
      <c r="C687" s="312"/>
      <c r="D687" s="312"/>
      <c r="E687" s="312"/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  <c r="AP687" s="312"/>
      <c r="AQ687" s="312"/>
    </row>
    <row r="688" ht="15.75" customHeight="1">
      <c r="A688" s="318"/>
      <c r="B688" s="312"/>
      <c r="C688" s="312"/>
      <c r="D688" s="312"/>
      <c r="E688" s="312"/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  <c r="AP688" s="312"/>
      <c r="AQ688" s="312"/>
    </row>
    <row r="689" ht="15.75" customHeight="1">
      <c r="A689" s="318"/>
      <c r="B689" s="312"/>
      <c r="C689" s="312"/>
      <c r="D689" s="312"/>
      <c r="E689" s="312"/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  <c r="AP689" s="312"/>
      <c r="AQ689" s="312"/>
    </row>
    <row r="690" ht="15.75" customHeight="1">
      <c r="A690" s="318"/>
      <c r="B690" s="312"/>
      <c r="C690" s="312"/>
      <c r="D690" s="312"/>
      <c r="E690" s="312"/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  <c r="AP690" s="312"/>
      <c r="AQ690" s="312"/>
    </row>
    <row r="691" ht="15.75" customHeight="1">
      <c r="A691" s="318"/>
      <c r="B691" s="312"/>
      <c r="C691" s="312"/>
      <c r="D691" s="312"/>
      <c r="E691" s="312"/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  <c r="AP691" s="312"/>
      <c r="AQ691" s="312"/>
    </row>
    <row r="692" ht="15.75" customHeight="1">
      <c r="A692" s="318"/>
      <c r="B692" s="312"/>
      <c r="C692" s="312"/>
      <c r="D692" s="312"/>
      <c r="E692" s="312"/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  <c r="AP692" s="312"/>
      <c r="AQ692" s="312"/>
    </row>
    <row r="693" ht="15.75" customHeight="1">
      <c r="A693" s="318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  <c r="AP693" s="312"/>
      <c r="AQ693" s="312"/>
    </row>
    <row r="694" ht="15.75" customHeight="1">
      <c r="A694" s="318"/>
      <c r="B694" s="312"/>
      <c r="C694" s="312"/>
      <c r="D694" s="312"/>
      <c r="E694" s="312"/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  <c r="AP694" s="312"/>
      <c r="AQ694" s="312"/>
    </row>
    <row r="695" ht="15.75" customHeight="1">
      <c r="A695" s="318"/>
      <c r="B695" s="312"/>
      <c r="C695" s="312"/>
      <c r="D695" s="312"/>
      <c r="E695" s="312"/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  <c r="AP695" s="312"/>
      <c r="AQ695" s="312"/>
    </row>
    <row r="696" ht="15.75" customHeight="1">
      <c r="A696" s="318"/>
      <c r="B696" s="312"/>
      <c r="C696" s="312"/>
      <c r="D696" s="312"/>
      <c r="E696" s="312"/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  <c r="AP696" s="312"/>
      <c r="AQ696" s="312"/>
    </row>
    <row r="697" ht="15.75" customHeight="1">
      <c r="A697" s="318"/>
      <c r="B697" s="312"/>
      <c r="C697" s="312"/>
      <c r="D697" s="312"/>
      <c r="E697" s="312"/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  <c r="AP697" s="312"/>
      <c r="AQ697" s="312"/>
    </row>
    <row r="698" ht="15.75" customHeight="1">
      <c r="A698" s="318"/>
      <c r="B698" s="312"/>
      <c r="C698" s="312"/>
      <c r="D698" s="312"/>
      <c r="E698" s="312"/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  <c r="AP698" s="312"/>
      <c r="AQ698" s="312"/>
    </row>
    <row r="699" ht="15.75" customHeight="1">
      <c r="A699" s="318"/>
      <c r="B699" s="312"/>
      <c r="C699" s="312"/>
      <c r="D699" s="312"/>
      <c r="E699" s="312"/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  <c r="AP699" s="312"/>
      <c r="AQ699" s="312"/>
    </row>
    <row r="700" ht="15.75" customHeight="1">
      <c r="A700" s="318"/>
      <c r="B700" s="312"/>
      <c r="C700" s="312"/>
      <c r="D700" s="312"/>
      <c r="E700" s="312"/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  <c r="AP700" s="312"/>
      <c r="AQ700" s="312"/>
    </row>
    <row r="701" ht="15.75" customHeight="1">
      <c r="A701" s="318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  <c r="AP701" s="312"/>
      <c r="AQ701" s="312"/>
    </row>
    <row r="702" ht="15.75" customHeight="1">
      <c r="A702" s="318"/>
      <c r="B702" s="312"/>
      <c r="C702" s="312"/>
      <c r="D702" s="312"/>
      <c r="E702" s="312"/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  <c r="AP702" s="312"/>
      <c r="AQ702" s="312"/>
    </row>
    <row r="703" ht="15.75" customHeight="1">
      <c r="A703" s="318"/>
      <c r="B703" s="312"/>
      <c r="C703" s="312"/>
      <c r="D703" s="312"/>
      <c r="E703" s="312"/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  <c r="AP703" s="312"/>
      <c r="AQ703" s="312"/>
    </row>
    <row r="704" ht="15.75" customHeight="1">
      <c r="A704" s="318"/>
      <c r="B704" s="312"/>
      <c r="C704" s="312"/>
      <c r="D704" s="312"/>
      <c r="E704" s="312"/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  <c r="AP704" s="312"/>
      <c r="AQ704" s="312"/>
    </row>
    <row r="705" ht="15.75" customHeight="1">
      <c r="A705" s="318"/>
      <c r="B705" s="312"/>
      <c r="C705" s="312"/>
      <c r="D705" s="312"/>
      <c r="E705" s="312"/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  <c r="AP705" s="312"/>
      <c r="AQ705" s="312"/>
    </row>
    <row r="706" ht="15.75" customHeight="1">
      <c r="A706" s="318"/>
      <c r="B706" s="312"/>
      <c r="C706" s="312"/>
      <c r="D706" s="312"/>
      <c r="E706" s="312"/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  <c r="AP706" s="312"/>
      <c r="AQ706" s="312"/>
    </row>
    <row r="707" ht="15.75" customHeight="1">
      <c r="A707" s="318"/>
      <c r="B707" s="312"/>
      <c r="C707" s="312"/>
      <c r="D707" s="312"/>
      <c r="E707" s="312"/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  <c r="AP707" s="312"/>
      <c r="AQ707" s="312"/>
    </row>
    <row r="708" ht="15.75" customHeight="1">
      <c r="A708" s="318"/>
      <c r="B708" s="312"/>
      <c r="C708" s="312"/>
      <c r="D708" s="312"/>
      <c r="E708" s="312"/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  <c r="AP708" s="312"/>
      <c r="AQ708" s="312"/>
    </row>
    <row r="709" ht="15.75" customHeight="1">
      <c r="A709" s="318"/>
      <c r="B709" s="312"/>
      <c r="C709" s="312"/>
      <c r="D709" s="312"/>
      <c r="E709" s="312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  <c r="AP709" s="312"/>
      <c r="AQ709" s="312"/>
    </row>
    <row r="710" ht="15.75" customHeight="1">
      <c r="A710" s="318"/>
      <c r="B710" s="312"/>
      <c r="C710" s="312"/>
      <c r="D710" s="312"/>
      <c r="E710" s="312"/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  <c r="AP710" s="312"/>
      <c r="AQ710" s="312"/>
    </row>
    <row r="711" ht="15.75" customHeight="1">
      <c r="A711" s="318"/>
      <c r="B711" s="312"/>
      <c r="C711" s="312"/>
      <c r="D711" s="312"/>
      <c r="E711" s="312"/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  <c r="AP711" s="312"/>
      <c r="AQ711" s="312"/>
    </row>
    <row r="712" ht="15.75" customHeight="1">
      <c r="A712" s="318"/>
      <c r="B712" s="312"/>
      <c r="C712" s="312"/>
      <c r="D712" s="312"/>
      <c r="E712" s="312"/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  <c r="AP712" s="312"/>
      <c r="AQ712" s="312"/>
    </row>
    <row r="713" ht="15.75" customHeight="1">
      <c r="A713" s="318"/>
      <c r="B713" s="312"/>
      <c r="C713" s="312"/>
      <c r="D713" s="312"/>
      <c r="E713" s="312"/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  <c r="AP713" s="312"/>
      <c r="AQ713" s="312"/>
    </row>
    <row r="714" ht="15.75" customHeight="1">
      <c r="A714" s="318"/>
      <c r="B714" s="312"/>
      <c r="C714" s="312"/>
      <c r="D714" s="312"/>
      <c r="E714" s="312"/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  <c r="AP714" s="312"/>
      <c r="AQ714" s="312"/>
    </row>
    <row r="715" ht="15.75" customHeight="1">
      <c r="A715" s="318"/>
      <c r="B715" s="312"/>
      <c r="C715" s="312"/>
      <c r="D715" s="312"/>
      <c r="E715" s="312"/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  <c r="AP715" s="312"/>
      <c r="AQ715" s="312"/>
    </row>
    <row r="716" ht="15.75" customHeight="1">
      <c r="A716" s="318"/>
      <c r="B716" s="312"/>
      <c r="C716" s="312"/>
      <c r="D716" s="312"/>
      <c r="E716" s="312"/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  <c r="AP716" s="312"/>
      <c r="AQ716" s="312"/>
    </row>
    <row r="717" ht="15.75" customHeight="1">
      <c r="A717" s="318"/>
      <c r="B717" s="312"/>
      <c r="C717" s="312"/>
      <c r="D717" s="312"/>
      <c r="E717" s="312"/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  <c r="AP717" s="312"/>
      <c r="AQ717" s="312"/>
    </row>
    <row r="718" ht="15.75" customHeight="1">
      <c r="A718" s="318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  <c r="AP718" s="312"/>
      <c r="AQ718" s="312"/>
    </row>
    <row r="719" ht="15.75" customHeight="1">
      <c r="A719" s="318"/>
      <c r="B719" s="312"/>
      <c r="C719" s="312"/>
      <c r="D719" s="312"/>
      <c r="E719" s="312"/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  <c r="AP719" s="312"/>
      <c r="AQ719" s="312"/>
    </row>
    <row r="720" ht="15.75" customHeight="1">
      <c r="A720" s="318"/>
      <c r="B720" s="312"/>
      <c r="C720" s="312"/>
      <c r="D720" s="312"/>
      <c r="E720" s="312"/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  <c r="AP720" s="312"/>
      <c r="AQ720" s="312"/>
    </row>
    <row r="721" ht="15.75" customHeight="1">
      <c r="A721" s="318"/>
      <c r="B721" s="312"/>
      <c r="C721" s="312"/>
      <c r="D721" s="312"/>
      <c r="E721" s="312"/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  <c r="AP721" s="312"/>
      <c r="AQ721" s="312"/>
    </row>
    <row r="722" ht="15.75" customHeight="1">
      <c r="A722" s="318"/>
      <c r="B722" s="312"/>
      <c r="C722" s="312"/>
      <c r="D722" s="312"/>
      <c r="E722" s="312"/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  <c r="AP722" s="312"/>
      <c r="AQ722" s="312"/>
    </row>
    <row r="723" ht="15.75" customHeight="1">
      <c r="A723" s="318"/>
      <c r="B723" s="312"/>
      <c r="C723" s="312"/>
      <c r="D723" s="312"/>
      <c r="E723" s="312"/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  <c r="AP723" s="312"/>
      <c r="AQ723" s="312"/>
    </row>
    <row r="724" ht="15.75" customHeight="1">
      <c r="A724" s="318"/>
      <c r="B724" s="312"/>
      <c r="C724" s="312"/>
      <c r="D724" s="312"/>
      <c r="E724" s="312"/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  <c r="AP724" s="312"/>
      <c r="AQ724" s="312"/>
    </row>
    <row r="725" ht="15.75" customHeight="1">
      <c r="A725" s="318"/>
      <c r="B725" s="312"/>
      <c r="C725" s="312"/>
      <c r="D725" s="312"/>
      <c r="E725" s="312"/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  <c r="AP725" s="312"/>
      <c r="AQ725" s="312"/>
    </row>
    <row r="726" ht="15.75" customHeight="1">
      <c r="A726" s="318"/>
      <c r="B726" s="312"/>
      <c r="C726" s="312"/>
      <c r="D726" s="312"/>
      <c r="E726" s="312"/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  <c r="AP726" s="312"/>
      <c r="AQ726" s="312"/>
    </row>
    <row r="727" ht="15.75" customHeight="1">
      <c r="A727" s="318"/>
      <c r="B727" s="312"/>
      <c r="C727" s="312"/>
      <c r="D727" s="312"/>
      <c r="E727" s="312"/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  <c r="AP727" s="312"/>
      <c r="AQ727" s="312"/>
    </row>
    <row r="728" ht="15.75" customHeight="1">
      <c r="A728" s="318"/>
      <c r="B728" s="312"/>
      <c r="C728" s="312"/>
      <c r="D728" s="312"/>
      <c r="E728" s="312"/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  <c r="AP728" s="312"/>
      <c r="AQ728" s="312"/>
    </row>
    <row r="729" ht="15.75" customHeight="1">
      <c r="A729" s="318"/>
      <c r="B729" s="312"/>
      <c r="C729" s="312"/>
      <c r="D729" s="312"/>
      <c r="E729" s="312"/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  <c r="AP729" s="312"/>
      <c r="AQ729" s="312"/>
    </row>
    <row r="730" ht="15.75" customHeight="1">
      <c r="A730" s="318"/>
      <c r="B730" s="312"/>
      <c r="C730" s="312"/>
      <c r="D730" s="312"/>
      <c r="E730" s="312"/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  <c r="AP730" s="312"/>
      <c r="AQ730" s="312"/>
    </row>
    <row r="731" ht="15.75" customHeight="1">
      <c r="A731" s="318"/>
      <c r="B731" s="312"/>
      <c r="C731" s="312"/>
      <c r="D731" s="312"/>
      <c r="E731" s="312"/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  <c r="AP731" s="312"/>
      <c r="AQ731" s="312"/>
    </row>
    <row r="732" ht="15.75" customHeight="1">
      <c r="A732" s="318"/>
      <c r="B732" s="312"/>
      <c r="C732" s="312"/>
      <c r="D732" s="312"/>
      <c r="E732" s="312"/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  <c r="AP732" s="312"/>
      <c r="AQ732" s="312"/>
    </row>
    <row r="733" ht="15.75" customHeight="1">
      <c r="A733" s="318"/>
      <c r="B733" s="312"/>
      <c r="C733" s="312"/>
      <c r="D733" s="312"/>
      <c r="E733" s="312"/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  <c r="AP733" s="312"/>
      <c r="AQ733" s="312"/>
    </row>
    <row r="734" ht="15.75" customHeight="1">
      <c r="A734" s="318"/>
      <c r="B734" s="312"/>
      <c r="C734" s="312"/>
      <c r="D734" s="312"/>
      <c r="E734" s="312"/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  <c r="AP734" s="312"/>
      <c r="AQ734" s="312"/>
    </row>
    <row r="735" ht="15.75" customHeight="1">
      <c r="A735" s="318"/>
      <c r="B735" s="312"/>
      <c r="C735" s="312"/>
      <c r="D735" s="312"/>
      <c r="E735" s="312"/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  <c r="AP735" s="312"/>
      <c r="AQ735" s="312"/>
    </row>
    <row r="736" ht="15.75" customHeight="1">
      <c r="A736" s="318"/>
      <c r="B736" s="312"/>
      <c r="C736" s="312"/>
      <c r="D736" s="312"/>
      <c r="E736" s="312"/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  <c r="AP736" s="312"/>
      <c r="AQ736" s="312"/>
    </row>
    <row r="737" ht="15.75" customHeight="1">
      <c r="A737" s="318"/>
      <c r="B737" s="312"/>
      <c r="C737" s="312"/>
      <c r="D737" s="312"/>
      <c r="E737" s="312"/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  <c r="AP737" s="312"/>
      <c r="AQ737" s="312"/>
    </row>
    <row r="738" ht="15.75" customHeight="1">
      <c r="A738" s="318"/>
      <c r="B738" s="312"/>
      <c r="C738" s="312"/>
      <c r="D738" s="312"/>
      <c r="E738" s="312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  <c r="AP738" s="312"/>
      <c r="AQ738" s="312"/>
    </row>
    <row r="739" ht="15.75" customHeight="1">
      <c r="A739" s="318"/>
      <c r="B739" s="312"/>
      <c r="C739" s="312"/>
      <c r="D739" s="312"/>
      <c r="E739" s="312"/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  <c r="AP739" s="312"/>
      <c r="AQ739" s="312"/>
    </row>
    <row r="740" ht="15.75" customHeight="1">
      <c r="A740" s="318"/>
      <c r="B740" s="312"/>
      <c r="C740" s="312"/>
      <c r="D740" s="312"/>
      <c r="E740" s="312"/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  <c r="AP740" s="312"/>
      <c r="AQ740" s="312"/>
    </row>
    <row r="741" ht="15.75" customHeight="1">
      <c r="A741" s="318"/>
      <c r="B741" s="312"/>
      <c r="C741" s="312"/>
      <c r="D741" s="312"/>
      <c r="E741" s="312"/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  <c r="AP741" s="312"/>
      <c r="AQ741" s="312"/>
    </row>
    <row r="742" ht="15.75" customHeight="1">
      <c r="A742" s="318"/>
      <c r="B742" s="312"/>
      <c r="C742" s="312"/>
      <c r="D742" s="312"/>
      <c r="E742" s="312"/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  <c r="AP742" s="312"/>
      <c r="AQ742" s="312"/>
    </row>
    <row r="743" ht="15.75" customHeight="1">
      <c r="A743" s="318"/>
      <c r="B743" s="312"/>
      <c r="C743" s="312"/>
      <c r="D743" s="312"/>
      <c r="E743" s="312"/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  <c r="AP743" s="312"/>
      <c r="AQ743" s="312"/>
    </row>
    <row r="744" ht="15.75" customHeight="1">
      <c r="A744" s="318"/>
      <c r="B744" s="312"/>
      <c r="C744" s="312"/>
      <c r="D744" s="312"/>
      <c r="E744" s="312"/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  <c r="AP744" s="312"/>
      <c r="AQ744" s="312"/>
    </row>
    <row r="745" ht="15.75" customHeight="1">
      <c r="A745" s="318"/>
      <c r="B745" s="312"/>
      <c r="C745" s="312"/>
      <c r="D745" s="312"/>
      <c r="E745" s="312"/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  <c r="AP745" s="312"/>
      <c r="AQ745" s="312"/>
    </row>
    <row r="746" ht="15.75" customHeight="1">
      <c r="A746" s="318"/>
      <c r="B746" s="312"/>
      <c r="C746" s="312"/>
      <c r="D746" s="312"/>
      <c r="E746" s="312"/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  <c r="AP746" s="312"/>
      <c r="AQ746" s="312"/>
    </row>
    <row r="747" ht="15.75" customHeight="1">
      <c r="A747" s="318"/>
      <c r="B747" s="312"/>
      <c r="C747" s="312"/>
      <c r="D747" s="312"/>
      <c r="E747" s="312"/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  <c r="AP747" s="312"/>
      <c r="AQ747" s="312"/>
    </row>
    <row r="748" ht="15.75" customHeight="1">
      <c r="A748" s="318"/>
      <c r="B748" s="312"/>
      <c r="C748" s="312"/>
      <c r="D748" s="312"/>
      <c r="E748" s="312"/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  <c r="AP748" s="312"/>
      <c r="AQ748" s="312"/>
    </row>
    <row r="749" ht="15.75" customHeight="1">
      <c r="A749" s="318"/>
      <c r="B749" s="312"/>
      <c r="C749" s="312"/>
      <c r="D749" s="312"/>
      <c r="E749" s="312"/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  <c r="AP749" s="312"/>
      <c r="AQ749" s="312"/>
    </row>
    <row r="750" ht="15.75" customHeight="1">
      <c r="A750" s="318"/>
      <c r="B750" s="312"/>
      <c r="C750" s="312"/>
      <c r="D750" s="312"/>
      <c r="E750" s="312"/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  <c r="AP750" s="312"/>
      <c r="AQ750" s="312"/>
    </row>
    <row r="751" ht="15.75" customHeight="1">
      <c r="A751" s="318"/>
      <c r="B751" s="312"/>
      <c r="C751" s="312"/>
      <c r="D751" s="312"/>
      <c r="E751" s="312"/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  <c r="AP751" s="312"/>
      <c r="AQ751" s="312"/>
    </row>
    <row r="752" ht="15.75" customHeight="1">
      <c r="A752" s="318"/>
      <c r="B752" s="312"/>
      <c r="C752" s="312"/>
      <c r="D752" s="312"/>
      <c r="E752" s="312"/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  <c r="AP752" s="312"/>
      <c r="AQ752" s="312"/>
    </row>
    <row r="753" ht="15.75" customHeight="1">
      <c r="A753" s="318"/>
      <c r="B753" s="312"/>
      <c r="C753" s="312"/>
      <c r="D753" s="312"/>
      <c r="E753" s="312"/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  <c r="AP753" s="312"/>
      <c r="AQ753" s="312"/>
    </row>
    <row r="754" ht="15.75" customHeight="1">
      <c r="A754" s="318"/>
      <c r="B754" s="312"/>
      <c r="C754" s="312"/>
      <c r="D754" s="312"/>
      <c r="E754" s="312"/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  <c r="AP754" s="312"/>
      <c r="AQ754" s="312"/>
    </row>
    <row r="755" ht="15.75" customHeight="1">
      <c r="A755" s="318"/>
      <c r="B755" s="312"/>
      <c r="C755" s="312"/>
      <c r="D755" s="312"/>
      <c r="E755" s="312"/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  <c r="AP755" s="312"/>
      <c r="AQ755" s="312"/>
    </row>
    <row r="756" ht="15.75" customHeight="1">
      <c r="A756" s="318"/>
      <c r="B756" s="312"/>
      <c r="C756" s="312"/>
      <c r="D756" s="312"/>
      <c r="E756" s="312"/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  <c r="AP756" s="312"/>
      <c r="AQ756" s="312"/>
    </row>
    <row r="757" ht="15.75" customHeight="1">
      <c r="A757" s="318"/>
      <c r="B757" s="312"/>
      <c r="C757" s="312"/>
      <c r="D757" s="312"/>
      <c r="E757" s="312"/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  <c r="AP757" s="312"/>
      <c r="AQ757" s="312"/>
    </row>
    <row r="758" ht="15.75" customHeight="1">
      <c r="A758" s="318"/>
      <c r="B758" s="312"/>
      <c r="C758" s="312"/>
      <c r="D758" s="312"/>
      <c r="E758" s="312"/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  <c r="AP758" s="312"/>
      <c r="AQ758" s="312"/>
    </row>
    <row r="759" ht="15.75" customHeight="1">
      <c r="A759" s="318"/>
      <c r="B759" s="312"/>
      <c r="C759" s="312"/>
      <c r="D759" s="312"/>
      <c r="E759" s="312"/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  <c r="AP759" s="312"/>
      <c r="AQ759" s="312"/>
    </row>
    <row r="760" ht="15.75" customHeight="1">
      <c r="A760" s="318"/>
      <c r="B760" s="312"/>
      <c r="C760" s="312"/>
      <c r="D760" s="312"/>
      <c r="E760" s="312"/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  <c r="AP760" s="312"/>
      <c r="AQ760" s="312"/>
    </row>
    <row r="761" ht="15.75" customHeight="1">
      <c r="A761" s="318"/>
      <c r="B761" s="312"/>
      <c r="C761" s="312"/>
      <c r="D761" s="312"/>
      <c r="E761" s="312"/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  <c r="AP761" s="312"/>
      <c r="AQ761" s="312"/>
    </row>
    <row r="762" ht="15.75" customHeight="1">
      <c r="A762" s="318"/>
      <c r="B762" s="312"/>
      <c r="C762" s="312"/>
      <c r="D762" s="312"/>
      <c r="E762" s="312"/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  <c r="AP762" s="312"/>
      <c r="AQ762" s="312"/>
    </row>
    <row r="763" ht="15.75" customHeight="1">
      <c r="A763" s="318"/>
      <c r="B763" s="312"/>
      <c r="C763" s="312"/>
      <c r="D763" s="312"/>
      <c r="E763" s="312"/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  <c r="AP763" s="312"/>
      <c r="AQ763" s="312"/>
    </row>
    <row r="764" ht="15.75" customHeight="1">
      <c r="A764" s="318"/>
      <c r="B764" s="312"/>
      <c r="C764" s="312"/>
      <c r="D764" s="312"/>
      <c r="E764" s="312"/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  <c r="AP764" s="312"/>
      <c r="AQ764" s="312"/>
    </row>
    <row r="765" ht="15.75" customHeight="1">
      <c r="A765" s="318"/>
      <c r="B765" s="312"/>
      <c r="C765" s="312"/>
      <c r="D765" s="312"/>
      <c r="E765" s="312"/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  <c r="AP765" s="312"/>
      <c r="AQ765" s="312"/>
    </row>
    <row r="766" ht="15.75" customHeight="1">
      <c r="A766" s="318"/>
      <c r="B766" s="312"/>
      <c r="C766" s="312"/>
      <c r="D766" s="312"/>
      <c r="E766" s="312"/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  <c r="AP766" s="312"/>
      <c r="AQ766" s="312"/>
    </row>
    <row r="767" ht="15.75" customHeight="1">
      <c r="A767" s="318"/>
      <c r="B767" s="312"/>
      <c r="C767" s="312"/>
      <c r="D767" s="312"/>
      <c r="E767" s="312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  <c r="AP767" s="312"/>
      <c r="AQ767" s="312"/>
    </row>
    <row r="768" ht="15.75" customHeight="1">
      <c r="A768" s="318"/>
      <c r="B768" s="312"/>
      <c r="C768" s="312"/>
      <c r="D768" s="312"/>
      <c r="E768" s="312"/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  <c r="AP768" s="312"/>
      <c r="AQ768" s="312"/>
    </row>
    <row r="769" ht="15.75" customHeight="1">
      <c r="A769" s="318"/>
      <c r="B769" s="312"/>
      <c r="C769" s="312"/>
      <c r="D769" s="312"/>
      <c r="E769" s="312"/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  <c r="AP769" s="312"/>
      <c r="AQ769" s="312"/>
    </row>
    <row r="770" ht="15.75" customHeight="1">
      <c r="A770" s="318"/>
      <c r="B770" s="312"/>
      <c r="C770" s="312"/>
      <c r="D770" s="312"/>
      <c r="E770" s="312"/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  <c r="AP770" s="312"/>
      <c r="AQ770" s="312"/>
    </row>
    <row r="771" ht="15.75" customHeight="1">
      <c r="A771" s="318"/>
      <c r="B771" s="312"/>
      <c r="C771" s="312"/>
      <c r="D771" s="312"/>
      <c r="E771" s="312"/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  <c r="AP771" s="312"/>
      <c r="AQ771" s="312"/>
    </row>
    <row r="772" ht="15.75" customHeight="1">
      <c r="A772" s="318"/>
      <c r="B772" s="312"/>
      <c r="C772" s="312"/>
      <c r="D772" s="312"/>
      <c r="E772" s="312"/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  <c r="AP772" s="312"/>
      <c r="AQ772" s="312"/>
    </row>
    <row r="773" ht="15.75" customHeight="1">
      <c r="A773" s="318"/>
      <c r="B773" s="312"/>
      <c r="C773" s="312"/>
      <c r="D773" s="312"/>
      <c r="E773" s="312"/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  <c r="AP773" s="312"/>
      <c r="AQ773" s="312"/>
    </row>
    <row r="774" ht="15.75" customHeight="1">
      <c r="A774" s="318"/>
      <c r="B774" s="312"/>
      <c r="C774" s="312"/>
      <c r="D774" s="312"/>
      <c r="E774" s="312"/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  <c r="AP774" s="312"/>
      <c r="AQ774" s="312"/>
    </row>
    <row r="775" ht="15.75" customHeight="1">
      <c r="A775" s="318"/>
      <c r="B775" s="312"/>
      <c r="C775" s="312"/>
      <c r="D775" s="312"/>
      <c r="E775" s="312"/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  <c r="AP775" s="312"/>
      <c r="AQ775" s="312"/>
    </row>
    <row r="776" ht="15.75" customHeight="1">
      <c r="A776" s="318"/>
      <c r="B776" s="312"/>
      <c r="C776" s="312"/>
      <c r="D776" s="312"/>
      <c r="E776" s="312"/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  <c r="AP776" s="312"/>
      <c r="AQ776" s="312"/>
    </row>
    <row r="777" ht="15.75" customHeight="1">
      <c r="A777" s="318"/>
      <c r="B777" s="312"/>
      <c r="C777" s="312"/>
      <c r="D777" s="312"/>
      <c r="E777" s="312"/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  <c r="AP777" s="312"/>
      <c r="AQ777" s="312"/>
    </row>
    <row r="778" ht="15.75" customHeight="1">
      <c r="A778" s="318"/>
      <c r="B778" s="312"/>
      <c r="C778" s="312"/>
      <c r="D778" s="312"/>
      <c r="E778" s="312"/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  <c r="AP778" s="312"/>
      <c r="AQ778" s="312"/>
    </row>
    <row r="779" ht="15.75" customHeight="1">
      <c r="A779" s="318"/>
      <c r="B779" s="312"/>
      <c r="C779" s="312"/>
      <c r="D779" s="312"/>
      <c r="E779" s="312"/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  <c r="AP779" s="312"/>
      <c r="AQ779" s="312"/>
    </row>
    <row r="780" ht="15.75" customHeight="1">
      <c r="A780" s="318"/>
      <c r="B780" s="312"/>
      <c r="C780" s="312"/>
      <c r="D780" s="312"/>
      <c r="E780" s="312"/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  <c r="AP780" s="312"/>
      <c r="AQ780" s="312"/>
    </row>
    <row r="781" ht="15.75" customHeight="1">
      <c r="A781" s="318"/>
      <c r="B781" s="312"/>
      <c r="C781" s="312"/>
      <c r="D781" s="312"/>
      <c r="E781" s="312"/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  <c r="AP781" s="312"/>
      <c r="AQ781" s="312"/>
    </row>
    <row r="782" ht="15.75" customHeight="1">
      <c r="A782" s="318"/>
      <c r="B782" s="312"/>
      <c r="C782" s="312"/>
      <c r="D782" s="312"/>
      <c r="E782" s="312"/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  <c r="AP782" s="312"/>
      <c r="AQ782" s="312"/>
    </row>
    <row r="783" ht="15.75" customHeight="1">
      <c r="A783" s="318"/>
      <c r="B783" s="312"/>
      <c r="C783" s="312"/>
      <c r="D783" s="312"/>
      <c r="E783" s="312"/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  <c r="AP783" s="312"/>
      <c r="AQ783" s="312"/>
    </row>
    <row r="784" ht="15.75" customHeight="1">
      <c r="A784" s="318"/>
      <c r="B784" s="312"/>
      <c r="C784" s="312"/>
      <c r="D784" s="312"/>
      <c r="E784" s="312"/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  <c r="AP784" s="312"/>
      <c r="AQ784" s="312"/>
    </row>
    <row r="785" ht="15.75" customHeight="1">
      <c r="A785" s="318"/>
      <c r="B785" s="312"/>
      <c r="C785" s="312"/>
      <c r="D785" s="312"/>
      <c r="E785" s="312"/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  <c r="AP785" s="312"/>
      <c r="AQ785" s="312"/>
    </row>
    <row r="786" ht="15.75" customHeight="1">
      <c r="A786" s="318"/>
      <c r="B786" s="312"/>
      <c r="C786" s="312"/>
      <c r="D786" s="312"/>
      <c r="E786" s="312"/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  <c r="AP786" s="312"/>
      <c r="AQ786" s="312"/>
    </row>
    <row r="787" ht="15.75" customHeight="1">
      <c r="A787" s="318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  <c r="AP787" s="312"/>
      <c r="AQ787" s="312"/>
    </row>
    <row r="788" ht="15.75" customHeight="1">
      <c r="A788" s="318"/>
      <c r="B788" s="312"/>
      <c r="C788" s="312"/>
      <c r="D788" s="312"/>
      <c r="E788" s="312"/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  <c r="AP788" s="312"/>
      <c r="AQ788" s="312"/>
    </row>
    <row r="789" ht="15.75" customHeight="1">
      <c r="A789" s="318"/>
      <c r="B789" s="312"/>
      <c r="C789" s="312"/>
      <c r="D789" s="312"/>
      <c r="E789" s="312"/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  <c r="AP789" s="312"/>
      <c r="AQ789" s="312"/>
    </row>
    <row r="790" ht="15.75" customHeight="1">
      <c r="A790" s="318"/>
      <c r="B790" s="312"/>
      <c r="C790" s="312"/>
      <c r="D790" s="312"/>
      <c r="E790" s="312"/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  <c r="AP790" s="312"/>
      <c r="AQ790" s="312"/>
    </row>
    <row r="791" ht="15.75" customHeight="1">
      <c r="A791" s="318"/>
      <c r="B791" s="312"/>
      <c r="C791" s="312"/>
      <c r="D791" s="312"/>
      <c r="E791" s="312"/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  <c r="AP791" s="312"/>
      <c r="AQ791" s="312"/>
    </row>
    <row r="792" ht="15.75" customHeight="1">
      <c r="A792" s="318"/>
      <c r="B792" s="312"/>
      <c r="C792" s="312"/>
      <c r="D792" s="312"/>
      <c r="E792" s="312"/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  <c r="AP792" s="312"/>
      <c r="AQ792" s="312"/>
    </row>
    <row r="793" ht="15.75" customHeight="1">
      <c r="A793" s="318"/>
      <c r="B793" s="312"/>
      <c r="C793" s="312"/>
      <c r="D793" s="312"/>
      <c r="E793" s="312"/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  <c r="AP793" s="312"/>
      <c r="AQ793" s="312"/>
    </row>
    <row r="794" ht="15.75" customHeight="1">
      <c r="A794" s="318"/>
      <c r="B794" s="312"/>
      <c r="C794" s="312"/>
      <c r="D794" s="312"/>
      <c r="E794" s="312"/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  <c r="AP794" s="312"/>
      <c r="AQ794" s="312"/>
    </row>
    <row r="795" ht="15.75" customHeight="1">
      <c r="A795" s="318"/>
      <c r="B795" s="312"/>
      <c r="C795" s="312"/>
      <c r="D795" s="312"/>
      <c r="E795" s="312"/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  <c r="AP795" s="312"/>
      <c r="AQ795" s="312"/>
    </row>
    <row r="796" ht="15.75" customHeight="1">
      <c r="A796" s="318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2"/>
      <c r="S796" s="312"/>
      <c r="T796" s="312"/>
      <c r="U796" s="312"/>
      <c r="V796" s="312"/>
      <c r="W796" s="312"/>
      <c r="X796" s="312"/>
      <c r="Y796" s="312"/>
      <c r="Z796" s="312"/>
      <c r="AA796" s="312"/>
      <c r="AB796" s="312"/>
      <c r="AC796" s="312"/>
      <c r="AD796" s="312"/>
      <c r="AE796" s="312"/>
      <c r="AF796" s="312"/>
      <c r="AG796" s="312"/>
      <c r="AH796" s="312"/>
      <c r="AI796" s="312"/>
      <c r="AJ796" s="312"/>
      <c r="AK796" s="312"/>
      <c r="AL796" s="312"/>
      <c r="AM796" s="312"/>
      <c r="AN796" s="312"/>
      <c r="AO796" s="312"/>
      <c r="AP796" s="312"/>
      <c r="AQ796" s="312"/>
    </row>
    <row r="797" ht="15.75" customHeight="1">
      <c r="A797" s="318"/>
      <c r="B797" s="312"/>
      <c r="C797" s="312"/>
      <c r="D797" s="312"/>
      <c r="E797" s="312"/>
      <c r="F797" s="312"/>
      <c r="G797" s="312"/>
      <c r="H797" s="312"/>
      <c r="I797" s="312"/>
      <c r="J797" s="312"/>
      <c r="K797" s="312"/>
      <c r="L797" s="312"/>
      <c r="M797" s="312"/>
      <c r="N797" s="312"/>
      <c r="O797" s="312"/>
      <c r="P797" s="312"/>
      <c r="Q797" s="312"/>
      <c r="R797" s="312"/>
      <c r="S797" s="312"/>
      <c r="T797" s="312"/>
      <c r="U797" s="312"/>
      <c r="V797" s="312"/>
      <c r="W797" s="312"/>
      <c r="X797" s="312"/>
      <c r="Y797" s="312"/>
      <c r="Z797" s="312"/>
      <c r="AA797" s="312"/>
      <c r="AB797" s="312"/>
      <c r="AC797" s="312"/>
      <c r="AD797" s="312"/>
      <c r="AE797" s="312"/>
      <c r="AF797" s="312"/>
      <c r="AG797" s="312"/>
      <c r="AH797" s="312"/>
      <c r="AI797" s="312"/>
      <c r="AJ797" s="312"/>
      <c r="AK797" s="312"/>
      <c r="AL797" s="312"/>
      <c r="AM797" s="312"/>
      <c r="AN797" s="312"/>
      <c r="AO797" s="312"/>
      <c r="AP797" s="312"/>
      <c r="AQ797" s="312"/>
    </row>
    <row r="798" ht="15.75" customHeight="1">
      <c r="A798" s="318"/>
      <c r="B798" s="312"/>
      <c r="C798" s="312"/>
      <c r="D798" s="312"/>
      <c r="E798" s="312"/>
      <c r="F798" s="312"/>
      <c r="G798" s="312"/>
      <c r="H798" s="312"/>
      <c r="I798" s="312"/>
      <c r="J798" s="312"/>
      <c r="K798" s="312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  <c r="AJ798" s="312"/>
      <c r="AK798" s="312"/>
      <c r="AL798" s="312"/>
      <c r="AM798" s="312"/>
      <c r="AN798" s="312"/>
      <c r="AO798" s="312"/>
      <c r="AP798" s="312"/>
      <c r="AQ798" s="312"/>
    </row>
    <row r="799" ht="15.75" customHeight="1">
      <c r="A799" s="318"/>
      <c r="B799" s="312"/>
      <c r="C799" s="312"/>
      <c r="D799" s="312"/>
      <c r="E799" s="312"/>
      <c r="F799" s="312"/>
      <c r="G799" s="312"/>
      <c r="H799" s="312"/>
      <c r="I799" s="312"/>
      <c r="J799" s="312"/>
      <c r="K799" s="312"/>
      <c r="L799" s="312"/>
      <c r="M799" s="312"/>
      <c r="N799" s="312"/>
      <c r="O799" s="312"/>
      <c r="P799" s="312"/>
      <c r="Q799" s="312"/>
      <c r="R799" s="312"/>
      <c r="S799" s="312"/>
      <c r="T799" s="312"/>
      <c r="U799" s="312"/>
      <c r="V799" s="312"/>
      <c r="W799" s="312"/>
      <c r="X799" s="312"/>
      <c r="Y799" s="312"/>
      <c r="Z799" s="312"/>
      <c r="AA799" s="312"/>
      <c r="AB799" s="312"/>
      <c r="AC799" s="312"/>
      <c r="AD799" s="312"/>
      <c r="AE799" s="312"/>
      <c r="AF799" s="312"/>
      <c r="AG799" s="312"/>
      <c r="AH799" s="312"/>
      <c r="AI799" s="312"/>
      <c r="AJ799" s="312"/>
      <c r="AK799" s="312"/>
      <c r="AL799" s="312"/>
      <c r="AM799" s="312"/>
      <c r="AN799" s="312"/>
      <c r="AO799" s="312"/>
      <c r="AP799" s="312"/>
      <c r="AQ799" s="312"/>
    </row>
    <row r="800" ht="15.75" customHeight="1">
      <c r="A800" s="318"/>
      <c r="B800" s="312"/>
      <c r="C800" s="312"/>
      <c r="D800" s="312"/>
      <c r="E800" s="312"/>
      <c r="F800" s="312"/>
      <c r="G800" s="312"/>
      <c r="H800" s="312"/>
      <c r="I800" s="312"/>
      <c r="J800" s="312"/>
      <c r="K800" s="312"/>
      <c r="L800" s="312"/>
      <c r="M800" s="312"/>
      <c r="N800" s="312"/>
      <c r="O800" s="312"/>
      <c r="P800" s="312"/>
      <c r="Q800" s="312"/>
      <c r="R800" s="312"/>
      <c r="S800" s="312"/>
      <c r="T800" s="312"/>
      <c r="U800" s="312"/>
      <c r="V800" s="312"/>
      <c r="W800" s="312"/>
      <c r="X800" s="312"/>
      <c r="Y800" s="312"/>
      <c r="Z800" s="312"/>
      <c r="AA800" s="312"/>
      <c r="AB800" s="312"/>
      <c r="AC800" s="312"/>
      <c r="AD800" s="312"/>
      <c r="AE800" s="312"/>
      <c r="AF800" s="312"/>
      <c r="AG800" s="312"/>
      <c r="AH800" s="312"/>
      <c r="AI800" s="312"/>
      <c r="AJ800" s="312"/>
      <c r="AK800" s="312"/>
      <c r="AL800" s="312"/>
      <c r="AM800" s="312"/>
      <c r="AN800" s="312"/>
      <c r="AO800" s="312"/>
      <c r="AP800" s="312"/>
      <c r="AQ800" s="312"/>
    </row>
    <row r="801" ht="15.75" customHeight="1">
      <c r="A801" s="318"/>
      <c r="B801" s="312"/>
      <c r="C801" s="312"/>
      <c r="D801" s="312"/>
      <c r="E801" s="312"/>
      <c r="F801" s="312"/>
      <c r="G801" s="312"/>
      <c r="H801" s="312"/>
      <c r="I801" s="312"/>
      <c r="J801" s="312"/>
      <c r="K801" s="312"/>
      <c r="L801" s="312"/>
      <c r="M801" s="312"/>
      <c r="N801" s="312"/>
      <c r="O801" s="312"/>
      <c r="P801" s="312"/>
      <c r="Q801" s="312"/>
      <c r="R801" s="312"/>
      <c r="S801" s="312"/>
      <c r="T801" s="312"/>
      <c r="U801" s="312"/>
      <c r="V801" s="312"/>
      <c r="W801" s="312"/>
      <c r="X801" s="312"/>
      <c r="Y801" s="312"/>
      <c r="Z801" s="312"/>
      <c r="AA801" s="312"/>
      <c r="AB801" s="312"/>
      <c r="AC801" s="312"/>
      <c r="AD801" s="312"/>
      <c r="AE801" s="312"/>
      <c r="AF801" s="312"/>
      <c r="AG801" s="312"/>
      <c r="AH801" s="312"/>
      <c r="AI801" s="312"/>
      <c r="AJ801" s="312"/>
      <c r="AK801" s="312"/>
      <c r="AL801" s="312"/>
      <c r="AM801" s="312"/>
      <c r="AN801" s="312"/>
      <c r="AO801" s="312"/>
      <c r="AP801" s="312"/>
      <c r="AQ801" s="312"/>
    </row>
    <row r="802" ht="15.75" customHeight="1">
      <c r="A802" s="318"/>
      <c r="B802" s="312"/>
      <c r="C802" s="312"/>
      <c r="D802" s="312"/>
      <c r="E802" s="312"/>
      <c r="F802" s="312"/>
      <c r="G802" s="312"/>
      <c r="H802" s="312"/>
      <c r="I802" s="312"/>
      <c r="J802" s="312"/>
      <c r="K802" s="312"/>
      <c r="L802" s="312"/>
      <c r="M802" s="312"/>
      <c r="N802" s="312"/>
      <c r="O802" s="312"/>
      <c r="P802" s="312"/>
      <c r="Q802" s="312"/>
      <c r="R802" s="312"/>
      <c r="S802" s="312"/>
      <c r="T802" s="312"/>
      <c r="U802" s="312"/>
      <c r="V802" s="312"/>
      <c r="W802" s="312"/>
      <c r="X802" s="312"/>
      <c r="Y802" s="312"/>
      <c r="Z802" s="312"/>
      <c r="AA802" s="312"/>
      <c r="AB802" s="312"/>
      <c r="AC802" s="312"/>
      <c r="AD802" s="312"/>
      <c r="AE802" s="312"/>
      <c r="AF802" s="312"/>
      <c r="AG802" s="312"/>
      <c r="AH802" s="312"/>
      <c r="AI802" s="312"/>
      <c r="AJ802" s="312"/>
      <c r="AK802" s="312"/>
      <c r="AL802" s="312"/>
      <c r="AM802" s="312"/>
      <c r="AN802" s="312"/>
      <c r="AO802" s="312"/>
      <c r="AP802" s="312"/>
      <c r="AQ802" s="312"/>
    </row>
    <row r="803" ht="15.75" customHeight="1">
      <c r="A803" s="318"/>
      <c r="B803" s="312"/>
      <c r="C803" s="312"/>
      <c r="D803" s="312"/>
      <c r="E803" s="312"/>
      <c r="F803" s="312"/>
      <c r="G803" s="312"/>
      <c r="H803" s="312"/>
      <c r="I803" s="312"/>
      <c r="J803" s="312"/>
      <c r="K803" s="312"/>
      <c r="L803" s="312"/>
      <c r="M803" s="312"/>
      <c r="N803" s="312"/>
      <c r="O803" s="312"/>
      <c r="P803" s="312"/>
      <c r="Q803" s="312"/>
      <c r="R803" s="312"/>
      <c r="S803" s="312"/>
      <c r="T803" s="312"/>
      <c r="U803" s="312"/>
      <c r="V803" s="312"/>
      <c r="W803" s="312"/>
      <c r="X803" s="312"/>
      <c r="Y803" s="312"/>
      <c r="Z803" s="312"/>
      <c r="AA803" s="312"/>
      <c r="AB803" s="312"/>
      <c r="AC803" s="312"/>
      <c r="AD803" s="312"/>
      <c r="AE803" s="312"/>
      <c r="AF803" s="312"/>
      <c r="AG803" s="312"/>
      <c r="AH803" s="312"/>
      <c r="AI803" s="312"/>
      <c r="AJ803" s="312"/>
      <c r="AK803" s="312"/>
      <c r="AL803" s="312"/>
      <c r="AM803" s="312"/>
      <c r="AN803" s="312"/>
      <c r="AO803" s="312"/>
      <c r="AP803" s="312"/>
      <c r="AQ803" s="312"/>
    </row>
    <row r="804" ht="15.75" customHeight="1">
      <c r="A804" s="318"/>
      <c r="B804" s="312"/>
      <c r="C804" s="312"/>
      <c r="D804" s="312"/>
      <c r="E804" s="312"/>
      <c r="F804" s="312"/>
      <c r="G804" s="312"/>
      <c r="H804" s="312"/>
      <c r="I804" s="312"/>
      <c r="J804" s="312"/>
      <c r="K804" s="312"/>
      <c r="L804" s="312"/>
      <c r="M804" s="312"/>
      <c r="N804" s="312"/>
      <c r="O804" s="312"/>
      <c r="P804" s="312"/>
      <c r="Q804" s="312"/>
      <c r="R804" s="312"/>
      <c r="S804" s="312"/>
      <c r="T804" s="312"/>
      <c r="U804" s="312"/>
      <c r="V804" s="312"/>
      <c r="W804" s="312"/>
      <c r="X804" s="312"/>
      <c r="Y804" s="312"/>
      <c r="Z804" s="312"/>
      <c r="AA804" s="312"/>
      <c r="AB804" s="312"/>
      <c r="AC804" s="312"/>
      <c r="AD804" s="312"/>
      <c r="AE804" s="312"/>
      <c r="AF804" s="312"/>
      <c r="AG804" s="312"/>
      <c r="AH804" s="312"/>
      <c r="AI804" s="312"/>
      <c r="AJ804" s="312"/>
      <c r="AK804" s="312"/>
      <c r="AL804" s="312"/>
      <c r="AM804" s="312"/>
      <c r="AN804" s="312"/>
      <c r="AO804" s="312"/>
      <c r="AP804" s="312"/>
      <c r="AQ804" s="312"/>
    </row>
    <row r="805" ht="15.75" customHeight="1">
      <c r="A805" s="318"/>
      <c r="B805" s="312"/>
      <c r="C805" s="312"/>
      <c r="D805" s="312"/>
      <c r="E805" s="312"/>
      <c r="F805" s="312"/>
      <c r="G805" s="312"/>
      <c r="H805" s="312"/>
      <c r="I805" s="312"/>
      <c r="J805" s="312"/>
      <c r="K805" s="312"/>
      <c r="L805" s="312"/>
      <c r="M805" s="312"/>
      <c r="N805" s="312"/>
      <c r="O805" s="312"/>
      <c r="P805" s="312"/>
      <c r="Q805" s="312"/>
      <c r="R805" s="312"/>
      <c r="S805" s="312"/>
      <c r="T805" s="312"/>
      <c r="U805" s="312"/>
      <c r="V805" s="312"/>
      <c r="W805" s="312"/>
      <c r="X805" s="312"/>
      <c r="Y805" s="312"/>
      <c r="Z805" s="312"/>
      <c r="AA805" s="312"/>
      <c r="AB805" s="312"/>
      <c r="AC805" s="312"/>
      <c r="AD805" s="312"/>
      <c r="AE805" s="312"/>
      <c r="AF805" s="312"/>
      <c r="AG805" s="312"/>
      <c r="AH805" s="312"/>
      <c r="AI805" s="312"/>
      <c r="AJ805" s="312"/>
      <c r="AK805" s="312"/>
      <c r="AL805" s="312"/>
      <c r="AM805" s="312"/>
      <c r="AN805" s="312"/>
      <c r="AO805" s="312"/>
      <c r="AP805" s="312"/>
      <c r="AQ805" s="312"/>
    </row>
    <row r="806" ht="15.75" customHeight="1">
      <c r="A806" s="318"/>
      <c r="B806" s="312"/>
      <c r="C806" s="312"/>
      <c r="D806" s="312"/>
      <c r="E806" s="312"/>
      <c r="F806" s="312"/>
      <c r="G806" s="312"/>
      <c r="H806" s="312"/>
      <c r="I806" s="312"/>
      <c r="J806" s="312"/>
      <c r="K806" s="312"/>
      <c r="L806" s="312"/>
      <c r="M806" s="312"/>
      <c r="N806" s="312"/>
      <c r="O806" s="312"/>
      <c r="P806" s="312"/>
      <c r="Q806" s="312"/>
      <c r="R806" s="312"/>
      <c r="S806" s="312"/>
      <c r="T806" s="312"/>
      <c r="U806" s="312"/>
      <c r="V806" s="312"/>
      <c r="W806" s="312"/>
      <c r="X806" s="312"/>
      <c r="Y806" s="312"/>
      <c r="Z806" s="312"/>
      <c r="AA806" s="312"/>
      <c r="AB806" s="312"/>
      <c r="AC806" s="312"/>
      <c r="AD806" s="312"/>
      <c r="AE806" s="312"/>
      <c r="AF806" s="312"/>
      <c r="AG806" s="312"/>
      <c r="AH806" s="312"/>
      <c r="AI806" s="312"/>
      <c r="AJ806" s="312"/>
      <c r="AK806" s="312"/>
      <c r="AL806" s="312"/>
      <c r="AM806" s="312"/>
      <c r="AN806" s="312"/>
      <c r="AO806" s="312"/>
      <c r="AP806" s="312"/>
      <c r="AQ806" s="312"/>
    </row>
    <row r="807" ht="15.75" customHeight="1">
      <c r="A807" s="318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2"/>
      <c r="S807" s="312"/>
      <c r="T807" s="312"/>
      <c r="U807" s="312"/>
      <c r="V807" s="312"/>
      <c r="W807" s="312"/>
      <c r="X807" s="312"/>
      <c r="Y807" s="312"/>
      <c r="Z807" s="312"/>
      <c r="AA807" s="312"/>
      <c r="AB807" s="312"/>
      <c r="AC807" s="312"/>
      <c r="AD807" s="312"/>
      <c r="AE807" s="312"/>
      <c r="AF807" s="312"/>
      <c r="AG807" s="312"/>
      <c r="AH807" s="312"/>
      <c r="AI807" s="312"/>
      <c r="AJ807" s="312"/>
      <c r="AK807" s="312"/>
      <c r="AL807" s="312"/>
      <c r="AM807" s="312"/>
      <c r="AN807" s="312"/>
      <c r="AO807" s="312"/>
      <c r="AP807" s="312"/>
      <c r="AQ807" s="312"/>
    </row>
    <row r="808" ht="15.75" customHeight="1">
      <c r="A808" s="318"/>
      <c r="B808" s="312"/>
      <c r="C808" s="312"/>
      <c r="D808" s="312"/>
      <c r="E808" s="312"/>
      <c r="F808" s="312"/>
      <c r="G808" s="312"/>
      <c r="H808" s="312"/>
      <c r="I808" s="312"/>
      <c r="J808" s="312"/>
      <c r="K808" s="312"/>
      <c r="L808" s="312"/>
      <c r="M808" s="312"/>
      <c r="N808" s="312"/>
      <c r="O808" s="312"/>
      <c r="P808" s="312"/>
      <c r="Q808" s="312"/>
      <c r="R808" s="312"/>
      <c r="S808" s="312"/>
      <c r="T808" s="312"/>
      <c r="U808" s="312"/>
      <c r="V808" s="312"/>
      <c r="W808" s="312"/>
      <c r="X808" s="312"/>
      <c r="Y808" s="312"/>
      <c r="Z808" s="312"/>
      <c r="AA808" s="312"/>
      <c r="AB808" s="312"/>
      <c r="AC808" s="312"/>
      <c r="AD808" s="312"/>
      <c r="AE808" s="312"/>
      <c r="AF808" s="312"/>
      <c r="AG808" s="312"/>
      <c r="AH808" s="312"/>
      <c r="AI808" s="312"/>
      <c r="AJ808" s="312"/>
      <c r="AK808" s="312"/>
      <c r="AL808" s="312"/>
      <c r="AM808" s="312"/>
      <c r="AN808" s="312"/>
      <c r="AO808" s="312"/>
      <c r="AP808" s="312"/>
      <c r="AQ808" s="312"/>
    </row>
    <row r="809" ht="15.75" customHeight="1">
      <c r="A809" s="318"/>
      <c r="B809" s="312"/>
      <c r="C809" s="312"/>
      <c r="D809" s="312"/>
      <c r="E809" s="312"/>
      <c r="F809" s="312"/>
      <c r="G809" s="312"/>
      <c r="H809" s="312"/>
      <c r="I809" s="312"/>
      <c r="J809" s="312"/>
      <c r="K809" s="312"/>
      <c r="L809" s="312"/>
      <c r="M809" s="312"/>
      <c r="N809" s="312"/>
      <c r="O809" s="312"/>
      <c r="P809" s="312"/>
      <c r="Q809" s="312"/>
      <c r="R809" s="312"/>
      <c r="S809" s="312"/>
      <c r="T809" s="312"/>
      <c r="U809" s="312"/>
      <c r="V809" s="312"/>
      <c r="W809" s="312"/>
      <c r="X809" s="312"/>
      <c r="Y809" s="312"/>
      <c r="Z809" s="312"/>
      <c r="AA809" s="312"/>
      <c r="AB809" s="312"/>
      <c r="AC809" s="312"/>
      <c r="AD809" s="312"/>
      <c r="AE809" s="312"/>
      <c r="AF809" s="312"/>
      <c r="AG809" s="312"/>
      <c r="AH809" s="312"/>
      <c r="AI809" s="312"/>
      <c r="AJ809" s="312"/>
      <c r="AK809" s="312"/>
      <c r="AL809" s="312"/>
      <c r="AM809" s="312"/>
      <c r="AN809" s="312"/>
      <c r="AO809" s="312"/>
      <c r="AP809" s="312"/>
      <c r="AQ809" s="312"/>
    </row>
    <row r="810" ht="15.75" customHeight="1">
      <c r="A810" s="318"/>
      <c r="B810" s="312"/>
      <c r="C810" s="312"/>
      <c r="D810" s="312"/>
      <c r="E810" s="312"/>
      <c r="F810" s="312"/>
      <c r="G810" s="312"/>
      <c r="H810" s="312"/>
      <c r="I810" s="312"/>
      <c r="J810" s="312"/>
      <c r="K810" s="312"/>
      <c r="L810" s="312"/>
      <c r="M810" s="312"/>
      <c r="N810" s="312"/>
      <c r="O810" s="312"/>
      <c r="P810" s="312"/>
      <c r="Q810" s="312"/>
      <c r="R810" s="312"/>
      <c r="S810" s="312"/>
      <c r="T810" s="312"/>
      <c r="U810" s="312"/>
      <c r="V810" s="312"/>
      <c r="W810" s="312"/>
      <c r="X810" s="312"/>
      <c r="Y810" s="312"/>
      <c r="Z810" s="312"/>
      <c r="AA810" s="312"/>
      <c r="AB810" s="312"/>
      <c r="AC810" s="312"/>
      <c r="AD810" s="312"/>
      <c r="AE810" s="312"/>
      <c r="AF810" s="312"/>
      <c r="AG810" s="312"/>
      <c r="AH810" s="312"/>
      <c r="AI810" s="312"/>
      <c r="AJ810" s="312"/>
      <c r="AK810" s="312"/>
      <c r="AL810" s="312"/>
      <c r="AM810" s="312"/>
      <c r="AN810" s="312"/>
      <c r="AO810" s="312"/>
      <c r="AP810" s="312"/>
      <c r="AQ810" s="312"/>
    </row>
    <row r="811" ht="15.75" customHeight="1">
      <c r="A811" s="318"/>
      <c r="B811" s="312"/>
      <c r="C811" s="312"/>
      <c r="D811" s="312"/>
      <c r="E811" s="312"/>
      <c r="F811" s="312"/>
      <c r="G811" s="312"/>
      <c r="H811" s="312"/>
      <c r="I811" s="312"/>
      <c r="J811" s="312"/>
      <c r="K811" s="312"/>
      <c r="L811" s="312"/>
      <c r="M811" s="312"/>
      <c r="N811" s="312"/>
      <c r="O811" s="312"/>
      <c r="P811" s="312"/>
      <c r="Q811" s="312"/>
      <c r="R811" s="312"/>
      <c r="S811" s="312"/>
      <c r="T811" s="312"/>
      <c r="U811" s="312"/>
      <c r="V811" s="312"/>
      <c r="W811" s="312"/>
      <c r="X811" s="312"/>
      <c r="Y811" s="312"/>
      <c r="Z811" s="312"/>
      <c r="AA811" s="312"/>
      <c r="AB811" s="312"/>
      <c r="AC811" s="312"/>
      <c r="AD811" s="312"/>
      <c r="AE811" s="312"/>
      <c r="AF811" s="312"/>
      <c r="AG811" s="312"/>
      <c r="AH811" s="312"/>
      <c r="AI811" s="312"/>
      <c r="AJ811" s="312"/>
      <c r="AK811" s="312"/>
      <c r="AL811" s="312"/>
      <c r="AM811" s="312"/>
      <c r="AN811" s="312"/>
      <c r="AO811" s="312"/>
      <c r="AP811" s="312"/>
      <c r="AQ811" s="312"/>
    </row>
    <row r="812" ht="15.75" customHeight="1">
      <c r="A812" s="318"/>
      <c r="B812" s="312"/>
      <c r="C812" s="312"/>
      <c r="D812" s="312"/>
      <c r="E812" s="312"/>
      <c r="F812" s="312"/>
      <c r="G812" s="312"/>
      <c r="H812" s="312"/>
      <c r="I812" s="312"/>
      <c r="J812" s="312"/>
      <c r="K812" s="312"/>
      <c r="L812" s="312"/>
      <c r="M812" s="312"/>
      <c r="N812" s="312"/>
      <c r="O812" s="312"/>
      <c r="P812" s="312"/>
      <c r="Q812" s="312"/>
      <c r="R812" s="312"/>
      <c r="S812" s="312"/>
      <c r="T812" s="312"/>
      <c r="U812" s="312"/>
      <c r="V812" s="312"/>
      <c r="W812" s="312"/>
      <c r="X812" s="312"/>
      <c r="Y812" s="312"/>
      <c r="Z812" s="312"/>
      <c r="AA812" s="312"/>
      <c r="AB812" s="312"/>
      <c r="AC812" s="312"/>
      <c r="AD812" s="312"/>
      <c r="AE812" s="312"/>
      <c r="AF812" s="312"/>
      <c r="AG812" s="312"/>
      <c r="AH812" s="312"/>
      <c r="AI812" s="312"/>
      <c r="AJ812" s="312"/>
      <c r="AK812" s="312"/>
      <c r="AL812" s="312"/>
      <c r="AM812" s="312"/>
      <c r="AN812" s="312"/>
      <c r="AO812" s="312"/>
      <c r="AP812" s="312"/>
      <c r="AQ812" s="312"/>
    </row>
    <row r="813" ht="15.75" customHeight="1">
      <c r="A813" s="318"/>
      <c r="B813" s="312"/>
      <c r="C813" s="312"/>
      <c r="D813" s="312"/>
      <c r="E813" s="312"/>
      <c r="F813" s="312"/>
      <c r="G813" s="312"/>
      <c r="H813" s="312"/>
      <c r="I813" s="312"/>
      <c r="J813" s="312"/>
      <c r="K813" s="312"/>
      <c r="L813" s="312"/>
      <c r="M813" s="312"/>
      <c r="N813" s="312"/>
      <c r="O813" s="312"/>
      <c r="P813" s="312"/>
      <c r="Q813" s="312"/>
      <c r="R813" s="312"/>
      <c r="S813" s="312"/>
      <c r="T813" s="312"/>
      <c r="U813" s="312"/>
      <c r="V813" s="312"/>
      <c r="W813" s="312"/>
      <c r="X813" s="312"/>
      <c r="Y813" s="312"/>
      <c r="Z813" s="312"/>
      <c r="AA813" s="312"/>
      <c r="AB813" s="312"/>
      <c r="AC813" s="312"/>
      <c r="AD813" s="312"/>
      <c r="AE813" s="312"/>
      <c r="AF813" s="312"/>
      <c r="AG813" s="312"/>
      <c r="AH813" s="312"/>
      <c r="AI813" s="312"/>
      <c r="AJ813" s="312"/>
      <c r="AK813" s="312"/>
      <c r="AL813" s="312"/>
      <c r="AM813" s="312"/>
      <c r="AN813" s="312"/>
      <c r="AO813" s="312"/>
      <c r="AP813" s="312"/>
      <c r="AQ813" s="312"/>
    </row>
    <row r="814" ht="15.75" customHeight="1">
      <c r="A814" s="318"/>
      <c r="B814" s="312"/>
      <c r="C814" s="312"/>
      <c r="D814" s="312"/>
      <c r="E814" s="312"/>
      <c r="F814" s="312"/>
      <c r="G814" s="312"/>
      <c r="H814" s="312"/>
      <c r="I814" s="312"/>
      <c r="J814" s="312"/>
      <c r="K814" s="312"/>
      <c r="L814" s="312"/>
      <c r="M814" s="312"/>
      <c r="N814" s="312"/>
      <c r="O814" s="312"/>
      <c r="P814" s="312"/>
      <c r="Q814" s="312"/>
      <c r="R814" s="312"/>
      <c r="S814" s="312"/>
      <c r="T814" s="312"/>
      <c r="U814" s="312"/>
      <c r="V814" s="312"/>
      <c r="W814" s="312"/>
      <c r="X814" s="312"/>
      <c r="Y814" s="312"/>
      <c r="Z814" s="312"/>
      <c r="AA814" s="312"/>
      <c r="AB814" s="312"/>
      <c r="AC814" s="312"/>
      <c r="AD814" s="312"/>
      <c r="AE814" s="312"/>
      <c r="AF814" s="312"/>
      <c r="AG814" s="312"/>
      <c r="AH814" s="312"/>
      <c r="AI814" s="312"/>
      <c r="AJ814" s="312"/>
      <c r="AK814" s="312"/>
      <c r="AL814" s="312"/>
      <c r="AM814" s="312"/>
      <c r="AN814" s="312"/>
      <c r="AO814" s="312"/>
      <c r="AP814" s="312"/>
      <c r="AQ814" s="312"/>
    </row>
    <row r="815" ht="15.75" customHeight="1">
      <c r="A815" s="318"/>
      <c r="B815" s="312"/>
      <c r="C815" s="312"/>
      <c r="D815" s="312"/>
      <c r="E815" s="312"/>
      <c r="F815" s="312"/>
      <c r="G815" s="312"/>
      <c r="H815" s="312"/>
      <c r="I815" s="312"/>
      <c r="J815" s="312"/>
      <c r="K815" s="312"/>
      <c r="L815" s="312"/>
      <c r="M815" s="312"/>
      <c r="N815" s="312"/>
      <c r="O815" s="312"/>
      <c r="P815" s="312"/>
      <c r="Q815" s="312"/>
      <c r="R815" s="312"/>
      <c r="S815" s="312"/>
      <c r="T815" s="312"/>
      <c r="U815" s="312"/>
      <c r="V815" s="312"/>
      <c r="W815" s="312"/>
      <c r="X815" s="312"/>
      <c r="Y815" s="312"/>
      <c r="Z815" s="312"/>
      <c r="AA815" s="312"/>
      <c r="AB815" s="312"/>
      <c r="AC815" s="312"/>
      <c r="AD815" s="312"/>
      <c r="AE815" s="312"/>
      <c r="AF815" s="312"/>
      <c r="AG815" s="312"/>
      <c r="AH815" s="312"/>
      <c r="AI815" s="312"/>
      <c r="AJ815" s="312"/>
      <c r="AK815" s="312"/>
      <c r="AL815" s="312"/>
      <c r="AM815" s="312"/>
      <c r="AN815" s="312"/>
      <c r="AO815" s="312"/>
      <c r="AP815" s="312"/>
      <c r="AQ815" s="312"/>
    </row>
    <row r="816" ht="15.75" customHeight="1">
      <c r="A816" s="318"/>
      <c r="B816" s="312"/>
      <c r="C816" s="312"/>
      <c r="D816" s="312"/>
      <c r="E816" s="312"/>
      <c r="F816" s="312"/>
      <c r="G816" s="312"/>
      <c r="H816" s="312"/>
      <c r="I816" s="312"/>
      <c r="J816" s="312"/>
      <c r="K816" s="312"/>
      <c r="L816" s="312"/>
      <c r="M816" s="312"/>
      <c r="N816" s="312"/>
      <c r="O816" s="312"/>
      <c r="P816" s="312"/>
      <c r="Q816" s="312"/>
      <c r="R816" s="312"/>
      <c r="S816" s="312"/>
      <c r="T816" s="312"/>
      <c r="U816" s="312"/>
      <c r="V816" s="312"/>
      <c r="W816" s="312"/>
      <c r="X816" s="312"/>
      <c r="Y816" s="312"/>
      <c r="Z816" s="312"/>
      <c r="AA816" s="312"/>
      <c r="AB816" s="312"/>
      <c r="AC816" s="312"/>
      <c r="AD816" s="312"/>
      <c r="AE816" s="312"/>
      <c r="AF816" s="312"/>
      <c r="AG816" s="312"/>
      <c r="AH816" s="312"/>
      <c r="AI816" s="312"/>
      <c r="AJ816" s="312"/>
      <c r="AK816" s="312"/>
      <c r="AL816" s="312"/>
      <c r="AM816" s="312"/>
      <c r="AN816" s="312"/>
      <c r="AO816" s="312"/>
      <c r="AP816" s="312"/>
      <c r="AQ816" s="312"/>
    </row>
    <row r="817" ht="15.75" customHeight="1">
      <c r="A817" s="318"/>
      <c r="B817" s="312"/>
      <c r="C817" s="312"/>
      <c r="D817" s="312"/>
      <c r="E817" s="312"/>
      <c r="F817" s="312"/>
      <c r="G817" s="312"/>
      <c r="H817" s="312"/>
      <c r="I817" s="312"/>
      <c r="J817" s="312"/>
      <c r="K817" s="312"/>
      <c r="L817" s="312"/>
      <c r="M817" s="312"/>
      <c r="N817" s="312"/>
      <c r="O817" s="312"/>
      <c r="P817" s="312"/>
      <c r="Q817" s="312"/>
      <c r="R817" s="312"/>
      <c r="S817" s="312"/>
      <c r="T817" s="312"/>
      <c r="U817" s="312"/>
      <c r="V817" s="312"/>
      <c r="W817" s="312"/>
      <c r="X817" s="312"/>
      <c r="Y817" s="312"/>
      <c r="Z817" s="312"/>
      <c r="AA817" s="312"/>
      <c r="AB817" s="312"/>
      <c r="AC817" s="312"/>
      <c r="AD817" s="312"/>
      <c r="AE817" s="312"/>
      <c r="AF817" s="312"/>
      <c r="AG817" s="312"/>
      <c r="AH817" s="312"/>
      <c r="AI817" s="312"/>
      <c r="AJ817" s="312"/>
      <c r="AK817" s="312"/>
      <c r="AL817" s="312"/>
      <c r="AM817" s="312"/>
      <c r="AN817" s="312"/>
      <c r="AO817" s="312"/>
      <c r="AP817" s="312"/>
      <c r="AQ817" s="312"/>
    </row>
    <row r="818" ht="15.75" customHeight="1">
      <c r="A818" s="318"/>
      <c r="B818" s="312"/>
      <c r="C818" s="312"/>
      <c r="D818" s="312"/>
      <c r="E818" s="312"/>
      <c r="F818" s="312"/>
      <c r="G818" s="312"/>
      <c r="H818" s="312"/>
      <c r="I818" s="312"/>
      <c r="J818" s="312"/>
      <c r="K818" s="312"/>
      <c r="L818" s="312"/>
      <c r="M818" s="312"/>
      <c r="N818" s="312"/>
      <c r="O818" s="312"/>
      <c r="P818" s="312"/>
      <c r="Q818" s="312"/>
      <c r="R818" s="312"/>
      <c r="S818" s="312"/>
      <c r="T818" s="312"/>
      <c r="U818" s="312"/>
      <c r="V818" s="312"/>
      <c r="W818" s="312"/>
      <c r="X818" s="312"/>
      <c r="Y818" s="312"/>
      <c r="Z818" s="312"/>
      <c r="AA818" s="312"/>
      <c r="AB818" s="312"/>
      <c r="AC818" s="312"/>
      <c r="AD818" s="312"/>
      <c r="AE818" s="312"/>
      <c r="AF818" s="312"/>
      <c r="AG818" s="312"/>
      <c r="AH818" s="312"/>
      <c r="AI818" s="312"/>
      <c r="AJ818" s="312"/>
      <c r="AK818" s="312"/>
      <c r="AL818" s="312"/>
      <c r="AM818" s="312"/>
      <c r="AN818" s="312"/>
      <c r="AO818" s="312"/>
      <c r="AP818" s="312"/>
      <c r="AQ818" s="312"/>
    </row>
    <row r="819" ht="15.75" customHeight="1">
      <c r="A819" s="318"/>
      <c r="B819" s="312"/>
      <c r="C819" s="312"/>
      <c r="D819" s="312"/>
      <c r="E819" s="312"/>
      <c r="F819" s="312"/>
      <c r="G819" s="312"/>
      <c r="H819" s="312"/>
      <c r="I819" s="312"/>
      <c r="J819" s="312"/>
      <c r="K819" s="312"/>
      <c r="L819" s="312"/>
      <c r="M819" s="312"/>
      <c r="N819" s="312"/>
      <c r="O819" s="312"/>
      <c r="P819" s="312"/>
      <c r="Q819" s="312"/>
      <c r="R819" s="312"/>
      <c r="S819" s="312"/>
      <c r="T819" s="312"/>
      <c r="U819" s="312"/>
      <c r="V819" s="312"/>
      <c r="W819" s="312"/>
      <c r="X819" s="312"/>
      <c r="Y819" s="312"/>
      <c r="Z819" s="312"/>
      <c r="AA819" s="312"/>
      <c r="AB819" s="312"/>
      <c r="AC819" s="312"/>
      <c r="AD819" s="312"/>
      <c r="AE819" s="312"/>
      <c r="AF819" s="312"/>
      <c r="AG819" s="312"/>
      <c r="AH819" s="312"/>
      <c r="AI819" s="312"/>
      <c r="AJ819" s="312"/>
      <c r="AK819" s="312"/>
      <c r="AL819" s="312"/>
      <c r="AM819" s="312"/>
      <c r="AN819" s="312"/>
      <c r="AO819" s="312"/>
      <c r="AP819" s="312"/>
      <c r="AQ819" s="312"/>
    </row>
    <row r="820" ht="15.75" customHeight="1">
      <c r="A820" s="318"/>
      <c r="B820" s="312"/>
      <c r="C820" s="312"/>
      <c r="D820" s="312"/>
      <c r="E820" s="312"/>
      <c r="F820" s="312"/>
      <c r="G820" s="312"/>
      <c r="H820" s="312"/>
      <c r="I820" s="312"/>
      <c r="J820" s="312"/>
      <c r="K820" s="312"/>
      <c r="L820" s="312"/>
      <c r="M820" s="312"/>
      <c r="N820" s="312"/>
      <c r="O820" s="312"/>
      <c r="P820" s="312"/>
      <c r="Q820" s="312"/>
      <c r="R820" s="312"/>
      <c r="S820" s="312"/>
      <c r="T820" s="312"/>
      <c r="U820" s="312"/>
      <c r="V820" s="312"/>
      <c r="W820" s="312"/>
      <c r="X820" s="312"/>
      <c r="Y820" s="312"/>
      <c r="Z820" s="312"/>
      <c r="AA820" s="312"/>
      <c r="AB820" s="312"/>
      <c r="AC820" s="312"/>
      <c r="AD820" s="312"/>
      <c r="AE820" s="312"/>
      <c r="AF820" s="312"/>
      <c r="AG820" s="312"/>
      <c r="AH820" s="312"/>
      <c r="AI820" s="312"/>
      <c r="AJ820" s="312"/>
      <c r="AK820" s="312"/>
      <c r="AL820" s="312"/>
      <c r="AM820" s="312"/>
      <c r="AN820" s="312"/>
      <c r="AO820" s="312"/>
      <c r="AP820" s="312"/>
      <c r="AQ820" s="312"/>
    </row>
    <row r="821" ht="15.75" customHeight="1">
      <c r="A821" s="318"/>
      <c r="B821" s="312"/>
      <c r="C821" s="312"/>
      <c r="D821" s="312"/>
      <c r="E821" s="312"/>
      <c r="F821" s="312"/>
      <c r="G821" s="312"/>
      <c r="H821" s="312"/>
      <c r="I821" s="312"/>
      <c r="J821" s="312"/>
      <c r="K821" s="312"/>
      <c r="L821" s="312"/>
      <c r="M821" s="312"/>
      <c r="N821" s="312"/>
      <c r="O821" s="312"/>
      <c r="P821" s="312"/>
      <c r="Q821" s="312"/>
      <c r="R821" s="312"/>
      <c r="S821" s="312"/>
      <c r="T821" s="312"/>
      <c r="U821" s="312"/>
      <c r="V821" s="312"/>
      <c r="W821" s="312"/>
      <c r="X821" s="312"/>
      <c r="Y821" s="312"/>
      <c r="Z821" s="312"/>
      <c r="AA821" s="312"/>
      <c r="AB821" s="312"/>
      <c r="AC821" s="312"/>
      <c r="AD821" s="312"/>
      <c r="AE821" s="312"/>
      <c r="AF821" s="312"/>
      <c r="AG821" s="312"/>
      <c r="AH821" s="312"/>
      <c r="AI821" s="312"/>
      <c r="AJ821" s="312"/>
      <c r="AK821" s="312"/>
      <c r="AL821" s="312"/>
      <c r="AM821" s="312"/>
      <c r="AN821" s="312"/>
      <c r="AO821" s="312"/>
      <c r="AP821" s="312"/>
      <c r="AQ821" s="312"/>
    </row>
    <row r="822" ht="15.75" customHeight="1">
      <c r="A822" s="318"/>
      <c r="B822" s="312"/>
      <c r="C822" s="312"/>
      <c r="D822" s="312"/>
      <c r="E822" s="312"/>
      <c r="F822" s="312"/>
      <c r="G822" s="312"/>
      <c r="H822" s="312"/>
      <c r="I822" s="312"/>
      <c r="J822" s="312"/>
      <c r="K822" s="312"/>
      <c r="L822" s="312"/>
      <c r="M822" s="312"/>
      <c r="N822" s="312"/>
      <c r="O822" s="312"/>
      <c r="P822" s="312"/>
      <c r="Q822" s="312"/>
      <c r="R822" s="312"/>
      <c r="S822" s="312"/>
      <c r="T822" s="312"/>
      <c r="U822" s="312"/>
      <c r="V822" s="312"/>
      <c r="W822" s="312"/>
      <c r="X822" s="312"/>
      <c r="Y822" s="312"/>
      <c r="Z822" s="312"/>
      <c r="AA822" s="312"/>
      <c r="AB822" s="312"/>
      <c r="AC822" s="312"/>
      <c r="AD822" s="312"/>
      <c r="AE822" s="312"/>
      <c r="AF822" s="312"/>
      <c r="AG822" s="312"/>
      <c r="AH822" s="312"/>
      <c r="AI822" s="312"/>
      <c r="AJ822" s="312"/>
      <c r="AK822" s="312"/>
      <c r="AL822" s="312"/>
      <c r="AM822" s="312"/>
      <c r="AN822" s="312"/>
      <c r="AO822" s="312"/>
      <c r="AP822" s="312"/>
      <c r="AQ822" s="312"/>
    </row>
    <row r="823" ht="15.75" customHeight="1">
      <c r="A823" s="318"/>
      <c r="B823" s="312"/>
      <c r="C823" s="312"/>
      <c r="D823" s="312"/>
      <c r="E823" s="312"/>
      <c r="F823" s="312"/>
      <c r="G823" s="312"/>
      <c r="H823" s="312"/>
      <c r="I823" s="312"/>
      <c r="J823" s="312"/>
      <c r="K823" s="312"/>
      <c r="L823" s="312"/>
      <c r="M823" s="312"/>
      <c r="N823" s="312"/>
      <c r="O823" s="312"/>
      <c r="P823" s="312"/>
      <c r="Q823" s="312"/>
      <c r="R823" s="312"/>
      <c r="S823" s="312"/>
      <c r="T823" s="312"/>
      <c r="U823" s="312"/>
      <c r="V823" s="312"/>
      <c r="W823" s="312"/>
      <c r="X823" s="312"/>
      <c r="Y823" s="312"/>
      <c r="Z823" s="312"/>
      <c r="AA823" s="312"/>
      <c r="AB823" s="312"/>
      <c r="AC823" s="312"/>
      <c r="AD823" s="312"/>
      <c r="AE823" s="312"/>
      <c r="AF823" s="312"/>
      <c r="AG823" s="312"/>
      <c r="AH823" s="312"/>
      <c r="AI823" s="312"/>
      <c r="AJ823" s="312"/>
      <c r="AK823" s="312"/>
      <c r="AL823" s="312"/>
      <c r="AM823" s="312"/>
      <c r="AN823" s="312"/>
      <c r="AO823" s="312"/>
      <c r="AP823" s="312"/>
      <c r="AQ823" s="312"/>
    </row>
    <row r="824" ht="15.75" customHeight="1">
      <c r="A824" s="318"/>
      <c r="B824" s="312"/>
      <c r="C824" s="312"/>
      <c r="D824" s="312"/>
      <c r="E824" s="312"/>
      <c r="F824" s="312"/>
      <c r="G824" s="312"/>
      <c r="H824" s="312"/>
      <c r="I824" s="312"/>
      <c r="J824" s="312"/>
      <c r="K824" s="312"/>
      <c r="L824" s="312"/>
      <c r="M824" s="312"/>
      <c r="N824" s="312"/>
      <c r="O824" s="312"/>
      <c r="P824" s="312"/>
      <c r="Q824" s="312"/>
      <c r="R824" s="312"/>
      <c r="S824" s="312"/>
      <c r="T824" s="312"/>
      <c r="U824" s="312"/>
      <c r="V824" s="312"/>
      <c r="W824" s="312"/>
      <c r="X824" s="312"/>
      <c r="Y824" s="312"/>
      <c r="Z824" s="312"/>
      <c r="AA824" s="312"/>
      <c r="AB824" s="312"/>
      <c r="AC824" s="312"/>
      <c r="AD824" s="312"/>
      <c r="AE824" s="312"/>
      <c r="AF824" s="312"/>
      <c r="AG824" s="312"/>
      <c r="AH824" s="312"/>
      <c r="AI824" s="312"/>
      <c r="AJ824" s="312"/>
      <c r="AK824" s="312"/>
      <c r="AL824" s="312"/>
      <c r="AM824" s="312"/>
      <c r="AN824" s="312"/>
      <c r="AO824" s="312"/>
      <c r="AP824" s="312"/>
      <c r="AQ824" s="312"/>
    </row>
    <row r="825" ht="15.75" customHeight="1">
      <c r="A825" s="318"/>
      <c r="B825" s="312"/>
      <c r="C825" s="312"/>
      <c r="D825" s="312"/>
      <c r="E825" s="312"/>
      <c r="F825" s="312"/>
      <c r="G825" s="312"/>
      <c r="H825" s="312"/>
      <c r="I825" s="312"/>
      <c r="J825" s="312"/>
      <c r="K825" s="312"/>
      <c r="L825" s="312"/>
      <c r="M825" s="312"/>
      <c r="N825" s="312"/>
      <c r="O825" s="312"/>
      <c r="P825" s="312"/>
      <c r="Q825" s="312"/>
      <c r="R825" s="312"/>
      <c r="S825" s="312"/>
      <c r="T825" s="312"/>
      <c r="U825" s="312"/>
      <c r="V825" s="312"/>
      <c r="W825" s="312"/>
      <c r="X825" s="312"/>
      <c r="Y825" s="312"/>
      <c r="Z825" s="312"/>
      <c r="AA825" s="312"/>
      <c r="AB825" s="312"/>
      <c r="AC825" s="312"/>
      <c r="AD825" s="312"/>
      <c r="AE825" s="312"/>
      <c r="AF825" s="312"/>
      <c r="AG825" s="312"/>
      <c r="AH825" s="312"/>
      <c r="AI825" s="312"/>
      <c r="AJ825" s="312"/>
      <c r="AK825" s="312"/>
      <c r="AL825" s="312"/>
      <c r="AM825" s="312"/>
      <c r="AN825" s="312"/>
      <c r="AO825" s="312"/>
      <c r="AP825" s="312"/>
      <c r="AQ825" s="312"/>
    </row>
    <row r="826" ht="15.75" customHeight="1">
      <c r="A826" s="318"/>
      <c r="B826" s="312"/>
      <c r="C826" s="312"/>
      <c r="D826" s="312"/>
      <c r="E826" s="312"/>
      <c r="F826" s="312"/>
      <c r="G826" s="312"/>
      <c r="H826" s="312"/>
      <c r="I826" s="312"/>
      <c r="J826" s="312"/>
      <c r="K826" s="312"/>
      <c r="L826" s="312"/>
      <c r="M826" s="312"/>
      <c r="N826" s="312"/>
      <c r="O826" s="312"/>
      <c r="P826" s="312"/>
      <c r="Q826" s="312"/>
      <c r="R826" s="312"/>
      <c r="S826" s="312"/>
      <c r="T826" s="312"/>
      <c r="U826" s="312"/>
      <c r="V826" s="312"/>
      <c r="W826" s="312"/>
      <c r="X826" s="312"/>
      <c r="Y826" s="312"/>
      <c r="Z826" s="312"/>
      <c r="AA826" s="312"/>
      <c r="AB826" s="312"/>
      <c r="AC826" s="312"/>
      <c r="AD826" s="312"/>
      <c r="AE826" s="312"/>
      <c r="AF826" s="312"/>
      <c r="AG826" s="312"/>
      <c r="AH826" s="312"/>
      <c r="AI826" s="312"/>
      <c r="AJ826" s="312"/>
      <c r="AK826" s="312"/>
      <c r="AL826" s="312"/>
      <c r="AM826" s="312"/>
      <c r="AN826" s="312"/>
      <c r="AO826" s="312"/>
      <c r="AP826" s="312"/>
      <c r="AQ826" s="312"/>
    </row>
    <row r="827" ht="15.75" customHeight="1">
      <c r="A827" s="318"/>
      <c r="B827" s="312"/>
      <c r="C827" s="312"/>
      <c r="D827" s="312"/>
      <c r="E827" s="312"/>
      <c r="F827" s="312"/>
      <c r="G827" s="312"/>
      <c r="H827" s="312"/>
      <c r="I827" s="312"/>
      <c r="J827" s="312"/>
      <c r="K827" s="312"/>
      <c r="L827" s="312"/>
      <c r="M827" s="312"/>
      <c r="N827" s="312"/>
      <c r="O827" s="312"/>
      <c r="P827" s="312"/>
      <c r="Q827" s="312"/>
      <c r="R827" s="312"/>
      <c r="S827" s="312"/>
      <c r="T827" s="312"/>
      <c r="U827" s="312"/>
      <c r="V827" s="312"/>
      <c r="W827" s="312"/>
      <c r="X827" s="312"/>
      <c r="Y827" s="312"/>
      <c r="Z827" s="312"/>
      <c r="AA827" s="312"/>
      <c r="AB827" s="312"/>
      <c r="AC827" s="312"/>
      <c r="AD827" s="312"/>
      <c r="AE827" s="312"/>
      <c r="AF827" s="312"/>
      <c r="AG827" s="312"/>
      <c r="AH827" s="312"/>
      <c r="AI827" s="312"/>
      <c r="AJ827" s="312"/>
      <c r="AK827" s="312"/>
      <c r="AL827" s="312"/>
      <c r="AM827" s="312"/>
      <c r="AN827" s="312"/>
      <c r="AO827" s="312"/>
      <c r="AP827" s="312"/>
      <c r="AQ827" s="312"/>
    </row>
    <row r="828" ht="15.75" customHeight="1">
      <c r="A828" s="318"/>
      <c r="B828" s="312"/>
      <c r="C828" s="312"/>
      <c r="D828" s="312"/>
      <c r="E828" s="312"/>
      <c r="F828" s="312"/>
      <c r="G828" s="312"/>
      <c r="H828" s="312"/>
      <c r="I828" s="312"/>
      <c r="J828" s="312"/>
      <c r="K828" s="312"/>
      <c r="L828" s="312"/>
      <c r="M828" s="312"/>
      <c r="N828" s="312"/>
      <c r="O828" s="312"/>
      <c r="P828" s="312"/>
      <c r="Q828" s="312"/>
      <c r="R828" s="312"/>
      <c r="S828" s="312"/>
      <c r="T828" s="312"/>
      <c r="U828" s="312"/>
      <c r="V828" s="312"/>
      <c r="W828" s="312"/>
      <c r="X828" s="312"/>
      <c r="Y828" s="312"/>
      <c r="Z828" s="312"/>
      <c r="AA828" s="312"/>
      <c r="AB828" s="312"/>
      <c r="AC828" s="312"/>
      <c r="AD828" s="312"/>
      <c r="AE828" s="312"/>
      <c r="AF828" s="312"/>
      <c r="AG828" s="312"/>
      <c r="AH828" s="312"/>
      <c r="AI828" s="312"/>
      <c r="AJ828" s="312"/>
      <c r="AK828" s="312"/>
      <c r="AL828" s="312"/>
      <c r="AM828" s="312"/>
      <c r="AN828" s="312"/>
      <c r="AO828" s="312"/>
      <c r="AP828" s="312"/>
      <c r="AQ828" s="312"/>
    </row>
    <row r="829" ht="15.75" customHeight="1">
      <c r="A829" s="318"/>
      <c r="B829" s="312"/>
      <c r="C829" s="312"/>
      <c r="D829" s="312"/>
      <c r="E829" s="312"/>
      <c r="F829" s="312"/>
      <c r="G829" s="312"/>
      <c r="H829" s="312"/>
      <c r="I829" s="312"/>
      <c r="J829" s="312"/>
      <c r="K829" s="312"/>
      <c r="L829" s="312"/>
      <c r="M829" s="312"/>
      <c r="N829" s="312"/>
      <c r="O829" s="312"/>
      <c r="P829" s="312"/>
      <c r="Q829" s="312"/>
      <c r="R829" s="312"/>
      <c r="S829" s="312"/>
      <c r="T829" s="312"/>
      <c r="U829" s="312"/>
      <c r="V829" s="312"/>
      <c r="W829" s="312"/>
      <c r="X829" s="312"/>
      <c r="Y829" s="312"/>
      <c r="Z829" s="312"/>
      <c r="AA829" s="312"/>
      <c r="AB829" s="312"/>
      <c r="AC829" s="312"/>
      <c r="AD829" s="312"/>
      <c r="AE829" s="312"/>
      <c r="AF829" s="312"/>
      <c r="AG829" s="312"/>
      <c r="AH829" s="312"/>
      <c r="AI829" s="312"/>
      <c r="AJ829" s="312"/>
      <c r="AK829" s="312"/>
      <c r="AL829" s="312"/>
      <c r="AM829" s="312"/>
      <c r="AN829" s="312"/>
      <c r="AO829" s="312"/>
      <c r="AP829" s="312"/>
      <c r="AQ829" s="312"/>
    </row>
    <row r="830" ht="15.75" customHeight="1">
      <c r="A830" s="318"/>
      <c r="B830" s="312"/>
      <c r="C830" s="312"/>
      <c r="D830" s="312"/>
      <c r="E830" s="312"/>
      <c r="F830" s="312"/>
      <c r="G830" s="312"/>
      <c r="H830" s="312"/>
      <c r="I830" s="312"/>
      <c r="J830" s="312"/>
      <c r="K830" s="312"/>
      <c r="L830" s="312"/>
      <c r="M830" s="312"/>
      <c r="N830" s="312"/>
      <c r="O830" s="312"/>
      <c r="P830" s="312"/>
      <c r="Q830" s="312"/>
      <c r="R830" s="312"/>
      <c r="S830" s="312"/>
      <c r="T830" s="312"/>
      <c r="U830" s="312"/>
      <c r="V830" s="312"/>
      <c r="W830" s="312"/>
      <c r="X830" s="312"/>
      <c r="Y830" s="312"/>
      <c r="Z830" s="312"/>
      <c r="AA830" s="312"/>
      <c r="AB830" s="312"/>
      <c r="AC830" s="312"/>
      <c r="AD830" s="312"/>
      <c r="AE830" s="312"/>
      <c r="AF830" s="312"/>
      <c r="AG830" s="312"/>
      <c r="AH830" s="312"/>
      <c r="AI830" s="312"/>
      <c r="AJ830" s="312"/>
      <c r="AK830" s="312"/>
      <c r="AL830" s="312"/>
      <c r="AM830" s="312"/>
      <c r="AN830" s="312"/>
      <c r="AO830" s="312"/>
      <c r="AP830" s="312"/>
      <c r="AQ830" s="312"/>
    </row>
    <row r="831" ht="15.75" customHeight="1">
      <c r="A831" s="318"/>
      <c r="B831" s="312"/>
      <c r="C831" s="312"/>
      <c r="D831" s="312"/>
      <c r="E831" s="312"/>
      <c r="F831" s="312"/>
      <c r="G831" s="312"/>
      <c r="H831" s="312"/>
      <c r="I831" s="312"/>
      <c r="J831" s="312"/>
      <c r="K831" s="312"/>
      <c r="L831" s="312"/>
      <c r="M831" s="312"/>
      <c r="N831" s="312"/>
      <c r="O831" s="312"/>
      <c r="P831" s="312"/>
      <c r="Q831" s="312"/>
      <c r="R831" s="312"/>
      <c r="S831" s="312"/>
      <c r="T831" s="312"/>
      <c r="U831" s="312"/>
      <c r="V831" s="312"/>
      <c r="W831" s="312"/>
      <c r="X831" s="312"/>
      <c r="Y831" s="312"/>
      <c r="Z831" s="312"/>
      <c r="AA831" s="312"/>
      <c r="AB831" s="312"/>
      <c r="AC831" s="312"/>
      <c r="AD831" s="312"/>
      <c r="AE831" s="312"/>
      <c r="AF831" s="312"/>
      <c r="AG831" s="312"/>
      <c r="AH831" s="312"/>
      <c r="AI831" s="312"/>
      <c r="AJ831" s="312"/>
      <c r="AK831" s="312"/>
      <c r="AL831" s="312"/>
      <c r="AM831" s="312"/>
      <c r="AN831" s="312"/>
      <c r="AO831" s="312"/>
      <c r="AP831" s="312"/>
      <c r="AQ831" s="312"/>
    </row>
    <row r="832" ht="15.75" customHeight="1">
      <c r="A832" s="318"/>
      <c r="B832" s="312"/>
      <c r="C832" s="312"/>
      <c r="D832" s="312"/>
      <c r="E832" s="312"/>
      <c r="F832" s="312"/>
      <c r="G832" s="312"/>
      <c r="H832" s="312"/>
      <c r="I832" s="312"/>
      <c r="J832" s="312"/>
      <c r="K832" s="312"/>
      <c r="L832" s="312"/>
      <c r="M832" s="312"/>
      <c r="N832" s="312"/>
      <c r="O832" s="312"/>
      <c r="P832" s="312"/>
      <c r="Q832" s="312"/>
      <c r="R832" s="312"/>
      <c r="S832" s="312"/>
      <c r="T832" s="312"/>
      <c r="U832" s="312"/>
      <c r="V832" s="312"/>
      <c r="W832" s="312"/>
      <c r="X832" s="312"/>
      <c r="Y832" s="312"/>
      <c r="Z832" s="312"/>
      <c r="AA832" s="312"/>
      <c r="AB832" s="312"/>
      <c r="AC832" s="312"/>
      <c r="AD832" s="312"/>
      <c r="AE832" s="312"/>
      <c r="AF832" s="312"/>
      <c r="AG832" s="312"/>
      <c r="AH832" s="312"/>
      <c r="AI832" s="312"/>
      <c r="AJ832" s="312"/>
      <c r="AK832" s="312"/>
      <c r="AL832" s="312"/>
      <c r="AM832" s="312"/>
      <c r="AN832" s="312"/>
      <c r="AO832" s="312"/>
      <c r="AP832" s="312"/>
      <c r="AQ832" s="312"/>
    </row>
    <row r="833" ht="15.75" customHeight="1">
      <c r="A833" s="318"/>
      <c r="B833" s="312"/>
      <c r="C833" s="312"/>
      <c r="D833" s="312"/>
      <c r="E833" s="312"/>
      <c r="F833" s="312"/>
      <c r="G833" s="312"/>
      <c r="H833" s="312"/>
      <c r="I833" s="312"/>
      <c r="J833" s="312"/>
      <c r="K833" s="312"/>
      <c r="L833" s="312"/>
      <c r="M833" s="312"/>
      <c r="N833" s="312"/>
      <c r="O833" s="312"/>
      <c r="P833" s="312"/>
      <c r="Q833" s="312"/>
      <c r="R833" s="312"/>
      <c r="S833" s="312"/>
      <c r="T833" s="312"/>
      <c r="U833" s="312"/>
      <c r="V833" s="312"/>
      <c r="W833" s="312"/>
      <c r="X833" s="312"/>
      <c r="Y833" s="312"/>
      <c r="Z833" s="312"/>
      <c r="AA833" s="312"/>
      <c r="AB833" s="312"/>
      <c r="AC833" s="312"/>
      <c r="AD833" s="312"/>
      <c r="AE833" s="312"/>
      <c r="AF833" s="312"/>
      <c r="AG833" s="312"/>
      <c r="AH833" s="312"/>
      <c r="AI833" s="312"/>
      <c r="AJ833" s="312"/>
      <c r="AK833" s="312"/>
      <c r="AL833" s="312"/>
      <c r="AM833" s="312"/>
      <c r="AN833" s="312"/>
      <c r="AO833" s="312"/>
      <c r="AP833" s="312"/>
      <c r="AQ833" s="312"/>
    </row>
    <row r="834" ht="15.75" customHeight="1">
      <c r="A834" s="318"/>
      <c r="B834" s="312"/>
      <c r="C834" s="312"/>
      <c r="D834" s="312"/>
      <c r="E834" s="312"/>
      <c r="F834" s="312"/>
      <c r="G834" s="312"/>
      <c r="H834" s="312"/>
      <c r="I834" s="312"/>
      <c r="J834" s="312"/>
      <c r="K834" s="312"/>
      <c r="L834" s="312"/>
      <c r="M834" s="312"/>
      <c r="N834" s="312"/>
      <c r="O834" s="312"/>
      <c r="P834" s="312"/>
      <c r="Q834" s="312"/>
      <c r="R834" s="312"/>
      <c r="S834" s="312"/>
      <c r="T834" s="312"/>
      <c r="U834" s="312"/>
      <c r="V834" s="312"/>
      <c r="W834" s="312"/>
      <c r="X834" s="312"/>
      <c r="Y834" s="312"/>
      <c r="Z834" s="312"/>
      <c r="AA834" s="312"/>
      <c r="AB834" s="312"/>
      <c r="AC834" s="312"/>
      <c r="AD834" s="312"/>
      <c r="AE834" s="312"/>
      <c r="AF834" s="312"/>
      <c r="AG834" s="312"/>
      <c r="AH834" s="312"/>
      <c r="AI834" s="312"/>
      <c r="AJ834" s="312"/>
      <c r="AK834" s="312"/>
      <c r="AL834" s="312"/>
      <c r="AM834" s="312"/>
      <c r="AN834" s="312"/>
      <c r="AO834" s="312"/>
      <c r="AP834" s="312"/>
      <c r="AQ834" s="312"/>
    </row>
    <row r="835" ht="15.75" customHeight="1">
      <c r="A835" s="318"/>
      <c r="B835" s="312"/>
      <c r="C835" s="312"/>
      <c r="D835" s="312"/>
      <c r="E835" s="312"/>
      <c r="F835" s="312"/>
      <c r="G835" s="312"/>
      <c r="H835" s="312"/>
      <c r="I835" s="312"/>
      <c r="J835" s="312"/>
      <c r="K835" s="312"/>
      <c r="L835" s="312"/>
      <c r="M835" s="312"/>
      <c r="N835" s="312"/>
      <c r="O835" s="312"/>
      <c r="P835" s="312"/>
      <c r="Q835" s="312"/>
      <c r="R835" s="312"/>
      <c r="S835" s="312"/>
      <c r="T835" s="312"/>
      <c r="U835" s="312"/>
      <c r="V835" s="312"/>
      <c r="W835" s="312"/>
      <c r="X835" s="312"/>
      <c r="Y835" s="312"/>
      <c r="Z835" s="312"/>
      <c r="AA835" s="312"/>
      <c r="AB835" s="312"/>
      <c r="AC835" s="312"/>
      <c r="AD835" s="312"/>
      <c r="AE835" s="312"/>
      <c r="AF835" s="312"/>
      <c r="AG835" s="312"/>
      <c r="AH835" s="312"/>
      <c r="AI835" s="312"/>
      <c r="AJ835" s="312"/>
      <c r="AK835" s="312"/>
      <c r="AL835" s="312"/>
      <c r="AM835" s="312"/>
      <c r="AN835" s="312"/>
      <c r="AO835" s="312"/>
      <c r="AP835" s="312"/>
      <c r="AQ835" s="312"/>
    </row>
    <row r="836" ht="15.75" customHeight="1">
      <c r="A836" s="318"/>
      <c r="B836" s="312"/>
      <c r="C836" s="312"/>
      <c r="D836" s="312"/>
      <c r="E836" s="312"/>
      <c r="F836" s="312"/>
      <c r="G836" s="312"/>
      <c r="H836" s="312"/>
      <c r="I836" s="312"/>
      <c r="J836" s="312"/>
      <c r="K836" s="312"/>
      <c r="L836" s="312"/>
      <c r="M836" s="312"/>
      <c r="N836" s="312"/>
      <c r="O836" s="312"/>
      <c r="P836" s="312"/>
      <c r="Q836" s="312"/>
      <c r="R836" s="312"/>
      <c r="S836" s="312"/>
      <c r="T836" s="312"/>
      <c r="U836" s="312"/>
      <c r="V836" s="312"/>
      <c r="W836" s="312"/>
      <c r="X836" s="312"/>
      <c r="Y836" s="312"/>
      <c r="Z836" s="312"/>
      <c r="AA836" s="312"/>
      <c r="AB836" s="312"/>
      <c r="AC836" s="312"/>
      <c r="AD836" s="312"/>
      <c r="AE836" s="312"/>
      <c r="AF836" s="312"/>
      <c r="AG836" s="312"/>
      <c r="AH836" s="312"/>
      <c r="AI836" s="312"/>
      <c r="AJ836" s="312"/>
      <c r="AK836" s="312"/>
      <c r="AL836" s="312"/>
      <c r="AM836" s="312"/>
      <c r="AN836" s="312"/>
      <c r="AO836" s="312"/>
      <c r="AP836" s="312"/>
      <c r="AQ836" s="312"/>
    </row>
    <row r="837" ht="15.75" customHeight="1">
      <c r="A837" s="318"/>
      <c r="B837" s="312"/>
      <c r="C837" s="312"/>
      <c r="D837" s="312"/>
      <c r="E837" s="312"/>
      <c r="F837" s="312"/>
      <c r="G837" s="312"/>
      <c r="H837" s="312"/>
      <c r="I837" s="312"/>
      <c r="J837" s="312"/>
      <c r="K837" s="312"/>
      <c r="L837" s="312"/>
      <c r="M837" s="312"/>
      <c r="N837" s="312"/>
      <c r="O837" s="312"/>
      <c r="P837" s="312"/>
      <c r="Q837" s="312"/>
      <c r="R837" s="312"/>
      <c r="S837" s="312"/>
      <c r="T837" s="312"/>
      <c r="U837" s="312"/>
      <c r="V837" s="312"/>
      <c r="W837" s="312"/>
      <c r="X837" s="312"/>
      <c r="Y837" s="312"/>
      <c r="Z837" s="312"/>
      <c r="AA837" s="312"/>
      <c r="AB837" s="312"/>
      <c r="AC837" s="312"/>
      <c r="AD837" s="312"/>
      <c r="AE837" s="312"/>
      <c r="AF837" s="312"/>
      <c r="AG837" s="312"/>
      <c r="AH837" s="312"/>
      <c r="AI837" s="312"/>
      <c r="AJ837" s="312"/>
      <c r="AK837" s="312"/>
      <c r="AL837" s="312"/>
      <c r="AM837" s="312"/>
      <c r="AN837" s="312"/>
      <c r="AO837" s="312"/>
      <c r="AP837" s="312"/>
      <c r="AQ837" s="312"/>
    </row>
    <row r="838" ht="15.75" customHeight="1">
      <c r="A838" s="318"/>
      <c r="B838" s="312"/>
      <c r="C838" s="312"/>
      <c r="D838" s="312"/>
      <c r="E838" s="312"/>
      <c r="F838" s="312"/>
      <c r="G838" s="312"/>
      <c r="H838" s="312"/>
      <c r="I838" s="312"/>
      <c r="J838" s="312"/>
      <c r="K838" s="312"/>
      <c r="L838" s="312"/>
      <c r="M838" s="312"/>
      <c r="N838" s="312"/>
      <c r="O838" s="312"/>
      <c r="P838" s="312"/>
      <c r="Q838" s="312"/>
      <c r="R838" s="312"/>
      <c r="S838" s="312"/>
      <c r="T838" s="312"/>
      <c r="U838" s="312"/>
      <c r="V838" s="312"/>
      <c r="W838" s="312"/>
      <c r="X838" s="312"/>
      <c r="Y838" s="312"/>
      <c r="Z838" s="312"/>
      <c r="AA838" s="312"/>
      <c r="AB838" s="312"/>
      <c r="AC838" s="312"/>
      <c r="AD838" s="312"/>
      <c r="AE838" s="312"/>
      <c r="AF838" s="312"/>
      <c r="AG838" s="312"/>
      <c r="AH838" s="312"/>
      <c r="AI838" s="312"/>
      <c r="AJ838" s="312"/>
      <c r="AK838" s="312"/>
      <c r="AL838" s="312"/>
      <c r="AM838" s="312"/>
      <c r="AN838" s="312"/>
      <c r="AO838" s="312"/>
      <c r="AP838" s="312"/>
      <c r="AQ838" s="312"/>
    </row>
    <row r="839" ht="15.75" customHeight="1">
      <c r="A839" s="318"/>
      <c r="B839" s="312"/>
      <c r="C839" s="312"/>
      <c r="D839" s="312"/>
      <c r="E839" s="312"/>
      <c r="F839" s="312"/>
      <c r="G839" s="312"/>
      <c r="H839" s="312"/>
      <c r="I839" s="312"/>
      <c r="J839" s="312"/>
      <c r="K839" s="312"/>
      <c r="L839" s="312"/>
      <c r="M839" s="312"/>
      <c r="N839" s="312"/>
      <c r="O839" s="312"/>
      <c r="P839" s="312"/>
      <c r="Q839" s="312"/>
      <c r="R839" s="312"/>
      <c r="S839" s="312"/>
      <c r="T839" s="312"/>
      <c r="U839" s="312"/>
      <c r="V839" s="312"/>
      <c r="W839" s="312"/>
      <c r="X839" s="312"/>
      <c r="Y839" s="312"/>
      <c r="Z839" s="312"/>
      <c r="AA839" s="312"/>
      <c r="AB839" s="312"/>
      <c r="AC839" s="312"/>
      <c r="AD839" s="312"/>
      <c r="AE839" s="312"/>
      <c r="AF839" s="312"/>
      <c r="AG839" s="312"/>
      <c r="AH839" s="312"/>
      <c r="AI839" s="312"/>
      <c r="AJ839" s="312"/>
      <c r="AK839" s="312"/>
      <c r="AL839" s="312"/>
      <c r="AM839" s="312"/>
      <c r="AN839" s="312"/>
      <c r="AO839" s="312"/>
      <c r="AP839" s="312"/>
      <c r="AQ839" s="312"/>
    </row>
    <row r="840" ht="15.75" customHeight="1">
      <c r="A840" s="318"/>
      <c r="B840" s="312"/>
      <c r="C840" s="312"/>
      <c r="D840" s="312"/>
      <c r="E840" s="312"/>
      <c r="F840" s="312"/>
      <c r="G840" s="312"/>
      <c r="H840" s="312"/>
      <c r="I840" s="312"/>
      <c r="J840" s="312"/>
      <c r="K840" s="312"/>
      <c r="L840" s="312"/>
      <c r="M840" s="312"/>
      <c r="N840" s="312"/>
      <c r="O840" s="312"/>
      <c r="P840" s="312"/>
      <c r="Q840" s="312"/>
      <c r="R840" s="312"/>
      <c r="S840" s="312"/>
      <c r="T840" s="312"/>
      <c r="U840" s="312"/>
      <c r="V840" s="312"/>
      <c r="W840" s="312"/>
      <c r="X840" s="312"/>
      <c r="Y840" s="312"/>
      <c r="Z840" s="312"/>
      <c r="AA840" s="312"/>
      <c r="AB840" s="312"/>
      <c r="AC840" s="312"/>
      <c r="AD840" s="312"/>
      <c r="AE840" s="312"/>
      <c r="AF840" s="312"/>
      <c r="AG840" s="312"/>
      <c r="AH840" s="312"/>
      <c r="AI840" s="312"/>
      <c r="AJ840" s="312"/>
      <c r="AK840" s="312"/>
      <c r="AL840" s="312"/>
      <c r="AM840" s="312"/>
      <c r="AN840" s="312"/>
      <c r="AO840" s="312"/>
      <c r="AP840" s="312"/>
      <c r="AQ840" s="312"/>
    </row>
    <row r="841" ht="15.75" customHeight="1">
      <c r="A841" s="318"/>
      <c r="B841" s="312"/>
      <c r="C841" s="312"/>
      <c r="D841" s="312"/>
      <c r="E841" s="312"/>
      <c r="F841" s="312"/>
      <c r="G841" s="312"/>
      <c r="H841" s="312"/>
      <c r="I841" s="312"/>
      <c r="J841" s="312"/>
      <c r="K841" s="312"/>
      <c r="L841" s="312"/>
      <c r="M841" s="312"/>
      <c r="N841" s="312"/>
      <c r="O841" s="312"/>
      <c r="P841" s="312"/>
      <c r="Q841" s="312"/>
      <c r="R841" s="312"/>
      <c r="S841" s="312"/>
      <c r="T841" s="312"/>
      <c r="U841" s="312"/>
      <c r="V841" s="312"/>
      <c r="W841" s="312"/>
      <c r="X841" s="312"/>
      <c r="Y841" s="312"/>
      <c r="Z841" s="312"/>
      <c r="AA841" s="312"/>
      <c r="AB841" s="312"/>
      <c r="AC841" s="312"/>
      <c r="AD841" s="312"/>
      <c r="AE841" s="312"/>
      <c r="AF841" s="312"/>
      <c r="AG841" s="312"/>
      <c r="AH841" s="312"/>
      <c r="AI841" s="312"/>
      <c r="AJ841" s="312"/>
      <c r="AK841" s="312"/>
      <c r="AL841" s="312"/>
      <c r="AM841" s="312"/>
      <c r="AN841" s="312"/>
      <c r="AO841" s="312"/>
      <c r="AP841" s="312"/>
      <c r="AQ841" s="312"/>
    </row>
    <row r="842" ht="15.75" customHeight="1">
      <c r="A842" s="318"/>
      <c r="B842" s="312"/>
      <c r="C842" s="312"/>
      <c r="D842" s="312"/>
      <c r="E842" s="312"/>
      <c r="F842" s="312"/>
      <c r="G842" s="312"/>
      <c r="H842" s="312"/>
      <c r="I842" s="312"/>
      <c r="J842" s="312"/>
      <c r="K842" s="312"/>
      <c r="L842" s="312"/>
      <c r="M842" s="312"/>
      <c r="N842" s="312"/>
      <c r="O842" s="312"/>
      <c r="P842" s="312"/>
      <c r="Q842" s="312"/>
      <c r="R842" s="312"/>
      <c r="S842" s="312"/>
      <c r="T842" s="312"/>
      <c r="U842" s="312"/>
      <c r="V842" s="312"/>
      <c r="W842" s="312"/>
      <c r="X842" s="312"/>
      <c r="Y842" s="312"/>
      <c r="Z842" s="312"/>
      <c r="AA842" s="312"/>
      <c r="AB842" s="312"/>
      <c r="AC842" s="312"/>
      <c r="AD842" s="312"/>
      <c r="AE842" s="312"/>
      <c r="AF842" s="312"/>
      <c r="AG842" s="312"/>
      <c r="AH842" s="312"/>
      <c r="AI842" s="312"/>
      <c r="AJ842" s="312"/>
      <c r="AK842" s="312"/>
      <c r="AL842" s="312"/>
      <c r="AM842" s="312"/>
      <c r="AN842" s="312"/>
      <c r="AO842" s="312"/>
      <c r="AP842" s="312"/>
      <c r="AQ842" s="312"/>
    </row>
    <row r="843" ht="15.75" customHeight="1">
      <c r="A843" s="318"/>
      <c r="B843" s="312"/>
      <c r="C843" s="312"/>
      <c r="D843" s="312"/>
      <c r="E843" s="312"/>
      <c r="F843" s="312"/>
      <c r="G843" s="312"/>
      <c r="H843" s="312"/>
      <c r="I843" s="312"/>
      <c r="J843" s="312"/>
      <c r="K843" s="312"/>
      <c r="L843" s="312"/>
      <c r="M843" s="312"/>
      <c r="N843" s="312"/>
      <c r="O843" s="312"/>
      <c r="P843" s="312"/>
      <c r="Q843" s="312"/>
      <c r="R843" s="312"/>
      <c r="S843" s="312"/>
      <c r="T843" s="312"/>
      <c r="U843" s="312"/>
      <c r="V843" s="312"/>
      <c r="W843" s="312"/>
      <c r="X843" s="312"/>
      <c r="Y843" s="312"/>
      <c r="Z843" s="312"/>
      <c r="AA843" s="312"/>
      <c r="AB843" s="312"/>
      <c r="AC843" s="312"/>
      <c r="AD843" s="312"/>
      <c r="AE843" s="312"/>
      <c r="AF843" s="312"/>
      <c r="AG843" s="312"/>
      <c r="AH843" s="312"/>
      <c r="AI843" s="312"/>
      <c r="AJ843" s="312"/>
      <c r="AK843" s="312"/>
      <c r="AL843" s="312"/>
      <c r="AM843" s="312"/>
      <c r="AN843" s="312"/>
      <c r="AO843" s="312"/>
      <c r="AP843" s="312"/>
      <c r="AQ843" s="312"/>
    </row>
    <row r="844" ht="15.75" customHeight="1">
      <c r="A844" s="318"/>
      <c r="B844" s="312"/>
      <c r="C844" s="312"/>
      <c r="D844" s="312"/>
      <c r="E844" s="312"/>
      <c r="F844" s="312"/>
      <c r="G844" s="312"/>
      <c r="H844" s="312"/>
      <c r="I844" s="312"/>
      <c r="J844" s="312"/>
      <c r="K844" s="312"/>
      <c r="L844" s="312"/>
      <c r="M844" s="312"/>
      <c r="N844" s="312"/>
      <c r="O844" s="312"/>
      <c r="P844" s="312"/>
      <c r="Q844" s="312"/>
      <c r="R844" s="312"/>
      <c r="S844" s="312"/>
      <c r="T844" s="312"/>
      <c r="U844" s="312"/>
      <c r="V844" s="312"/>
      <c r="W844" s="312"/>
      <c r="X844" s="312"/>
      <c r="Y844" s="312"/>
      <c r="Z844" s="312"/>
      <c r="AA844" s="312"/>
      <c r="AB844" s="312"/>
      <c r="AC844" s="312"/>
      <c r="AD844" s="312"/>
      <c r="AE844" s="312"/>
      <c r="AF844" s="312"/>
      <c r="AG844" s="312"/>
      <c r="AH844" s="312"/>
      <c r="AI844" s="312"/>
      <c r="AJ844" s="312"/>
      <c r="AK844" s="312"/>
      <c r="AL844" s="312"/>
      <c r="AM844" s="312"/>
      <c r="AN844" s="312"/>
      <c r="AO844" s="312"/>
      <c r="AP844" s="312"/>
      <c r="AQ844" s="312"/>
    </row>
    <row r="845" ht="15.75" customHeight="1">
      <c r="A845" s="318"/>
      <c r="B845" s="312"/>
      <c r="C845" s="312"/>
      <c r="D845" s="312"/>
      <c r="E845" s="312"/>
      <c r="F845" s="312"/>
      <c r="G845" s="312"/>
      <c r="H845" s="312"/>
      <c r="I845" s="312"/>
      <c r="J845" s="312"/>
      <c r="K845" s="312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2"/>
      <c r="AE845" s="312"/>
      <c r="AF845" s="312"/>
      <c r="AG845" s="312"/>
      <c r="AH845" s="312"/>
      <c r="AI845" s="312"/>
      <c r="AJ845" s="312"/>
      <c r="AK845" s="312"/>
      <c r="AL845" s="312"/>
      <c r="AM845" s="312"/>
      <c r="AN845" s="312"/>
      <c r="AO845" s="312"/>
      <c r="AP845" s="312"/>
      <c r="AQ845" s="312"/>
    </row>
    <row r="846" ht="15.75" customHeight="1">
      <c r="A846" s="318"/>
      <c r="B846" s="312"/>
      <c r="C846" s="312"/>
      <c r="D846" s="312"/>
      <c r="E846" s="312"/>
      <c r="F846" s="312"/>
      <c r="G846" s="312"/>
      <c r="H846" s="312"/>
      <c r="I846" s="312"/>
      <c r="J846" s="312"/>
      <c r="K846" s="312"/>
      <c r="L846" s="312"/>
      <c r="M846" s="312"/>
      <c r="N846" s="312"/>
      <c r="O846" s="312"/>
      <c r="P846" s="312"/>
      <c r="Q846" s="312"/>
      <c r="R846" s="312"/>
      <c r="S846" s="312"/>
      <c r="T846" s="312"/>
      <c r="U846" s="312"/>
      <c r="V846" s="312"/>
      <c r="W846" s="312"/>
      <c r="X846" s="312"/>
      <c r="Y846" s="312"/>
      <c r="Z846" s="312"/>
      <c r="AA846" s="312"/>
      <c r="AB846" s="312"/>
      <c r="AC846" s="312"/>
      <c r="AD846" s="312"/>
      <c r="AE846" s="312"/>
      <c r="AF846" s="312"/>
      <c r="AG846" s="312"/>
      <c r="AH846" s="312"/>
      <c r="AI846" s="312"/>
      <c r="AJ846" s="312"/>
      <c r="AK846" s="312"/>
      <c r="AL846" s="312"/>
      <c r="AM846" s="312"/>
      <c r="AN846" s="312"/>
      <c r="AO846" s="312"/>
      <c r="AP846" s="312"/>
      <c r="AQ846" s="312"/>
    </row>
    <row r="847" ht="15.75" customHeight="1">
      <c r="A847" s="318"/>
      <c r="B847" s="312"/>
      <c r="C847" s="312"/>
      <c r="D847" s="312"/>
      <c r="E847" s="312"/>
      <c r="F847" s="312"/>
      <c r="G847" s="312"/>
      <c r="H847" s="312"/>
      <c r="I847" s="312"/>
      <c r="J847" s="312"/>
      <c r="K847" s="312"/>
      <c r="L847" s="312"/>
      <c r="M847" s="312"/>
      <c r="N847" s="312"/>
      <c r="O847" s="312"/>
      <c r="P847" s="312"/>
      <c r="Q847" s="312"/>
      <c r="R847" s="312"/>
      <c r="S847" s="312"/>
      <c r="T847" s="312"/>
      <c r="U847" s="312"/>
      <c r="V847" s="312"/>
      <c r="W847" s="312"/>
      <c r="X847" s="312"/>
      <c r="Y847" s="312"/>
      <c r="Z847" s="312"/>
      <c r="AA847" s="312"/>
      <c r="AB847" s="312"/>
      <c r="AC847" s="312"/>
      <c r="AD847" s="312"/>
      <c r="AE847" s="312"/>
      <c r="AF847" s="312"/>
      <c r="AG847" s="312"/>
      <c r="AH847" s="312"/>
      <c r="AI847" s="312"/>
      <c r="AJ847" s="312"/>
      <c r="AK847" s="312"/>
      <c r="AL847" s="312"/>
      <c r="AM847" s="312"/>
      <c r="AN847" s="312"/>
      <c r="AO847" s="312"/>
      <c r="AP847" s="312"/>
      <c r="AQ847" s="312"/>
    </row>
    <row r="848" ht="15.75" customHeight="1">
      <c r="A848" s="318"/>
      <c r="B848" s="312"/>
      <c r="C848" s="312"/>
      <c r="D848" s="312"/>
      <c r="E848" s="312"/>
      <c r="F848" s="312"/>
      <c r="G848" s="312"/>
      <c r="H848" s="312"/>
      <c r="I848" s="312"/>
      <c r="J848" s="312"/>
      <c r="K848" s="312"/>
      <c r="L848" s="312"/>
      <c r="M848" s="312"/>
      <c r="N848" s="312"/>
      <c r="O848" s="312"/>
      <c r="P848" s="312"/>
      <c r="Q848" s="312"/>
      <c r="R848" s="312"/>
      <c r="S848" s="312"/>
      <c r="T848" s="312"/>
      <c r="U848" s="312"/>
      <c r="V848" s="312"/>
      <c r="W848" s="312"/>
      <c r="X848" s="312"/>
      <c r="Y848" s="312"/>
      <c r="Z848" s="312"/>
      <c r="AA848" s="312"/>
      <c r="AB848" s="312"/>
      <c r="AC848" s="312"/>
      <c r="AD848" s="312"/>
      <c r="AE848" s="312"/>
      <c r="AF848" s="312"/>
      <c r="AG848" s="312"/>
      <c r="AH848" s="312"/>
      <c r="AI848" s="312"/>
      <c r="AJ848" s="312"/>
      <c r="AK848" s="312"/>
      <c r="AL848" s="312"/>
      <c r="AM848" s="312"/>
      <c r="AN848" s="312"/>
      <c r="AO848" s="312"/>
      <c r="AP848" s="312"/>
      <c r="AQ848" s="312"/>
    </row>
    <row r="849" ht="15.75" customHeight="1">
      <c r="A849" s="318"/>
      <c r="B849" s="312"/>
      <c r="C849" s="312"/>
      <c r="D849" s="312"/>
      <c r="E849" s="312"/>
      <c r="F849" s="312"/>
      <c r="G849" s="312"/>
      <c r="H849" s="312"/>
      <c r="I849" s="312"/>
      <c r="J849" s="312"/>
      <c r="K849" s="312"/>
      <c r="L849" s="312"/>
      <c r="M849" s="312"/>
      <c r="N849" s="312"/>
      <c r="O849" s="312"/>
      <c r="P849" s="312"/>
      <c r="Q849" s="312"/>
      <c r="R849" s="312"/>
      <c r="S849" s="312"/>
      <c r="T849" s="312"/>
      <c r="U849" s="312"/>
      <c r="V849" s="312"/>
      <c r="W849" s="312"/>
      <c r="X849" s="312"/>
      <c r="Y849" s="312"/>
      <c r="Z849" s="312"/>
      <c r="AA849" s="312"/>
      <c r="AB849" s="312"/>
      <c r="AC849" s="312"/>
      <c r="AD849" s="312"/>
      <c r="AE849" s="312"/>
      <c r="AF849" s="312"/>
      <c r="AG849" s="312"/>
      <c r="AH849" s="312"/>
      <c r="AI849" s="312"/>
      <c r="AJ849" s="312"/>
      <c r="AK849" s="312"/>
      <c r="AL849" s="312"/>
      <c r="AM849" s="312"/>
      <c r="AN849" s="312"/>
      <c r="AO849" s="312"/>
      <c r="AP849" s="312"/>
      <c r="AQ849" s="312"/>
    </row>
    <row r="850" ht="15.75" customHeight="1">
      <c r="A850" s="318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2"/>
      <c r="S850" s="312"/>
      <c r="T850" s="312"/>
      <c r="U850" s="312"/>
      <c r="V850" s="312"/>
      <c r="W850" s="312"/>
      <c r="X850" s="312"/>
      <c r="Y850" s="312"/>
      <c r="Z850" s="312"/>
      <c r="AA850" s="312"/>
      <c r="AB850" s="312"/>
      <c r="AC850" s="312"/>
      <c r="AD850" s="312"/>
      <c r="AE850" s="312"/>
      <c r="AF850" s="312"/>
      <c r="AG850" s="312"/>
      <c r="AH850" s="312"/>
      <c r="AI850" s="312"/>
      <c r="AJ850" s="312"/>
      <c r="AK850" s="312"/>
      <c r="AL850" s="312"/>
      <c r="AM850" s="312"/>
      <c r="AN850" s="312"/>
      <c r="AO850" s="312"/>
      <c r="AP850" s="312"/>
      <c r="AQ850" s="312"/>
    </row>
    <row r="851" ht="15.75" customHeight="1">
      <c r="A851" s="318"/>
      <c r="B851" s="312"/>
      <c r="C851" s="312"/>
      <c r="D851" s="312"/>
      <c r="E851" s="312"/>
      <c r="F851" s="312"/>
      <c r="G851" s="312"/>
      <c r="H851" s="312"/>
      <c r="I851" s="312"/>
      <c r="J851" s="312"/>
      <c r="K851" s="312"/>
      <c r="L851" s="312"/>
      <c r="M851" s="312"/>
      <c r="N851" s="312"/>
      <c r="O851" s="312"/>
      <c r="P851" s="312"/>
      <c r="Q851" s="312"/>
      <c r="R851" s="312"/>
      <c r="S851" s="312"/>
      <c r="T851" s="312"/>
      <c r="U851" s="312"/>
      <c r="V851" s="312"/>
      <c r="W851" s="312"/>
      <c r="X851" s="312"/>
      <c r="Y851" s="312"/>
      <c r="Z851" s="312"/>
      <c r="AA851" s="312"/>
      <c r="AB851" s="312"/>
      <c r="AC851" s="312"/>
      <c r="AD851" s="312"/>
      <c r="AE851" s="312"/>
      <c r="AF851" s="312"/>
      <c r="AG851" s="312"/>
      <c r="AH851" s="312"/>
      <c r="AI851" s="312"/>
      <c r="AJ851" s="312"/>
      <c r="AK851" s="312"/>
      <c r="AL851" s="312"/>
      <c r="AM851" s="312"/>
      <c r="AN851" s="312"/>
      <c r="AO851" s="312"/>
      <c r="AP851" s="312"/>
      <c r="AQ851" s="312"/>
    </row>
    <row r="852" ht="15.75" customHeight="1">
      <c r="A852" s="318"/>
      <c r="B852" s="312"/>
      <c r="C852" s="312"/>
      <c r="D852" s="312"/>
      <c r="E852" s="312"/>
      <c r="F852" s="312"/>
      <c r="G852" s="312"/>
      <c r="H852" s="312"/>
      <c r="I852" s="312"/>
      <c r="J852" s="312"/>
      <c r="K852" s="312"/>
      <c r="L852" s="312"/>
      <c r="M852" s="312"/>
      <c r="N852" s="312"/>
      <c r="O852" s="312"/>
      <c r="P852" s="312"/>
      <c r="Q852" s="312"/>
      <c r="R852" s="312"/>
      <c r="S852" s="312"/>
      <c r="T852" s="312"/>
      <c r="U852" s="312"/>
      <c r="V852" s="312"/>
      <c r="W852" s="312"/>
      <c r="X852" s="312"/>
      <c r="Y852" s="312"/>
      <c r="Z852" s="312"/>
      <c r="AA852" s="312"/>
      <c r="AB852" s="312"/>
      <c r="AC852" s="312"/>
      <c r="AD852" s="312"/>
      <c r="AE852" s="312"/>
      <c r="AF852" s="312"/>
      <c r="AG852" s="312"/>
      <c r="AH852" s="312"/>
      <c r="AI852" s="312"/>
      <c r="AJ852" s="312"/>
      <c r="AK852" s="312"/>
      <c r="AL852" s="312"/>
      <c r="AM852" s="312"/>
      <c r="AN852" s="312"/>
      <c r="AO852" s="312"/>
      <c r="AP852" s="312"/>
      <c r="AQ852" s="312"/>
    </row>
    <row r="853" ht="15.75" customHeight="1">
      <c r="A853" s="318"/>
      <c r="B853" s="312"/>
      <c r="C853" s="312"/>
      <c r="D853" s="312"/>
      <c r="E853" s="312"/>
      <c r="F853" s="312"/>
      <c r="G853" s="312"/>
      <c r="H853" s="312"/>
      <c r="I853" s="312"/>
      <c r="J853" s="312"/>
      <c r="K853" s="312"/>
      <c r="L853" s="312"/>
      <c r="M853" s="312"/>
      <c r="N853" s="312"/>
      <c r="O853" s="312"/>
      <c r="P853" s="312"/>
      <c r="Q853" s="312"/>
      <c r="R853" s="312"/>
      <c r="S853" s="312"/>
      <c r="T853" s="312"/>
      <c r="U853" s="312"/>
      <c r="V853" s="312"/>
      <c r="W853" s="312"/>
      <c r="X853" s="312"/>
      <c r="Y853" s="312"/>
      <c r="Z853" s="312"/>
      <c r="AA853" s="312"/>
      <c r="AB853" s="312"/>
      <c r="AC853" s="312"/>
      <c r="AD853" s="312"/>
      <c r="AE853" s="312"/>
      <c r="AF853" s="312"/>
      <c r="AG853" s="312"/>
      <c r="AH853" s="312"/>
      <c r="AI853" s="312"/>
      <c r="AJ853" s="312"/>
      <c r="AK853" s="312"/>
      <c r="AL853" s="312"/>
      <c r="AM853" s="312"/>
      <c r="AN853" s="312"/>
      <c r="AO853" s="312"/>
      <c r="AP853" s="312"/>
      <c r="AQ853" s="312"/>
    </row>
    <row r="854" ht="15.75" customHeight="1">
      <c r="A854" s="318"/>
      <c r="B854" s="312"/>
      <c r="C854" s="312"/>
      <c r="D854" s="312"/>
      <c r="E854" s="312"/>
      <c r="F854" s="312"/>
      <c r="G854" s="312"/>
      <c r="H854" s="312"/>
      <c r="I854" s="312"/>
      <c r="J854" s="312"/>
      <c r="K854" s="312"/>
      <c r="L854" s="312"/>
      <c r="M854" s="312"/>
      <c r="N854" s="312"/>
      <c r="O854" s="312"/>
      <c r="P854" s="312"/>
      <c r="Q854" s="312"/>
      <c r="R854" s="312"/>
      <c r="S854" s="312"/>
      <c r="T854" s="312"/>
      <c r="U854" s="312"/>
      <c r="V854" s="312"/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312"/>
      <c r="AJ854" s="312"/>
      <c r="AK854" s="312"/>
      <c r="AL854" s="312"/>
      <c r="AM854" s="312"/>
      <c r="AN854" s="312"/>
      <c r="AO854" s="312"/>
      <c r="AP854" s="312"/>
      <c r="AQ854" s="312"/>
    </row>
    <row r="855" ht="15.75" customHeight="1">
      <c r="A855" s="318"/>
      <c r="B855" s="312"/>
      <c r="C855" s="312"/>
      <c r="D855" s="312"/>
      <c r="E855" s="312"/>
      <c r="F855" s="312"/>
      <c r="G855" s="312"/>
      <c r="H855" s="312"/>
      <c r="I855" s="312"/>
      <c r="J855" s="312"/>
      <c r="K855" s="312"/>
      <c r="L855" s="312"/>
      <c r="M855" s="312"/>
      <c r="N855" s="312"/>
      <c r="O855" s="312"/>
      <c r="P855" s="312"/>
      <c r="Q855" s="312"/>
      <c r="R855" s="312"/>
      <c r="S855" s="312"/>
      <c r="T855" s="312"/>
      <c r="U855" s="312"/>
      <c r="V855" s="312"/>
      <c r="W855" s="312"/>
      <c r="X855" s="312"/>
      <c r="Y855" s="312"/>
      <c r="Z855" s="312"/>
      <c r="AA855" s="312"/>
      <c r="AB855" s="312"/>
      <c r="AC855" s="312"/>
      <c r="AD855" s="312"/>
      <c r="AE855" s="312"/>
      <c r="AF855" s="312"/>
      <c r="AG855" s="312"/>
      <c r="AH855" s="312"/>
      <c r="AI855" s="312"/>
      <c r="AJ855" s="312"/>
      <c r="AK855" s="312"/>
      <c r="AL855" s="312"/>
      <c r="AM855" s="312"/>
      <c r="AN855" s="312"/>
      <c r="AO855" s="312"/>
      <c r="AP855" s="312"/>
      <c r="AQ855" s="312"/>
    </row>
    <row r="856" ht="15.75" customHeight="1">
      <c r="A856" s="318"/>
      <c r="B856" s="312"/>
      <c r="C856" s="312"/>
      <c r="D856" s="312"/>
      <c r="E856" s="312"/>
      <c r="F856" s="312"/>
      <c r="G856" s="312"/>
      <c r="H856" s="312"/>
      <c r="I856" s="312"/>
      <c r="J856" s="312"/>
      <c r="K856" s="312"/>
      <c r="L856" s="312"/>
      <c r="M856" s="312"/>
      <c r="N856" s="312"/>
      <c r="O856" s="312"/>
      <c r="P856" s="312"/>
      <c r="Q856" s="312"/>
      <c r="R856" s="312"/>
      <c r="S856" s="312"/>
      <c r="T856" s="312"/>
      <c r="U856" s="312"/>
      <c r="V856" s="312"/>
      <c r="W856" s="312"/>
      <c r="X856" s="312"/>
      <c r="Y856" s="312"/>
      <c r="Z856" s="312"/>
      <c r="AA856" s="312"/>
      <c r="AB856" s="312"/>
      <c r="AC856" s="312"/>
      <c r="AD856" s="312"/>
      <c r="AE856" s="312"/>
      <c r="AF856" s="312"/>
      <c r="AG856" s="312"/>
      <c r="AH856" s="312"/>
      <c r="AI856" s="312"/>
      <c r="AJ856" s="312"/>
      <c r="AK856" s="312"/>
      <c r="AL856" s="312"/>
      <c r="AM856" s="312"/>
      <c r="AN856" s="312"/>
      <c r="AO856" s="312"/>
      <c r="AP856" s="312"/>
      <c r="AQ856" s="312"/>
    </row>
    <row r="857" ht="15.75" customHeight="1">
      <c r="A857" s="318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2"/>
      <c r="S857" s="312"/>
      <c r="T857" s="312"/>
      <c r="U857" s="312"/>
      <c r="V857" s="312"/>
      <c r="W857" s="312"/>
      <c r="X857" s="312"/>
      <c r="Y857" s="312"/>
      <c r="Z857" s="312"/>
      <c r="AA857" s="312"/>
      <c r="AB857" s="312"/>
      <c r="AC857" s="312"/>
      <c r="AD857" s="312"/>
      <c r="AE857" s="312"/>
      <c r="AF857" s="312"/>
      <c r="AG857" s="312"/>
      <c r="AH857" s="312"/>
      <c r="AI857" s="312"/>
      <c r="AJ857" s="312"/>
      <c r="AK857" s="312"/>
      <c r="AL857" s="312"/>
      <c r="AM857" s="312"/>
      <c r="AN857" s="312"/>
      <c r="AO857" s="312"/>
      <c r="AP857" s="312"/>
      <c r="AQ857" s="312"/>
    </row>
    <row r="858" ht="15.75" customHeight="1">
      <c r="A858" s="318"/>
      <c r="B858" s="312"/>
      <c r="C858" s="312"/>
      <c r="D858" s="312"/>
      <c r="E858" s="312"/>
      <c r="F858" s="312"/>
      <c r="G858" s="312"/>
      <c r="H858" s="312"/>
      <c r="I858" s="312"/>
      <c r="J858" s="312"/>
      <c r="K858" s="312"/>
      <c r="L858" s="312"/>
      <c r="M858" s="312"/>
      <c r="N858" s="312"/>
      <c r="O858" s="312"/>
      <c r="P858" s="312"/>
      <c r="Q858" s="312"/>
      <c r="R858" s="312"/>
      <c r="S858" s="312"/>
      <c r="T858" s="312"/>
      <c r="U858" s="312"/>
      <c r="V858" s="312"/>
      <c r="W858" s="312"/>
      <c r="X858" s="312"/>
      <c r="Y858" s="312"/>
      <c r="Z858" s="312"/>
      <c r="AA858" s="312"/>
      <c r="AB858" s="312"/>
      <c r="AC858" s="312"/>
      <c r="AD858" s="312"/>
      <c r="AE858" s="312"/>
      <c r="AF858" s="312"/>
      <c r="AG858" s="312"/>
      <c r="AH858" s="312"/>
      <c r="AI858" s="312"/>
      <c r="AJ858" s="312"/>
      <c r="AK858" s="312"/>
      <c r="AL858" s="312"/>
      <c r="AM858" s="312"/>
      <c r="AN858" s="312"/>
      <c r="AO858" s="312"/>
      <c r="AP858" s="312"/>
      <c r="AQ858" s="312"/>
    </row>
    <row r="859" ht="15.75" customHeight="1">
      <c r="A859" s="318"/>
      <c r="B859" s="312"/>
      <c r="C859" s="312"/>
      <c r="D859" s="312"/>
      <c r="E859" s="312"/>
      <c r="F859" s="312"/>
      <c r="G859" s="312"/>
      <c r="H859" s="312"/>
      <c r="I859" s="312"/>
      <c r="J859" s="312"/>
      <c r="K859" s="312"/>
      <c r="L859" s="312"/>
      <c r="M859" s="312"/>
      <c r="N859" s="312"/>
      <c r="O859" s="312"/>
      <c r="P859" s="312"/>
      <c r="Q859" s="312"/>
      <c r="R859" s="312"/>
      <c r="S859" s="312"/>
      <c r="T859" s="312"/>
      <c r="U859" s="312"/>
      <c r="V859" s="312"/>
      <c r="W859" s="312"/>
      <c r="X859" s="312"/>
      <c r="Y859" s="312"/>
      <c r="Z859" s="312"/>
      <c r="AA859" s="312"/>
      <c r="AB859" s="312"/>
      <c r="AC859" s="312"/>
      <c r="AD859" s="312"/>
      <c r="AE859" s="312"/>
      <c r="AF859" s="312"/>
      <c r="AG859" s="312"/>
      <c r="AH859" s="312"/>
      <c r="AI859" s="312"/>
      <c r="AJ859" s="312"/>
      <c r="AK859" s="312"/>
      <c r="AL859" s="312"/>
      <c r="AM859" s="312"/>
      <c r="AN859" s="312"/>
      <c r="AO859" s="312"/>
      <c r="AP859" s="312"/>
      <c r="AQ859" s="312"/>
    </row>
    <row r="860" ht="15.75" customHeight="1">
      <c r="A860" s="318"/>
      <c r="B860" s="312"/>
      <c r="C860" s="312"/>
      <c r="D860" s="312"/>
      <c r="E860" s="312"/>
      <c r="F860" s="312"/>
      <c r="G860" s="312"/>
      <c r="H860" s="312"/>
      <c r="I860" s="312"/>
      <c r="J860" s="312"/>
      <c r="K860" s="312"/>
      <c r="L860" s="312"/>
      <c r="M860" s="312"/>
      <c r="N860" s="312"/>
      <c r="O860" s="312"/>
      <c r="P860" s="312"/>
      <c r="Q860" s="312"/>
      <c r="R860" s="312"/>
      <c r="S860" s="312"/>
      <c r="T860" s="312"/>
      <c r="U860" s="312"/>
      <c r="V860" s="312"/>
      <c r="W860" s="312"/>
      <c r="X860" s="312"/>
      <c r="Y860" s="312"/>
      <c r="Z860" s="312"/>
      <c r="AA860" s="312"/>
      <c r="AB860" s="312"/>
      <c r="AC860" s="312"/>
      <c r="AD860" s="312"/>
      <c r="AE860" s="312"/>
      <c r="AF860" s="312"/>
      <c r="AG860" s="312"/>
      <c r="AH860" s="312"/>
      <c r="AI860" s="312"/>
      <c r="AJ860" s="312"/>
      <c r="AK860" s="312"/>
      <c r="AL860" s="312"/>
      <c r="AM860" s="312"/>
      <c r="AN860" s="312"/>
      <c r="AO860" s="312"/>
      <c r="AP860" s="312"/>
      <c r="AQ860" s="312"/>
    </row>
    <row r="861" ht="15.75" customHeight="1">
      <c r="A861" s="318"/>
      <c r="B861" s="312"/>
      <c r="C861" s="312"/>
      <c r="D861" s="312"/>
      <c r="E861" s="312"/>
      <c r="F861" s="312"/>
      <c r="G861" s="312"/>
      <c r="H861" s="312"/>
      <c r="I861" s="312"/>
      <c r="J861" s="312"/>
      <c r="K861" s="312"/>
      <c r="L861" s="312"/>
      <c r="M861" s="312"/>
      <c r="N861" s="312"/>
      <c r="O861" s="312"/>
      <c r="P861" s="312"/>
      <c r="Q861" s="312"/>
      <c r="R861" s="312"/>
      <c r="S861" s="312"/>
      <c r="T861" s="312"/>
      <c r="U861" s="312"/>
      <c r="V861" s="312"/>
      <c r="W861" s="312"/>
      <c r="X861" s="312"/>
      <c r="Y861" s="312"/>
      <c r="Z861" s="312"/>
      <c r="AA861" s="312"/>
      <c r="AB861" s="312"/>
      <c r="AC861" s="312"/>
      <c r="AD861" s="312"/>
      <c r="AE861" s="312"/>
      <c r="AF861" s="312"/>
      <c r="AG861" s="312"/>
      <c r="AH861" s="312"/>
      <c r="AI861" s="312"/>
      <c r="AJ861" s="312"/>
      <c r="AK861" s="312"/>
      <c r="AL861" s="312"/>
      <c r="AM861" s="312"/>
      <c r="AN861" s="312"/>
      <c r="AO861" s="312"/>
      <c r="AP861" s="312"/>
      <c r="AQ861" s="312"/>
    </row>
    <row r="862" ht="15.75" customHeight="1">
      <c r="A862" s="318"/>
      <c r="B862" s="312"/>
      <c r="C862" s="312"/>
      <c r="D862" s="312"/>
      <c r="E862" s="312"/>
      <c r="F862" s="312"/>
      <c r="G862" s="312"/>
      <c r="H862" s="312"/>
      <c r="I862" s="312"/>
      <c r="J862" s="312"/>
      <c r="K862" s="312"/>
      <c r="L862" s="312"/>
      <c r="M862" s="312"/>
      <c r="N862" s="312"/>
      <c r="O862" s="312"/>
      <c r="P862" s="312"/>
      <c r="Q862" s="312"/>
      <c r="R862" s="312"/>
      <c r="S862" s="312"/>
      <c r="T862" s="312"/>
      <c r="U862" s="312"/>
      <c r="V862" s="312"/>
      <c r="W862" s="312"/>
      <c r="X862" s="312"/>
      <c r="Y862" s="312"/>
      <c r="Z862" s="312"/>
      <c r="AA862" s="312"/>
      <c r="AB862" s="312"/>
      <c r="AC862" s="312"/>
      <c r="AD862" s="312"/>
      <c r="AE862" s="312"/>
      <c r="AF862" s="312"/>
      <c r="AG862" s="312"/>
      <c r="AH862" s="312"/>
      <c r="AI862" s="312"/>
      <c r="AJ862" s="312"/>
      <c r="AK862" s="312"/>
      <c r="AL862" s="312"/>
      <c r="AM862" s="312"/>
      <c r="AN862" s="312"/>
      <c r="AO862" s="312"/>
      <c r="AP862" s="312"/>
      <c r="AQ862" s="312"/>
    </row>
    <row r="863" ht="15.75" customHeight="1">
      <c r="A863" s="318"/>
      <c r="B863" s="312"/>
      <c r="C863" s="312"/>
      <c r="D863" s="312"/>
      <c r="E863" s="312"/>
      <c r="F863" s="312"/>
      <c r="G863" s="312"/>
      <c r="H863" s="312"/>
      <c r="I863" s="312"/>
      <c r="J863" s="312"/>
      <c r="K863" s="312"/>
      <c r="L863" s="312"/>
      <c r="M863" s="312"/>
      <c r="N863" s="312"/>
      <c r="O863" s="312"/>
      <c r="P863" s="312"/>
      <c r="Q863" s="312"/>
      <c r="R863" s="312"/>
      <c r="S863" s="312"/>
      <c r="T863" s="312"/>
      <c r="U863" s="312"/>
      <c r="V863" s="312"/>
      <c r="W863" s="312"/>
      <c r="X863" s="312"/>
      <c r="Y863" s="312"/>
      <c r="Z863" s="312"/>
      <c r="AA863" s="312"/>
      <c r="AB863" s="312"/>
      <c r="AC863" s="312"/>
      <c r="AD863" s="312"/>
      <c r="AE863" s="312"/>
      <c r="AF863" s="312"/>
      <c r="AG863" s="312"/>
      <c r="AH863" s="312"/>
      <c r="AI863" s="312"/>
      <c r="AJ863" s="312"/>
      <c r="AK863" s="312"/>
      <c r="AL863" s="312"/>
      <c r="AM863" s="312"/>
      <c r="AN863" s="312"/>
      <c r="AO863" s="312"/>
      <c r="AP863" s="312"/>
      <c r="AQ863" s="312"/>
    </row>
    <row r="864" ht="15.75" customHeight="1">
      <c r="A864" s="318"/>
      <c r="B864" s="312"/>
      <c r="C864" s="312"/>
      <c r="D864" s="312"/>
      <c r="E864" s="312"/>
      <c r="F864" s="312"/>
      <c r="G864" s="312"/>
      <c r="H864" s="312"/>
      <c r="I864" s="312"/>
      <c r="J864" s="312"/>
      <c r="K864" s="312"/>
      <c r="L864" s="312"/>
      <c r="M864" s="312"/>
      <c r="N864" s="312"/>
      <c r="O864" s="312"/>
      <c r="P864" s="312"/>
      <c r="Q864" s="312"/>
      <c r="R864" s="312"/>
      <c r="S864" s="312"/>
      <c r="T864" s="312"/>
      <c r="U864" s="312"/>
      <c r="V864" s="312"/>
      <c r="W864" s="312"/>
      <c r="X864" s="312"/>
      <c r="Y864" s="312"/>
      <c r="Z864" s="312"/>
      <c r="AA864" s="312"/>
      <c r="AB864" s="312"/>
      <c r="AC864" s="312"/>
      <c r="AD864" s="312"/>
      <c r="AE864" s="312"/>
      <c r="AF864" s="312"/>
      <c r="AG864" s="312"/>
      <c r="AH864" s="312"/>
      <c r="AI864" s="312"/>
      <c r="AJ864" s="312"/>
      <c r="AK864" s="312"/>
      <c r="AL864" s="312"/>
      <c r="AM864" s="312"/>
      <c r="AN864" s="312"/>
      <c r="AO864" s="312"/>
      <c r="AP864" s="312"/>
      <c r="AQ864" s="312"/>
    </row>
    <row r="865" ht="15.75" customHeight="1">
      <c r="A865" s="318"/>
      <c r="B865" s="312"/>
      <c r="C865" s="312"/>
      <c r="D865" s="312"/>
      <c r="E865" s="312"/>
      <c r="F865" s="312"/>
      <c r="G865" s="312"/>
      <c r="H865" s="312"/>
      <c r="I865" s="312"/>
      <c r="J865" s="312"/>
      <c r="K865" s="312"/>
      <c r="L865" s="312"/>
      <c r="M865" s="312"/>
      <c r="N865" s="312"/>
      <c r="O865" s="312"/>
      <c r="P865" s="312"/>
      <c r="Q865" s="312"/>
      <c r="R865" s="312"/>
      <c r="S865" s="312"/>
      <c r="T865" s="312"/>
      <c r="U865" s="312"/>
      <c r="V865" s="312"/>
      <c r="W865" s="312"/>
      <c r="X865" s="312"/>
      <c r="Y865" s="312"/>
      <c r="Z865" s="312"/>
      <c r="AA865" s="312"/>
      <c r="AB865" s="312"/>
      <c r="AC865" s="312"/>
      <c r="AD865" s="312"/>
      <c r="AE865" s="312"/>
      <c r="AF865" s="312"/>
      <c r="AG865" s="312"/>
      <c r="AH865" s="312"/>
      <c r="AI865" s="312"/>
      <c r="AJ865" s="312"/>
      <c r="AK865" s="312"/>
      <c r="AL865" s="312"/>
      <c r="AM865" s="312"/>
      <c r="AN865" s="312"/>
      <c r="AO865" s="312"/>
      <c r="AP865" s="312"/>
      <c r="AQ865" s="312"/>
    </row>
    <row r="866" ht="15.75" customHeight="1">
      <c r="A866" s="318"/>
      <c r="B866" s="312"/>
      <c r="C866" s="312"/>
      <c r="D866" s="312"/>
      <c r="E866" s="312"/>
      <c r="F866" s="312"/>
      <c r="G866" s="312"/>
      <c r="H866" s="312"/>
      <c r="I866" s="312"/>
      <c r="J866" s="312"/>
      <c r="K866" s="312"/>
      <c r="L866" s="312"/>
      <c r="M866" s="312"/>
      <c r="N866" s="312"/>
      <c r="O866" s="312"/>
      <c r="P866" s="312"/>
      <c r="Q866" s="312"/>
      <c r="R866" s="312"/>
      <c r="S866" s="312"/>
      <c r="T866" s="312"/>
      <c r="U866" s="312"/>
      <c r="V866" s="312"/>
      <c r="W866" s="312"/>
      <c r="X866" s="312"/>
      <c r="Y866" s="312"/>
      <c r="Z866" s="312"/>
      <c r="AA866" s="312"/>
      <c r="AB866" s="312"/>
      <c r="AC866" s="312"/>
      <c r="AD866" s="312"/>
      <c r="AE866" s="312"/>
      <c r="AF866" s="312"/>
      <c r="AG866" s="312"/>
      <c r="AH866" s="312"/>
      <c r="AI866" s="312"/>
      <c r="AJ866" s="312"/>
      <c r="AK866" s="312"/>
      <c r="AL866" s="312"/>
      <c r="AM866" s="312"/>
      <c r="AN866" s="312"/>
      <c r="AO866" s="312"/>
      <c r="AP866" s="312"/>
      <c r="AQ866" s="312"/>
    </row>
    <row r="867" ht="15.75" customHeight="1">
      <c r="A867" s="318"/>
      <c r="B867" s="312"/>
      <c r="C867" s="312"/>
      <c r="D867" s="312"/>
      <c r="E867" s="312"/>
      <c r="F867" s="312"/>
      <c r="G867" s="312"/>
      <c r="H867" s="312"/>
      <c r="I867" s="312"/>
      <c r="J867" s="312"/>
      <c r="K867" s="312"/>
      <c r="L867" s="312"/>
      <c r="M867" s="312"/>
      <c r="N867" s="312"/>
      <c r="O867" s="312"/>
      <c r="P867" s="312"/>
      <c r="Q867" s="312"/>
      <c r="R867" s="312"/>
      <c r="S867" s="312"/>
      <c r="T867" s="312"/>
      <c r="U867" s="312"/>
      <c r="V867" s="312"/>
      <c r="W867" s="312"/>
      <c r="X867" s="312"/>
      <c r="Y867" s="312"/>
      <c r="Z867" s="312"/>
      <c r="AA867" s="312"/>
      <c r="AB867" s="312"/>
      <c r="AC867" s="312"/>
      <c r="AD867" s="312"/>
      <c r="AE867" s="312"/>
      <c r="AF867" s="312"/>
      <c r="AG867" s="312"/>
      <c r="AH867" s="312"/>
      <c r="AI867" s="312"/>
      <c r="AJ867" s="312"/>
      <c r="AK867" s="312"/>
      <c r="AL867" s="312"/>
      <c r="AM867" s="312"/>
      <c r="AN867" s="312"/>
      <c r="AO867" s="312"/>
      <c r="AP867" s="312"/>
      <c r="AQ867" s="312"/>
    </row>
    <row r="868" ht="15.75" customHeight="1">
      <c r="A868" s="318"/>
      <c r="B868" s="312"/>
      <c r="C868" s="312"/>
      <c r="D868" s="312"/>
      <c r="E868" s="312"/>
      <c r="F868" s="312"/>
      <c r="G868" s="312"/>
      <c r="H868" s="312"/>
      <c r="I868" s="312"/>
      <c r="J868" s="312"/>
      <c r="K868" s="312"/>
      <c r="L868" s="312"/>
      <c r="M868" s="312"/>
      <c r="N868" s="312"/>
      <c r="O868" s="312"/>
      <c r="P868" s="312"/>
      <c r="Q868" s="312"/>
      <c r="R868" s="312"/>
      <c r="S868" s="312"/>
      <c r="T868" s="312"/>
      <c r="U868" s="312"/>
      <c r="V868" s="312"/>
      <c r="W868" s="312"/>
      <c r="X868" s="312"/>
      <c r="Y868" s="312"/>
      <c r="Z868" s="312"/>
      <c r="AA868" s="312"/>
      <c r="AB868" s="312"/>
      <c r="AC868" s="312"/>
      <c r="AD868" s="312"/>
      <c r="AE868" s="312"/>
      <c r="AF868" s="312"/>
      <c r="AG868" s="312"/>
      <c r="AH868" s="312"/>
      <c r="AI868" s="312"/>
      <c r="AJ868" s="312"/>
      <c r="AK868" s="312"/>
      <c r="AL868" s="312"/>
      <c r="AM868" s="312"/>
      <c r="AN868" s="312"/>
      <c r="AO868" s="312"/>
      <c r="AP868" s="312"/>
      <c r="AQ868" s="312"/>
    </row>
    <row r="869" ht="15.75" customHeight="1">
      <c r="A869" s="318"/>
      <c r="B869" s="312"/>
      <c r="C869" s="312"/>
      <c r="D869" s="312"/>
      <c r="E869" s="312"/>
      <c r="F869" s="312"/>
      <c r="G869" s="312"/>
      <c r="H869" s="312"/>
      <c r="I869" s="312"/>
      <c r="J869" s="312"/>
      <c r="K869" s="312"/>
      <c r="L869" s="312"/>
      <c r="M869" s="312"/>
      <c r="N869" s="312"/>
      <c r="O869" s="312"/>
      <c r="P869" s="312"/>
      <c r="Q869" s="312"/>
      <c r="R869" s="312"/>
      <c r="S869" s="312"/>
      <c r="T869" s="312"/>
      <c r="U869" s="312"/>
      <c r="V869" s="312"/>
      <c r="W869" s="312"/>
      <c r="X869" s="312"/>
      <c r="Y869" s="312"/>
      <c r="Z869" s="312"/>
      <c r="AA869" s="312"/>
      <c r="AB869" s="312"/>
      <c r="AC869" s="312"/>
      <c r="AD869" s="312"/>
      <c r="AE869" s="312"/>
      <c r="AF869" s="312"/>
      <c r="AG869" s="312"/>
      <c r="AH869" s="312"/>
      <c r="AI869" s="312"/>
      <c r="AJ869" s="312"/>
      <c r="AK869" s="312"/>
      <c r="AL869" s="312"/>
      <c r="AM869" s="312"/>
      <c r="AN869" s="312"/>
      <c r="AO869" s="312"/>
      <c r="AP869" s="312"/>
      <c r="AQ869" s="312"/>
    </row>
    <row r="870" ht="15.75" customHeight="1">
      <c r="A870" s="318"/>
      <c r="B870" s="312"/>
      <c r="C870" s="312"/>
      <c r="D870" s="312"/>
      <c r="E870" s="312"/>
      <c r="F870" s="312"/>
      <c r="G870" s="312"/>
      <c r="H870" s="312"/>
      <c r="I870" s="312"/>
      <c r="J870" s="312"/>
      <c r="K870" s="312"/>
      <c r="L870" s="312"/>
      <c r="M870" s="312"/>
      <c r="N870" s="312"/>
      <c r="O870" s="312"/>
      <c r="P870" s="312"/>
      <c r="Q870" s="312"/>
      <c r="R870" s="312"/>
      <c r="S870" s="312"/>
      <c r="T870" s="312"/>
      <c r="U870" s="312"/>
      <c r="V870" s="312"/>
      <c r="W870" s="312"/>
      <c r="X870" s="312"/>
      <c r="Y870" s="312"/>
      <c r="Z870" s="312"/>
      <c r="AA870" s="312"/>
      <c r="AB870" s="312"/>
      <c r="AC870" s="312"/>
      <c r="AD870" s="312"/>
      <c r="AE870" s="312"/>
      <c r="AF870" s="312"/>
      <c r="AG870" s="312"/>
      <c r="AH870" s="312"/>
      <c r="AI870" s="312"/>
      <c r="AJ870" s="312"/>
      <c r="AK870" s="312"/>
      <c r="AL870" s="312"/>
      <c r="AM870" s="312"/>
      <c r="AN870" s="312"/>
      <c r="AO870" s="312"/>
      <c r="AP870" s="312"/>
      <c r="AQ870" s="312"/>
    </row>
    <row r="871" ht="15.75" customHeight="1">
      <c r="A871" s="318"/>
      <c r="B871" s="312"/>
      <c r="C871" s="312"/>
      <c r="D871" s="312"/>
      <c r="E871" s="312"/>
      <c r="F871" s="312"/>
      <c r="G871" s="312"/>
      <c r="H871" s="312"/>
      <c r="I871" s="312"/>
      <c r="J871" s="312"/>
      <c r="K871" s="312"/>
      <c r="L871" s="312"/>
      <c r="M871" s="312"/>
      <c r="N871" s="312"/>
      <c r="O871" s="312"/>
      <c r="P871" s="312"/>
      <c r="Q871" s="312"/>
      <c r="R871" s="312"/>
      <c r="S871" s="312"/>
      <c r="T871" s="312"/>
      <c r="U871" s="312"/>
      <c r="V871" s="312"/>
      <c r="W871" s="312"/>
      <c r="X871" s="312"/>
      <c r="Y871" s="312"/>
      <c r="Z871" s="312"/>
      <c r="AA871" s="312"/>
      <c r="AB871" s="312"/>
      <c r="AC871" s="312"/>
      <c r="AD871" s="312"/>
      <c r="AE871" s="312"/>
      <c r="AF871" s="312"/>
      <c r="AG871" s="312"/>
      <c r="AH871" s="312"/>
      <c r="AI871" s="312"/>
      <c r="AJ871" s="312"/>
      <c r="AK871" s="312"/>
      <c r="AL871" s="312"/>
      <c r="AM871" s="312"/>
      <c r="AN871" s="312"/>
      <c r="AO871" s="312"/>
      <c r="AP871" s="312"/>
      <c r="AQ871" s="312"/>
    </row>
    <row r="872" ht="15.75" customHeight="1">
      <c r="A872" s="318"/>
      <c r="B872" s="312"/>
      <c r="C872" s="312"/>
      <c r="D872" s="312"/>
      <c r="E872" s="312"/>
      <c r="F872" s="312"/>
      <c r="G872" s="312"/>
      <c r="H872" s="312"/>
      <c r="I872" s="312"/>
      <c r="J872" s="312"/>
      <c r="K872" s="312"/>
      <c r="L872" s="312"/>
      <c r="M872" s="312"/>
      <c r="N872" s="312"/>
      <c r="O872" s="312"/>
      <c r="P872" s="312"/>
      <c r="Q872" s="312"/>
      <c r="R872" s="312"/>
      <c r="S872" s="312"/>
      <c r="T872" s="312"/>
      <c r="U872" s="312"/>
      <c r="V872" s="312"/>
      <c r="W872" s="312"/>
      <c r="X872" s="312"/>
      <c r="Y872" s="312"/>
      <c r="Z872" s="312"/>
      <c r="AA872" s="312"/>
      <c r="AB872" s="312"/>
      <c r="AC872" s="312"/>
      <c r="AD872" s="312"/>
      <c r="AE872" s="312"/>
      <c r="AF872" s="312"/>
      <c r="AG872" s="312"/>
      <c r="AH872" s="312"/>
      <c r="AI872" s="312"/>
      <c r="AJ872" s="312"/>
      <c r="AK872" s="312"/>
      <c r="AL872" s="312"/>
      <c r="AM872" s="312"/>
      <c r="AN872" s="312"/>
      <c r="AO872" s="312"/>
      <c r="AP872" s="312"/>
      <c r="AQ872" s="312"/>
    </row>
    <row r="873" ht="15.75" customHeight="1">
      <c r="A873" s="318"/>
      <c r="B873" s="312"/>
      <c r="C873" s="312"/>
      <c r="D873" s="312"/>
      <c r="E873" s="312"/>
      <c r="F873" s="312"/>
      <c r="G873" s="312"/>
      <c r="H873" s="312"/>
      <c r="I873" s="312"/>
      <c r="J873" s="312"/>
      <c r="K873" s="312"/>
      <c r="L873" s="312"/>
      <c r="M873" s="312"/>
      <c r="N873" s="312"/>
      <c r="O873" s="312"/>
      <c r="P873" s="312"/>
      <c r="Q873" s="312"/>
      <c r="R873" s="312"/>
      <c r="S873" s="312"/>
      <c r="T873" s="312"/>
      <c r="U873" s="312"/>
      <c r="V873" s="312"/>
      <c r="W873" s="312"/>
      <c r="X873" s="312"/>
      <c r="Y873" s="312"/>
      <c r="Z873" s="312"/>
      <c r="AA873" s="312"/>
      <c r="AB873" s="312"/>
      <c r="AC873" s="312"/>
      <c r="AD873" s="312"/>
      <c r="AE873" s="312"/>
      <c r="AF873" s="312"/>
      <c r="AG873" s="312"/>
      <c r="AH873" s="312"/>
      <c r="AI873" s="312"/>
      <c r="AJ873" s="312"/>
      <c r="AK873" s="312"/>
      <c r="AL873" s="312"/>
      <c r="AM873" s="312"/>
      <c r="AN873" s="312"/>
      <c r="AO873" s="312"/>
      <c r="AP873" s="312"/>
      <c r="AQ873" s="312"/>
    </row>
    <row r="874" ht="15.75" customHeight="1">
      <c r="A874" s="318"/>
      <c r="B874" s="312"/>
      <c r="C874" s="312"/>
      <c r="D874" s="312"/>
      <c r="E874" s="312"/>
      <c r="F874" s="312"/>
      <c r="G874" s="312"/>
      <c r="H874" s="312"/>
      <c r="I874" s="312"/>
      <c r="J874" s="312"/>
      <c r="K874" s="312"/>
      <c r="L874" s="312"/>
      <c r="M874" s="312"/>
      <c r="N874" s="312"/>
      <c r="O874" s="312"/>
      <c r="P874" s="312"/>
      <c r="Q874" s="312"/>
      <c r="R874" s="312"/>
      <c r="S874" s="312"/>
      <c r="T874" s="312"/>
      <c r="U874" s="312"/>
      <c r="V874" s="312"/>
      <c r="W874" s="312"/>
      <c r="X874" s="312"/>
      <c r="Y874" s="312"/>
      <c r="Z874" s="312"/>
      <c r="AA874" s="312"/>
      <c r="AB874" s="312"/>
      <c r="AC874" s="312"/>
      <c r="AD874" s="312"/>
      <c r="AE874" s="312"/>
      <c r="AF874" s="312"/>
      <c r="AG874" s="312"/>
      <c r="AH874" s="312"/>
      <c r="AI874" s="312"/>
      <c r="AJ874" s="312"/>
      <c r="AK874" s="312"/>
      <c r="AL874" s="312"/>
      <c r="AM874" s="312"/>
      <c r="AN874" s="312"/>
      <c r="AO874" s="312"/>
      <c r="AP874" s="312"/>
      <c r="AQ874" s="312"/>
    </row>
    <row r="875" ht="15.75" customHeight="1">
      <c r="A875" s="318"/>
      <c r="B875" s="312"/>
      <c r="C875" s="312"/>
      <c r="D875" s="312"/>
      <c r="E875" s="312"/>
      <c r="F875" s="312"/>
      <c r="G875" s="312"/>
      <c r="H875" s="312"/>
      <c r="I875" s="312"/>
      <c r="J875" s="312"/>
      <c r="K875" s="312"/>
      <c r="L875" s="312"/>
      <c r="M875" s="312"/>
      <c r="N875" s="312"/>
      <c r="O875" s="312"/>
      <c r="P875" s="312"/>
      <c r="Q875" s="312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  <c r="AB875" s="312"/>
      <c r="AC875" s="312"/>
      <c r="AD875" s="312"/>
      <c r="AE875" s="312"/>
      <c r="AF875" s="312"/>
      <c r="AG875" s="312"/>
      <c r="AH875" s="312"/>
      <c r="AI875" s="312"/>
      <c r="AJ875" s="312"/>
      <c r="AK875" s="312"/>
      <c r="AL875" s="312"/>
      <c r="AM875" s="312"/>
      <c r="AN875" s="312"/>
      <c r="AO875" s="312"/>
      <c r="AP875" s="312"/>
      <c r="AQ875" s="312"/>
    </row>
    <row r="876" ht="15.75" customHeight="1">
      <c r="A876" s="318"/>
      <c r="B876" s="312"/>
      <c r="C876" s="312"/>
      <c r="D876" s="312"/>
      <c r="E876" s="312"/>
      <c r="F876" s="312"/>
      <c r="G876" s="312"/>
      <c r="H876" s="312"/>
      <c r="I876" s="312"/>
      <c r="J876" s="312"/>
      <c r="K876" s="312"/>
      <c r="L876" s="312"/>
      <c r="M876" s="312"/>
      <c r="N876" s="312"/>
      <c r="O876" s="312"/>
      <c r="P876" s="312"/>
      <c r="Q876" s="312"/>
      <c r="R876" s="312"/>
      <c r="S876" s="312"/>
      <c r="T876" s="312"/>
      <c r="U876" s="312"/>
      <c r="V876" s="312"/>
      <c r="W876" s="312"/>
      <c r="X876" s="312"/>
      <c r="Y876" s="312"/>
      <c r="Z876" s="312"/>
      <c r="AA876" s="312"/>
      <c r="AB876" s="312"/>
      <c r="AC876" s="312"/>
      <c r="AD876" s="312"/>
      <c r="AE876" s="312"/>
      <c r="AF876" s="312"/>
      <c r="AG876" s="312"/>
      <c r="AH876" s="312"/>
      <c r="AI876" s="312"/>
      <c r="AJ876" s="312"/>
      <c r="AK876" s="312"/>
      <c r="AL876" s="312"/>
      <c r="AM876" s="312"/>
      <c r="AN876" s="312"/>
      <c r="AO876" s="312"/>
      <c r="AP876" s="312"/>
      <c r="AQ876" s="312"/>
    </row>
    <row r="877" ht="15.75" customHeight="1">
      <c r="A877" s="318"/>
      <c r="B877" s="312"/>
      <c r="C877" s="312"/>
      <c r="D877" s="312"/>
      <c r="E877" s="312"/>
      <c r="F877" s="312"/>
      <c r="G877" s="312"/>
      <c r="H877" s="312"/>
      <c r="I877" s="312"/>
      <c r="J877" s="312"/>
      <c r="K877" s="312"/>
      <c r="L877" s="312"/>
      <c r="M877" s="312"/>
      <c r="N877" s="312"/>
      <c r="O877" s="312"/>
      <c r="P877" s="312"/>
      <c r="Q877" s="312"/>
      <c r="R877" s="312"/>
      <c r="S877" s="312"/>
      <c r="T877" s="312"/>
      <c r="U877" s="312"/>
      <c r="V877" s="312"/>
      <c r="W877" s="312"/>
      <c r="X877" s="312"/>
      <c r="Y877" s="312"/>
      <c r="Z877" s="312"/>
      <c r="AA877" s="312"/>
      <c r="AB877" s="312"/>
      <c r="AC877" s="312"/>
      <c r="AD877" s="312"/>
      <c r="AE877" s="312"/>
      <c r="AF877" s="312"/>
      <c r="AG877" s="312"/>
      <c r="AH877" s="312"/>
      <c r="AI877" s="312"/>
      <c r="AJ877" s="312"/>
      <c r="AK877" s="312"/>
      <c r="AL877" s="312"/>
      <c r="AM877" s="312"/>
      <c r="AN877" s="312"/>
      <c r="AO877" s="312"/>
      <c r="AP877" s="312"/>
      <c r="AQ877" s="312"/>
    </row>
    <row r="878" ht="15.75" customHeight="1">
      <c r="A878" s="318"/>
      <c r="B878" s="312"/>
      <c r="C878" s="312"/>
      <c r="D878" s="312"/>
      <c r="E878" s="312"/>
      <c r="F878" s="312"/>
      <c r="G878" s="312"/>
      <c r="H878" s="312"/>
      <c r="I878" s="312"/>
      <c r="J878" s="312"/>
      <c r="K878" s="312"/>
      <c r="L878" s="312"/>
      <c r="M878" s="312"/>
      <c r="N878" s="312"/>
      <c r="O878" s="312"/>
      <c r="P878" s="312"/>
      <c r="Q878" s="312"/>
      <c r="R878" s="312"/>
      <c r="S878" s="312"/>
      <c r="T878" s="312"/>
      <c r="U878" s="312"/>
      <c r="V878" s="312"/>
      <c r="W878" s="312"/>
      <c r="X878" s="312"/>
      <c r="Y878" s="312"/>
      <c r="Z878" s="312"/>
      <c r="AA878" s="312"/>
      <c r="AB878" s="312"/>
      <c r="AC878" s="312"/>
      <c r="AD878" s="312"/>
      <c r="AE878" s="312"/>
      <c r="AF878" s="312"/>
      <c r="AG878" s="312"/>
      <c r="AH878" s="312"/>
      <c r="AI878" s="312"/>
      <c r="AJ878" s="312"/>
      <c r="AK878" s="312"/>
      <c r="AL878" s="312"/>
      <c r="AM878" s="312"/>
      <c r="AN878" s="312"/>
      <c r="AO878" s="312"/>
      <c r="AP878" s="312"/>
      <c r="AQ878" s="312"/>
    </row>
    <row r="879" ht="15.75" customHeight="1">
      <c r="A879" s="318"/>
      <c r="B879" s="312"/>
      <c r="C879" s="312"/>
      <c r="D879" s="312"/>
      <c r="E879" s="312"/>
      <c r="F879" s="312"/>
      <c r="G879" s="312"/>
      <c r="H879" s="312"/>
      <c r="I879" s="312"/>
      <c r="J879" s="312"/>
      <c r="K879" s="312"/>
      <c r="L879" s="312"/>
      <c r="M879" s="312"/>
      <c r="N879" s="312"/>
      <c r="O879" s="312"/>
      <c r="P879" s="312"/>
      <c r="Q879" s="312"/>
      <c r="R879" s="312"/>
      <c r="S879" s="312"/>
      <c r="T879" s="312"/>
      <c r="U879" s="312"/>
      <c r="V879" s="312"/>
      <c r="W879" s="312"/>
      <c r="X879" s="312"/>
      <c r="Y879" s="312"/>
      <c r="Z879" s="312"/>
      <c r="AA879" s="312"/>
      <c r="AB879" s="312"/>
      <c r="AC879" s="312"/>
      <c r="AD879" s="312"/>
      <c r="AE879" s="312"/>
      <c r="AF879" s="312"/>
      <c r="AG879" s="312"/>
      <c r="AH879" s="312"/>
      <c r="AI879" s="312"/>
      <c r="AJ879" s="312"/>
      <c r="AK879" s="312"/>
      <c r="AL879" s="312"/>
      <c r="AM879" s="312"/>
      <c r="AN879" s="312"/>
      <c r="AO879" s="312"/>
      <c r="AP879" s="312"/>
      <c r="AQ879" s="312"/>
    </row>
    <row r="880" ht="15.75" customHeight="1">
      <c r="A880" s="318"/>
      <c r="B880" s="312"/>
      <c r="C880" s="312"/>
      <c r="D880" s="312"/>
      <c r="E880" s="312"/>
      <c r="F880" s="312"/>
      <c r="G880" s="312"/>
      <c r="H880" s="312"/>
      <c r="I880" s="312"/>
      <c r="J880" s="312"/>
      <c r="K880" s="312"/>
      <c r="L880" s="312"/>
      <c r="M880" s="312"/>
      <c r="N880" s="312"/>
      <c r="O880" s="312"/>
      <c r="P880" s="312"/>
      <c r="Q880" s="312"/>
      <c r="R880" s="312"/>
      <c r="S880" s="312"/>
      <c r="T880" s="312"/>
      <c r="U880" s="312"/>
      <c r="V880" s="312"/>
      <c r="W880" s="312"/>
      <c r="X880" s="312"/>
      <c r="Y880" s="312"/>
      <c r="Z880" s="312"/>
      <c r="AA880" s="312"/>
      <c r="AB880" s="312"/>
      <c r="AC880" s="312"/>
      <c r="AD880" s="312"/>
      <c r="AE880" s="312"/>
      <c r="AF880" s="312"/>
      <c r="AG880" s="312"/>
      <c r="AH880" s="312"/>
      <c r="AI880" s="312"/>
      <c r="AJ880" s="312"/>
      <c r="AK880" s="312"/>
      <c r="AL880" s="312"/>
      <c r="AM880" s="312"/>
      <c r="AN880" s="312"/>
      <c r="AO880" s="312"/>
      <c r="AP880" s="312"/>
      <c r="AQ880" s="312"/>
    </row>
    <row r="881" ht="15.75" customHeight="1">
      <c r="A881" s="318"/>
      <c r="B881" s="312"/>
      <c r="C881" s="312"/>
      <c r="D881" s="312"/>
      <c r="E881" s="312"/>
      <c r="F881" s="312"/>
      <c r="G881" s="312"/>
      <c r="H881" s="312"/>
      <c r="I881" s="312"/>
      <c r="J881" s="312"/>
      <c r="K881" s="312"/>
      <c r="L881" s="312"/>
      <c r="M881" s="312"/>
      <c r="N881" s="312"/>
      <c r="O881" s="312"/>
      <c r="P881" s="312"/>
      <c r="Q881" s="312"/>
      <c r="R881" s="312"/>
      <c r="S881" s="312"/>
      <c r="T881" s="312"/>
      <c r="U881" s="312"/>
      <c r="V881" s="312"/>
      <c r="W881" s="312"/>
      <c r="X881" s="312"/>
      <c r="Y881" s="312"/>
      <c r="Z881" s="312"/>
      <c r="AA881" s="312"/>
      <c r="AB881" s="312"/>
      <c r="AC881" s="312"/>
      <c r="AD881" s="312"/>
      <c r="AE881" s="312"/>
      <c r="AF881" s="312"/>
      <c r="AG881" s="312"/>
      <c r="AH881" s="312"/>
      <c r="AI881" s="312"/>
      <c r="AJ881" s="312"/>
      <c r="AK881" s="312"/>
      <c r="AL881" s="312"/>
      <c r="AM881" s="312"/>
      <c r="AN881" s="312"/>
      <c r="AO881" s="312"/>
      <c r="AP881" s="312"/>
      <c r="AQ881" s="312"/>
    </row>
    <row r="882" ht="15.75" customHeight="1">
      <c r="A882" s="318"/>
      <c r="B882" s="312"/>
      <c r="C882" s="312"/>
      <c r="D882" s="312"/>
      <c r="E882" s="312"/>
      <c r="F882" s="312"/>
      <c r="G882" s="312"/>
      <c r="H882" s="312"/>
      <c r="I882" s="312"/>
      <c r="J882" s="312"/>
      <c r="K882" s="312"/>
      <c r="L882" s="312"/>
      <c r="M882" s="312"/>
      <c r="N882" s="312"/>
      <c r="O882" s="312"/>
      <c r="P882" s="312"/>
      <c r="Q882" s="312"/>
      <c r="R882" s="312"/>
      <c r="S882" s="312"/>
      <c r="T882" s="312"/>
      <c r="U882" s="312"/>
      <c r="V882" s="312"/>
      <c r="W882" s="312"/>
      <c r="X882" s="312"/>
      <c r="Y882" s="312"/>
      <c r="Z882" s="312"/>
      <c r="AA882" s="312"/>
      <c r="AB882" s="312"/>
      <c r="AC882" s="312"/>
      <c r="AD882" s="312"/>
      <c r="AE882" s="312"/>
      <c r="AF882" s="312"/>
      <c r="AG882" s="312"/>
      <c r="AH882" s="312"/>
      <c r="AI882" s="312"/>
      <c r="AJ882" s="312"/>
      <c r="AK882" s="312"/>
      <c r="AL882" s="312"/>
      <c r="AM882" s="312"/>
      <c r="AN882" s="312"/>
      <c r="AO882" s="312"/>
      <c r="AP882" s="312"/>
      <c r="AQ882" s="312"/>
    </row>
    <row r="883" ht="15.75" customHeight="1">
      <c r="A883" s="318"/>
      <c r="B883" s="312"/>
      <c r="C883" s="312"/>
      <c r="D883" s="312"/>
      <c r="E883" s="312"/>
      <c r="F883" s="312"/>
      <c r="G883" s="312"/>
      <c r="H883" s="312"/>
      <c r="I883" s="312"/>
      <c r="J883" s="312"/>
      <c r="K883" s="312"/>
      <c r="L883" s="312"/>
      <c r="M883" s="312"/>
      <c r="N883" s="312"/>
      <c r="O883" s="312"/>
      <c r="P883" s="312"/>
      <c r="Q883" s="312"/>
      <c r="R883" s="312"/>
      <c r="S883" s="312"/>
      <c r="T883" s="312"/>
      <c r="U883" s="312"/>
      <c r="V883" s="312"/>
      <c r="W883" s="312"/>
      <c r="X883" s="312"/>
      <c r="Y883" s="312"/>
      <c r="Z883" s="312"/>
      <c r="AA883" s="312"/>
      <c r="AB883" s="312"/>
      <c r="AC883" s="312"/>
      <c r="AD883" s="312"/>
      <c r="AE883" s="312"/>
      <c r="AF883" s="312"/>
      <c r="AG883" s="312"/>
      <c r="AH883" s="312"/>
      <c r="AI883" s="312"/>
      <c r="AJ883" s="312"/>
      <c r="AK883" s="312"/>
      <c r="AL883" s="312"/>
      <c r="AM883" s="312"/>
      <c r="AN883" s="312"/>
      <c r="AO883" s="312"/>
      <c r="AP883" s="312"/>
      <c r="AQ883" s="312"/>
    </row>
    <row r="884" ht="15.75" customHeight="1">
      <c r="A884" s="318"/>
      <c r="B884" s="312"/>
      <c r="C884" s="312"/>
      <c r="D884" s="312"/>
      <c r="E884" s="312"/>
      <c r="F884" s="312"/>
      <c r="G884" s="312"/>
      <c r="H884" s="312"/>
      <c r="I884" s="312"/>
      <c r="J884" s="312"/>
      <c r="K884" s="312"/>
      <c r="L884" s="312"/>
      <c r="M884" s="312"/>
      <c r="N884" s="312"/>
      <c r="O884" s="312"/>
      <c r="P884" s="312"/>
      <c r="Q884" s="312"/>
      <c r="R884" s="312"/>
      <c r="S884" s="312"/>
      <c r="T884" s="312"/>
      <c r="U884" s="312"/>
      <c r="V884" s="312"/>
      <c r="W884" s="312"/>
      <c r="X884" s="312"/>
      <c r="Y884" s="312"/>
      <c r="Z884" s="312"/>
      <c r="AA884" s="312"/>
      <c r="AB884" s="312"/>
      <c r="AC884" s="312"/>
      <c r="AD884" s="312"/>
      <c r="AE884" s="312"/>
      <c r="AF884" s="312"/>
      <c r="AG884" s="312"/>
      <c r="AH884" s="312"/>
      <c r="AI884" s="312"/>
      <c r="AJ884" s="312"/>
      <c r="AK884" s="312"/>
      <c r="AL884" s="312"/>
      <c r="AM884" s="312"/>
      <c r="AN884" s="312"/>
      <c r="AO884" s="312"/>
      <c r="AP884" s="312"/>
      <c r="AQ884" s="312"/>
    </row>
    <row r="885" ht="15.75" customHeight="1">
      <c r="A885" s="318"/>
      <c r="B885" s="312"/>
      <c r="C885" s="312"/>
      <c r="D885" s="312"/>
      <c r="E885" s="312"/>
      <c r="F885" s="312"/>
      <c r="G885" s="312"/>
      <c r="H885" s="312"/>
      <c r="I885" s="312"/>
      <c r="J885" s="312"/>
      <c r="K885" s="312"/>
      <c r="L885" s="312"/>
      <c r="M885" s="312"/>
      <c r="N885" s="312"/>
      <c r="O885" s="312"/>
      <c r="P885" s="312"/>
      <c r="Q885" s="312"/>
      <c r="R885" s="312"/>
      <c r="S885" s="312"/>
      <c r="T885" s="312"/>
      <c r="U885" s="312"/>
      <c r="V885" s="312"/>
      <c r="W885" s="312"/>
      <c r="X885" s="312"/>
      <c r="Y885" s="312"/>
      <c r="Z885" s="312"/>
      <c r="AA885" s="312"/>
      <c r="AB885" s="312"/>
      <c r="AC885" s="312"/>
      <c r="AD885" s="312"/>
      <c r="AE885" s="312"/>
      <c r="AF885" s="312"/>
      <c r="AG885" s="312"/>
      <c r="AH885" s="312"/>
      <c r="AI885" s="312"/>
      <c r="AJ885" s="312"/>
      <c r="AK885" s="312"/>
      <c r="AL885" s="312"/>
      <c r="AM885" s="312"/>
      <c r="AN885" s="312"/>
      <c r="AO885" s="312"/>
      <c r="AP885" s="312"/>
      <c r="AQ885" s="312"/>
    </row>
    <row r="886" ht="15.75" customHeight="1">
      <c r="A886" s="318"/>
      <c r="B886" s="312"/>
      <c r="C886" s="312"/>
      <c r="D886" s="312"/>
      <c r="E886" s="312"/>
      <c r="F886" s="312"/>
      <c r="G886" s="312"/>
      <c r="H886" s="312"/>
      <c r="I886" s="312"/>
      <c r="J886" s="312"/>
      <c r="K886" s="312"/>
      <c r="L886" s="312"/>
      <c r="M886" s="312"/>
      <c r="N886" s="312"/>
      <c r="O886" s="312"/>
      <c r="P886" s="312"/>
      <c r="Q886" s="312"/>
      <c r="R886" s="312"/>
      <c r="S886" s="312"/>
      <c r="T886" s="312"/>
      <c r="U886" s="312"/>
      <c r="V886" s="312"/>
      <c r="W886" s="312"/>
      <c r="X886" s="312"/>
      <c r="Y886" s="312"/>
      <c r="Z886" s="312"/>
      <c r="AA886" s="312"/>
      <c r="AB886" s="312"/>
      <c r="AC886" s="312"/>
      <c r="AD886" s="312"/>
      <c r="AE886" s="312"/>
      <c r="AF886" s="312"/>
      <c r="AG886" s="312"/>
      <c r="AH886" s="312"/>
      <c r="AI886" s="312"/>
      <c r="AJ886" s="312"/>
      <c r="AK886" s="312"/>
      <c r="AL886" s="312"/>
      <c r="AM886" s="312"/>
      <c r="AN886" s="312"/>
      <c r="AO886" s="312"/>
      <c r="AP886" s="312"/>
      <c r="AQ886" s="312"/>
    </row>
    <row r="887" ht="15.75" customHeight="1">
      <c r="A887" s="318"/>
      <c r="B887" s="312"/>
      <c r="C887" s="312"/>
      <c r="D887" s="312"/>
      <c r="E887" s="312"/>
      <c r="F887" s="312"/>
      <c r="G887" s="312"/>
      <c r="H887" s="312"/>
      <c r="I887" s="312"/>
      <c r="J887" s="312"/>
      <c r="K887" s="312"/>
      <c r="L887" s="312"/>
      <c r="M887" s="312"/>
      <c r="N887" s="312"/>
      <c r="O887" s="312"/>
      <c r="P887" s="312"/>
      <c r="Q887" s="312"/>
      <c r="R887" s="312"/>
      <c r="S887" s="312"/>
      <c r="T887" s="312"/>
      <c r="U887" s="312"/>
      <c r="V887" s="312"/>
      <c r="W887" s="312"/>
      <c r="X887" s="312"/>
      <c r="Y887" s="312"/>
      <c r="Z887" s="312"/>
      <c r="AA887" s="312"/>
      <c r="AB887" s="312"/>
      <c r="AC887" s="312"/>
      <c r="AD887" s="312"/>
      <c r="AE887" s="312"/>
      <c r="AF887" s="312"/>
      <c r="AG887" s="312"/>
      <c r="AH887" s="312"/>
      <c r="AI887" s="312"/>
      <c r="AJ887" s="312"/>
      <c r="AK887" s="312"/>
      <c r="AL887" s="312"/>
      <c r="AM887" s="312"/>
      <c r="AN887" s="312"/>
      <c r="AO887" s="312"/>
      <c r="AP887" s="312"/>
      <c r="AQ887" s="312"/>
    </row>
    <row r="888" ht="15.75" customHeight="1">
      <c r="A888" s="318"/>
      <c r="B888" s="312"/>
      <c r="C888" s="312"/>
      <c r="D888" s="312"/>
      <c r="E888" s="312"/>
      <c r="F888" s="312"/>
      <c r="G888" s="312"/>
      <c r="H888" s="312"/>
      <c r="I888" s="312"/>
      <c r="J888" s="312"/>
      <c r="K888" s="312"/>
      <c r="L888" s="312"/>
      <c r="M888" s="312"/>
      <c r="N888" s="312"/>
      <c r="O888" s="312"/>
      <c r="P888" s="312"/>
      <c r="Q888" s="312"/>
      <c r="R888" s="312"/>
      <c r="S888" s="312"/>
      <c r="T888" s="312"/>
      <c r="U888" s="312"/>
      <c r="V888" s="312"/>
      <c r="W888" s="312"/>
      <c r="X888" s="312"/>
      <c r="Y888" s="312"/>
      <c r="Z888" s="312"/>
      <c r="AA888" s="312"/>
      <c r="AB888" s="312"/>
      <c r="AC888" s="312"/>
      <c r="AD888" s="312"/>
      <c r="AE888" s="312"/>
      <c r="AF888" s="312"/>
      <c r="AG888" s="312"/>
      <c r="AH888" s="312"/>
      <c r="AI888" s="312"/>
      <c r="AJ888" s="312"/>
      <c r="AK888" s="312"/>
      <c r="AL888" s="312"/>
      <c r="AM888" s="312"/>
      <c r="AN888" s="312"/>
      <c r="AO888" s="312"/>
      <c r="AP888" s="312"/>
      <c r="AQ888" s="312"/>
    </row>
    <row r="889" ht="15.75" customHeight="1">
      <c r="A889" s="318"/>
      <c r="B889" s="312"/>
      <c r="C889" s="312"/>
      <c r="D889" s="312"/>
      <c r="E889" s="312"/>
      <c r="F889" s="312"/>
      <c r="G889" s="312"/>
      <c r="H889" s="312"/>
      <c r="I889" s="312"/>
      <c r="J889" s="312"/>
      <c r="K889" s="312"/>
      <c r="L889" s="312"/>
      <c r="M889" s="312"/>
      <c r="N889" s="312"/>
      <c r="O889" s="312"/>
      <c r="P889" s="312"/>
      <c r="Q889" s="312"/>
      <c r="R889" s="312"/>
      <c r="S889" s="312"/>
      <c r="T889" s="312"/>
      <c r="U889" s="312"/>
      <c r="V889" s="312"/>
      <c r="W889" s="312"/>
      <c r="X889" s="312"/>
      <c r="Y889" s="312"/>
      <c r="Z889" s="312"/>
      <c r="AA889" s="312"/>
      <c r="AB889" s="312"/>
      <c r="AC889" s="312"/>
      <c r="AD889" s="312"/>
      <c r="AE889" s="312"/>
      <c r="AF889" s="312"/>
      <c r="AG889" s="312"/>
      <c r="AH889" s="312"/>
      <c r="AI889" s="312"/>
      <c r="AJ889" s="312"/>
      <c r="AK889" s="312"/>
      <c r="AL889" s="312"/>
      <c r="AM889" s="312"/>
      <c r="AN889" s="312"/>
      <c r="AO889" s="312"/>
      <c r="AP889" s="312"/>
      <c r="AQ889" s="312"/>
    </row>
    <row r="890" ht="15.75" customHeight="1">
      <c r="A890" s="318"/>
      <c r="B890" s="312"/>
      <c r="C890" s="312"/>
      <c r="D890" s="312"/>
      <c r="E890" s="312"/>
      <c r="F890" s="312"/>
      <c r="G890" s="312"/>
      <c r="H890" s="312"/>
      <c r="I890" s="312"/>
      <c r="J890" s="312"/>
      <c r="K890" s="312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2"/>
      <c r="AJ890" s="312"/>
      <c r="AK890" s="312"/>
      <c r="AL890" s="312"/>
      <c r="AM890" s="312"/>
      <c r="AN890" s="312"/>
      <c r="AO890" s="312"/>
      <c r="AP890" s="312"/>
      <c r="AQ890" s="312"/>
    </row>
    <row r="891" ht="15.75" customHeight="1">
      <c r="A891" s="318"/>
      <c r="B891" s="312"/>
      <c r="C891" s="312"/>
      <c r="D891" s="312"/>
      <c r="E891" s="312"/>
      <c r="F891" s="312"/>
      <c r="G891" s="312"/>
      <c r="H891" s="312"/>
      <c r="I891" s="312"/>
      <c r="J891" s="312"/>
      <c r="K891" s="312"/>
      <c r="L891" s="312"/>
      <c r="M891" s="312"/>
      <c r="N891" s="312"/>
      <c r="O891" s="312"/>
      <c r="P891" s="312"/>
      <c r="Q891" s="312"/>
      <c r="R891" s="312"/>
      <c r="S891" s="312"/>
      <c r="T891" s="312"/>
      <c r="U891" s="312"/>
      <c r="V891" s="312"/>
      <c r="W891" s="312"/>
      <c r="X891" s="312"/>
      <c r="Y891" s="312"/>
      <c r="Z891" s="312"/>
      <c r="AA891" s="312"/>
      <c r="AB891" s="312"/>
      <c r="AC891" s="312"/>
      <c r="AD891" s="312"/>
      <c r="AE891" s="312"/>
      <c r="AF891" s="312"/>
      <c r="AG891" s="312"/>
      <c r="AH891" s="312"/>
      <c r="AI891" s="312"/>
      <c r="AJ891" s="312"/>
      <c r="AK891" s="312"/>
      <c r="AL891" s="312"/>
      <c r="AM891" s="312"/>
      <c r="AN891" s="312"/>
      <c r="AO891" s="312"/>
      <c r="AP891" s="312"/>
      <c r="AQ891" s="312"/>
    </row>
    <row r="892" ht="15.75" customHeight="1">
      <c r="A892" s="318"/>
      <c r="B892" s="312"/>
      <c r="C892" s="312"/>
      <c r="D892" s="312"/>
      <c r="E892" s="312"/>
      <c r="F892" s="312"/>
      <c r="G892" s="312"/>
      <c r="H892" s="312"/>
      <c r="I892" s="312"/>
      <c r="J892" s="312"/>
      <c r="K892" s="312"/>
      <c r="L892" s="312"/>
      <c r="M892" s="312"/>
      <c r="N892" s="312"/>
      <c r="O892" s="312"/>
      <c r="P892" s="312"/>
      <c r="Q892" s="312"/>
      <c r="R892" s="312"/>
      <c r="S892" s="312"/>
      <c r="T892" s="312"/>
      <c r="U892" s="312"/>
      <c r="V892" s="312"/>
      <c r="W892" s="312"/>
      <c r="X892" s="312"/>
      <c r="Y892" s="312"/>
      <c r="Z892" s="312"/>
      <c r="AA892" s="312"/>
      <c r="AB892" s="312"/>
      <c r="AC892" s="312"/>
      <c r="AD892" s="312"/>
      <c r="AE892" s="312"/>
      <c r="AF892" s="312"/>
      <c r="AG892" s="312"/>
      <c r="AH892" s="312"/>
      <c r="AI892" s="312"/>
      <c r="AJ892" s="312"/>
      <c r="AK892" s="312"/>
      <c r="AL892" s="312"/>
      <c r="AM892" s="312"/>
      <c r="AN892" s="312"/>
      <c r="AO892" s="312"/>
      <c r="AP892" s="312"/>
      <c r="AQ892" s="312"/>
    </row>
    <row r="893" ht="15.75" customHeight="1">
      <c r="A893" s="318"/>
      <c r="B893" s="312"/>
      <c r="C893" s="312"/>
      <c r="D893" s="312"/>
      <c r="E893" s="312"/>
      <c r="F893" s="312"/>
      <c r="G893" s="312"/>
      <c r="H893" s="312"/>
      <c r="I893" s="312"/>
      <c r="J893" s="312"/>
      <c r="K893" s="312"/>
      <c r="L893" s="312"/>
      <c r="M893" s="312"/>
      <c r="N893" s="312"/>
      <c r="O893" s="312"/>
      <c r="P893" s="312"/>
      <c r="Q893" s="312"/>
      <c r="R893" s="312"/>
      <c r="S893" s="312"/>
      <c r="T893" s="312"/>
      <c r="U893" s="312"/>
      <c r="V893" s="312"/>
      <c r="W893" s="312"/>
      <c r="X893" s="312"/>
      <c r="Y893" s="312"/>
      <c r="Z893" s="312"/>
      <c r="AA893" s="312"/>
      <c r="AB893" s="312"/>
      <c r="AC893" s="312"/>
      <c r="AD893" s="312"/>
      <c r="AE893" s="312"/>
      <c r="AF893" s="312"/>
      <c r="AG893" s="312"/>
      <c r="AH893" s="312"/>
      <c r="AI893" s="312"/>
      <c r="AJ893" s="312"/>
      <c r="AK893" s="312"/>
      <c r="AL893" s="312"/>
      <c r="AM893" s="312"/>
      <c r="AN893" s="312"/>
      <c r="AO893" s="312"/>
      <c r="AP893" s="312"/>
      <c r="AQ893" s="312"/>
    </row>
    <row r="894" ht="15.75" customHeight="1">
      <c r="A894" s="318"/>
      <c r="B894" s="312"/>
      <c r="C894" s="312"/>
      <c r="D894" s="312"/>
      <c r="E894" s="312"/>
      <c r="F894" s="312"/>
      <c r="G894" s="312"/>
      <c r="H894" s="312"/>
      <c r="I894" s="312"/>
      <c r="J894" s="312"/>
      <c r="K894" s="312"/>
      <c r="L894" s="312"/>
      <c r="M894" s="312"/>
      <c r="N894" s="312"/>
      <c r="O894" s="312"/>
      <c r="P894" s="312"/>
      <c r="Q894" s="312"/>
      <c r="R894" s="312"/>
      <c r="S894" s="312"/>
      <c r="T894" s="312"/>
      <c r="U894" s="312"/>
      <c r="V894" s="312"/>
      <c r="W894" s="312"/>
      <c r="X894" s="312"/>
      <c r="Y894" s="312"/>
      <c r="Z894" s="312"/>
      <c r="AA894" s="312"/>
      <c r="AB894" s="312"/>
      <c r="AC894" s="312"/>
      <c r="AD894" s="312"/>
      <c r="AE894" s="312"/>
      <c r="AF894" s="312"/>
      <c r="AG894" s="312"/>
      <c r="AH894" s="312"/>
      <c r="AI894" s="312"/>
      <c r="AJ894" s="312"/>
      <c r="AK894" s="312"/>
      <c r="AL894" s="312"/>
      <c r="AM894" s="312"/>
      <c r="AN894" s="312"/>
      <c r="AO894" s="312"/>
      <c r="AP894" s="312"/>
      <c r="AQ894" s="312"/>
    </row>
    <row r="895" ht="15.75" customHeight="1">
      <c r="A895" s="318"/>
      <c r="B895" s="312"/>
      <c r="C895" s="312"/>
      <c r="D895" s="312"/>
      <c r="E895" s="312"/>
      <c r="F895" s="312"/>
      <c r="G895" s="312"/>
      <c r="H895" s="312"/>
      <c r="I895" s="312"/>
      <c r="J895" s="312"/>
      <c r="K895" s="312"/>
      <c r="L895" s="312"/>
      <c r="M895" s="312"/>
      <c r="N895" s="312"/>
      <c r="O895" s="312"/>
      <c r="P895" s="312"/>
      <c r="Q895" s="312"/>
      <c r="R895" s="312"/>
      <c r="S895" s="312"/>
      <c r="T895" s="312"/>
      <c r="U895" s="312"/>
      <c r="V895" s="312"/>
      <c r="W895" s="312"/>
      <c r="X895" s="312"/>
      <c r="Y895" s="312"/>
      <c r="Z895" s="312"/>
      <c r="AA895" s="312"/>
      <c r="AB895" s="312"/>
      <c r="AC895" s="312"/>
      <c r="AD895" s="312"/>
      <c r="AE895" s="312"/>
      <c r="AF895" s="312"/>
      <c r="AG895" s="312"/>
      <c r="AH895" s="312"/>
      <c r="AI895" s="312"/>
      <c r="AJ895" s="312"/>
      <c r="AK895" s="312"/>
      <c r="AL895" s="312"/>
      <c r="AM895" s="312"/>
      <c r="AN895" s="312"/>
      <c r="AO895" s="312"/>
      <c r="AP895" s="312"/>
      <c r="AQ895" s="312"/>
    </row>
    <row r="896" ht="15.75" customHeight="1">
      <c r="A896" s="318"/>
      <c r="B896" s="312"/>
      <c r="C896" s="312"/>
      <c r="D896" s="312"/>
      <c r="E896" s="312"/>
      <c r="F896" s="312"/>
      <c r="G896" s="312"/>
      <c r="H896" s="312"/>
      <c r="I896" s="312"/>
      <c r="J896" s="312"/>
      <c r="K896" s="312"/>
      <c r="L896" s="312"/>
      <c r="M896" s="312"/>
      <c r="N896" s="312"/>
      <c r="O896" s="312"/>
      <c r="P896" s="312"/>
      <c r="Q896" s="312"/>
      <c r="R896" s="312"/>
      <c r="S896" s="312"/>
      <c r="T896" s="312"/>
      <c r="U896" s="312"/>
      <c r="V896" s="312"/>
      <c r="W896" s="312"/>
      <c r="X896" s="312"/>
      <c r="Y896" s="312"/>
      <c r="Z896" s="312"/>
      <c r="AA896" s="312"/>
      <c r="AB896" s="312"/>
      <c r="AC896" s="312"/>
      <c r="AD896" s="312"/>
      <c r="AE896" s="312"/>
      <c r="AF896" s="312"/>
      <c r="AG896" s="312"/>
      <c r="AH896" s="312"/>
      <c r="AI896" s="312"/>
      <c r="AJ896" s="312"/>
      <c r="AK896" s="312"/>
      <c r="AL896" s="312"/>
      <c r="AM896" s="312"/>
      <c r="AN896" s="312"/>
      <c r="AO896" s="312"/>
      <c r="AP896" s="312"/>
      <c r="AQ896" s="312"/>
    </row>
    <row r="897" ht="15.75" customHeight="1">
      <c r="A897" s="318"/>
      <c r="B897" s="312"/>
      <c r="C897" s="312"/>
      <c r="D897" s="312"/>
      <c r="E897" s="312"/>
      <c r="F897" s="312"/>
      <c r="G897" s="312"/>
      <c r="H897" s="312"/>
      <c r="I897" s="312"/>
      <c r="J897" s="312"/>
      <c r="K897" s="312"/>
      <c r="L897" s="312"/>
      <c r="M897" s="312"/>
      <c r="N897" s="312"/>
      <c r="O897" s="312"/>
      <c r="P897" s="312"/>
      <c r="Q897" s="312"/>
      <c r="R897" s="312"/>
      <c r="S897" s="312"/>
      <c r="T897" s="312"/>
      <c r="U897" s="312"/>
      <c r="V897" s="312"/>
      <c r="W897" s="312"/>
      <c r="X897" s="312"/>
      <c r="Y897" s="312"/>
      <c r="Z897" s="312"/>
      <c r="AA897" s="312"/>
      <c r="AB897" s="312"/>
      <c r="AC897" s="312"/>
      <c r="AD897" s="312"/>
      <c r="AE897" s="312"/>
      <c r="AF897" s="312"/>
      <c r="AG897" s="312"/>
      <c r="AH897" s="312"/>
      <c r="AI897" s="312"/>
      <c r="AJ897" s="312"/>
      <c r="AK897" s="312"/>
      <c r="AL897" s="312"/>
      <c r="AM897" s="312"/>
      <c r="AN897" s="312"/>
      <c r="AO897" s="312"/>
      <c r="AP897" s="312"/>
      <c r="AQ897" s="312"/>
    </row>
    <row r="898" ht="15.75" customHeight="1">
      <c r="A898" s="318"/>
      <c r="B898" s="312"/>
      <c r="C898" s="312"/>
      <c r="D898" s="312"/>
      <c r="E898" s="312"/>
      <c r="F898" s="312"/>
      <c r="G898" s="312"/>
      <c r="H898" s="312"/>
      <c r="I898" s="312"/>
      <c r="J898" s="312"/>
      <c r="K898" s="312"/>
      <c r="L898" s="312"/>
      <c r="M898" s="312"/>
      <c r="N898" s="312"/>
      <c r="O898" s="312"/>
      <c r="P898" s="312"/>
      <c r="Q898" s="312"/>
      <c r="R898" s="312"/>
      <c r="S898" s="312"/>
      <c r="T898" s="312"/>
      <c r="U898" s="312"/>
      <c r="V898" s="312"/>
      <c r="W898" s="312"/>
      <c r="X898" s="312"/>
      <c r="Y898" s="312"/>
      <c r="Z898" s="312"/>
      <c r="AA898" s="312"/>
      <c r="AB898" s="312"/>
      <c r="AC898" s="312"/>
      <c r="AD898" s="312"/>
      <c r="AE898" s="312"/>
      <c r="AF898" s="312"/>
      <c r="AG898" s="312"/>
      <c r="AH898" s="312"/>
      <c r="AI898" s="312"/>
      <c r="AJ898" s="312"/>
      <c r="AK898" s="312"/>
      <c r="AL898" s="312"/>
      <c r="AM898" s="312"/>
      <c r="AN898" s="312"/>
      <c r="AO898" s="312"/>
      <c r="AP898" s="312"/>
      <c r="AQ898" s="312"/>
    </row>
    <row r="899" ht="15.75" customHeight="1">
      <c r="A899" s="318"/>
      <c r="B899" s="312"/>
      <c r="C899" s="312"/>
      <c r="D899" s="312"/>
      <c r="E899" s="312"/>
      <c r="F899" s="312"/>
      <c r="G899" s="312"/>
      <c r="H899" s="312"/>
      <c r="I899" s="312"/>
      <c r="J899" s="312"/>
      <c r="K899" s="312"/>
      <c r="L899" s="312"/>
      <c r="M899" s="312"/>
      <c r="N899" s="312"/>
      <c r="O899" s="312"/>
      <c r="P899" s="312"/>
      <c r="Q899" s="312"/>
      <c r="R899" s="312"/>
      <c r="S899" s="312"/>
      <c r="T899" s="312"/>
      <c r="U899" s="312"/>
      <c r="V899" s="312"/>
      <c r="W899" s="312"/>
      <c r="X899" s="312"/>
      <c r="Y899" s="312"/>
      <c r="Z899" s="312"/>
      <c r="AA899" s="312"/>
      <c r="AB899" s="312"/>
      <c r="AC899" s="312"/>
      <c r="AD899" s="312"/>
      <c r="AE899" s="312"/>
      <c r="AF899" s="312"/>
      <c r="AG899" s="312"/>
      <c r="AH899" s="312"/>
      <c r="AI899" s="312"/>
      <c r="AJ899" s="312"/>
      <c r="AK899" s="312"/>
      <c r="AL899" s="312"/>
      <c r="AM899" s="312"/>
      <c r="AN899" s="312"/>
      <c r="AO899" s="312"/>
      <c r="AP899" s="312"/>
      <c r="AQ899" s="312"/>
    </row>
    <row r="900" ht="15.75" customHeight="1">
      <c r="A900" s="318"/>
      <c r="B900" s="312"/>
      <c r="C900" s="312"/>
      <c r="D900" s="312"/>
      <c r="E900" s="312"/>
      <c r="F900" s="312"/>
      <c r="G900" s="312"/>
      <c r="H900" s="312"/>
      <c r="I900" s="312"/>
      <c r="J900" s="312"/>
      <c r="K900" s="312"/>
      <c r="L900" s="312"/>
      <c r="M900" s="312"/>
      <c r="N900" s="312"/>
      <c r="O900" s="312"/>
      <c r="P900" s="312"/>
      <c r="Q900" s="312"/>
      <c r="R900" s="312"/>
      <c r="S900" s="312"/>
      <c r="T900" s="312"/>
      <c r="U900" s="312"/>
      <c r="V900" s="312"/>
      <c r="W900" s="312"/>
      <c r="X900" s="312"/>
      <c r="Y900" s="312"/>
      <c r="Z900" s="312"/>
      <c r="AA900" s="312"/>
      <c r="AB900" s="312"/>
      <c r="AC900" s="312"/>
      <c r="AD900" s="312"/>
      <c r="AE900" s="312"/>
      <c r="AF900" s="312"/>
      <c r="AG900" s="312"/>
      <c r="AH900" s="312"/>
      <c r="AI900" s="312"/>
      <c r="AJ900" s="312"/>
      <c r="AK900" s="312"/>
      <c r="AL900" s="312"/>
      <c r="AM900" s="312"/>
      <c r="AN900" s="312"/>
      <c r="AO900" s="312"/>
      <c r="AP900" s="312"/>
      <c r="AQ900" s="312"/>
    </row>
    <row r="901" ht="15.75" customHeight="1">
      <c r="A901" s="318"/>
      <c r="B901" s="312"/>
      <c r="C901" s="312"/>
      <c r="D901" s="312"/>
      <c r="E901" s="312"/>
      <c r="F901" s="312"/>
      <c r="G901" s="312"/>
      <c r="H901" s="312"/>
      <c r="I901" s="312"/>
      <c r="J901" s="312"/>
      <c r="K901" s="312"/>
      <c r="L901" s="312"/>
      <c r="M901" s="312"/>
      <c r="N901" s="312"/>
      <c r="O901" s="312"/>
      <c r="P901" s="312"/>
      <c r="Q901" s="312"/>
      <c r="R901" s="312"/>
      <c r="S901" s="312"/>
      <c r="T901" s="312"/>
      <c r="U901" s="312"/>
      <c r="V901" s="312"/>
      <c r="W901" s="312"/>
      <c r="X901" s="312"/>
      <c r="Y901" s="312"/>
      <c r="Z901" s="312"/>
      <c r="AA901" s="312"/>
      <c r="AB901" s="312"/>
      <c r="AC901" s="312"/>
      <c r="AD901" s="312"/>
      <c r="AE901" s="312"/>
      <c r="AF901" s="312"/>
      <c r="AG901" s="312"/>
      <c r="AH901" s="312"/>
      <c r="AI901" s="312"/>
      <c r="AJ901" s="312"/>
      <c r="AK901" s="312"/>
      <c r="AL901" s="312"/>
      <c r="AM901" s="312"/>
      <c r="AN901" s="312"/>
      <c r="AO901" s="312"/>
      <c r="AP901" s="312"/>
      <c r="AQ901" s="312"/>
    </row>
    <row r="902" ht="15.75" customHeight="1">
      <c r="A902" s="318"/>
      <c r="B902" s="312"/>
      <c r="C902" s="312"/>
      <c r="D902" s="312"/>
      <c r="E902" s="312"/>
      <c r="F902" s="312"/>
      <c r="G902" s="312"/>
      <c r="H902" s="312"/>
      <c r="I902" s="312"/>
      <c r="J902" s="312"/>
      <c r="K902" s="312"/>
      <c r="L902" s="312"/>
      <c r="M902" s="312"/>
      <c r="N902" s="312"/>
      <c r="O902" s="312"/>
      <c r="P902" s="312"/>
      <c r="Q902" s="312"/>
      <c r="R902" s="312"/>
      <c r="S902" s="312"/>
      <c r="T902" s="312"/>
      <c r="U902" s="312"/>
      <c r="V902" s="312"/>
      <c r="W902" s="312"/>
      <c r="X902" s="312"/>
      <c r="Y902" s="312"/>
      <c r="Z902" s="312"/>
      <c r="AA902" s="312"/>
      <c r="AB902" s="312"/>
      <c r="AC902" s="312"/>
      <c r="AD902" s="312"/>
      <c r="AE902" s="312"/>
      <c r="AF902" s="312"/>
      <c r="AG902" s="312"/>
      <c r="AH902" s="312"/>
      <c r="AI902" s="312"/>
      <c r="AJ902" s="312"/>
      <c r="AK902" s="312"/>
      <c r="AL902" s="312"/>
      <c r="AM902" s="312"/>
      <c r="AN902" s="312"/>
      <c r="AO902" s="312"/>
      <c r="AP902" s="312"/>
      <c r="AQ902" s="312"/>
    </row>
    <row r="903" ht="15.75" customHeight="1">
      <c r="A903" s="318"/>
      <c r="B903" s="312"/>
      <c r="C903" s="312"/>
      <c r="D903" s="312"/>
      <c r="E903" s="312"/>
      <c r="F903" s="312"/>
      <c r="G903" s="312"/>
      <c r="H903" s="312"/>
      <c r="I903" s="312"/>
      <c r="J903" s="312"/>
      <c r="K903" s="312"/>
      <c r="L903" s="312"/>
      <c r="M903" s="312"/>
      <c r="N903" s="312"/>
      <c r="O903" s="312"/>
      <c r="P903" s="312"/>
      <c r="Q903" s="312"/>
      <c r="R903" s="312"/>
      <c r="S903" s="312"/>
      <c r="T903" s="312"/>
      <c r="U903" s="312"/>
      <c r="V903" s="312"/>
      <c r="W903" s="312"/>
      <c r="X903" s="312"/>
      <c r="Y903" s="312"/>
      <c r="Z903" s="312"/>
      <c r="AA903" s="312"/>
      <c r="AB903" s="312"/>
      <c r="AC903" s="312"/>
      <c r="AD903" s="312"/>
      <c r="AE903" s="312"/>
      <c r="AF903" s="312"/>
      <c r="AG903" s="312"/>
      <c r="AH903" s="312"/>
      <c r="AI903" s="312"/>
      <c r="AJ903" s="312"/>
      <c r="AK903" s="312"/>
      <c r="AL903" s="312"/>
      <c r="AM903" s="312"/>
      <c r="AN903" s="312"/>
      <c r="AO903" s="312"/>
      <c r="AP903" s="312"/>
      <c r="AQ903" s="312"/>
    </row>
    <row r="904" ht="15.75" customHeight="1">
      <c r="A904" s="318"/>
      <c r="B904" s="312"/>
      <c r="C904" s="312"/>
      <c r="D904" s="312"/>
      <c r="E904" s="312"/>
      <c r="F904" s="312"/>
      <c r="G904" s="312"/>
      <c r="H904" s="312"/>
      <c r="I904" s="312"/>
      <c r="J904" s="312"/>
      <c r="K904" s="312"/>
      <c r="L904" s="312"/>
      <c r="M904" s="312"/>
      <c r="N904" s="312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2"/>
      <c r="AB904" s="312"/>
      <c r="AC904" s="312"/>
      <c r="AD904" s="312"/>
      <c r="AE904" s="312"/>
      <c r="AF904" s="312"/>
      <c r="AG904" s="312"/>
      <c r="AH904" s="312"/>
      <c r="AI904" s="312"/>
      <c r="AJ904" s="312"/>
      <c r="AK904" s="312"/>
      <c r="AL904" s="312"/>
      <c r="AM904" s="312"/>
      <c r="AN904" s="312"/>
      <c r="AO904" s="312"/>
      <c r="AP904" s="312"/>
      <c r="AQ904" s="312"/>
    </row>
    <row r="905" ht="15.75" customHeight="1">
      <c r="A905" s="318"/>
      <c r="B905" s="312"/>
      <c r="C905" s="312"/>
      <c r="D905" s="312"/>
      <c r="E905" s="312"/>
      <c r="F905" s="312"/>
      <c r="G905" s="312"/>
      <c r="H905" s="312"/>
      <c r="I905" s="312"/>
      <c r="J905" s="312"/>
      <c r="K905" s="312"/>
      <c r="L905" s="312"/>
      <c r="M905" s="312"/>
      <c r="N905" s="312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2"/>
      <c r="AB905" s="312"/>
      <c r="AC905" s="312"/>
      <c r="AD905" s="312"/>
      <c r="AE905" s="312"/>
      <c r="AF905" s="312"/>
      <c r="AG905" s="312"/>
      <c r="AH905" s="312"/>
      <c r="AI905" s="312"/>
      <c r="AJ905" s="312"/>
      <c r="AK905" s="312"/>
      <c r="AL905" s="312"/>
      <c r="AM905" s="312"/>
      <c r="AN905" s="312"/>
      <c r="AO905" s="312"/>
      <c r="AP905" s="312"/>
      <c r="AQ905" s="312"/>
    </row>
    <row r="906" ht="15.75" customHeight="1">
      <c r="A906" s="318"/>
      <c r="B906" s="312"/>
      <c r="C906" s="312"/>
      <c r="D906" s="312"/>
      <c r="E906" s="312"/>
      <c r="F906" s="312"/>
      <c r="G906" s="312"/>
      <c r="H906" s="312"/>
      <c r="I906" s="312"/>
      <c r="J906" s="312"/>
      <c r="K906" s="312"/>
      <c r="L906" s="312"/>
      <c r="M906" s="312"/>
      <c r="N906" s="312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2"/>
      <c r="AB906" s="312"/>
      <c r="AC906" s="312"/>
      <c r="AD906" s="312"/>
      <c r="AE906" s="312"/>
      <c r="AF906" s="312"/>
      <c r="AG906" s="312"/>
      <c r="AH906" s="312"/>
      <c r="AI906" s="312"/>
      <c r="AJ906" s="312"/>
      <c r="AK906" s="312"/>
      <c r="AL906" s="312"/>
      <c r="AM906" s="312"/>
      <c r="AN906" s="312"/>
      <c r="AO906" s="312"/>
      <c r="AP906" s="312"/>
      <c r="AQ906" s="312"/>
    </row>
    <row r="907" ht="15.75" customHeight="1">
      <c r="A907" s="318"/>
      <c r="B907" s="312"/>
      <c r="C907" s="312"/>
      <c r="D907" s="312"/>
      <c r="E907" s="312"/>
      <c r="F907" s="312"/>
      <c r="G907" s="312"/>
      <c r="H907" s="312"/>
      <c r="I907" s="312"/>
      <c r="J907" s="312"/>
      <c r="K907" s="312"/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2"/>
      <c r="AB907" s="312"/>
      <c r="AC907" s="312"/>
      <c r="AD907" s="312"/>
      <c r="AE907" s="312"/>
      <c r="AF907" s="312"/>
      <c r="AG907" s="312"/>
      <c r="AH907" s="312"/>
      <c r="AI907" s="312"/>
      <c r="AJ907" s="312"/>
      <c r="AK907" s="312"/>
      <c r="AL907" s="312"/>
      <c r="AM907" s="312"/>
      <c r="AN907" s="312"/>
      <c r="AO907" s="312"/>
      <c r="AP907" s="312"/>
      <c r="AQ907" s="312"/>
    </row>
    <row r="908" ht="15.75" customHeight="1">
      <c r="A908" s="318"/>
      <c r="B908" s="312"/>
      <c r="C908" s="312"/>
      <c r="D908" s="312"/>
      <c r="E908" s="312"/>
      <c r="F908" s="312"/>
      <c r="G908" s="312"/>
      <c r="H908" s="312"/>
      <c r="I908" s="312"/>
      <c r="J908" s="312"/>
      <c r="K908" s="312"/>
      <c r="L908" s="312"/>
      <c r="M908" s="312"/>
      <c r="N908" s="312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2"/>
      <c r="AB908" s="312"/>
      <c r="AC908" s="312"/>
      <c r="AD908" s="312"/>
      <c r="AE908" s="312"/>
      <c r="AF908" s="312"/>
      <c r="AG908" s="312"/>
      <c r="AH908" s="312"/>
      <c r="AI908" s="312"/>
      <c r="AJ908" s="312"/>
      <c r="AK908" s="312"/>
      <c r="AL908" s="312"/>
      <c r="AM908" s="312"/>
      <c r="AN908" s="312"/>
      <c r="AO908" s="312"/>
      <c r="AP908" s="312"/>
      <c r="AQ908" s="312"/>
    </row>
    <row r="909" ht="15.75" customHeight="1">
      <c r="A909" s="318"/>
      <c r="B909" s="312"/>
      <c r="C909" s="312"/>
      <c r="D909" s="312"/>
      <c r="E909" s="312"/>
      <c r="F909" s="312"/>
      <c r="G909" s="312"/>
      <c r="H909" s="312"/>
      <c r="I909" s="312"/>
      <c r="J909" s="312"/>
      <c r="K909" s="312"/>
      <c r="L909" s="312"/>
      <c r="M909" s="312"/>
      <c r="N909" s="312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2"/>
      <c r="AB909" s="312"/>
      <c r="AC909" s="312"/>
      <c r="AD909" s="312"/>
      <c r="AE909" s="312"/>
      <c r="AF909" s="312"/>
      <c r="AG909" s="312"/>
      <c r="AH909" s="312"/>
      <c r="AI909" s="312"/>
      <c r="AJ909" s="312"/>
      <c r="AK909" s="312"/>
      <c r="AL909" s="312"/>
      <c r="AM909" s="312"/>
      <c r="AN909" s="312"/>
      <c r="AO909" s="312"/>
      <c r="AP909" s="312"/>
      <c r="AQ909" s="312"/>
    </row>
    <row r="910" ht="15.75" customHeight="1">
      <c r="A910" s="318"/>
      <c r="B910" s="312"/>
      <c r="C910" s="312"/>
      <c r="D910" s="312"/>
      <c r="E910" s="312"/>
      <c r="F910" s="312"/>
      <c r="G910" s="312"/>
      <c r="H910" s="312"/>
      <c r="I910" s="312"/>
      <c r="J910" s="312"/>
      <c r="K910" s="312"/>
      <c r="L910" s="312"/>
      <c r="M910" s="312"/>
      <c r="N910" s="312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2"/>
      <c r="AB910" s="312"/>
      <c r="AC910" s="312"/>
      <c r="AD910" s="312"/>
      <c r="AE910" s="312"/>
      <c r="AF910" s="312"/>
      <c r="AG910" s="312"/>
      <c r="AH910" s="312"/>
      <c r="AI910" s="312"/>
      <c r="AJ910" s="312"/>
      <c r="AK910" s="312"/>
      <c r="AL910" s="312"/>
      <c r="AM910" s="312"/>
      <c r="AN910" s="312"/>
      <c r="AO910" s="312"/>
      <c r="AP910" s="312"/>
      <c r="AQ910" s="312"/>
    </row>
    <row r="911" ht="15.75" customHeight="1">
      <c r="A911" s="318"/>
      <c r="B911" s="312"/>
      <c r="C911" s="312"/>
      <c r="D911" s="312"/>
      <c r="E911" s="312"/>
      <c r="F911" s="312"/>
      <c r="G911" s="312"/>
      <c r="H911" s="312"/>
      <c r="I911" s="312"/>
      <c r="J911" s="312"/>
      <c r="K911" s="312"/>
      <c r="L911" s="312"/>
      <c r="M911" s="312"/>
      <c r="N911" s="312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2"/>
      <c r="AB911" s="312"/>
      <c r="AC911" s="312"/>
      <c r="AD911" s="312"/>
      <c r="AE911" s="312"/>
      <c r="AF911" s="312"/>
      <c r="AG911" s="312"/>
      <c r="AH911" s="312"/>
      <c r="AI911" s="312"/>
      <c r="AJ911" s="312"/>
      <c r="AK911" s="312"/>
      <c r="AL911" s="312"/>
      <c r="AM911" s="312"/>
      <c r="AN911" s="312"/>
      <c r="AO911" s="312"/>
      <c r="AP911" s="312"/>
      <c r="AQ911" s="312"/>
    </row>
    <row r="912" ht="15.75" customHeight="1">
      <c r="A912" s="318"/>
      <c r="B912" s="312"/>
      <c r="C912" s="312"/>
      <c r="D912" s="312"/>
      <c r="E912" s="312"/>
      <c r="F912" s="312"/>
      <c r="G912" s="312"/>
      <c r="H912" s="312"/>
      <c r="I912" s="312"/>
      <c r="J912" s="312"/>
      <c r="K912" s="312"/>
      <c r="L912" s="312"/>
      <c r="M912" s="312"/>
      <c r="N912" s="312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2"/>
      <c r="AB912" s="312"/>
      <c r="AC912" s="312"/>
      <c r="AD912" s="312"/>
      <c r="AE912" s="312"/>
      <c r="AF912" s="312"/>
      <c r="AG912" s="312"/>
      <c r="AH912" s="312"/>
      <c r="AI912" s="312"/>
      <c r="AJ912" s="312"/>
      <c r="AK912" s="312"/>
      <c r="AL912" s="312"/>
      <c r="AM912" s="312"/>
      <c r="AN912" s="312"/>
      <c r="AO912" s="312"/>
      <c r="AP912" s="312"/>
      <c r="AQ912" s="312"/>
    </row>
    <row r="913" ht="15.75" customHeight="1">
      <c r="A913" s="318"/>
      <c r="B913" s="312"/>
      <c r="C913" s="312"/>
      <c r="D913" s="312"/>
      <c r="E913" s="312"/>
      <c r="F913" s="312"/>
      <c r="G913" s="312"/>
      <c r="H913" s="312"/>
      <c r="I913" s="312"/>
      <c r="J913" s="312"/>
      <c r="K913" s="312"/>
      <c r="L913" s="312"/>
      <c r="M913" s="312"/>
      <c r="N913" s="312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2"/>
      <c r="AB913" s="312"/>
      <c r="AC913" s="312"/>
      <c r="AD913" s="312"/>
      <c r="AE913" s="312"/>
      <c r="AF913" s="312"/>
      <c r="AG913" s="312"/>
      <c r="AH913" s="312"/>
      <c r="AI913" s="312"/>
      <c r="AJ913" s="312"/>
      <c r="AK913" s="312"/>
      <c r="AL913" s="312"/>
      <c r="AM913" s="312"/>
      <c r="AN913" s="312"/>
      <c r="AO913" s="312"/>
      <c r="AP913" s="312"/>
      <c r="AQ913" s="312"/>
    </row>
    <row r="914" ht="15.75" customHeight="1">
      <c r="A914" s="318"/>
      <c r="B914" s="312"/>
      <c r="C914" s="312"/>
      <c r="D914" s="312"/>
      <c r="E914" s="312"/>
      <c r="F914" s="312"/>
      <c r="G914" s="312"/>
      <c r="H914" s="312"/>
      <c r="I914" s="312"/>
      <c r="J914" s="312"/>
      <c r="K914" s="312"/>
      <c r="L914" s="312"/>
      <c r="M914" s="312"/>
      <c r="N914" s="312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2"/>
      <c r="AB914" s="312"/>
      <c r="AC914" s="312"/>
      <c r="AD914" s="312"/>
      <c r="AE914" s="312"/>
      <c r="AF914" s="312"/>
      <c r="AG914" s="312"/>
      <c r="AH914" s="312"/>
      <c r="AI914" s="312"/>
      <c r="AJ914" s="312"/>
      <c r="AK914" s="312"/>
      <c r="AL914" s="312"/>
      <c r="AM914" s="312"/>
      <c r="AN914" s="312"/>
      <c r="AO914" s="312"/>
      <c r="AP914" s="312"/>
      <c r="AQ914" s="312"/>
    </row>
    <row r="915" ht="15.75" customHeight="1">
      <c r="A915" s="318"/>
      <c r="B915" s="312"/>
      <c r="C915" s="312"/>
      <c r="D915" s="312"/>
      <c r="E915" s="312"/>
      <c r="F915" s="312"/>
      <c r="G915" s="312"/>
      <c r="H915" s="312"/>
      <c r="I915" s="312"/>
      <c r="J915" s="312"/>
      <c r="K915" s="312"/>
      <c r="L915" s="312"/>
      <c r="M915" s="312"/>
      <c r="N915" s="312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2"/>
      <c r="AB915" s="312"/>
      <c r="AC915" s="312"/>
      <c r="AD915" s="312"/>
      <c r="AE915" s="312"/>
      <c r="AF915" s="312"/>
      <c r="AG915" s="312"/>
      <c r="AH915" s="312"/>
      <c r="AI915" s="312"/>
      <c r="AJ915" s="312"/>
      <c r="AK915" s="312"/>
      <c r="AL915" s="312"/>
      <c r="AM915" s="312"/>
      <c r="AN915" s="312"/>
      <c r="AO915" s="312"/>
      <c r="AP915" s="312"/>
      <c r="AQ915" s="312"/>
    </row>
    <row r="916" ht="15.75" customHeight="1">
      <c r="A916" s="318"/>
      <c r="B916" s="312"/>
      <c r="C916" s="312"/>
      <c r="D916" s="312"/>
      <c r="E916" s="312"/>
      <c r="F916" s="312"/>
      <c r="G916" s="312"/>
      <c r="H916" s="312"/>
      <c r="I916" s="312"/>
      <c r="J916" s="312"/>
      <c r="K916" s="312"/>
      <c r="L916" s="312"/>
      <c r="M916" s="312"/>
      <c r="N916" s="312"/>
      <c r="O916" s="312"/>
      <c r="P916" s="312"/>
      <c r="Q916" s="312"/>
      <c r="R916" s="312"/>
      <c r="S916" s="312"/>
      <c r="T916" s="312"/>
      <c r="U916" s="312"/>
      <c r="V916" s="312"/>
      <c r="W916" s="312"/>
      <c r="X916" s="312"/>
      <c r="Y916" s="312"/>
      <c r="Z916" s="312"/>
      <c r="AA916" s="312"/>
      <c r="AB916" s="312"/>
      <c r="AC916" s="312"/>
      <c r="AD916" s="312"/>
      <c r="AE916" s="312"/>
      <c r="AF916" s="312"/>
      <c r="AG916" s="312"/>
      <c r="AH916" s="312"/>
      <c r="AI916" s="312"/>
      <c r="AJ916" s="312"/>
      <c r="AK916" s="312"/>
      <c r="AL916" s="312"/>
      <c r="AM916" s="312"/>
      <c r="AN916" s="312"/>
      <c r="AO916" s="312"/>
      <c r="AP916" s="312"/>
      <c r="AQ916" s="312"/>
    </row>
    <row r="917" ht="15.75" customHeight="1">
      <c r="A917" s="318"/>
      <c r="B917" s="312"/>
      <c r="C917" s="312"/>
      <c r="D917" s="312"/>
      <c r="E917" s="312"/>
      <c r="F917" s="312"/>
      <c r="G917" s="312"/>
      <c r="H917" s="312"/>
      <c r="I917" s="312"/>
      <c r="J917" s="312"/>
      <c r="K917" s="312"/>
      <c r="L917" s="312"/>
      <c r="M917" s="312"/>
      <c r="N917" s="312"/>
      <c r="O917" s="312"/>
      <c r="P917" s="312"/>
      <c r="Q917" s="312"/>
      <c r="R917" s="312"/>
      <c r="S917" s="312"/>
      <c r="T917" s="312"/>
      <c r="U917" s="312"/>
      <c r="V917" s="312"/>
      <c r="W917" s="312"/>
      <c r="X917" s="312"/>
      <c r="Y917" s="312"/>
      <c r="Z917" s="312"/>
      <c r="AA917" s="312"/>
      <c r="AB917" s="312"/>
      <c r="AC917" s="312"/>
      <c r="AD917" s="312"/>
      <c r="AE917" s="312"/>
      <c r="AF917" s="312"/>
      <c r="AG917" s="312"/>
      <c r="AH917" s="312"/>
      <c r="AI917" s="312"/>
      <c r="AJ917" s="312"/>
      <c r="AK917" s="312"/>
      <c r="AL917" s="312"/>
      <c r="AM917" s="312"/>
      <c r="AN917" s="312"/>
      <c r="AO917" s="312"/>
      <c r="AP917" s="312"/>
      <c r="AQ917" s="312"/>
    </row>
    <row r="918" ht="15.75" customHeight="1">
      <c r="A918" s="318"/>
      <c r="B918" s="312"/>
      <c r="C918" s="312"/>
      <c r="D918" s="312"/>
      <c r="E918" s="312"/>
      <c r="F918" s="312"/>
      <c r="G918" s="312"/>
      <c r="H918" s="312"/>
      <c r="I918" s="312"/>
      <c r="J918" s="312"/>
      <c r="K918" s="312"/>
      <c r="L918" s="312"/>
      <c r="M918" s="312"/>
      <c r="N918" s="312"/>
      <c r="O918" s="312"/>
      <c r="P918" s="312"/>
      <c r="Q918" s="312"/>
      <c r="R918" s="312"/>
      <c r="S918" s="312"/>
      <c r="T918" s="312"/>
      <c r="U918" s="312"/>
      <c r="V918" s="312"/>
      <c r="W918" s="312"/>
      <c r="X918" s="312"/>
      <c r="Y918" s="312"/>
      <c r="Z918" s="312"/>
      <c r="AA918" s="312"/>
      <c r="AB918" s="312"/>
      <c r="AC918" s="312"/>
      <c r="AD918" s="312"/>
      <c r="AE918" s="312"/>
      <c r="AF918" s="312"/>
      <c r="AG918" s="312"/>
      <c r="AH918" s="312"/>
      <c r="AI918" s="312"/>
      <c r="AJ918" s="312"/>
      <c r="AK918" s="312"/>
      <c r="AL918" s="312"/>
      <c r="AM918" s="312"/>
      <c r="AN918" s="312"/>
      <c r="AO918" s="312"/>
      <c r="AP918" s="312"/>
      <c r="AQ918" s="312"/>
    </row>
    <row r="919" ht="15.75" customHeight="1">
      <c r="A919" s="318"/>
      <c r="B919" s="312"/>
      <c r="C919" s="312"/>
      <c r="D919" s="312"/>
      <c r="E919" s="312"/>
      <c r="F919" s="312"/>
      <c r="G919" s="312"/>
      <c r="H919" s="312"/>
      <c r="I919" s="312"/>
      <c r="J919" s="312"/>
      <c r="K919" s="312"/>
      <c r="L919" s="312"/>
      <c r="M919" s="312"/>
      <c r="N919" s="312"/>
      <c r="O919" s="312"/>
      <c r="P919" s="312"/>
      <c r="Q919" s="312"/>
      <c r="R919" s="312"/>
      <c r="S919" s="312"/>
      <c r="T919" s="312"/>
      <c r="U919" s="312"/>
      <c r="V919" s="312"/>
      <c r="W919" s="312"/>
      <c r="X919" s="312"/>
      <c r="Y919" s="312"/>
      <c r="Z919" s="312"/>
      <c r="AA919" s="312"/>
      <c r="AB919" s="312"/>
      <c r="AC919" s="312"/>
      <c r="AD919" s="312"/>
      <c r="AE919" s="312"/>
      <c r="AF919" s="312"/>
      <c r="AG919" s="312"/>
      <c r="AH919" s="312"/>
      <c r="AI919" s="312"/>
      <c r="AJ919" s="312"/>
      <c r="AK919" s="312"/>
      <c r="AL919" s="312"/>
      <c r="AM919" s="312"/>
      <c r="AN919" s="312"/>
      <c r="AO919" s="312"/>
      <c r="AP919" s="312"/>
      <c r="AQ919" s="312"/>
    </row>
    <row r="920" ht="15.75" customHeight="1">
      <c r="A920" s="318"/>
      <c r="B920" s="312"/>
      <c r="C920" s="312"/>
      <c r="D920" s="312"/>
      <c r="E920" s="312"/>
      <c r="F920" s="312"/>
      <c r="G920" s="312"/>
      <c r="H920" s="312"/>
      <c r="I920" s="312"/>
      <c r="J920" s="312"/>
      <c r="K920" s="312"/>
      <c r="L920" s="312"/>
      <c r="M920" s="312"/>
      <c r="N920" s="312"/>
      <c r="O920" s="312"/>
      <c r="P920" s="312"/>
      <c r="Q920" s="312"/>
      <c r="R920" s="312"/>
      <c r="S920" s="312"/>
      <c r="T920" s="312"/>
      <c r="U920" s="312"/>
      <c r="V920" s="312"/>
      <c r="W920" s="312"/>
      <c r="X920" s="312"/>
      <c r="Y920" s="312"/>
      <c r="Z920" s="312"/>
      <c r="AA920" s="312"/>
      <c r="AB920" s="312"/>
      <c r="AC920" s="312"/>
      <c r="AD920" s="312"/>
      <c r="AE920" s="312"/>
      <c r="AF920" s="312"/>
      <c r="AG920" s="312"/>
      <c r="AH920" s="312"/>
      <c r="AI920" s="312"/>
      <c r="AJ920" s="312"/>
      <c r="AK920" s="312"/>
      <c r="AL920" s="312"/>
      <c r="AM920" s="312"/>
      <c r="AN920" s="312"/>
      <c r="AO920" s="312"/>
      <c r="AP920" s="312"/>
      <c r="AQ920" s="312"/>
    </row>
    <row r="921" ht="15.75" customHeight="1">
      <c r="A921" s="318"/>
      <c r="B921" s="312"/>
      <c r="C921" s="312"/>
      <c r="D921" s="312"/>
      <c r="E921" s="312"/>
      <c r="F921" s="312"/>
      <c r="G921" s="312"/>
      <c r="H921" s="312"/>
      <c r="I921" s="312"/>
      <c r="J921" s="312"/>
      <c r="K921" s="312"/>
      <c r="L921" s="312"/>
      <c r="M921" s="312"/>
      <c r="N921" s="312"/>
      <c r="O921" s="312"/>
      <c r="P921" s="312"/>
      <c r="Q921" s="312"/>
      <c r="R921" s="312"/>
      <c r="S921" s="312"/>
      <c r="T921" s="312"/>
      <c r="U921" s="312"/>
      <c r="V921" s="312"/>
      <c r="W921" s="312"/>
      <c r="X921" s="312"/>
      <c r="Y921" s="312"/>
      <c r="Z921" s="312"/>
      <c r="AA921" s="312"/>
      <c r="AB921" s="312"/>
      <c r="AC921" s="312"/>
      <c r="AD921" s="312"/>
      <c r="AE921" s="312"/>
      <c r="AF921" s="312"/>
      <c r="AG921" s="312"/>
      <c r="AH921" s="312"/>
      <c r="AI921" s="312"/>
      <c r="AJ921" s="312"/>
      <c r="AK921" s="312"/>
      <c r="AL921" s="312"/>
      <c r="AM921" s="312"/>
      <c r="AN921" s="312"/>
      <c r="AO921" s="312"/>
      <c r="AP921" s="312"/>
      <c r="AQ921" s="312"/>
    </row>
    <row r="922" ht="15.75" customHeight="1">
      <c r="A922" s="318"/>
      <c r="B922" s="312"/>
      <c r="C922" s="312"/>
      <c r="D922" s="312"/>
      <c r="E922" s="312"/>
      <c r="F922" s="312"/>
      <c r="G922" s="312"/>
      <c r="H922" s="312"/>
      <c r="I922" s="312"/>
      <c r="J922" s="312"/>
      <c r="K922" s="312"/>
      <c r="L922" s="312"/>
      <c r="M922" s="312"/>
      <c r="N922" s="312"/>
      <c r="O922" s="312"/>
      <c r="P922" s="312"/>
      <c r="Q922" s="312"/>
      <c r="R922" s="312"/>
      <c r="S922" s="312"/>
      <c r="T922" s="312"/>
      <c r="U922" s="312"/>
      <c r="V922" s="312"/>
      <c r="W922" s="312"/>
      <c r="X922" s="312"/>
      <c r="Y922" s="312"/>
      <c r="Z922" s="312"/>
      <c r="AA922" s="312"/>
      <c r="AB922" s="312"/>
      <c r="AC922" s="312"/>
      <c r="AD922" s="312"/>
      <c r="AE922" s="312"/>
      <c r="AF922" s="312"/>
      <c r="AG922" s="312"/>
      <c r="AH922" s="312"/>
      <c r="AI922" s="312"/>
      <c r="AJ922" s="312"/>
      <c r="AK922" s="312"/>
      <c r="AL922" s="312"/>
      <c r="AM922" s="312"/>
      <c r="AN922" s="312"/>
      <c r="AO922" s="312"/>
      <c r="AP922" s="312"/>
      <c r="AQ922" s="312"/>
    </row>
    <row r="923" ht="15.75" customHeight="1">
      <c r="A923" s="318"/>
      <c r="B923" s="312"/>
      <c r="C923" s="312"/>
      <c r="D923" s="312"/>
      <c r="E923" s="312"/>
      <c r="F923" s="312"/>
      <c r="G923" s="312"/>
      <c r="H923" s="312"/>
      <c r="I923" s="312"/>
      <c r="J923" s="312"/>
      <c r="K923" s="312"/>
      <c r="L923" s="312"/>
      <c r="M923" s="312"/>
      <c r="N923" s="312"/>
      <c r="O923" s="312"/>
      <c r="P923" s="312"/>
      <c r="Q923" s="312"/>
      <c r="R923" s="312"/>
      <c r="S923" s="312"/>
      <c r="T923" s="312"/>
      <c r="U923" s="312"/>
      <c r="V923" s="312"/>
      <c r="W923" s="312"/>
      <c r="X923" s="312"/>
      <c r="Y923" s="312"/>
      <c r="Z923" s="312"/>
      <c r="AA923" s="312"/>
      <c r="AB923" s="312"/>
      <c r="AC923" s="312"/>
      <c r="AD923" s="312"/>
      <c r="AE923" s="312"/>
      <c r="AF923" s="312"/>
      <c r="AG923" s="312"/>
      <c r="AH923" s="312"/>
      <c r="AI923" s="312"/>
      <c r="AJ923" s="312"/>
      <c r="AK923" s="312"/>
      <c r="AL923" s="312"/>
      <c r="AM923" s="312"/>
      <c r="AN923" s="312"/>
      <c r="AO923" s="312"/>
      <c r="AP923" s="312"/>
      <c r="AQ923" s="312"/>
    </row>
    <row r="924" ht="15.75" customHeight="1">
      <c r="A924" s="318"/>
      <c r="B924" s="312"/>
      <c r="C924" s="312"/>
      <c r="D924" s="312"/>
      <c r="E924" s="312"/>
      <c r="F924" s="312"/>
      <c r="G924" s="312"/>
      <c r="H924" s="312"/>
      <c r="I924" s="312"/>
      <c r="J924" s="312"/>
      <c r="K924" s="312"/>
      <c r="L924" s="312"/>
      <c r="M924" s="312"/>
      <c r="N924" s="312"/>
      <c r="O924" s="312"/>
      <c r="P924" s="312"/>
      <c r="Q924" s="312"/>
      <c r="R924" s="312"/>
      <c r="S924" s="312"/>
      <c r="T924" s="312"/>
      <c r="U924" s="312"/>
      <c r="V924" s="312"/>
      <c r="W924" s="312"/>
      <c r="X924" s="312"/>
      <c r="Y924" s="312"/>
      <c r="Z924" s="312"/>
      <c r="AA924" s="312"/>
      <c r="AB924" s="312"/>
      <c r="AC924" s="312"/>
      <c r="AD924" s="312"/>
      <c r="AE924" s="312"/>
      <c r="AF924" s="312"/>
      <c r="AG924" s="312"/>
      <c r="AH924" s="312"/>
      <c r="AI924" s="312"/>
      <c r="AJ924" s="312"/>
      <c r="AK924" s="312"/>
      <c r="AL924" s="312"/>
      <c r="AM924" s="312"/>
      <c r="AN924" s="312"/>
      <c r="AO924" s="312"/>
      <c r="AP924" s="312"/>
      <c r="AQ924" s="312"/>
    </row>
    <row r="925" ht="15.75" customHeight="1">
      <c r="A925" s="318"/>
      <c r="B925" s="312"/>
      <c r="C925" s="312"/>
      <c r="D925" s="312"/>
      <c r="E925" s="312"/>
      <c r="F925" s="312"/>
      <c r="G925" s="312"/>
      <c r="H925" s="312"/>
      <c r="I925" s="312"/>
      <c r="J925" s="312"/>
      <c r="K925" s="312"/>
      <c r="L925" s="312"/>
      <c r="M925" s="312"/>
      <c r="N925" s="312"/>
      <c r="O925" s="312"/>
      <c r="P925" s="312"/>
      <c r="Q925" s="312"/>
      <c r="R925" s="312"/>
      <c r="S925" s="312"/>
      <c r="T925" s="312"/>
      <c r="U925" s="312"/>
      <c r="V925" s="312"/>
      <c r="W925" s="312"/>
      <c r="X925" s="312"/>
      <c r="Y925" s="312"/>
      <c r="Z925" s="312"/>
      <c r="AA925" s="312"/>
      <c r="AB925" s="312"/>
      <c r="AC925" s="312"/>
      <c r="AD925" s="312"/>
      <c r="AE925" s="312"/>
      <c r="AF925" s="312"/>
      <c r="AG925" s="312"/>
      <c r="AH925" s="312"/>
      <c r="AI925" s="312"/>
      <c r="AJ925" s="312"/>
      <c r="AK925" s="312"/>
      <c r="AL925" s="312"/>
      <c r="AM925" s="312"/>
      <c r="AN925" s="312"/>
      <c r="AO925" s="312"/>
      <c r="AP925" s="312"/>
      <c r="AQ925" s="312"/>
    </row>
    <row r="926" ht="15.75" customHeight="1">
      <c r="A926" s="318"/>
      <c r="B926" s="312"/>
      <c r="C926" s="312"/>
      <c r="D926" s="312"/>
      <c r="E926" s="312"/>
      <c r="F926" s="312"/>
      <c r="G926" s="312"/>
      <c r="H926" s="312"/>
      <c r="I926" s="312"/>
      <c r="J926" s="312"/>
      <c r="K926" s="312"/>
      <c r="L926" s="312"/>
      <c r="M926" s="312"/>
      <c r="N926" s="312"/>
      <c r="O926" s="312"/>
      <c r="P926" s="312"/>
      <c r="Q926" s="312"/>
      <c r="R926" s="312"/>
      <c r="S926" s="312"/>
      <c r="T926" s="312"/>
      <c r="U926" s="312"/>
      <c r="V926" s="312"/>
      <c r="W926" s="312"/>
      <c r="X926" s="312"/>
      <c r="Y926" s="312"/>
      <c r="Z926" s="312"/>
      <c r="AA926" s="312"/>
      <c r="AB926" s="312"/>
      <c r="AC926" s="312"/>
      <c r="AD926" s="312"/>
      <c r="AE926" s="312"/>
      <c r="AF926" s="312"/>
      <c r="AG926" s="312"/>
      <c r="AH926" s="312"/>
      <c r="AI926" s="312"/>
      <c r="AJ926" s="312"/>
      <c r="AK926" s="312"/>
      <c r="AL926" s="312"/>
      <c r="AM926" s="312"/>
      <c r="AN926" s="312"/>
      <c r="AO926" s="312"/>
      <c r="AP926" s="312"/>
      <c r="AQ926" s="312"/>
    </row>
    <row r="927" ht="15.75" customHeight="1">
      <c r="A927" s="318"/>
      <c r="B927" s="312"/>
      <c r="C927" s="312"/>
      <c r="D927" s="312"/>
      <c r="E927" s="312"/>
      <c r="F927" s="312"/>
      <c r="G927" s="312"/>
      <c r="H927" s="312"/>
      <c r="I927" s="312"/>
      <c r="J927" s="312"/>
      <c r="K927" s="312"/>
      <c r="L927" s="312"/>
      <c r="M927" s="312"/>
      <c r="N927" s="312"/>
      <c r="O927" s="312"/>
      <c r="P927" s="312"/>
      <c r="Q927" s="312"/>
      <c r="R927" s="312"/>
      <c r="S927" s="312"/>
      <c r="T927" s="312"/>
      <c r="U927" s="312"/>
      <c r="V927" s="312"/>
      <c r="W927" s="312"/>
      <c r="X927" s="312"/>
      <c r="Y927" s="312"/>
      <c r="Z927" s="312"/>
      <c r="AA927" s="312"/>
      <c r="AB927" s="312"/>
      <c r="AC927" s="312"/>
      <c r="AD927" s="312"/>
      <c r="AE927" s="312"/>
      <c r="AF927" s="312"/>
      <c r="AG927" s="312"/>
      <c r="AH927" s="312"/>
      <c r="AI927" s="312"/>
      <c r="AJ927" s="312"/>
      <c r="AK927" s="312"/>
      <c r="AL927" s="312"/>
      <c r="AM927" s="312"/>
      <c r="AN927" s="312"/>
      <c r="AO927" s="312"/>
      <c r="AP927" s="312"/>
      <c r="AQ927" s="312"/>
    </row>
    <row r="928" ht="15.75" customHeight="1">
      <c r="A928" s="318"/>
      <c r="B928" s="312"/>
      <c r="C928" s="312"/>
      <c r="D928" s="312"/>
      <c r="E928" s="312"/>
      <c r="F928" s="312"/>
      <c r="G928" s="312"/>
      <c r="H928" s="312"/>
      <c r="I928" s="312"/>
      <c r="J928" s="312"/>
      <c r="K928" s="312"/>
      <c r="L928" s="312"/>
      <c r="M928" s="312"/>
      <c r="N928" s="312"/>
      <c r="O928" s="312"/>
      <c r="P928" s="312"/>
      <c r="Q928" s="312"/>
      <c r="R928" s="312"/>
      <c r="S928" s="312"/>
      <c r="T928" s="312"/>
      <c r="U928" s="312"/>
      <c r="V928" s="312"/>
      <c r="W928" s="312"/>
      <c r="X928" s="312"/>
      <c r="Y928" s="312"/>
      <c r="Z928" s="312"/>
      <c r="AA928" s="312"/>
      <c r="AB928" s="312"/>
      <c r="AC928" s="312"/>
      <c r="AD928" s="312"/>
      <c r="AE928" s="312"/>
      <c r="AF928" s="312"/>
      <c r="AG928" s="312"/>
      <c r="AH928" s="312"/>
      <c r="AI928" s="312"/>
      <c r="AJ928" s="312"/>
      <c r="AK928" s="312"/>
      <c r="AL928" s="312"/>
      <c r="AM928" s="312"/>
      <c r="AN928" s="312"/>
      <c r="AO928" s="312"/>
      <c r="AP928" s="312"/>
      <c r="AQ928" s="312"/>
    </row>
    <row r="929" ht="15.75" customHeight="1">
      <c r="A929" s="318"/>
      <c r="B929" s="312"/>
      <c r="C929" s="312"/>
      <c r="D929" s="312"/>
      <c r="E929" s="312"/>
      <c r="F929" s="312"/>
      <c r="G929" s="312"/>
      <c r="H929" s="312"/>
      <c r="I929" s="312"/>
      <c r="J929" s="312"/>
      <c r="K929" s="312"/>
      <c r="L929" s="312"/>
      <c r="M929" s="312"/>
      <c r="N929" s="312"/>
      <c r="O929" s="312"/>
      <c r="P929" s="312"/>
      <c r="Q929" s="312"/>
      <c r="R929" s="312"/>
      <c r="S929" s="312"/>
      <c r="T929" s="312"/>
      <c r="U929" s="312"/>
      <c r="V929" s="312"/>
      <c r="W929" s="312"/>
      <c r="X929" s="312"/>
      <c r="Y929" s="312"/>
      <c r="Z929" s="312"/>
      <c r="AA929" s="312"/>
      <c r="AB929" s="312"/>
      <c r="AC929" s="312"/>
      <c r="AD929" s="312"/>
      <c r="AE929" s="312"/>
      <c r="AF929" s="312"/>
      <c r="AG929" s="312"/>
      <c r="AH929" s="312"/>
      <c r="AI929" s="312"/>
      <c r="AJ929" s="312"/>
      <c r="AK929" s="312"/>
      <c r="AL929" s="312"/>
      <c r="AM929" s="312"/>
      <c r="AN929" s="312"/>
      <c r="AO929" s="312"/>
      <c r="AP929" s="312"/>
      <c r="AQ929" s="312"/>
    </row>
    <row r="930" ht="15.75" customHeight="1">
      <c r="A930" s="318"/>
      <c r="B930" s="312"/>
      <c r="C930" s="312"/>
      <c r="D930" s="312"/>
      <c r="E930" s="312"/>
      <c r="F930" s="312"/>
      <c r="G930" s="312"/>
      <c r="H930" s="312"/>
      <c r="I930" s="312"/>
      <c r="J930" s="312"/>
      <c r="K930" s="312"/>
      <c r="L930" s="312"/>
      <c r="M930" s="312"/>
      <c r="N930" s="312"/>
      <c r="O930" s="312"/>
      <c r="P930" s="312"/>
      <c r="Q930" s="312"/>
      <c r="R930" s="312"/>
      <c r="S930" s="312"/>
      <c r="T930" s="312"/>
      <c r="U930" s="312"/>
      <c r="V930" s="312"/>
      <c r="W930" s="312"/>
      <c r="X930" s="312"/>
      <c r="Y930" s="312"/>
      <c r="Z930" s="312"/>
      <c r="AA930" s="312"/>
      <c r="AB930" s="312"/>
      <c r="AC930" s="312"/>
      <c r="AD930" s="312"/>
      <c r="AE930" s="312"/>
      <c r="AF930" s="312"/>
      <c r="AG930" s="312"/>
      <c r="AH930" s="312"/>
      <c r="AI930" s="312"/>
      <c r="AJ930" s="312"/>
      <c r="AK930" s="312"/>
      <c r="AL930" s="312"/>
      <c r="AM930" s="312"/>
      <c r="AN930" s="312"/>
      <c r="AO930" s="312"/>
      <c r="AP930" s="312"/>
      <c r="AQ930" s="312"/>
    </row>
    <row r="931" ht="15.75" customHeight="1">
      <c r="A931" s="318"/>
      <c r="B931" s="312"/>
      <c r="C931" s="312"/>
      <c r="D931" s="312"/>
      <c r="E931" s="312"/>
      <c r="F931" s="312"/>
      <c r="G931" s="312"/>
      <c r="H931" s="312"/>
      <c r="I931" s="312"/>
      <c r="J931" s="312"/>
      <c r="K931" s="312"/>
      <c r="L931" s="312"/>
      <c r="M931" s="312"/>
      <c r="N931" s="312"/>
      <c r="O931" s="312"/>
      <c r="P931" s="312"/>
      <c r="Q931" s="312"/>
      <c r="R931" s="312"/>
      <c r="S931" s="312"/>
      <c r="T931" s="312"/>
      <c r="U931" s="312"/>
      <c r="V931" s="312"/>
      <c r="W931" s="312"/>
      <c r="X931" s="312"/>
      <c r="Y931" s="312"/>
      <c r="Z931" s="312"/>
      <c r="AA931" s="312"/>
      <c r="AB931" s="312"/>
      <c r="AC931" s="312"/>
      <c r="AD931" s="312"/>
      <c r="AE931" s="312"/>
      <c r="AF931" s="312"/>
      <c r="AG931" s="312"/>
      <c r="AH931" s="312"/>
      <c r="AI931" s="312"/>
      <c r="AJ931" s="312"/>
      <c r="AK931" s="312"/>
      <c r="AL931" s="312"/>
      <c r="AM931" s="312"/>
      <c r="AN931" s="312"/>
      <c r="AO931" s="312"/>
      <c r="AP931" s="312"/>
      <c r="AQ931" s="312"/>
    </row>
    <row r="932" ht="15.75" customHeight="1">
      <c r="A932" s="318"/>
      <c r="B932" s="312"/>
      <c r="C932" s="312"/>
      <c r="D932" s="312"/>
      <c r="E932" s="312"/>
      <c r="F932" s="312"/>
      <c r="G932" s="312"/>
      <c r="H932" s="312"/>
      <c r="I932" s="312"/>
      <c r="J932" s="312"/>
      <c r="K932" s="312"/>
      <c r="L932" s="312"/>
      <c r="M932" s="312"/>
      <c r="N932" s="312"/>
      <c r="O932" s="312"/>
      <c r="P932" s="312"/>
      <c r="Q932" s="312"/>
      <c r="R932" s="312"/>
      <c r="S932" s="312"/>
      <c r="T932" s="312"/>
      <c r="U932" s="312"/>
      <c r="V932" s="312"/>
      <c r="W932" s="312"/>
      <c r="X932" s="312"/>
      <c r="Y932" s="312"/>
      <c r="Z932" s="312"/>
      <c r="AA932" s="312"/>
      <c r="AB932" s="312"/>
      <c r="AC932" s="312"/>
      <c r="AD932" s="312"/>
      <c r="AE932" s="312"/>
      <c r="AF932" s="312"/>
      <c r="AG932" s="312"/>
      <c r="AH932" s="312"/>
      <c r="AI932" s="312"/>
      <c r="AJ932" s="312"/>
      <c r="AK932" s="312"/>
      <c r="AL932" s="312"/>
      <c r="AM932" s="312"/>
      <c r="AN932" s="312"/>
      <c r="AO932" s="312"/>
      <c r="AP932" s="312"/>
      <c r="AQ932" s="312"/>
    </row>
    <row r="933" ht="15.75" customHeight="1">
      <c r="A933" s="318"/>
      <c r="B933" s="312"/>
      <c r="C933" s="312"/>
      <c r="D933" s="312"/>
      <c r="E933" s="312"/>
      <c r="F933" s="312"/>
      <c r="G933" s="312"/>
      <c r="H933" s="312"/>
      <c r="I933" s="312"/>
      <c r="J933" s="312"/>
      <c r="K933" s="312"/>
      <c r="L933" s="312"/>
      <c r="M933" s="312"/>
      <c r="N933" s="312"/>
      <c r="O933" s="312"/>
      <c r="P933" s="312"/>
      <c r="Q933" s="312"/>
      <c r="R933" s="312"/>
      <c r="S933" s="312"/>
      <c r="T933" s="312"/>
      <c r="U933" s="312"/>
      <c r="V933" s="312"/>
      <c r="W933" s="312"/>
      <c r="X933" s="312"/>
      <c r="Y933" s="312"/>
      <c r="Z933" s="312"/>
      <c r="AA933" s="312"/>
      <c r="AB933" s="312"/>
      <c r="AC933" s="312"/>
      <c r="AD933" s="312"/>
      <c r="AE933" s="312"/>
      <c r="AF933" s="312"/>
      <c r="AG933" s="312"/>
      <c r="AH933" s="312"/>
      <c r="AI933" s="312"/>
      <c r="AJ933" s="312"/>
      <c r="AK933" s="312"/>
      <c r="AL933" s="312"/>
      <c r="AM933" s="312"/>
      <c r="AN933" s="312"/>
      <c r="AO933" s="312"/>
      <c r="AP933" s="312"/>
      <c r="AQ933" s="312"/>
    </row>
    <row r="934" ht="15.75" customHeight="1">
      <c r="A934" s="318"/>
      <c r="B934" s="312"/>
      <c r="C934" s="312"/>
      <c r="D934" s="312"/>
      <c r="E934" s="312"/>
      <c r="F934" s="312"/>
      <c r="G934" s="312"/>
      <c r="H934" s="312"/>
      <c r="I934" s="312"/>
      <c r="J934" s="312"/>
      <c r="K934" s="312"/>
      <c r="L934" s="312"/>
      <c r="M934" s="312"/>
      <c r="N934" s="312"/>
      <c r="O934" s="312"/>
      <c r="P934" s="312"/>
      <c r="Q934" s="312"/>
      <c r="R934" s="312"/>
      <c r="S934" s="312"/>
      <c r="T934" s="312"/>
      <c r="U934" s="312"/>
      <c r="V934" s="312"/>
      <c r="W934" s="312"/>
      <c r="X934" s="312"/>
      <c r="Y934" s="312"/>
      <c r="Z934" s="312"/>
      <c r="AA934" s="312"/>
      <c r="AB934" s="312"/>
      <c r="AC934" s="312"/>
      <c r="AD934" s="312"/>
      <c r="AE934" s="312"/>
      <c r="AF934" s="312"/>
      <c r="AG934" s="312"/>
      <c r="AH934" s="312"/>
      <c r="AI934" s="312"/>
      <c r="AJ934" s="312"/>
      <c r="AK934" s="312"/>
      <c r="AL934" s="312"/>
      <c r="AM934" s="312"/>
      <c r="AN934" s="312"/>
      <c r="AO934" s="312"/>
      <c r="AP934" s="312"/>
      <c r="AQ934" s="312"/>
    </row>
    <row r="935" ht="15.75" customHeight="1">
      <c r="A935" s="318"/>
      <c r="B935" s="312"/>
      <c r="C935" s="312"/>
      <c r="D935" s="312"/>
      <c r="E935" s="312"/>
      <c r="F935" s="312"/>
      <c r="G935" s="312"/>
      <c r="H935" s="312"/>
      <c r="I935" s="312"/>
      <c r="J935" s="312"/>
      <c r="K935" s="312"/>
      <c r="L935" s="312"/>
      <c r="M935" s="312"/>
      <c r="N935" s="312"/>
      <c r="O935" s="312"/>
      <c r="P935" s="312"/>
      <c r="Q935" s="312"/>
      <c r="R935" s="312"/>
      <c r="S935" s="312"/>
      <c r="T935" s="312"/>
      <c r="U935" s="312"/>
      <c r="V935" s="312"/>
      <c r="W935" s="312"/>
      <c r="X935" s="312"/>
      <c r="Y935" s="312"/>
      <c r="Z935" s="312"/>
      <c r="AA935" s="312"/>
      <c r="AB935" s="312"/>
      <c r="AC935" s="312"/>
      <c r="AD935" s="312"/>
      <c r="AE935" s="312"/>
      <c r="AF935" s="312"/>
      <c r="AG935" s="312"/>
      <c r="AH935" s="312"/>
      <c r="AI935" s="312"/>
      <c r="AJ935" s="312"/>
      <c r="AK935" s="312"/>
      <c r="AL935" s="312"/>
      <c r="AM935" s="312"/>
      <c r="AN935" s="312"/>
      <c r="AO935" s="312"/>
      <c r="AP935" s="312"/>
      <c r="AQ935" s="312"/>
    </row>
    <row r="936" ht="15.75" customHeight="1">
      <c r="A936" s="318"/>
      <c r="B936" s="312"/>
      <c r="C936" s="312"/>
      <c r="D936" s="312"/>
      <c r="E936" s="312"/>
      <c r="F936" s="312"/>
      <c r="G936" s="312"/>
      <c r="H936" s="312"/>
      <c r="I936" s="312"/>
      <c r="J936" s="312"/>
      <c r="K936" s="312"/>
      <c r="L936" s="312"/>
      <c r="M936" s="312"/>
      <c r="N936" s="312"/>
      <c r="O936" s="312"/>
      <c r="P936" s="312"/>
      <c r="Q936" s="312"/>
      <c r="R936" s="312"/>
      <c r="S936" s="312"/>
      <c r="T936" s="312"/>
      <c r="U936" s="312"/>
      <c r="V936" s="312"/>
      <c r="W936" s="312"/>
      <c r="X936" s="312"/>
      <c r="Y936" s="312"/>
      <c r="Z936" s="312"/>
      <c r="AA936" s="312"/>
      <c r="AB936" s="312"/>
      <c r="AC936" s="312"/>
      <c r="AD936" s="312"/>
      <c r="AE936" s="312"/>
      <c r="AF936" s="312"/>
      <c r="AG936" s="312"/>
      <c r="AH936" s="312"/>
      <c r="AI936" s="312"/>
      <c r="AJ936" s="312"/>
      <c r="AK936" s="312"/>
      <c r="AL936" s="312"/>
      <c r="AM936" s="312"/>
      <c r="AN936" s="312"/>
      <c r="AO936" s="312"/>
      <c r="AP936" s="312"/>
      <c r="AQ936" s="312"/>
    </row>
    <row r="937" ht="15.75" customHeight="1">
      <c r="A937" s="318"/>
      <c r="B937" s="312"/>
      <c r="C937" s="312"/>
      <c r="D937" s="312"/>
      <c r="E937" s="312"/>
      <c r="F937" s="312"/>
      <c r="G937" s="312"/>
      <c r="H937" s="312"/>
      <c r="I937" s="312"/>
      <c r="J937" s="312"/>
      <c r="K937" s="312"/>
      <c r="L937" s="312"/>
      <c r="M937" s="312"/>
      <c r="N937" s="312"/>
      <c r="O937" s="312"/>
      <c r="P937" s="312"/>
      <c r="Q937" s="312"/>
      <c r="R937" s="312"/>
      <c r="S937" s="312"/>
      <c r="T937" s="312"/>
      <c r="U937" s="312"/>
      <c r="V937" s="312"/>
      <c r="W937" s="312"/>
      <c r="X937" s="312"/>
      <c r="Y937" s="312"/>
      <c r="Z937" s="312"/>
      <c r="AA937" s="312"/>
      <c r="AB937" s="312"/>
      <c r="AC937" s="312"/>
      <c r="AD937" s="312"/>
      <c r="AE937" s="312"/>
      <c r="AF937" s="312"/>
      <c r="AG937" s="312"/>
      <c r="AH937" s="312"/>
      <c r="AI937" s="312"/>
      <c r="AJ937" s="312"/>
      <c r="AK937" s="312"/>
      <c r="AL937" s="312"/>
      <c r="AM937" s="312"/>
      <c r="AN937" s="312"/>
      <c r="AO937" s="312"/>
      <c r="AP937" s="312"/>
      <c r="AQ937" s="312"/>
    </row>
    <row r="938" ht="15.75" customHeight="1">
      <c r="A938" s="318"/>
      <c r="B938" s="312"/>
      <c r="C938" s="312"/>
      <c r="D938" s="312"/>
      <c r="E938" s="312"/>
      <c r="F938" s="312"/>
      <c r="G938" s="312"/>
      <c r="H938" s="312"/>
      <c r="I938" s="312"/>
      <c r="J938" s="312"/>
      <c r="K938" s="312"/>
      <c r="L938" s="312"/>
      <c r="M938" s="312"/>
      <c r="N938" s="312"/>
      <c r="O938" s="312"/>
      <c r="P938" s="312"/>
      <c r="Q938" s="312"/>
      <c r="R938" s="312"/>
      <c r="S938" s="312"/>
      <c r="T938" s="312"/>
      <c r="U938" s="312"/>
      <c r="V938" s="312"/>
      <c r="W938" s="312"/>
      <c r="X938" s="312"/>
      <c r="Y938" s="312"/>
      <c r="Z938" s="312"/>
      <c r="AA938" s="312"/>
      <c r="AB938" s="312"/>
      <c r="AC938" s="312"/>
      <c r="AD938" s="312"/>
      <c r="AE938" s="312"/>
      <c r="AF938" s="312"/>
      <c r="AG938" s="312"/>
      <c r="AH938" s="312"/>
      <c r="AI938" s="312"/>
      <c r="AJ938" s="312"/>
      <c r="AK938" s="312"/>
      <c r="AL938" s="312"/>
      <c r="AM938" s="312"/>
      <c r="AN938" s="312"/>
      <c r="AO938" s="312"/>
      <c r="AP938" s="312"/>
      <c r="AQ938" s="312"/>
    </row>
    <row r="939" ht="15.75" customHeight="1">
      <c r="A939" s="318"/>
      <c r="B939" s="312"/>
      <c r="C939" s="312"/>
      <c r="D939" s="312"/>
      <c r="E939" s="312"/>
      <c r="F939" s="312"/>
      <c r="G939" s="312"/>
      <c r="H939" s="312"/>
      <c r="I939" s="312"/>
      <c r="J939" s="312"/>
      <c r="K939" s="312"/>
      <c r="L939" s="312"/>
      <c r="M939" s="312"/>
      <c r="N939" s="312"/>
      <c r="O939" s="312"/>
      <c r="P939" s="312"/>
      <c r="Q939" s="312"/>
      <c r="R939" s="312"/>
      <c r="S939" s="312"/>
      <c r="T939" s="312"/>
      <c r="U939" s="312"/>
      <c r="V939" s="312"/>
      <c r="W939" s="312"/>
      <c r="X939" s="312"/>
      <c r="Y939" s="312"/>
      <c r="Z939" s="312"/>
      <c r="AA939" s="312"/>
      <c r="AB939" s="312"/>
      <c r="AC939" s="312"/>
      <c r="AD939" s="312"/>
      <c r="AE939" s="312"/>
      <c r="AF939" s="312"/>
      <c r="AG939" s="312"/>
      <c r="AH939" s="312"/>
      <c r="AI939" s="312"/>
      <c r="AJ939" s="312"/>
      <c r="AK939" s="312"/>
      <c r="AL939" s="312"/>
      <c r="AM939" s="312"/>
      <c r="AN939" s="312"/>
      <c r="AO939" s="312"/>
      <c r="AP939" s="312"/>
      <c r="AQ939" s="312"/>
    </row>
    <row r="940" ht="15.75" customHeight="1">
      <c r="A940" s="318"/>
      <c r="B940" s="312"/>
      <c r="C940" s="312"/>
      <c r="D940" s="312"/>
      <c r="E940" s="312"/>
      <c r="F940" s="312"/>
      <c r="G940" s="312"/>
      <c r="H940" s="312"/>
      <c r="I940" s="312"/>
      <c r="J940" s="312"/>
      <c r="K940" s="312"/>
      <c r="L940" s="312"/>
      <c r="M940" s="312"/>
      <c r="N940" s="312"/>
      <c r="O940" s="312"/>
      <c r="P940" s="312"/>
      <c r="Q940" s="312"/>
      <c r="R940" s="312"/>
      <c r="S940" s="312"/>
      <c r="T940" s="312"/>
      <c r="U940" s="312"/>
      <c r="V940" s="312"/>
      <c r="W940" s="312"/>
      <c r="X940" s="312"/>
      <c r="Y940" s="312"/>
      <c r="Z940" s="312"/>
      <c r="AA940" s="312"/>
      <c r="AB940" s="312"/>
      <c r="AC940" s="312"/>
      <c r="AD940" s="312"/>
      <c r="AE940" s="312"/>
      <c r="AF940" s="312"/>
      <c r="AG940" s="312"/>
      <c r="AH940" s="312"/>
      <c r="AI940" s="312"/>
      <c r="AJ940" s="312"/>
      <c r="AK940" s="312"/>
      <c r="AL940" s="312"/>
      <c r="AM940" s="312"/>
      <c r="AN940" s="312"/>
      <c r="AO940" s="312"/>
      <c r="AP940" s="312"/>
      <c r="AQ940" s="312"/>
    </row>
    <row r="941" ht="15.75" customHeight="1">
      <c r="A941" s="318"/>
      <c r="B941" s="312"/>
      <c r="C941" s="312"/>
      <c r="D941" s="312"/>
      <c r="E941" s="312"/>
      <c r="F941" s="312"/>
      <c r="G941" s="312"/>
      <c r="H941" s="312"/>
      <c r="I941" s="312"/>
      <c r="J941" s="312"/>
      <c r="K941" s="312"/>
      <c r="L941" s="312"/>
      <c r="M941" s="312"/>
      <c r="N941" s="312"/>
      <c r="O941" s="312"/>
      <c r="P941" s="312"/>
      <c r="Q941" s="312"/>
      <c r="R941" s="312"/>
      <c r="S941" s="312"/>
      <c r="T941" s="312"/>
      <c r="U941" s="312"/>
      <c r="V941" s="312"/>
      <c r="W941" s="312"/>
      <c r="X941" s="312"/>
      <c r="Y941" s="312"/>
      <c r="Z941" s="312"/>
      <c r="AA941" s="312"/>
      <c r="AB941" s="312"/>
      <c r="AC941" s="312"/>
      <c r="AD941" s="312"/>
      <c r="AE941" s="312"/>
      <c r="AF941" s="312"/>
      <c r="AG941" s="312"/>
      <c r="AH941" s="312"/>
      <c r="AI941" s="312"/>
      <c r="AJ941" s="312"/>
      <c r="AK941" s="312"/>
      <c r="AL941" s="312"/>
      <c r="AM941" s="312"/>
      <c r="AN941" s="312"/>
      <c r="AO941" s="312"/>
      <c r="AP941" s="312"/>
      <c r="AQ941" s="312"/>
    </row>
    <row r="942" ht="15.75" customHeight="1">
      <c r="A942" s="318"/>
      <c r="B942" s="312"/>
      <c r="C942" s="312"/>
      <c r="D942" s="312"/>
      <c r="E942" s="312"/>
      <c r="F942" s="312"/>
      <c r="G942" s="312"/>
      <c r="H942" s="312"/>
      <c r="I942" s="312"/>
      <c r="J942" s="312"/>
      <c r="K942" s="312"/>
      <c r="L942" s="312"/>
      <c r="M942" s="312"/>
      <c r="N942" s="312"/>
      <c r="O942" s="312"/>
      <c r="P942" s="312"/>
      <c r="Q942" s="312"/>
      <c r="R942" s="312"/>
      <c r="S942" s="312"/>
      <c r="T942" s="312"/>
      <c r="U942" s="312"/>
      <c r="V942" s="312"/>
      <c r="W942" s="312"/>
      <c r="X942" s="312"/>
      <c r="Y942" s="312"/>
      <c r="Z942" s="312"/>
      <c r="AA942" s="312"/>
      <c r="AB942" s="312"/>
      <c r="AC942" s="312"/>
      <c r="AD942" s="312"/>
      <c r="AE942" s="312"/>
      <c r="AF942" s="312"/>
      <c r="AG942" s="312"/>
      <c r="AH942" s="312"/>
      <c r="AI942" s="312"/>
      <c r="AJ942" s="312"/>
      <c r="AK942" s="312"/>
      <c r="AL942" s="312"/>
      <c r="AM942" s="312"/>
      <c r="AN942" s="312"/>
      <c r="AO942" s="312"/>
      <c r="AP942" s="312"/>
      <c r="AQ942" s="312"/>
    </row>
    <row r="943" ht="15.75" customHeight="1">
      <c r="A943" s="318"/>
      <c r="B943" s="312"/>
      <c r="C943" s="312"/>
      <c r="D943" s="312"/>
      <c r="E943" s="312"/>
      <c r="F943" s="312"/>
      <c r="G943" s="312"/>
      <c r="H943" s="312"/>
      <c r="I943" s="312"/>
      <c r="J943" s="312"/>
      <c r="K943" s="312"/>
      <c r="L943" s="312"/>
      <c r="M943" s="312"/>
      <c r="N943" s="312"/>
      <c r="O943" s="312"/>
      <c r="P943" s="312"/>
      <c r="Q943" s="312"/>
      <c r="R943" s="312"/>
      <c r="S943" s="312"/>
      <c r="T943" s="312"/>
      <c r="U943" s="312"/>
      <c r="V943" s="312"/>
      <c r="W943" s="312"/>
      <c r="X943" s="312"/>
      <c r="Y943" s="312"/>
      <c r="Z943" s="312"/>
      <c r="AA943" s="312"/>
      <c r="AB943" s="312"/>
      <c r="AC943" s="312"/>
      <c r="AD943" s="312"/>
      <c r="AE943" s="312"/>
      <c r="AF943" s="312"/>
      <c r="AG943" s="312"/>
      <c r="AH943" s="312"/>
      <c r="AI943" s="312"/>
      <c r="AJ943" s="312"/>
      <c r="AK943" s="312"/>
      <c r="AL943" s="312"/>
      <c r="AM943" s="312"/>
      <c r="AN943" s="312"/>
      <c r="AO943" s="312"/>
      <c r="AP943" s="312"/>
      <c r="AQ943" s="312"/>
    </row>
    <row r="944" ht="15.75" customHeight="1">
      <c r="A944" s="318"/>
      <c r="B944" s="312"/>
      <c r="C944" s="312"/>
      <c r="D944" s="312"/>
      <c r="E944" s="312"/>
      <c r="F944" s="312"/>
      <c r="G944" s="312"/>
      <c r="H944" s="312"/>
      <c r="I944" s="312"/>
      <c r="J944" s="312"/>
      <c r="K944" s="312"/>
      <c r="L944" s="312"/>
      <c r="M944" s="312"/>
      <c r="N944" s="312"/>
      <c r="O944" s="312"/>
      <c r="P944" s="312"/>
      <c r="Q944" s="312"/>
      <c r="R944" s="312"/>
      <c r="S944" s="312"/>
      <c r="T944" s="312"/>
      <c r="U944" s="312"/>
      <c r="V944" s="312"/>
      <c r="W944" s="312"/>
      <c r="X944" s="312"/>
      <c r="Y944" s="312"/>
      <c r="Z944" s="312"/>
      <c r="AA944" s="312"/>
      <c r="AB944" s="312"/>
      <c r="AC944" s="312"/>
      <c r="AD944" s="312"/>
      <c r="AE944" s="312"/>
      <c r="AF944" s="312"/>
      <c r="AG944" s="312"/>
      <c r="AH944" s="312"/>
      <c r="AI944" s="312"/>
      <c r="AJ944" s="312"/>
      <c r="AK944" s="312"/>
      <c r="AL944" s="312"/>
      <c r="AM944" s="312"/>
      <c r="AN944" s="312"/>
      <c r="AO944" s="312"/>
      <c r="AP944" s="312"/>
      <c r="AQ944" s="312"/>
    </row>
    <row r="945" ht="15.75" customHeight="1">
      <c r="A945" s="318"/>
      <c r="B945" s="312"/>
      <c r="C945" s="312"/>
      <c r="D945" s="312"/>
      <c r="E945" s="312"/>
      <c r="F945" s="312"/>
      <c r="G945" s="312"/>
      <c r="H945" s="312"/>
      <c r="I945" s="312"/>
      <c r="J945" s="312"/>
      <c r="K945" s="312"/>
      <c r="L945" s="312"/>
      <c r="M945" s="312"/>
      <c r="N945" s="312"/>
      <c r="O945" s="312"/>
      <c r="P945" s="312"/>
      <c r="Q945" s="312"/>
      <c r="R945" s="312"/>
      <c r="S945" s="312"/>
      <c r="T945" s="312"/>
      <c r="U945" s="312"/>
      <c r="V945" s="312"/>
      <c r="W945" s="312"/>
      <c r="X945" s="312"/>
      <c r="Y945" s="312"/>
      <c r="Z945" s="312"/>
      <c r="AA945" s="312"/>
      <c r="AB945" s="312"/>
      <c r="AC945" s="312"/>
      <c r="AD945" s="312"/>
      <c r="AE945" s="312"/>
      <c r="AF945" s="312"/>
      <c r="AG945" s="312"/>
      <c r="AH945" s="312"/>
      <c r="AI945" s="312"/>
      <c r="AJ945" s="312"/>
      <c r="AK945" s="312"/>
      <c r="AL945" s="312"/>
      <c r="AM945" s="312"/>
      <c r="AN945" s="312"/>
      <c r="AO945" s="312"/>
      <c r="AP945" s="312"/>
      <c r="AQ945" s="312"/>
    </row>
    <row r="946" ht="15.75" customHeight="1">
      <c r="A946" s="318"/>
      <c r="B946" s="312"/>
      <c r="C946" s="312"/>
      <c r="D946" s="312"/>
      <c r="E946" s="312"/>
      <c r="F946" s="312"/>
      <c r="G946" s="312"/>
      <c r="H946" s="312"/>
      <c r="I946" s="312"/>
      <c r="J946" s="312"/>
      <c r="K946" s="312"/>
      <c r="L946" s="312"/>
      <c r="M946" s="312"/>
      <c r="N946" s="312"/>
      <c r="O946" s="312"/>
      <c r="P946" s="312"/>
      <c r="Q946" s="312"/>
      <c r="R946" s="312"/>
      <c r="S946" s="312"/>
      <c r="T946" s="312"/>
      <c r="U946" s="312"/>
      <c r="V946" s="312"/>
      <c r="W946" s="312"/>
      <c r="X946" s="312"/>
      <c r="Y946" s="312"/>
      <c r="Z946" s="312"/>
      <c r="AA946" s="312"/>
      <c r="AB946" s="312"/>
      <c r="AC946" s="312"/>
      <c r="AD946" s="312"/>
      <c r="AE946" s="312"/>
      <c r="AF946" s="312"/>
      <c r="AG946" s="312"/>
      <c r="AH946" s="312"/>
      <c r="AI946" s="312"/>
      <c r="AJ946" s="312"/>
      <c r="AK946" s="312"/>
      <c r="AL946" s="312"/>
      <c r="AM946" s="312"/>
      <c r="AN946" s="312"/>
      <c r="AO946" s="312"/>
      <c r="AP946" s="312"/>
      <c r="AQ946" s="312"/>
    </row>
    <row r="947" ht="15.75" customHeight="1">
      <c r="A947" s="318"/>
      <c r="B947" s="312"/>
      <c r="C947" s="312"/>
      <c r="D947" s="312"/>
      <c r="E947" s="312"/>
      <c r="F947" s="312"/>
      <c r="G947" s="312"/>
      <c r="H947" s="312"/>
      <c r="I947" s="312"/>
      <c r="J947" s="312"/>
      <c r="K947" s="312"/>
      <c r="L947" s="312"/>
      <c r="M947" s="312"/>
      <c r="N947" s="312"/>
      <c r="O947" s="312"/>
      <c r="P947" s="312"/>
      <c r="Q947" s="312"/>
      <c r="R947" s="312"/>
      <c r="S947" s="312"/>
      <c r="T947" s="312"/>
      <c r="U947" s="312"/>
      <c r="V947" s="312"/>
      <c r="W947" s="312"/>
      <c r="X947" s="312"/>
      <c r="Y947" s="312"/>
      <c r="Z947" s="312"/>
      <c r="AA947" s="312"/>
      <c r="AB947" s="312"/>
      <c r="AC947" s="312"/>
      <c r="AD947" s="312"/>
      <c r="AE947" s="312"/>
      <c r="AF947" s="312"/>
      <c r="AG947" s="312"/>
      <c r="AH947" s="312"/>
      <c r="AI947" s="312"/>
      <c r="AJ947" s="312"/>
      <c r="AK947" s="312"/>
      <c r="AL947" s="312"/>
      <c r="AM947" s="312"/>
      <c r="AN947" s="312"/>
      <c r="AO947" s="312"/>
      <c r="AP947" s="312"/>
      <c r="AQ947" s="312"/>
    </row>
    <row r="948" ht="15.75" customHeight="1">
      <c r="A948" s="318"/>
      <c r="B948" s="312"/>
      <c r="C948" s="312"/>
      <c r="D948" s="312"/>
      <c r="E948" s="312"/>
      <c r="F948" s="312"/>
      <c r="G948" s="312"/>
      <c r="H948" s="312"/>
      <c r="I948" s="312"/>
      <c r="J948" s="312"/>
      <c r="K948" s="312"/>
      <c r="L948" s="312"/>
      <c r="M948" s="312"/>
      <c r="N948" s="312"/>
      <c r="O948" s="312"/>
      <c r="P948" s="312"/>
      <c r="Q948" s="312"/>
      <c r="R948" s="312"/>
      <c r="S948" s="312"/>
      <c r="T948" s="312"/>
      <c r="U948" s="312"/>
      <c r="V948" s="312"/>
      <c r="W948" s="312"/>
      <c r="X948" s="312"/>
      <c r="Y948" s="312"/>
      <c r="Z948" s="312"/>
      <c r="AA948" s="312"/>
      <c r="AB948" s="312"/>
      <c r="AC948" s="312"/>
      <c r="AD948" s="312"/>
      <c r="AE948" s="312"/>
      <c r="AF948" s="312"/>
      <c r="AG948" s="312"/>
      <c r="AH948" s="312"/>
      <c r="AI948" s="312"/>
      <c r="AJ948" s="312"/>
      <c r="AK948" s="312"/>
      <c r="AL948" s="312"/>
      <c r="AM948" s="312"/>
      <c r="AN948" s="312"/>
      <c r="AO948" s="312"/>
      <c r="AP948" s="312"/>
      <c r="AQ948" s="312"/>
    </row>
    <row r="949" ht="15.75" customHeight="1">
      <c r="A949" s="318"/>
      <c r="B949" s="312"/>
      <c r="C949" s="312"/>
      <c r="D949" s="312"/>
      <c r="E949" s="312"/>
      <c r="F949" s="312"/>
      <c r="G949" s="312"/>
      <c r="H949" s="312"/>
      <c r="I949" s="312"/>
      <c r="J949" s="312"/>
      <c r="K949" s="312"/>
      <c r="L949" s="312"/>
      <c r="M949" s="312"/>
      <c r="N949" s="312"/>
      <c r="O949" s="312"/>
      <c r="P949" s="312"/>
      <c r="Q949" s="312"/>
      <c r="R949" s="312"/>
      <c r="S949" s="312"/>
      <c r="T949" s="312"/>
      <c r="U949" s="312"/>
      <c r="V949" s="312"/>
      <c r="W949" s="312"/>
      <c r="X949" s="312"/>
      <c r="Y949" s="312"/>
      <c r="Z949" s="312"/>
      <c r="AA949" s="312"/>
      <c r="AB949" s="312"/>
      <c r="AC949" s="312"/>
      <c r="AD949" s="312"/>
      <c r="AE949" s="312"/>
      <c r="AF949" s="312"/>
      <c r="AG949" s="312"/>
      <c r="AH949" s="312"/>
      <c r="AI949" s="312"/>
      <c r="AJ949" s="312"/>
      <c r="AK949" s="312"/>
      <c r="AL949" s="312"/>
      <c r="AM949" s="312"/>
      <c r="AN949" s="312"/>
      <c r="AO949" s="312"/>
      <c r="AP949" s="312"/>
      <c r="AQ949" s="312"/>
    </row>
    <row r="950" ht="15.75" customHeight="1">
      <c r="A950" s="318"/>
      <c r="B950" s="312"/>
      <c r="C950" s="312"/>
      <c r="D950" s="312"/>
      <c r="E950" s="312"/>
      <c r="F950" s="312"/>
      <c r="G950" s="312"/>
      <c r="H950" s="312"/>
      <c r="I950" s="312"/>
      <c r="J950" s="312"/>
      <c r="K950" s="312"/>
      <c r="L950" s="312"/>
      <c r="M950" s="312"/>
      <c r="N950" s="312"/>
      <c r="O950" s="312"/>
      <c r="P950" s="312"/>
      <c r="Q950" s="312"/>
      <c r="R950" s="312"/>
      <c r="S950" s="312"/>
      <c r="T950" s="312"/>
      <c r="U950" s="312"/>
      <c r="V950" s="312"/>
      <c r="W950" s="312"/>
      <c r="X950" s="312"/>
      <c r="Y950" s="312"/>
      <c r="Z950" s="312"/>
      <c r="AA950" s="312"/>
      <c r="AB950" s="312"/>
      <c r="AC950" s="312"/>
      <c r="AD950" s="312"/>
      <c r="AE950" s="312"/>
      <c r="AF950" s="312"/>
      <c r="AG950" s="312"/>
      <c r="AH950" s="312"/>
      <c r="AI950" s="312"/>
      <c r="AJ950" s="312"/>
      <c r="AK950" s="312"/>
      <c r="AL950" s="312"/>
      <c r="AM950" s="312"/>
      <c r="AN950" s="312"/>
      <c r="AO950" s="312"/>
      <c r="AP950" s="312"/>
      <c r="AQ950" s="312"/>
    </row>
    <row r="951" ht="15.75" customHeight="1">
      <c r="A951" s="318"/>
      <c r="B951" s="312"/>
      <c r="C951" s="312"/>
      <c r="D951" s="312"/>
      <c r="E951" s="312"/>
      <c r="F951" s="312"/>
      <c r="G951" s="312"/>
      <c r="H951" s="312"/>
      <c r="I951" s="312"/>
      <c r="J951" s="312"/>
      <c r="K951" s="312"/>
      <c r="L951" s="312"/>
      <c r="M951" s="312"/>
      <c r="N951" s="312"/>
      <c r="O951" s="312"/>
      <c r="P951" s="312"/>
      <c r="Q951" s="312"/>
      <c r="R951" s="312"/>
      <c r="S951" s="312"/>
      <c r="T951" s="312"/>
      <c r="U951" s="312"/>
      <c r="V951" s="312"/>
      <c r="W951" s="312"/>
      <c r="X951" s="312"/>
      <c r="Y951" s="312"/>
      <c r="Z951" s="312"/>
      <c r="AA951" s="312"/>
      <c r="AB951" s="312"/>
      <c r="AC951" s="312"/>
      <c r="AD951" s="312"/>
      <c r="AE951" s="312"/>
      <c r="AF951" s="312"/>
      <c r="AG951" s="312"/>
      <c r="AH951" s="312"/>
      <c r="AI951" s="312"/>
      <c r="AJ951" s="312"/>
      <c r="AK951" s="312"/>
      <c r="AL951" s="312"/>
      <c r="AM951" s="312"/>
      <c r="AN951" s="312"/>
      <c r="AO951" s="312"/>
      <c r="AP951" s="312"/>
      <c r="AQ951" s="312"/>
    </row>
    <row r="952" ht="15.75" customHeight="1">
      <c r="A952" s="318"/>
      <c r="B952" s="312"/>
      <c r="C952" s="312"/>
      <c r="D952" s="312"/>
      <c r="E952" s="312"/>
      <c r="F952" s="312"/>
      <c r="G952" s="312"/>
      <c r="H952" s="312"/>
      <c r="I952" s="312"/>
      <c r="J952" s="312"/>
      <c r="K952" s="312"/>
      <c r="L952" s="312"/>
      <c r="M952" s="312"/>
      <c r="N952" s="312"/>
      <c r="O952" s="312"/>
      <c r="P952" s="312"/>
      <c r="Q952" s="312"/>
      <c r="R952" s="312"/>
      <c r="S952" s="312"/>
      <c r="T952" s="312"/>
      <c r="U952" s="312"/>
      <c r="V952" s="312"/>
      <c r="W952" s="312"/>
      <c r="X952" s="312"/>
      <c r="Y952" s="312"/>
      <c r="Z952" s="312"/>
      <c r="AA952" s="312"/>
      <c r="AB952" s="312"/>
      <c r="AC952" s="312"/>
      <c r="AD952" s="312"/>
      <c r="AE952" s="312"/>
      <c r="AF952" s="312"/>
      <c r="AG952" s="312"/>
      <c r="AH952" s="312"/>
      <c r="AI952" s="312"/>
      <c r="AJ952" s="312"/>
      <c r="AK952" s="312"/>
      <c r="AL952" s="312"/>
      <c r="AM952" s="312"/>
      <c r="AN952" s="312"/>
      <c r="AO952" s="312"/>
      <c r="AP952" s="312"/>
      <c r="AQ952" s="312"/>
    </row>
    <row r="953" ht="15.75" customHeight="1">
      <c r="A953" s="318"/>
      <c r="B953" s="312"/>
      <c r="C953" s="312"/>
      <c r="D953" s="312"/>
      <c r="E953" s="312"/>
      <c r="F953" s="312"/>
      <c r="G953" s="312"/>
      <c r="H953" s="312"/>
      <c r="I953" s="312"/>
      <c r="J953" s="312"/>
      <c r="K953" s="312"/>
      <c r="L953" s="312"/>
      <c r="M953" s="312"/>
      <c r="N953" s="312"/>
      <c r="O953" s="312"/>
      <c r="P953" s="312"/>
      <c r="Q953" s="312"/>
      <c r="R953" s="312"/>
      <c r="S953" s="312"/>
      <c r="T953" s="312"/>
      <c r="U953" s="312"/>
      <c r="V953" s="312"/>
      <c r="W953" s="312"/>
      <c r="X953" s="312"/>
      <c r="Y953" s="312"/>
      <c r="Z953" s="312"/>
      <c r="AA953" s="312"/>
      <c r="AB953" s="312"/>
      <c r="AC953" s="312"/>
      <c r="AD953" s="312"/>
      <c r="AE953" s="312"/>
      <c r="AF953" s="312"/>
      <c r="AG953" s="312"/>
      <c r="AH953" s="312"/>
      <c r="AI953" s="312"/>
      <c r="AJ953" s="312"/>
      <c r="AK953" s="312"/>
      <c r="AL953" s="312"/>
      <c r="AM953" s="312"/>
      <c r="AN953" s="312"/>
      <c r="AO953" s="312"/>
      <c r="AP953" s="312"/>
      <c r="AQ953" s="312"/>
    </row>
    <row r="954" ht="15.75" customHeight="1">
      <c r="A954" s="318"/>
      <c r="B954" s="312"/>
      <c r="C954" s="312"/>
      <c r="D954" s="312"/>
      <c r="E954" s="312"/>
      <c r="F954" s="312"/>
      <c r="G954" s="312"/>
      <c r="H954" s="312"/>
      <c r="I954" s="312"/>
      <c r="J954" s="312"/>
      <c r="K954" s="312"/>
      <c r="L954" s="312"/>
      <c r="M954" s="312"/>
      <c r="N954" s="312"/>
      <c r="O954" s="312"/>
      <c r="P954" s="312"/>
      <c r="Q954" s="312"/>
      <c r="R954" s="312"/>
      <c r="S954" s="312"/>
      <c r="T954" s="312"/>
      <c r="U954" s="312"/>
      <c r="V954" s="312"/>
      <c r="W954" s="312"/>
      <c r="X954" s="312"/>
      <c r="Y954" s="312"/>
      <c r="Z954" s="312"/>
      <c r="AA954" s="312"/>
      <c r="AB954" s="312"/>
      <c r="AC954" s="312"/>
      <c r="AD954" s="312"/>
      <c r="AE954" s="312"/>
      <c r="AF954" s="312"/>
      <c r="AG954" s="312"/>
      <c r="AH954" s="312"/>
      <c r="AI954" s="312"/>
      <c r="AJ954" s="312"/>
      <c r="AK954" s="312"/>
      <c r="AL954" s="312"/>
      <c r="AM954" s="312"/>
      <c r="AN954" s="312"/>
      <c r="AO954" s="312"/>
      <c r="AP954" s="312"/>
      <c r="AQ954" s="312"/>
    </row>
    <row r="955" ht="15.75" customHeight="1">
      <c r="A955" s="318"/>
      <c r="B955" s="312"/>
      <c r="C955" s="312"/>
      <c r="D955" s="312"/>
      <c r="E955" s="312"/>
      <c r="F955" s="312"/>
      <c r="G955" s="312"/>
      <c r="H955" s="312"/>
      <c r="I955" s="312"/>
      <c r="J955" s="312"/>
      <c r="K955" s="312"/>
      <c r="L955" s="312"/>
      <c r="M955" s="312"/>
      <c r="N955" s="312"/>
      <c r="O955" s="312"/>
      <c r="P955" s="312"/>
      <c r="Q955" s="312"/>
      <c r="R955" s="312"/>
      <c r="S955" s="312"/>
      <c r="T955" s="312"/>
      <c r="U955" s="312"/>
      <c r="V955" s="312"/>
      <c r="W955" s="312"/>
      <c r="X955" s="312"/>
      <c r="Y955" s="312"/>
      <c r="Z955" s="312"/>
      <c r="AA955" s="312"/>
      <c r="AB955" s="312"/>
      <c r="AC955" s="312"/>
      <c r="AD955" s="312"/>
      <c r="AE955" s="312"/>
      <c r="AF955" s="312"/>
      <c r="AG955" s="312"/>
      <c r="AH955" s="312"/>
      <c r="AI955" s="312"/>
      <c r="AJ955" s="312"/>
      <c r="AK955" s="312"/>
      <c r="AL955" s="312"/>
      <c r="AM955" s="312"/>
      <c r="AN955" s="312"/>
      <c r="AO955" s="312"/>
      <c r="AP955" s="312"/>
      <c r="AQ955" s="312"/>
    </row>
    <row r="956" ht="15.75" customHeight="1">
      <c r="A956" s="318"/>
      <c r="B956" s="312"/>
      <c r="C956" s="312"/>
      <c r="D956" s="312"/>
      <c r="E956" s="312"/>
      <c r="F956" s="312"/>
      <c r="G956" s="312"/>
      <c r="H956" s="312"/>
      <c r="I956" s="312"/>
      <c r="J956" s="312"/>
      <c r="K956" s="312"/>
      <c r="L956" s="312"/>
      <c r="M956" s="312"/>
      <c r="N956" s="312"/>
      <c r="O956" s="312"/>
      <c r="P956" s="312"/>
      <c r="Q956" s="312"/>
      <c r="R956" s="312"/>
      <c r="S956" s="312"/>
      <c r="T956" s="312"/>
      <c r="U956" s="312"/>
      <c r="V956" s="312"/>
      <c r="W956" s="312"/>
      <c r="X956" s="312"/>
      <c r="Y956" s="312"/>
      <c r="Z956" s="312"/>
      <c r="AA956" s="312"/>
      <c r="AB956" s="312"/>
      <c r="AC956" s="312"/>
      <c r="AD956" s="312"/>
      <c r="AE956" s="312"/>
      <c r="AF956" s="312"/>
      <c r="AG956" s="312"/>
      <c r="AH956" s="312"/>
      <c r="AI956" s="312"/>
      <c r="AJ956" s="312"/>
      <c r="AK956" s="312"/>
      <c r="AL956" s="312"/>
      <c r="AM956" s="312"/>
      <c r="AN956" s="312"/>
      <c r="AO956" s="312"/>
      <c r="AP956" s="312"/>
      <c r="AQ956" s="312"/>
    </row>
    <row r="957" ht="15.75" customHeight="1">
      <c r="A957" s="318"/>
      <c r="B957" s="312"/>
      <c r="C957" s="312"/>
      <c r="D957" s="312"/>
      <c r="E957" s="312"/>
      <c r="F957" s="312"/>
      <c r="G957" s="312"/>
      <c r="H957" s="312"/>
      <c r="I957" s="312"/>
      <c r="J957" s="312"/>
      <c r="K957" s="312"/>
      <c r="L957" s="312"/>
      <c r="M957" s="312"/>
      <c r="N957" s="312"/>
      <c r="O957" s="312"/>
      <c r="P957" s="312"/>
      <c r="Q957" s="312"/>
      <c r="R957" s="312"/>
      <c r="S957" s="312"/>
      <c r="T957" s="312"/>
      <c r="U957" s="312"/>
      <c r="V957" s="312"/>
      <c r="W957" s="312"/>
      <c r="X957" s="312"/>
      <c r="Y957" s="312"/>
      <c r="Z957" s="312"/>
      <c r="AA957" s="312"/>
      <c r="AB957" s="312"/>
      <c r="AC957" s="312"/>
      <c r="AD957" s="312"/>
      <c r="AE957" s="312"/>
      <c r="AF957" s="312"/>
      <c r="AG957" s="312"/>
      <c r="AH957" s="312"/>
      <c r="AI957" s="312"/>
      <c r="AJ957" s="312"/>
      <c r="AK957" s="312"/>
      <c r="AL957" s="312"/>
      <c r="AM957" s="312"/>
      <c r="AN957" s="312"/>
      <c r="AO957" s="312"/>
      <c r="AP957" s="312"/>
      <c r="AQ957" s="312"/>
    </row>
    <row r="958" ht="15.75" customHeight="1">
      <c r="A958" s="318"/>
      <c r="B958" s="312"/>
      <c r="C958" s="312"/>
      <c r="D958" s="312"/>
      <c r="E958" s="312"/>
      <c r="F958" s="312"/>
      <c r="G958" s="312"/>
      <c r="H958" s="312"/>
      <c r="I958" s="312"/>
      <c r="J958" s="312"/>
      <c r="K958" s="312"/>
      <c r="L958" s="312"/>
      <c r="M958" s="312"/>
      <c r="N958" s="312"/>
      <c r="O958" s="312"/>
      <c r="P958" s="312"/>
      <c r="Q958" s="312"/>
      <c r="R958" s="312"/>
      <c r="S958" s="312"/>
      <c r="T958" s="312"/>
      <c r="U958" s="312"/>
      <c r="V958" s="312"/>
      <c r="W958" s="312"/>
      <c r="X958" s="312"/>
      <c r="Y958" s="312"/>
      <c r="Z958" s="312"/>
      <c r="AA958" s="312"/>
      <c r="AB958" s="312"/>
      <c r="AC958" s="312"/>
      <c r="AD958" s="312"/>
      <c r="AE958" s="312"/>
      <c r="AF958" s="312"/>
      <c r="AG958" s="312"/>
      <c r="AH958" s="312"/>
      <c r="AI958" s="312"/>
      <c r="AJ958" s="312"/>
      <c r="AK958" s="312"/>
      <c r="AL958" s="312"/>
      <c r="AM958" s="312"/>
      <c r="AN958" s="312"/>
      <c r="AO958" s="312"/>
      <c r="AP958" s="312"/>
      <c r="AQ958" s="312"/>
    </row>
    <row r="959" ht="15.75" customHeight="1">
      <c r="A959" s="318"/>
      <c r="B959" s="312"/>
      <c r="C959" s="312"/>
      <c r="D959" s="312"/>
      <c r="E959" s="312"/>
      <c r="F959" s="312"/>
      <c r="G959" s="312"/>
      <c r="H959" s="312"/>
      <c r="I959" s="312"/>
      <c r="J959" s="312"/>
      <c r="K959" s="312"/>
      <c r="L959" s="312"/>
      <c r="M959" s="312"/>
      <c r="N959" s="312"/>
      <c r="O959" s="312"/>
      <c r="P959" s="312"/>
      <c r="Q959" s="312"/>
      <c r="R959" s="312"/>
      <c r="S959" s="312"/>
      <c r="T959" s="312"/>
      <c r="U959" s="312"/>
      <c r="V959" s="312"/>
      <c r="W959" s="312"/>
      <c r="X959" s="312"/>
      <c r="Y959" s="312"/>
      <c r="Z959" s="312"/>
      <c r="AA959" s="312"/>
      <c r="AB959" s="312"/>
      <c r="AC959" s="312"/>
      <c r="AD959" s="312"/>
      <c r="AE959" s="312"/>
      <c r="AF959" s="312"/>
      <c r="AG959" s="312"/>
      <c r="AH959" s="312"/>
      <c r="AI959" s="312"/>
      <c r="AJ959" s="312"/>
      <c r="AK959" s="312"/>
      <c r="AL959" s="312"/>
      <c r="AM959" s="312"/>
      <c r="AN959" s="312"/>
      <c r="AO959" s="312"/>
      <c r="AP959" s="312"/>
      <c r="AQ959" s="312"/>
    </row>
    <row r="960" ht="15.75" customHeight="1">
      <c r="A960" s="318"/>
      <c r="B960" s="312"/>
      <c r="C960" s="312"/>
      <c r="D960" s="312"/>
      <c r="E960" s="312"/>
      <c r="F960" s="312"/>
      <c r="G960" s="312"/>
      <c r="H960" s="312"/>
      <c r="I960" s="312"/>
      <c r="J960" s="312"/>
      <c r="K960" s="312"/>
      <c r="L960" s="312"/>
      <c r="M960" s="312"/>
      <c r="N960" s="312"/>
      <c r="O960" s="312"/>
      <c r="P960" s="312"/>
      <c r="Q960" s="312"/>
      <c r="R960" s="312"/>
      <c r="S960" s="312"/>
      <c r="T960" s="312"/>
      <c r="U960" s="312"/>
      <c r="V960" s="312"/>
      <c r="W960" s="312"/>
      <c r="X960" s="312"/>
      <c r="Y960" s="312"/>
      <c r="Z960" s="312"/>
      <c r="AA960" s="312"/>
      <c r="AB960" s="312"/>
      <c r="AC960" s="312"/>
      <c r="AD960" s="312"/>
      <c r="AE960" s="312"/>
      <c r="AF960" s="312"/>
      <c r="AG960" s="312"/>
      <c r="AH960" s="312"/>
      <c r="AI960" s="312"/>
      <c r="AJ960" s="312"/>
      <c r="AK960" s="312"/>
      <c r="AL960" s="312"/>
      <c r="AM960" s="312"/>
      <c r="AN960" s="312"/>
      <c r="AO960" s="312"/>
      <c r="AP960" s="312"/>
      <c r="AQ960" s="312"/>
    </row>
    <row r="961" ht="15.75" customHeight="1">
      <c r="A961" s="318"/>
      <c r="B961" s="312"/>
      <c r="C961" s="312"/>
      <c r="D961" s="312"/>
      <c r="E961" s="312"/>
      <c r="F961" s="312"/>
      <c r="G961" s="312"/>
      <c r="H961" s="312"/>
      <c r="I961" s="312"/>
      <c r="J961" s="312"/>
      <c r="K961" s="312"/>
      <c r="L961" s="312"/>
      <c r="M961" s="312"/>
      <c r="N961" s="312"/>
      <c r="O961" s="312"/>
      <c r="P961" s="312"/>
      <c r="Q961" s="312"/>
      <c r="R961" s="312"/>
      <c r="S961" s="312"/>
      <c r="T961" s="312"/>
      <c r="U961" s="312"/>
      <c r="V961" s="312"/>
      <c r="W961" s="312"/>
      <c r="X961" s="312"/>
      <c r="Y961" s="312"/>
      <c r="Z961" s="312"/>
      <c r="AA961" s="312"/>
      <c r="AB961" s="312"/>
      <c r="AC961" s="312"/>
      <c r="AD961" s="312"/>
      <c r="AE961" s="312"/>
      <c r="AF961" s="312"/>
      <c r="AG961" s="312"/>
      <c r="AH961" s="312"/>
      <c r="AI961" s="312"/>
      <c r="AJ961" s="312"/>
      <c r="AK961" s="312"/>
      <c r="AL961" s="312"/>
      <c r="AM961" s="312"/>
      <c r="AN961" s="312"/>
      <c r="AO961" s="312"/>
      <c r="AP961" s="312"/>
      <c r="AQ961" s="312"/>
    </row>
    <row r="962" ht="15.75" customHeight="1">
      <c r="A962" s="318"/>
      <c r="B962" s="312"/>
      <c r="C962" s="312"/>
      <c r="D962" s="312"/>
      <c r="E962" s="312"/>
      <c r="F962" s="312"/>
      <c r="G962" s="312"/>
      <c r="H962" s="312"/>
      <c r="I962" s="312"/>
      <c r="J962" s="312"/>
      <c r="K962" s="312"/>
      <c r="L962" s="312"/>
      <c r="M962" s="312"/>
      <c r="N962" s="312"/>
      <c r="O962" s="312"/>
      <c r="P962" s="312"/>
      <c r="Q962" s="312"/>
      <c r="R962" s="312"/>
      <c r="S962" s="312"/>
      <c r="T962" s="312"/>
      <c r="U962" s="312"/>
      <c r="V962" s="312"/>
      <c r="W962" s="312"/>
      <c r="X962" s="312"/>
      <c r="Y962" s="312"/>
      <c r="Z962" s="312"/>
      <c r="AA962" s="312"/>
      <c r="AB962" s="312"/>
      <c r="AC962" s="312"/>
      <c r="AD962" s="312"/>
      <c r="AE962" s="312"/>
      <c r="AF962" s="312"/>
      <c r="AG962" s="312"/>
      <c r="AH962" s="312"/>
      <c r="AI962" s="312"/>
      <c r="AJ962" s="312"/>
      <c r="AK962" s="312"/>
      <c r="AL962" s="312"/>
      <c r="AM962" s="312"/>
      <c r="AN962" s="312"/>
      <c r="AO962" s="312"/>
      <c r="AP962" s="312"/>
      <c r="AQ962" s="312"/>
    </row>
    <row r="963" ht="15.75" customHeight="1">
      <c r="A963" s="318"/>
      <c r="B963" s="312"/>
      <c r="C963" s="312"/>
      <c r="D963" s="312"/>
      <c r="E963" s="312"/>
      <c r="F963" s="312"/>
      <c r="G963" s="312"/>
      <c r="H963" s="312"/>
      <c r="I963" s="312"/>
      <c r="J963" s="312"/>
      <c r="K963" s="312"/>
      <c r="L963" s="312"/>
      <c r="M963" s="312"/>
      <c r="N963" s="312"/>
      <c r="O963" s="312"/>
      <c r="P963" s="312"/>
      <c r="Q963" s="312"/>
      <c r="R963" s="312"/>
      <c r="S963" s="312"/>
      <c r="T963" s="312"/>
      <c r="U963" s="312"/>
      <c r="V963" s="312"/>
      <c r="W963" s="312"/>
      <c r="X963" s="312"/>
      <c r="Y963" s="312"/>
      <c r="Z963" s="312"/>
      <c r="AA963" s="312"/>
      <c r="AB963" s="312"/>
      <c r="AC963" s="312"/>
      <c r="AD963" s="312"/>
      <c r="AE963" s="312"/>
      <c r="AF963" s="312"/>
      <c r="AG963" s="312"/>
      <c r="AH963" s="312"/>
      <c r="AI963" s="312"/>
      <c r="AJ963" s="312"/>
      <c r="AK963" s="312"/>
      <c r="AL963" s="312"/>
      <c r="AM963" s="312"/>
      <c r="AN963" s="312"/>
      <c r="AO963" s="312"/>
      <c r="AP963" s="312"/>
      <c r="AQ963" s="312"/>
    </row>
    <row r="964" ht="15.75" customHeight="1">
      <c r="A964" s="318"/>
      <c r="B964" s="312"/>
      <c r="C964" s="312"/>
      <c r="D964" s="312"/>
      <c r="E964" s="312"/>
      <c r="F964" s="312"/>
      <c r="G964" s="312"/>
      <c r="H964" s="312"/>
      <c r="I964" s="312"/>
      <c r="J964" s="312"/>
      <c r="K964" s="312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12"/>
      <c r="AD964" s="312"/>
      <c r="AE964" s="312"/>
      <c r="AF964" s="312"/>
      <c r="AG964" s="312"/>
      <c r="AH964" s="312"/>
      <c r="AI964" s="312"/>
      <c r="AJ964" s="312"/>
      <c r="AK964" s="312"/>
      <c r="AL964" s="312"/>
      <c r="AM964" s="312"/>
      <c r="AN964" s="312"/>
      <c r="AO964" s="312"/>
      <c r="AP964" s="312"/>
      <c r="AQ964" s="312"/>
    </row>
    <row r="965" ht="15.75" customHeight="1">
      <c r="A965" s="318"/>
      <c r="B965" s="312"/>
      <c r="C965" s="312"/>
      <c r="D965" s="312"/>
      <c r="E965" s="312"/>
      <c r="F965" s="312"/>
      <c r="G965" s="312"/>
      <c r="H965" s="312"/>
      <c r="I965" s="312"/>
      <c r="J965" s="312"/>
      <c r="K965" s="312"/>
      <c r="L965" s="312"/>
      <c r="M965" s="312"/>
      <c r="N965" s="312"/>
      <c r="O965" s="312"/>
      <c r="P965" s="312"/>
      <c r="Q965" s="312"/>
      <c r="R965" s="312"/>
      <c r="S965" s="312"/>
      <c r="T965" s="312"/>
      <c r="U965" s="312"/>
      <c r="V965" s="312"/>
      <c r="W965" s="312"/>
      <c r="X965" s="312"/>
      <c r="Y965" s="312"/>
      <c r="Z965" s="312"/>
      <c r="AA965" s="312"/>
      <c r="AB965" s="312"/>
      <c r="AC965" s="312"/>
      <c r="AD965" s="312"/>
      <c r="AE965" s="312"/>
      <c r="AF965" s="312"/>
      <c r="AG965" s="312"/>
      <c r="AH965" s="312"/>
      <c r="AI965" s="312"/>
      <c r="AJ965" s="312"/>
      <c r="AK965" s="312"/>
      <c r="AL965" s="312"/>
      <c r="AM965" s="312"/>
      <c r="AN965" s="312"/>
      <c r="AO965" s="312"/>
      <c r="AP965" s="312"/>
      <c r="AQ965" s="312"/>
    </row>
    <row r="966" ht="15.75" customHeight="1">
      <c r="A966" s="318"/>
      <c r="B966" s="312"/>
      <c r="C966" s="312"/>
      <c r="D966" s="312"/>
      <c r="E966" s="312"/>
      <c r="F966" s="312"/>
      <c r="G966" s="312"/>
      <c r="H966" s="312"/>
      <c r="I966" s="312"/>
      <c r="J966" s="312"/>
      <c r="K966" s="312"/>
      <c r="L966" s="312"/>
      <c r="M966" s="312"/>
      <c r="N966" s="312"/>
      <c r="O966" s="312"/>
      <c r="P966" s="312"/>
      <c r="Q966" s="312"/>
      <c r="R966" s="312"/>
      <c r="S966" s="312"/>
      <c r="T966" s="312"/>
      <c r="U966" s="312"/>
      <c r="V966" s="312"/>
      <c r="W966" s="312"/>
      <c r="X966" s="312"/>
      <c r="Y966" s="312"/>
      <c r="Z966" s="312"/>
      <c r="AA966" s="312"/>
      <c r="AB966" s="312"/>
      <c r="AC966" s="312"/>
      <c r="AD966" s="312"/>
      <c r="AE966" s="312"/>
      <c r="AF966" s="312"/>
      <c r="AG966" s="312"/>
      <c r="AH966" s="312"/>
      <c r="AI966" s="312"/>
      <c r="AJ966" s="312"/>
      <c r="AK966" s="312"/>
      <c r="AL966" s="312"/>
      <c r="AM966" s="312"/>
      <c r="AN966" s="312"/>
      <c r="AO966" s="312"/>
      <c r="AP966" s="312"/>
      <c r="AQ966" s="312"/>
    </row>
    <row r="967" ht="15.75" customHeight="1">
      <c r="A967" s="318"/>
      <c r="B967" s="312"/>
      <c r="C967" s="312"/>
      <c r="D967" s="312"/>
      <c r="E967" s="312"/>
      <c r="F967" s="312"/>
      <c r="G967" s="312"/>
      <c r="H967" s="312"/>
      <c r="I967" s="312"/>
      <c r="J967" s="312"/>
      <c r="K967" s="312"/>
      <c r="L967" s="312"/>
      <c r="M967" s="312"/>
      <c r="N967" s="312"/>
      <c r="O967" s="312"/>
      <c r="P967" s="312"/>
      <c r="Q967" s="312"/>
      <c r="R967" s="312"/>
      <c r="S967" s="312"/>
      <c r="T967" s="312"/>
      <c r="U967" s="312"/>
      <c r="V967" s="312"/>
      <c r="W967" s="312"/>
      <c r="X967" s="312"/>
      <c r="Y967" s="312"/>
      <c r="Z967" s="312"/>
      <c r="AA967" s="312"/>
      <c r="AB967" s="312"/>
      <c r="AC967" s="312"/>
      <c r="AD967" s="312"/>
      <c r="AE967" s="312"/>
      <c r="AF967" s="312"/>
      <c r="AG967" s="312"/>
      <c r="AH967" s="312"/>
      <c r="AI967" s="312"/>
      <c r="AJ967" s="312"/>
      <c r="AK967" s="312"/>
      <c r="AL967" s="312"/>
      <c r="AM967" s="312"/>
      <c r="AN967" s="312"/>
      <c r="AO967" s="312"/>
      <c r="AP967" s="312"/>
      <c r="AQ967" s="312"/>
    </row>
    <row r="968" ht="15.75" customHeight="1">
      <c r="A968" s="318"/>
      <c r="B968" s="312"/>
      <c r="C968" s="312"/>
      <c r="D968" s="312"/>
      <c r="E968" s="312"/>
      <c r="F968" s="312"/>
      <c r="G968" s="312"/>
      <c r="H968" s="312"/>
      <c r="I968" s="312"/>
      <c r="J968" s="312"/>
      <c r="K968" s="312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12"/>
      <c r="AD968" s="312"/>
      <c r="AE968" s="312"/>
      <c r="AF968" s="312"/>
      <c r="AG968" s="312"/>
      <c r="AH968" s="312"/>
      <c r="AI968" s="312"/>
      <c r="AJ968" s="312"/>
      <c r="AK968" s="312"/>
      <c r="AL968" s="312"/>
      <c r="AM968" s="312"/>
      <c r="AN968" s="312"/>
      <c r="AO968" s="312"/>
      <c r="AP968" s="312"/>
      <c r="AQ968" s="312"/>
    </row>
    <row r="969" ht="15.75" customHeight="1">
      <c r="A969" s="318"/>
      <c r="B969" s="312"/>
      <c r="C969" s="312"/>
      <c r="D969" s="312"/>
      <c r="E969" s="312"/>
      <c r="F969" s="312"/>
      <c r="G969" s="312"/>
      <c r="H969" s="312"/>
      <c r="I969" s="312"/>
      <c r="J969" s="312"/>
      <c r="K969" s="312"/>
      <c r="L969" s="312"/>
      <c r="M969" s="312"/>
      <c r="N969" s="312"/>
      <c r="O969" s="312"/>
      <c r="P969" s="312"/>
      <c r="Q969" s="312"/>
      <c r="R969" s="312"/>
      <c r="S969" s="312"/>
      <c r="T969" s="312"/>
      <c r="U969" s="312"/>
      <c r="V969" s="312"/>
      <c r="W969" s="312"/>
      <c r="X969" s="312"/>
      <c r="Y969" s="312"/>
      <c r="Z969" s="312"/>
      <c r="AA969" s="312"/>
      <c r="AB969" s="312"/>
      <c r="AC969" s="312"/>
      <c r="AD969" s="312"/>
      <c r="AE969" s="312"/>
      <c r="AF969" s="312"/>
      <c r="AG969" s="312"/>
      <c r="AH969" s="312"/>
      <c r="AI969" s="312"/>
      <c r="AJ969" s="312"/>
      <c r="AK969" s="312"/>
      <c r="AL969" s="312"/>
      <c r="AM969" s="312"/>
      <c r="AN969" s="312"/>
      <c r="AO969" s="312"/>
      <c r="AP969" s="312"/>
      <c r="AQ969" s="312"/>
    </row>
    <row r="970" ht="15.75" customHeight="1">
      <c r="A970" s="318"/>
      <c r="B970" s="312"/>
      <c r="C970" s="312"/>
      <c r="D970" s="312"/>
      <c r="E970" s="312"/>
      <c r="F970" s="312"/>
      <c r="G970" s="312"/>
      <c r="H970" s="312"/>
      <c r="I970" s="312"/>
      <c r="J970" s="312"/>
      <c r="K970" s="312"/>
      <c r="L970" s="312"/>
      <c r="M970" s="312"/>
      <c r="N970" s="312"/>
      <c r="O970" s="312"/>
      <c r="P970" s="312"/>
      <c r="Q970" s="312"/>
      <c r="R970" s="312"/>
      <c r="S970" s="312"/>
      <c r="T970" s="312"/>
      <c r="U970" s="312"/>
      <c r="V970" s="312"/>
      <c r="W970" s="312"/>
      <c r="X970" s="312"/>
      <c r="Y970" s="312"/>
      <c r="Z970" s="312"/>
      <c r="AA970" s="312"/>
      <c r="AB970" s="312"/>
      <c r="AC970" s="312"/>
      <c r="AD970" s="312"/>
      <c r="AE970" s="312"/>
      <c r="AF970" s="312"/>
      <c r="AG970" s="312"/>
      <c r="AH970" s="312"/>
      <c r="AI970" s="312"/>
      <c r="AJ970" s="312"/>
      <c r="AK970" s="312"/>
      <c r="AL970" s="312"/>
      <c r="AM970" s="312"/>
      <c r="AN970" s="312"/>
      <c r="AO970" s="312"/>
      <c r="AP970" s="312"/>
      <c r="AQ970" s="312"/>
    </row>
    <row r="971" ht="15.75" customHeight="1">
      <c r="A971" s="318"/>
      <c r="B971" s="312"/>
      <c r="C971" s="312"/>
      <c r="D971" s="312"/>
      <c r="E971" s="312"/>
      <c r="F971" s="312"/>
      <c r="G971" s="312"/>
      <c r="H971" s="312"/>
      <c r="I971" s="312"/>
      <c r="J971" s="312"/>
      <c r="K971" s="312"/>
      <c r="L971" s="312"/>
      <c r="M971" s="312"/>
      <c r="N971" s="312"/>
      <c r="O971" s="312"/>
      <c r="P971" s="312"/>
      <c r="Q971" s="312"/>
      <c r="R971" s="312"/>
      <c r="S971" s="312"/>
      <c r="T971" s="312"/>
      <c r="U971" s="312"/>
      <c r="V971" s="312"/>
      <c r="W971" s="312"/>
      <c r="X971" s="312"/>
      <c r="Y971" s="312"/>
      <c r="Z971" s="312"/>
      <c r="AA971" s="312"/>
      <c r="AB971" s="312"/>
      <c r="AC971" s="312"/>
      <c r="AD971" s="312"/>
      <c r="AE971" s="312"/>
      <c r="AF971" s="312"/>
      <c r="AG971" s="312"/>
      <c r="AH971" s="312"/>
      <c r="AI971" s="312"/>
      <c r="AJ971" s="312"/>
      <c r="AK971" s="312"/>
      <c r="AL971" s="312"/>
      <c r="AM971" s="312"/>
      <c r="AN971" s="312"/>
      <c r="AO971" s="312"/>
      <c r="AP971" s="312"/>
      <c r="AQ971" s="312"/>
    </row>
    <row r="972" ht="15.75" customHeight="1">
      <c r="A972" s="318"/>
      <c r="B972" s="312"/>
      <c r="C972" s="312"/>
      <c r="D972" s="312"/>
      <c r="E972" s="312"/>
      <c r="F972" s="312"/>
      <c r="G972" s="312"/>
      <c r="H972" s="312"/>
      <c r="I972" s="312"/>
      <c r="J972" s="312"/>
      <c r="K972" s="312"/>
      <c r="L972" s="312"/>
      <c r="M972" s="312"/>
      <c r="N972" s="312"/>
      <c r="O972" s="312"/>
      <c r="P972" s="312"/>
      <c r="Q972" s="312"/>
      <c r="R972" s="312"/>
      <c r="S972" s="312"/>
      <c r="T972" s="312"/>
      <c r="U972" s="312"/>
      <c r="V972" s="312"/>
      <c r="W972" s="312"/>
      <c r="X972" s="312"/>
      <c r="Y972" s="312"/>
      <c r="Z972" s="312"/>
      <c r="AA972" s="312"/>
      <c r="AB972" s="312"/>
      <c r="AC972" s="312"/>
      <c r="AD972" s="312"/>
      <c r="AE972" s="312"/>
      <c r="AF972" s="312"/>
      <c r="AG972" s="312"/>
      <c r="AH972" s="312"/>
      <c r="AI972" s="312"/>
      <c r="AJ972" s="312"/>
      <c r="AK972" s="312"/>
      <c r="AL972" s="312"/>
      <c r="AM972" s="312"/>
      <c r="AN972" s="312"/>
      <c r="AO972" s="312"/>
      <c r="AP972" s="312"/>
      <c r="AQ972" s="312"/>
    </row>
    <row r="973" ht="15.75" customHeight="1">
      <c r="A973" s="318"/>
      <c r="B973" s="312"/>
      <c r="C973" s="312"/>
      <c r="D973" s="312"/>
      <c r="E973" s="312"/>
      <c r="F973" s="312"/>
      <c r="G973" s="312"/>
      <c r="H973" s="312"/>
      <c r="I973" s="312"/>
      <c r="J973" s="312"/>
      <c r="K973" s="312"/>
      <c r="L973" s="312"/>
      <c r="M973" s="312"/>
      <c r="N973" s="312"/>
      <c r="O973" s="312"/>
      <c r="P973" s="312"/>
      <c r="Q973" s="312"/>
      <c r="R973" s="312"/>
      <c r="S973" s="312"/>
      <c r="T973" s="312"/>
      <c r="U973" s="312"/>
      <c r="V973" s="312"/>
      <c r="W973" s="312"/>
      <c r="X973" s="312"/>
      <c r="Y973" s="312"/>
      <c r="Z973" s="312"/>
      <c r="AA973" s="312"/>
      <c r="AB973" s="312"/>
      <c r="AC973" s="312"/>
      <c r="AD973" s="312"/>
      <c r="AE973" s="312"/>
      <c r="AF973" s="312"/>
      <c r="AG973" s="312"/>
      <c r="AH973" s="312"/>
      <c r="AI973" s="312"/>
      <c r="AJ973" s="312"/>
      <c r="AK973" s="312"/>
      <c r="AL973" s="312"/>
      <c r="AM973" s="312"/>
      <c r="AN973" s="312"/>
      <c r="AO973" s="312"/>
      <c r="AP973" s="312"/>
      <c r="AQ973" s="312"/>
    </row>
    <row r="974" ht="15.75" customHeight="1">
      <c r="A974" s="318"/>
      <c r="B974" s="312"/>
      <c r="C974" s="312"/>
      <c r="D974" s="312"/>
      <c r="E974" s="312"/>
      <c r="F974" s="312"/>
      <c r="G974" s="312"/>
      <c r="H974" s="312"/>
      <c r="I974" s="312"/>
      <c r="J974" s="312"/>
      <c r="K974" s="312"/>
      <c r="L974" s="312"/>
      <c r="M974" s="312"/>
      <c r="N974" s="312"/>
      <c r="O974" s="312"/>
      <c r="P974" s="312"/>
      <c r="Q974" s="312"/>
      <c r="R974" s="312"/>
      <c r="S974" s="312"/>
      <c r="T974" s="312"/>
      <c r="U974" s="312"/>
      <c r="V974" s="312"/>
      <c r="W974" s="312"/>
      <c r="X974" s="312"/>
      <c r="Y974" s="312"/>
      <c r="Z974" s="312"/>
      <c r="AA974" s="312"/>
      <c r="AB974" s="312"/>
      <c r="AC974" s="312"/>
      <c r="AD974" s="312"/>
      <c r="AE974" s="312"/>
      <c r="AF974" s="312"/>
      <c r="AG974" s="312"/>
      <c r="AH974" s="312"/>
      <c r="AI974" s="312"/>
      <c r="AJ974" s="312"/>
      <c r="AK974" s="312"/>
      <c r="AL974" s="312"/>
      <c r="AM974" s="312"/>
      <c r="AN974" s="312"/>
      <c r="AO974" s="312"/>
      <c r="AP974" s="312"/>
      <c r="AQ974" s="312"/>
    </row>
    <row r="975" ht="15.75" customHeight="1">
      <c r="A975" s="318"/>
      <c r="B975" s="312"/>
      <c r="C975" s="312"/>
      <c r="D975" s="312"/>
      <c r="E975" s="312"/>
      <c r="F975" s="312"/>
      <c r="G975" s="312"/>
      <c r="H975" s="312"/>
      <c r="I975" s="312"/>
      <c r="J975" s="312"/>
      <c r="K975" s="312"/>
      <c r="L975" s="312"/>
      <c r="M975" s="312"/>
      <c r="N975" s="312"/>
      <c r="O975" s="312"/>
      <c r="P975" s="312"/>
      <c r="Q975" s="312"/>
      <c r="R975" s="312"/>
      <c r="S975" s="312"/>
      <c r="T975" s="312"/>
      <c r="U975" s="312"/>
      <c r="V975" s="312"/>
      <c r="W975" s="312"/>
      <c r="X975" s="312"/>
      <c r="Y975" s="312"/>
      <c r="Z975" s="312"/>
      <c r="AA975" s="312"/>
      <c r="AB975" s="312"/>
      <c r="AC975" s="312"/>
      <c r="AD975" s="312"/>
      <c r="AE975" s="312"/>
      <c r="AF975" s="312"/>
      <c r="AG975" s="312"/>
      <c r="AH975" s="312"/>
      <c r="AI975" s="312"/>
      <c r="AJ975" s="312"/>
      <c r="AK975" s="312"/>
      <c r="AL975" s="312"/>
      <c r="AM975" s="312"/>
      <c r="AN975" s="312"/>
      <c r="AO975" s="312"/>
      <c r="AP975" s="312"/>
      <c r="AQ975" s="312"/>
    </row>
    <row r="976" ht="15.75" customHeight="1">
      <c r="A976" s="318"/>
      <c r="B976" s="312"/>
      <c r="C976" s="312"/>
      <c r="D976" s="312"/>
      <c r="E976" s="312"/>
      <c r="F976" s="312"/>
      <c r="G976" s="312"/>
      <c r="H976" s="312"/>
      <c r="I976" s="312"/>
      <c r="J976" s="312"/>
      <c r="K976" s="312"/>
      <c r="L976" s="312"/>
      <c r="M976" s="312"/>
      <c r="N976" s="312"/>
      <c r="O976" s="312"/>
      <c r="P976" s="312"/>
      <c r="Q976" s="312"/>
      <c r="R976" s="312"/>
      <c r="S976" s="312"/>
      <c r="T976" s="312"/>
      <c r="U976" s="312"/>
      <c r="V976" s="312"/>
      <c r="W976" s="312"/>
      <c r="X976" s="312"/>
      <c r="Y976" s="312"/>
      <c r="Z976" s="312"/>
      <c r="AA976" s="312"/>
      <c r="AB976" s="312"/>
      <c r="AC976" s="312"/>
      <c r="AD976" s="312"/>
      <c r="AE976" s="312"/>
      <c r="AF976" s="312"/>
      <c r="AG976" s="312"/>
      <c r="AH976" s="312"/>
      <c r="AI976" s="312"/>
      <c r="AJ976" s="312"/>
      <c r="AK976" s="312"/>
      <c r="AL976" s="312"/>
      <c r="AM976" s="312"/>
      <c r="AN976" s="312"/>
      <c r="AO976" s="312"/>
      <c r="AP976" s="312"/>
      <c r="AQ976" s="312"/>
    </row>
    <row r="977" ht="15.75" customHeight="1">
      <c r="A977" s="318"/>
      <c r="B977" s="312"/>
      <c r="C977" s="312"/>
      <c r="D977" s="312"/>
      <c r="E977" s="312"/>
      <c r="F977" s="312"/>
      <c r="G977" s="312"/>
      <c r="H977" s="312"/>
      <c r="I977" s="312"/>
      <c r="J977" s="312"/>
      <c r="K977" s="312"/>
      <c r="L977" s="312"/>
      <c r="M977" s="312"/>
      <c r="N977" s="312"/>
      <c r="O977" s="312"/>
      <c r="P977" s="312"/>
      <c r="Q977" s="312"/>
      <c r="R977" s="312"/>
      <c r="S977" s="312"/>
      <c r="T977" s="312"/>
      <c r="U977" s="312"/>
      <c r="V977" s="312"/>
      <c r="W977" s="312"/>
      <c r="X977" s="312"/>
      <c r="Y977" s="312"/>
      <c r="Z977" s="312"/>
      <c r="AA977" s="312"/>
      <c r="AB977" s="312"/>
      <c r="AC977" s="312"/>
      <c r="AD977" s="312"/>
      <c r="AE977" s="312"/>
      <c r="AF977" s="312"/>
      <c r="AG977" s="312"/>
      <c r="AH977" s="312"/>
      <c r="AI977" s="312"/>
      <c r="AJ977" s="312"/>
      <c r="AK977" s="312"/>
      <c r="AL977" s="312"/>
      <c r="AM977" s="312"/>
      <c r="AN977" s="312"/>
      <c r="AO977" s="312"/>
      <c r="AP977" s="312"/>
      <c r="AQ977" s="312"/>
    </row>
    <row r="978" ht="15.75" customHeight="1">
      <c r="A978" s="318"/>
      <c r="B978" s="312"/>
      <c r="C978" s="312"/>
      <c r="D978" s="312"/>
      <c r="E978" s="312"/>
      <c r="F978" s="312"/>
      <c r="G978" s="312"/>
      <c r="H978" s="312"/>
      <c r="I978" s="312"/>
      <c r="J978" s="312"/>
      <c r="K978" s="312"/>
      <c r="L978" s="312"/>
      <c r="M978" s="312"/>
      <c r="N978" s="312"/>
      <c r="O978" s="312"/>
      <c r="P978" s="312"/>
      <c r="Q978" s="312"/>
      <c r="R978" s="312"/>
      <c r="S978" s="312"/>
      <c r="T978" s="312"/>
      <c r="U978" s="312"/>
      <c r="V978" s="312"/>
      <c r="W978" s="312"/>
      <c r="X978" s="312"/>
      <c r="Y978" s="312"/>
      <c r="Z978" s="312"/>
      <c r="AA978" s="312"/>
      <c r="AB978" s="312"/>
      <c r="AC978" s="312"/>
      <c r="AD978" s="312"/>
      <c r="AE978" s="312"/>
      <c r="AF978" s="312"/>
      <c r="AG978" s="312"/>
      <c r="AH978" s="312"/>
      <c r="AI978" s="312"/>
      <c r="AJ978" s="312"/>
      <c r="AK978" s="312"/>
      <c r="AL978" s="312"/>
      <c r="AM978" s="312"/>
      <c r="AN978" s="312"/>
      <c r="AO978" s="312"/>
      <c r="AP978" s="312"/>
      <c r="AQ978" s="312"/>
    </row>
    <row r="979" ht="15.75" customHeight="1">
      <c r="A979" s="318"/>
      <c r="B979" s="312"/>
      <c r="C979" s="312"/>
      <c r="D979" s="312"/>
      <c r="E979" s="312"/>
      <c r="F979" s="312"/>
      <c r="G979" s="312"/>
      <c r="H979" s="312"/>
      <c r="I979" s="312"/>
      <c r="J979" s="312"/>
      <c r="K979" s="312"/>
      <c r="L979" s="312"/>
      <c r="M979" s="312"/>
      <c r="N979" s="312"/>
      <c r="O979" s="312"/>
      <c r="P979" s="312"/>
      <c r="Q979" s="312"/>
      <c r="R979" s="312"/>
      <c r="S979" s="312"/>
      <c r="T979" s="312"/>
      <c r="U979" s="312"/>
      <c r="V979" s="312"/>
      <c r="W979" s="312"/>
      <c r="X979" s="312"/>
      <c r="Y979" s="312"/>
      <c r="Z979" s="312"/>
      <c r="AA979" s="312"/>
      <c r="AB979" s="312"/>
      <c r="AC979" s="312"/>
      <c r="AD979" s="312"/>
      <c r="AE979" s="312"/>
      <c r="AF979" s="312"/>
      <c r="AG979" s="312"/>
      <c r="AH979" s="312"/>
      <c r="AI979" s="312"/>
      <c r="AJ979" s="312"/>
      <c r="AK979" s="312"/>
      <c r="AL979" s="312"/>
      <c r="AM979" s="312"/>
      <c r="AN979" s="312"/>
      <c r="AO979" s="312"/>
      <c r="AP979" s="312"/>
      <c r="AQ979" s="312"/>
    </row>
    <row r="980" ht="15.75" customHeight="1">
      <c r="A980" s="318"/>
      <c r="B980" s="312"/>
      <c r="C980" s="312"/>
      <c r="D980" s="312"/>
      <c r="E980" s="312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  <c r="AP980" s="312"/>
      <c r="AQ980" s="312"/>
    </row>
    <row r="981" ht="15.75" customHeight="1">
      <c r="A981" s="318"/>
      <c r="B981" s="312"/>
      <c r="C981" s="312"/>
      <c r="D981" s="312"/>
      <c r="E981" s="312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  <c r="AP981" s="312"/>
      <c r="AQ981" s="312"/>
    </row>
    <row r="982" ht="15.75" customHeight="1">
      <c r="A982" s="318"/>
      <c r="B982" s="312"/>
      <c r="C982" s="312"/>
      <c r="D982" s="312"/>
      <c r="E982" s="312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  <c r="AP982" s="312"/>
      <c r="AQ982" s="312"/>
    </row>
    <row r="983" ht="15.75" customHeight="1">
      <c r="A983" s="318"/>
      <c r="B983" s="312"/>
      <c r="C983" s="312"/>
      <c r="D983" s="312"/>
      <c r="E983" s="312"/>
      <c r="F983" s="312"/>
      <c r="G983" s="312"/>
      <c r="H983" s="312"/>
      <c r="I983" s="312"/>
      <c r="J983" s="312"/>
      <c r="K983" s="312"/>
      <c r="L983" s="312"/>
      <c r="M983" s="312"/>
      <c r="N983" s="312"/>
      <c r="O983" s="312"/>
      <c r="P983" s="312"/>
      <c r="Q983" s="312"/>
      <c r="R983" s="312"/>
      <c r="S983" s="312"/>
      <c r="T983" s="312"/>
      <c r="U983" s="312"/>
      <c r="V983" s="312"/>
      <c r="W983" s="312"/>
      <c r="X983" s="312"/>
      <c r="Y983" s="312"/>
      <c r="Z983" s="312"/>
      <c r="AA983" s="312"/>
      <c r="AB983" s="312"/>
      <c r="AC983" s="312"/>
      <c r="AD983" s="312"/>
      <c r="AE983" s="312"/>
      <c r="AF983" s="312"/>
      <c r="AG983" s="312"/>
      <c r="AH983" s="312"/>
      <c r="AI983" s="312"/>
      <c r="AJ983" s="312"/>
      <c r="AK983" s="312"/>
      <c r="AL983" s="312"/>
      <c r="AM983" s="312"/>
      <c r="AN983" s="312"/>
      <c r="AO983" s="312"/>
      <c r="AP983" s="312"/>
      <c r="AQ983" s="312"/>
    </row>
    <row r="984" ht="15.75" customHeight="1">
      <c r="A984" s="318"/>
      <c r="B984" s="312"/>
      <c r="C984" s="312"/>
      <c r="D984" s="312"/>
      <c r="E984" s="312"/>
      <c r="F984" s="312"/>
      <c r="G984" s="312"/>
      <c r="H984" s="312"/>
      <c r="I984" s="312"/>
      <c r="J984" s="312"/>
      <c r="K984" s="312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12"/>
      <c r="AJ984" s="312"/>
      <c r="AK984" s="312"/>
      <c r="AL984" s="312"/>
      <c r="AM984" s="312"/>
      <c r="AN984" s="312"/>
      <c r="AO984" s="312"/>
      <c r="AP984" s="312"/>
      <c r="AQ984" s="312"/>
    </row>
    <row r="985" ht="15.75" customHeight="1">
      <c r="A985" s="318"/>
      <c r="B985" s="312"/>
      <c r="C985" s="312"/>
      <c r="D985" s="312"/>
      <c r="E985" s="312"/>
      <c r="F985" s="312"/>
      <c r="G985" s="312"/>
      <c r="H985" s="312"/>
      <c r="I985" s="312"/>
      <c r="J985" s="312"/>
      <c r="K985" s="312"/>
      <c r="L985" s="312"/>
      <c r="M985" s="312"/>
      <c r="N985" s="312"/>
      <c r="O985" s="312"/>
      <c r="P985" s="312"/>
      <c r="Q985" s="312"/>
      <c r="R985" s="312"/>
      <c r="S985" s="312"/>
      <c r="T985" s="312"/>
      <c r="U985" s="312"/>
      <c r="V985" s="312"/>
      <c r="W985" s="312"/>
      <c r="X985" s="312"/>
      <c r="Y985" s="312"/>
      <c r="Z985" s="312"/>
      <c r="AA985" s="312"/>
      <c r="AB985" s="312"/>
      <c r="AC985" s="312"/>
      <c r="AD985" s="312"/>
      <c r="AE985" s="312"/>
      <c r="AF985" s="312"/>
      <c r="AG985" s="312"/>
      <c r="AH985" s="312"/>
      <c r="AI985" s="312"/>
      <c r="AJ985" s="312"/>
      <c r="AK985" s="312"/>
      <c r="AL985" s="312"/>
      <c r="AM985" s="312"/>
      <c r="AN985" s="312"/>
      <c r="AO985" s="312"/>
      <c r="AP985" s="312"/>
      <c r="AQ985" s="312"/>
    </row>
    <row r="986" ht="15.75" customHeight="1">
      <c r="A986" s="318"/>
      <c r="B986" s="312"/>
      <c r="C986" s="312"/>
      <c r="D986" s="312"/>
      <c r="E986" s="312"/>
      <c r="F986" s="312"/>
      <c r="G986" s="312"/>
      <c r="H986" s="312"/>
      <c r="I986" s="312"/>
      <c r="J986" s="312"/>
      <c r="K986" s="312"/>
      <c r="L986" s="312"/>
      <c r="M986" s="312"/>
      <c r="N986" s="312"/>
      <c r="O986" s="312"/>
      <c r="P986" s="312"/>
      <c r="Q986" s="312"/>
      <c r="R986" s="312"/>
      <c r="S986" s="312"/>
      <c r="T986" s="312"/>
      <c r="U986" s="312"/>
      <c r="V986" s="312"/>
      <c r="W986" s="312"/>
      <c r="X986" s="312"/>
      <c r="Y986" s="312"/>
      <c r="Z986" s="312"/>
      <c r="AA986" s="312"/>
      <c r="AB986" s="312"/>
      <c r="AC986" s="312"/>
      <c r="AD986" s="312"/>
      <c r="AE986" s="312"/>
      <c r="AF986" s="312"/>
      <c r="AG986" s="312"/>
      <c r="AH986" s="312"/>
      <c r="AI986" s="312"/>
      <c r="AJ986" s="312"/>
      <c r="AK986" s="312"/>
      <c r="AL986" s="312"/>
      <c r="AM986" s="312"/>
      <c r="AN986" s="312"/>
      <c r="AO986" s="312"/>
      <c r="AP986" s="312"/>
      <c r="AQ986" s="312"/>
    </row>
    <row r="987" ht="15.75" customHeight="1">
      <c r="A987" s="318"/>
      <c r="B987" s="312"/>
      <c r="C987" s="312"/>
      <c r="D987" s="312"/>
      <c r="E987" s="312"/>
      <c r="F987" s="312"/>
      <c r="G987" s="312"/>
      <c r="H987" s="312"/>
      <c r="I987" s="312"/>
      <c r="J987" s="312"/>
      <c r="K987" s="312"/>
      <c r="L987" s="312"/>
      <c r="M987" s="312"/>
      <c r="N987" s="312"/>
      <c r="O987" s="312"/>
      <c r="P987" s="312"/>
      <c r="Q987" s="312"/>
      <c r="R987" s="312"/>
      <c r="S987" s="312"/>
      <c r="T987" s="312"/>
      <c r="U987" s="312"/>
      <c r="V987" s="312"/>
      <c r="W987" s="312"/>
      <c r="X987" s="312"/>
      <c r="Y987" s="312"/>
      <c r="Z987" s="312"/>
      <c r="AA987" s="312"/>
      <c r="AB987" s="312"/>
      <c r="AC987" s="312"/>
      <c r="AD987" s="312"/>
      <c r="AE987" s="312"/>
      <c r="AF987" s="312"/>
      <c r="AG987" s="312"/>
      <c r="AH987" s="312"/>
      <c r="AI987" s="312"/>
      <c r="AJ987" s="312"/>
      <c r="AK987" s="312"/>
      <c r="AL987" s="312"/>
      <c r="AM987" s="312"/>
      <c r="AN987" s="312"/>
      <c r="AO987" s="312"/>
      <c r="AP987" s="312"/>
      <c r="AQ987" s="312"/>
    </row>
    <row r="988" ht="15.75" customHeight="1">
      <c r="A988" s="318"/>
      <c r="B988" s="312"/>
      <c r="C988" s="312"/>
      <c r="D988" s="312"/>
      <c r="E988" s="312"/>
      <c r="F988" s="312"/>
      <c r="G988" s="312"/>
      <c r="H988" s="312"/>
      <c r="I988" s="312"/>
      <c r="J988" s="312"/>
      <c r="K988" s="312"/>
      <c r="L988" s="312"/>
      <c r="M988" s="312"/>
      <c r="N988" s="312"/>
      <c r="O988" s="312"/>
      <c r="P988" s="312"/>
      <c r="Q988" s="312"/>
      <c r="R988" s="312"/>
      <c r="S988" s="312"/>
      <c r="T988" s="312"/>
      <c r="U988" s="312"/>
      <c r="V988" s="312"/>
      <c r="W988" s="312"/>
      <c r="X988" s="312"/>
      <c r="Y988" s="312"/>
      <c r="Z988" s="312"/>
      <c r="AA988" s="312"/>
      <c r="AB988" s="312"/>
      <c r="AC988" s="312"/>
      <c r="AD988" s="312"/>
      <c r="AE988" s="312"/>
      <c r="AF988" s="312"/>
      <c r="AG988" s="312"/>
      <c r="AH988" s="312"/>
      <c r="AI988" s="312"/>
      <c r="AJ988" s="312"/>
      <c r="AK988" s="312"/>
      <c r="AL988" s="312"/>
      <c r="AM988" s="312"/>
      <c r="AN988" s="312"/>
      <c r="AO988" s="312"/>
      <c r="AP988" s="312"/>
      <c r="AQ988" s="312"/>
    </row>
    <row r="989" ht="15.75" customHeight="1">
      <c r="A989" s="318"/>
      <c r="B989" s="312"/>
      <c r="C989" s="312"/>
      <c r="D989" s="312"/>
      <c r="E989" s="312"/>
      <c r="F989" s="312"/>
      <c r="G989" s="312"/>
      <c r="H989" s="312"/>
      <c r="I989" s="312"/>
      <c r="J989" s="312"/>
      <c r="K989" s="312"/>
      <c r="L989" s="312"/>
      <c r="M989" s="312"/>
      <c r="N989" s="312"/>
      <c r="O989" s="312"/>
      <c r="P989" s="312"/>
      <c r="Q989" s="312"/>
      <c r="R989" s="312"/>
      <c r="S989" s="312"/>
      <c r="T989" s="312"/>
      <c r="U989" s="312"/>
      <c r="V989" s="312"/>
      <c r="W989" s="312"/>
      <c r="X989" s="312"/>
      <c r="Y989" s="312"/>
      <c r="Z989" s="312"/>
      <c r="AA989" s="312"/>
      <c r="AB989" s="312"/>
      <c r="AC989" s="312"/>
      <c r="AD989" s="312"/>
      <c r="AE989" s="312"/>
      <c r="AF989" s="312"/>
      <c r="AG989" s="312"/>
      <c r="AH989" s="312"/>
      <c r="AI989" s="312"/>
      <c r="AJ989" s="312"/>
      <c r="AK989" s="312"/>
      <c r="AL989" s="312"/>
      <c r="AM989" s="312"/>
      <c r="AN989" s="312"/>
      <c r="AO989" s="312"/>
      <c r="AP989" s="312"/>
      <c r="AQ989" s="312"/>
    </row>
    <row r="990" ht="15.75" customHeight="1">
      <c r="A990" s="318"/>
      <c r="B990" s="312"/>
      <c r="C990" s="312"/>
      <c r="D990" s="312"/>
      <c r="E990" s="312"/>
      <c r="F990" s="312"/>
      <c r="G990" s="312"/>
      <c r="H990" s="312"/>
      <c r="I990" s="312"/>
      <c r="J990" s="312"/>
      <c r="K990" s="312"/>
      <c r="L990" s="312"/>
      <c r="M990" s="312"/>
      <c r="N990" s="312"/>
      <c r="O990" s="312"/>
      <c r="P990" s="312"/>
      <c r="Q990" s="312"/>
      <c r="R990" s="312"/>
      <c r="S990" s="312"/>
      <c r="T990" s="312"/>
      <c r="U990" s="312"/>
      <c r="V990" s="312"/>
      <c r="W990" s="312"/>
      <c r="X990" s="312"/>
      <c r="Y990" s="312"/>
      <c r="Z990" s="312"/>
      <c r="AA990" s="312"/>
      <c r="AB990" s="312"/>
      <c r="AC990" s="312"/>
      <c r="AD990" s="312"/>
      <c r="AE990" s="312"/>
      <c r="AF990" s="312"/>
      <c r="AG990" s="312"/>
      <c r="AH990" s="312"/>
      <c r="AI990" s="312"/>
      <c r="AJ990" s="312"/>
      <c r="AK990" s="312"/>
      <c r="AL990" s="312"/>
      <c r="AM990" s="312"/>
      <c r="AN990" s="312"/>
      <c r="AO990" s="312"/>
      <c r="AP990" s="312"/>
      <c r="AQ990" s="312"/>
    </row>
    <row r="991" ht="15.75" customHeight="1">
      <c r="A991" s="318"/>
      <c r="B991" s="312"/>
      <c r="C991" s="312"/>
      <c r="D991" s="312"/>
      <c r="E991" s="312"/>
      <c r="F991" s="312"/>
      <c r="G991" s="312"/>
      <c r="H991" s="312"/>
      <c r="I991" s="312"/>
      <c r="J991" s="312"/>
      <c r="K991" s="312"/>
      <c r="L991" s="312"/>
      <c r="M991" s="312"/>
      <c r="N991" s="312"/>
      <c r="O991" s="312"/>
      <c r="P991" s="312"/>
      <c r="Q991" s="312"/>
      <c r="R991" s="312"/>
      <c r="S991" s="312"/>
      <c r="T991" s="312"/>
      <c r="U991" s="312"/>
      <c r="V991" s="312"/>
      <c r="W991" s="312"/>
      <c r="X991" s="312"/>
      <c r="Y991" s="312"/>
      <c r="Z991" s="312"/>
      <c r="AA991" s="312"/>
      <c r="AB991" s="312"/>
      <c r="AC991" s="312"/>
      <c r="AD991" s="312"/>
      <c r="AE991" s="312"/>
      <c r="AF991" s="312"/>
      <c r="AG991" s="312"/>
      <c r="AH991" s="312"/>
      <c r="AI991" s="312"/>
      <c r="AJ991" s="312"/>
      <c r="AK991" s="312"/>
      <c r="AL991" s="312"/>
      <c r="AM991" s="312"/>
      <c r="AN991" s="312"/>
      <c r="AO991" s="312"/>
      <c r="AP991" s="312"/>
      <c r="AQ991" s="312"/>
    </row>
    <row r="992" ht="15.75" customHeight="1">
      <c r="A992" s="318"/>
      <c r="B992" s="312"/>
      <c r="C992" s="312"/>
      <c r="D992" s="312"/>
      <c r="E992" s="312"/>
      <c r="F992" s="312"/>
      <c r="G992" s="312"/>
      <c r="H992" s="312"/>
      <c r="I992" s="312"/>
      <c r="J992" s="312"/>
      <c r="K992" s="312"/>
      <c r="L992" s="312"/>
      <c r="M992" s="312"/>
      <c r="N992" s="312"/>
      <c r="O992" s="312"/>
      <c r="P992" s="312"/>
      <c r="Q992" s="312"/>
      <c r="R992" s="312"/>
      <c r="S992" s="312"/>
      <c r="T992" s="312"/>
      <c r="U992" s="312"/>
      <c r="V992" s="312"/>
      <c r="W992" s="312"/>
      <c r="X992" s="312"/>
      <c r="Y992" s="312"/>
      <c r="Z992" s="312"/>
      <c r="AA992" s="312"/>
      <c r="AB992" s="312"/>
      <c r="AC992" s="312"/>
      <c r="AD992" s="312"/>
      <c r="AE992" s="312"/>
      <c r="AF992" s="312"/>
      <c r="AG992" s="312"/>
      <c r="AH992" s="312"/>
      <c r="AI992" s="312"/>
      <c r="AJ992" s="312"/>
      <c r="AK992" s="312"/>
      <c r="AL992" s="312"/>
      <c r="AM992" s="312"/>
      <c r="AN992" s="312"/>
      <c r="AO992" s="312"/>
      <c r="AP992" s="312"/>
      <c r="AQ992" s="312"/>
    </row>
    <row r="993" ht="15.75" customHeight="1">
      <c r="A993" s="318"/>
      <c r="B993" s="312"/>
      <c r="C993" s="312"/>
      <c r="D993" s="312"/>
      <c r="E993" s="312"/>
      <c r="F993" s="312"/>
      <c r="G993" s="312"/>
      <c r="H993" s="312"/>
      <c r="I993" s="312"/>
      <c r="J993" s="312"/>
      <c r="K993" s="312"/>
      <c r="L993" s="312"/>
      <c r="M993" s="312"/>
      <c r="N993" s="312"/>
      <c r="O993" s="312"/>
      <c r="P993" s="312"/>
      <c r="Q993" s="312"/>
      <c r="R993" s="312"/>
      <c r="S993" s="312"/>
      <c r="T993" s="312"/>
      <c r="U993" s="312"/>
      <c r="V993" s="312"/>
      <c r="W993" s="312"/>
      <c r="X993" s="312"/>
      <c r="Y993" s="312"/>
      <c r="Z993" s="312"/>
      <c r="AA993" s="312"/>
      <c r="AB993" s="312"/>
      <c r="AC993" s="312"/>
      <c r="AD993" s="312"/>
      <c r="AE993" s="312"/>
      <c r="AF993" s="312"/>
      <c r="AG993" s="312"/>
      <c r="AH993" s="312"/>
      <c r="AI993" s="312"/>
      <c r="AJ993" s="312"/>
      <c r="AK993" s="312"/>
      <c r="AL993" s="312"/>
      <c r="AM993" s="312"/>
      <c r="AN993" s="312"/>
      <c r="AO993" s="312"/>
      <c r="AP993" s="312"/>
      <c r="AQ993" s="312"/>
    </row>
    <row r="994" ht="15.75" customHeight="1">
      <c r="A994" s="318"/>
      <c r="B994" s="312"/>
      <c r="C994" s="312"/>
      <c r="D994" s="312"/>
      <c r="E994" s="312"/>
      <c r="F994" s="312"/>
      <c r="G994" s="312"/>
      <c r="H994" s="312"/>
      <c r="I994" s="312"/>
      <c r="J994" s="312"/>
      <c r="K994" s="312"/>
      <c r="L994" s="312"/>
      <c r="M994" s="312"/>
      <c r="N994" s="312"/>
      <c r="O994" s="312"/>
      <c r="P994" s="312"/>
      <c r="Q994" s="312"/>
      <c r="R994" s="312"/>
      <c r="S994" s="312"/>
      <c r="T994" s="312"/>
      <c r="U994" s="312"/>
      <c r="V994" s="312"/>
      <c r="W994" s="312"/>
      <c r="X994" s="312"/>
      <c r="Y994" s="312"/>
      <c r="Z994" s="312"/>
      <c r="AA994" s="312"/>
      <c r="AB994" s="312"/>
      <c r="AC994" s="312"/>
      <c r="AD994" s="312"/>
      <c r="AE994" s="312"/>
      <c r="AF994" s="312"/>
      <c r="AG994" s="312"/>
      <c r="AH994" s="312"/>
      <c r="AI994" s="312"/>
      <c r="AJ994" s="312"/>
      <c r="AK994" s="312"/>
      <c r="AL994" s="312"/>
      <c r="AM994" s="312"/>
      <c r="AN994" s="312"/>
      <c r="AO994" s="312"/>
      <c r="AP994" s="312"/>
      <c r="AQ994" s="312"/>
    </row>
    <row r="995" ht="15.75" customHeight="1">
      <c r="A995" s="318"/>
      <c r="B995" s="312"/>
      <c r="C995" s="312"/>
      <c r="D995" s="312"/>
      <c r="E995" s="312"/>
      <c r="F995" s="312"/>
      <c r="G995" s="312"/>
      <c r="H995" s="312"/>
      <c r="I995" s="312"/>
      <c r="J995" s="312"/>
      <c r="K995" s="312"/>
      <c r="L995" s="312"/>
      <c r="M995" s="312"/>
      <c r="N995" s="312"/>
      <c r="O995" s="312"/>
      <c r="P995" s="312"/>
      <c r="Q995" s="312"/>
      <c r="R995" s="312"/>
      <c r="S995" s="312"/>
      <c r="T995" s="312"/>
      <c r="U995" s="312"/>
      <c r="V995" s="312"/>
      <c r="W995" s="312"/>
      <c r="X995" s="312"/>
      <c r="Y995" s="312"/>
      <c r="Z995" s="312"/>
      <c r="AA995" s="312"/>
      <c r="AB995" s="312"/>
      <c r="AC995" s="312"/>
      <c r="AD995" s="312"/>
      <c r="AE995" s="312"/>
      <c r="AF995" s="312"/>
      <c r="AG995" s="312"/>
      <c r="AH995" s="312"/>
      <c r="AI995" s="312"/>
      <c r="AJ995" s="312"/>
      <c r="AK995" s="312"/>
      <c r="AL995" s="312"/>
      <c r="AM995" s="312"/>
      <c r="AN995" s="312"/>
      <c r="AO995" s="312"/>
      <c r="AP995" s="312"/>
      <c r="AQ995" s="312"/>
    </row>
    <row r="996" ht="15.75" customHeight="1">
      <c r="A996" s="318"/>
      <c r="B996" s="312"/>
      <c r="C996" s="312"/>
      <c r="D996" s="312"/>
      <c r="E996" s="312"/>
      <c r="F996" s="312"/>
      <c r="G996" s="312"/>
      <c r="H996" s="312"/>
      <c r="I996" s="312"/>
      <c r="J996" s="312"/>
      <c r="K996" s="312"/>
      <c r="L996" s="312"/>
      <c r="M996" s="312"/>
      <c r="N996" s="312"/>
      <c r="O996" s="312"/>
      <c r="P996" s="312"/>
      <c r="Q996" s="312"/>
      <c r="R996" s="312"/>
      <c r="S996" s="312"/>
      <c r="T996" s="312"/>
      <c r="U996" s="312"/>
      <c r="V996" s="312"/>
      <c r="W996" s="312"/>
      <c r="X996" s="312"/>
      <c r="Y996" s="312"/>
      <c r="Z996" s="312"/>
      <c r="AA996" s="312"/>
      <c r="AB996" s="312"/>
      <c r="AC996" s="312"/>
      <c r="AD996" s="312"/>
      <c r="AE996" s="312"/>
      <c r="AF996" s="312"/>
      <c r="AG996" s="312"/>
      <c r="AH996" s="312"/>
      <c r="AI996" s="312"/>
      <c r="AJ996" s="312"/>
      <c r="AK996" s="312"/>
      <c r="AL996" s="312"/>
      <c r="AM996" s="312"/>
      <c r="AN996" s="312"/>
      <c r="AO996" s="312"/>
      <c r="AP996" s="312"/>
      <c r="AQ996" s="312"/>
    </row>
    <row r="997" ht="15.75" customHeight="1">
      <c r="A997" s="318"/>
      <c r="B997" s="312"/>
      <c r="C997" s="312"/>
      <c r="D997" s="312"/>
      <c r="E997" s="312"/>
      <c r="F997" s="312"/>
      <c r="G997" s="312"/>
      <c r="H997" s="312"/>
      <c r="I997" s="312"/>
      <c r="J997" s="312"/>
      <c r="K997" s="312"/>
      <c r="L997" s="312"/>
      <c r="M997" s="312"/>
      <c r="N997" s="312"/>
      <c r="O997" s="312"/>
      <c r="P997" s="312"/>
      <c r="Q997" s="312"/>
      <c r="R997" s="312"/>
      <c r="S997" s="312"/>
      <c r="T997" s="312"/>
      <c r="U997" s="312"/>
      <c r="V997" s="312"/>
      <c r="W997" s="312"/>
      <c r="X997" s="312"/>
      <c r="Y997" s="312"/>
      <c r="Z997" s="312"/>
      <c r="AA997" s="312"/>
      <c r="AB997" s="312"/>
      <c r="AC997" s="312"/>
      <c r="AD997" s="312"/>
      <c r="AE997" s="312"/>
      <c r="AF997" s="312"/>
      <c r="AG997" s="312"/>
      <c r="AH997" s="312"/>
      <c r="AI997" s="312"/>
      <c r="AJ997" s="312"/>
      <c r="AK997" s="312"/>
      <c r="AL997" s="312"/>
      <c r="AM997" s="312"/>
      <c r="AN997" s="312"/>
      <c r="AO997" s="312"/>
      <c r="AP997" s="312"/>
      <c r="AQ997" s="312"/>
    </row>
    <row r="998" ht="15.75" customHeight="1">
      <c r="A998" s="318"/>
      <c r="B998" s="312"/>
      <c r="C998" s="312"/>
      <c r="D998" s="312"/>
      <c r="E998" s="312"/>
      <c r="F998" s="312"/>
      <c r="G998" s="312"/>
      <c r="H998" s="312"/>
      <c r="I998" s="312"/>
      <c r="J998" s="312"/>
      <c r="K998" s="312"/>
      <c r="L998" s="312"/>
      <c r="M998" s="312"/>
      <c r="N998" s="312"/>
      <c r="O998" s="312"/>
      <c r="P998" s="312"/>
      <c r="Q998" s="312"/>
      <c r="R998" s="312"/>
      <c r="S998" s="312"/>
      <c r="T998" s="312"/>
      <c r="U998" s="312"/>
      <c r="V998" s="312"/>
      <c r="W998" s="312"/>
      <c r="X998" s="312"/>
      <c r="Y998" s="312"/>
      <c r="Z998" s="312"/>
      <c r="AA998" s="312"/>
      <c r="AB998" s="312"/>
      <c r="AC998" s="312"/>
      <c r="AD998" s="312"/>
      <c r="AE998" s="312"/>
      <c r="AF998" s="312"/>
      <c r="AG998" s="312"/>
      <c r="AH998" s="312"/>
      <c r="AI998" s="312"/>
      <c r="AJ998" s="312"/>
      <c r="AK998" s="312"/>
      <c r="AL998" s="312"/>
      <c r="AM998" s="312"/>
      <c r="AN998" s="312"/>
      <c r="AO998" s="312"/>
      <c r="AP998" s="312"/>
      <c r="AQ998" s="312"/>
    </row>
    <row r="999" ht="15.75" customHeight="1">
      <c r="A999" s="318"/>
      <c r="B999" s="312"/>
      <c r="C999" s="312"/>
      <c r="D999" s="312"/>
      <c r="E999" s="312"/>
      <c r="F999" s="312"/>
      <c r="G999" s="312"/>
      <c r="H999" s="312"/>
      <c r="I999" s="312"/>
      <c r="J999" s="312"/>
      <c r="K999" s="312"/>
      <c r="L999" s="312"/>
      <c r="M999" s="312"/>
      <c r="N999" s="312"/>
      <c r="O999" s="312"/>
      <c r="P999" s="312"/>
      <c r="Q999" s="312"/>
      <c r="R999" s="312"/>
      <c r="S999" s="312"/>
      <c r="T999" s="312"/>
      <c r="U999" s="312"/>
      <c r="V999" s="312"/>
      <c r="W999" s="312"/>
      <c r="X999" s="312"/>
      <c r="Y999" s="312"/>
      <c r="Z999" s="312"/>
      <c r="AA999" s="312"/>
      <c r="AB999" s="312"/>
      <c r="AC999" s="312"/>
      <c r="AD999" s="312"/>
      <c r="AE999" s="312"/>
      <c r="AF999" s="312"/>
      <c r="AG999" s="312"/>
      <c r="AH999" s="312"/>
      <c r="AI999" s="312"/>
      <c r="AJ999" s="312"/>
      <c r="AK999" s="312"/>
      <c r="AL999" s="312"/>
      <c r="AM999" s="312"/>
      <c r="AN999" s="312"/>
      <c r="AO999" s="312"/>
      <c r="AP999" s="312"/>
      <c r="AQ999" s="312"/>
    </row>
  </sheetData>
  <mergeCells count="5717"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G4:AH4"/>
    <mergeCell ref="AI3:AJ3"/>
    <mergeCell ref="AK3:AL3"/>
    <mergeCell ref="AI4:AJ4"/>
    <mergeCell ref="AK4:AL4"/>
    <mergeCell ref="A1:F1"/>
    <mergeCell ref="G1:N1"/>
    <mergeCell ref="O1:Z1"/>
    <mergeCell ref="AA1:AL1"/>
    <mergeCell ref="AM1:AQ1"/>
    <mergeCell ref="G3:H3"/>
    <mergeCell ref="I3:J3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Y5:Z5"/>
    <mergeCell ref="AA5:AB5"/>
    <mergeCell ref="AC5:AD5"/>
    <mergeCell ref="AE5:AF5"/>
    <mergeCell ref="AG5:AH5"/>
    <mergeCell ref="AI5:AJ5"/>
    <mergeCell ref="AK5:AL5"/>
    <mergeCell ref="I5:J5"/>
    <mergeCell ref="K5:L5"/>
    <mergeCell ref="O5:P5"/>
    <mergeCell ref="Q5:R5"/>
    <mergeCell ref="S5:T5"/>
    <mergeCell ref="U5:V5"/>
    <mergeCell ref="W5:X5"/>
    <mergeCell ref="K3:L3"/>
    <mergeCell ref="M3:N3"/>
    <mergeCell ref="G4:H4"/>
    <mergeCell ref="I4:J4"/>
    <mergeCell ref="K4:L4"/>
    <mergeCell ref="M4:N4"/>
    <mergeCell ref="M5:N5"/>
    <mergeCell ref="AG6:AH6"/>
    <mergeCell ref="AI6:AJ6"/>
    <mergeCell ref="AK6:AL6"/>
    <mergeCell ref="S6:T6"/>
    <mergeCell ref="U6:V6"/>
    <mergeCell ref="W6:X6"/>
    <mergeCell ref="Y6:Z6"/>
    <mergeCell ref="AA6:AB6"/>
    <mergeCell ref="AC6:AD6"/>
    <mergeCell ref="AE6:AF6"/>
    <mergeCell ref="G5:H5"/>
    <mergeCell ref="G6:H6"/>
    <mergeCell ref="I6:J6"/>
    <mergeCell ref="K6:L6"/>
    <mergeCell ref="M6:N6"/>
    <mergeCell ref="O6:P6"/>
    <mergeCell ref="Q6:R6"/>
    <mergeCell ref="G7:H7"/>
    <mergeCell ref="I7:J7"/>
    <mergeCell ref="K7:L7"/>
    <mergeCell ref="M7:N7"/>
    <mergeCell ref="O7:P7"/>
    <mergeCell ref="Q7:R7"/>
    <mergeCell ref="S7:T7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G10:H10"/>
    <mergeCell ref="I10:J10"/>
    <mergeCell ref="K10:L10"/>
    <mergeCell ref="M10:N10"/>
    <mergeCell ref="O10:P10"/>
    <mergeCell ref="Q10:R10"/>
    <mergeCell ref="S10:T10"/>
    <mergeCell ref="AI13:AJ13"/>
    <mergeCell ref="AK13:AL13"/>
    <mergeCell ref="U13:V13"/>
    <mergeCell ref="W13:X13"/>
    <mergeCell ref="Y13:Z13"/>
    <mergeCell ref="AA13:AB13"/>
    <mergeCell ref="AC13:AD13"/>
    <mergeCell ref="AE13:AF13"/>
    <mergeCell ref="AG13:AH13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I12:AJ12"/>
    <mergeCell ref="AK12:AL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G13:H13"/>
    <mergeCell ref="I13:J13"/>
    <mergeCell ref="K13:L13"/>
    <mergeCell ref="M13:N13"/>
    <mergeCell ref="O13:P13"/>
    <mergeCell ref="Q13:R13"/>
    <mergeCell ref="S13:T13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G23:H23"/>
    <mergeCell ref="I23:J23"/>
    <mergeCell ref="K23:L23"/>
    <mergeCell ref="M23:N23"/>
    <mergeCell ref="O23:P23"/>
    <mergeCell ref="Q23:R23"/>
    <mergeCell ref="S23:T23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S25:T25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I27:AJ27"/>
    <mergeCell ref="AK27:AL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G28:H28"/>
    <mergeCell ref="I28:J28"/>
    <mergeCell ref="K28:L28"/>
    <mergeCell ref="M28:N28"/>
    <mergeCell ref="O28:P28"/>
    <mergeCell ref="Q28:R28"/>
    <mergeCell ref="S28:T28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I30:AJ30"/>
    <mergeCell ref="AK30:AL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G31:H31"/>
    <mergeCell ref="I31:J31"/>
    <mergeCell ref="K31:L31"/>
    <mergeCell ref="M31:N31"/>
    <mergeCell ref="O31:P31"/>
    <mergeCell ref="Q31:R31"/>
    <mergeCell ref="S31:T31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G32:H32"/>
    <mergeCell ref="I32:J32"/>
    <mergeCell ref="K32:L32"/>
    <mergeCell ref="M32:N32"/>
    <mergeCell ref="O32:P32"/>
    <mergeCell ref="Q32:R32"/>
    <mergeCell ref="S32:T32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G34:H34"/>
    <mergeCell ref="I34:J34"/>
    <mergeCell ref="K34:L34"/>
    <mergeCell ref="M34:N34"/>
    <mergeCell ref="O34:P34"/>
    <mergeCell ref="Q34:R34"/>
    <mergeCell ref="S34:T34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I36:AJ36"/>
    <mergeCell ref="AK36:AL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G37:H37"/>
    <mergeCell ref="I37:J37"/>
    <mergeCell ref="K37:L37"/>
    <mergeCell ref="M37:N37"/>
    <mergeCell ref="O37:P37"/>
    <mergeCell ref="Q37:R37"/>
    <mergeCell ref="S37:T37"/>
    <mergeCell ref="AI40:AJ40"/>
    <mergeCell ref="AK40:AL40"/>
    <mergeCell ref="U40:V40"/>
    <mergeCell ref="W40:X40"/>
    <mergeCell ref="Y40:Z40"/>
    <mergeCell ref="AA40:AB40"/>
    <mergeCell ref="AC40:AD40"/>
    <mergeCell ref="AE40:AF40"/>
    <mergeCell ref="AG40:AH40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G40:H40"/>
    <mergeCell ref="I40:J40"/>
    <mergeCell ref="K40:L40"/>
    <mergeCell ref="M40:N40"/>
    <mergeCell ref="O40:P40"/>
    <mergeCell ref="Q40:R40"/>
    <mergeCell ref="S40:T40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G41:H41"/>
    <mergeCell ref="I41:J41"/>
    <mergeCell ref="K41:L41"/>
    <mergeCell ref="M41:N41"/>
    <mergeCell ref="O41:P41"/>
    <mergeCell ref="Q41:R41"/>
    <mergeCell ref="S41:T41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G43:H43"/>
    <mergeCell ref="I43:J43"/>
    <mergeCell ref="K43:L43"/>
    <mergeCell ref="M43:N43"/>
    <mergeCell ref="O43:P43"/>
    <mergeCell ref="Q43:R43"/>
    <mergeCell ref="S43:T43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I45:AJ45"/>
    <mergeCell ref="AK45:AL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G46:H46"/>
    <mergeCell ref="I46:J46"/>
    <mergeCell ref="K46:L46"/>
    <mergeCell ref="M46:N46"/>
    <mergeCell ref="O46:P46"/>
    <mergeCell ref="Q46:R46"/>
    <mergeCell ref="S46:T46"/>
    <mergeCell ref="AI49:AJ49"/>
    <mergeCell ref="AK49:AL49"/>
    <mergeCell ref="U49:V49"/>
    <mergeCell ref="W49:X49"/>
    <mergeCell ref="Y49:Z49"/>
    <mergeCell ref="AA49:AB49"/>
    <mergeCell ref="AC49:AD49"/>
    <mergeCell ref="AE49:AF49"/>
    <mergeCell ref="AG49:AH49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G50:H50"/>
    <mergeCell ref="I50:J50"/>
    <mergeCell ref="K50:L50"/>
    <mergeCell ref="M50:N50"/>
    <mergeCell ref="O50:P50"/>
    <mergeCell ref="Q50:R50"/>
    <mergeCell ref="S50:T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I54:AJ54"/>
    <mergeCell ref="AK54:AL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G55:H55"/>
    <mergeCell ref="I55:J55"/>
    <mergeCell ref="K55:L55"/>
    <mergeCell ref="M55:N55"/>
    <mergeCell ref="O55:P55"/>
    <mergeCell ref="Q55:R55"/>
    <mergeCell ref="S55:T55"/>
    <mergeCell ref="AI58:AJ58"/>
    <mergeCell ref="AK58:AL58"/>
    <mergeCell ref="U58:V58"/>
    <mergeCell ref="W58:X58"/>
    <mergeCell ref="Y58:Z58"/>
    <mergeCell ref="AA58:AB58"/>
    <mergeCell ref="AC58:AD58"/>
    <mergeCell ref="AE58:AF58"/>
    <mergeCell ref="AG58:AH58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I57:AJ57"/>
    <mergeCell ref="AK57:AL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G58:H58"/>
    <mergeCell ref="I58:J58"/>
    <mergeCell ref="K58:L58"/>
    <mergeCell ref="M58:N58"/>
    <mergeCell ref="O58:P58"/>
    <mergeCell ref="Q58:R58"/>
    <mergeCell ref="S58:T58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G59:H59"/>
    <mergeCell ref="I59:J59"/>
    <mergeCell ref="K59:L59"/>
    <mergeCell ref="M59:N59"/>
    <mergeCell ref="O59:P59"/>
    <mergeCell ref="Q59:R59"/>
    <mergeCell ref="S59:T59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G61:H61"/>
    <mergeCell ref="I61:J61"/>
    <mergeCell ref="K61:L61"/>
    <mergeCell ref="M61:N61"/>
    <mergeCell ref="O61:P61"/>
    <mergeCell ref="Q61:R61"/>
    <mergeCell ref="S61:T61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I63:AJ63"/>
    <mergeCell ref="AK63:AL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G64:H64"/>
    <mergeCell ref="I64:J64"/>
    <mergeCell ref="K64:L64"/>
    <mergeCell ref="M64:N64"/>
    <mergeCell ref="O64:P64"/>
    <mergeCell ref="Q64:R64"/>
    <mergeCell ref="S64:T64"/>
    <mergeCell ref="AI67:AJ67"/>
    <mergeCell ref="AK67:AL67"/>
    <mergeCell ref="U67:V67"/>
    <mergeCell ref="W67:X67"/>
    <mergeCell ref="Y67:Z67"/>
    <mergeCell ref="AA67:AB67"/>
    <mergeCell ref="AC67:AD67"/>
    <mergeCell ref="AE67:AF67"/>
    <mergeCell ref="AG67:AH67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G68:H68"/>
    <mergeCell ref="I68:J68"/>
    <mergeCell ref="K68:L68"/>
    <mergeCell ref="M68:N68"/>
    <mergeCell ref="O68:P68"/>
    <mergeCell ref="Q68:R68"/>
    <mergeCell ref="S68:T68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G70:H70"/>
    <mergeCell ref="I70:J70"/>
    <mergeCell ref="K70:L70"/>
    <mergeCell ref="M70:N70"/>
    <mergeCell ref="O70:P70"/>
    <mergeCell ref="Q70:R70"/>
    <mergeCell ref="S70:T70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I72:AJ72"/>
    <mergeCell ref="AK72:AL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G73:H73"/>
    <mergeCell ref="I73:J73"/>
    <mergeCell ref="K73:L73"/>
    <mergeCell ref="M73:N73"/>
    <mergeCell ref="O73:P73"/>
    <mergeCell ref="Q73:R73"/>
    <mergeCell ref="S73:T73"/>
    <mergeCell ref="AI76:AJ76"/>
    <mergeCell ref="AK76:AL76"/>
    <mergeCell ref="U76:V76"/>
    <mergeCell ref="W76:X76"/>
    <mergeCell ref="Y76:Z76"/>
    <mergeCell ref="AA76:AB76"/>
    <mergeCell ref="AC76:AD76"/>
    <mergeCell ref="AE76:AF76"/>
    <mergeCell ref="AG76:AH76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I75:AJ75"/>
    <mergeCell ref="AK75:AL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G76:H76"/>
    <mergeCell ref="I76:J76"/>
    <mergeCell ref="K76:L76"/>
    <mergeCell ref="M76:N76"/>
    <mergeCell ref="O76:P76"/>
    <mergeCell ref="Q76:R76"/>
    <mergeCell ref="S76:T76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G77:H77"/>
    <mergeCell ref="I77:J77"/>
    <mergeCell ref="K77:L77"/>
    <mergeCell ref="M77:N77"/>
    <mergeCell ref="O77:P77"/>
    <mergeCell ref="Q77:R77"/>
    <mergeCell ref="S77:T77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G79:H79"/>
    <mergeCell ref="I79:J79"/>
    <mergeCell ref="K79:L79"/>
    <mergeCell ref="M79:N79"/>
    <mergeCell ref="O79:P79"/>
    <mergeCell ref="Q79:R79"/>
    <mergeCell ref="S79:T79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I81:AJ81"/>
    <mergeCell ref="AK81:AL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G82:H82"/>
    <mergeCell ref="I82:J82"/>
    <mergeCell ref="K82:L82"/>
    <mergeCell ref="M82:N82"/>
    <mergeCell ref="O82:P82"/>
    <mergeCell ref="Q82:R82"/>
    <mergeCell ref="S82:T82"/>
    <mergeCell ref="AI85:AJ85"/>
    <mergeCell ref="AK85:AL85"/>
    <mergeCell ref="U85:V85"/>
    <mergeCell ref="W85:X85"/>
    <mergeCell ref="Y85:Z85"/>
    <mergeCell ref="AA85:AB85"/>
    <mergeCell ref="AC85:AD85"/>
    <mergeCell ref="AE85:AF85"/>
    <mergeCell ref="AG85:AH85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I84:AJ84"/>
    <mergeCell ref="AK84:AL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G85:H85"/>
    <mergeCell ref="I85:J85"/>
    <mergeCell ref="K85:L85"/>
    <mergeCell ref="M85:N85"/>
    <mergeCell ref="O85:P85"/>
    <mergeCell ref="Q85:R85"/>
    <mergeCell ref="S85:T85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G86:H86"/>
    <mergeCell ref="I86:J86"/>
    <mergeCell ref="K86:L86"/>
    <mergeCell ref="M86:N86"/>
    <mergeCell ref="O86:P86"/>
    <mergeCell ref="Q86:R86"/>
    <mergeCell ref="S86:T86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G88:H88"/>
    <mergeCell ref="I88:J88"/>
    <mergeCell ref="K88:L88"/>
    <mergeCell ref="M88:N88"/>
    <mergeCell ref="O88:P88"/>
    <mergeCell ref="Q88:R88"/>
    <mergeCell ref="S88:T88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I90:AJ90"/>
    <mergeCell ref="AK90:AL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G91:H91"/>
    <mergeCell ref="I91:J91"/>
    <mergeCell ref="K91:L91"/>
    <mergeCell ref="M91:N91"/>
    <mergeCell ref="O91:P91"/>
    <mergeCell ref="Q91:R91"/>
    <mergeCell ref="S91:T91"/>
    <mergeCell ref="AI94:AJ94"/>
    <mergeCell ref="AK94:AL94"/>
    <mergeCell ref="U94:V94"/>
    <mergeCell ref="W94:X94"/>
    <mergeCell ref="Y94:Z94"/>
    <mergeCell ref="AA94:AB94"/>
    <mergeCell ref="AC94:AD94"/>
    <mergeCell ref="AE94:AF94"/>
    <mergeCell ref="AG94:AH94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I93:AJ93"/>
    <mergeCell ref="AK93:AL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G94:H94"/>
    <mergeCell ref="I94:J94"/>
    <mergeCell ref="K94:L94"/>
    <mergeCell ref="M94:N94"/>
    <mergeCell ref="O94:P94"/>
    <mergeCell ref="Q94:R94"/>
    <mergeCell ref="S94:T94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G95:H95"/>
    <mergeCell ref="I95:J95"/>
    <mergeCell ref="K95:L95"/>
    <mergeCell ref="M95:N95"/>
    <mergeCell ref="O95:P95"/>
    <mergeCell ref="Q95:R95"/>
    <mergeCell ref="S95:T95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G97:H97"/>
    <mergeCell ref="I97:J97"/>
    <mergeCell ref="K97:L97"/>
    <mergeCell ref="M97:N97"/>
    <mergeCell ref="O97:P97"/>
    <mergeCell ref="Q97:R97"/>
    <mergeCell ref="S97:T97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I99:AJ99"/>
    <mergeCell ref="AK99:AL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G100:H100"/>
    <mergeCell ref="I100:J100"/>
    <mergeCell ref="K100:L100"/>
    <mergeCell ref="M100:N100"/>
    <mergeCell ref="O100:P100"/>
    <mergeCell ref="Q100:R100"/>
    <mergeCell ref="S100:T100"/>
    <mergeCell ref="AI103:AJ103"/>
    <mergeCell ref="AK103:AL103"/>
    <mergeCell ref="U103:V103"/>
    <mergeCell ref="W103:X103"/>
    <mergeCell ref="Y103:Z103"/>
    <mergeCell ref="AA103:AB103"/>
    <mergeCell ref="AC103:AD103"/>
    <mergeCell ref="AE103:AF103"/>
    <mergeCell ref="AG103:AH103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I102:AJ102"/>
    <mergeCell ref="AK102:AL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G103:H103"/>
    <mergeCell ref="I103:J103"/>
    <mergeCell ref="K103:L103"/>
    <mergeCell ref="M103:N103"/>
    <mergeCell ref="O103:P103"/>
    <mergeCell ref="Q103:R103"/>
    <mergeCell ref="S103:T103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G104:H104"/>
    <mergeCell ref="I104:J104"/>
    <mergeCell ref="K104:L104"/>
    <mergeCell ref="M104:N104"/>
    <mergeCell ref="O104:P104"/>
    <mergeCell ref="Q104:R104"/>
    <mergeCell ref="S104:T104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G106:H106"/>
    <mergeCell ref="I106:J106"/>
    <mergeCell ref="K106:L106"/>
    <mergeCell ref="M106:N106"/>
    <mergeCell ref="O106:P106"/>
    <mergeCell ref="Q106:R106"/>
    <mergeCell ref="S106:T106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I108:AJ108"/>
    <mergeCell ref="AK108:AL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G109:H109"/>
    <mergeCell ref="I109:J109"/>
    <mergeCell ref="K109:L109"/>
    <mergeCell ref="M109:N109"/>
    <mergeCell ref="O109:P109"/>
    <mergeCell ref="Q109:R109"/>
    <mergeCell ref="S109:T109"/>
    <mergeCell ref="AI112:AJ112"/>
    <mergeCell ref="AK112:AL112"/>
    <mergeCell ref="U112:V112"/>
    <mergeCell ref="W112:X112"/>
    <mergeCell ref="Y112:Z112"/>
    <mergeCell ref="AA112:AB112"/>
    <mergeCell ref="AC112:AD112"/>
    <mergeCell ref="AE112:AF112"/>
    <mergeCell ref="AG112:AH112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I111:AJ111"/>
    <mergeCell ref="AK111:AL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G112:H112"/>
    <mergeCell ref="I112:J112"/>
    <mergeCell ref="K112:L112"/>
    <mergeCell ref="M112:N112"/>
    <mergeCell ref="O112:P112"/>
    <mergeCell ref="Q112:R112"/>
    <mergeCell ref="S112:T112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G113:H113"/>
    <mergeCell ref="I113:J113"/>
    <mergeCell ref="K113:L113"/>
    <mergeCell ref="M113:N113"/>
    <mergeCell ref="O113:P113"/>
    <mergeCell ref="Q113:R113"/>
    <mergeCell ref="S113:T113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G115:H115"/>
    <mergeCell ref="I115:J115"/>
    <mergeCell ref="K115:L115"/>
    <mergeCell ref="M115:N115"/>
    <mergeCell ref="O115:P115"/>
    <mergeCell ref="Q115:R115"/>
    <mergeCell ref="S115:T115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I117:AJ117"/>
    <mergeCell ref="AK117:AL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G118:H118"/>
    <mergeCell ref="I118:J118"/>
    <mergeCell ref="K118:L118"/>
    <mergeCell ref="M118:N118"/>
    <mergeCell ref="O118:P118"/>
    <mergeCell ref="Q118:R118"/>
    <mergeCell ref="S118:T118"/>
    <mergeCell ref="AI121:AJ121"/>
    <mergeCell ref="AK121:AL121"/>
    <mergeCell ref="U121:V121"/>
    <mergeCell ref="W121:X121"/>
    <mergeCell ref="Y121:Z121"/>
    <mergeCell ref="AA121:AB121"/>
    <mergeCell ref="AC121:AD121"/>
    <mergeCell ref="AE121:AF121"/>
    <mergeCell ref="AG121:AH121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I120:AJ120"/>
    <mergeCell ref="AK120:AL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G121:H121"/>
    <mergeCell ref="I121:J121"/>
    <mergeCell ref="K121:L121"/>
    <mergeCell ref="M121:N121"/>
    <mergeCell ref="O121:P121"/>
    <mergeCell ref="Q121:R121"/>
    <mergeCell ref="S121:T121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G122:H122"/>
    <mergeCell ref="I122:J122"/>
    <mergeCell ref="K122:L122"/>
    <mergeCell ref="M122:N122"/>
    <mergeCell ref="O122:P122"/>
    <mergeCell ref="Q122:R122"/>
    <mergeCell ref="S122:T122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G124:H124"/>
    <mergeCell ref="I124:J124"/>
    <mergeCell ref="K124:L124"/>
    <mergeCell ref="M124:N124"/>
    <mergeCell ref="O124:P124"/>
    <mergeCell ref="Q124:R124"/>
    <mergeCell ref="S124:T124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I126:AJ126"/>
    <mergeCell ref="AK126:AL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G127:H127"/>
    <mergeCell ref="I127:J127"/>
    <mergeCell ref="K127:L127"/>
    <mergeCell ref="M127:N127"/>
    <mergeCell ref="O127:P127"/>
    <mergeCell ref="Q127:R127"/>
    <mergeCell ref="S127:T127"/>
    <mergeCell ref="AI130:AJ130"/>
    <mergeCell ref="AK130:AL130"/>
    <mergeCell ref="U130:V130"/>
    <mergeCell ref="W130:X130"/>
    <mergeCell ref="Y130:Z130"/>
    <mergeCell ref="AA130:AB130"/>
    <mergeCell ref="AC130:AD130"/>
    <mergeCell ref="AE130:AF130"/>
    <mergeCell ref="AG130:AH130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I129:AJ129"/>
    <mergeCell ref="AK129:AL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G130:H130"/>
    <mergeCell ref="I130:J130"/>
    <mergeCell ref="K130:L130"/>
    <mergeCell ref="M130:N130"/>
    <mergeCell ref="O130:P130"/>
    <mergeCell ref="Q130:R130"/>
    <mergeCell ref="S130:T130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G131:H131"/>
    <mergeCell ref="I131:J131"/>
    <mergeCell ref="K131:L131"/>
    <mergeCell ref="M131:N131"/>
    <mergeCell ref="O131:P131"/>
    <mergeCell ref="Q131:R131"/>
    <mergeCell ref="S131:T131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G133:H133"/>
    <mergeCell ref="I133:J133"/>
    <mergeCell ref="K133:L133"/>
    <mergeCell ref="M133:N133"/>
    <mergeCell ref="O133:P133"/>
    <mergeCell ref="Q133:R133"/>
    <mergeCell ref="S133:T133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I135:AJ135"/>
    <mergeCell ref="AK135:AL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G136:H136"/>
    <mergeCell ref="I136:J136"/>
    <mergeCell ref="K136:L136"/>
    <mergeCell ref="M136:N136"/>
    <mergeCell ref="O136:P136"/>
    <mergeCell ref="Q136:R136"/>
    <mergeCell ref="S136:T136"/>
    <mergeCell ref="AI139:AJ139"/>
    <mergeCell ref="AK139:AL139"/>
    <mergeCell ref="U139:V139"/>
    <mergeCell ref="W139:X139"/>
    <mergeCell ref="Y139:Z139"/>
    <mergeCell ref="AA139:AB139"/>
    <mergeCell ref="AC139:AD139"/>
    <mergeCell ref="AE139:AF139"/>
    <mergeCell ref="AG139:AH139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I138:AJ138"/>
    <mergeCell ref="AK138:AL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G139:H139"/>
    <mergeCell ref="I139:J139"/>
    <mergeCell ref="K139:L139"/>
    <mergeCell ref="M139:N139"/>
    <mergeCell ref="O139:P139"/>
    <mergeCell ref="Q139:R139"/>
    <mergeCell ref="S139:T139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G140:H140"/>
    <mergeCell ref="I140:J140"/>
    <mergeCell ref="K140:L140"/>
    <mergeCell ref="M140:N140"/>
    <mergeCell ref="O140:P140"/>
    <mergeCell ref="Q140:R140"/>
    <mergeCell ref="S140:T140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G142:H142"/>
    <mergeCell ref="I142:J142"/>
    <mergeCell ref="K142:L142"/>
    <mergeCell ref="M142:N142"/>
    <mergeCell ref="O142:P142"/>
    <mergeCell ref="Q142:R142"/>
    <mergeCell ref="S142:T142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I144:AJ144"/>
    <mergeCell ref="AK144:AL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G145:H145"/>
    <mergeCell ref="I145:J145"/>
    <mergeCell ref="K145:L145"/>
    <mergeCell ref="M145:N145"/>
    <mergeCell ref="O145:P145"/>
    <mergeCell ref="Q145:R145"/>
    <mergeCell ref="S145:T145"/>
    <mergeCell ref="AI148:AJ148"/>
    <mergeCell ref="AK148:AL148"/>
    <mergeCell ref="U148:V148"/>
    <mergeCell ref="W148:X148"/>
    <mergeCell ref="Y148:Z148"/>
    <mergeCell ref="AA148:AB148"/>
    <mergeCell ref="AC148:AD148"/>
    <mergeCell ref="AE148:AF148"/>
    <mergeCell ref="AG148:AH148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I147:AJ147"/>
    <mergeCell ref="AK147:AL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G148:H148"/>
    <mergeCell ref="I148:J148"/>
    <mergeCell ref="K148:L148"/>
    <mergeCell ref="M148:N148"/>
    <mergeCell ref="O148:P148"/>
    <mergeCell ref="Q148:R148"/>
    <mergeCell ref="S148:T148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G149:H149"/>
    <mergeCell ref="I149:J149"/>
    <mergeCell ref="K149:L149"/>
    <mergeCell ref="M149:N149"/>
    <mergeCell ref="O149:P149"/>
    <mergeCell ref="Q149:R149"/>
    <mergeCell ref="S149:T149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G151:H151"/>
    <mergeCell ref="I151:J151"/>
    <mergeCell ref="K151:L151"/>
    <mergeCell ref="M151:N151"/>
    <mergeCell ref="O151:P151"/>
    <mergeCell ref="Q151:R151"/>
    <mergeCell ref="S151:T151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I153:AJ153"/>
    <mergeCell ref="AK153:AL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G154:H154"/>
    <mergeCell ref="I154:J154"/>
    <mergeCell ref="K154:L154"/>
    <mergeCell ref="M154:N154"/>
    <mergeCell ref="O154:P154"/>
    <mergeCell ref="Q154:R154"/>
    <mergeCell ref="S154:T154"/>
    <mergeCell ref="AI157:AJ157"/>
    <mergeCell ref="AK157:AL157"/>
    <mergeCell ref="U157:V157"/>
    <mergeCell ref="W157:X157"/>
    <mergeCell ref="Y157:Z157"/>
    <mergeCell ref="AA157:AB157"/>
    <mergeCell ref="AC157:AD157"/>
    <mergeCell ref="AE157:AF157"/>
    <mergeCell ref="AG157:AH157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I156:AJ156"/>
    <mergeCell ref="AK156:AL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G157:H157"/>
    <mergeCell ref="I157:J157"/>
    <mergeCell ref="K157:L157"/>
    <mergeCell ref="M157:N157"/>
    <mergeCell ref="O157:P157"/>
    <mergeCell ref="Q157:R157"/>
    <mergeCell ref="S157:T157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G158:H158"/>
    <mergeCell ref="I158:J158"/>
    <mergeCell ref="K158:L158"/>
    <mergeCell ref="M158:N158"/>
    <mergeCell ref="O158:P158"/>
    <mergeCell ref="Q158:R158"/>
    <mergeCell ref="S158:T158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G160:H160"/>
    <mergeCell ref="I160:J160"/>
    <mergeCell ref="K160:L160"/>
    <mergeCell ref="M160:N160"/>
    <mergeCell ref="O160:P160"/>
    <mergeCell ref="Q160:R160"/>
    <mergeCell ref="S160:T160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I162:AJ162"/>
    <mergeCell ref="AK162:AL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G163:H163"/>
    <mergeCell ref="I163:J163"/>
    <mergeCell ref="K163:L163"/>
    <mergeCell ref="M163:N163"/>
    <mergeCell ref="O163:P163"/>
    <mergeCell ref="Q163:R163"/>
    <mergeCell ref="S163:T163"/>
    <mergeCell ref="AI166:AJ166"/>
    <mergeCell ref="AK166:AL166"/>
    <mergeCell ref="U166:V166"/>
    <mergeCell ref="W166:X166"/>
    <mergeCell ref="Y166:Z166"/>
    <mergeCell ref="AA166:AB166"/>
    <mergeCell ref="AC166:AD166"/>
    <mergeCell ref="AE166:AF166"/>
    <mergeCell ref="AG166:AH166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I165:AJ165"/>
    <mergeCell ref="AK165:AL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G166:H166"/>
    <mergeCell ref="I166:J166"/>
    <mergeCell ref="K166:L166"/>
    <mergeCell ref="M166:N166"/>
    <mergeCell ref="O166:P166"/>
    <mergeCell ref="Q166:R166"/>
    <mergeCell ref="S166:T166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5:AJ315"/>
    <mergeCell ref="AK315:AL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G316:H316"/>
    <mergeCell ref="I316:J316"/>
    <mergeCell ref="K316:L316"/>
    <mergeCell ref="M316:N316"/>
    <mergeCell ref="O316:P316"/>
    <mergeCell ref="Q316:R316"/>
    <mergeCell ref="S316:T316"/>
    <mergeCell ref="AI319:AJ319"/>
    <mergeCell ref="AK319:AL319"/>
    <mergeCell ref="U319:V319"/>
    <mergeCell ref="W319:X319"/>
    <mergeCell ref="Y319:Z319"/>
    <mergeCell ref="AA319:AB319"/>
    <mergeCell ref="AC319:AD319"/>
    <mergeCell ref="AE319:AF319"/>
    <mergeCell ref="AG319:AH319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I318:AJ318"/>
    <mergeCell ref="AK318:AL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G319:H319"/>
    <mergeCell ref="I319:J319"/>
    <mergeCell ref="K319:L319"/>
    <mergeCell ref="M319:N319"/>
    <mergeCell ref="O319:P319"/>
    <mergeCell ref="Q319:R319"/>
    <mergeCell ref="S319:T319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G320:H320"/>
    <mergeCell ref="I320:J320"/>
    <mergeCell ref="K320:L320"/>
    <mergeCell ref="M320:N320"/>
    <mergeCell ref="O320:P320"/>
    <mergeCell ref="Q320:R320"/>
    <mergeCell ref="S320:T320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G322:H322"/>
    <mergeCell ref="I322:J322"/>
    <mergeCell ref="K322:L322"/>
    <mergeCell ref="M322:N322"/>
    <mergeCell ref="O322:P322"/>
    <mergeCell ref="Q322:R322"/>
    <mergeCell ref="S322:T322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I324:AJ324"/>
    <mergeCell ref="AK324:AL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G325:H325"/>
    <mergeCell ref="I325:J325"/>
    <mergeCell ref="K325:L325"/>
    <mergeCell ref="M325:N325"/>
    <mergeCell ref="O325:P325"/>
    <mergeCell ref="Q325:R325"/>
    <mergeCell ref="S325:T325"/>
    <mergeCell ref="AI328:AJ328"/>
    <mergeCell ref="AK328:AL328"/>
    <mergeCell ref="U328:V328"/>
    <mergeCell ref="W328:X328"/>
    <mergeCell ref="Y328:Z328"/>
    <mergeCell ref="AA328:AB328"/>
    <mergeCell ref="AC328:AD328"/>
    <mergeCell ref="AE328:AF328"/>
    <mergeCell ref="AG328:AH328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I327:AJ327"/>
    <mergeCell ref="AK327:AL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G328:H328"/>
    <mergeCell ref="I328:J328"/>
    <mergeCell ref="K328:L328"/>
    <mergeCell ref="M328:N328"/>
    <mergeCell ref="O328:P328"/>
    <mergeCell ref="Q328:R328"/>
    <mergeCell ref="S328:T328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G329:H329"/>
    <mergeCell ref="I329:J329"/>
    <mergeCell ref="K329:L329"/>
    <mergeCell ref="M329:N329"/>
    <mergeCell ref="O329:P329"/>
    <mergeCell ref="Q329:R329"/>
    <mergeCell ref="S329:T329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G331:H331"/>
    <mergeCell ref="I331:J331"/>
    <mergeCell ref="K331:L331"/>
    <mergeCell ref="M331:N331"/>
    <mergeCell ref="O331:P331"/>
    <mergeCell ref="Q331:R331"/>
    <mergeCell ref="S331:T331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I333:AJ333"/>
    <mergeCell ref="AK333:AL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G334:H334"/>
    <mergeCell ref="I334:J334"/>
    <mergeCell ref="K334:L334"/>
    <mergeCell ref="M334:N334"/>
    <mergeCell ref="O334:P334"/>
    <mergeCell ref="Q334:R334"/>
    <mergeCell ref="S334:T334"/>
    <mergeCell ref="AI358:AJ358"/>
    <mergeCell ref="AK358:AL358"/>
    <mergeCell ref="U358:V358"/>
    <mergeCell ref="W358:X358"/>
    <mergeCell ref="Y358:Z358"/>
    <mergeCell ref="AA358:AB358"/>
    <mergeCell ref="AC358:AD358"/>
    <mergeCell ref="AE358:AF358"/>
    <mergeCell ref="AG358:AH358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G356:H356"/>
    <mergeCell ref="I356:J356"/>
    <mergeCell ref="K356:L356"/>
    <mergeCell ref="M356:N356"/>
    <mergeCell ref="O356:P356"/>
    <mergeCell ref="Q356:R356"/>
    <mergeCell ref="S356:T356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G358:H358"/>
    <mergeCell ref="I358:J358"/>
    <mergeCell ref="K358:L358"/>
    <mergeCell ref="M358:N358"/>
    <mergeCell ref="O358:P358"/>
    <mergeCell ref="Q358:R358"/>
    <mergeCell ref="S358:T358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G14:H14"/>
    <mergeCell ref="I14:J14"/>
    <mergeCell ref="K14:L14"/>
    <mergeCell ref="M14:N14"/>
    <mergeCell ref="O14:P14"/>
    <mergeCell ref="Q14:R14"/>
    <mergeCell ref="S14:T14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G16:H16"/>
    <mergeCell ref="I16:J16"/>
    <mergeCell ref="K16:L16"/>
    <mergeCell ref="M16:N16"/>
    <mergeCell ref="O16:P16"/>
    <mergeCell ref="Q16:R16"/>
    <mergeCell ref="S16:T16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I18:AJ18"/>
    <mergeCell ref="AK18:AL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G19:H19"/>
    <mergeCell ref="I19:J19"/>
    <mergeCell ref="K19:L19"/>
    <mergeCell ref="M19:N19"/>
    <mergeCell ref="O19:P19"/>
    <mergeCell ref="Q19:R19"/>
    <mergeCell ref="S19:T19"/>
    <mergeCell ref="AI22:AJ22"/>
    <mergeCell ref="AK22:AL22"/>
    <mergeCell ref="U22:V22"/>
    <mergeCell ref="W22:X22"/>
    <mergeCell ref="Y22:Z22"/>
    <mergeCell ref="AA22:AB22"/>
    <mergeCell ref="AC22:AD22"/>
    <mergeCell ref="AE22:AF22"/>
    <mergeCell ref="AG22:AH22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I21:AJ21"/>
    <mergeCell ref="AK21:AL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G359:H359"/>
    <mergeCell ref="I359:J359"/>
    <mergeCell ref="K359:L359"/>
    <mergeCell ref="M359:N359"/>
    <mergeCell ref="O359:P359"/>
    <mergeCell ref="Q359:R359"/>
    <mergeCell ref="S359:T359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37:AJ337"/>
    <mergeCell ref="AK337:AL337"/>
    <mergeCell ref="U337:V337"/>
    <mergeCell ref="W337:X337"/>
    <mergeCell ref="Y337:Z337"/>
    <mergeCell ref="AA337:AB337"/>
    <mergeCell ref="AC337:AD337"/>
    <mergeCell ref="AE337:AF337"/>
    <mergeCell ref="AG337:AH337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I336:AJ336"/>
    <mergeCell ref="AK336:AL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G337:H337"/>
    <mergeCell ref="I337:J337"/>
    <mergeCell ref="K337:L337"/>
    <mergeCell ref="M337:N337"/>
    <mergeCell ref="O337:P337"/>
    <mergeCell ref="Q337:R337"/>
    <mergeCell ref="S337:T337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G338:H338"/>
    <mergeCell ref="I338:J338"/>
    <mergeCell ref="K338:L338"/>
    <mergeCell ref="M338:N338"/>
    <mergeCell ref="O338:P338"/>
    <mergeCell ref="Q338:R338"/>
    <mergeCell ref="S338:T338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G340:H340"/>
    <mergeCell ref="I340:J340"/>
    <mergeCell ref="K340:L340"/>
    <mergeCell ref="M340:N340"/>
    <mergeCell ref="O340:P340"/>
    <mergeCell ref="Q340:R340"/>
    <mergeCell ref="S340:T340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I342:AJ342"/>
    <mergeCell ref="AK342:AL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G343:H343"/>
    <mergeCell ref="I343:J343"/>
    <mergeCell ref="K343:L343"/>
    <mergeCell ref="M343:N343"/>
    <mergeCell ref="O343:P343"/>
    <mergeCell ref="Q343:R343"/>
    <mergeCell ref="S343:T343"/>
    <mergeCell ref="AI346:AJ346"/>
    <mergeCell ref="AK346:AL346"/>
    <mergeCell ref="U346:V346"/>
    <mergeCell ref="W346:X346"/>
    <mergeCell ref="Y346:Z346"/>
    <mergeCell ref="AA346:AB346"/>
    <mergeCell ref="AC346:AD346"/>
    <mergeCell ref="AE346:AF346"/>
    <mergeCell ref="AG346:AH346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I345:AJ345"/>
    <mergeCell ref="AK345:AL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G346:H346"/>
    <mergeCell ref="I346:J346"/>
    <mergeCell ref="K346:L346"/>
    <mergeCell ref="M346:N346"/>
    <mergeCell ref="O346:P346"/>
    <mergeCell ref="Q346:R346"/>
    <mergeCell ref="S346:T346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G347:H347"/>
    <mergeCell ref="I347:J347"/>
    <mergeCell ref="K347:L347"/>
    <mergeCell ref="M347:N347"/>
    <mergeCell ref="O347:P347"/>
    <mergeCell ref="Q347:R347"/>
    <mergeCell ref="S347:T347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G349:H349"/>
    <mergeCell ref="I349:J349"/>
    <mergeCell ref="K349:L349"/>
    <mergeCell ref="M349:N349"/>
    <mergeCell ref="O349:P349"/>
    <mergeCell ref="Q349:R349"/>
    <mergeCell ref="S349:T349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I351:AJ351"/>
    <mergeCell ref="AK351:AL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G352:H352"/>
    <mergeCell ref="I352:J352"/>
    <mergeCell ref="K352:L352"/>
    <mergeCell ref="M352:N352"/>
    <mergeCell ref="O352:P352"/>
    <mergeCell ref="Q352:R352"/>
    <mergeCell ref="S352:T352"/>
    <mergeCell ref="AI355:AJ355"/>
    <mergeCell ref="AK355:AL355"/>
    <mergeCell ref="U355:V355"/>
    <mergeCell ref="W355:X355"/>
    <mergeCell ref="Y355:Z355"/>
    <mergeCell ref="AA355:AB355"/>
    <mergeCell ref="AC355:AD355"/>
    <mergeCell ref="AE355:AF355"/>
    <mergeCell ref="AG355:AH355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I354:AJ354"/>
    <mergeCell ref="AK354:AL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G355:H355"/>
    <mergeCell ref="I355:J355"/>
    <mergeCell ref="K355:L355"/>
    <mergeCell ref="M355:N355"/>
    <mergeCell ref="O355:P355"/>
    <mergeCell ref="Q355:R355"/>
    <mergeCell ref="S355:T355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G167:H167"/>
    <mergeCell ref="I167:J167"/>
    <mergeCell ref="K167:L167"/>
    <mergeCell ref="M167:N167"/>
    <mergeCell ref="O167:P167"/>
    <mergeCell ref="Q167:R167"/>
    <mergeCell ref="S167:T167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G169:H169"/>
    <mergeCell ref="I169:J169"/>
    <mergeCell ref="K169:L169"/>
    <mergeCell ref="M169:N169"/>
    <mergeCell ref="O169:P169"/>
    <mergeCell ref="Q169:R169"/>
    <mergeCell ref="S169:T169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I171:AJ171"/>
    <mergeCell ref="AK171:AL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G172:H172"/>
    <mergeCell ref="I172:J172"/>
    <mergeCell ref="K172:L172"/>
    <mergeCell ref="M172:N172"/>
    <mergeCell ref="O172:P172"/>
    <mergeCell ref="Q172:R172"/>
    <mergeCell ref="S172:T172"/>
    <mergeCell ref="AI175:AJ175"/>
    <mergeCell ref="AK175:AL175"/>
    <mergeCell ref="U175:V175"/>
    <mergeCell ref="W175:X175"/>
    <mergeCell ref="Y175:Z175"/>
    <mergeCell ref="AA175:AB175"/>
    <mergeCell ref="AC175:AD175"/>
    <mergeCell ref="AE175:AF175"/>
    <mergeCell ref="AG175:AH175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I174:AJ174"/>
    <mergeCell ref="AK174:AL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G175:H175"/>
    <mergeCell ref="I175:J175"/>
    <mergeCell ref="K175:L175"/>
    <mergeCell ref="M175:N175"/>
    <mergeCell ref="O175:P175"/>
    <mergeCell ref="Q175:R175"/>
    <mergeCell ref="S175:T175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G176:H176"/>
    <mergeCell ref="I176:J176"/>
    <mergeCell ref="K176:L176"/>
    <mergeCell ref="M176:N176"/>
    <mergeCell ref="O176:P176"/>
    <mergeCell ref="Q176:R176"/>
    <mergeCell ref="S176:T176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G178:H178"/>
    <mergeCell ref="I178:J178"/>
    <mergeCell ref="K178:L178"/>
    <mergeCell ref="M178:N178"/>
    <mergeCell ref="O178:P178"/>
    <mergeCell ref="Q178:R178"/>
    <mergeCell ref="S178:T178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I180:AJ180"/>
    <mergeCell ref="AK180:AL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G181:H181"/>
    <mergeCell ref="I181:J181"/>
    <mergeCell ref="K181:L181"/>
    <mergeCell ref="M181:N181"/>
    <mergeCell ref="O181:P181"/>
    <mergeCell ref="Q181:R181"/>
    <mergeCell ref="S181:T181"/>
    <mergeCell ref="AI184:AJ184"/>
    <mergeCell ref="AK184:AL184"/>
    <mergeCell ref="U184:V184"/>
    <mergeCell ref="W184:X184"/>
    <mergeCell ref="Y184:Z184"/>
    <mergeCell ref="AA184:AB184"/>
    <mergeCell ref="AC184:AD184"/>
    <mergeCell ref="AE184:AF184"/>
    <mergeCell ref="AG184:AH184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I183:AJ183"/>
    <mergeCell ref="AK183:AL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G184:H184"/>
    <mergeCell ref="I184:J184"/>
    <mergeCell ref="K184:L184"/>
    <mergeCell ref="M184:N184"/>
    <mergeCell ref="O184:P184"/>
    <mergeCell ref="Q184:R184"/>
    <mergeCell ref="S184:T184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G185:H185"/>
    <mergeCell ref="I185:J185"/>
    <mergeCell ref="K185:L185"/>
    <mergeCell ref="M185:N185"/>
    <mergeCell ref="O185:P185"/>
    <mergeCell ref="Q185:R185"/>
    <mergeCell ref="S185:T185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G187:H187"/>
    <mergeCell ref="I187:J187"/>
    <mergeCell ref="K187:L187"/>
    <mergeCell ref="M187:N187"/>
    <mergeCell ref="O187:P187"/>
    <mergeCell ref="Q187:R187"/>
    <mergeCell ref="S187:T187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I189:AJ189"/>
    <mergeCell ref="AK189:AL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G190:H190"/>
    <mergeCell ref="I190:J190"/>
    <mergeCell ref="K190:L190"/>
    <mergeCell ref="M190:N190"/>
    <mergeCell ref="O190:P190"/>
    <mergeCell ref="Q190:R190"/>
    <mergeCell ref="S190:T190"/>
    <mergeCell ref="AI193:AJ193"/>
    <mergeCell ref="AK193:AL193"/>
    <mergeCell ref="U193:V193"/>
    <mergeCell ref="W193:X193"/>
    <mergeCell ref="Y193:Z193"/>
    <mergeCell ref="AA193:AB193"/>
    <mergeCell ref="AC193:AD193"/>
    <mergeCell ref="AE193:AF193"/>
    <mergeCell ref="AG193:AH193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I192:AJ192"/>
    <mergeCell ref="AK192:AL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G193:H193"/>
    <mergeCell ref="I193:J193"/>
    <mergeCell ref="K193:L193"/>
    <mergeCell ref="M193:N193"/>
    <mergeCell ref="O193:P193"/>
    <mergeCell ref="Q193:R193"/>
    <mergeCell ref="S193:T193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G194:H194"/>
    <mergeCell ref="I194:J194"/>
    <mergeCell ref="K194:L194"/>
    <mergeCell ref="M194:N194"/>
    <mergeCell ref="O194:P194"/>
    <mergeCell ref="Q194:R194"/>
    <mergeCell ref="S194:T194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G196:H196"/>
    <mergeCell ref="I196:J196"/>
    <mergeCell ref="K196:L196"/>
    <mergeCell ref="M196:N196"/>
    <mergeCell ref="O196:P196"/>
    <mergeCell ref="Q196:R196"/>
    <mergeCell ref="S196:T196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I198:AJ198"/>
    <mergeCell ref="AK198:AL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G199:H199"/>
    <mergeCell ref="I199:J199"/>
    <mergeCell ref="K199:L199"/>
    <mergeCell ref="M199:N199"/>
    <mergeCell ref="O199:P199"/>
    <mergeCell ref="Q199:R199"/>
    <mergeCell ref="S199:T199"/>
    <mergeCell ref="AI202:AJ202"/>
    <mergeCell ref="AK202:AL202"/>
    <mergeCell ref="U202:V202"/>
    <mergeCell ref="W202:X202"/>
    <mergeCell ref="Y202:Z202"/>
    <mergeCell ref="AA202:AB202"/>
    <mergeCell ref="AC202:AD202"/>
    <mergeCell ref="AE202:AF202"/>
    <mergeCell ref="AG202:AH202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I201:AJ201"/>
    <mergeCell ref="AK201:AL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G202:H202"/>
    <mergeCell ref="I202:J202"/>
    <mergeCell ref="K202:L202"/>
    <mergeCell ref="M202:N202"/>
    <mergeCell ref="O202:P202"/>
    <mergeCell ref="Q202:R202"/>
    <mergeCell ref="S202:T202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G203:H203"/>
    <mergeCell ref="I203:J203"/>
    <mergeCell ref="K203:L203"/>
    <mergeCell ref="M203:N203"/>
    <mergeCell ref="O203:P203"/>
    <mergeCell ref="Q203:R203"/>
    <mergeCell ref="S203:T203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G205:H205"/>
    <mergeCell ref="I205:J205"/>
    <mergeCell ref="K205:L205"/>
    <mergeCell ref="M205:N205"/>
    <mergeCell ref="O205:P205"/>
    <mergeCell ref="Q205:R205"/>
    <mergeCell ref="S205:T205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I207:AJ207"/>
    <mergeCell ref="AK207:AL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G208:H208"/>
    <mergeCell ref="I208:J208"/>
    <mergeCell ref="K208:L208"/>
    <mergeCell ref="M208:N208"/>
    <mergeCell ref="O208:P208"/>
    <mergeCell ref="Q208:R208"/>
    <mergeCell ref="S208:T208"/>
    <mergeCell ref="AI211:AJ211"/>
    <mergeCell ref="AK211:AL211"/>
    <mergeCell ref="U211:V211"/>
    <mergeCell ref="W211:X211"/>
    <mergeCell ref="Y211:Z211"/>
    <mergeCell ref="AA211:AB211"/>
    <mergeCell ref="AC211:AD211"/>
    <mergeCell ref="AE211:AF211"/>
    <mergeCell ref="AG211:AH211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I210:AJ210"/>
    <mergeCell ref="AK210:AL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G211:H211"/>
    <mergeCell ref="I211:J211"/>
    <mergeCell ref="K211:L211"/>
    <mergeCell ref="M211:N211"/>
    <mergeCell ref="O211:P211"/>
    <mergeCell ref="Q211:R211"/>
    <mergeCell ref="S211:T211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G212:H212"/>
    <mergeCell ref="I212:J212"/>
    <mergeCell ref="K212:L212"/>
    <mergeCell ref="M212:N212"/>
    <mergeCell ref="O212:P212"/>
    <mergeCell ref="Q212:R212"/>
    <mergeCell ref="S212:T212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G214:H214"/>
    <mergeCell ref="I214:J214"/>
    <mergeCell ref="K214:L214"/>
    <mergeCell ref="M214:N214"/>
    <mergeCell ref="O214:P214"/>
    <mergeCell ref="Q214:R214"/>
    <mergeCell ref="S214:T214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I216:AJ216"/>
    <mergeCell ref="AK216:AL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G217:H217"/>
    <mergeCell ref="I217:J217"/>
    <mergeCell ref="K217:L217"/>
    <mergeCell ref="M217:N217"/>
    <mergeCell ref="O217:P217"/>
    <mergeCell ref="Q217:R217"/>
    <mergeCell ref="S217:T217"/>
    <mergeCell ref="AI220:AJ220"/>
    <mergeCell ref="AK220:AL220"/>
    <mergeCell ref="U220:V220"/>
    <mergeCell ref="W220:X220"/>
    <mergeCell ref="Y220:Z220"/>
    <mergeCell ref="AA220:AB220"/>
    <mergeCell ref="AC220:AD220"/>
    <mergeCell ref="AE220:AF220"/>
    <mergeCell ref="AG220:AH220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I219:AJ219"/>
    <mergeCell ref="AK219:AL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G220:H220"/>
    <mergeCell ref="I220:J220"/>
    <mergeCell ref="K220:L220"/>
    <mergeCell ref="M220:N220"/>
    <mergeCell ref="O220:P220"/>
    <mergeCell ref="Q220:R220"/>
    <mergeCell ref="S220:T220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G221:H221"/>
    <mergeCell ref="I221:J221"/>
    <mergeCell ref="K221:L221"/>
    <mergeCell ref="M221:N221"/>
    <mergeCell ref="O221:P221"/>
    <mergeCell ref="Q221:R221"/>
    <mergeCell ref="S221:T221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G223:H223"/>
    <mergeCell ref="I223:J223"/>
    <mergeCell ref="K223:L223"/>
    <mergeCell ref="M223:N223"/>
    <mergeCell ref="O223:P223"/>
    <mergeCell ref="Q223:R223"/>
    <mergeCell ref="S223:T223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I225:AJ225"/>
    <mergeCell ref="AK225:AL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G226:H226"/>
    <mergeCell ref="I226:J226"/>
    <mergeCell ref="K226:L226"/>
    <mergeCell ref="M226:N226"/>
    <mergeCell ref="O226:P226"/>
    <mergeCell ref="Q226:R226"/>
    <mergeCell ref="S226:T226"/>
    <mergeCell ref="AI229:AJ229"/>
    <mergeCell ref="AK229:AL229"/>
    <mergeCell ref="U229:V229"/>
    <mergeCell ref="W229:X229"/>
    <mergeCell ref="Y229:Z229"/>
    <mergeCell ref="AA229:AB229"/>
    <mergeCell ref="AC229:AD229"/>
    <mergeCell ref="AE229:AF229"/>
    <mergeCell ref="AG229:AH229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I228:AJ228"/>
    <mergeCell ref="AK228:AL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G229:H229"/>
    <mergeCell ref="I229:J229"/>
    <mergeCell ref="K229:L229"/>
    <mergeCell ref="M229:N229"/>
    <mergeCell ref="O229:P229"/>
    <mergeCell ref="Q229:R229"/>
    <mergeCell ref="S229:T229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G230:H230"/>
    <mergeCell ref="I230:J230"/>
    <mergeCell ref="K230:L230"/>
    <mergeCell ref="M230:N230"/>
    <mergeCell ref="O230:P230"/>
    <mergeCell ref="Q230:R230"/>
    <mergeCell ref="S230:T230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G232:H232"/>
    <mergeCell ref="I232:J232"/>
    <mergeCell ref="K232:L232"/>
    <mergeCell ref="M232:N232"/>
    <mergeCell ref="O232:P232"/>
    <mergeCell ref="Q232:R232"/>
    <mergeCell ref="S232:T232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I234:AJ234"/>
    <mergeCell ref="AK234:AL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G235:H235"/>
    <mergeCell ref="I235:J235"/>
    <mergeCell ref="K235:L235"/>
    <mergeCell ref="M235:N235"/>
    <mergeCell ref="O235:P235"/>
    <mergeCell ref="Q235:R235"/>
    <mergeCell ref="S235:T235"/>
    <mergeCell ref="AI238:AJ238"/>
    <mergeCell ref="AK238:AL238"/>
    <mergeCell ref="U238:V238"/>
    <mergeCell ref="W238:X238"/>
    <mergeCell ref="Y238:Z238"/>
    <mergeCell ref="AA238:AB238"/>
    <mergeCell ref="AC238:AD238"/>
    <mergeCell ref="AE238:AF238"/>
    <mergeCell ref="AG238:AH238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I237:AJ237"/>
    <mergeCell ref="AK237:AL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G238:H238"/>
    <mergeCell ref="I238:J238"/>
    <mergeCell ref="K238:L238"/>
    <mergeCell ref="M238:N238"/>
    <mergeCell ref="O238:P238"/>
    <mergeCell ref="Q238:R238"/>
    <mergeCell ref="S238:T238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G239:H239"/>
    <mergeCell ref="I239:J239"/>
    <mergeCell ref="K239:L239"/>
    <mergeCell ref="M239:N239"/>
    <mergeCell ref="O239:P239"/>
    <mergeCell ref="Q239:R239"/>
    <mergeCell ref="S239:T239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G241:H241"/>
    <mergeCell ref="I241:J241"/>
    <mergeCell ref="K241:L241"/>
    <mergeCell ref="M241:N241"/>
    <mergeCell ref="O241:P241"/>
    <mergeCell ref="Q241:R241"/>
    <mergeCell ref="S241:T241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I243:AJ243"/>
    <mergeCell ref="AK243:AL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G244:H244"/>
    <mergeCell ref="I244:J244"/>
    <mergeCell ref="K244:L244"/>
    <mergeCell ref="M244:N244"/>
    <mergeCell ref="O244:P244"/>
    <mergeCell ref="Q244:R244"/>
    <mergeCell ref="S244:T244"/>
    <mergeCell ref="AI247:AJ247"/>
    <mergeCell ref="AK247:AL247"/>
    <mergeCell ref="U247:V247"/>
    <mergeCell ref="W247:X247"/>
    <mergeCell ref="Y247:Z247"/>
    <mergeCell ref="AA247:AB247"/>
    <mergeCell ref="AC247:AD247"/>
    <mergeCell ref="AE247:AF247"/>
    <mergeCell ref="AG247:AH247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I246:AJ246"/>
    <mergeCell ref="AK246:AL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G247:H247"/>
    <mergeCell ref="I247:J247"/>
    <mergeCell ref="K247:L247"/>
    <mergeCell ref="M247:N247"/>
    <mergeCell ref="O247:P247"/>
    <mergeCell ref="Q247:R247"/>
    <mergeCell ref="S247:T247"/>
    <mergeCell ref="AI250:AJ250"/>
    <mergeCell ref="AK250:AL250"/>
    <mergeCell ref="U250:V250"/>
    <mergeCell ref="W250:X250"/>
    <mergeCell ref="Y250:Z250"/>
    <mergeCell ref="AA250:AB250"/>
    <mergeCell ref="AC250:AD250"/>
    <mergeCell ref="AE250:AF250"/>
    <mergeCell ref="AG250:AH250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G248:H248"/>
    <mergeCell ref="I248:J248"/>
    <mergeCell ref="K248:L248"/>
    <mergeCell ref="M248:N248"/>
    <mergeCell ref="O248:P248"/>
    <mergeCell ref="Q248:R248"/>
    <mergeCell ref="S248:T248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G250:H250"/>
    <mergeCell ref="I250:J250"/>
    <mergeCell ref="K250:L250"/>
    <mergeCell ref="M250:N250"/>
    <mergeCell ref="O250:P250"/>
    <mergeCell ref="Q250:R250"/>
    <mergeCell ref="S250:T250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G251:H251"/>
    <mergeCell ref="I251:J251"/>
    <mergeCell ref="K251:L251"/>
    <mergeCell ref="M251:N251"/>
    <mergeCell ref="O251:P251"/>
    <mergeCell ref="Q251:R251"/>
    <mergeCell ref="S251:T251"/>
    <mergeCell ref="AI252:AJ252"/>
    <mergeCell ref="AK252:AL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G253:H253"/>
    <mergeCell ref="I253:J253"/>
    <mergeCell ref="K253:L253"/>
    <mergeCell ref="M253:N253"/>
    <mergeCell ref="O253:P253"/>
    <mergeCell ref="Q253:R253"/>
    <mergeCell ref="S253:T253"/>
    <mergeCell ref="AI256:AJ256"/>
    <mergeCell ref="AK256:AL256"/>
    <mergeCell ref="U256:V256"/>
    <mergeCell ref="W256:X256"/>
    <mergeCell ref="Y256:Z256"/>
    <mergeCell ref="AA256:AB256"/>
    <mergeCell ref="AC256:AD256"/>
    <mergeCell ref="AE256:AF256"/>
    <mergeCell ref="AG256:AH256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AI255:AJ255"/>
    <mergeCell ref="AK255:AL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G256:H256"/>
    <mergeCell ref="I256:J256"/>
    <mergeCell ref="K256:L256"/>
    <mergeCell ref="M256:N256"/>
    <mergeCell ref="O256:P256"/>
    <mergeCell ref="Q256:R256"/>
    <mergeCell ref="S256:T256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G257:H257"/>
    <mergeCell ref="I257:J257"/>
    <mergeCell ref="K257:L257"/>
    <mergeCell ref="M257:N257"/>
    <mergeCell ref="O257:P257"/>
    <mergeCell ref="Q257:R257"/>
    <mergeCell ref="S257:T257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G259:H259"/>
    <mergeCell ref="I259:J259"/>
    <mergeCell ref="K259:L259"/>
    <mergeCell ref="M259:N259"/>
    <mergeCell ref="O259:P259"/>
    <mergeCell ref="Q259:R259"/>
    <mergeCell ref="S259:T259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I261:AJ261"/>
    <mergeCell ref="AK261:AL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G262:H262"/>
    <mergeCell ref="I262:J262"/>
    <mergeCell ref="K262:L262"/>
    <mergeCell ref="M262:N262"/>
    <mergeCell ref="O262:P262"/>
    <mergeCell ref="Q262:R262"/>
    <mergeCell ref="S262:T262"/>
    <mergeCell ref="AI265:AJ265"/>
    <mergeCell ref="AK265:AL265"/>
    <mergeCell ref="U265:V265"/>
    <mergeCell ref="W265:X265"/>
    <mergeCell ref="Y265:Z265"/>
    <mergeCell ref="AA265:AB265"/>
    <mergeCell ref="AC265:AD265"/>
    <mergeCell ref="AE265:AF265"/>
    <mergeCell ref="AG265:AH265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I264:AJ264"/>
    <mergeCell ref="AK264:AL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G265:H265"/>
    <mergeCell ref="I265:J265"/>
    <mergeCell ref="K265:L265"/>
    <mergeCell ref="M265:N265"/>
    <mergeCell ref="O265:P265"/>
    <mergeCell ref="Q265:R265"/>
    <mergeCell ref="S265:T265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G266:H266"/>
    <mergeCell ref="I266:J266"/>
    <mergeCell ref="K266:L266"/>
    <mergeCell ref="M266:N266"/>
    <mergeCell ref="O266:P266"/>
    <mergeCell ref="Q266:R266"/>
    <mergeCell ref="S266:T266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G268:H268"/>
    <mergeCell ref="I268:J268"/>
    <mergeCell ref="K268:L268"/>
    <mergeCell ref="M268:N268"/>
    <mergeCell ref="O268:P268"/>
    <mergeCell ref="Q268:R268"/>
    <mergeCell ref="S268:T268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I270:AJ270"/>
    <mergeCell ref="AK270:AL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G271:H271"/>
    <mergeCell ref="I271:J271"/>
    <mergeCell ref="K271:L271"/>
    <mergeCell ref="M271:N271"/>
    <mergeCell ref="O271:P271"/>
    <mergeCell ref="Q271:R271"/>
    <mergeCell ref="S271:T271"/>
    <mergeCell ref="AI274:AJ274"/>
    <mergeCell ref="AK274:AL274"/>
    <mergeCell ref="U274:V274"/>
    <mergeCell ref="W274:X274"/>
    <mergeCell ref="Y274:Z274"/>
    <mergeCell ref="AA274:AB274"/>
    <mergeCell ref="AC274:AD274"/>
    <mergeCell ref="AE274:AF274"/>
    <mergeCell ref="AG274:AH274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I273:AJ273"/>
    <mergeCell ref="AK273:AL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G274:H274"/>
    <mergeCell ref="I274:J274"/>
    <mergeCell ref="K274:L274"/>
    <mergeCell ref="M274:N274"/>
    <mergeCell ref="O274:P274"/>
    <mergeCell ref="Q274:R274"/>
    <mergeCell ref="S274:T274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G275:H275"/>
    <mergeCell ref="I275:J275"/>
    <mergeCell ref="K275:L275"/>
    <mergeCell ref="M275:N275"/>
    <mergeCell ref="O275:P275"/>
    <mergeCell ref="Q275:R275"/>
    <mergeCell ref="S275:T275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G277:H277"/>
    <mergeCell ref="I277:J277"/>
    <mergeCell ref="K277:L277"/>
    <mergeCell ref="M277:N277"/>
    <mergeCell ref="O277:P277"/>
    <mergeCell ref="Q277:R277"/>
    <mergeCell ref="S277:T277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I279:AJ279"/>
    <mergeCell ref="AK279:AL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G280:H280"/>
    <mergeCell ref="I280:J280"/>
    <mergeCell ref="K280:L280"/>
    <mergeCell ref="M280:N280"/>
    <mergeCell ref="O280:P280"/>
    <mergeCell ref="Q280:R280"/>
    <mergeCell ref="S280:T280"/>
    <mergeCell ref="AI283:AJ283"/>
    <mergeCell ref="AK283:AL283"/>
    <mergeCell ref="U283:V283"/>
    <mergeCell ref="W283:X283"/>
    <mergeCell ref="Y283:Z283"/>
    <mergeCell ref="AA283:AB283"/>
    <mergeCell ref="AC283:AD283"/>
    <mergeCell ref="AE283:AF283"/>
    <mergeCell ref="AG283:AH283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I282:AJ282"/>
    <mergeCell ref="AK282:AL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G283:H283"/>
    <mergeCell ref="I283:J283"/>
    <mergeCell ref="K283:L283"/>
    <mergeCell ref="M283:N283"/>
    <mergeCell ref="O283:P283"/>
    <mergeCell ref="Q283:R283"/>
    <mergeCell ref="S283:T283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G284:H284"/>
    <mergeCell ref="I284:J284"/>
    <mergeCell ref="K284:L284"/>
    <mergeCell ref="M284:N284"/>
    <mergeCell ref="O284:P284"/>
    <mergeCell ref="Q284:R284"/>
    <mergeCell ref="S284:T284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G286:H286"/>
    <mergeCell ref="I286:J286"/>
    <mergeCell ref="K286:L286"/>
    <mergeCell ref="M286:N286"/>
    <mergeCell ref="O286:P286"/>
    <mergeCell ref="Q286:R286"/>
    <mergeCell ref="S286:T286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I288:AJ288"/>
    <mergeCell ref="AK288:AL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G289:H289"/>
    <mergeCell ref="I289:J289"/>
    <mergeCell ref="K289:L289"/>
    <mergeCell ref="M289:N289"/>
    <mergeCell ref="O289:P289"/>
    <mergeCell ref="Q289:R289"/>
    <mergeCell ref="S289:T289"/>
    <mergeCell ref="AI292:AJ292"/>
    <mergeCell ref="AK292:AL292"/>
    <mergeCell ref="U292:V292"/>
    <mergeCell ref="W292:X292"/>
    <mergeCell ref="Y292:Z292"/>
    <mergeCell ref="AA292:AB292"/>
    <mergeCell ref="AC292:AD292"/>
    <mergeCell ref="AE292:AF292"/>
    <mergeCell ref="AG292:AH292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I291:AJ291"/>
    <mergeCell ref="AK291:AL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G292:H292"/>
    <mergeCell ref="I292:J292"/>
    <mergeCell ref="K292:L292"/>
    <mergeCell ref="M292:N292"/>
    <mergeCell ref="O292:P292"/>
    <mergeCell ref="Q292:R292"/>
    <mergeCell ref="S292:T292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G293:H293"/>
    <mergeCell ref="I293:J293"/>
    <mergeCell ref="K293:L293"/>
    <mergeCell ref="M293:N293"/>
    <mergeCell ref="O293:P293"/>
    <mergeCell ref="Q293:R293"/>
    <mergeCell ref="S293:T293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G295:H295"/>
    <mergeCell ref="I295:J295"/>
    <mergeCell ref="K295:L295"/>
    <mergeCell ref="M295:N295"/>
    <mergeCell ref="O295:P295"/>
    <mergeCell ref="Q295:R295"/>
    <mergeCell ref="S295:T295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I297:AJ297"/>
    <mergeCell ref="AK297:AL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G298:H298"/>
    <mergeCell ref="I298:J298"/>
    <mergeCell ref="K298:L298"/>
    <mergeCell ref="M298:N298"/>
    <mergeCell ref="O298:P298"/>
    <mergeCell ref="Q298:R298"/>
    <mergeCell ref="S298:T298"/>
    <mergeCell ref="AI301:AJ301"/>
    <mergeCell ref="AK301:AL301"/>
    <mergeCell ref="U301:V301"/>
    <mergeCell ref="W301:X301"/>
    <mergeCell ref="Y301:Z301"/>
    <mergeCell ref="AA301:AB301"/>
    <mergeCell ref="AC301:AD301"/>
    <mergeCell ref="AE301:AF301"/>
    <mergeCell ref="AG301:AH301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I300:AJ300"/>
    <mergeCell ref="AK300:AL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G301:H301"/>
    <mergeCell ref="I301:J301"/>
    <mergeCell ref="K301:L301"/>
    <mergeCell ref="M301:N301"/>
    <mergeCell ref="O301:P301"/>
    <mergeCell ref="Q301:R301"/>
    <mergeCell ref="S301:T301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G302:H302"/>
    <mergeCell ref="I302:J302"/>
    <mergeCell ref="K302:L302"/>
    <mergeCell ref="M302:N302"/>
    <mergeCell ref="O302:P302"/>
    <mergeCell ref="Q302:R302"/>
    <mergeCell ref="S302:T302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G304:H304"/>
    <mergeCell ref="I304:J304"/>
    <mergeCell ref="K304:L304"/>
    <mergeCell ref="M304:N304"/>
    <mergeCell ref="O304:P304"/>
    <mergeCell ref="Q304:R304"/>
    <mergeCell ref="S304:T304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I306:AJ306"/>
    <mergeCell ref="AK306:AL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G307:H307"/>
    <mergeCell ref="I307:J307"/>
    <mergeCell ref="K307:L307"/>
    <mergeCell ref="M307:N307"/>
    <mergeCell ref="O307:P307"/>
    <mergeCell ref="Q307:R307"/>
    <mergeCell ref="S307:T307"/>
    <mergeCell ref="AI310:AJ310"/>
    <mergeCell ref="AK310:AL310"/>
    <mergeCell ref="U310:V310"/>
    <mergeCell ref="W310:X310"/>
    <mergeCell ref="Y310:Z310"/>
    <mergeCell ref="AA310:AB310"/>
    <mergeCell ref="AC310:AD310"/>
    <mergeCell ref="AE310:AF310"/>
    <mergeCell ref="AG310:AH310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I309:AJ309"/>
    <mergeCell ref="AK309:AL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G310:H310"/>
    <mergeCell ref="I310:J310"/>
    <mergeCell ref="K310:L310"/>
    <mergeCell ref="M310:N310"/>
    <mergeCell ref="O310:P310"/>
    <mergeCell ref="Q310:R310"/>
    <mergeCell ref="S310:T310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G311:H311"/>
    <mergeCell ref="I311:J311"/>
    <mergeCell ref="K311:L311"/>
    <mergeCell ref="M311:N311"/>
    <mergeCell ref="O311:P311"/>
    <mergeCell ref="Q311:R311"/>
    <mergeCell ref="S311:T311"/>
    <mergeCell ref="AI312:AJ312"/>
    <mergeCell ref="AK312:AL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G313:H313"/>
    <mergeCell ref="I313:J313"/>
    <mergeCell ref="K313:L313"/>
    <mergeCell ref="M313:N313"/>
    <mergeCell ref="O313:P313"/>
    <mergeCell ref="Q313:R313"/>
    <mergeCell ref="S313:T3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41" width="3.67"/>
    <col customWidth="1" min="42" max="42" width="10.78"/>
    <col customWidth="1" min="43" max="43" width="12.33"/>
    <col customWidth="1" min="44" max="44" width="8.0"/>
    <col customWidth="1" min="45" max="45" width="11.44"/>
    <col customWidth="1" min="46" max="46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3"/>
      <c r="N1" s="5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1"/>
      <c r="AQ1" s="8"/>
      <c r="AR1" s="8"/>
      <c r="AS1" s="8"/>
      <c r="AT1" s="9"/>
    </row>
    <row r="2" ht="120.75" customHeight="1">
      <c r="A2" s="42" t="s">
        <v>5</v>
      </c>
      <c r="B2" s="43" t="s">
        <v>6</v>
      </c>
      <c r="C2" s="43" t="s">
        <v>7</v>
      </c>
      <c r="D2" s="43" t="s">
        <v>8</v>
      </c>
      <c r="E2" s="43" t="s">
        <v>9</v>
      </c>
      <c r="F2" s="12" t="s">
        <v>10</v>
      </c>
      <c r="G2" s="44">
        <f>31.86+1</f>
        <v>32.86</v>
      </c>
      <c r="H2" s="45" t="s">
        <v>11</v>
      </c>
      <c r="I2" s="44">
        <f>35.3+1</f>
        <v>36.3</v>
      </c>
      <c r="J2" s="45" t="s">
        <v>12</v>
      </c>
      <c r="K2" s="44">
        <f>35.3+1</f>
        <v>36.3</v>
      </c>
      <c r="L2" s="48" t="s">
        <v>29</v>
      </c>
      <c r="M2" s="44">
        <f>31.86+1</f>
        <v>32.86</v>
      </c>
      <c r="N2" s="51" t="s">
        <v>10</v>
      </c>
      <c r="O2" s="54">
        <f>15.3 + 1</f>
        <v>16.3</v>
      </c>
      <c r="P2" s="51" t="s">
        <v>11</v>
      </c>
      <c r="Q2" s="54">
        <f>18.74+1</f>
        <v>19.74</v>
      </c>
      <c r="R2" s="51" t="s">
        <v>12</v>
      </c>
      <c r="S2" s="54">
        <f>18.74+1</f>
        <v>19.74</v>
      </c>
      <c r="T2" s="60" t="s">
        <v>14</v>
      </c>
      <c r="U2" s="54">
        <f>18.74+1</f>
        <v>19.74</v>
      </c>
      <c r="V2" s="63" t="s">
        <v>30</v>
      </c>
      <c r="W2" s="54">
        <f>18.74+1</f>
        <v>19.74</v>
      </c>
      <c r="X2" s="60" t="s">
        <v>31</v>
      </c>
      <c r="Y2" s="54">
        <v>19.74</v>
      </c>
      <c r="Z2" s="60" t="s">
        <v>32</v>
      </c>
      <c r="AA2" s="54">
        <v>80.0</v>
      </c>
      <c r="AB2" s="60" t="s">
        <v>33</v>
      </c>
      <c r="AC2" s="54">
        <v>125.0</v>
      </c>
      <c r="AD2" s="69" t="s">
        <v>15</v>
      </c>
      <c r="AE2" s="69">
        <v>0.0</v>
      </c>
      <c r="AF2" s="69" t="s">
        <v>15</v>
      </c>
      <c r="AG2" s="69">
        <v>0.0</v>
      </c>
      <c r="AH2" s="69" t="s">
        <v>15</v>
      </c>
      <c r="AI2" s="69">
        <v>0.0</v>
      </c>
      <c r="AJ2" s="69" t="s">
        <v>15</v>
      </c>
      <c r="AK2" s="69">
        <v>0.0</v>
      </c>
      <c r="AL2" s="69" t="s">
        <v>15</v>
      </c>
      <c r="AM2" s="69">
        <v>0.0</v>
      </c>
      <c r="AN2" s="69" t="s">
        <v>15</v>
      </c>
      <c r="AO2" s="69">
        <v>0.0</v>
      </c>
      <c r="AP2" s="74">
        <f>SUM(AP1:AT1)</f>
        <v>0</v>
      </c>
      <c r="AQ2" s="74" t="s">
        <v>17</v>
      </c>
      <c r="AR2" s="74" t="s">
        <v>18</v>
      </c>
      <c r="AS2" s="74" t="s">
        <v>19</v>
      </c>
      <c r="AT2" s="74" t="s">
        <v>20</v>
      </c>
    </row>
    <row r="3" ht="15.75" customHeight="1">
      <c r="A3" s="75" t="s">
        <v>21</v>
      </c>
      <c r="B3" s="76">
        <v>44928.0</v>
      </c>
      <c r="C3" s="77">
        <v>1.0</v>
      </c>
      <c r="D3" s="78" t="s">
        <v>22</v>
      </c>
      <c r="E3" s="79"/>
      <c r="F3" s="80"/>
      <c r="G3" s="58"/>
      <c r="H3" s="80"/>
      <c r="I3" s="58"/>
      <c r="J3" s="80"/>
      <c r="K3" s="58"/>
      <c r="L3" s="80"/>
      <c r="M3" s="58"/>
      <c r="N3" s="83"/>
      <c r="O3" s="84"/>
      <c r="P3" s="83"/>
      <c r="Q3" s="84"/>
      <c r="R3" s="83"/>
      <c r="S3" s="84"/>
      <c r="T3" s="83"/>
      <c r="U3" s="84"/>
      <c r="V3" s="85"/>
      <c r="W3" s="84"/>
      <c r="X3" s="83"/>
      <c r="Y3" s="84"/>
      <c r="Z3" s="85"/>
      <c r="AA3" s="84"/>
      <c r="AB3" s="85"/>
      <c r="AC3" s="84"/>
      <c r="AD3" s="85"/>
      <c r="AE3" s="84"/>
      <c r="AF3" s="85"/>
      <c r="AG3" s="84"/>
      <c r="AH3" s="85"/>
      <c r="AI3" s="84"/>
      <c r="AJ3" s="83"/>
      <c r="AK3" s="84"/>
      <c r="AL3" s="85"/>
      <c r="AM3" s="84"/>
      <c r="AN3" s="85"/>
      <c r="AO3" s="84"/>
      <c r="AP3" s="87">
        <f t="shared" ref="AP3:AP93" si="1">(F3*G$2)+(H3*I$2)+(J3*K$2)+(N3*O$2)+(P3*Q$2)+(R3*S$2)+(T3*U$2)+(V3*W$2)+(AB3*AC$2)+(AD3*AE$2)+(AF3*AG$2)+(AH3*AI$2)+(AJ3*AK$2)+(AL3*AM$2)+(AN3*AO$2)+(L3*M$2)+(Z3*AA$2)+(X3*Y$2)</f>
        <v>0</v>
      </c>
      <c r="AQ3" s="79">
        <f t="shared" ref="AQ3:AQ79" si="2">sum(F3,H3,J3,L3,N3,P3,R3,T3,V3,Z3,AB3)</f>
        <v>0</v>
      </c>
      <c r="AR3" s="79">
        <f t="shared" ref="AR3:AR359" si="3">0</f>
        <v>0</v>
      </c>
      <c r="AS3" s="79">
        <f t="shared" ref="AS3:AS359" si="4">sum(F3:AO3)</f>
        <v>0</v>
      </c>
      <c r="AT3" s="88" t="str">
        <f t="shared" ref="AT3:AT359" si="5">iferror(AP3/AS3,"")</f>
        <v/>
      </c>
    </row>
    <row r="4" ht="15.75" customHeight="1">
      <c r="A4" s="89" t="s">
        <v>23</v>
      </c>
      <c r="B4" s="90">
        <f t="shared" ref="B4:B359" si="6">B3+1</f>
        <v>44929</v>
      </c>
      <c r="C4" s="91">
        <v>1.0</v>
      </c>
      <c r="D4" s="92" t="s">
        <v>22</v>
      </c>
      <c r="E4" s="93"/>
      <c r="F4" s="94"/>
      <c r="G4" s="3"/>
      <c r="H4" s="94"/>
      <c r="I4" s="3"/>
      <c r="J4" s="94"/>
      <c r="K4" s="3"/>
      <c r="L4" s="94"/>
      <c r="M4" s="3"/>
      <c r="N4" s="94"/>
      <c r="O4" s="3"/>
      <c r="P4" s="94"/>
      <c r="Q4" s="3"/>
      <c r="R4" s="94"/>
      <c r="S4" s="3"/>
      <c r="T4" s="94"/>
      <c r="U4" s="3"/>
      <c r="V4" s="95"/>
      <c r="W4" s="3"/>
      <c r="X4" s="95"/>
      <c r="Y4" s="3"/>
      <c r="Z4" s="95"/>
      <c r="AA4" s="3"/>
      <c r="AB4" s="95"/>
      <c r="AC4" s="3"/>
      <c r="AD4" s="95"/>
      <c r="AE4" s="3"/>
      <c r="AF4" s="95"/>
      <c r="AG4" s="3"/>
      <c r="AH4" s="95"/>
      <c r="AI4" s="3"/>
      <c r="AJ4" s="95"/>
      <c r="AK4" s="3"/>
      <c r="AL4" s="95"/>
      <c r="AM4" s="3"/>
      <c r="AN4" s="95"/>
      <c r="AO4" s="3"/>
      <c r="AP4" s="96">
        <f t="shared" si="1"/>
        <v>0</v>
      </c>
      <c r="AQ4" s="93">
        <f t="shared" si="2"/>
        <v>0</v>
      </c>
      <c r="AR4" s="93">
        <f t="shared" si="3"/>
        <v>0</v>
      </c>
      <c r="AS4" s="93">
        <f t="shared" si="4"/>
        <v>0</v>
      </c>
      <c r="AT4" s="97" t="str">
        <f t="shared" si="5"/>
        <v/>
      </c>
    </row>
    <row r="5" ht="15.75" customHeight="1">
      <c r="A5" s="89" t="s">
        <v>24</v>
      </c>
      <c r="B5" s="90">
        <f t="shared" si="6"/>
        <v>44930</v>
      </c>
      <c r="C5" s="91">
        <v>1.0</v>
      </c>
      <c r="D5" s="92" t="s">
        <v>22</v>
      </c>
      <c r="E5" s="93"/>
      <c r="F5" s="94"/>
      <c r="G5" s="3"/>
      <c r="H5" s="94"/>
      <c r="I5" s="3"/>
      <c r="J5" s="94"/>
      <c r="K5" s="3"/>
      <c r="L5" s="94"/>
      <c r="M5" s="3"/>
      <c r="N5" s="94"/>
      <c r="O5" s="3"/>
      <c r="P5" s="94"/>
      <c r="Q5" s="3"/>
      <c r="R5" s="94"/>
      <c r="S5" s="3"/>
      <c r="T5" s="94"/>
      <c r="U5" s="3"/>
      <c r="V5" s="95"/>
      <c r="W5" s="3"/>
      <c r="X5" s="95"/>
      <c r="Y5" s="3"/>
      <c r="Z5" s="95"/>
      <c r="AA5" s="3"/>
      <c r="AB5" s="95"/>
      <c r="AC5" s="3"/>
      <c r="AD5" s="95"/>
      <c r="AE5" s="3"/>
      <c r="AF5" s="95"/>
      <c r="AG5" s="3"/>
      <c r="AH5" s="95"/>
      <c r="AI5" s="3"/>
      <c r="AJ5" s="95"/>
      <c r="AK5" s="3"/>
      <c r="AL5" s="95"/>
      <c r="AM5" s="3"/>
      <c r="AN5" s="95"/>
      <c r="AO5" s="3"/>
      <c r="AP5" s="96">
        <f t="shared" si="1"/>
        <v>0</v>
      </c>
      <c r="AQ5" s="93">
        <f t="shared" si="2"/>
        <v>0</v>
      </c>
      <c r="AR5" s="93">
        <f t="shared" si="3"/>
        <v>0</v>
      </c>
      <c r="AS5" s="93">
        <f t="shared" si="4"/>
        <v>0</v>
      </c>
      <c r="AT5" s="97" t="str">
        <f t="shared" si="5"/>
        <v/>
      </c>
    </row>
    <row r="6" ht="15.75" customHeight="1">
      <c r="A6" s="89" t="s">
        <v>25</v>
      </c>
      <c r="B6" s="90">
        <f t="shared" si="6"/>
        <v>44931</v>
      </c>
      <c r="C6" s="91">
        <v>1.0</v>
      </c>
      <c r="D6" s="92" t="s">
        <v>22</v>
      </c>
      <c r="E6" s="93"/>
      <c r="F6" s="94"/>
      <c r="G6" s="3"/>
      <c r="H6" s="94"/>
      <c r="I6" s="3"/>
      <c r="J6" s="94"/>
      <c r="K6" s="3"/>
      <c r="L6" s="94"/>
      <c r="M6" s="3"/>
      <c r="N6" s="94"/>
      <c r="O6" s="3"/>
      <c r="P6" s="94"/>
      <c r="Q6" s="3"/>
      <c r="R6" s="94"/>
      <c r="S6" s="3"/>
      <c r="T6" s="94"/>
      <c r="U6" s="3"/>
      <c r="V6" s="95"/>
      <c r="W6" s="3"/>
      <c r="X6" s="95"/>
      <c r="Y6" s="3"/>
      <c r="Z6" s="95"/>
      <c r="AA6" s="3"/>
      <c r="AB6" s="95"/>
      <c r="AC6" s="3"/>
      <c r="AD6" s="95"/>
      <c r="AE6" s="3"/>
      <c r="AF6" s="95"/>
      <c r="AG6" s="3"/>
      <c r="AH6" s="95"/>
      <c r="AI6" s="3"/>
      <c r="AJ6" s="95"/>
      <c r="AK6" s="3"/>
      <c r="AL6" s="95"/>
      <c r="AM6" s="3"/>
      <c r="AN6" s="95"/>
      <c r="AO6" s="3"/>
      <c r="AP6" s="96">
        <f t="shared" si="1"/>
        <v>0</v>
      </c>
      <c r="AQ6" s="93">
        <f t="shared" si="2"/>
        <v>0</v>
      </c>
      <c r="AR6" s="93">
        <f t="shared" si="3"/>
        <v>0</v>
      </c>
      <c r="AS6" s="93">
        <f t="shared" si="4"/>
        <v>0</v>
      </c>
      <c r="AT6" s="97" t="str">
        <f t="shared" si="5"/>
        <v/>
      </c>
    </row>
    <row r="7" ht="15.75" customHeight="1">
      <c r="A7" s="89" t="s">
        <v>26</v>
      </c>
      <c r="B7" s="90">
        <f t="shared" si="6"/>
        <v>44932</v>
      </c>
      <c r="C7" s="91">
        <v>1.0</v>
      </c>
      <c r="D7" s="92" t="s">
        <v>22</v>
      </c>
      <c r="E7" s="93"/>
      <c r="F7" s="94"/>
      <c r="G7" s="3"/>
      <c r="H7" s="94"/>
      <c r="I7" s="3"/>
      <c r="J7" s="94"/>
      <c r="K7" s="3"/>
      <c r="L7" s="94"/>
      <c r="M7" s="3"/>
      <c r="N7" s="94"/>
      <c r="O7" s="3"/>
      <c r="P7" s="94"/>
      <c r="Q7" s="3"/>
      <c r="R7" s="94"/>
      <c r="S7" s="3"/>
      <c r="T7" s="94"/>
      <c r="U7" s="3"/>
      <c r="V7" s="95"/>
      <c r="W7" s="3"/>
      <c r="X7" s="95"/>
      <c r="Y7" s="3"/>
      <c r="Z7" s="95"/>
      <c r="AA7" s="3"/>
      <c r="AB7" s="95"/>
      <c r="AC7" s="3"/>
      <c r="AD7" s="95"/>
      <c r="AE7" s="3"/>
      <c r="AF7" s="95"/>
      <c r="AG7" s="3"/>
      <c r="AH7" s="95"/>
      <c r="AI7" s="3"/>
      <c r="AJ7" s="95"/>
      <c r="AK7" s="3"/>
      <c r="AL7" s="95"/>
      <c r="AM7" s="3"/>
      <c r="AN7" s="95"/>
      <c r="AO7" s="3"/>
      <c r="AP7" s="96">
        <f t="shared" si="1"/>
        <v>0</v>
      </c>
      <c r="AQ7" s="93">
        <f t="shared" si="2"/>
        <v>0</v>
      </c>
      <c r="AR7" s="93">
        <f t="shared" si="3"/>
        <v>0</v>
      </c>
      <c r="AS7" s="93">
        <f t="shared" si="4"/>
        <v>0</v>
      </c>
      <c r="AT7" s="97" t="str">
        <f t="shared" si="5"/>
        <v/>
      </c>
    </row>
    <row r="8" ht="15.75" customHeight="1">
      <c r="A8" s="89" t="s">
        <v>27</v>
      </c>
      <c r="B8" s="90">
        <f t="shared" si="6"/>
        <v>44933</v>
      </c>
      <c r="C8" s="91">
        <v>1.0</v>
      </c>
      <c r="D8" s="92" t="s">
        <v>22</v>
      </c>
      <c r="E8" s="93"/>
      <c r="F8" s="94"/>
      <c r="G8" s="3"/>
      <c r="H8" s="94"/>
      <c r="I8" s="3"/>
      <c r="J8" s="94"/>
      <c r="K8" s="3"/>
      <c r="L8" s="94"/>
      <c r="M8" s="3"/>
      <c r="N8" s="94"/>
      <c r="O8" s="3"/>
      <c r="P8" s="94"/>
      <c r="Q8" s="3"/>
      <c r="R8" s="94"/>
      <c r="S8" s="3"/>
      <c r="T8" s="94"/>
      <c r="U8" s="3"/>
      <c r="V8" s="95"/>
      <c r="W8" s="3"/>
      <c r="X8" s="95"/>
      <c r="Y8" s="3"/>
      <c r="Z8" s="95"/>
      <c r="AA8" s="3"/>
      <c r="AB8" s="95"/>
      <c r="AC8" s="3"/>
      <c r="AD8" s="95"/>
      <c r="AE8" s="3"/>
      <c r="AF8" s="95"/>
      <c r="AG8" s="3"/>
      <c r="AH8" s="95"/>
      <c r="AI8" s="3"/>
      <c r="AJ8" s="95"/>
      <c r="AK8" s="3"/>
      <c r="AL8" s="95"/>
      <c r="AM8" s="3"/>
      <c r="AN8" s="95"/>
      <c r="AO8" s="3"/>
      <c r="AP8" s="96">
        <f t="shared" si="1"/>
        <v>0</v>
      </c>
      <c r="AQ8" s="93">
        <f t="shared" si="2"/>
        <v>0</v>
      </c>
      <c r="AR8" s="93">
        <f t="shared" si="3"/>
        <v>0</v>
      </c>
      <c r="AS8" s="93">
        <f t="shared" si="4"/>
        <v>0</v>
      </c>
      <c r="AT8" s="97" t="str">
        <f t="shared" si="5"/>
        <v/>
      </c>
    </row>
    <row r="9" ht="15.75" customHeight="1">
      <c r="A9" s="98" t="s">
        <v>28</v>
      </c>
      <c r="B9" s="99">
        <f t="shared" si="6"/>
        <v>44934</v>
      </c>
      <c r="C9" s="100">
        <v>1.0</v>
      </c>
      <c r="D9" s="101" t="s">
        <v>22</v>
      </c>
      <c r="E9" s="102"/>
      <c r="F9" s="103"/>
      <c r="G9" s="104"/>
      <c r="H9" s="103"/>
      <c r="I9" s="104"/>
      <c r="J9" s="103"/>
      <c r="K9" s="104"/>
      <c r="L9" s="103"/>
      <c r="M9" s="104"/>
      <c r="N9" s="103"/>
      <c r="O9" s="104"/>
      <c r="P9" s="103"/>
      <c r="Q9" s="104"/>
      <c r="R9" s="103"/>
      <c r="S9" s="104"/>
      <c r="T9" s="103"/>
      <c r="U9" s="104"/>
      <c r="V9" s="105"/>
      <c r="W9" s="104"/>
      <c r="X9" s="105"/>
      <c r="Y9" s="104"/>
      <c r="Z9" s="105"/>
      <c r="AA9" s="104"/>
      <c r="AB9" s="105"/>
      <c r="AC9" s="104"/>
      <c r="AD9" s="105"/>
      <c r="AE9" s="104"/>
      <c r="AF9" s="105"/>
      <c r="AG9" s="104"/>
      <c r="AH9" s="105"/>
      <c r="AI9" s="104"/>
      <c r="AJ9" s="105"/>
      <c r="AK9" s="104"/>
      <c r="AL9" s="105"/>
      <c r="AM9" s="104"/>
      <c r="AN9" s="105"/>
      <c r="AO9" s="104"/>
      <c r="AP9" s="106">
        <f t="shared" si="1"/>
        <v>0</v>
      </c>
      <c r="AQ9" s="102">
        <f t="shared" si="2"/>
        <v>0</v>
      </c>
      <c r="AR9" s="102">
        <f t="shared" si="3"/>
        <v>0</v>
      </c>
      <c r="AS9" s="102">
        <f t="shared" si="4"/>
        <v>0</v>
      </c>
      <c r="AT9" s="107" t="str">
        <f t="shared" si="5"/>
        <v/>
      </c>
    </row>
    <row r="10" ht="15.75" customHeight="1">
      <c r="A10" s="108" t="s">
        <v>21</v>
      </c>
      <c r="B10" s="109">
        <f t="shared" si="6"/>
        <v>44935</v>
      </c>
      <c r="C10" s="110">
        <v>1.0</v>
      </c>
      <c r="D10" s="110" t="s">
        <v>34</v>
      </c>
      <c r="E10" s="111" t="s">
        <v>38</v>
      </c>
      <c r="F10" s="112"/>
      <c r="G10" s="84"/>
      <c r="H10" s="112"/>
      <c r="I10" s="84"/>
      <c r="J10" s="112"/>
      <c r="K10" s="84"/>
      <c r="L10" s="112"/>
      <c r="M10" s="84"/>
      <c r="N10" s="112">
        <v>65.0</v>
      </c>
      <c r="O10" s="84"/>
      <c r="P10" s="112">
        <v>65.0</v>
      </c>
      <c r="Q10" s="84"/>
      <c r="R10" s="112"/>
      <c r="S10" s="84"/>
      <c r="T10" s="112"/>
      <c r="U10" s="84"/>
      <c r="V10" s="113"/>
      <c r="W10" s="84"/>
      <c r="X10" s="113"/>
      <c r="Y10" s="84"/>
      <c r="Z10" s="113"/>
      <c r="AA10" s="84"/>
      <c r="AB10" s="113"/>
      <c r="AC10" s="84"/>
      <c r="AD10" s="113"/>
      <c r="AE10" s="84"/>
      <c r="AF10" s="113"/>
      <c r="AG10" s="84"/>
      <c r="AH10" s="113"/>
      <c r="AI10" s="84"/>
      <c r="AJ10" s="113"/>
      <c r="AK10" s="84"/>
      <c r="AL10" s="113"/>
      <c r="AM10" s="84"/>
      <c r="AN10" s="113"/>
      <c r="AO10" s="84"/>
      <c r="AP10" s="114">
        <f t="shared" si="1"/>
        <v>2342.6</v>
      </c>
      <c r="AQ10" s="115">
        <f t="shared" si="2"/>
        <v>130</v>
      </c>
      <c r="AR10" s="115">
        <f t="shared" si="3"/>
        <v>0</v>
      </c>
      <c r="AS10" s="115">
        <f t="shared" si="4"/>
        <v>130</v>
      </c>
      <c r="AT10" s="116">
        <f t="shared" si="5"/>
        <v>18.02</v>
      </c>
    </row>
    <row r="11" ht="15.75" customHeight="1">
      <c r="A11" s="117" t="s">
        <v>23</v>
      </c>
      <c r="B11" s="118">
        <f t="shared" si="6"/>
        <v>44936</v>
      </c>
      <c r="C11" s="119">
        <v>1.0</v>
      </c>
      <c r="D11" s="119" t="s">
        <v>34</v>
      </c>
      <c r="E11" s="120" t="s">
        <v>38</v>
      </c>
      <c r="F11" s="121"/>
      <c r="G11" s="3"/>
      <c r="H11" s="121"/>
      <c r="I11" s="3"/>
      <c r="J11" s="121"/>
      <c r="K11" s="3"/>
      <c r="L11" s="121"/>
      <c r="M11" s="3"/>
      <c r="N11" s="121">
        <v>65.0</v>
      </c>
      <c r="O11" s="3"/>
      <c r="P11" s="121">
        <v>65.0</v>
      </c>
      <c r="Q11" s="3"/>
      <c r="R11" s="121"/>
      <c r="S11" s="3"/>
      <c r="T11" s="121"/>
      <c r="U11" s="3"/>
      <c r="V11" s="122"/>
      <c r="W11" s="3"/>
      <c r="X11" s="122"/>
      <c r="Y11" s="3"/>
      <c r="Z11" s="122"/>
      <c r="AA11" s="3"/>
      <c r="AB11" s="122"/>
      <c r="AC11" s="3"/>
      <c r="AD11" s="122"/>
      <c r="AE11" s="3"/>
      <c r="AF11" s="122"/>
      <c r="AG11" s="3"/>
      <c r="AH11" s="122"/>
      <c r="AI11" s="3"/>
      <c r="AJ11" s="122"/>
      <c r="AK11" s="3"/>
      <c r="AL11" s="122"/>
      <c r="AM11" s="3"/>
      <c r="AN11" s="122"/>
      <c r="AO11" s="3"/>
      <c r="AP11" s="123">
        <f t="shared" si="1"/>
        <v>2342.6</v>
      </c>
      <c r="AQ11" s="124">
        <f t="shared" si="2"/>
        <v>130</v>
      </c>
      <c r="AR11" s="124">
        <f t="shared" si="3"/>
        <v>0</v>
      </c>
      <c r="AS11" s="124">
        <f t="shared" si="4"/>
        <v>130</v>
      </c>
      <c r="AT11" s="125">
        <f t="shared" si="5"/>
        <v>18.02</v>
      </c>
    </row>
    <row r="12" ht="15.75" customHeight="1">
      <c r="A12" s="117" t="s">
        <v>24</v>
      </c>
      <c r="B12" s="118">
        <f t="shared" si="6"/>
        <v>44937</v>
      </c>
      <c r="C12" s="119">
        <v>1.0</v>
      </c>
      <c r="D12" s="119" t="s">
        <v>34</v>
      </c>
      <c r="E12" s="120" t="s">
        <v>38</v>
      </c>
      <c r="F12" s="121"/>
      <c r="G12" s="3"/>
      <c r="H12" s="121"/>
      <c r="I12" s="3"/>
      <c r="J12" s="121"/>
      <c r="K12" s="3"/>
      <c r="L12" s="121"/>
      <c r="M12" s="3"/>
      <c r="N12" s="121">
        <v>65.0</v>
      </c>
      <c r="O12" s="3"/>
      <c r="P12" s="121">
        <v>65.0</v>
      </c>
      <c r="Q12" s="3"/>
      <c r="R12" s="121"/>
      <c r="S12" s="3"/>
      <c r="T12" s="121"/>
      <c r="U12" s="3"/>
      <c r="V12" s="122"/>
      <c r="W12" s="3"/>
      <c r="X12" s="122"/>
      <c r="Y12" s="3"/>
      <c r="Z12" s="122"/>
      <c r="AA12" s="3"/>
      <c r="AB12" s="122"/>
      <c r="AC12" s="3"/>
      <c r="AD12" s="122"/>
      <c r="AE12" s="3"/>
      <c r="AF12" s="122"/>
      <c r="AG12" s="3"/>
      <c r="AH12" s="122"/>
      <c r="AI12" s="3"/>
      <c r="AJ12" s="122"/>
      <c r="AK12" s="3"/>
      <c r="AL12" s="122"/>
      <c r="AM12" s="3"/>
      <c r="AN12" s="122"/>
      <c r="AO12" s="3"/>
      <c r="AP12" s="123">
        <f t="shared" si="1"/>
        <v>2342.6</v>
      </c>
      <c r="AQ12" s="124">
        <f t="shared" si="2"/>
        <v>130</v>
      </c>
      <c r="AR12" s="124">
        <f t="shared" si="3"/>
        <v>0</v>
      </c>
      <c r="AS12" s="124">
        <f t="shared" si="4"/>
        <v>130</v>
      </c>
      <c r="AT12" s="125">
        <f t="shared" si="5"/>
        <v>18.02</v>
      </c>
    </row>
    <row r="13" ht="15.75" customHeight="1">
      <c r="A13" s="117" t="s">
        <v>25</v>
      </c>
      <c r="B13" s="118">
        <f t="shared" si="6"/>
        <v>44938</v>
      </c>
      <c r="C13" s="119">
        <v>1.0</v>
      </c>
      <c r="D13" s="119" t="s">
        <v>34</v>
      </c>
      <c r="E13" s="120" t="s">
        <v>38</v>
      </c>
      <c r="F13" s="121"/>
      <c r="G13" s="3"/>
      <c r="H13" s="121"/>
      <c r="I13" s="3"/>
      <c r="J13" s="121"/>
      <c r="K13" s="3"/>
      <c r="L13" s="121"/>
      <c r="M13" s="3"/>
      <c r="N13" s="121">
        <v>65.0</v>
      </c>
      <c r="O13" s="3"/>
      <c r="P13" s="121">
        <v>65.0</v>
      </c>
      <c r="Q13" s="3"/>
      <c r="R13" s="121"/>
      <c r="S13" s="3"/>
      <c r="T13" s="121"/>
      <c r="U13" s="3"/>
      <c r="V13" s="122"/>
      <c r="W13" s="3"/>
      <c r="X13" s="122"/>
      <c r="Y13" s="3"/>
      <c r="Z13" s="122"/>
      <c r="AA13" s="3"/>
      <c r="AB13" s="122"/>
      <c r="AC13" s="3"/>
      <c r="AD13" s="122"/>
      <c r="AE13" s="3"/>
      <c r="AF13" s="122"/>
      <c r="AG13" s="3"/>
      <c r="AH13" s="122"/>
      <c r="AI13" s="3"/>
      <c r="AJ13" s="122"/>
      <c r="AK13" s="3"/>
      <c r="AL13" s="122"/>
      <c r="AM13" s="3"/>
      <c r="AN13" s="122"/>
      <c r="AO13" s="3"/>
      <c r="AP13" s="123">
        <f t="shared" si="1"/>
        <v>2342.6</v>
      </c>
      <c r="AQ13" s="124">
        <f t="shared" si="2"/>
        <v>130</v>
      </c>
      <c r="AR13" s="124">
        <f t="shared" si="3"/>
        <v>0</v>
      </c>
      <c r="AS13" s="124">
        <f t="shared" si="4"/>
        <v>130</v>
      </c>
      <c r="AT13" s="125">
        <f t="shared" si="5"/>
        <v>18.02</v>
      </c>
    </row>
    <row r="14" ht="15.75" customHeight="1">
      <c r="A14" s="117" t="s">
        <v>26</v>
      </c>
      <c r="B14" s="118">
        <f t="shared" si="6"/>
        <v>44939</v>
      </c>
      <c r="C14" s="119">
        <v>1.0</v>
      </c>
      <c r="D14" s="119" t="s">
        <v>34</v>
      </c>
      <c r="E14" s="120" t="s">
        <v>38</v>
      </c>
      <c r="F14" s="121"/>
      <c r="G14" s="3"/>
      <c r="H14" s="121"/>
      <c r="I14" s="3"/>
      <c r="J14" s="121"/>
      <c r="K14" s="3"/>
      <c r="L14" s="121"/>
      <c r="M14" s="3"/>
      <c r="N14" s="121">
        <v>65.0</v>
      </c>
      <c r="O14" s="3"/>
      <c r="P14" s="121">
        <v>65.0</v>
      </c>
      <c r="Q14" s="3"/>
      <c r="R14" s="121"/>
      <c r="S14" s="3"/>
      <c r="T14" s="121"/>
      <c r="U14" s="3"/>
      <c r="V14" s="122"/>
      <c r="W14" s="3"/>
      <c r="X14" s="122"/>
      <c r="Y14" s="3"/>
      <c r="Z14" s="122"/>
      <c r="AA14" s="3"/>
      <c r="AB14" s="122"/>
      <c r="AC14" s="3"/>
      <c r="AD14" s="122"/>
      <c r="AE14" s="3"/>
      <c r="AF14" s="122"/>
      <c r="AG14" s="3"/>
      <c r="AH14" s="122"/>
      <c r="AI14" s="3"/>
      <c r="AJ14" s="122"/>
      <c r="AK14" s="3"/>
      <c r="AL14" s="122"/>
      <c r="AM14" s="3"/>
      <c r="AN14" s="122"/>
      <c r="AO14" s="3"/>
      <c r="AP14" s="123">
        <f t="shared" si="1"/>
        <v>2342.6</v>
      </c>
      <c r="AQ14" s="124">
        <f t="shared" si="2"/>
        <v>130</v>
      </c>
      <c r="AR14" s="124">
        <f t="shared" si="3"/>
        <v>0</v>
      </c>
      <c r="AS14" s="124">
        <f t="shared" si="4"/>
        <v>130</v>
      </c>
      <c r="AT14" s="125">
        <f t="shared" si="5"/>
        <v>18.02</v>
      </c>
    </row>
    <row r="15" ht="15.75" customHeight="1">
      <c r="A15" s="117" t="s">
        <v>27</v>
      </c>
      <c r="B15" s="118">
        <f t="shared" si="6"/>
        <v>44940</v>
      </c>
      <c r="C15" s="119">
        <v>1.0</v>
      </c>
      <c r="D15" s="119" t="s">
        <v>34</v>
      </c>
      <c r="E15" s="124"/>
      <c r="F15" s="121"/>
      <c r="G15" s="3"/>
      <c r="H15" s="121"/>
      <c r="I15" s="3"/>
      <c r="J15" s="121"/>
      <c r="K15" s="3"/>
      <c r="L15" s="121"/>
      <c r="M15" s="3"/>
      <c r="N15" s="121">
        <v>0.0</v>
      </c>
      <c r="O15" s="3"/>
      <c r="P15" s="121">
        <v>0.0</v>
      </c>
      <c r="Q15" s="3"/>
      <c r="R15" s="121"/>
      <c r="S15" s="3"/>
      <c r="T15" s="121"/>
      <c r="U15" s="3"/>
      <c r="V15" s="122"/>
      <c r="W15" s="3"/>
      <c r="X15" s="122"/>
      <c r="Y15" s="3"/>
      <c r="Z15" s="122"/>
      <c r="AA15" s="3"/>
      <c r="AB15" s="122"/>
      <c r="AC15" s="3"/>
      <c r="AD15" s="122"/>
      <c r="AE15" s="3"/>
      <c r="AF15" s="122"/>
      <c r="AG15" s="3"/>
      <c r="AH15" s="122"/>
      <c r="AI15" s="3"/>
      <c r="AJ15" s="122"/>
      <c r="AK15" s="3"/>
      <c r="AL15" s="122"/>
      <c r="AM15" s="3"/>
      <c r="AN15" s="122"/>
      <c r="AO15" s="3"/>
      <c r="AP15" s="123">
        <f t="shared" si="1"/>
        <v>0</v>
      </c>
      <c r="AQ15" s="124">
        <f t="shared" si="2"/>
        <v>0</v>
      </c>
      <c r="AR15" s="124">
        <f t="shared" si="3"/>
        <v>0</v>
      </c>
      <c r="AS15" s="124">
        <f t="shared" si="4"/>
        <v>0</v>
      </c>
      <c r="AT15" s="125" t="str">
        <f t="shared" si="5"/>
        <v/>
      </c>
    </row>
    <row r="16" ht="15.75" customHeight="1">
      <c r="A16" s="126" t="s">
        <v>28</v>
      </c>
      <c r="B16" s="127">
        <f t="shared" si="6"/>
        <v>44941</v>
      </c>
      <c r="C16" s="128">
        <v>1.0</v>
      </c>
      <c r="D16" s="128" t="s">
        <v>34</v>
      </c>
      <c r="E16" s="129"/>
      <c r="F16" s="130"/>
      <c r="G16" s="104"/>
      <c r="H16" s="130"/>
      <c r="I16" s="104"/>
      <c r="J16" s="130"/>
      <c r="K16" s="104"/>
      <c r="L16" s="130"/>
      <c r="M16" s="104"/>
      <c r="N16" s="130">
        <v>0.0</v>
      </c>
      <c r="O16" s="104"/>
      <c r="P16" s="130">
        <v>0.0</v>
      </c>
      <c r="Q16" s="104"/>
      <c r="R16" s="130"/>
      <c r="S16" s="104"/>
      <c r="T16" s="130"/>
      <c r="U16" s="104"/>
      <c r="V16" s="131"/>
      <c r="W16" s="104"/>
      <c r="X16" s="131"/>
      <c r="Y16" s="104"/>
      <c r="Z16" s="131"/>
      <c r="AA16" s="104"/>
      <c r="AB16" s="131"/>
      <c r="AC16" s="104"/>
      <c r="AD16" s="131"/>
      <c r="AE16" s="104"/>
      <c r="AF16" s="131"/>
      <c r="AG16" s="104"/>
      <c r="AH16" s="131"/>
      <c r="AI16" s="104"/>
      <c r="AJ16" s="131"/>
      <c r="AK16" s="104"/>
      <c r="AL16" s="131"/>
      <c r="AM16" s="104"/>
      <c r="AN16" s="131"/>
      <c r="AO16" s="104"/>
      <c r="AP16" s="132">
        <f t="shared" si="1"/>
        <v>0</v>
      </c>
      <c r="AQ16" s="129">
        <f t="shared" si="2"/>
        <v>0</v>
      </c>
      <c r="AR16" s="129">
        <f t="shared" si="3"/>
        <v>0</v>
      </c>
      <c r="AS16" s="129">
        <f t="shared" si="4"/>
        <v>0</v>
      </c>
      <c r="AT16" s="133" t="str">
        <f t="shared" si="5"/>
        <v/>
      </c>
    </row>
    <row r="17" ht="15.75" customHeight="1">
      <c r="A17" s="134" t="s">
        <v>21</v>
      </c>
      <c r="B17" s="135">
        <f t="shared" si="6"/>
        <v>44942</v>
      </c>
      <c r="C17" s="136">
        <v>1.0</v>
      </c>
      <c r="D17" s="136" t="s">
        <v>36</v>
      </c>
      <c r="E17" s="137" t="s">
        <v>38</v>
      </c>
      <c r="F17" s="138"/>
      <c r="G17" s="84"/>
      <c r="H17" s="138"/>
      <c r="I17" s="84"/>
      <c r="J17" s="138"/>
      <c r="K17" s="84"/>
      <c r="L17" s="138"/>
      <c r="M17" s="84"/>
      <c r="N17" s="138">
        <v>55.0</v>
      </c>
      <c r="O17" s="84"/>
      <c r="P17" s="138">
        <v>55.0</v>
      </c>
      <c r="Q17" s="84"/>
      <c r="R17" s="138"/>
      <c r="S17" s="84"/>
      <c r="T17" s="138"/>
      <c r="U17" s="84"/>
      <c r="V17" s="139"/>
      <c r="W17" s="84"/>
      <c r="X17" s="139"/>
      <c r="Y17" s="84"/>
      <c r="Z17" s="139"/>
      <c r="AA17" s="84"/>
      <c r="AB17" s="139"/>
      <c r="AC17" s="84"/>
      <c r="AD17" s="139"/>
      <c r="AE17" s="84"/>
      <c r="AF17" s="139"/>
      <c r="AG17" s="84"/>
      <c r="AH17" s="139"/>
      <c r="AI17" s="84"/>
      <c r="AJ17" s="139"/>
      <c r="AK17" s="84"/>
      <c r="AL17" s="139"/>
      <c r="AM17" s="84"/>
      <c r="AN17" s="139"/>
      <c r="AO17" s="84"/>
      <c r="AP17" s="140">
        <f t="shared" si="1"/>
        <v>1982.2</v>
      </c>
      <c r="AQ17" s="141">
        <f t="shared" si="2"/>
        <v>110</v>
      </c>
      <c r="AR17" s="141">
        <f t="shared" si="3"/>
        <v>0</v>
      </c>
      <c r="AS17" s="141">
        <f t="shared" si="4"/>
        <v>110</v>
      </c>
      <c r="AT17" s="142">
        <f t="shared" si="5"/>
        <v>18.02</v>
      </c>
    </row>
    <row r="18" ht="15.75" customHeight="1">
      <c r="A18" s="143" t="s">
        <v>23</v>
      </c>
      <c r="B18" s="144">
        <f t="shared" si="6"/>
        <v>44943</v>
      </c>
      <c r="C18" s="145">
        <v>1.0</v>
      </c>
      <c r="D18" s="145" t="s">
        <v>36</v>
      </c>
      <c r="E18" s="146" t="s">
        <v>38</v>
      </c>
      <c r="F18" s="147"/>
      <c r="G18" s="3"/>
      <c r="H18" s="147"/>
      <c r="I18" s="3"/>
      <c r="J18" s="147"/>
      <c r="K18" s="3"/>
      <c r="L18" s="147"/>
      <c r="M18" s="3"/>
      <c r="N18" s="147">
        <v>55.0</v>
      </c>
      <c r="O18" s="3"/>
      <c r="P18" s="147">
        <v>55.0</v>
      </c>
      <c r="Q18" s="3"/>
      <c r="R18" s="147"/>
      <c r="S18" s="3"/>
      <c r="T18" s="147"/>
      <c r="U18" s="3"/>
      <c r="V18" s="148"/>
      <c r="W18" s="3"/>
      <c r="X18" s="148"/>
      <c r="Y18" s="3"/>
      <c r="Z18" s="148"/>
      <c r="AA18" s="3"/>
      <c r="AB18" s="148"/>
      <c r="AC18" s="3"/>
      <c r="AD18" s="148"/>
      <c r="AE18" s="3"/>
      <c r="AF18" s="148"/>
      <c r="AG18" s="3"/>
      <c r="AH18" s="148"/>
      <c r="AI18" s="3"/>
      <c r="AJ18" s="148"/>
      <c r="AK18" s="3"/>
      <c r="AL18" s="148"/>
      <c r="AM18" s="3"/>
      <c r="AN18" s="148"/>
      <c r="AO18" s="3"/>
      <c r="AP18" s="149">
        <f t="shared" si="1"/>
        <v>1982.2</v>
      </c>
      <c r="AQ18" s="150">
        <f t="shared" si="2"/>
        <v>110</v>
      </c>
      <c r="AR18" s="150">
        <f t="shared" si="3"/>
        <v>0</v>
      </c>
      <c r="AS18" s="150">
        <f t="shared" si="4"/>
        <v>110</v>
      </c>
      <c r="AT18" s="151">
        <f t="shared" si="5"/>
        <v>18.02</v>
      </c>
    </row>
    <row r="19" ht="15.75" customHeight="1">
      <c r="A19" s="143" t="s">
        <v>24</v>
      </c>
      <c r="B19" s="144">
        <f t="shared" si="6"/>
        <v>44944</v>
      </c>
      <c r="C19" s="145">
        <v>1.0</v>
      </c>
      <c r="D19" s="145" t="s">
        <v>36</v>
      </c>
      <c r="E19" s="146" t="s">
        <v>38</v>
      </c>
      <c r="F19" s="147"/>
      <c r="G19" s="3"/>
      <c r="H19" s="147"/>
      <c r="I19" s="3"/>
      <c r="J19" s="147"/>
      <c r="K19" s="3"/>
      <c r="L19" s="147"/>
      <c r="M19" s="3"/>
      <c r="N19" s="147">
        <v>55.0</v>
      </c>
      <c r="O19" s="3"/>
      <c r="P19" s="147">
        <v>55.0</v>
      </c>
      <c r="Q19" s="3"/>
      <c r="R19" s="147"/>
      <c r="S19" s="3"/>
      <c r="T19" s="147"/>
      <c r="U19" s="3"/>
      <c r="V19" s="148"/>
      <c r="W19" s="3"/>
      <c r="X19" s="148"/>
      <c r="Y19" s="3"/>
      <c r="Z19" s="148"/>
      <c r="AA19" s="3"/>
      <c r="AB19" s="148"/>
      <c r="AC19" s="3"/>
      <c r="AD19" s="148"/>
      <c r="AE19" s="3"/>
      <c r="AF19" s="148"/>
      <c r="AG19" s="3"/>
      <c r="AH19" s="148"/>
      <c r="AI19" s="3"/>
      <c r="AJ19" s="148"/>
      <c r="AK19" s="3"/>
      <c r="AL19" s="148"/>
      <c r="AM19" s="3"/>
      <c r="AN19" s="148"/>
      <c r="AO19" s="3"/>
      <c r="AP19" s="149">
        <f t="shared" si="1"/>
        <v>1982.2</v>
      </c>
      <c r="AQ19" s="150">
        <f t="shared" si="2"/>
        <v>110</v>
      </c>
      <c r="AR19" s="150">
        <f t="shared" si="3"/>
        <v>0</v>
      </c>
      <c r="AS19" s="150">
        <f t="shared" si="4"/>
        <v>110</v>
      </c>
      <c r="AT19" s="151">
        <f t="shared" si="5"/>
        <v>18.02</v>
      </c>
    </row>
    <row r="20" ht="15.75" customHeight="1">
      <c r="A20" s="143" t="s">
        <v>25</v>
      </c>
      <c r="B20" s="144">
        <f t="shared" si="6"/>
        <v>44945</v>
      </c>
      <c r="C20" s="145">
        <v>1.0</v>
      </c>
      <c r="D20" s="145" t="s">
        <v>36</v>
      </c>
      <c r="E20" s="146" t="s">
        <v>38</v>
      </c>
      <c r="F20" s="147"/>
      <c r="G20" s="3"/>
      <c r="H20" s="147"/>
      <c r="I20" s="3"/>
      <c r="J20" s="147"/>
      <c r="K20" s="3"/>
      <c r="L20" s="147"/>
      <c r="M20" s="3"/>
      <c r="N20" s="147">
        <v>55.0</v>
      </c>
      <c r="O20" s="3"/>
      <c r="P20" s="147">
        <v>55.0</v>
      </c>
      <c r="Q20" s="3"/>
      <c r="R20" s="147"/>
      <c r="S20" s="3"/>
      <c r="T20" s="147"/>
      <c r="U20" s="3"/>
      <c r="V20" s="148"/>
      <c r="W20" s="3"/>
      <c r="X20" s="148"/>
      <c r="Y20" s="3"/>
      <c r="Z20" s="148"/>
      <c r="AA20" s="3"/>
      <c r="AB20" s="148"/>
      <c r="AC20" s="3"/>
      <c r="AD20" s="148"/>
      <c r="AE20" s="3"/>
      <c r="AF20" s="148"/>
      <c r="AG20" s="3"/>
      <c r="AH20" s="148"/>
      <c r="AI20" s="3"/>
      <c r="AJ20" s="148"/>
      <c r="AK20" s="3"/>
      <c r="AL20" s="148"/>
      <c r="AM20" s="3"/>
      <c r="AN20" s="148"/>
      <c r="AO20" s="3"/>
      <c r="AP20" s="149">
        <f t="shared" si="1"/>
        <v>1982.2</v>
      </c>
      <c r="AQ20" s="150">
        <f t="shared" si="2"/>
        <v>110</v>
      </c>
      <c r="AR20" s="150">
        <f t="shared" si="3"/>
        <v>0</v>
      </c>
      <c r="AS20" s="150">
        <f t="shared" si="4"/>
        <v>110</v>
      </c>
      <c r="AT20" s="151">
        <f t="shared" si="5"/>
        <v>18.02</v>
      </c>
    </row>
    <row r="21" ht="15.75" customHeight="1">
      <c r="A21" s="143" t="s">
        <v>26</v>
      </c>
      <c r="B21" s="144">
        <f t="shared" si="6"/>
        <v>44946</v>
      </c>
      <c r="C21" s="145">
        <v>1.0</v>
      </c>
      <c r="D21" s="145" t="s">
        <v>36</v>
      </c>
      <c r="E21" s="146" t="s">
        <v>38</v>
      </c>
      <c r="F21" s="147"/>
      <c r="G21" s="3"/>
      <c r="H21" s="147"/>
      <c r="I21" s="3"/>
      <c r="J21" s="147"/>
      <c r="K21" s="3"/>
      <c r="L21" s="147"/>
      <c r="M21" s="3"/>
      <c r="N21" s="147">
        <v>0.0</v>
      </c>
      <c r="O21" s="3"/>
      <c r="P21" s="147">
        <v>0.0</v>
      </c>
      <c r="Q21" s="3"/>
      <c r="R21" s="147"/>
      <c r="S21" s="3"/>
      <c r="T21" s="147"/>
      <c r="U21" s="3"/>
      <c r="V21" s="148"/>
      <c r="W21" s="3"/>
      <c r="X21" s="148"/>
      <c r="Y21" s="3"/>
      <c r="Z21" s="148"/>
      <c r="AA21" s="3"/>
      <c r="AB21" s="148"/>
      <c r="AC21" s="3"/>
      <c r="AD21" s="148"/>
      <c r="AE21" s="3"/>
      <c r="AF21" s="148"/>
      <c r="AG21" s="3"/>
      <c r="AH21" s="148"/>
      <c r="AI21" s="3"/>
      <c r="AJ21" s="148"/>
      <c r="AK21" s="3"/>
      <c r="AL21" s="148"/>
      <c r="AM21" s="3"/>
      <c r="AN21" s="148"/>
      <c r="AO21" s="3"/>
      <c r="AP21" s="149">
        <f t="shared" si="1"/>
        <v>0</v>
      </c>
      <c r="AQ21" s="150">
        <f t="shared" si="2"/>
        <v>0</v>
      </c>
      <c r="AR21" s="150">
        <f t="shared" si="3"/>
        <v>0</v>
      </c>
      <c r="AS21" s="150">
        <f t="shared" si="4"/>
        <v>0</v>
      </c>
      <c r="AT21" s="151" t="str">
        <f t="shared" si="5"/>
        <v/>
      </c>
    </row>
    <row r="22" ht="15.75" customHeight="1">
      <c r="A22" s="143" t="s">
        <v>27</v>
      </c>
      <c r="B22" s="144">
        <f t="shared" si="6"/>
        <v>44947</v>
      </c>
      <c r="C22" s="145">
        <v>1.0</v>
      </c>
      <c r="D22" s="145" t="s">
        <v>36</v>
      </c>
      <c r="E22" s="150"/>
      <c r="F22" s="147"/>
      <c r="G22" s="3"/>
      <c r="H22" s="147"/>
      <c r="I22" s="3"/>
      <c r="J22" s="147"/>
      <c r="K22" s="3"/>
      <c r="L22" s="147"/>
      <c r="M22" s="3"/>
      <c r="N22" s="147">
        <v>0.0</v>
      </c>
      <c r="O22" s="3"/>
      <c r="P22" s="147">
        <v>0.0</v>
      </c>
      <c r="Q22" s="3"/>
      <c r="R22" s="147"/>
      <c r="S22" s="3"/>
      <c r="T22" s="147"/>
      <c r="U22" s="3"/>
      <c r="V22" s="148"/>
      <c r="W22" s="3"/>
      <c r="X22" s="148"/>
      <c r="Y22" s="3"/>
      <c r="Z22" s="148"/>
      <c r="AA22" s="3"/>
      <c r="AB22" s="148"/>
      <c r="AC22" s="3"/>
      <c r="AD22" s="148"/>
      <c r="AE22" s="3"/>
      <c r="AF22" s="148"/>
      <c r="AG22" s="3"/>
      <c r="AH22" s="148"/>
      <c r="AI22" s="3"/>
      <c r="AJ22" s="148"/>
      <c r="AK22" s="3"/>
      <c r="AL22" s="148"/>
      <c r="AM22" s="3"/>
      <c r="AN22" s="148"/>
      <c r="AO22" s="3"/>
      <c r="AP22" s="149">
        <f t="shared" si="1"/>
        <v>0</v>
      </c>
      <c r="AQ22" s="150">
        <f t="shared" si="2"/>
        <v>0</v>
      </c>
      <c r="AR22" s="150">
        <f t="shared" si="3"/>
        <v>0</v>
      </c>
      <c r="AS22" s="150">
        <f t="shared" si="4"/>
        <v>0</v>
      </c>
      <c r="AT22" s="151" t="str">
        <f t="shared" si="5"/>
        <v/>
      </c>
    </row>
    <row r="23" ht="15.75" customHeight="1">
      <c r="A23" s="143" t="s">
        <v>28</v>
      </c>
      <c r="B23" s="144">
        <f t="shared" si="6"/>
        <v>44948</v>
      </c>
      <c r="C23" s="145">
        <v>1.0</v>
      </c>
      <c r="D23" s="145" t="s">
        <v>36</v>
      </c>
      <c r="E23" s="157"/>
      <c r="F23" s="159"/>
      <c r="G23" s="73"/>
      <c r="H23" s="159"/>
      <c r="I23" s="73"/>
      <c r="J23" s="159"/>
      <c r="K23" s="73"/>
      <c r="L23" s="159"/>
      <c r="M23" s="73"/>
      <c r="N23" s="159">
        <v>0.0</v>
      </c>
      <c r="O23" s="73"/>
      <c r="P23" s="159">
        <v>0.0</v>
      </c>
      <c r="Q23" s="73"/>
      <c r="R23" s="159"/>
      <c r="S23" s="73"/>
      <c r="T23" s="159"/>
      <c r="U23" s="73"/>
      <c r="V23" s="160"/>
      <c r="W23" s="73"/>
      <c r="X23" s="160"/>
      <c r="Y23" s="73"/>
      <c r="Z23" s="160"/>
      <c r="AA23" s="73"/>
      <c r="AB23" s="160"/>
      <c r="AC23" s="73"/>
      <c r="AD23" s="160"/>
      <c r="AE23" s="73"/>
      <c r="AF23" s="160"/>
      <c r="AG23" s="73"/>
      <c r="AH23" s="160"/>
      <c r="AI23" s="73"/>
      <c r="AJ23" s="160"/>
      <c r="AK23" s="73"/>
      <c r="AL23" s="160"/>
      <c r="AM23" s="73"/>
      <c r="AN23" s="160"/>
      <c r="AO23" s="73"/>
      <c r="AP23" s="161">
        <f t="shared" si="1"/>
        <v>0</v>
      </c>
      <c r="AQ23" s="157">
        <f t="shared" si="2"/>
        <v>0</v>
      </c>
      <c r="AR23" s="157">
        <f t="shared" si="3"/>
        <v>0</v>
      </c>
      <c r="AS23" s="157">
        <f t="shared" si="4"/>
        <v>0</v>
      </c>
      <c r="AT23" s="162" t="str">
        <f t="shared" si="5"/>
        <v/>
      </c>
    </row>
    <row r="24" ht="15.75" customHeight="1">
      <c r="A24" s="108" t="s">
        <v>21</v>
      </c>
      <c r="B24" s="109">
        <f t="shared" si="6"/>
        <v>44949</v>
      </c>
      <c r="C24" s="110">
        <v>1.0</v>
      </c>
      <c r="D24" s="110" t="s">
        <v>37</v>
      </c>
      <c r="E24" s="163" t="s">
        <v>38</v>
      </c>
      <c r="F24" s="112">
        <v>0.0</v>
      </c>
      <c r="G24" s="84"/>
      <c r="H24" s="112">
        <v>0.0</v>
      </c>
      <c r="I24" s="84"/>
      <c r="J24" s="112">
        <v>0.0</v>
      </c>
      <c r="K24" s="84"/>
      <c r="L24" s="112">
        <v>0.0</v>
      </c>
      <c r="M24" s="84"/>
      <c r="N24" s="112">
        <v>55.0</v>
      </c>
      <c r="O24" s="84"/>
      <c r="P24" s="112">
        <v>55.0</v>
      </c>
      <c r="Q24" s="84"/>
      <c r="R24" s="112">
        <v>0.0</v>
      </c>
      <c r="S24" s="84"/>
      <c r="T24" s="112">
        <v>0.0</v>
      </c>
      <c r="U24" s="84"/>
      <c r="V24" s="164">
        <v>0.0</v>
      </c>
      <c r="W24" s="84"/>
      <c r="X24" s="164"/>
      <c r="Y24" s="84"/>
      <c r="Z24" s="164"/>
      <c r="AA24" s="84"/>
      <c r="AB24" s="164">
        <v>0.0</v>
      </c>
      <c r="AC24" s="84"/>
      <c r="AD24" s="164">
        <v>0.0</v>
      </c>
      <c r="AE24" s="84"/>
      <c r="AF24" s="164">
        <v>0.0</v>
      </c>
      <c r="AG24" s="84"/>
      <c r="AH24" s="164">
        <v>0.0</v>
      </c>
      <c r="AI24" s="84"/>
      <c r="AJ24" s="164">
        <v>0.0</v>
      </c>
      <c r="AK24" s="84"/>
      <c r="AL24" s="164">
        <v>0.0</v>
      </c>
      <c r="AM24" s="84"/>
      <c r="AN24" s="164">
        <v>0.0</v>
      </c>
      <c r="AO24" s="84"/>
      <c r="AP24" s="114">
        <f t="shared" si="1"/>
        <v>1982.2</v>
      </c>
      <c r="AQ24" s="115">
        <f t="shared" si="2"/>
        <v>110</v>
      </c>
      <c r="AR24" s="115">
        <f t="shared" si="3"/>
        <v>0</v>
      </c>
      <c r="AS24" s="115">
        <f t="shared" si="4"/>
        <v>110</v>
      </c>
      <c r="AT24" s="116">
        <f t="shared" si="5"/>
        <v>18.02</v>
      </c>
    </row>
    <row r="25" ht="15.75" customHeight="1">
      <c r="A25" s="117" t="s">
        <v>23</v>
      </c>
      <c r="B25" s="118">
        <f t="shared" si="6"/>
        <v>44950</v>
      </c>
      <c r="C25" s="119">
        <v>1.0</v>
      </c>
      <c r="D25" s="119" t="s">
        <v>37</v>
      </c>
      <c r="E25" s="165" t="s">
        <v>38</v>
      </c>
      <c r="F25" s="121">
        <v>0.0</v>
      </c>
      <c r="G25" s="3"/>
      <c r="H25" s="121">
        <v>0.0</v>
      </c>
      <c r="I25" s="3"/>
      <c r="J25" s="121">
        <v>0.0</v>
      </c>
      <c r="K25" s="3"/>
      <c r="L25" s="121">
        <v>0.0</v>
      </c>
      <c r="M25" s="3"/>
      <c r="N25" s="121">
        <v>55.0</v>
      </c>
      <c r="O25" s="3"/>
      <c r="P25" s="121">
        <v>55.0</v>
      </c>
      <c r="Q25" s="3"/>
      <c r="R25" s="121">
        <v>0.0</v>
      </c>
      <c r="S25" s="3"/>
      <c r="T25" s="121">
        <v>0.0</v>
      </c>
      <c r="U25" s="3"/>
      <c r="V25" s="166">
        <v>0.0</v>
      </c>
      <c r="W25" s="3"/>
      <c r="X25" s="166"/>
      <c r="Y25" s="3"/>
      <c r="Z25" s="166"/>
      <c r="AA25" s="3"/>
      <c r="AB25" s="166">
        <v>0.0</v>
      </c>
      <c r="AC25" s="3"/>
      <c r="AD25" s="166">
        <v>0.0</v>
      </c>
      <c r="AE25" s="3"/>
      <c r="AF25" s="166">
        <v>0.0</v>
      </c>
      <c r="AG25" s="3"/>
      <c r="AH25" s="166">
        <v>0.0</v>
      </c>
      <c r="AI25" s="3"/>
      <c r="AJ25" s="166">
        <v>0.0</v>
      </c>
      <c r="AK25" s="3"/>
      <c r="AL25" s="166">
        <v>0.0</v>
      </c>
      <c r="AM25" s="3"/>
      <c r="AN25" s="166">
        <v>0.0</v>
      </c>
      <c r="AO25" s="3"/>
      <c r="AP25" s="123">
        <f t="shared" si="1"/>
        <v>1982.2</v>
      </c>
      <c r="AQ25" s="124">
        <f t="shared" si="2"/>
        <v>110</v>
      </c>
      <c r="AR25" s="124">
        <f t="shared" si="3"/>
        <v>0</v>
      </c>
      <c r="AS25" s="124">
        <f t="shared" si="4"/>
        <v>110</v>
      </c>
      <c r="AT25" s="125">
        <f t="shared" si="5"/>
        <v>18.02</v>
      </c>
    </row>
    <row r="26" ht="15.75" customHeight="1">
      <c r="A26" s="117" t="s">
        <v>24</v>
      </c>
      <c r="B26" s="118">
        <f t="shared" si="6"/>
        <v>44951</v>
      </c>
      <c r="C26" s="119">
        <v>1.0</v>
      </c>
      <c r="D26" s="119" t="s">
        <v>37</v>
      </c>
      <c r="E26" s="165" t="s">
        <v>38</v>
      </c>
      <c r="F26" s="121">
        <v>0.0</v>
      </c>
      <c r="G26" s="3"/>
      <c r="H26" s="121">
        <v>0.0</v>
      </c>
      <c r="I26" s="3"/>
      <c r="J26" s="121">
        <v>0.0</v>
      </c>
      <c r="K26" s="3"/>
      <c r="L26" s="121">
        <v>0.0</v>
      </c>
      <c r="M26" s="3"/>
      <c r="N26" s="121">
        <v>55.0</v>
      </c>
      <c r="O26" s="3"/>
      <c r="P26" s="121">
        <v>55.0</v>
      </c>
      <c r="Q26" s="3"/>
      <c r="R26" s="121">
        <v>0.0</v>
      </c>
      <c r="S26" s="3"/>
      <c r="T26" s="121">
        <v>0.0</v>
      </c>
      <c r="U26" s="3"/>
      <c r="V26" s="166">
        <v>0.0</v>
      </c>
      <c r="W26" s="3"/>
      <c r="X26" s="166"/>
      <c r="Y26" s="3"/>
      <c r="Z26" s="166"/>
      <c r="AA26" s="3"/>
      <c r="AB26" s="166">
        <v>0.0</v>
      </c>
      <c r="AC26" s="3"/>
      <c r="AD26" s="166">
        <v>0.0</v>
      </c>
      <c r="AE26" s="3"/>
      <c r="AF26" s="166">
        <v>0.0</v>
      </c>
      <c r="AG26" s="3"/>
      <c r="AH26" s="166">
        <v>0.0</v>
      </c>
      <c r="AI26" s="3"/>
      <c r="AJ26" s="166">
        <v>0.0</v>
      </c>
      <c r="AK26" s="3"/>
      <c r="AL26" s="166">
        <v>0.0</v>
      </c>
      <c r="AM26" s="3"/>
      <c r="AN26" s="166">
        <v>0.0</v>
      </c>
      <c r="AO26" s="3"/>
      <c r="AP26" s="123">
        <f t="shared" si="1"/>
        <v>1982.2</v>
      </c>
      <c r="AQ26" s="124">
        <f t="shared" si="2"/>
        <v>110</v>
      </c>
      <c r="AR26" s="124">
        <f t="shared" si="3"/>
        <v>0</v>
      </c>
      <c r="AS26" s="124">
        <f t="shared" si="4"/>
        <v>110</v>
      </c>
      <c r="AT26" s="125">
        <f t="shared" si="5"/>
        <v>18.02</v>
      </c>
    </row>
    <row r="27" ht="15.75" customHeight="1">
      <c r="A27" s="117" t="s">
        <v>25</v>
      </c>
      <c r="B27" s="118">
        <f t="shared" si="6"/>
        <v>44952</v>
      </c>
      <c r="C27" s="119">
        <v>1.0</v>
      </c>
      <c r="D27" s="119" t="s">
        <v>37</v>
      </c>
      <c r="E27" s="165" t="s">
        <v>38</v>
      </c>
      <c r="F27" s="121">
        <v>0.0</v>
      </c>
      <c r="G27" s="3"/>
      <c r="H27" s="121">
        <v>0.0</v>
      </c>
      <c r="I27" s="3"/>
      <c r="J27" s="121">
        <v>0.0</v>
      </c>
      <c r="K27" s="3"/>
      <c r="L27" s="121">
        <v>0.0</v>
      </c>
      <c r="M27" s="3"/>
      <c r="N27" s="121">
        <v>55.0</v>
      </c>
      <c r="O27" s="3"/>
      <c r="P27" s="121">
        <v>55.0</v>
      </c>
      <c r="Q27" s="3"/>
      <c r="R27" s="121">
        <v>0.0</v>
      </c>
      <c r="S27" s="3"/>
      <c r="T27" s="121">
        <v>0.0</v>
      </c>
      <c r="U27" s="3"/>
      <c r="V27" s="166">
        <v>0.0</v>
      </c>
      <c r="W27" s="3"/>
      <c r="X27" s="166"/>
      <c r="Y27" s="3"/>
      <c r="Z27" s="166"/>
      <c r="AA27" s="3"/>
      <c r="AB27" s="166">
        <v>0.0</v>
      </c>
      <c r="AC27" s="3"/>
      <c r="AD27" s="166">
        <v>0.0</v>
      </c>
      <c r="AE27" s="3"/>
      <c r="AF27" s="166">
        <v>0.0</v>
      </c>
      <c r="AG27" s="3"/>
      <c r="AH27" s="166">
        <v>0.0</v>
      </c>
      <c r="AI27" s="3"/>
      <c r="AJ27" s="166">
        <v>0.0</v>
      </c>
      <c r="AK27" s="3"/>
      <c r="AL27" s="166">
        <v>0.0</v>
      </c>
      <c r="AM27" s="3"/>
      <c r="AN27" s="166">
        <v>0.0</v>
      </c>
      <c r="AO27" s="3"/>
      <c r="AP27" s="123">
        <f t="shared" si="1"/>
        <v>1982.2</v>
      </c>
      <c r="AQ27" s="124">
        <f t="shared" si="2"/>
        <v>110</v>
      </c>
      <c r="AR27" s="124">
        <f t="shared" si="3"/>
        <v>0</v>
      </c>
      <c r="AS27" s="124">
        <f t="shared" si="4"/>
        <v>110</v>
      </c>
      <c r="AT27" s="125">
        <f t="shared" si="5"/>
        <v>18.02</v>
      </c>
    </row>
    <row r="28" ht="15.75" customHeight="1">
      <c r="A28" s="117" t="s">
        <v>26</v>
      </c>
      <c r="B28" s="118">
        <f t="shared" si="6"/>
        <v>44953</v>
      </c>
      <c r="C28" s="119">
        <v>1.0</v>
      </c>
      <c r="D28" s="119" t="s">
        <v>37</v>
      </c>
      <c r="E28" s="165" t="s">
        <v>38</v>
      </c>
      <c r="F28" s="121">
        <v>0.0</v>
      </c>
      <c r="G28" s="3"/>
      <c r="H28" s="121">
        <v>0.0</v>
      </c>
      <c r="I28" s="3"/>
      <c r="J28" s="121">
        <v>0.0</v>
      </c>
      <c r="K28" s="3"/>
      <c r="L28" s="121">
        <v>0.0</v>
      </c>
      <c r="M28" s="3"/>
      <c r="N28" s="121">
        <v>55.0</v>
      </c>
      <c r="O28" s="3"/>
      <c r="P28" s="121">
        <v>55.0</v>
      </c>
      <c r="Q28" s="3"/>
      <c r="R28" s="121">
        <v>0.0</v>
      </c>
      <c r="S28" s="3"/>
      <c r="T28" s="121">
        <v>0.0</v>
      </c>
      <c r="U28" s="3"/>
      <c r="V28" s="166">
        <v>0.0</v>
      </c>
      <c r="W28" s="3"/>
      <c r="X28" s="166"/>
      <c r="Y28" s="3"/>
      <c r="Z28" s="166"/>
      <c r="AA28" s="3"/>
      <c r="AB28" s="166">
        <v>0.0</v>
      </c>
      <c r="AC28" s="3"/>
      <c r="AD28" s="166">
        <v>0.0</v>
      </c>
      <c r="AE28" s="3"/>
      <c r="AF28" s="166">
        <v>0.0</v>
      </c>
      <c r="AG28" s="3"/>
      <c r="AH28" s="166">
        <v>0.0</v>
      </c>
      <c r="AI28" s="3"/>
      <c r="AJ28" s="166">
        <v>0.0</v>
      </c>
      <c r="AK28" s="3"/>
      <c r="AL28" s="166">
        <v>0.0</v>
      </c>
      <c r="AM28" s="3"/>
      <c r="AN28" s="166">
        <v>0.0</v>
      </c>
      <c r="AO28" s="3"/>
      <c r="AP28" s="123">
        <f t="shared" si="1"/>
        <v>1982.2</v>
      </c>
      <c r="AQ28" s="124">
        <f t="shared" si="2"/>
        <v>110</v>
      </c>
      <c r="AR28" s="124">
        <f t="shared" si="3"/>
        <v>0</v>
      </c>
      <c r="AS28" s="124">
        <f t="shared" si="4"/>
        <v>110</v>
      </c>
      <c r="AT28" s="125">
        <f t="shared" si="5"/>
        <v>18.02</v>
      </c>
    </row>
    <row r="29" ht="15.75" customHeight="1">
      <c r="A29" s="117" t="s">
        <v>27</v>
      </c>
      <c r="B29" s="118">
        <f t="shared" si="6"/>
        <v>44954</v>
      </c>
      <c r="C29" s="119">
        <v>1.0</v>
      </c>
      <c r="D29" s="119" t="s">
        <v>37</v>
      </c>
      <c r="E29" s="124"/>
      <c r="F29" s="121">
        <v>0.0</v>
      </c>
      <c r="G29" s="3"/>
      <c r="H29" s="121">
        <v>0.0</v>
      </c>
      <c r="I29" s="3"/>
      <c r="J29" s="121">
        <v>0.0</v>
      </c>
      <c r="K29" s="3"/>
      <c r="L29" s="121">
        <v>0.0</v>
      </c>
      <c r="M29" s="3"/>
      <c r="N29" s="121">
        <v>0.0</v>
      </c>
      <c r="O29" s="3"/>
      <c r="P29" s="121">
        <v>0.0</v>
      </c>
      <c r="Q29" s="3"/>
      <c r="R29" s="121">
        <v>0.0</v>
      </c>
      <c r="S29" s="3"/>
      <c r="T29" s="121">
        <v>0.0</v>
      </c>
      <c r="U29" s="3"/>
      <c r="V29" s="166">
        <v>0.0</v>
      </c>
      <c r="W29" s="3"/>
      <c r="X29" s="166"/>
      <c r="Y29" s="3"/>
      <c r="Z29" s="166"/>
      <c r="AA29" s="3"/>
      <c r="AB29" s="166">
        <v>0.0</v>
      </c>
      <c r="AC29" s="3"/>
      <c r="AD29" s="166">
        <v>0.0</v>
      </c>
      <c r="AE29" s="3"/>
      <c r="AF29" s="166">
        <v>0.0</v>
      </c>
      <c r="AG29" s="3"/>
      <c r="AH29" s="166">
        <v>0.0</v>
      </c>
      <c r="AI29" s="3"/>
      <c r="AJ29" s="166">
        <v>0.0</v>
      </c>
      <c r="AK29" s="3"/>
      <c r="AL29" s="166">
        <v>0.0</v>
      </c>
      <c r="AM29" s="3"/>
      <c r="AN29" s="166">
        <v>0.0</v>
      </c>
      <c r="AO29" s="3"/>
      <c r="AP29" s="123">
        <f t="shared" si="1"/>
        <v>0</v>
      </c>
      <c r="AQ29" s="124">
        <f t="shared" si="2"/>
        <v>0</v>
      </c>
      <c r="AR29" s="124">
        <f t="shared" si="3"/>
        <v>0</v>
      </c>
      <c r="AS29" s="124">
        <f t="shared" si="4"/>
        <v>0</v>
      </c>
      <c r="AT29" s="125" t="str">
        <f t="shared" si="5"/>
        <v/>
      </c>
    </row>
    <row r="30" ht="15.75" customHeight="1">
      <c r="A30" s="126" t="s">
        <v>28</v>
      </c>
      <c r="B30" s="127">
        <f t="shared" si="6"/>
        <v>44955</v>
      </c>
      <c r="C30" s="128">
        <v>1.0</v>
      </c>
      <c r="D30" s="128" t="s">
        <v>37</v>
      </c>
      <c r="E30" s="129"/>
      <c r="F30" s="130">
        <v>0.0</v>
      </c>
      <c r="G30" s="104"/>
      <c r="H30" s="130">
        <v>0.0</v>
      </c>
      <c r="I30" s="104"/>
      <c r="J30" s="130">
        <v>0.0</v>
      </c>
      <c r="K30" s="104"/>
      <c r="L30" s="130">
        <v>0.0</v>
      </c>
      <c r="M30" s="104"/>
      <c r="N30" s="130">
        <v>0.0</v>
      </c>
      <c r="O30" s="104"/>
      <c r="P30" s="130">
        <v>0.0</v>
      </c>
      <c r="Q30" s="104"/>
      <c r="R30" s="130">
        <v>0.0</v>
      </c>
      <c r="S30" s="104"/>
      <c r="T30" s="130">
        <v>0.0</v>
      </c>
      <c r="U30" s="104"/>
      <c r="V30" s="171">
        <v>0.0</v>
      </c>
      <c r="W30" s="104"/>
      <c r="X30" s="171"/>
      <c r="Y30" s="104"/>
      <c r="Z30" s="171"/>
      <c r="AA30" s="104"/>
      <c r="AB30" s="171">
        <v>0.0</v>
      </c>
      <c r="AC30" s="104"/>
      <c r="AD30" s="171">
        <v>0.0</v>
      </c>
      <c r="AE30" s="104"/>
      <c r="AF30" s="171">
        <v>0.0</v>
      </c>
      <c r="AG30" s="104"/>
      <c r="AH30" s="171">
        <v>0.0</v>
      </c>
      <c r="AI30" s="104"/>
      <c r="AJ30" s="171">
        <v>0.0</v>
      </c>
      <c r="AK30" s="104"/>
      <c r="AL30" s="171">
        <v>0.0</v>
      </c>
      <c r="AM30" s="104"/>
      <c r="AN30" s="171">
        <v>0.0</v>
      </c>
      <c r="AO30" s="104"/>
      <c r="AP30" s="132">
        <f t="shared" si="1"/>
        <v>0</v>
      </c>
      <c r="AQ30" s="129">
        <f t="shared" si="2"/>
        <v>0</v>
      </c>
      <c r="AR30" s="129">
        <f t="shared" si="3"/>
        <v>0</v>
      </c>
      <c r="AS30" s="129">
        <f t="shared" si="4"/>
        <v>0</v>
      </c>
      <c r="AT30" s="133" t="str">
        <f t="shared" si="5"/>
        <v/>
      </c>
    </row>
    <row r="31" ht="15.75" customHeight="1">
      <c r="A31" s="134" t="s">
        <v>21</v>
      </c>
      <c r="B31" s="135">
        <f t="shared" si="6"/>
        <v>44956</v>
      </c>
      <c r="C31" s="136">
        <v>2.0</v>
      </c>
      <c r="D31" s="136" t="s">
        <v>22</v>
      </c>
      <c r="E31" s="174" t="s">
        <v>39</v>
      </c>
      <c r="F31" s="138">
        <v>0.0</v>
      </c>
      <c r="G31" s="84"/>
      <c r="H31" s="138">
        <v>0.0</v>
      </c>
      <c r="I31" s="84"/>
      <c r="J31" s="138">
        <v>0.0</v>
      </c>
      <c r="K31" s="84"/>
      <c r="L31" s="138">
        <v>0.0</v>
      </c>
      <c r="M31" s="84"/>
      <c r="N31" s="138">
        <v>55.0</v>
      </c>
      <c r="O31" s="84"/>
      <c r="P31" s="138">
        <v>55.0</v>
      </c>
      <c r="Q31" s="84"/>
      <c r="R31" s="138">
        <v>0.0</v>
      </c>
      <c r="S31" s="84"/>
      <c r="T31" s="138">
        <v>0.0</v>
      </c>
      <c r="U31" s="84"/>
      <c r="V31" s="138">
        <v>0.0</v>
      </c>
      <c r="W31" s="84"/>
      <c r="X31" s="138"/>
      <c r="Y31" s="84"/>
      <c r="Z31" s="138"/>
      <c r="AA31" s="84"/>
      <c r="AB31" s="138">
        <v>0.0</v>
      </c>
      <c r="AC31" s="84"/>
      <c r="AD31" s="138">
        <v>0.0</v>
      </c>
      <c r="AE31" s="84"/>
      <c r="AF31" s="138">
        <v>0.0</v>
      </c>
      <c r="AG31" s="84"/>
      <c r="AH31" s="138">
        <v>0.0</v>
      </c>
      <c r="AI31" s="84"/>
      <c r="AJ31" s="138">
        <v>0.0</v>
      </c>
      <c r="AK31" s="84"/>
      <c r="AL31" s="138">
        <v>0.0</v>
      </c>
      <c r="AM31" s="84"/>
      <c r="AN31" s="138">
        <v>0.0</v>
      </c>
      <c r="AO31" s="84"/>
      <c r="AP31" s="140">
        <f t="shared" si="1"/>
        <v>1982.2</v>
      </c>
      <c r="AQ31" s="141">
        <f t="shared" si="2"/>
        <v>110</v>
      </c>
      <c r="AR31" s="141">
        <f t="shared" si="3"/>
        <v>0</v>
      </c>
      <c r="AS31" s="141">
        <f t="shared" si="4"/>
        <v>110</v>
      </c>
      <c r="AT31" s="142">
        <f t="shared" si="5"/>
        <v>18.02</v>
      </c>
    </row>
    <row r="32" ht="15.75" customHeight="1">
      <c r="A32" s="143" t="s">
        <v>23</v>
      </c>
      <c r="B32" s="144">
        <f t="shared" si="6"/>
        <v>44957</v>
      </c>
      <c r="C32" s="145">
        <v>2.0</v>
      </c>
      <c r="D32" s="145" t="s">
        <v>22</v>
      </c>
      <c r="E32" s="175" t="s">
        <v>39</v>
      </c>
      <c r="F32" s="147">
        <v>0.0</v>
      </c>
      <c r="G32" s="3"/>
      <c r="H32" s="147">
        <v>0.0</v>
      </c>
      <c r="I32" s="3"/>
      <c r="J32" s="147">
        <v>0.0</v>
      </c>
      <c r="K32" s="3"/>
      <c r="L32" s="147">
        <v>0.0</v>
      </c>
      <c r="M32" s="3"/>
      <c r="N32" s="147">
        <v>55.0</v>
      </c>
      <c r="O32" s="3"/>
      <c r="P32" s="147">
        <v>55.0</v>
      </c>
      <c r="Q32" s="3"/>
      <c r="R32" s="147">
        <v>0.0</v>
      </c>
      <c r="S32" s="3"/>
      <c r="T32" s="147">
        <v>0.0</v>
      </c>
      <c r="U32" s="3"/>
      <c r="V32" s="147">
        <v>0.0</v>
      </c>
      <c r="W32" s="3"/>
      <c r="X32" s="147"/>
      <c r="Y32" s="3"/>
      <c r="Z32" s="147"/>
      <c r="AA32" s="3"/>
      <c r="AB32" s="147">
        <v>0.0</v>
      </c>
      <c r="AC32" s="3"/>
      <c r="AD32" s="147">
        <v>0.0</v>
      </c>
      <c r="AE32" s="3"/>
      <c r="AF32" s="147">
        <v>0.0</v>
      </c>
      <c r="AG32" s="3"/>
      <c r="AH32" s="147">
        <v>0.0</v>
      </c>
      <c r="AI32" s="3"/>
      <c r="AJ32" s="147">
        <v>0.0</v>
      </c>
      <c r="AK32" s="3"/>
      <c r="AL32" s="147">
        <v>0.0</v>
      </c>
      <c r="AM32" s="3"/>
      <c r="AN32" s="147">
        <v>0.0</v>
      </c>
      <c r="AO32" s="3"/>
      <c r="AP32" s="149">
        <f t="shared" si="1"/>
        <v>1982.2</v>
      </c>
      <c r="AQ32" s="150">
        <f t="shared" si="2"/>
        <v>110</v>
      </c>
      <c r="AR32" s="150">
        <f t="shared" si="3"/>
        <v>0</v>
      </c>
      <c r="AS32" s="150">
        <f t="shared" si="4"/>
        <v>110</v>
      </c>
      <c r="AT32" s="151">
        <f t="shared" si="5"/>
        <v>18.02</v>
      </c>
    </row>
    <row r="33" ht="15.75" customHeight="1">
      <c r="A33" s="143" t="s">
        <v>24</v>
      </c>
      <c r="B33" s="144">
        <f t="shared" si="6"/>
        <v>44958</v>
      </c>
      <c r="C33" s="145">
        <v>2.0</v>
      </c>
      <c r="D33" s="145" t="s">
        <v>22</v>
      </c>
      <c r="E33" s="175" t="s">
        <v>39</v>
      </c>
      <c r="F33" s="147">
        <v>0.0</v>
      </c>
      <c r="G33" s="3"/>
      <c r="H33" s="147">
        <v>0.0</v>
      </c>
      <c r="I33" s="3"/>
      <c r="J33" s="147">
        <v>0.0</v>
      </c>
      <c r="K33" s="3"/>
      <c r="L33" s="147">
        <v>0.0</v>
      </c>
      <c r="M33" s="3"/>
      <c r="N33" s="147">
        <v>55.0</v>
      </c>
      <c r="O33" s="3"/>
      <c r="P33" s="147">
        <v>55.0</v>
      </c>
      <c r="Q33" s="3"/>
      <c r="R33" s="147">
        <v>0.0</v>
      </c>
      <c r="S33" s="3"/>
      <c r="T33" s="147">
        <v>0.0</v>
      </c>
      <c r="U33" s="3"/>
      <c r="V33" s="147">
        <v>0.0</v>
      </c>
      <c r="W33" s="3"/>
      <c r="X33" s="147"/>
      <c r="Y33" s="3"/>
      <c r="Z33" s="147"/>
      <c r="AA33" s="3"/>
      <c r="AB33" s="147">
        <v>0.0</v>
      </c>
      <c r="AC33" s="3"/>
      <c r="AD33" s="147">
        <v>0.0</v>
      </c>
      <c r="AE33" s="3"/>
      <c r="AF33" s="147">
        <v>0.0</v>
      </c>
      <c r="AG33" s="3"/>
      <c r="AH33" s="147">
        <v>0.0</v>
      </c>
      <c r="AI33" s="3"/>
      <c r="AJ33" s="147">
        <v>0.0</v>
      </c>
      <c r="AK33" s="3"/>
      <c r="AL33" s="147">
        <v>0.0</v>
      </c>
      <c r="AM33" s="3"/>
      <c r="AN33" s="147">
        <v>0.0</v>
      </c>
      <c r="AO33" s="3"/>
      <c r="AP33" s="149">
        <f t="shared" si="1"/>
        <v>1982.2</v>
      </c>
      <c r="AQ33" s="150">
        <f t="shared" si="2"/>
        <v>110</v>
      </c>
      <c r="AR33" s="150">
        <f t="shared" si="3"/>
        <v>0</v>
      </c>
      <c r="AS33" s="150">
        <f t="shared" si="4"/>
        <v>110</v>
      </c>
      <c r="AT33" s="151">
        <f t="shared" si="5"/>
        <v>18.02</v>
      </c>
    </row>
    <row r="34" ht="15.75" customHeight="1">
      <c r="A34" s="143" t="s">
        <v>25</v>
      </c>
      <c r="B34" s="144">
        <f t="shared" si="6"/>
        <v>44959</v>
      </c>
      <c r="C34" s="145">
        <v>2.0</v>
      </c>
      <c r="D34" s="145" t="s">
        <v>22</v>
      </c>
      <c r="E34" s="175" t="s">
        <v>39</v>
      </c>
      <c r="F34" s="147">
        <v>0.0</v>
      </c>
      <c r="G34" s="3"/>
      <c r="H34" s="147">
        <v>0.0</v>
      </c>
      <c r="I34" s="3"/>
      <c r="J34" s="147">
        <v>0.0</v>
      </c>
      <c r="K34" s="3"/>
      <c r="L34" s="147">
        <v>0.0</v>
      </c>
      <c r="M34" s="3"/>
      <c r="N34" s="147">
        <v>55.0</v>
      </c>
      <c r="O34" s="3"/>
      <c r="P34" s="147">
        <v>55.0</v>
      </c>
      <c r="Q34" s="3"/>
      <c r="R34" s="147">
        <v>0.0</v>
      </c>
      <c r="S34" s="3"/>
      <c r="T34" s="147">
        <v>0.0</v>
      </c>
      <c r="U34" s="3"/>
      <c r="V34" s="147">
        <v>0.0</v>
      </c>
      <c r="W34" s="3"/>
      <c r="X34" s="147"/>
      <c r="Y34" s="3"/>
      <c r="Z34" s="147"/>
      <c r="AA34" s="3"/>
      <c r="AB34" s="147">
        <v>0.0</v>
      </c>
      <c r="AC34" s="3"/>
      <c r="AD34" s="147">
        <v>0.0</v>
      </c>
      <c r="AE34" s="3"/>
      <c r="AF34" s="147">
        <v>0.0</v>
      </c>
      <c r="AG34" s="3"/>
      <c r="AH34" s="147">
        <v>0.0</v>
      </c>
      <c r="AI34" s="3"/>
      <c r="AJ34" s="147">
        <v>0.0</v>
      </c>
      <c r="AK34" s="3"/>
      <c r="AL34" s="147">
        <v>0.0</v>
      </c>
      <c r="AM34" s="3"/>
      <c r="AN34" s="147">
        <v>0.0</v>
      </c>
      <c r="AO34" s="3"/>
      <c r="AP34" s="149">
        <f t="shared" si="1"/>
        <v>1982.2</v>
      </c>
      <c r="AQ34" s="150">
        <f t="shared" si="2"/>
        <v>110</v>
      </c>
      <c r="AR34" s="150">
        <f t="shared" si="3"/>
        <v>0</v>
      </c>
      <c r="AS34" s="150">
        <f t="shared" si="4"/>
        <v>110</v>
      </c>
      <c r="AT34" s="151">
        <f t="shared" si="5"/>
        <v>18.02</v>
      </c>
    </row>
    <row r="35" ht="15.75" customHeight="1">
      <c r="A35" s="143" t="s">
        <v>26</v>
      </c>
      <c r="B35" s="144">
        <f t="shared" si="6"/>
        <v>44960</v>
      </c>
      <c r="C35" s="145">
        <v>2.0</v>
      </c>
      <c r="D35" s="145" t="s">
        <v>22</v>
      </c>
      <c r="E35" s="175" t="s">
        <v>39</v>
      </c>
      <c r="F35" s="147">
        <v>0.0</v>
      </c>
      <c r="G35" s="3"/>
      <c r="H35" s="147">
        <v>0.0</v>
      </c>
      <c r="I35" s="3"/>
      <c r="J35" s="147">
        <v>0.0</v>
      </c>
      <c r="K35" s="3"/>
      <c r="L35" s="147">
        <v>0.0</v>
      </c>
      <c r="M35" s="3"/>
      <c r="N35" s="147">
        <v>55.0</v>
      </c>
      <c r="O35" s="3"/>
      <c r="P35" s="147">
        <v>55.0</v>
      </c>
      <c r="Q35" s="3"/>
      <c r="R35" s="147">
        <v>0.0</v>
      </c>
      <c r="S35" s="3"/>
      <c r="T35" s="147">
        <v>0.0</v>
      </c>
      <c r="U35" s="3"/>
      <c r="V35" s="147">
        <v>0.0</v>
      </c>
      <c r="W35" s="3"/>
      <c r="X35" s="147"/>
      <c r="Y35" s="3"/>
      <c r="Z35" s="147"/>
      <c r="AA35" s="3"/>
      <c r="AB35" s="147">
        <v>0.0</v>
      </c>
      <c r="AC35" s="3"/>
      <c r="AD35" s="147">
        <v>0.0</v>
      </c>
      <c r="AE35" s="3"/>
      <c r="AF35" s="147">
        <v>0.0</v>
      </c>
      <c r="AG35" s="3"/>
      <c r="AH35" s="147">
        <v>0.0</v>
      </c>
      <c r="AI35" s="3"/>
      <c r="AJ35" s="147">
        <v>0.0</v>
      </c>
      <c r="AK35" s="3"/>
      <c r="AL35" s="147">
        <v>0.0</v>
      </c>
      <c r="AM35" s="3"/>
      <c r="AN35" s="147">
        <v>0.0</v>
      </c>
      <c r="AO35" s="3"/>
      <c r="AP35" s="149">
        <f t="shared" si="1"/>
        <v>1982.2</v>
      </c>
      <c r="AQ35" s="150">
        <f t="shared" si="2"/>
        <v>110</v>
      </c>
      <c r="AR35" s="150">
        <f t="shared" si="3"/>
        <v>0</v>
      </c>
      <c r="AS35" s="150">
        <f t="shared" si="4"/>
        <v>110</v>
      </c>
      <c r="AT35" s="151">
        <f t="shared" si="5"/>
        <v>18.02</v>
      </c>
    </row>
    <row r="36" ht="15.75" customHeight="1">
      <c r="A36" s="143" t="s">
        <v>27</v>
      </c>
      <c r="B36" s="144">
        <f t="shared" si="6"/>
        <v>44961</v>
      </c>
      <c r="C36" s="145">
        <v>2.0</v>
      </c>
      <c r="D36" s="145" t="s">
        <v>22</v>
      </c>
      <c r="E36" s="150"/>
      <c r="F36" s="147">
        <v>0.0</v>
      </c>
      <c r="G36" s="3"/>
      <c r="H36" s="147">
        <v>0.0</v>
      </c>
      <c r="I36" s="3"/>
      <c r="J36" s="147">
        <v>0.0</v>
      </c>
      <c r="K36" s="3"/>
      <c r="L36" s="147">
        <v>0.0</v>
      </c>
      <c r="M36" s="3"/>
      <c r="N36" s="147">
        <v>0.0</v>
      </c>
      <c r="O36" s="3"/>
      <c r="P36" s="147">
        <v>0.0</v>
      </c>
      <c r="Q36" s="3"/>
      <c r="R36" s="147">
        <v>0.0</v>
      </c>
      <c r="S36" s="3"/>
      <c r="T36" s="147">
        <v>0.0</v>
      </c>
      <c r="U36" s="3"/>
      <c r="V36" s="147">
        <v>0.0</v>
      </c>
      <c r="W36" s="3"/>
      <c r="X36" s="147"/>
      <c r="Y36" s="3"/>
      <c r="Z36" s="147"/>
      <c r="AA36" s="3"/>
      <c r="AB36" s="147">
        <v>0.0</v>
      </c>
      <c r="AC36" s="3"/>
      <c r="AD36" s="147">
        <v>0.0</v>
      </c>
      <c r="AE36" s="3"/>
      <c r="AF36" s="147">
        <v>0.0</v>
      </c>
      <c r="AG36" s="3"/>
      <c r="AH36" s="147">
        <v>0.0</v>
      </c>
      <c r="AI36" s="3"/>
      <c r="AJ36" s="147">
        <v>0.0</v>
      </c>
      <c r="AK36" s="3"/>
      <c r="AL36" s="147">
        <v>0.0</v>
      </c>
      <c r="AM36" s="3"/>
      <c r="AN36" s="147">
        <v>0.0</v>
      </c>
      <c r="AO36" s="3"/>
      <c r="AP36" s="149">
        <f t="shared" si="1"/>
        <v>0</v>
      </c>
      <c r="AQ36" s="150">
        <f t="shared" si="2"/>
        <v>0</v>
      </c>
      <c r="AR36" s="150">
        <f t="shared" si="3"/>
        <v>0</v>
      </c>
      <c r="AS36" s="150">
        <f t="shared" si="4"/>
        <v>0</v>
      </c>
      <c r="AT36" s="151" t="str">
        <f t="shared" si="5"/>
        <v/>
      </c>
    </row>
    <row r="37" ht="15.75" customHeight="1">
      <c r="A37" s="176" t="s">
        <v>28</v>
      </c>
      <c r="B37" s="144">
        <f t="shared" si="6"/>
        <v>44962</v>
      </c>
      <c r="C37" s="145">
        <v>2.0</v>
      </c>
      <c r="D37" s="145" t="s">
        <v>22</v>
      </c>
      <c r="E37" s="157"/>
      <c r="F37" s="159">
        <v>0.0</v>
      </c>
      <c r="G37" s="73"/>
      <c r="H37" s="159">
        <v>0.0</v>
      </c>
      <c r="I37" s="73"/>
      <c r="J37" s="159">
        <v>0.0</v>
      </c>
      <c r="K37" s="73"/>
      <c r="L37" s="159">
        <v>0.0</v>
      </c>
      <c r="M37" s="73"/>
      <c r="N37" s="159">
        <v>0.0</v>
      </c>
      <c r="O37" s="73"/>
      <c r="P37" s="159">
        <v>0.0</v>
      </c>
      <c r="Q37" s="73"/>
      <c r="R37" s="159">
        <v>0.0</v>
      </c>
      <c r="S37" s="73"/>
      <c r="T37" s="159">
        <v>0.0</v>
      </c>
      <c r="U37" s="73"/>
      <c r="V37" s="159">
        <v>0.0</v>
      </c>
      <c r="W37" s="73"/>
      <c r="X37" s="159"/>
      <c r="Y37" s="73"/>
      <c r="Z37" s="159"/>
      <c r="AA37" s="73"/>
      <c r="AB37" s="159">
        <v>0.0</v>
      </c>
      <c r="AC37" s="73"/>
      <c r="AD37" s="159">
        <v>0.0</v>
      </c>
      <c r="AE37" s="73"/>
      <c r="AF37" s="159">
        <v>0.0</v>
      </c>
      <c r="AG37" s="73"/>
      <c r="AH37" s="159">
        <v>0.0</v>
      </c>
      <c r="AI37" s="73"/>
      <c r="AJ37" s="159">
        <v>0.0</v>
      </c>
      <c r="AK37" s="73"/>
      <c r="AL37" s="159">
        <v>0.0</v>
      </c>
      <c r="AM37" s="73"/>
      <c r="AN37" s="159">
        <v>0.0</v>
      </c>
      <c r="AO37" s="73"/>
      <c r="AP37" s="177">
        <f t="shared" si="1"/>
        <v>0</v>
      </c>
      <c r="AQ37" s="157">
        <f t="shared" si="2"/>
        <v>0</v>
      </c>
      <c r="AR37" s="157">
        <f t="shared" si="3"/>
        <v>0</v>
      </c>
      <c r="AS37" s="157">
        <f t="shared" si="4"/>
        <v>0</v>
      </c>
      <c r="AT37" s="162" t="str">
        <f t="shared" si="5"/>
        <v/>
      </c>
    </row>
    <row r="38" ht="15.75" customHeight="1">
      <c r="A38" s="178" t="s">
        <v>21</v>
      </c>
      <c r="B38" s="179">
        <f t="shared" si="6"/>
        <v>44963</v>
      </c>
      <c r="C38" s="110">
        <v>2.0</v>
      </c>
      <c r="D38" s="110" t="s">
        <v>34</v>
      </c>
      <c r="E38" s="111" t="s">
        <v>39</v>
      </c>
      <c r="F38" s="112">
        <v>0.0</v>
      </c>
      <c r="G38" s="84"/>
      <c r="H38" s="112">
        <v>0.0</v>
      </c>
      <c r="I38" s="84"/>
      <c r="J38" s="112">
        <v>0.0</v>
      </c>
      <c r="K38" s="84"/>
      <c r="L38" s="112">
        <v>0.0</v>
      </c>
      <c r="M38" s="84"/>
      <c r="N38" s="112">
        <v>55.0</v>
      </c>
      <c r="O38" s="84"/>
      <c r="P38" s="112">
        <v>55.0</v>
      </c>
      <c r="Q38" s="84"/>
      <c r="R38" s="112">
        <v>0.0</v>
      </c>
      <c r="S38" s="84"/>
      <c r="T38" s="112">
        <v>0.0</v>
      </c>
      <c r="U38" s="84"/>
      <c r="V38" s="112">
        <v>0.0</v>
      </c>
      <c r="W38" s="84"/>
      <c r="X38" s="112"/>
      <c r="Y38" s="84"/>
      <c r="Z38" s="112"/>
      <c r="AA38" s="84"/>
      <c r="AB38" s="112">
        <v>0.0</v>
      </c>
      <c r="AC38" s="84"/>
      <c r="AD38" s="112">
        <v>0.0</v>
      </c>
      <c r="AE38" s="84"/>
      <c r="AF38" s="112">
        <v>0.0</v>
      </c>
      <c r="AG38" s="84"/>
      <c r="AH38" s="112">
        <v>0.0</v>
      </c>
      <c r="AI38" s="84"/>
      <c r="AJ38" s="112">
        <v>0.0</v>
      </c>
      <c r="AK38" s="84"/>
      <c r="AL38" s="112">
        <v>0.0</v>
      </c>
      <c r="AM38" s="84"/>
      <c r="AN38" s="112">
        <v>0.0</v>
      </c>
      <c r="AO38" s="84"/>
      <c r="AP38" s="114">
        <f t="shared" si="1"/>
        <v>1982.2</v>
      </c>
      <c r="AQ38" s="115">
        <f t="shared" si="2"/>
        <v>110</v>
      </c>
      <c r="AR38" s="115">
        <f t="shared" si="3"/>
        <v>0</v>
      </c>
      <c r="AS38" s="115">
        <f t="shared" si="4"/>
        <v>110</v>
      </c>
      <c r="AT38" s="116">
        <f t="shared" si="5"/>
        <v>18.02</v>
      </c>
    </row>
    <row r="39" ht="15.75" customHeight="1">
      <c r="A39" s="178" t="s">
        <v>23</v>
      </c>
      <c r="B39" s="180">
        <f t="shared" si="6"/>
        <v>44964</v>
      </c>
      <c r="C39" s="119">
        <v>2.0</v>
      </c>
      <c r="D39" s="119" t="s">
        <v>34</v>
      </c>
      <c r="E39" s="120" t="s">
        <v>39</v>
      </c>
      <c r="F39" s="121">
        <v>0.0</v>
      </c>
      <c r="G39" s="3"/>
      <c r="H39" s="121">
        <v>0.0</v>
      </c>
      <c r="I39" s="3"/>
      <c r="J39" s="121">
        <v>0.0</v>
      </c>
      <c r="K39" s="3"/>
      <c r="L39" s="121">
        <v>0.0</v>
      </c>
      <c r="M39" s="3"/>
      <c r="N39" s="121">
        <v>55.0</v>
      </c>
      <c r="O39" s="3"/>
      <c r="P39" s="121">
        <v>55.0</v>
      </c>
      <c r="Q39" s="3"/>
      <c r="R39" s="121">
        <v>0.0</v>
      </c>
      <c r="S39" s="3"/>
      <c r="T39" s="121">
        <v>0.0</v>
      </c>
      <c r="U39" s="3"/>
      <c r="V39" s="121">
        <v>0.0</v>
      </c>
      <c r="W39" s="3"/>
      <c r="X39" s="121"/>
      <c r="Y39" s="3"/>
      <c r="Z39" s="121"/>
      <c r="AA39" s="3"/>
      <c r="AB39" s="121">
        <v>0.0</v>
      </c>
      <c r="AC39" s="3"/>
      <c r="AD39" s="121">
        <v>0.0</v>
      </c>
      <c r="AE39" s="3"/>
      <c r="AF39" s="121">
        <v>0.0</v>
      </c>
      <c r="AG39" s="3"/>
      <c r="AH39" s="121">
        <v>0.0</v>
      </c>
      <c r="AI39" s="3"/>
      <c r="AJ39" s="121">
        <v>0.0</v>
      </c>
      <c r="AK39" s="3"/>
      <c r="AL39" s="121">
        <v>0.0</v>
      </c>
      <c r="AM39" s="3"/>
      <c r="AN39" s="121">
        <v>0.0</v>
      </c>
      <c r="AO39" s="3"/>
      <c r="AP39" s="123">
        <f t="shared" si="1"/>
        <v>1982.2</v>
      </c>
      <c r="AQ39" s="124">
        <f t="shared" si="2"/>
        <v>110</v>
      </c>
      <c r="AR39" s="124">
        <f t="shared" si="3"/>
        <v>0</v>
      </c>
      <c r="AS39" s="124">
        <f t="shared" si="4"/>
        <v>110</v>
      </c>
      <c r="AT39" s="125">
        <f t="shared" si="5"/>
        <v>18.02</v>
      </c>
    </row>
    <row r="40" ht="15.75" customHeight="1">
      <c r="A40" s="178" t="s">
        <v>24</v>
      </c>
      <c r="B40" s="180">
        <f t="shared" si="6"/>
        <v>44965</v>
      </c>
      <c r="C40" s="119">
        <v>2.0</v>
      </c>
      <c r="D40" s="119" t="s">
        <v>34</v>
      </c>
      <c r="E40" s="120" t="s">
        <v>39</v>
      </c>
      <c r="F40" s="121">
        <v>0.0</v>
      </c>
      <c r="G40" s="3"/>
      <c r="H40" s="121">
        <v>0.0</v>
      </c>
      <c r="I40" s="3"/>
      <c r="J40" s="121">
        <v>0.0</v>
      </c>
      <c r="K40" s="3"/>
      <c r="L40" s="121">
        <v>0.0</v>
      </c>
      <c r="M40" s="3"/>
      <c r="N40" s="121">
        <v>55.0</v>
      </c>
      <c r="O40" s="3"/>
      <c r="P40" s="121">
        <v>55.0</v>
      </c>
      <c r="Q40" s="3"/>
      <c r="R40" s="121">
        <v>0.0</v>
      </c>
      <c r="S40" s="3"/>
      <c r="T40" s="121">
        <v>0.0</v>
      </c>
      <c r="U40" s="3"/>
      <c r="V40" s="121">
        <v>0.0</v>
      </c>
      <c r="W40" s="3"/>
      <c r="X40" s="121"/>
      <c r="Y40" s="3"/>
      <c r="Z40" s="121"/>
      <c r="AA40" s="3"/>
      <c r="AB40" s="121">
        <v>0.0</v>
      </c>
      <c r="AC40" s="3"/>
      <c r="AD40" s="121">
        <v>0.0</v>
      </c>
      <c r="AE40" s="3"/>
      <c r="AF40" s="121">
        <v>0.0</v>
      </c>
      <c r="AG40" s="3"/>
      <c r="AH40" s="121">
        <v>0.0</v>
      </c>
      <c r="AI40" s="3"/>
      <c r="AJ40" s="121">
        <v>0.0</v>
      </c>
      <c r="AK40" s="3"/>
      <c r="AL40" s="121">
        <v>0.0</v>
      </c>
      <c r="AM40" s="3"/>
      <c r="AN40" s="121">
        <v>0.0</v>
      </c>
      <c r="AO40" s="3"/>
      <c r="AP40" s="123">
        <f t="shared" si="1"/>
        <v>1982.2</v>
      </c>
      <c r="AQ40" s="124">
        <f t="shared" si="2"/>
        <v>110</v>
      </c>
      <c r="AR40" s="124">
        <f t="shared" si="3"/>
        <v>0</v>
      </c>
      <c r="AS40" s="124">
        <f t="shared" si="4"/>
        <v>110</v>
      </c>
      <c r="AT40" s="125">
        <f t="shared" si="5"/>
        <v>18.02</v>
      </c>
    </row>
    <row r="41" ht="15.75" customHeight="1">
      <c r="A41" s="178" t="s">
        <v>25</v>
      </c>
      <c r="B41" s="180">
        <f t="shared" si="6"/>
        <v>44966</v>
      </c>
      <c r="C41" s="119">
        <v>2.0</v>
      </c>
      <c r="D41" s="119" t="s">
        <v>34</v>
      </c>
      <c r="E41" s="120" t="s">
        <v>39</v>
      </c>
      <c r="F41" s="121">
        <v>0.0</v>
      </c>
      <c r="G41" s="3"/>
      <c r="H41" s="121">
        <v>0.0</v>
      </c>
      <c r="I41" s="3"/>
      <c r="J41" s="121">
        <v>0.0</v>
      </c>
      <c r="K41" s="3"/>
      <c r="L41" s="121">
        <v>0.0</v>
      </c>
      <c r="M41" s="3"/>
      <c r="N41" s="121">
        <v>55.0</v>
      </c>
      <c r="O41" s="3"/>
      <c r="P41" s="121">
        <v>55.0</v>
      </c>
      <c r="Q41" s="3"/>
      <c r="R41" s="121">
        <v>0.0</v>
      </c>
      <c r="S41" s="3"/>
      <c r="T41" s="121">
        <v>0.0</v>
      </c>
      <c r="U41" s="3"/>
      <c r="V41" s="121">
        <v>0.0</v>
      </c>
      <c r="W41" s="3"/>
      <c r="X41" s="121"/>
      <c r="Y41" s="3"/>
      <c r="Z41" s="121"/>
      <c r="AA41" s="3"/>
      <c r="AB41" s="121">
        <v>0.0</v>
      </c>
      <c r="AC41" s="3"/>
      <c r="AD41" s="121">
        <v>0.0</v>
      </c>
      <c r="AE41" s="3"/>
      <c r="AF41" s="121">
        <v>0.0</v>
      </c>
      <c r="AG41" s="3"/>
      <c r="AH41" s="121">
        <v>0.0</v>
      </c>
      <c r="AI41" s="3"/>
      <c r="AJ41" s="121">
        <v>0.0</v>
      </c>
      <c r="AK41" s="3"/>
      <c r="AL41" s="121">
        <v>0.0</v>
      </c>
      <c r="AM41" s="3"/>
      <c r="AN41" s="121">
        <v>0.0</v>
      </c>
      <c r="AO41" s="3"/>
      <c r="AP41" s="123">
        <f t="shared" si="1"/>
        <v>1982.2</v>
      </c>
      <c r="AQ41" s="124">
        <f t="shared" si="2"/>
        <v>110</v>
      </c>
      <c r="AR41" s="124">
        <f t="shared" si="3"/>
        <v>0</v>
      </c>
      <c r="AS41" s="124">
        <f t="shared" si="4"/>
        <v>110</v>
      </c>
      <c r="AT41" s="125">
        <f t="shared" si="5"/>
        <v>18.02</v>
      </c>
    </row>
    <row r="42" ht="15.75" customHeight="1">
      <c r="A42" s="178" t="s">
        <v>26</v>
      </c>
      <c r="B42" s="180">
        <f t="shared" si="6"/>
        <v>44967</v>
      </c>
      <c r="C42" s="119">
        <v>2.0</v>
      </c>
      <c r="D42" s="119" t="s">
        <v>34</v>
      </c>
      <c r="E42" s="120" t="s">
        <v>39</v>
      </c>
      <c r="F42" s="121">
        <v>0.0</v>
      </c>
      <c r="G42" s="3"/>
      <c r="H42" s="121">
        <v>0.0</v>
      </c>
      <c r="I42" s="3"/>
      <c r="J42" s="121">
        <v>0.0</v>
      </c>
      <c r="K42" s="3"/>
      <c r="L42" s="121">
        <v>0.0</v>
      </c>
      <c r="M42" s="3"/>
      <c r="N42" s="121">
        <v>55.0</v>
      </c>
      <c r="O42" s="3"/>
      <c r="P42" s="121">
        <v>55.0</v>
      </c>
      <c r="Q42" s="3"/>
      <c r="R42" s="121">
        <v>0.0</v>
      </c>
      <c r="S42" s="3"/>
      <c r="T42" s="121">
        <v>0.0</v>
      </c>
      <c r="U42" s="3"/>
      <c r="V42" s="121">
        <v>0.0</v>
      </c>
      <c r="W42" s="3"/>
      <c r="X42" s="121"/>
      <c r="Y42" s="3"/>
      <c r="Z42" s="121"/>
      <c r="AA42" s="3"/>
      <c r="AB42" s="121">
        <v>0.0</v>
      </c>
      <c r="AC42" s="3"/>
      <c r="AD42" s="121">
        <v>0.0</v>
      </c>
      <c r="AE42" s="3"/>
      <c r="AF42" s="121">
        <v>0.0</v>
      </c>
      <c r="AG42" s="3"/>
      <c r="AH42" s="121">
        <v>0.0</v>
      </c>
      <c r="AI42" s="3"/>
      <c r="AJ42" s="121">
        <v>0.0</v>
      </c>
      <c r="AK42" s="3"/>
      <c r="AL42" s="121">
        <v>0.0</v>
      </c>
      <c r="AM42" s="3"/>
      <c r="AN42" s="121">
        <v>0.0</v>
      </c>
      <c r="AO42" s="3"/>
      <c r="AP42" s="123">
        <f t="shared" si="1"/>
        <v>1982.2</v>
      </c>
      <c r="AQ42" s="124">
        <f t="shared" si="2"/>
        <v>110</v>
      </c>
      <c r="AR42" s="124">
        <f t="shared" si="3"/>
        <v>0</v>
      </c>
      <c r="AS42" s="124">
        <f t="shared" si="4"/>
        <v>110</v>
      </c>
      <c r="AT42" s="125">
        <f t="shared" si="5"/>
        <v>18.02</v>
      </c>
    </row>
    <row r="43" ht="15.75" customHeight="1">
      <c r="A43" s="178" t="s">
        <v>27</v>
      </c>
      <c r="B43" s="180">
        <f t="shared" si="6"/>
        <v>44968</v>
      </c>
      <c r="C43" s="119">
        <v>2.0</v>
      </c>
      <c r="D43" s="119" t="s">
        <v>34</v>
      </c>
      <c r="E43" s="124"/>
      <c r="F43" s="121">
        <v>0.0</v>
      </c>
      <c r="G43" s="3"/>
      <c r="H43" s="121">
        <v>0.0</v>
      </c>
      <c r="I43" s="3"/>
      <c r="J43" s="121">
        <v>0.0</v>
      </c>
      <c r="K43" s="3"/>
      <c r="L43" s="121">
        <v>0.0</v>
      </c>
      <c r="M43" s="3"/>
      <c r="N43" s="121">
        <v>0.0</v>
      </c>
      <c r="O43" s="3"/>
      <c r="P43" s="121">
        <v>0.0</v>
      </c>
      <c r="Q43" s="3"/>
      <c r="R43" s="121">
        <v>0.0</v>
      </c>
      <c r="S43" s="3"/>
      <c r="T43" s="121">
        <v>0.0</v>
      </c>
      <c r="U43" s="3"/>
      <c r="V43" s="121">
        <v>0.0</v>
      </c>
      <c r="W43" s="3"/>
      <c r="X43" s="121"/>
      <c r="Y43" s="3"/>
      <c r="Z43" s="121"/>
      <c r="AA43" s="3"/>
      <c r="AB43" s="121">
        <v>0.0</v>
      </c>
      <c r="AC43" s="3"/>
      <c r="AD43" s="121">
        <v>0.0</v>
      </c>
      <c r="AE43" s="3"/>
      <c r="AF43" s="121">
        <v>0.0</v>
      </c>
      <c r="AG43" s="3"/>
      <c r="AH43" s="121">
        <v>0.0</v>
      </c>
      <c r="AI43" s="3"/>
      <c r="AJ43" s="121">
        <v>0.0</v>
      </c>
      <c r="AK43" s="3"/>
      <c r="AL43" s="121">
        <v>0.0</v>
      </c>
      <c r="AM43" s="3"/>
      <c r="AN43" s="121">
        <v>0.0</v>
      </c>
      <c r="AO43" s="3"/>
      <c r="AP43" s="123">
        <f t="shared" si="1"/>
        <v>0</v>
      </c>
      <c r="AQ43" s="124">
        <f t="shared" si="2"/>
        <v>0</v>
      </c>
      <c r="AR43" s="124">
        <f t="shared" si="3"/>
        <v>0</v>
      </c>
      <c r="AS43" s="124">
        <f t="shared" si="4"/>
        <v>0</v>
      </c>
      <c r="AT43" s="125" t="str">
        <f t="shared" si="5"/>
        <v/>
      </c>
    </row>
    <row r="44" ht="15.75" customHeight="1">
      <c r="A44" s="178" t="s">
        <v>28</v>
      </c>
      <c r="B44" s="180">
        <f t="shared" si="6"/>
        <v>44969</v>
      </c>
      <c r="C44" s="119">
        <v>2.0</v>
      </c>
      <c r="D44" s="119" t="s">
        <v>34</v>
      </c>
      <c r="E44" s="181"/>
      <c r="F44" s="182">
        <v>0.0</v>
      </c>
      <c r="G44" s="73"/>
      <c r="H44" s="182">
        <v>0.0</v>
      </c>
      <c r="I44" s="73"/>
      <c r="J44" s="182">
        <v>0.0</v>
      </c>
      <c r="K44" s="73"/>
      <c r="L44" s="182">
        <v>0.0</v>
      </c>
      <c r="M44" s="73"/>
      <c r="N44" s="182">
        <v>0.0</v>
      </c>
      <c r="O44" s="73"/>
      <c r="P44" s="182">
        <v>0.0</v>
      </c>
      <c r="Q44" s="73"/>
      <c r="R44" s="182">
        <v>0.0</v>
      </c>
      <c r="S44" s="73"/>
      <c r="T44" s="182">
        <v>0.0</v>
      </c>
      <c r="U44" s="73"/>
      <c r="V44" s="182">
        <v>0.0</v>
      </c>
      <c r="W44" s="73"/>
      <c r="X44" s="182"/>
      <c r="Y44" s="73"/>
      <c r="Z44" s="182"/>
      <c r="AA44" s="73"/>
      <c r="AB44" s="182">
        <v>0.0</v>
      </c>
      <c r="AC44" s="73"/>
      <c r="AD44" s="182">
        <v>0.0</v>
      </c>
      <c r="AE44" s="73"/>
      <c r="AF44" s="182">
        <v>0.0</v>
      </c>
      <c r="AG44" s="73"/>
      <c r="AH44" s="182">
        <v>0.0</v>
      </c>
      <c r="AI44" s="73"/>
      <c r="AJ44" s="182">
        <v>0.0</v>
      </c>
      <c r="AK44" s="73"/>
      <c r="AL44" s="182">
        <v>0.0</v>
      </c>
      <c r="AM44" s="73"/>
      <c r="AN44" s="182">
        <v>0.0</v>
      </c>
      <c r="AO44" s="73"/>
      <c r="AP44" s="183">
        <f t="shared" si="1"/>
        <v>0</v>
      </c>
      <c r="AQ44" s="181">
        <f t="shared" si="2"/>
        <v>0</v>
      </c>
      <c r="AR44" s="181">
        <f t="shared" si="3"/>
        <v>0</v>
      </c>
      <c r="AS44" s="181">
        <f t="shared" si="4"/>
        <v>0</v>
      </c>
      <c r="AT44" s="184" t="str">
        <f t="shared" si="5"/>
        <v/>
      </c>
    </row>
    <row r="45" ht="15.75" customHeight="1">
      <c r="A45" s="185" t="s">
        <v>21</v>
      </c>
      <c r="B45" s="186">
        <f t="shared" si="6"/>
        <v>44970</v>
      </c>
      <c r="C45" s="187">
        <v>2.0</v>
      </c>
      <c r="D45" s="187" t="s">
        <v>36</v>
      </c>
      <c r="E45" s="188" t="s">
        <v>40</v>
      </c>
      <c r="F45" s="189">
        <v>0.0</v>
      </c>
      <c r="G45" s="190"/>
      <c r="H45" s="189">
        <v>0.0</v>
      </c>
      <c r="I45" s="190"/>
      <c r="J45" s="189">
        <v>0.0</v>
      </c>
      <c r="K45" s="190"/>
      <c r="L45" s="189">
        <v>0.0</v>
      </c>
      <c r="M45" s="190"/>
      <c r="N45" s="189">
        <v>0.0</v>
      </c>
      <c r="O45" s="190"/>
      <c r="P45" s="189">
        <v>0.0</v>
      </c>
      <c r="Q45" s="190"/>
      <c r="R45" s="189">
        <v>0.0</v>
      </c>
      <c r="S45" s="190"/>
      <c r="T45" s="189">
        <v>0.0</v>
      </c>
      <c r="U45" s="190"/>
      <c r="V45" s="189">
        <v>0.0</v>
      </c>
      <c r="W45" s="190"/>
      <c r="X45" s="189"/>
      <c r="Y45" s="190"/>
      <c r="Z45" s="189"/>
      <c r="AA45" s="190"/>
      <c r="AB45" s="189">
        <v>0.0</v>
      </c>
      <c r="AC45" s="190"/>
      <c r="AD45" s="189">
        <v>0.0</v>
      </c>
      <c r="AE45" s="190"/>
      <c r="AF45" s="189">
        <v>0.0</v>
      </c>
      <c r="AG45" s="190"/>
      <c r="AH45" s="189">
        <v>0.0</v>
      </c>
      <c r="AI45" s="190"/>
      <c r="AJ45" s="189">
        <v>0.0</v>
      </c>
      <c r="AK45" s="190"/>
      <c r="AL45" s="189">
        <v>0.0</v>
      </c>
      <c r="AM45" s="190"/>
      <c r="AN45" s="189">
        <v>0.0</v>
      </c>
      <c r="AO45" s="190"/>
      <c r="AP45" s="191">
        <f t="shared" si="1"/>
        <v>0</v>
      </c>
      <c r="AQ45" s="192">
        <f t="shared" si="2"/>
        <v>0</v>
      </c>
      <c r="AR45" s="192">
        <f t="shared" si="3"/>
        <v>0</v>
      </c>
      <c r="AS45" s="192">
        <f t="shared" si="4"/>
        <v>0</v>
      </c>
      <c r="AT45" s="193" t="str">
        <f t="shared" si="5"/>
        <v/>
      </c>
    </row>
    <row r="46" ht="15.75" customHeight="1">
      <c r="A46" s="194" t="s">
        <v>23</v>
      </c>
      <c r="B46" s="195">
        <f t="shared" si="6"/>
        <v>44971</v>
      </c>
      <c r="C46" s="196">
        <v>2.0</v>
      </c>
      <c r="D46" s="196" t="s">
        <v>36</v>
      </c>
      <c r="E46" s="197" t="s">
        <v>40</v>
      </c>
      <c r="F46" s="198">
        <v>170.0</v>
      </c>
      <c r="G46" s="3"/>
      <c r="H46" s="198">
        <v>170.0</v>
      </c>
      <c r="I46" s="3"/>
      <c r="J46" s="198">
        <v>0.0</v>
      </c>
      <c r="K46" s="3"/>
      <c r="L46" s="198">
        <v>0.0</v>
      </c>
      <c r="M46" s="3"/>
      <c r="N46" s="198">
        <v>0.0</v>
      </c>
      <c r="O46" s="3"/>
      <c r="P46" s="198">
        <v>0.0</v>
      </c>
      <c r="Q46" s="3"/>
      <c r="R46" s="198">
        <v>0.0</v>
      </c>
      <c r="S46" s="3"/>
      <c r="T46" s="198">
        <v>0.0</v>
      </c>
      <c r="U46" s="3"/>
      <c r="V46" s="198">
        <v>0.0</v>
      </c>
      <c r="W46" s="3"/>
      <c r="X46" s="198"/>
      <c r="Y46" s="3"/>
      <c r="Z46" s="198"/>
      <c r="AA46" s="3"/>
      <c r="AB46" s="198">
        <v>0.0</v>
      </c>
      <c r="AC46" s="3"/>
      <c r="AD46" s="198">
        <v>0.0</v>
      </c>
      <c r="AE46" s="3"/>
      <c r="AF46" s="198">
        <v>0.0</v>
      </c>
      <c r="AG46" s="3"/>
      <c r="AH46" s="198">
        <v>0.0</v>
      </c>
      <c r="AI46" s="3"/>
      <c r="AJ46" s="198">
        <v>0.0</v>
      </c>
      <c r="AK46" s="3"/>
      <c r="AL46" s="198">
        <v>0.0</v>
      </c>
      <c r="AM46" s="3"/>
      <c r="AN46" s="198">
        <v>0.0</v>
      </c>
      <c r="AO46" s="3"/>
      <c r="AP46" s="199">
        <f t="shared" si="1"/>
        <v>11757.2</v>
      </c>
      <c r="AQ46" s="200">
        <f t="shared" si="2"/>
        <v>340</v>
      </c>
      <c r="AR46" s="200">
        <f t="shared" si="3"/>
        <v>0</v>
      </c>
      <c r="AS46" s="200">
        <f t="shared" si="4"/>
        <v>340</v>
      </c>
      <c r="AT46" s="201">
        <f t="shared" si="5"/>
        <v>34.58</v>
      </c>
    </row>
    <row r="47" ht="15.75" customHeight="1">
      <c r="A47" s="194" t="s">
        <v>24</v>
      </c>
      <c r="B47" s="195">
        <f t="shared" si="6"/>
        <v>44972</v>
      </c>
      <c r="C47" s="196">
        <v>2.0</v>
      </c>
      <c r="D47" s="196" t="s">
        <v>36</v>
      </c>
      <c r="E47" s="197" t="s">
        <v>40</v>
      </c>
      <c r="F47" s="198">
        <v>170.0</v>
      </c>
      <c r="G47" s="3"/>
      <c r="H47" s="198">
        <v>170.0</v>
      </c>
      <c r="I47" s="3"/>
      <c r="J47" s="198">
        <v>0.0</v>
      </c>
      <c r="K47" s="3"/>
      <c r="L47" s="198">
        <v>0.0</v>
      </c>
      <c r="M47" s="3"/>
      <c r="N47" s="198">
        <v>0.0</v>
      </c>
      <c r="O47" s="3"/>
      <c r="P47" s="198">
        <v>0.0</v>
      </c>
      <c r="Q47" s="3"/>
      <c r="R47" s="198">
        <v>0.0</v>
      </c>
      <c r="S47" s="3"/>
      <c r="T47" s="198">
        <v>0.0</v>
      </c>
      <c r="U47" s="3"/>
      <c r="V47" s="198">
        <v>0.0</v>
      </c>
      <c r="W47" s="3"/>
      <c r="X47" s="198"/>
      <c r="Y47" s="3"/>
      <c r="Z47" s="198"/>
      <c r="AA47" s="3"/>
      <c r="AB47" s="198">
        <v>0.0</v>
      </c>
      <c r="AC47" s="3"/>
      <c r="AD47" s="198">
        <v>0.0</v>
      </c>
      <c r="AE47" s="3"/>
      <c r="AF47" s="198">
        <v>0.0</v>
      </c>
      <c r="AG47" s="3"/>
      <c r="AH47" s="198">
        <v>0.0</v>
      </c>
      <c r="AI47" s="3"/>
      <c r="AJ47" s="198">
        <v>0.0</v>
      </c>
      <c r="AK47" s="3"/>
      <c r="AL47" s="198">
        <v>0.0</v>
      </c>
      <c r="AM47" s="3"/>
      <c r="AN47" s="198">
        <v>0.0</v>
      </c>
      <c r="AO47" s="3"/>
      <c r="AP47" s="199">
        <f t="shared" si="1"/>
        <v>11757.2</v>
      </c>
      <c r="AQ47" s="200">
        <f t="shared" si="2"/>
        <v>340</v>
      </c>
      <c r="AR47" s="200">
        <f t="shared" si="3"/>
        <v>0</v>
      </c>
      <c r="AS47" s="200">
        <f t="shared" si="4"/>
        <v>340</v>
      </c>
      <c r="AT47" s="201">
        <f t="shared" si="5"/>
        <v>34.58</v>
      </c>
    </row>
    <row r="48" ht="15.75" customHeight="1">
      <c r="A48" s="194" t="s">
        <v>25</v>
      </c>
      <c r="B48" s="195">
        <f t="shared" si="6"/>
        <v>44973</v>
      </c>
      <c r="C48" s="196">
        <v>2.0</v>
      </c>
      <c r="D48" s="196" t="s">
        <v>36</v>
      </c>
      <c r="E48" s="197" t="s">
        <v>40</v>
      </c>
      <c r="F48" s="198">
        <v>200.0</v>
      </c>
      <c r="G48" s="3"/>
      <c r="H48" s="198">
        <v>200.0</v>
      </c>
      <c r="I48" s="3"/>
      <c r="J48" s="198">
        <v>0.0</v>
      </c>
      <c r="K48" s="3"/>
      <c r="L48" s="198">
        <v>0.0</v>
      </c>
      <c r="M48" s="3"/>
      <c r="N48" s="198">
        <v>0.0</v>
      </c>
      <c r="O48" s="3"/>
      <c r="P48" s="198">
        <v>0.0</v>
      </c>
      <c r="Q48" s="3"/>
      <c r="R48" s="198">
        <v>0.0</v>
      </c>
      <c r="S48" s="3"/>
      <c r="T48" s="198">
        <v>0.0</v>
      </c>
      <c r="U48" s="3"/>
      <c r="V48" s="198">
        <v>0.0</v>
      </c>
      <c r="W48" s="3"/>
      <c r="X48" s="198"/>
      <c r="Y48" s="3"/>
      <c r="Z48" s="198"/>
      <c r="AA48" s="3"/>
      <c r="AB48" s="198">
        <v>0.0</v>
      </c>
      <c r="AC48" s="3"/>
      <c r="AD48" s="198">
        <v>0.0</v>
      </c>
      <c r="AE48" s="3"/>
      <c r="AF48" s="198">
        <v>0.0</v>
      </c>
      <c r="AG48" s="3"/>
      <c r="AH48" s="198">
        <v>0.0</v>
      </c>
      <c r="AI48" s="3"/>
      <c r="AJ48" s="198">
        <v>0.0</v>
      </c>
      <c r="AK48" s="3"/>
      <c r="AL48" s="198">
        <v>0.0</v>
      </c>
      <c r="AM48" s="3"/>
      <c r="AN48" s="198">
        <v>0.0</v>
      </c>
      <c r="AO48" s="3"/>
      <c r="AP48" s="199">
        <f t="shared" si="1"/>
        <v>13832</v>
      </c>
      <c r="AQ48" s="200">
        <f t="shared" si="2"/>
        <v>400</v>
      </c>
      <c r="AR48" s="200">
        <f t="shared" si="3"/>
        <v>0</v>
      </c>
      <c r="AS48" s="200">
        <f t="shared" si="4"/>
        <v>400</v>
      </c>
      <c r="AT48" s="201">
        <f t="shared" si="5"/>
        <v>34.58</v>
      </c>
    </row>
    <row r="49" ht="15.75" customHeight="1">
      <c r="A49" s="194" t="s">
        <v>26</v>
      </c>
      <c r="B49" s="195">
        <f t="shared" si="6"/>
        <v>44974</v>
      </c>
      <c r="C49" s="196">
        <v>2.0</v>
      </c>
      <c r="D49" s="196" t="s">
        <v>36</v>
      </c>
      <c r="E49" s="197" t="s">
        <v>40</v>
      </c>
      <c r="F49" s="198">
        <v>200.0</v>
      </c>
      <c r="G49" s="3"/>
      <c r="H49" s="198">
        <v>200.0</v>
      </c>
      <c r="I49" s="3"/>
      <c r="J49" s="198">
        <v>0.0</v>
      </c>
      <c r="K49" s="3"/>
      <c r="L49" s="198">
        <v>0.0</v>
      </c>
      <c r="M49" s="3"/>
      <c r="N49" s="198">
        <v>0.0</v>
      </c>
      <c r="O49" s="3"/>
      <c r="P49" s="198">
        <v>0.0</v>
      </c>
      <c r="Q49" s="3"/>
      <c r="R49" s="198">
        <v>0.0</v>
      </c>
      <c r="S49" s="3"/>
      <c r="T49" s="198">
        <v>0.0</v>
      </c>
      <c r="U49" s="3"/>
      <c r="V49" s="198">
        <v>0.0</v>
      </c>
      <c r="W49" s="3"/>
      <c r="X49" s="198"/>
      <c r="Y49" s="3"/>
      <c r="Z49" s="198"/>
      <c r="AA49" s="3"/>
      <c r="AB49" s="198">
        <v>0.0</v>
      </c>
      <c r="AC49" s="3"/>
      <c r="AD49" s="198">
        <v>0.0</v>
      </c>
      <c r="AE49" s="3"/>
      <c r="AF49" s="198">
        <v>0.0</v>
      </c>
      <c r="AG49" s="3"/>
      <c r="AH49" s="198">
        <v>0.0</v>
      </c>
      <c r="AI49" s="3"/>
      <c r="AJ49" s="198">
        <v>0.0</v>
      </c>
      <c r="AK49" s="3"/>
      <c r="AL49" s="198">
        <v>0.0</v>
      </c>
      <c r="AM49" s="3"/>
      <c r="AN49" s="198">
        <v>0.0</v>
      </c>
      <c r="AO49" s="3"/>
      <c r="AP49" s="199">
        <f t="shared" si="1"/>
        <v>13832</v>
      </c>
      <c r="AQ49" s="200">
        <f t="shared" si="2"/>
        <v>400</v>
      </c>
      <c r="AR49" s="200">
        <f t="shared" si="3"/>
        <v>0</v>
      </c>
      <c r="AS49" s="200">
        <f t="shared" si="4"/>
        <v>400</v>
      </c>
      <c r="AT49" s="201">
        <f t="shared" si="5"/>
        <v>34.58</v>
      </c>
    </row>
    <row r="50" ht="15.75" customHeight="1">
      <c r="A50" s="194" t="s">
        <v>27</v>
      </c>
      <c r="B50" s="195">
        <f t="shared" si="6"/>
        <v>44975</v>
      </c>
      <c r="C50" s="196">
        <v>2.0</v>
      </c>
      <c r="D50" s="196" t="s">
        <v>36</v>
      </c>
      <c r="E50" s="197" t="s">
        <v>40</v>
      </c>
      <c r="F50" s="198">
        <v>200.0</v>
      </c>
      <c r="G50" s="3"/>
      <c r="H50" s="198">
        <v>200.0</v>
      </c>
      <c r="I50" s="3"/>
      <c r="J50" s="198">
        <v>0.0</v>
      </c>
      <c r="K50" s="3"/>
      <c r="L50" s="198">
        <v>0.0</v>
      </c>
      <c r="M50" s="3"/>
      <c r="N50" s="198">
        <v>0.0</v>
      </c>
      <c r="O50" s="3"/>
      <c r="P50" s="198">
        <v>0.0</v>
      </c>
      <c r="Q50" s="3"/>
      <c r="R50" s="198">
        <v>0.0</v>
      </c>
      <c r="S50" s="3"/>
      <c r="T50" s="198">
        <v>0.0</v>
      </c>
      <c r="U50" s="3"/>
      <c r="V50" s="198">
        <v>0.0</v>
      </c>
      <c r="W50" s="3"/>
      <c r="X50" s="198"/>
      <c r="Y50" s="3"/>
      <c r="Z50" s="198"/>
      <c r="AA50" s="3"/>
      <c r="AB50" s="198">
        <v>0.0</v>
      </c>
      <c r="AC50" s="3"/>
      <c r="AD50" s="198">
        <v>0.0</v>
      </c>
      <c r="AE50" s="3"/>
      <c r="AF50" s="198">
        <v>0.0</v>
      </c>
      <c r="AG50" s="3"/>
      <c r="AH50" s="198">
        <v>0.0</v>
      </c>
      <c r="AI50" s="3"/>
      <c r="AJ50" s="198">
        <v>0.0</v>
      </c>
      <c r="AK50" s="3"/>
      <c r="AL50" s="198">
        <v>0.0</v>
      </c>
      <c r="AM50" s="3"/>
      <c r="AN50" s="198">
        <v>0.0</v>
      </c>
      <c r="AO50" s="3"/>
      <c r="AP50" s="199">
        <f t="shared" si="1"/>
        <v>13832</v>
      </c>
      <c r="AQ50" s="200">
        <f t="shared" si="2"/>
        <v>400</v>
      </c>
      <c r="AR50" s="200">
        <f t="shared" si="3"/>
        <v>0</v>
      </c>
      <c r="AS50" s="200">
        <f t="shared" si="4"/>
        <v>400</v>
      </c>
      <c r="AT50" s="201">
        <f t="shared" si="5"/>
        <v>34.58</v>
      </c>
    </row>
    <row r="51" ht="15.75" customHeight="1">
      <c r="A51" s="202" t="s">
        <v>28</v>
      </c>
      <c r="B51" s="203">
        <f t="shared" si="6"/>
        <v>44976</v>
      </c>
      <c r="C51" s="204">
        <v>2.0</v>
      </c>
      <c r="D51" s="204" t="s">
        <v>36</v>
      </c>
      <c r="E51" s="205" t="s">
        <v>40</v>
      </c>
      <c r="F51" s="206">
        <v>200.0</v>
      </c>
      <c r="G51" s="207"/>
      <c r="H51" s="206">
        <v>200.0</v>
      </c>
      <c r="I51" s="207"/>
      <c r="J51" s="206">
        <v>0.0</v>
      </c>
      <c r="K51" s="207"/>
      <c r="L51" s="206">
        <v>0.0</v>
      </c>
      <c r="M51" s="207"/>
      <c r="N51" s="206">
        <v>0.0</v>
      </c>
      <c r="O51" s="207"/>
      <c r="P51" s="206">
        <v>0.0</v>
      </c>
      <c r="Q51" s="207"/>
      <c r="R51" s="206">
        <v>0.0</v>
      </c>
      <c r="S51" s="207"/>
      <c r="T51" s="206">
        <v>0.0</v>
      </c>
      <c r="U51" s="207"/>
      <c r="V51" s="206">
        <v>0.0</v>
      </c>
      <c r="W51" s="207"/>
      <c r="X51" s="206"/>
      <c r="Y51" s="207"/>
      <c r="Z51" s="206"/>
      <c r="AA51" s="207"/>
      <c r="AB51" s="206">
        <v>0.0</v>
      </c>
      <c r="AC51" s="207"/>
      <c r="AD51" s="206">
        <v>0.0</v>
      </c>
      <c r="AE51" s="207"/>
      <c r="AF51" s="206">
        <v>0.0</v>
      </c>
      <c r="AG51" s="207"/>
      <c r="AH51" s="206">
        <v>0.0</v>
      </c>
      <c r="AI51" s="207"/>
      <c r="AJ51" s="206">
        <v>0.0</v>
      </c>
      <c r="AK51" s="207"/>
      <c r="AL51" s="206">
        <v>0.0</v>
      </c>
      <c r="AM51" s="207"/>
      <c r="AN51" s="206">
        <v>0.0</v>
      </c>
      <c r="AO51" s="207"/>
      <c r="AP51" s="208">
        <f t="shared" si="1"/>
        <v>13832</v>
      </c>
      <c r="AQ51" s="209">
        <f t="shared" si="2"/>
        <v>400</v>
      </c>
      <c r="AR51" s="209">
        <f t="shared" si="3"/>
        <v>0</v>
      </c>
      <c r="AS51" s="209">
        <f t="shared" si="4"/>
        <v>400</v>
      </c>
      <c r="AT51" s="210">
        <f t="shared" si="5"/>
        <v>34.58</v>
      </c>
    </row>
    <row r="52" ht="15.75" customHeight="1">
      <c r="A52" s="211" t="s">
        <v>21</v>
      </c>
      <c r="B52" s="195">
        <f t="shared" si="6"/>
        <v>44977</v>
      </c>
      <c r="C52" s="196">
        <v>2.0</v>
      </c>
      <c r="D52" s="196" t="s">
        <v>37</v>
      </c>
      <c r="E52" s="188" t="s">
        <v>40</v>
      </c>
      <c r="F52" s="212">
        <v>200.0</v>
      </c>
      <c r="G52" s="58"/>
      <c r="H52" s="212">
        <v>200.0</v>
      </c>
      <c r="I52" s="58"/>
      <c r="J52" s="212">
        <v>0.0</v>
      </c>
      <c r="K52" s="58"/>
      <c r="L52" s="212">
        <v>0.0</v>
      </c>
      <c r="M52" s="58"/>
      <c r="N52" s="212">
        <v>0.0</v>
      </c>
      <c r="O52" s="58"/>
      <c r="P52" s="212">
        <v>0.0</v>
      </c>
      <c r="Q52" s="58"/>
      <c r="R52" s="212">
        <v>0.0</v>
      </c>
      <c r="S52" s="58"/>
      <c r="T52" s="212">
        <v>0.0</v>
      </c>
      <c r="U52" s="58"/>
      <c r="V52" s="212">
        <v>0.0</v>
      </c>
      <c r="W52" s="58"/>
      <c r="X52" s="212"/>
      <c r="Y52" s="58"/>
      <c r="Z52" s="212"/>
      <c r="AA52" s="58"/>
      <c r="AB52" s="212">
        <v>0.0</v>
      </c>
      <c r="AC52" s="58"/>
      <c r="AD52" s="212">
        <v>0.0</v>
      </c>
      <c r="AE52" s="58"/>
      <c r="AF52" s="212">
        <v>0.0</v>
      </c>
      <c r="AG52" s="58"/>
      <c r="AH52" s="212">
        <v>0.0</v>
      </c>
      <c r="AI52" s="58"/>
      <c r="AJ52" s="212">
        <v>0.0</v>
      </c>
      <c r="AK52" s="58"/>
      <c r="AL52" s="212">
        <v>0.0</v>
      </c>
      <c r="AM52" s="58"/>
      <c r="AN52" s="212">
        <v>0.0</v>
      </c>
      <c r="AO52" s="58"/>
      <c r="AP52" s="213">
        <f t="shared" si="1"/>
        <v>13832</v>
      </c>
      <c r="AQ52" s="214">
        <f t="shared" si="2"/>
        <v>400</v>
      </c>
      <c r="AR52" s="214">
        <f t="shared" si="3"/>
        <v>0</v>
      </c>
      <c r="AS52" s="214">
        <f t="shared" si="4"/>
        <v>400</v>
      </c>
      <c r="AT52" s="213">
        <f t="shared" si="5"/>
        <v>34.58</v>
      </c>
    </row>
    <row r="53" ht="15.75" customHeight="1">
      <c r="A53" s="211" t="s">
        <v>23</v>
      </c>
      <c r="B53" s="195">
        <f t="shared" si="6"/>
        <v>44978</v>
      </c>
      <c r="C53" s="196">
        <v>2.0</v>
      </c>
      <c r="D53" s="196" t="s">
        <v>37</v>
      </c>
      <c r="E53" s="197" t="s">
        <v>40</v>
      </c>
      <c r="F53" s="198">
        <v>200.0</v>
      </c>
      <c r="G53" s="3"/>
      <c r="H53" s="198">
        <v>100.0</v>
      </c>
      <c r="I53" s="3"/>
      <c r="J53" s="212">
        <v>0.0</v>
      </c>
      <c r="K53" s="58"/>
      <c r="L53" s="212">
        <v>0.0</v>
      </c>
      <c r="M53" s="58"/>
      <c r="N53" s="212">
        <v>0.0</v>
      </c>
      <c r="O53" s="58"/>
      <c r="P53" s="212">
        <v>0.0</v>
      </c>
      <c r="Q53" s="58"/>
      <c r="R53" s="212">
        <v>0.0</v>
      </c>
      <c r="S53" s="58"/>
      <c r="T53" s="212">
        <v>0.0</v>
      </c>
      <c r="U53" s="58"/>
      <c r="V53" s="212">
        <v>0.0</v>
      </c>
      <c r="W53" s="58"/>
      <c r="X53" s="212"/>
      <c r="Y53" s="58"/>
      <c r="Z53" s="212"/>
      <c r="AA53" s="58"/>
      <c r="AB53" s="212">
        <v>0.0</v>
      </c>
      <c r="AC53" s="58"/>
      <c r="AD53" s="212">
        <v>0.0</v>
      </c>
      <c r="AE53" s="58"/>
      <c r="AF53" s="212">
        <v>0.0</v>
      </c>
      <c r="AG53" s="58"/>
      <c r="AH53" s="212">
        <v>0.0</v>
      </c>
      <c r="AI53" s="58"/>
      <c r="AJ53" s="212">
        <v>0.0</v>
      </c>
      <c r="AK53" s="58"/>
      <c r="AL53" s="212">
        <v>0.0</v>
      </c>
      <c r="AM53" s="58"/>
      <c r="AN53" s="212">
        <v>0.0</v>
      </c>
      <c r="AO53" s="58"/>
      <c r="AP53" s="199">
        <f t="shared" si="1"/>
        <v>10202</v>
      </c>
      <c r="AQ53" s="200">
        <f t="shared" si="2"/>
        <v>300</v>
      </c>
      <c r="AR53" s="200">
        <f t="shared" si="3"/>
        <v>0</v>
      </c>
      <c r="AS53" s="200">
        <f t="shared" si="4"/>
        <v>300</v>
      </c>
      <c r="AT53" s="199">
        <f t="shared" si="5"/>
        <v>34.00666667</v>
      </c>
    </row>
    <row r="54" ht="15.75" customHeight="1">
      <c r="A54" s="211" t="s">
        <v>24</v>
      </c>
      <c r="B54" s="195">
        <f t="shared" si="6"/>
        <v>44979</v>
      </c>
      <c r="C54" s="196">
        <v>2.0</v>
      </c>
      <c r="D54" s="196" t="s">
        <v>37</v>
      </c>
      <c r="E54" s="197" t="s">
        <v>40</v>
      </c>
      <c r="F54" s="198">
        <v>200.0</v>
      </c>
      <c r="G54" s="3"/>
      <c r="H54" s="198">
        <v>200.0</v>
      </c>
      <c r="I54" s="3"/>
      <c r="J54" s="212">
        <v>0.0</v>
      </c>
      <c r="K54" s="58"/>
      <c r="L54" s="212">
        <v>0.0</v>
      </c>
      <c r="M54" s="58"/>
      <c r="N54" s="212">
        <v>0.0</v>
      </c>
      <c r="O54" s="58"/>
      <c r="P54" s="212">
        <v>0.0</v>
      </c>
      <c r="Q54" s="58"/>
      <c r="R54" s="212">
        <v>0.0</v>
      </c>
      <c r="S54" s="58"/>
      <c r="T54" s="212">
        <v>0.0</v>
      </c>
      <c r="U54" s="58"/>
      <c r="V54" s="212">
        <v>0.0</v>
      </c>
      <c r="W54" s="58"/>
      <c r="X54" s="212"/>
      <c r="Y54" s="58"/>
      <c r="Z54" s="212"/>
      <c r="AA54" s="58"/>
      <c r="AB54" s="212">
        <v>0.0</v>
      </c>
      <c r="AC54" s="58"/>
      <c r="AD54" s="212">
        <v>0.0</v>
      </c>
      <c r="AE54" s="58"/>
      <c r="AF54" s="212">
        <v>0.0</v>
      </c>
      <c r="AG54" s="58"/>
      <c r="AH54" s="212">
        <v>0.0</v>
      </c>
      <c r="AI54" s="58"/>
      <c r="AJ54" s="212">
        <v>0.0</v>
      </c>
      <c r="AK54" s="58"/>
      <c r="AL54" s="212">
        <v>0.0</v>
      </c>
      <c r="AM54" s="58"/>
      <c r="AN54" s="212">
        <v>0.0</v>
      </c>
      <c r="AO54" s="58"/>
      <c r="AP54" s="199">
        <f t="shared" si="1"/>
        <v>13832</v>
      </c>
      <c r="AQ54" s="200">
        <f t="shared" si="2"/>
        <v>400</v>
      </c>
      <c r="AR54" s="200">
        <f t="shared" si="3"/>
        <v>0</v>
      </c>
      <c r="AS54" s="200">
        <f t="shared" si="4"/>
        <v>400</v>
      </c>
      <c r="AT54" s="199">
        <f t="shared" si="5"/>
        <v>34.58</v>
      </c>
    </row>
    <row r="55" ht="15.75" customHeight="1">
      <c r="A55" s="211" t="s">
        <v>25</v>
      </c>
      <c r="B55" s="195">
        <f t="shared" si="6"/>
        <v>44980</v>
      </c>
      <c r="C55" s="196">
        <v>2.0</v>
      </c>
      <c r="D55" s="196" t="s">
        <v>37</v>
      </c>
      <c r="E55" s="197" t="s">
        <v>40</v>
      </c>
      <c r="F55" s="198">
        <v>200.0</v>
      </c>
      <c r="G55" s="3"/>
      <c r="H55" s="198">
        <v>200.0</v>
      </c>
      <c r="I55" s="3"/>
      <c r="J55" s="212">
        <v>0.0</v>
      </c>
      <c r="K55" s="58"/>
      <c r="L55" s="212">
        <v>0.0</v>
      </c>
      <c r="M55" s="58"/>
      <c r="N55" s="212">
        <v>0.0</v>
      </c>
      <c r="O55" s="58"/>
      <c r="P55" s="212">
        <v>0.0</v>
      </c>
      <c r="Q55" s="58"/>
      <c r="R55" s="212">
        <v>0.0</v>
      </c>
      <c r="S55" s="58"/>
      <c r="T55" s="212">
        <v>0.0</v>
      </c>
      <c r="U55" s="58"/>
      <c r="V55" s="212">
        <v>0.0</v>
      </c>
      <c r="W55" s="58"/>
      <c r="X55" s="212"/>
      <c r="Y55" s="58"/>
      <c r="Z55" s="212"/>
      <c r="AA55" s="58"/>
      <c r="AB55" s="212">
        <v>0.0</v>
      </c>
      <c r="AC55" s="58"/>
      <c r="AD55" s="212">
        <v>0.0</v>
      </c>
      <c r="AE55" s="58"/>
      <c r="AF55" s="212">
        <v>0.0</v>
      </c>
      <c r="AG55" s="58"/>
      <c r="AH55" s="212">
        <v>0.0</v>
      </c>
      <c r="AI55" s="58"/>
      <c r="AJ55" s="212">
        <v>0.0</v>
      </c>
      <c r="AK55" s="58"/>
      <c r="AL55" s="212">
        <v>0.0</v>
      </c>
      <c r="AM55" s="58"/>
      <c r="AN55" s="212">
        <v>0.0</v>
      </c>
      <c r="AO55" s="58"/>
      <c r="AP55" s="199">
        <f t="shared" si="1"/>
        <v>13832</v>
      </c>
      <c r="AQ55" s="200">
        <f t="shared" si="2"/>
        <v>400</v>
      </c>
      <c r="AR55" s="200">
        <f t="shared" si="3"/>
        <v>0</v>
      </c>
      <c r="AS55" s="200">
        <f t="shared" si="4"/>
        <v>400</v>
      </c>
      <c r="AT55" s="199">
        <f t="shared" si="5"/>
        <v>34.58</v>
      </c>
    </row>
    <row r="56" ht="15.75" customHeight="1">
      <c r="A56" s="211" t="s">
        <v>26</v>
      </c>
      <c r="B56" s="195">
        <f t="shared" si="6"/>
        <v>44981</v>
      </c>
      <c r="C56" s="196">
        <v>2.0</v>
      </c>
      <c r="D56" s="196" t="s">
        <v>37</v>
      </c>
      <c r="E56" s="197" t="s">
        <v>40</v>
      </c>
      <c r="F56" s="198">
        <v>200.0</v>
      </c>
      <c r="G56" s="3"/>
      <c r="H56" s="198">
        <v>200.0</v>
      </c>
      <c r="I56" s="3"/>
      <c r="J56" s="212">
        <v>0.0</v>
      </c>
      <c r="K56" s="58"/>
      <c r="L56" s="212">
        <v>0.0</v>
      </c>
      <c r="M56" s="58"/>
      <c r="N56" s="212">
        <v>0.0</v>
      </c>
      <c r="O56" s="58"/>
      <c r="P56" s="212">
        <v>0.0</v>
      </c>
      <c r="Q56" s="58"/>
      <c r="R56" s="212">
        <v>0.0</v>
      </c>
      <c r="S56" s="58"/>
      <c r="T56" s="212">
        <v>0.0</v>
      </c>
      <c r="U56" s="58"/>
      <c r="V56" s="212">
        <v>0.0</v>
      </c>
      <c r="W56" s="58"/>
      <c r="X56" s="212"/>
      <c r="Y56" s="58"/>
      <c r="Z56" s="212"/>
      <c r="AA56" s="58"/>
      <c r="AB56" s="212">
        <v>0.0</v>
      </c>
      <c r="AC56" s="58"/>
      <c r="AD56" s="212">
        <v>0.0</v>
      </c>
      <c r="AE56" s="58"/>
      <c r="AF56" s="212">
        <v>0.0</v>
      </c>
      <c r="AG56" s="58"/>
      <c r="AH56" s="212">
        <v>0.0</v>
      </c>
      <c r="AI56" s="58"/>
      <c r="AJ56" s="212">
        <v>0.0</v>
      </c>
      <c r="AK56" s="58"/>
      <c r="AL56" s="212">
        <v>0.0</v>
      </c>
      <c r="AM56" s="58"/>
      <c r="AN56" s="212">
        <v>0.0</v>
      </c>
      <c r="AO56" s="58"/>
      <c r="AP56" s="199">
        <f t="shared" si="1"/>
        <v>13832</v>
      </c>
      <c r="AQ56" s="200">
        <f t="shared" si="2"/>
        <v>400</v>
      </c>
      <c r="AR56" s="200">
        <f t="shared" si="3"/>
        <v>0</v>
      </c>
      <c r="AS56" s="200">
        <f t="shared" si="4"/>
        <v>400</v>
      </c>
      <c r="AT56" s="199">
        <f t="shared" si="5"/>
        <v>34.58</v>
      </c>
    </row>
    <row r="57" ht="15.75" customHeight="1">
      <c r="A57" s="211" t="s">
        <v>27</v>
      </c>
      <c r="B57" s="195">
        <f t="shared" si="6"/>
        <v>44982</v>
      </c>
      <c r="C57" s="196">
        <v>2.0</v>
      </c>
      <c r="D57" s="196" t="s">
        <v>37</v>
      </c>
      <c r="E57" s="197" t="s">
        <v>40</v>
      </c>
      <c r="F57" s="198">
        <v>200.0</v>
      </c>
      <c r="G57" s="3"/>
      <c r="H57" s="198">
        <v>200.0</v>
      </c>
      <c r="I57" s="3"/>
      <c r="J57" s="212">
        <v>0.0</v>
      </c>
      <c r="K57" s="58"/>
      <c r="L57" s="212">
        <v>0.0</v>
      </c>
      <c r="M57" s="58"/>
      <c r="N57" s="212">
        <v>0.0</v>
      </c>
      <c r="O57" s="58"/>
      <c r="P57" s="212">
        <v>0.0</v>
      </c>
      <c r="Q57" s="58"/>
      <c r="R57" s="212">
        <v>0.0</v>
      </c>
      <c r="S57" s="58"/>
      <c r="T57" s="212">
        <v>0.0</v>
      </c>
      <c r="U57" s="58"/>
      <c r="V57" s="212">
        <v>0.0</v>
      </c>
      <c r="W57" s="58"/>
      <c r="X57" s="212"/>
      <c r="Y57" s="58"/>
      <c r="Z57" s="212"/>
      <c r="AA57" s="58"/>
      <c r="AB57" s="212">
        <v>0.0</v>
      </c>
      <c r="AC57" s="58"/>
      <c r="AD57" s="212">
        <v>0.0</v>
      </c>
      <c r="AE57" s="58"/>
      <c r="AF57" s="212">
        <v>0.0</v>
      </c>
      <c r="AG57" s="58"/>
      <c r="AH57" s="212">
        <v>0.0</v>
      </c>
      <c r="AI57" s="58"/>
      <c r="AJ57" s="212">
        <v>0.0</v>
      </c>
      <c r="AK57" s="58"/>
      <c r="AL57" s="212">
        <v>0.0</v>
      </c>
      <c r="AM57" s="58"/>
      <c r="AN57" s="212">
        <v>0.0</v>
      </c>
      <c r="AO57" s="58"/>
      <c r="AP57" s="199">
        <f t="shared" si="1"/>
        <v>13832</v>
      </c>
      <c r="AQ57" s="200">
        <f t="shared" si="2"/>
        <v>400</v>
      </c>
      <c r="AR57" s="200">
        <f t="shared" si="3"/>
        <v>0</v>
      </c>
      <c r="AS57" s="200">
        <f t="shared" si="4"/>
        <v>400</v>
      </c>
      <c r="AT57" s="199">
        <f t="shared" si="5"/>
        <v>34.58</v>
      </c>
    </row>
    <row r="58" ht="15.75" customHeight="1">
      <c r="A58" s="211" t="s">
        <v>28</v>
      </c>
      <c r="B58" s="195">
        <f t="shared" si="6"/>
        <v>44983</v>
      </c>
      <c r="C58" s="196">
        <v>2.0</v>
      </c>
      <c r="D58" s="196" t="s">
        <v>37</v>
      </c>
      <c r="E58" s="215" t="s">
        <v>40</v>
      </c>
      <c r="F58" s="216">
        <v>150.0</v>
      </c>
      <c r="G58" s="73"/>
      <c r="H58" s="216">
        <v>150.0</v>
      </c>
      <c r="I58" s="73"/>
      <c r="J58" s="217">
        <v>0.0</v>
      </c>
      <c r="K58" s="26"/>
      <c r="L58" s="217">
        <v>30.0</v>
      </c>
      <c r="M58" s="26"/>
      <c r="N58" s="217">
        <v>0.0</v>
      </c>
      <c r="O58" s="26"/>
      <c r="P58" s="217">
        <v>0.0</v>
      </c>
      <c r="Q58" s="26"/>
      <c r="R58" s="217">
        <v>0.0</v>
      </c>
      <c r="S58" s="26"/>
      <c r="T58" s="217">
        <v>0.0</v>
      </c>
      <c r="U58" s="26"/>
      <c r="V58" s="217">
        <v>0.0</v>
      </c>
      <c r="W58" s="26"/>
      <c r="X58" s="217"/>
      <c r="Y58" s="26"/>
      <c r="Z58" s="217"/>
      <c r="AA58" s="26"/>
      <c r="AB58" s="217">
        <v>0.0</v>
      </c>
      <c r="AC58" s="26"/>
      <c r="AD58" s="217">
        <v>0.0</v>
      </c>
      <c r="AE58" s="26"/>
      <c r="AF58" s="217">
        <v>0.0</v>
      </c>
      <c r="AG58" s="26"/>
      <c r="AH58" s="217">
        <v>0.0</v>
      </c>
      <c r="AI58" s="26"/>
      <c r="AJ58" s="217">
        <v>0.0</v>
      </c>
      <c r="AK58" s="26"/>
      <c r="AL58" s="217">
        <v>0.0</v>
      </c>
      <c r="AM58" s="26"/>
      <c r="AN58" s="217">
        <v>0.0</v>
      </c>
      <c r="AO58" s="26"/>
      <c r="AP58" s="218">
        <f t="shared" si="1"/>
        <v>11359.8</v>
      </c>
      <c r="AQ58" s="219">
        <f t="shared" si="2"/>
        <v>330</v>
      </c>
      <c r="AR58" s="219">
        <f t="shared" si="3"/>
        <v>0</v>
      </c>
      <c r="AS58" s="219">
        <f t="shared" si="4"/>
        <v>330</v>
      </c>
      <c r="AT58" s="218">
        <f t="shared" si="5"/>
        <v>34.42363636</v>
      </c>
    </row>
    <row r="59" ht="15.75" customHeight="1">
      <c r="A59" s="220" t="s">
        <v>21</v>
      </c>
      <c r="B59" s="221">
        <f t="shared" si="6"/>
        <v>44984</v>
      </c>
      <c r="C59" s="222">
        <v>3.0</v>
      </c>
      <c r="D59" s="222" t="s">
        <v>22</v>
      </c>
      <c r="E59" s="223" t="s">
        <v>40</v>
      </c>
      <c r="F59" s="224">
        <v>150.0</v>
      </c>
      <c r="G59" s="190"/>
      <c r="H59" s="224">
        <v>150.0</v>
      </c>
      <c r="I59" s="190"/>
      <c r="J59" s="224">
        <v>0.0</v>
      </c>
      <c r="K59" s="190"/>
      <c r="L59" s="224">
        <v>0.0</v>
      </c>
      <c r="M59" s="190"/>
      <c r="N59" s="224">
        <v>0.0</v>
      </c>
      <c r="O59" s="190"/>
      <c r="P59" s="224">
        <v>0.0</v>
      </c>
      <c r="Q59" s="190"/>
      <c r="R59" s="224">
        <v>0.0</v>
      </c>
      <c r="S59" s="190"/>
      <c r="T59" s="224">
        <v>0.0</v>
      </c>
      <c r="U59" s="190"/>
      <c r="V59" s="224">
        <v>0.0</v>
      </c>
      <c r="W59" s="190"/>
      <c r="X59" s="224"/>
      <c r="Y59" s="190"/>
      <c r="Z59" s="224">
        <v>0.0</v>
      </c>
      <c r="AA59" s="190"/>
      <c r="AB59" s="224">
        <v>0.0</v>
      </c>
      <c r="AC59" s="190"/>
      <c r="AD59" s="224">
        <v>0.0</v>
      </c>
      <c r="AE59" s="190"/>
      <c r="AF59" s="224">
        <v>0.0</v>
      </c>
      <c r="AG59" s="190"/>
      <c r="AH59" s="224">
        <v>0.0</v>
      </c>
      <c r="AI59" s="190"/>
      <c r="AJ59" s="224">
        <v>0.0</v>
      </c>
      <c r="AK59" s="190"/>
      <c r="AL59" s="224">
        <v>0.0</v>
      </c>
      <c r="AM59" s="190"/>
      <c r="AN59" s="224">
        <v>0.0</v>
      </c>
      <c r="AO59" s="190"/>
      <c r="AP59" s="225">
        <f t="shared" si="1"/>
        <v>10374</v>
      </c>
      <c r="AQ59" s="226">
        <f t="shared" si="2"/>
        <v>300</v>
      </c>
      <c r="AR59" s="226">
        <f t="shared" si="3"/>
        <v>0</v>
      </c>
      <c r="AS59" s="226">
        <f t="shared" si="4"/>
        <v>300</v>
      </c>
      <c r="AT59" s="227">
        <f t="shared" si="5"/>
        <v>34.58</v>
      </c>
    </row>
    <row r="60" ht="15.75" customHeight="1">
      <c r="A60" s="228" t="s">
        <v>23</v>
      </c>
      <c r="B60" s="229">
        <f t="shared" si="6"/>
        <v>44985</v>
      </c>
      <c r="C60" s="230">
        <v>3.0</v>
      </c>
      <c r="D60" s="230" t="s">
        <v>22</v>
      </c>
      <c r="E60" s="231" t="s">
        <v>40</v>
      </c>
      <c r="F60" s="232">
        <v>200.0</v>
      </c>
      <c r="G60" s="3"/>
      <c r="H60" s="232">
        <v>200.0</v>
      </c>
      <c r="I60" s="3"/>
      <c r="J60" s="232">
        <v>0.0</v>
      </c>
      <c r="K60" s="3"/>
      <c r="L60" s="232">
        <v>0.0</v>
      </c>
      <c r="M60" s="3"/>
      <c r="N60" s="232">
        <v>0.0</v>
      </c>
      <c r="O60" s="3"/>
      <c r="P60" s="232">
        <v>0.0</v>
      </c>
      <c r="Q60" s="3"/>
      <c r="R60" s="232">
        <v>0.0</v>
      </c>
      <c r="S60" s="3"/>
      <c r="T60" s="232">
        <v>0.0</v>
      </c>
      <c r="U60" s="3"/>
      <c r="V60" s="232">
        <v>4.0</v>
      </c>
      <c r="W60" s="3"/>
      <c r="X60" s="232"/>
      <c r="Y60" s="3"/>
      <c r="Z60" s="232">
        <v>0.0</v>
      </c>
      <c r="AA60" s="3"/>
      <c r="AB60" s="232">
        <v>0.0</v>
      </c>
      <c r="AC60" s="3"/>
      <c r="AD60" s="232">
        <v>0.0</v>
      </c>
      <c r="AE60" s="3"/>
      <c r="AF60" s="232">
        <v>0.0</v>
      </c>
      <c r="AG60" s="3"/>
      <c r="AH60" s="232">
        <v>0.0</v>
      </c>
      <c r="AI60" s="3"/>
      <c r="AJ60" s="232">
        <v>0.0</v>
      </c>
      <c r="AK60" s="3"/>
      <c r="AL60" s="232">
        <v>0.0</v>
      </c>
      <c r="AM60" s="3"/>
      <c r="AN60" s="232">
        <v>0.0</v>
      </c>
      <c r="AO60" s="3"/>
      <c r="AP60" s="233">
        <f t="shared" si="1"/>
        <v>13910.96</v>
      </c>
      <c r="AQ60" s="234">
        <f t="shared" si="2"/>
        <v>404</v>
      </c>
      <c r="AR60" s="234">
        <f t="shared" si="3"/>
        <v>0</v>
      </c>
      <c r="AS60" s="234">
        <f t="shared" si="4"/>
        <v>404</v>
      </c>
      <c r="AT60" s="235">
        <f t="shared" si="5"/>
        <v>34.43306931</v>
      </c>
    </row>
    <row r="61" ht="15.75" customHeight="1">
      <c r="A61" s="228" t="s">
        <v>24</v>
      </c>
      <c r="B61" s="229">
        <f t="shared" si="6"/>
        <v>44986</v>
      </c>
      <c r="C61" s="230">
        <v>3.0</v>
      </c>
      <c r="D61" s="230" t="s">
        <v>22</v>
      </c>
      <c r="E61" s="231" t="s">
        <v>41</v>
      </c>
      <c r="F61" s="232">
        <v>0.0</v>
      </c>
      <c r="G61" s="3"/>
      <c r="H61" s="232">
        <v>0.0</v>
      </c>
      <c r="I61" s="3"/>
      <c r="J61" s="232">
        <v>0.0</v>
      </c>
      <c r="K61" s="3"/>
      <c r="L61" s="232">
        <v>0.0</v>
      </c>
      <c r="M61" s="3"/>
      <c r="N61" s="232">
        <v>260.0</v>
      </c>
      <c r="O61" s="3"/>
      <c r="P61" s="232">
        <v>260.0</v>
      </c>
      <c r="Q61" s="3"/>
      <c r="R61" s="232">
        <v>0.0</v>
      </c>
      <c r="S61" s="3"/>
      <c r="T61" s="232">
        <v>0.0</v>
      </c>
      <c r="U61" s="3"/>
      <c r="V61" s="232">
        <v>0.0</v>
      </c>
      <c r="W61" s="3"/>
      <c r="X61" s="232"/>
      <c r="Y61" s="3"/>
      <c r="Z61" s="232">
        <v>0.0</v>
      </c>
      <c r="AA61" s="3"/>
      <c r="AB61" s="232">
        <v>0.0</v>
      </c>
      <c r="AC61" s="3"/>
      <c r="AD61" s="232">
        <v>0.0</v>
      </c>
      <c r="AE61" s="3"/>
      <c r="AF61" s="232">
        <v>0.0</v>
      </c>
      <c r="AG61" s="3"/>
      <c r="AH61" s="232">
        <v>0.0</v>
      </c>
      <c r="AI61" s="3"/>
      <c r="AJ61" s="232">
        <v>0.0</v>
      </c>
      <c r="AK61" s="3"/>
      <c r="AL61" s="232">
        <v>0.0</v>
      </c>
      <c r="AM61" s="3"/>
      <c r="AN61" s="232">
        <v>0.0</v>
      </c>
      <c r="AO61" s="3"/>
      <c r="AP61" s="233">
        <f t="shared" si="1"/>
        <v>9370.4</v>
      </c>
      <c r="AQ61" s="234">
        <f t="shared" si="2"/>
        <v>520</v>
      </c>
      <c r="AR61" s="234">
        <f t="shared" si="3"/>
        <v>0</v>
      </c>
      <c r="AS61" s="234">
        <f t="shared" si="4"/>
        <v>520</v>
      </c>
      <c r="AT61" s="235">
        <f t="shared" si="5"/>
        <v>18.02</v>
      </c>
    </row>
    <row r="62" ht="15.75" customHeight="1">
      <c r="A62" s="228" t="s">
        <v>25</v>
      </c>
      <c r="B62" s="229">
        <f t="shared" si="6"/>
        <v>44987</v>
      </c>
      <c r="C62" s="230">
        <v>3.0</v>
      </c>
      <c r="D62" s="230" t="s">
        <v>22</v>
      </c>
      <c r="E62" s="231" t="s">
        <v>41</v>
      </c>
      <c r="F62" s="232">
        <v>0.0</v>
      </c>
      <c r="G62" s="3"/>
      <c r="H62" s="232">
        <v>0.0</v>
      </c>
      <c r="I62" s="3"/>
      <c r="J62" s="232">
        <v>0.0</v>
      </c>
      <c r="K62" s="3"/>
      <c r="L62" s="232">
        <v>0.0</v>
      </c>
      <c r="M62" s="3"/>
      <c r="N62" s="232">
        <v>260.0</v>
      </c>
      <c r="O62" s="3"/>
      <c r="P62" s="232">
        <v>260.0</v>
      </c>
      <c r="Q62" s="3"/>
      <c r="R62" s="232">
        <v>0.0</v>
      </c>
      <c r="S62" s="3"/>
      <c r="T62" s="232">
        <v>0.0</v>
      </c>
      <c r="U62" s="3"/>
      <c r="V62" s="232">
        <v>0.0</v>
      </c>
      <c r="W62" s="3"/>
      <c r="X62" s="232"/>
      <c r="Y62" s="3"/>
      <c r="Z62" s="232">
        <v>3.0</v>
      </c>
      <c r="AA62" s="3"/>
      <c r="AB62" s="232">
        <v>0.0</v>
      </c>
      <c r="AC62" s="3"/>
      <c r="AD62" s="232">
        <v>0.0</v>
      </c>
      <c r="AE62" s="3"/>
      <c r="AF62" s="232">
        <v>0.0</v>
      </c>
      <c r="AG62" s="3"/>
      <c r="AH62" s="232">
        <v>0.0</v>
      </c>
      <c r="AI62" s="3"/>
      <c r="AJ62" s="232">
        <v>0.0</v>
      </c>
      <c r="AK62" s="3"/>
      <c r="AL62" s="232">
        <v>0.0</v>
      </c>
      <c r="AM62" s="3"/>
      <c r="AN62" s="232">
        <v>0.0</v>
      </c>
      <c r="AO62" s="3"/>
      <c r="AP62" s="233">
        <f t="shared" si="1"/>
        <v>9610.4</v>
      </c>
      <c r="AQ62" s="234">
        <f t="shared" si="2"/>
        <v>523</v>
      </c>
      <c r="AR62" s="234">
        <f t="shared" si="3"/>
        <v>0</v>
      </c>
      <c r="AS62" s="234">
        <f t="shared" si="4"/>
        <v>523</v>
      </c>
      <c r="AT62" s="235">
        <f t="shared" si="5"/>
        <v>18.37552581</v>
      </c>
    </row>
    <row r="63" ht="15.75" customHeight="1">
      <c r="A63" s="228" t="s">
        <v>26</v>
      </c>
      <c r="B63" s="229">
        <f t="shared" si="6"/>
        <v>44988</v>
      </c>
      <c r="C63" s="230">
        <v>3.0</v>
      </c>
      <c r="D63" s="230" t="s">
        <v>22</v>
      </c>
      <c r="E63" s="231" t="s">
        <v>41</v>
      </c>
      <c r="F63" s="232">
        <v>0.0</v>
      </c>
      <c r="G63" s="3"/>
      <c r="H63" s="232">
        <v>0.0</v>
      </c>
      <c r="I63" s="3"/>
      <c r="J63" s="232">
        <v>0.0</v>
      </c>
      <c r="K63" s="3"/>
      <c r="L63" s="232">
        <v>0.0</v>
      </c>
      <c r="M63" s="3"/>
      <c r="N63" s="232">
        <v>260.0</v>
      </c>
      <c r="O63" s="3"/>
      <c r="P63" s="232">
        <v>260.0</v>
      </c>
      <c r="Q63" s="3"/>
      <c r="R63" s="232">
        <v>0.0</v>
      </c>
      <c r="S63" s="3"/>
      <c r="T63" s="232">
        <v>0.0</v>
      </c>
      <c r="U63" s="3"/>
      <c r="V63" s="232">
        <v>0.0</v>
      </c>
      <c r="W63" s="3"/>
      <c r="X63" s="232"/>
      <c r="Y63" s="3"/>
      <c r="Z63" s="232">
        <v>3.0</v>
      </c>
      <c r="AA63" s="3"/>
      <c r="AB63" s="232">
        <v>0.0</v>
      </c>
      <c r="AC63" s="3"/>
      <c r="AD63" s="232">
        <v>0.0</v>
      </c>
      <c r="AE63" s="3"/>
      <c r="AF63" s="232">
        <v>0.0</v>
      </c>
      <c r="AG63" s="3"/>
      <c r="AH63" s="232">
        <v>0.0</v>
      </c>
      <c r="AI63" s="3"/>
      <c r="AJ63" s="232">
        <v>0.0</v>
      </c>
      <c r="AK63" s="3"/>
      <c r="AL63" s="232">
        <v>0.0</v>
      </c>
      <c r="AM63" s="3"/>
      <c r="AN63" s="232">
        <v>0.0</v>
      </c>
      <c r="AO63" s="3"/>
      <c r="AP63" s="233">
        <f t="shared" si="1"/>
        <v>9610.4</v>
      </c>
      <c r="AQ63" s="234">
        <f t="shared" si="2"/>
        <v>523</v>
      </c>
      <c r="AR63" s="234">
        <f t="shared" si="3"/>
        <v>0</v>
      </c>
      <c r="AS63" s="234">
        <f t="shared" si="4"/>
        <v>523</v>
      </c>
      <c r="AT63" s="235">
        <f t="shared" si="5"/>
        <v>18.37552581</v>
      </c>
    </row>
    <row r="64" ht="15.75" customHeight="1">
      <c r="A64" s="228" t="s">
        <v>27</v>
      </c>
      <c r="B64" s="229">
        <f t="shared" si="6"/>
        <v>44989</v>
      </c>
      <c r="C64" s="230">
        <v>3.0</v>
      </c>
      <c r="D64" s="230" t="s">
        <v>22</v>
      </c>
      <c r="E64" s="231" t="s">
        <v>41</v>
      </c>
      <c r="F64" s="232">
        <v>0.0</v>
      </c>
      <c r="G64" s="3"/>
      <c r="H64" s="232">
        <v>0.0</v>
      </c>
      <c r="I64" s="3"/>
      <c r="J64" s="232">
        <v>0.0</v>
      </c>
      <c r="K64" s="3"/>
      <c r="L64" s="232">
        <v>0.0</v>
      </c>
      <c r="M64" s="3"/>
      <c r="N64" s="232">
        <v>260.0</v>
      </c>
      <c r="O64" s="3"/>
      <c r="P64" s="232">
        <v>260.0</v>
      </c>
      <c r="Q64" s="3"/>
      <c r="R64" s="232">
        <v>0.0</v>
      </c>
      <c r="S64" s="3"/>
      <c r="T64" s="232">
        <v>0.0</v>
      </c>
      <c r="U64" s="3"/>
      <c r="V64" s="232">
        <v>0.0</v>
      </c>
      <c r="W64" s="3"/>
      <c r="X64" s="232"/>
      <c r="Y64" s="3"/>
      <c r="Z64" s="232">
        <v>0.0</v>
      </c>
      <c r="AA64" s="3"/>
      <c r="AB64" s="232">
        <v>3.0</v>
      </c>
      <c r="AC64" s="3"/>
      <c r="AD64" s="232">
        <v>0.0</v>
      </c>
      <c r="AE64" s="3"/>
      <c r="AF64" s="232">
        <v>0.0</v>
      </c>
      <c r="AG64" s="3"/>
      <c r="AH64" s="232">
        <v>0.0</v>
      </c>
      <c r="AI64" s="3"/>
      <c r="AJ64" s="232">
        <v>0.0</v>
      </c>
      <c r="AK64" s="3"/>
      <c r="AL64" s="232">
        <v>0.0</v>
      </c>
      <c r="AM64" s="3"/>
      <c r="AN64" s="232">
        <v>0.0</v>
      </c>
      <c r="AO64" s="3"/>
      <c r="AP64" s="233">
        <f t="shared" si="1"/>
        <v>9745.4</v>
      </c>
      <c r="AQ64" s="234">
        <f t="shared" si="2"/>
        <v>523</v>
      </c>
      <c r="AR64" s="234">
        <f t="shared" si="3"/>
        <v>0</v>
      </c>
      <c r="AS64" s="234">
        <f t="shared" si="4"/>
        <v>523</v>
      </c>
      <c r="AT64" s="235">
        <f t="shared" si="5"/>
        <v>18.63365201</v>
      </c>
    </row>
    <row r="65" ht="15.75" customHeight="1">
      <c r="A65" s="228" t="s">
        <v>28</v>
      </c>
      <c r="B65" s="229">
        <f t="shared" si="6"/>
        <v>44990</v>
      </c>
      <c r="C65" s="230">
        <v>3.0</v>
      </c>
      <c r="D65" s="230" t="s">
        <v>22</v>
      </c>
      <c r="E65" s="236" t="s">
        <v>41</v>
      </c>
      <c r="F65" s="237">
        <v>0.0</v>
      </c>
      <c r="G65" s="73"/>
      <c r="H65" s="237">
        <v>0.0</v>
      </c>
      <c r="I65" s="73"/>
      <c r="J65" s="237">
        <v>0.0</v>
      </c>
      <c r="K65" s="73"/>
      <c r="L65" s="237">
        <v>0.0</v>
      </c>
      <c r="M65" s="73"/>
      <c r="N65" s="237">
        <v>260.0</v>
      </c>
      <c r="O65" s="73"/>
      <c r="P65" s="237">
        <v>260.0</v>
      </c>
      <c r="Q65" s="73"/>
      <c r="R65" s="237">
        <v>0.0</v>
      </c>
      <c r="S65" s="73"/>
      <c r="T65" s="237">
        <v>0.0</v>
      </c>
      <c r="U65" s="73"/>
      <c r="V65" s="237">
        <v>0.0</v>
      </c>
      <c r="W65" s="73"/>
      <c r="X65" s="237"/>
      <c r="Y65" s="73"/>
      <c r="Z65" s="237">
        <v>3.0</v>
      </c>
      <c r="AA65" s="73"/>
      <c r="AB65" s="237">
        <v>0.0</v>
      </c>
      <c r="AC65" s="73"/>
      <c r="AD65" s="237">
        <v>0.0</v>
      </c>
      <c r="AE65" s="73"/>
      <c r="AF65" s="237">
        <v>0.0</v>
      </c>
      <c r="AG65" s="73"/>
      <c r="AH65" s="237">
        <v>0.0</v>
      </c>
      <c r="AI65" s="73"/>
      <c r="AJ65" s="237">
        <v>0.0</v>
      </c>
      <c r="AK65" s="73"/>
      <c r="AL65" s="237">
        <v>0.0</v>
      </c>
      <c r="AM65" s="73"/>
      <c r="AN65" s="237">
        <v>0.0</v>
      </c>
      <c r="AO65" s="73"/>
      <c r="AP65" s="238">
        <f t="shared" si="1"/>
        <v>9610.4</v>
      </c>
      <c r="AQ65" s="239">
        <f t="shared" si="2"/>
        <v>523</v>
      </c>
      <c r="AR65" s="239">
        <f t="shared" si="3"/>
        <v>0</v>
      </c>
      <c r="AS65" s="239">
        <f t="shared" si="4"/>
        <v>523</v>
      </c>
      <c r="AT65" s="240">
        <f t="shared" si="5"/>
        <v>18.37552581</v>
      </c>
    </row>
    <row r="66" ht="15.75" customHeight="1">
      <c r="A66" s="220" t="s">
        <v>21</v>
      </c>
      <c r="B66" s="221">
        <f t="shared" si="6"/>
        <v>44991</v>
      </c>
      <c r="C66" s="222">
        <v>3.0</v>
      </c>
      <c r="D66" s="222" t="s">
        <v>34</v>
      </c>
      <c r="E66" s="223" t="s">
        <v>41</v>
      </c>
      <c r="F66" s="224">
        <v>0.0</v>
      </c>
      <c r="G66" s="190"/>
      <c r="H66" s="224">
        <v>0.0</v>
      </c>
      <c r="I66" s="190"/>
      <c r="J66" s="224">
        <v>0.0</v>
      </c>
      <c r="K66" s="190"/>
      <c r="L66" s="224">
        <v>0.0</v>
      </c>
      <c r="M66" s="190"/>
      <c r="N66" s="224">
        <v>260.0</v>
      </c>
      <c r="O66" s="190"/>
      <c r="P66" s="224">
        <v>260.0</v>
      </c>
      <c r="Q66" s="190"/>
      <c r="R66" s="224">
        <v>0.0</v>
      </c>
      <c r="S66" s="190"/>
      <c r="T66" s="224">
        <v>0.0</v>
      </c>
      <c r="U66" s="190"/>
      <c r="V66" s="224">
        <v>0.0</v>
      </c>
      <c r="W66" s="190"/>
      <c r="X66" s="224"/>
      <c r="Y66" s="190"/>
      <c r="Z66" s="224">
        <v>3.0</v>
      </c>
      <c r="AA66" s="190"/>
      <c r="AB66" s="224">
        <v>0.0</v>
      </c>
      <c r="AC66" s="190"/>
      <c r="AD66" s="224">
        <v>0.0</v>
      </c>
      <c r="AE66" s="190"/>
      <c r="AF66" s="224">
        <v>0.0</v>
      </c>
      <c r="AG66" s="190"/>
      <c r="AH66" s="224">
        <v>0.0</v>
      </c>
      <c r="AI66" s="190"/>
      <c r="AJ66" s="224">
        <v>0.0</v>
      </c>
      <c r="AK66" s="190"/>
      <c r="AL66" s="224">
        <v>0.0</v>
      </c>
      <c r="AM66" s="190"/>
      <c r="AN66" s="224">
        <v>0.0</v>
      </c>
      <c r="AO66" s="190"/>
      <c r="AP66" s="225">
        <f t="shared" si="1"/>
        <v>9610.4</v>
      </c>
      <c r="AQ66" s="226">
        <f t="shared" si="2"/>
        <v>523</v>
      </c>
      <c r="AR66" s="226">
        <f t="shared" si="3"/>
        <v>0</v>
      </c>
      <c r="AS66" s="226">
        <f t="shared" si="4"/>
        <v>523</v>
      </c>
      <c r="AT66" s="227">
        <f t="shared" si="5"/>
        <v>18.37552581</v>
      </c>
    </row>
    <row r="67" ht="15.75" customHeight="1">
      <c r="A67" s="228" t="s">
        <v>23</v>
      </c>
      <c r="B67" s="229">
        <f t="shared" si="6"/>
        <v>44992</v>
      </c>
      <c r="C67" s="230">
        <v>3.0</v>
      </c>
      <c r="D67" s="230" t="s">
        <v>34</v>
      </c>
      <c r="E67" s="231" t="s">
        <v>41</v>
      </c>
      <c r="F67" s="232">
        <v>0.0</v>
      </c>
      <c r="G67" s="3"/>
      <c r="H67" s="232">
        <v>0.0</v>
      </c>
      <c r="I67" s="3"/>
      <c r="J67" s="232">
        <v>0.0</v>
      </c>
      <c r="K67" s="3"/>
      <c r="L67" s="232">
        <v>0.0</v>
      </c>
      <c r="M67" s="3"/>
      <c r="N67" s="232">
        <v>260.0</v>
      </c>
      <c r="O67" s="3"/>
      <c r="P67" s="232">
        <v>260.0</v>
      </c>
      <c r="Q67" s="3"/>
      <c r="R67" s="232">
        <v>0.0</v>
      </c>
      <c r="S67" s="3"/>
      <c r="T67" s="232">
        <v>0.0</v>
      </c>
      <c r="U67" s="3"/>
      <c r="V67" s="232">
        <v>0.0</v>
      </c>
      <c r="W67" s="3"/>
      <c r="X67" s="232"/>
      <c r="Y67" s="3"/>
      <c r="Z67" s="232">
        <v>3.0</v>
      </c>
      <c r="AA67" s="3"/>
      <c r="AB67" s="232">
        <v>0.0</v>
      </c>
      <c r="AC67" s="3"/>
      <c r="AD67" s="232">
        <v>0.0</v>
      </c>
      <c r="AE67" s="3"/>
      <c r="AF67" s="232">
        <v>0.0</v>
      </c>
      <c r="AG67" s="3"/>
      <c r="AH67" s="232">
        <v>0.0</v>
      </c>
      <c r="AI67" s="3"/>
      <c r="AJ67" s="232">
        <v>0.0</v>
      </c>
      <c r="AK67" s="3"/>
      <c r="AL67" s="232">
        <v>0.0</v>
      </c>
      <c r="AM67" s="3"/>
      <c r="AN67" s="232">
        <v>0.0</v>
      </c>
      <c r="AO67" s="3"/>
      <c r="AP67" s="233">
        <f t="shared" si="1"/>
        <v>9610.4</v>
      </c>
      <c r="AQ67" s="234">
        <f t="shared" si="2"/>
        <v>523</v>
      </c>
      <c r="AR67" s="234">
        <f t="shared" si="3"/>
        <v>0</v>
      </c>
      <c r="AS67" s="234">
        <f t="shared" si="4"/>
        <v>523</v>
      </c>
      <c r="AT67" s="235">
        <f t="shared" si="5"/>
        <v>18.37552581</v>
      </c>
    </row>
    <row r="68" ht="15.75" customHeight="1">
      <c r="A68" s="228" t="s">
        <v>24</v>
      </c>
      <c r="B68" s="229">
        <f t="shared" si="6"/>
        <v>44993</v>
      </c>
      <c r="C68" s="230">
        <v>3.0</v>
      </c>
      <c r="D68" s="230" t="s">
        <v>34</v>
      </c>
      <c r="E68" s="231" t="s">
        <v>41</v>
      </c>
      <c r="F68" s="232">
        <v>0.0</v>
      </c>
      <c r="G68" s="3"/>
      <c r="H68" s="232">
        <v>0.0</v>
      </c>
      <c r="I68" s="3"/>
      <c r="J68" s="232">
        <v>0.0</v>
      </c>
      <c r="K68" s="3"/>
      <c r="L68" s="232">
        <v>0.0</v>
      </c>
      <c r="M68" s="3"/>
      <c r="N68" s="232">
        <v>260.0</v>
      </c>
      <c r="O68" s="3"/>
      <c r="P68" s="232">
        <v>260.0</v>
      </c>
      <c r="Q68" s="3"/>
      <c r="R68" s="232">
        <v>0.0</v>
      </c>
      <c r="S68" s="3"/>
      <c r="T68" s="232">
        <v>0.0</v>
      </c>
      <c r="U68" s="3"/>
      <c r="V68" s="232">
        <v>0.0</v>
      </c>
      <c r="W68" s="3"/>
      <c r="X68" s="232"/>
      <c r="Y68" s="3"/>
      <c r="Z68" s="232">
        <v>4.0</v>
      </c>
      <c r="AA68" s="3"/>
      <c r="AB68" s="232">
        <v>0.0</v>
      </c>
      <c r="AC68" s="3"/>
      <c r="AD68" s="232">
        <v>0.0</v>
      </c>
      <c r="AE68" s="3"/>
      <c r="AF68" s="232">
        <v>0.0</v>
      </c>
      <c r="AG68" s="3"/>
      <c r="AH68" s="232">
        <v>0.0</v>
      </c>
      <c r="AI68" s="3"/>
      <c r="AJ68" s="232">
        <v>0.0</v>
      </c>
      <c r="AK68" s="3"/>
      <c r="AL68" s="232">
        <v>0.0</v>
      </c>
      <c r="AM68" s="3"/>
      <c r="AN68" s="232">
        <v>0.0</v>
      </c>
      <c r="AO68" s="3"/>
      <c r="AP68" s="233">
        <f t="shared" si="1"/>
        <v>9690.4</v>
      </c>
      <c r="AQ68" s="234">
        <f t="shared" si="2"/>
        <v>524</v>
      </c>
      <c r="AR68" s="234">
        <f t="shared" si="3"/>
        <v>0</v>
      </c>
      <c r="AS68" s="234">
        <f t="shared" si="4"/>
        <v>524</v>
      </c>
      <c r="AT68" s="235">
        <f t="shared" si="5"/>
        <v>18.49312977</v>
      </c>
    </row>
    <row r="69" ht="15.75" customHeight="1">
      <c r="A69" s="228" t="s">
        <v>25</v>
      </c>
      <c r="B69" s="229">
        <f t="shared" si="6"/>
        <v>44994</v>
      </c>
      <c r="C69" s="230">
        <v>3.0</v>
      </c>
      <c r="D69" s="230" t="s">
        <v>34</v>
      </c>
      <c r="E69" s="231" t="s">
        <v>41</v>
      </c>
      <c r="F69" s="232">
        <v>0.0</v>
      </c>
      <c r="G69" s="3"/>
      <c r="H69" s="232">
        <v>0.0</v>
      </c>
      <c r="I69" s="3"/>
      <c r="J69" s="232">
        <v>0.0</v>
      </c>
      <c r="K69" s="3"/>
      <c r="L69" s="232">
        <v>0.0</v>
      </c>
      <c r="M69" s="3"/>
      <c r="N69" s="232">
        <v>260.0</v>
      </c>
      <c r="O69" s="3"/>
      <c r="P69" s="232">
        <v>260.0</v>
      </c>
      <c r="Q69" s="3"/>
      <c r="R69" s="232">
        <v>0.0</v>
      </c>
      <c r="S69" s="3"/>
      <c r="T69" s="232">
        <v>0.0</v>
      </c>
      <c r="U69" s="3"/>
      <c r="V69" s="232">
        <v>0.0</v>
      </c>
      <c r="W69" s="3"/>
      <c r="X69" s="232"/>
      <c r="Y69" s="3"/>
      <c r="Z69" s="232">
        <v>3.0</v>
      </c>
      <c r="AA69" s="3"/>
      <c r="AB69" s="232">
        <v>0.0</v>
      </c>
      <c r="AC69" s="3"/>
      <c r="AD69" s="232">
        <v>0.0</v>
      </c>
      <c r="AE69" s="3"/>
      <c r="AF69" s="232">
        <v>0.0</v>
      </c>
      <c r="AG69" s="3"/>
      <c r="AH69" s="232">
        <v>0.0</v>
      </c>
      <c r="AI69" s="3"/>
      <c r="AJ69" s="232">
        <v>0.0</v>
      </c>
      <c r="AK69" s="3"/>
      <c r="AL69" s="232">
        <v>0.0</v>
      </c>
      <c r="AM69" s="3"/>
      <c r="AN69" s="232">
        <v>0.0</v>
      </c>
      <c r="AO69" s="3"/>
      <c r="AP69" s="233">
        <f t="shared" si="1"/>
        <v>9610.4</v>
      </c>
      <c r="AQ69" s="234">
        <f t="shared" si="2"/>
        <v>523</v>
      </c>
      <c r="AR69" s="234">
        <f t="shared" si="3"/>
        <v>0</v>
      </c>
      <c r="AS69" s="234">
        <f t="shared" si="4"/>
        <v>523</v>
      </c>
      <c r="AT69" s="235">
        <f t="shared" si="5"/>
        <v>18.37552581</v>
      </c>
    </row>
    <row r="70" ht="15.75" customHeight="1">
      <c r="A70" s="228" t="s">
        <v>26</v>
      </c>
      <c r="B70" s="229">
        <f t="shared" si="6"/>
        <v>44995</v>
      </c>
      <c r="C70" s="230">
        <v>3.0</v>
      </c>
      <c r="D70" s="230" t="s">
        <v>34</v>
      </c>
      <c r="E70" s="231" t="s">
        <v>41</v>
      </c>
      <c r="F70" s="232">
        <v>0.0</v>
      </c>
      <c r="G70" s="3"/>
      <c r="H70" s="232">
        <v>0.0</v>
      </c>
      <c r="I70" s="3"/>
      <c r="J70" s="232">
        <v>0.0</v>
      </c>
      <c r="K70" s="3"/>
      <c r="L70" s="232">
        <v>0.0</v>
      </c>
      <c r="M70" s="3"/>
      <c r="N70" s="232">
        <v>260.0</v>
      </c>
      <c r="O70" s="3"/>
      <c r="P70" s="232">
        <v>260.0</v>
      </c>
      <c r="Q70" s="3"/>
      <c r="R70" s="232">
        <v>0.0</v>
      </c>
      <c r="S70" s="3"/>
      <c r="T70" s="232">
        <v>0.0</v>
      </c>
      <c r="U70" s="3"/>
      <c r="V70" s="232">
        <v>0.0</v>
      </c>
      <c r="W70" s="3"/>
      <c r="X70" s="232"/>
      <c r="Y70" s="3"/>
      <c r="Z70" s="232">
        <v>0.0</v>
      </c>
      <c r="AA70" s="3"/>
      <c r="AB70" s="232">
        <v>4.0</v>
      </c>
      <c r="AC70" s="3"/>
      <c r="AD70" s="232">
        <v>0.0</v>
      </c>
      <c r="AE70" s="3"/>
      <c r="AF70" s="232">
        <v>0.0</v>
      </c>
      <c r="AG70" s="3"/>
      <c r="AH70" s="232">
        <v>0.0</v>
      </c>
      <c r="AI70" s="3"/>
      <c r="AJ70" s="232">
        <v>0.0</v>
      </c>
      <c r="AK70" s="3"/>
      <c r="AL70" s="232">
        <v>0.0</v>
      </c>
      <c r="AM70" s="3"/>
      <c r="AN70" s="232">
        <v>0.0</v>
      </c>
      <c r="AO70" s="3"/>
      <c r="AP70" s="233">
        <f t="shared" si="1"/>
        <v>9870.4</v>
      </c>
      <c r="AQ70" s="234">
        <f t="shared" si="2"/>
        <v>524</v>
      </c>
      <c r="AR70" s="234">
        <f t="shared" si="3"/>
        <v>0</v>
      </c>
      <c r="AS70" s="234">
        <f t="shared" si="4"/>
        <v>524</v>
      </c>
      <c r="AT70" s="235">
        <f t="shared" si="5"/>
        <v>18.83664122</v>
      </c>
    </row>
    <row r="71" ht="15.75" customHeight="1">
      <c r="A71" s="228" t="s">
        <v>27</v>
      </c>
      <c r="B71" s="229">
        <f t="shared" si="6"/>
        <v>44996</v>
      </c>
      <c r="C71" s="230">
        <v>3.0</v>
      </c>
      <c r="D71" s="230" t="s">
        <v>34</v>
      </c>
      <c r="E71" s="231" t="s">
        <v>41</v>
      </c>
      <c r="F71" s="232">
        <v>0.0</v>
      </c>
      <c r="G71" s="3"/>
      <c r="H71" s="232">
        <v>0.0</v>
      </c>
      <c r="I71" s="3"/>
      <c r="J71" s="232">
        <v>0.0</v>
      </c>
      <c r="K71" s="3"/>
      <c r="L71" s="232">
        <v>0.0</v>
      </c>
      <c r="M71" s="3"/>
      <c r="N71" s="232">
        <v>260.0</v>
      </c>
      <c r="O71" s="3"/>
      <c r="P71" s="232">
        <v>260.0</v>
      </c>
      <c r="Q71" s="3"/>
      <c r="R71" s="232">
        <v>0.0</v>
      </c>
      <c r="S71" s="3"/>
      <c r="T71" s="232">
        <v>0.0</v>
      </c>
      <c r="U71" s="3"/>
      <c r="V71" s="232">
        <v>0.0</v>
      </c>
      <c r="W71" s="3"/>
      <c r="X71" s="232"/>
      <c r="Y71" s="3"/>
      <c r="Z71" s="232">
        <v>3.0</v>
      </c>
      <c r="AA71" s="3"/>
      <c r="AB71" s="232">
        <v>0.0</v>
      </c>
      <c r="AC71" s="3"/>
      <c r="AD71" s="232">
        <v>0.0</v>
      </c>
      <c r="AE71" s="3"/>
      <c r="AF71" s="232">
        <v>0.0</v>
      </c>
      <c r="AG71" s="3"/>
      <c r="AH71" s="232">
        <v>0.0</v>
      </c>
      <c r="AI71" s="3"/>
      <c r="AJ71" s="232">
        <v>0.0</v>
      </c>
      <c r="AK71" s="3"/>
      <c r="AL71" s="232">
        <v>0.0</v>
      </c>
      <c r="AM71" s="3"/>
      <c r="AN71" s="232">
        <v>0.0</v>
      </c>
      <c r="AO71" s="3"/>
      <c r="AP71" s="233">
        <f t="shared" si="1"/>
        <v>9610.4</v>
      </c>
      <c r="AQ71" s="234">
        <f t="shared" si="2"/>
        <v>523</v>
      </c>
      <c r="AR71" s="234">
        <f t="shared" si="3"/>
        <v>0</v>
      </c>
      <c r="AS71" s="234">
        <f t="shared" si="4"/>
        <v>523</v>
      </c>
      <c r="AT71" s="235">
        <f t="shared" si="5"/>
        <v>18.37552581</v>
      </c>
    </row>
    <row r="72" ht="15.75" customHeight="1">
      <c r="A72" s="241" t="s">
        <v>28</v>
      </c>
      <c r="B72" s="242">
        <f t="shared" si="6"/>
        <v>44997</v>
      </c>
      <c r="C72" s="243">
        <v>3.0</v>
      </c>
      <c r="D72" s="243" t="s">
        <v>34</v>
      </c>
      <c r="E72" s="244" t="s">
        <v>41</v>
      </c>
      <c r="F72" s="245">
        <v>0.0</v>
      </c>
      <c r="G72" s="207"/>
      <c r="H72" s="245">
        <v>0.0</v>
      </c>
      <c r="I72" s="207"/>
      <c r="J72" s="245">
        <v>0.0</v>
      </c>
      <c r="K72" s="207"/>
      <c r="L72" s="245">
        <v>0.0</v>
      </c>
      <c r="M72" s="207"/>
      <c r="N72" s="245">
        <v>260.0</v>
      </c>
      <c r="O72" s="207"/>
      <c r="P72" s="245">
        <v>260.0</v>
      </c>
      <c r="Q72" s="207"/>
      <c r="R72" s="232">
        <v>0.0</v>
      </c>
      <c r="S72" s="3"/>
      <c r="T72" s="232">
        <v>0.0</v>
      </c>
      <c r="U72" s="3"/>
      <c r="V72" s="232">
        <v>0.0</v>
      </c>
      <c r="W72" s="3"/>
      <c r="X72" s="237"/>
      <c r="Y72" s="73"/>
      <c r="Z72" s="245">
        <v>4.0</v>
      </c>
      <c r="AA72" s="207"/>
      <c r="AB72" s="245">
        <v>0.0</v>
      </c>
      <c r="AC72" s="207"/>
      <c r="AD72" s="245">
        <v>0.0</v>
      </c>
      <c r="AE72" s="207"/>
      <c r="AF72" s="245">
        <v>0.0</v>
      </c>
      <c r="AG72" s="207"/>
      <c r="AH72" s="245">
        <v>0.0</v>
      </c>
      <c r="AI72" s="207"/>
      <c r="AJ72" s="245">
        <v>0.0</v>
      </c>
      <c r="AK72" s="207"/>
      <c r="AL72" s="245">
        <v>0.0</v>
      </c>
      <c r="AM72" s="207"/>
      <c r="AN72" s="245">
        <v>0.0</v>
      </c>
      <c r="AO72" s="207"/>
      <c r="AP72" s="246">
        <f t="shared" si="1"/>
        <v>9690.4</v>
      </c>
      <c r="AQ72" s="247">
        <f t="shared" si="2"/>
        <v>524</v>
      </c>
      <c r="AR72" s="247">
        <f t="shared" si="3"/>
        <v>0</v>
      </c>
      <c r="AS72" s="247">
        <f t="shared" si="4"/>
        <v>524</v>
      </c>
      <c r="AT72" s="248">
        <f t="shared" si="5"/>
        <v>18.49312977</v>
      </c>
    </row>
    <row r="73" ht="15.75" customHeight="1">
      <c r="A73" s="249" t="s">
        <v>21</v>
      </c>
      <c r="B73" s="250">
        <f t="shared" si="6"/>
        <v>44998</v>
      </c>
      <c r="C73" s="251">
        <v>3.0</v>
      </c>
      <c r="D73" s="251" t="s">
        <v>36</v>
      </c>
      <c r="E73" s="252" t="s">
        <v>41</v>
      </c>
      <c r="F73" s="253">
        <v>0.0</v>
      </c>
      <c r="G73" s="190"/>
      <c r="H73" s="253">
        <v>0.0</v>
      </c>
      <c r="I73" s="190"/>
      <c r="J73" s="253">
        <v>0.0</v>
      </c>
      <c r="K73" s="190"/>
      <c r="L73" s="253">
        <v>0.0</v>
      </c>
      <c r="M73" s="190"/>
      <c r="N73" s="253">
        <v>260.0</v>
      </c>
      <c r="O73" s="190"/>
      <c r="P73" s="253">
        <v>260.0</v>
      </c>
      <c r="Q73" s="190"/>
      <c r="R73" s="253">
        <v>0.0</v>
      </c>
      <c r="S73" s="190"/>
      <c r="T73" s="253">
        <v>0.0</v>
      </c>
      <c r="U73" s="190"/>
      <c r="V73" s="253">
        <v>0.0</v>
      </c>
      <c r="W73" s="190"/>
      <c r="X73" s="253">
        <v>0.0</v>
      </c>
      <c r="Y73" s="190"/>
      <c r="Z73" s="253">
        <v>3.0</v>
      </c>
      <c r="AA73" s="190"/>
      <c r="AB73" s="253">
        <v>0.0</v>
      </c>
      <c r="AC73" s="190"/>
      <c r="AD73" s="253">
        <v>0.0</v>
      </c>
      <c r="AE73" s="190"/>
      <c r="AF73" s="253">
        <v>0.0</v>
      </c>
      <c r="AG73" s="190"/>
      <c r="AH73" s="253">
        <v>0.0</v>
      </c>
      <c r="AI73" s="190"/>
      <c r="AJ73" s="253">
        <v>0.0</v>
      </c>
      <c r="AK73" s="190"/>
      <c r="AL73" s="253">
        <v>0.0</v>
      </c>
      <c r="AM73" s="190"/>
      <c r="AN73" s="253">
        <v>0.0</v>
      </c>
      <c r="AO73" s="190"/>
      <c r="AP73" s="254">
        <f t="shared" si="1"/>
        <v>9610.4</v>
      </c>
      <c r="AQ73" s="255">
        <f t="shared" si="2"/>
        <v>523</v>
      </c>
      <c r="AR73" s="255">
        <f t="shared" si="3"/>
        <v>0</v>
      </c>
      <c r="AS73" s="255">
        <f t="shared" si="4"/>
        <v>523</v>
      </c>
      <c r="AT73" s="256">
        <f t="shared" si="5"/>
        <v>18.37552581</v>
      </c>
    </row>
    <row r="74" ht="15.75" customHeight="1">
      <c r="A74" s="257" t="s">
        <v>23</v>
      </c>
      <c r="B74" s="118">
        <f t="shared" si="6"/>
        <v>44999</v>
      </c>
      <c r="C74" s="119">
        <v>3.0</v>
      </c>
      <c r="D74" s="119" t="s">
        <v>36</v>
      </c>
      <c r="E74" s="120" t="s">
        <v>41</v>
      </c>
      <c r="F74" s="121">
        <v>0.0</v>
      </c>
      <c r="G74" s="3"/>
      <c r="H74" s="121">
        <v>0.0</v>
      </c>
      <c r="I74" s="3"/>
      <c r="J74" s="121">
        <v>0.0</v>
      </c>
      <c r="K74" s="3"/>
      <c r="L74" s="121">
        <v>0.0</v>
      </c>
      <c r="M74" s="3"/>
      <c r="N74" s="121">
        <v>260.0</v>
      </c>
      <c r="O74" s="3"/>
      <c r="P74" s="121">
        <v>275.0</v>
      </c>
      <c r="Q74" s="3"/>
      <c r="R74" s="121">
        <v>0.0</v>
      </c>
      <c r="S74" s="3"/>
      <c r="T74" s="121">
        <v>0.0</v>
      </c>
      <c r="U74" s="3"/>
      <c r="V74" s="121">
        <v>0.0</v>
      </c>
      <c r="W74" s="3"/>
      <c r="X74" s="121">
        <v>0.0</v>
      </c>
      <c r="Y74" s="3"/>
      <c r="Z74" s="121">
        <v>3.0</v>
      </c>
      <c r="AA74" s="3"/>
      <c r="AB74" s="121">
        <v>0.0</v>
      </c>
      <c r="AC74" s="3"/>
      <c r="AD74" s="121">
        <v>0.0</v>
      </c>
      <c r="AE74" s="3"/>
      <c r="AF74" s="121">
        <v>0.0</v>
      </c>
      <c r="AG74" s="3"/>
      <c r="AH74" s="121">
        <v>0.0</v>
      </c>
      <c r="AI74" s="3"/>
      <c r="AJ74" s="121">
        <v>0.0</v>
      </c>
      <c r="AK74" s="3"/>
      <c r="AL74" s="121">
        <v>0.0</v>
      </c>
      <c r="AM74" s="3"/>
      <c r="AN74" s="121">
        <v>0.0</v>
      </c>
      <c r="AO74" s="3"/>
      <c r="AP74" s="123">
        <f t="shared" si="1"/>
        <v>9906.5</v>
      </c>
      <c r="AQ74" s="124">
        <f t="shared" si="2"/>
        <v>538</v>
      </c>
      <c r="AR74" s="124">
        <f t="shared" si="3"/>
        <v>0</v>
      </c>
      <c r="AS74" s="124">
        <f t="shared" si="4"/>
        <v>538</v>
      </c>
      <c r="AT74" s="258">
        <f t="shared" si="5"/>
        <v>18.41356877</v>
      </c>
    </row>
    <row r="75" ht="15.75" customHeight="1">
      <c r="A75" s="257" t="s">
        <v>24</v>
      </c>
      <c r="B75" s="118">
        <f t="shared" si="6"/>
        <v>45000</v>
      </c>
      <c r="C75" s="119">
        <v>3.0</v>
      </c>
      <c r="D75" s="119" t="s">
        <v>36</v>
      </c>
      <c r="E75" s="120" t="s">
        <v>41</v>
      </c>
      <c r="F75" s="121">
        <v>0.0</v>
      </c>
      <c r="G75" s="3"/>
      <c r="H75" s="121">
        <v>0.0</v>
      </c>
      <c r="I75" s="3"/>
      <c r="J75" s="121">
        <v>0.0</v>
      </c>
      <c r="K75" s="3"/>
      <c r="L75" s="121">
        <v>0.0</v>
      </c>
      <c r="M75" s="3"/>
      <c r="N75" s="121">
        <v>260.0</v>
      </c>
      <c r="O75" s="3"/>
      <c r="P75" s="121">
        <v>275.0</v>
      </c>
      <c r="Q75" s="3"/>
      <c r="R75" s="121">
        <v>0.0</v>
      </c>
      <c r="S75" s="3"/>
      <c r="T75" s="121">
        <v>0.0</v>
      </c>
      <c r="U75" s="3"/>
      <c r="V75" s="121">
        <v>0.0</v>
      </c>
      <c r="W75" s="3"/>
      <c r="X75" s="121">
        <v>0.0</v>
      </c>
      <c r="Y75" s="3"/>
      <c r="Z75" s="121">
        <v>4.0</v>
      </c>
      <c r="AA75" s="3"/>
      <c r="AB75" s="121">
        <v>0.0</v>
      </c>
      <c r="AC75" s="3"/>
      <c r="AD75" s="121">
        <v>0.0</v>
      </c>
      <c r="AE75" s="3"/>
      <c r="AF75" s="121">
        <v>0.0</v>
      </c>
      <c r="AG75" s="3"/>
      <c r="AH75" s="121">
        <v>0.0</v>
      </c>
      <c r="AI75" s="3"/>
      <c r="AJ75" s="121">
        <v>0.0</v>
      </c>
      <c r="AK75" s="3"/>
      <c r="AL75" s="121">
        <v>0.0</v>
      </c>
      <c r="AM75" s="3"/>
      <c r="AN75" s="121">
        <v>0.0</v>
      </c>
      <c r="AO75" s="3"/>
      <c r="AP75" s="123">
        <f t="shared" si="1"/>
        <v>9986.5</v>
      </c>
      <c r="AQ75" s="124">
        <f t="shared" si="2"/>
        <v>539</v>
      </c>
      <c r="AR75" s="124">
        <f t="shared" si="3"/>
        <v>0</v>
      </c>
      <c r="AS75" s="124">
        <f t="shared" si="4"/>
        <v>539</v>
      </c>
      <c r="AT75" s="258">
        <f t="shared" si="5"/>
        <v>18.52782931</v>
      </c>
    </row>
    <row r="76" ht="15.75" customHeight="1">
      <c r="A76" s="257" t="s">
        <v>25</v>
      </c>
      <c r="B76" s="118">
        <f t="shared" si="6"/>
        <v>45001</v>
      </c>
      <c r="C76" s="119">
        <v>3.0</v>
      </c>
      <c r="D76" s="119" t="s">
        <v>36</v>
      </c>
      <c r="E76" s="120" t="s">
        <v>41</v>
      </c>
      <c r="F76" s="121">
        <v>0.0</v>
      </c>
      <c r="G76" s="3"/>
      <c r="H76" s="121">
        <v>0.0</v>
      </c>
      <c r="I76" s="3"/>
      <c r="J76" s="121">
        <v>0.0</v>
      </c>
      <c r="K76" s="3"/>
      <c r="L76" s="121">
        <v>0.0</v>
      </c>
      <c r="M76" s="3"/>
      <c r="N76" s="121">
        <v>260.0</v>
      </c>
      <c r="O76" s="3"/>
      <c r="P76" s="121">
        <v>275.0</v>
      </c>
      <c r="Q76" s="3"/>
      <c r="R76" s="121">
        <v>0.0</v>
      </c>
      <c r="S76" s="3"/>
      <c r="T76" s="121">
        <v>0.0</v>
      </c>
      <c r="U76" s="3"/>
      <c r="V76" s="121">
        <v>0.0</v>
      </c>
      <c r="W76" s="3"/>
      <c r="X76" s="121">
        <v>0.0</v>
      </c>
      <c r="Y76" s="3"/>
      <c r="Z76" s="121">
        <v>3.0</v>
      </c>
      <c r="AA76" s="3"/>
      <c r="AB76" s="121">
        <v>0.0</v>
      </c>
      <c r="AC76" s="3"/>
      <c r="AD76" s="121">
        <v>0.0</v>
      </c>
      <c r="AE76" s="3"/>
      <c r="AF76" s="121">
        <v>0.0</v>
      </c>
      <c r="AG76" s="3"/>
      <c r="AH76" s="121">
        <v>0.0</v>
      </c>
      <c r="AI76" s="3"/>
      <c r="AJ76" s="121">
        <v>0.0</v>
      </c>
      <c r="AK76" s="3"/>
      <c r="AL76" s="121">
        <v>0.0</v>
      </c>
      <c r="AM76" s="3"/>
      <c r="AN76" s="121">
        <v>0.0</v>
      </c>
      <c r="AO76" s="3"/>
      <c r="AP76" s="123">
        <f t="shared" si="1"/>
        <v>9906.5</v>
      </c>
      <c r="AQ76" s="124">
        <f t="shared" si="2"/>
        <v>538</v>
      </c>
      <c r="AR76" s="124">
        <f t="shared" si="3"/>
        <v>0</v>
      </c>
      <c r="AS76" s="124">
        <f t="shared" si="4"/>
        <v>538</v>
      </c>
      <c r="AT76" s="258">
        <f t="shared" si="5"/>
        <v>18.41356877</v>
      </c>
    </row>
    <row r="77" ht="15.75" customHeight="1">
      <c r="A77" s="257" t="s">
        <v>26</v>
      </c>
      <c r="B77" s="118">
        <f t="shared" si="6"/>
        <v>45002</v>
      </c>
      <c r="C77" s="119">
        <v>3.0</v>
      </c>
      <c r="D77" s="119" t="s">
        <v>36</v>
      </c>
      <c r="E77" s="120" t="s">
        <v>41</v>
      </c>
      <c r="F77" s="121">
        <v>0.0</v>
      </c>
      <c r="G77" s="3"/>
      <c r="H77" s="121">
        <v>0.0</v>
      </c>
      <c r="I77" s="3"/>
      <c r="J77" s="121">
        <v>0.0</v>
      </c>
      <c r="K77" s="3"/>
      <c r="L77" s="121">
        <v>0.0</v>
      </c>
      <c r="M77" s="3"/>
      <c r="N77" s="121">
        <v>0.0</v>
      </c>
      <c r="O77" s="3"/>
      <c r="P77" s="121">
        <v>0.0</v>
      </c>
      <c r="Q77" s="3"/>
      <c r="R77" s="121">
        <v>0.0</v>
      </c>
      <c r="S77" s="3"/>
      <c r="T77" s="121">
        <v>0.0</v>
      </c>
      <c r="U77" s="3"/>
      <c r="V77" s="121">
        <v>0.0</v>
      </c>
      <c r="W77" s="3"/>
      <c r="X77" s="121">
        <v>0.0</v>
      </c>
      <c r="Y77" s="3"/>
      <c r="Z77" s="121">
        <v>0.0</v>
      </c>
      <c r="AA77" s="3"/>
      <c r="AB77" s="121">
        <v>0.0</v>
      </c>
      <c r="AC77" s="3"/>
      <c r="AD77" s="121">
        <v>0.0</v>
      </c>
      <c r="AE77" s="3"/>
      <c r="AF77" s="121">
        <v>0.0</v>
      </c>
      <c r="AG77" s="3"/>
      <c r="AH77" s="121">
        <v>0.0</v>
      </c>
      <c r="AI77" s="3"/>
      <c r="AJ77" s="121">
        <v>0.0</v>
      </c>
      <c r="AK77" s="3"/>
      <c r="AL77" s="121">
        <v>0.0</v>
      </c>
      <c r="AM77" s="3"/>
      <c r="AN77" s="121">
        <v>0.0</v>
      </c>
      <c r="AO77" s="3"/>
      <c r="AP77" s="123">
        <f t="shared" si="1"/>
        <v>0</v>
      </c>
      <c r="AQ77" s="124">
        <f t="shared" si="2"/>
        <v>0</v>
      </c>
      <c r="AR77" s="124">
        <f t="shared" si="3"/>
        <v>0</v>
      </c>
      <c r="AS77" s="124">
        <f t="shared" si="4"/>
        <v>0</v>
      </c>
      <c r="AT77" s="258" t="str">
        <f t="shared" si="5"/>
        <v/>
      </c>
    </row>
    <row r="78" ht="15.75" customHeight="1">
      <c r="A78" s="257" t="s">
        <v>27</v>
      </c>
      <c r="B78" s="118">
        <f t="shared" si="6"/>
        <v>45003</v>
      </c>
      <c r="C78" s="119">
        <v>3.0</v>
      </c>
      <c r="D78" s="119" t="s">
        <v>36</v>
      </c>
      <c r="E78" s="120" t="s">
        <v>41</v>
      </c>
      <c r="F78" s="121">
        <v>0.0</v>
      </c>
      <c r="G78" s="3"/>
      <c r="H78" s="121">
        <v>0.0</v>
      </c>
      <c r="I78" s="3"/>
      <c r="J78" s="121">
        <v>0.0</v>
      </c>
      <c r="K78" s="3"/>
      <c r="L78" s="121">
        <v>0.0</v>
      </c>
      <c r="M78" s="3"/>
      <c r="N78" s="121">
        <v>260.0</v>
      </c>
      <c r="O78" s="3"/>
      <c r="P78" s="121">
        <v>275.0</v>
      </c>
      <c r="Q78" s="3"/>
      <c r="R78" s="121">
        <v>0.0</v>
      </c>
      <c r="S78" s="3"/>
      <c r="T78" s="121">
        <v>0.0</v>
      </c>
      <c r="U78" s="3"/>
      <c r="V78" s="121">
        <v>0.0</v>
      </c>
      <c r="W78" s="3"/>
      <c r="X78" s="121">
        <v>0.0</v>
      </c>
      <c r="Y78" s="3"/>
      <c r="Z78" s="121">
        <v>4.0</v>
      </c>
      <c r="AA78" s="3"/>
      <c r="AB78" s="121">
        <v>0.0</v>
      </c>
      <c r="AC78" s="3"/>
      <c r="AD78" s="121">
        <v>0.0</v>
      </c>
      <c r="AE78" s="3"/>
      <c r="AF78" s="121">
        <v>0.0</v>
      </c>
      <c r="AG78" s="3"/>
      <c r="AH78" s="121">
        <v>0.0</v>
      </c>
      <c r="AI78" s="3"/>
      <c r="AJ78" s="121">
        <v>0.0</v>
      </c>
      <c r="AK78" s="3"/>
      <c r="AL78" s="121">
        <v>0.0</v>
      </c>
      <c r="AM78" s="3"/>
      <c r="AN78" s="121">
        <v>0.0</v>
      </c>
      <c r="AO78" s="3"/>
      <c r="AP78" s="123">
        <f t="shared" si="1"/>
        <v>9986.5</v>
      </c>
      <c r="AQ78" s="124">
        <f t="shared" si="2"/>
        <v>539</v>
      </c>
      <c r="AR78" s="124">
        <f t="shared" si="3"/>
        <v>0</v>
      </c>
      <c r="AS78" s="124">
        <f t="shared" si="4"/>
        <v>539</v>
      </c>
      <c r="AT78" s="258">
        <f t="shared" si="5"/>
        <v>18.52782931</v>
      </c>
    </row>
    <row r="79" ht="15.75" customHeight="1">
      <c r="A79" s="257" t="s">
        <v>28</v>
      </c>
      <c r="B79" s="118">
        <f t="shared" si="6"/>
        <v>45004</v>
      </c>
      <c r="C79" s="119">
        <v>3.0</v>
      </c>
      <c r="D79" s="119" t="s">
        <v>36</v>
      </c>
      <c r="E79" s="259" t="s">
        <v>41</v>
      </c>
      <c r="F79" s="182">
        <v>0.0</v>
      </c>
      <c r="G79" s="73"/>
      <c r="H79" s="182">
        <v>0.0</v>
      </c>
      <c r="I79" s="73"/>
      <c r="J79" s="182">
        <v>0.0</v>
      </c>
      <c r="K79" s="73"/>
      <c r="L79" s="182">
        <v>0.0</v>
      </c>
      <c r="M79" s="73"/>
      <c r="N79" s="182">
        <v>260.0</v>
      </c>
      <c r="O79" s="73"/>
      <c r="P79" s="182">
        <v>275.0</v>
      </c>
      <c r="Q79" s="73"/>
      <c r="R79" s="182">
        <v>0.0</v>
      </c>
      <c r="S79" s="73"/>
      <c r="T79" s="182">
        <v>0.0</v>
      </c>
      <c r="U79" s="73"/>
      <c r="V79" s="182">
        <v>0.0</v>
      </c>
      <c r="W79" s="73"/>
      <c r="X79" s="260">
        <v>0.0</v>
      </c>
      <c r="Y79" s="207"/>
      <c r="Z79" s="182">
        <v>3.0</v>
      </c>
      <c r="AA79" s="73"/>
      <c r="AB79" s="182">
        <v>0.0</v>
      </c>
      <c r="AC79" s="73"/>
      <c r="AD79" s="182">
        <v>0.0</v>
      </c>
      <c r="AE79" s="73"/>
      <c r="AF79" s="182">
        <v>0.0</v>
      </c>
      <c r="AG79" s="73"/>
      <c r="AH79" s="182">
        <v>0.0</v>
      </c>
      <c r="AI79" s="73"/>
      <c r="AJ79" s="182">
        <v>0.0</v>
      </c>
      <c r="AK79" s="73"/>
      <c r="AL79" s="182">
        <v>0.0</v>
      </c>
      <c r="AM79" s="73"/>
      <c r="AN79" s="182">
        <v>0.0</v>
      </c>
      <c r="AO79" s="73"/>
      <c r="AP79" s="183">
        <f t="shared" si="1"/>
        <v>9906.5</v>
      </c>
      <c r="AQ79" s="181">
        <f t="shared" si="2"/>
        <v>538</v>
      </c>
      <c r="AR79" s="181">
        <f t="shared" si="3"/>
        <v>0</v>
      </c>
      <c r="AS79" s="181">
        <f t="shared" si="4"/>
        <v>538</v>
      </c>
      <c r="AT79" s="261">
        <f t="shared" si="5"/>
        <v>18.41356877</v>
      </c>
    </row>
    <row r="80" ht="15.75" customHeight="1">
      <c r="A80" s="262" t="s">
        <v>21</v>
      </c>
      <c r="B80" s="263">
        <f t="shared" si="6"/>
        <v>45005</v>
      </c>
      <c r="C80" s="264">
        <v>3.0</v>
      </c>
      <c r="D80" s="264" t="s">
        <v>37</v>
      </c>
      <c r="E80" s="265" t="s">
        <v>41</v>
      </c>
      <c r="F80" s="266">
        <v>0.0</v>
      </c>
      <c r="G80" s="84"/>
      <c r="H80" s="266">
        <v>0.0</v>
      </c>
      <c r="I80" s="84"/>
      <c r="J80" s="266">
        <v>0.0</v>
      </c>
      <c r="K80" s="84"/>
      <c r="L80" s="266">
        <v>0.0</v>
      </c>
      <c r="M80" s="84"/>
      <c r="N80" s="266">
        <v>275.0</v>
      </c>
      <c r="O80" s="84"/>
      <c r="P80" s="267">
        <v>220.0</v>
      </c>
      <c r="Q80" s="84"/>
      <c r="R80" s="266">
        <v>0.0</v>
      </c>
      <c r="S80" s="84"/>
      <c r="T80" s="266">
        <v>0.0</v>
      </c>
      <c r="U80" s="84"/>
      <c r="V80" s="266">
        <v>0.0</v>
      </c>
      <c r="W80" s="84"/>
      <c r="X80" s="268">
        <v>80.0</v>
      </c>
      <c r="Y80" s="58"/>
      <c r="Z80" s="266">
        <v>0.0</v>
      </c>
      <c r="AA80" s="84"/>
      <c r="AB80" s="266">
        <v>4.0</v>
      </c>
      <c r="AC80" s="84"/>
      <c r="AD80" s="266">
        <v>0.0</v>
      </c>
      <c r="AE80" s="84"/>
      <c r="AF80" s="266">
        <v>0.0</v>
      </c>
      <c r="AG80" s="84"/>
      <c r="AH80" s="266">
        <v>0.0</v>
      </c>
      <c r="AI80" s="84"/>
      <c r="AJ80" s="266">
        <v>0.0</v>
      </c>
      <c r="AK80" s="84"/>
      <c r="AL80" s="266">
        <v>0.0</v>
      </c>
      <c r="AM80" s="84"/>
      <c r="AN80" s="266">
        <v>0.0</v>
      </c>
      <c r="AO80" s="84"/>
      <c r="AP80" s="269">
        <f t="shared" si="1"/>
        <v>10904.5</v>
      </c>
      <c r="AQ80" s="226">
        <f t="shared" ref="AQ80:AQ86" si="7">SUM(N80:Y80)</f>
        <v>575</v>
      </c>
      <c r="AR80" s="270">
        <f t="shared" si="3"/>
        <v>0</v>
      </c>
      <c r="AS80" s="270">
        <f t="shared" si="4"/>
        <v>579</v>
      </c>
      <c r="AT80" s="271">
        <f t="shared" si="5"/>
        <v>18.83333333</v>
      </c>
    </row>
    <row r="81" ht="15.75" customHeight="1">
      <c r="A81" s="272" t="s">
        <v>23</v>
      </c>
      <c r="B81" s="229">
        <f t="shared" si="6"/>
        <v>45006</v>
      </c>
      <c r="C81" s="230">
        <v>3.0</v>
      </c>
      <c r="D81" s="230" t="s">
        <v>37</v>
      </c>
      <c r="E81" s="231" t="s">
        <v>41</v>
      </c>
      <c r="F81" s="232">
        <v>0.0</v>
      </c>
      <c r="G81" s="3"/>
      <c r="H81" s="232">
        <v>0.0</v>
      </c>
      <c r="I81" s="3"/>
      <c r="J81" s="232">
        <v>0.0</v>
      </c>
      <c r="K81" s="3"/>
      <c r="L81" s="232">
        <v>0.0</v>
      </c>
      <c r="M81" s="3"/>
      <c r="N81" s="232">
        <v>275.0</v>
      </c>
      <c r="O81" s="3"/>
      <c r="P81" s="273">
        <v>220.0</v>
      </c>
      <c r="Q81" s="3"/>
      <c r="R81" s="232">
        <v>0.0</v>
      </c>
      <c r="S81" s="3"/>
      <c r="T81" s="232">
        <v>0.0</v>
      </c>
      <c r="U81" s="3"/>
      <c r="V81" s="232">
        <v>0.0</v>
      </c>
      <c r="W81" s="3"/>
      <c r="X81" s="232">
        <v>80.0</v>
      </c>
      <c r="Y81" s="3"/>
      <c r="Z81" s="232">
        <v>3.0</v>
      </c>
      <c r="AA81" s="3"/>
      <c r="AB81" s="232">
        <v>0.0</v>
      </c>
      <c r="AC81" s="3"/>
      <c r="AD81" s="232">
        <v>0.0</v>
      </c>
      <c r="AE81" s="3"/>
      <c r="AF81" s="232">
        <v>0.0</v>
      </c>
      <c r="AG81" s="3"/>
      <c r="AH81" s="232">
        <v>0.0</v>
      </c>
      <c r="AI81" s="3"/>
      <c r="AJ81" s="232">
        <v>0.0</v>
      </c>
      <c r="AK81" s="3"/>
      <c r="AL81" s="232">
        <v>0.0</v>
      </c>
      <c r="AM81" s="3"/>
      <c r="AN81" s="232">
        <v>0.0</v>
      </c>
      <c r="AO81" s="3"/>
      <c r="AP81" s="233">
        <f t="shared" si="1"/>
        <v>10644.5</v>
      </c>
      <c r="AQ81" s="234">
        <f t="shared" si="7"/>
        <v>575</v>
      </c>
      <c r="AR81" s="234">
        <f t="shared" si="3"/>
        <v>0</v>
      </c>
      <c r="AS81" s="234">
        <f t="shared" si="4"/>
        <v>578</v>
      </c>
      <c r="AT81" s="274">
        <f t="shared" si="5"/>
        <v>18.41608997</v>
      </c>
    </row>
    <row r="82" ht="15.75" customHeight="1">
      <c r="A82" s="272" t="s">
        <v>24</v>
      </c>
      <c r="B82" s="229">
        <f t="shared" si="6"/>
        <v>45007</v>
      </c>
      <c r="C82" s="230">
        <v>3.0</v>
      </c>
      <c r="D82" s="230" t="s">
        <v>37</v>
      </c>
      <c r="E82" s="231" t="s">
        <v>41</v>
      </c>
      <c r="F82" s="232">
        <v>0.0</v>
      </c>
      <c r="G82" s="3"/>
      <c r="H82" s="232">
        <v>0.0</v>
      </c>
      <c r="I82" s="3"/>
      <c r="J82" s="232">
        <v>0.0</v>
      </c>
      <c r="K82" s="3"/>
      <c r="L82" s="232">
        <v>0.0</v>
      </c>
      <c r="M82" s="3"/>
      <c r="N82" s="232">
        <v>275.0</v>
      </c>
      <c r="O82" s="3"/>
      <c r="P82" s="273">
        <v>220.0</v>
      </c>
      <c r="Q82" s="3"/>
      <c r="R82" s="232">
        <v>0.0</v>
      </c>
      <c r="S82" s="3"/>
      <c r="T82" s="232">
        <v>0.0</v>
      </c>
      <c r="U82" s="3"/>
      <c r="V82" s="232">
        <v>0.0</v>
      </c>
      <c r="W82" s="3"/>
      <c r="X82" s="232">
        <v>80.0</v>
      </c>
      <c r="Y82" s="3"/>
      <c r="Z82" s="232">
        <v>4.0</v>
      </c>
      <c r="AA82" s="3"/>
      <c r="AB82" s="232">
        <v>0.0</v>
      </c>
      <c r="AC82" s="3"/>
      <c r="AD82" s="232">
        <v>0.0</v>
      </c>
      <c r="AE82" s="3"/>
      <c r="AF82" s="232">
        <v>0.0</v>
      </c>
      <c r="AG82" s="3"/>
      <c r="AH82" s="232">
        <v>0.0</v>
      </c>
      <c r="AI82" s="3"/>
      <c r="AJ82" s="232">
        <v>0.0</v>
      </c>
      <c r="AK82" s="3"/>
      <c r="AL82" s="232">
        <v>0.0</v>
      </c>
      <c r="AM82" s="3"/>
      <c r="AN82" s="232">
        <v>0.0</v>
      </c>
      <c r="AO82" s="3"/>
      <c r="AP82" s="233">
        <f t="shared" si="1"/>
        <v>10724.5</v>
      </c>
      <c r="AQ82" s="234">
        <f t="shared" si="7"/>
        <v>575</v>
      </c>
      <c r="AR82" s="234">
        <f t="shared" si="3"/>
        <v>0</v>
      </c>
      <c r="AS82" s="234">
        <f t="shared" si="4"/>
        <v>579</v>
      </c>
      <c r="AT82" s="274">
        <f t="shared" si="5"/>
        <v>18.5224525</v>
      </c>
    </row>
    <row r="83" ht="15.75" customHeight="1">
      <c r="A83" s="272" t="s">
        <v>25</v>
      </c>
      <c r="B83" s="229">
        <f t="shared" si="6"/>
        <v>45008</v>
      </c>
      <c r="C83" s="230">
        <v>3.0</v>
      </c>
      <c r="D83" s="230" t="s">
        <v>37</v>
      </c>
      <c r="E83" s="231" t="s">
        <v>41</v>
      </c>
      <c r="F83" s="232">
        <v>0.0</v>
      </c>
      <c r="G83" s="3"/>
      <c r="H83" s="232">
        <v>0.0</v>
      </c>
      <c r="I83" s="3"/>
      <c r="J83" s="232">
        <v>0.0</v>
      </c>
      <c r="K83" s="3"/>
      <c r="L83" s="232">
        <v>0.0</v>
      </c>
      <c r="M83" s="3"/>
      <c r="N83" s="232">
        <v>275.0</v>
      </c>
      <c r="O83" s="3"/>
      <c r="P83" s="273">
        <v>220.0</v>
      </c>
      <c r="Q83" s="3"/>
      <c r="R83" s="232">
        <v>0.0</v>
      </c>
      <c r="S83" s="3"/>
      <c r="T83" s="232">
        <v>0.0</v>
      </c>
      <c r="U83" s="3"/>
      <c r="V83" s="232">
        <v>0.0</v>
      </c>
      <c r="W83" s="3"/>
      <c r="X83" s="232">
        <v>80.0</v>
      </c>
      <c r="Y83" s="3"/>
      <c r="Z83" s="232">
        <v>3.0</v>
      </c>
      <c r="AA83" s="3"/>
      <c r="AB83" s="232">
        <v>0.0</v>
      </c>
      <c r="AC83" s="3"/>
      <c r="AD83" s="232">
        <v>0.0</v>
      </c>
      <c r="AE83" s="3"/>
      <c r="AF83" s="232">
        <v>0.0</v>
      </c>
      <c r="AG83" s="3"/>
      <c r="AH83" s="232">
        <v>0.0</v>
      </c>
      <c r="AI83" s="3"/>
      <c r="AJ83" s="232">
        <v>0.0</v>
      </c>
      <c r="AK83" s="3"/>
      <c r="AL83" s="232">
        <v>0.0</v>
      </c>
      <c r="AM83" s="3"/>
      <c r="AN83" s="232">
        <v>0.0</v>
      </c>
      <c r="AO83" s="3"/>
      <c r="AP83" s="233">
        <f t="shared" si="1"/>
        <v>10644.5</v>
      </c>
      <c r="AQ83" s="234">
        <f t="shared" si="7"/>
        <v>575</v>
      </c>
      <c r="AR83" s="234">
        <f t="shared" si="3"/>
        <v>0</v>
      </c>
      <c r="AS83" s="234">
        <f t="shared" si="4"/>
        <v>578</v>
      </c>
      <c r="AT83" s="274">
        <f t="shared" si="5"/>
        <v>18.41608997</v>
      </c>
    </row>
    <row r="84" ht="15.75" customHeight="1">
      <c r="A84" s="272" t="s">
        <v>26</v>
      </c>
      <c r="B84" s="229">
        <f t="shared" si="6"/>
        <v>45009</v>
      </c>
      <c r="C84" s="230">
        <v>3.0</v>
      </c>
      <c r="D84" s="230" t="s">
        <v>37</v>
      </c>
      <c r="E84" s="231" t="s">
        <v>41</v>
      </c>
      <c r="F84" s="232">
        <v>0.0</v>
      </c>
      <c r="G84" s="3"/>
      <c r="H84" s="232">
        <v>0.0</v>
      </c>
      <c r="I84" s="3"/>
      <c r="J84" s="232">
        <v>0.0</v>
      </c>
      <c r="K84" s="3"/>
      <c r="L84" s="232">
        <v>0.0</v>
      </c>
      <c r="M84" s="3"/>
      <c r="N84" s="232">
        <v>275.0</v>
      </c>
      <c r="O84" s="3"/>
      <c r="P84" s="273">
        <v>220.0</v>
      </c>
      <c r="Q84" s="3"/>
      <c r="R84" s="232">
        <v>0.0</v>
      </c>
      <c r="S84" s="3"/>
      <c r="T84" s="232">
        <v>0.0</v>
      </c>
      <c r="U84" s="3"/>
      <c r="V84" s="232">
        <v>0.0</v>
      </c>
      <c r="W84" s="3"/>
      <c r="X84" s="232">
        <v>80.0</v>
      </c>
      <c r="Y84" s="3"/>
      <c r="Z84" s="232">
        <v>3.0</v>
      </c>
      <c r="AA84" s="3"/>
      <c r="AB84" s="232">
        <v>0.0</v>
      </c>
      <c r="AC84" s="3"/>
      <c r="AD84" s="232">
        <v>0.0</v>
      </c>
      <c r="AE84" s="3"/>
      <c r="AF84" s="232">
        <v>0.0</v>
      </c>
      <c r="AG84" s="3"/>
      <c r="AH84" s="232">
        <v>0.0</v>
      </c>
      <c r="AI84" s="3"/>
      <c r="AJ84" s="232">
        <v>0.0</v>
      </c>
      <c r="AK84" s="3"/>
      <c r="AL84" s="232">
        <v>0.0</v>
      </c>
      <c r="AM84" s="3"/>
      <c r="AN84" s="232">
        <v>0.0</v>
      </c>
      <c r="AO84" s="3"/>
      <c r="AP84" s="233">
        <f t="shared" si="1"/>
        <v>10644.5</v>
      </c>
      <c r="AQ84" s="234">
        <f t="shared" si="7"/>
        <v>575</v>
      </c>
      <c r="AR84" s="234">
        <f t="shared" si="3"/>
        <v>0</v>
      </c>
      <c r="AS84" s="234">
        <f t="shared" si="4"/>
        <v>578</v>
      </c>
      <c r="AT84" s="274">
        <f t="shared" si="5"/>
        <v>18.41608997</v>
      </c>
    </row>
    <row r="85" ht="15.75" customHeight="1">
      <c r="A85" s="272" t="s">
        <v>27</v>
      </c>
      <c r="B85" s="229">
        <f t="shared" si="6"/>
        <v>45010</v>
      </c>
      <c r="C85" s="230">
        <v>3.0</v>
      </c>
      <c r="D85" s="230" t="s">
        <v>37</v>
      </c>
      <c r="E85" s="231" t="s">
        <v>41</v>
      </c>
      <c r="F85" s="232">
        <v>0.0</v>
      </c>
      <c r="G85" s="3"/>
      <c r="H85" s="232">
        <v>0.0</v>
      </c>
      <c r="I85" s="3"/>
      <c r="J85" s="232">
        <v>0.0</v>
      </c>
      <c r="K85" s="3"/>
      <c r="L85" s="232">
        <v>0.0</v>
      </c>
      <c r="M85" s="3"/>
      <c r="N85" s="232">
        <v>275.0</v>
      </c>
      <c r="O85" s="3"/>
      <c r="P85" s="273">
        <v>300.0</v>
      </c>
      <c r="Q85" s="3"/>
      <c r="R85" s="232">
        <v>0.0</v>
      </c>
      <c r="S85" s="3"/>
      <c r="T85" s="232">
        <v>0.0</v>
      </c>
      <c r="U85" s="3"/>
      <c r="V85" s="232">
        <v>0.0</v>
      </c>
      <c r="W85" s="3"/>
      <c r="X85" s="232">
        <v>0.0</v>
      </c>
      <c r="Y85" s="3"/>
      <c r="Z85" s="232">
        <v>3.0</v>
      </c>
      <c r="AA85" s="3"/>
      <c r="AB85" s="232">
        <v>0.0</v>
      </c>
      <c r="AC85" s="3"/>
      <c r="AD85" s="232">
        <v>0.0</v>
      </c>
      <c r="AE85" s="3"/>
      <c r="AF85" s="232">
        <v>0.0</v>
      </c>
      <c r="AG85" s="3"/>
      <c r="AH85" s="232">
        <v>0.0</v>
      </c>
      <c r="AI85" s="3"/>
      <c r="AJ85" s="232">
        <v>0.0</v>
      </c>
      <c r="AK85" s="3"/>
      <c r="AL85" s="232">
        <v>0.0</v>
      </c>
      <c r="AM85" s="3"/>
      <c r="AN85" s="232">
        <v>0.0</v>
      </c>
      <c r="AO85" s="3"/>
      <c r="AP85" s="233">
        <f t="shared" si="1"/>
        <v>10644.5</v>
      </c>
      <c r="AQ85" s="234">
        <f t="shared" si="7"/>
        <v>575</v>
      </c>
      <c r="AR85" s="234">
        <f t="shared" si="3"/>
        <v>0</v>
      </c>
      <c r="AS85" s="234">
        <f t="shared" si="4"/>
        <v>578</v>
      </c>
      <c r="AT85" s="274">
        <f t="shared" si="5"/>
        <v>18.41608997</v>
      </c>
    </row>
    <row r="86" ht="15.75" customHeight="1">
      <c r="A86" s="272" t="s">
        <v>28</v>
      </c>
      <c r="B86" s="229">
        <f t="shared" si="6"/>
        <v>45011</v>
      </c>
      <c r="C86" s="230">
        <v>3.0</v>
      </c>
      <c r="D86" s="230" t="s">
        <v>37</v>
      </c>
      <c r="E86" s="236" t="s">
        <v>41</v>
      </c>
      <c r="F86" s="237">
        <v>0.0</v>
      </c>
      <c r="G86" s="73"/>
      <c r="H86" s="237">
        <v>0.0</v>
      </c>
      <c r="I86" s="73"/>
      <c r="J86" s="237">
        <v>0.0</v>
      </c>
      <c r="K86" s="73"/>
      <c r="L86" s="237">
        <v>0.0</v>
      </c>
      <c r="M86" s="73"/>
      <c r="N86" s="237">
        <v>275.0</v>
      </c>
      <c r="O86" s="73"/>
      <c r="P86" s="275">
        <v>300.0</v>
      </c>
      <c r="Q86" s="73"/>
      <c r="R86" s="237">
        <v>0.0</v>
      </c>
      <c r="S86" s="73"/>
      <c r="T86" s="237">
        <v>0.0</v>
      </c>
      <c r="U86" s="73"/>
      <c r="V86" s="237">
        <v>0.0</v>
      </c>
      <c r="W86" s="73"/>
      <c r="X86" s="237">
        <v>0.0</v>
      </c>
      <c r="Y86" s="73"/>
      <c r="Z86" s="237">
        <v>3.0</v>
      </c>
      <c r="AA86" s="73"/>
      <c r="AB86" s="237">
        <v>0.0</v>
      </c>
      <c r="AC86" s="73"/>
      <c r="AD86" s="237">
        <v>0.0</v>
      </c>
      <c r="AE86" s="73"/>
      <c r="AF86" s="237">
        <v>0.0</v>
      </c>
      <c r="AG86" s="73"/>
      <c r="AH86" s="237">
        <v>0.0</v>
      </c>
      <c r="AI86" s="73"/>
      <c r="AJ86" s="237">
        <v>0.0</v>
      </c>
      <c r="AK86" s="73"/>
      <c r="AL86" s="237">
        <v>0.0</v>
      </c>
      <c r="AM86" s="73"/>
      <c r="AN86" s="237">
        <v>0.0</v>
      </c>
      <c r="AO86" s="73"/>
      <c r="AP86" s="238">
        <f t="shared" si="1"/>
        <v>10644.5</v>
      </c>
      <c r="AQ86" s="234">
        <f t="shared" si="7"/>
        <v>575</v>
      </c>
      <c r="AR86" s="239">
        <f t="shared" si="3"/>
        <v>0</v>
      </c>
      <c r="AS86" s="239">
        <f t="shared" si="4"/>
        <v>578</v>
      </c>
      <c r="AT86" s="276">
        <f t="shared" si="5"/>
        <v>18.41608997</v>
      </c>
    </row>
    <row r="87" ht="15.75" customHeight="1">
      <c r="A87" s="249" t="s">
        <v>21</v>
      </c>
      <c r="B87" s="250">
        <f t="shared" si="6"/>
        <v>45012</v>
      </c>
      <c r="C87" s="251">
        <v>4.0</v>
      </c>
      <c r="D87" s="251" t="s">
        <v>22</v>
      </c>
      <c r="E87" s="252" t="s">
        <v>41</v>
      </c>
      <c r="F87" s="253">
        <v>0.0</v>
      </c>
      <c r="G87" s="190"/>
      <c r="H87" s="253">
        <v>0.0</v>
      </c>
      <c r="I87" s="190"/>
      <c r="J87" s="253">
        <v>0.0</v>
      </c>
      <c r="K87" s="190"/>
      <c r="L87" s="253">
        <v>0.0</v>
      </c>
      <c r="M87" s="190"/>
      <c r="N87" s="253">
        <v>240.0</v>
      </c>
      <c r="O87" s="190"/>
      <c r="P87" s="253">
        <v>185.0</v>
      </c>
      <c r="Q87" s="190"/>
      <c r="R87" s="253">
        <v>0.0</v>
      </c>
      <c r="S87" s="190"/>
      <c r="T87" s="253">
        <v>0.0</v>
      </c>
      <c r="U87" s="190"/>
      <c r="V87" s="253">
        <v>0.0</v>
      </c>
      <c r="W87" s="190"/>
      <c r="X87" s="253">
        <v>80.0</v>
      </c>
      <c r="Y87" s="190"/>
      <c r="Z87" s="253">
        <v>3.0</v>
      </c>
      <c r="AA87" s="190"/>
      <c r="AB87" s="253">
        <v>0.0</v>
      </c>
      <c r="AC87" s="190"/>
      <c r="AD87" s="253">
        <v>0.0</v>
      </c>
      <c r="AE87" s="190"/>
      <c r="AF87" s="253">
        <v>0.0</v>
      </c>
      <c r="AG87" s="190"/>
      <c r="AH87" s="253">
        <v>0.0</v>
      </c>
      <c r="AI87" s="190"/>
      <c r="AJ87" s="253">
        <v>0.0</v>
      </c>
      <c r="AK87" s="190"/>
      <c r="AL87" s="253">
        <v>0.0</v>
      </c>
      <c r="AM87" s="190"/>
      <c r="AN87" s="253">
        <v>0.0</v>
      </c>
      <c r="AO87" s="190"/>
      <c r="AP87" s="254">
        <f t="shared" si="1"/>
        <v>9383.1</v>
      </c>
      <c r="AQ87" s="255">
        <f t="shared" ref="AQ87:AQ88" si="8">SUM(F87:Y87)</f>
        <v>505</v>
      </c>
      <c r="AR87" s="255">
        <f t="shared" si="3"/>
        <v>0</v>
      </c>
      <c r="AS87" s="255">
        <f t="shared" si="4"/>
        <v>508</v>
      </c>
      <c r="AT87" s="256">
        <f t="shared" si="5"/>
        <v>18.47066929</v>
      </c>
    </row>
    <row r="88" ht="15.75" customHeight="1">
      <c r="A88" s="257" t="s">
        <v>23</v>
      </c>
      <c r="B88" s="118">
        <f t="shared" si="6"/>
        <v>45013</v>
      </c>
      <c r="C88" s="119">
        <v>4.0</v>
      </c>
      <c r="D88" s="119" t="s">
        <v>22</v>
      </c>
      <c r="E88" s="120" t="s">
        <v>41</v>
      </c>
      <c r="F88" s="121">
        <v>0.0</v>
      </c>
      <c r="G88" s="3"/>
      <c r="H88" s="121">
        <v>0.0</v>
      </c>
      <c r="I88" s="3"/>
      <c r="J88" s="121">
        <v>0.0</v>
      </c>
      <c r="K88" s="3"/>
      <c r="L88" s="121">
        <v>0.0</v>
      </c>
      <c r="M88" s="3"/>
      <c r="N88" s="121">
        <v>240.0</v>
      </c>
      <c r="O88" s="3"/>
      <c r="P88" s="121">
        <v>225.0</v>
      </c>
      <c r="Q88" s="3"/>
      <c r="R88" s="121">
        <v>0.0</v>
      </c>
      <c r="S88" s="3"/>
      <c r="T88" s="121">
        <v>0.0</v>
      </c>
      <c r="U88" s="3"/>
      <c r="V88" s="121">
        <v>0.0</v>
      </c>
      <c r="W88" s="3"/>
      <c r="X88" s="121">
        <v>40.0</v>
      </c>
      <c r="Y88" s="3"/>
      <c r="Z88" s="121">
        <v>3.0</v>
      </c>
      <c r="AA88" s="3"/>
      <c r="AB88" s="121">
        <v>0.0</v>
      </c>
      <c r="AC88" s="3"/>
      <c r="AD88" s="121">
        <v>0.0</v>
      </c>
      <c r="AE88" s="3"/>
      <c r="AF88" s="121">
        <v>0.0</v>
      </c>
      <c r="AG88" s="3"/>
      <c r="AH88" s="121">
        <v>0.0</v>
      </c>
      <c r="AI88" s="3"/>
      <c r="AJ88" s="121">
        <v>0.0</v>
      </c>
      <c r="AK88" s="3"/>
      <c r="AL88" s="121">
        <v>0.0</v>
      </c>
      <c r="AM88" s="3"/>
      <c r="AN88" s="121">
        <v>0.0</v>
      </c>
      <c r="AO88" s="3"/>
      <c r="AP88" s="123">
        <f t="shared" si="1"/>
        <v>9383.1</v>
      </c>
      <c r="AQ88" s="277">
        <f t="shared" si="8"/>
        <v>505</v>
      </c>
      <c r="AR88" s="124">
        <f t="shared" si="3"/>
        <v>0</v>
      </c>
      <c r="AS88" s="124">
        <f t="shared" si="4"/>
        <v>508</v>
      </c>
      <c r="AT88" s="258">
        <f t="shared" si="5"/>
        <v>18.47066929</v>
      </c>
    </row>
    <row r="89" ht="15.75" customHeight="1">
      <c r="A89" s="257" t="s">
        <v>24</v>
      </c>
      <c r="B89" s="118">
        <f t="shared" si="6"/>
        <v>45014</v>
      </c>
      <c r="C89" s="119">
        <v>4.0</v>
      </c>
      <c r="D89" s="119" t="s">
        <v>22</v>
      </c>
      <c r="E89" s="120" t="s">
        <v>41</v>
      </c>
      <c r="F89" s="121">
        <v>0.0</v>
      </c>
      <c r="G89" s="3"/>
      <c r="H89" s="121">
        <v>0.0</v>
      </c>
      <c r="I89" s="3"/>
      <c r="J89" s="121">
        <v>0.0</v>
      </c>
      <c r="K89" s="3"/>
      <c r="L89" s="121">
        <v>0.0</v>
      </c>
      <c r="M89" s="3"/>
      <c r="N89" s="121">
        <v>240.0</v>
      </c>
      <c r="O89" s="3"/>
      <c r="P89" s="121">
        <v>265.0</v>
      </c>
      <c r="Q89" s="3"/>
      <c r="R89" s="121">
        <v>0.0</v>
      </c>
      <c r="S89" s="3"/>
      <c r="T89" s="121">
        <v>0.0</v>
      </c>
      <c r="U89" s="3"/>
      <c r="V89" s="121">
        <v>0.0</v>
      </c>
      <c r="W89" s="3"/>
      <c r="X89" s="121">
        <v>0.0</v>
      </c>
      <c r="Y89" s="3"/>
      <c r="Z89" s="121">
        <v>4.0</v>
      </c>
      <c r="AA89" s="3"/>
      <c r="AB89" s="121">
        <v>0.0</v>
      </c>
      <c r="AC89" s="3"/>
      <c r="AD89" s="121">
        <v>0.0</v>
      </c>
      <c r="AE89" s="3"/>
      <c r="AF89" s="121">
        <v>0.0</v>
      </c>
      <c r="AG89" s="3"/>
      <c r="AH89" s="121">
        <v>0.0</v>
      </c>
      <c r="AI89" s="3"/>
      <c r="AJ89" s="121">
        <v>0.0</v>
      </c>
      <c r="AK89" s="3"/>
      <c r="AL89" s="121">
        <v>0.0</v>
      </c>
      <c r="AM89" s="3"/>
      <c r="AN89" s="121">
        <v>0.0</v>
      </c>
      <c r="AO89" s="3"/>
      <c r="AP89" s="123">
        <f t="shared" si="1"/>
        <v>9463.1</v>
      </c>
      <c r="AQ89" s="277">
        <f>sum(F89,H89,J89,L89,N89,P89,R89,T89,V89,AN92)</f>
        <v>505</v>
      </c>
      <c r="AR89" s="124">
        <f t="shared" si="3"/>
        <v>0</v>
      </c>
      <c r="AS89" s="124">
        <f t="shared" si="4"/>
        <v>509</v>
      </c>
      <c r="AT89" s="258">
        <f t="shared" si="5"/>
        <v>18.59155206</v>
      </c>
    </row>
    <row r="90" ht="15.75" customHeight="1">
      <c r="A90" s="257" t="s">
        <v>25</v>
      </c>
      <c r="B90" s="118">
        <f t="shared" si="6"/>
        <v>45015</v>
      </c>
      <c r="C90" s="119">
        <v>4.0</v>
      </c>
      <c r="D90" s="119" t="s">
        <v>22</v>
      </c>
      <c r="E90" s="120" t="s">
        <v>41</v>
      </c>
      <c r="F90" s="121">
        <v>0.0</v>
      </c>
      <c r="G90" s="3"/>
      <c r="H90" s="121">
        <v>0.0</v>
      </c>
      <c r="I90" s="3"/>
      <c r="J90" s="121">
        <v>0.0</v>
      </c>
      <c r="K90" s="3"/>
      <c r="L90" s="121">
        <v>0.0</v>
      </c>
      <c r="M90" s="3"/>
      <c r="N90" s="121">
        <v>240.0</v>
      </c>
      <c r="O90" s="3"/>
      <c r="P90" s="121">
        <v>225.0</v>
      </c>
      <c r="Q90" s="3"/>
      <c r="R90" s="121">
        <v>0.0</v>
      </c>
      <c r="S90" s="3"/>
      <c r="T90" s="121">
        <v>0.0</v>
      </c>
      <c r="U90" s="3"/>
      <c r="V90" s="121">
        <v>0.0</v>
      </c>
      <c r="W90" s="3"/>
      <c r="X90" s="121">
        <v>70.0</v>
      </c>
      <c r="Y90" s="3"/>
      <c r="Z90" s="121">
        <v>0.0</v>
      </c>
      <c r="AA90" s="3"/>
      <c r="AB90" s="121">
        <v>3.0</v>
      </c>
      <c r="AC90" s="3"/>
      <c r="AD90" s="121">
        <v>0.0</v>
      </c>
      <c r="AE90" s="3"/>
      <c r="AF90" s="121">
        <v>0.0</v>
      </c>
      <c r="AG90" s="3"/>
      <c r="AH90" s="121">
        <v>0.0</v>
      </c>
      <c r="AI90" s="3"/>
      <c r="AJ90" s="121">
        <v>0.0</v>
      </c>
      <c r="AK90" s="3"/>
      <c r="AL90" s="121">
        <v>0.0</v>
      </c>
      <c r="AM90" s="3"/>
      <c r="AN90" s="121">
        <v>0.0</v>
      </c>
      <c r="AO90" s="3"/>
      <c r="AP90" s="123">
        <f t="shared" si="1"/>
        <v>10110.3</v>
      </c>
      <c r="AQ90" s="277">
        <f>SUM(N89:Y89)</f>
        <v>505</v>
      </c>
      <c r="AR90" s="124">
        <f t="shared" si="3"/>
        <v>0</v>
      </c>
      <c r="AS90" s="124">
        <f t="shared" si="4"/>
        <v>538</v>
      </c>
      <c r="AT90" s="258">
        <f t="shared" si="5"/>
        <v>18.79237918</v>
      </c>
    </row>
    <row r="91" ht="15.75" customHeight="1">
      <c r="A91" s="257" t="s">
        <v>26</v>
      </c>
      <c r="B91" s="118">
        <f t="shared" si="6"/>
        <v>45016</v>
      </c>
      <c r="C91" s="119">
        <v>4.0</v>
      </c>
      <c r="D91" s="119" t="s">
        <v>22</v>
      </c>
      <c r="E91" s="120" t="s">
        <v>41</v>
      </c>
      <c r="F91" s="121">
        <v>0.0</v>
      </c>
      <c r="G91" s="3"/>
      <c r="H91" s="121">
        <v>0.0</v>
      </c>
      <c r="I91" s="3"/>
      <c r="J91" s="121">
        <v>0.0</v>
      </c>
      <c r="K91" s="3"/>
      <c r="L91" s="121">
        <v>0.0</v>
      </c>
      <c r="M91" s="3"/>
      <c r="N91" s="121">
        <v>240.0</v>
      </c>
      <c r="O91" s="3"/>
      <c r="P91" s="121">
        <v>265.0</v>
      </c>
      <c r="Q91" s="3"/>
      <c r="R91" s="121">
        <v>0.0</v>
      </c>
      <c r="S91" s="3"/>
      <c r="T91" s="121">
        <v>0.0</v>
      </c>
      <c r="U91" s="3"/>
      <c r="V91" s="121">
        <v>0.0</v>
      </c>
      <c r="W91" s="3"/>
      <c r="X91" s="121">
        <v>0.0</v>
      </c>
      <c r="Y91" s="3"/>
      <c r="Z91" s="121">
        <v>3.0</v>
      </c>
      <c r="AA91" s="3"/>
      <c r="AB91" s="121">
        <v>0.0</v>
      </c>
      <c r="AC91" s="3"/>
      <c r="AD91" s="121">
        <v>0.0</v>
      </c>
      <c r="AE91" s="3"/>
      <c r="AF91" s="121">
        <v>0.0</v>
      </c>
      <c r="AG91" s="3"/>
      <c r="AH91" s="121">
        <v>0.0</v>
      </c>
      <c r="AI91" s="3"/>
      <c r="AJ91" s="121">
        <v>0.0</v>
      </c>
      <c r="AK91" s="3"/>
      <c r="AL91" s="121">
        <v>0.0</v>
      </c>
      <c r="AM91" s="3"/>
      <c r="AN91" s="121">
        <v>0.0</v>
      </c>
      <c r="AO91" s="3"/>
      <c r="AP91" s="123">
        <f t="shared" si="1"/>
        <v>9383.1</v>
      </c>
      <c r="AQ91" s="277">
        <f>sum(F91,H91,J91,L91,N91,P91,R91,T91,V91,AN94)</f>
        <v>505</v>
      </c>
      <c r="AR91" s="124">
        <f t="shared" si="3"/>
        <v>0</v>
      </c>
      <c r="AS91" s="124">
        <f t="shared" si="4"/>
        <v>508</v>
      </c>
      <c r="AT91" s="258">
        <f t="shared" si="5"/>
        <v>18.47066929</v>
      </c>
    </row>
    <row r="92" ht="15.75" customHeight="1">
      <c r="A92" s="36" t="s">
        <v>36</v>
      </c>
      <c r="B92" s="118">
        <f t="shared" si="6"/>
        <v>45017</v>
      </c>
      <c r="C92" s="119">
        <v>4.0</v>
      </c>
      <c r="D92" s="119" t="s">
        <v>22</v>
      </c>
      <c r="E92" s="120" t="s">
        <v>41</v>
      </c>
      <c r="F92" s="121">
        <v>0.0</v>
      </c>
      <c r="G92" s="3"/>
      <c r="H92" s="121">
        <v>0.0</v>
      </c>
      <c r="I92" s="3"/>
      <c r="J92" s="121">
        <v>0.0</v>
      </c>
      <c r="K92" s="3"/>
      <c r="L92" s="121">
        <v>0.0</v>
      </c>
      <c r="M92" s="3"/>
      <c r="N92" s="121">
        <v>225.0</v>
      </c>
      <c r="O92" s="3"/>
      <c r="P92" s="121">
        <v>230.0</v>
      </c>
      <c r="Q92" s="3"/>
      <c r="R92" s="121">
        <v>0.0</v>
      </c>
      <c r="S92" s="3"/>
      <c r="T92" s="121">
        <v>0.0</v>
      </c>
      <c r="U92" s="3"/>
      <c r="V92" s="121">
        <v>0.0</v>
      </c>
      <c r="W92" s="3"/>
      <c r="X92" s="121">
        <v>0.0</v>
      </c>
      <c r="Y92" s="3"/>
      <c r="Z92" s="121">
        <v>3.0</v>
      </c>
      <c r="AA92" s="3"/>
      <c r="AB92" s="121">
        <v>0.0</v>
      </c>
      <c r="AC92" s="3"/>
      <c r="AD92" s="121">
        <v>0.0</v>
      </c>
      <c r="AE92" s="3"/>
      <c r="AF92" s="121">
        <v>0.0</v>
      </c>
      <c r="AG92" s="3"/>
      <c r="AH92" s="121">
        <v>0.0</v>
      </c>
      <c r="AI92" s="3"/>
      <c r="AJ92" s="121">
        <v>0.0</v>
      </c>
      <c r="AK92" s="3"/>
      <c r="AL92" s="121">
        <v>0.0</v>
      </c>
      <c r="AM92" s="3"/>
      <c r="AN92" s="121">
        <v>0.0</v>
      </c>
      <c r="AO92" s="3"/>
      <c r="AP92" s="123">
        <f t="shared" si="1"/>
        <v>8447.7</v>
      </c>
      <c r="AQ92" s="124">
        <f t="shared" ref="AQ92:AQ93" si="9">sum(F92,H92,J92,L92,N92,P92,R92,T92,V92,AS94)</f>
        <v>455</v>
      </c>
      <c r="AR92" s="124">
        <f t="shared" si="3"/>
        <v>0</v>
      </c>
      <c r="AS92" s="124">
        <f t="shared" si="4"/>
        <v>458</v>
      </c>
      <c r="AT92" s="258">
        <f t="shared" si="5"/>
        <v>18.44475983</v>
      </c>
    </row>
    <row r="93" ht="15.75" customHeight="1">
      <c r="A93" s="257" t="s">
        <v>28</v>
      </c>
      <c r="B93" s="118">
        <f t="shared" si="6"/>
        <v>45018</v>
      </c>
      <c r="C93" s="119">
        <v>4.0</v>
      </c>
      <c r="D93" s="119" t="s">
        <v>22</v>
      </c>
      <c r="E93" s="259" t="s">
        <v>41</v>
      </c>
      <c r="F93" s="182">
        <v>0.0</v>
      </c>
      <c r="G93" s="73"/>
      <c r="H93" s="182">
        <v>0.0</v>
      </c>
      <c r="I93" s="73"/>
      <c r="J93" s="182">
        <v>0.0</v>
      </c>
      <c r="K93" s="73"/>
      <c r="L93" s="182">
        <v>0.0</v>
      </c>
      <c r="M93" s="73"/>
      <c r="N93" s="182">
        <v>100.0</v>
      </c>
      <c r="O93" s="73"/>
      <c r="P93" s="182">
        <v>0.0</v>
      </c>
      <c r="Q93" s="73"/>
      <c r="R93" s="182">
        <v>0.0</v>
      </c>
      <c r="S93" s="73"/>
      <c r="T93" s="182">
        <v>0.0</v>
      </c>
      <c r="U93" s="73"/>
      <c r="V93" s="182">
        <v>0.0</v>
      </c>
      <c r="W93" s="73"/>
      <c r="X93" s="182">
        <v>0.0</v>
      </c>
      <c r="Y93" s="73"/>
      <c r="Z93" s="182">
        <v>0.0</v>
      </c>
      <c r="AA93" s="73"/>
      <c r="AB93" s="182">
        <v>0.0</v>
      </c>
      <c r="AC93" s="73"/>
      <c r="AD93" s="182">
        <v>0.0</v>
      </c>
      <c r="AE93" s="73"/>
      <c r="AF93" s="182">
        <v>0.0</v>
      </c>
      <c r="AG93" s="73"/>
      <c r="AH93" s="182">
        <v>0.0</v>
      </c>
      <c r="AI93" s="73"/>
      <c r="AJ93" s="182">
        <v>0.0</v>
      </c>
      <c r="AK93" s="73"/>
      <c r="AL93" s="182">
        <v>0.0</v>
      </c>
      <c r="AM93" s="73"/>
      <c r="AN93" s="182">
        <v>0.0</v>
      </c>
      <c r="AO93" s="73"/>
      <c r="AP93" s="183">
        <f t="shared" si="1"/>
        <v>1630</v>
      </c>
      <c r="AQ93" s="181">
        <f t="shared" si="9"/>
        <v>100</v>
      </c>
      <c r="AR93" s="181">
        <f t="shared" si="3"/>
        <v>0</v>
      </c>
      <c r="AS93" s="181">
        <f t="shared" si="4"/>
        <v>100</v>
      </c>
      <c r="AT93" s="261">
        <f t="shared" si="5"/>
        <v>16.3</v>
      </c>
    </row>
    <row r="94" ht="14.25" customHeight="1">
      <c r="A94" s="262" t="s">
        <v>21</v>
      </c>
      <c r="B94" s="263">
        <f t="shared" si="6"/>
        <v>45019</v>
      </c>
      <c r="C94" s="264">
        <v>4.0</v>
      </c>
      <c r="D94" s="264" t="s">
        <v>34</v>
      </c>
      <c r="E94" s="270"/>
      <c r="F94" s="266">
        <v>0.0</v>
      </c>
      <c r="G94" s="84"/>
      <c r="H94" s="266">
        <v>0.0</v>
      </c>
      <c r="I94" s="84"/>
      <c r="J94" s="266">
        <v>0.0</v>
      </c>
      <c r="K94" s="84"/>
      <c r="L94" s="266">
        <v>0.0</v>
      </c>
      <c r="M94" s="84"/>
      <c r="N94" s="266">
        <v>0.0</v>
      </c>
      <c r="O94" s="84"/>
      <c r="P94" s="266">
        <v>0.0</v>
      </c>
      <c r="Q94" s="84"/>
      <c r="R94" s="266">
        <v>0.0</v>
      </c>
      <c r="S94" s="84"/>
      <c r="T94" s="266">
        <v>0.0</v>
      </c>
      <c r="U94" s="84"/>
      <c r="V94" s="266">
        <v>0.0</v>
      </c>
      <c r="W94" s="84"/>
      <c r="X94" s="266">
        <v>0.0</v>
      </c>
      <c r="Y94" s="84"/>
      <c r="Z94" s="266">
        <v>0.0</v>
      </c>
      <c r="AA94" s="84"/>
      <c r="AB94" s="266">
        <v>0.0</v>
      </c>
      <c r="AC94" s="84"/>
      <c r="AD94" s="266">
        <v>0.0</v>
      </c>
      <c r="AE94" s="84"/>
      <c r="AF94" s="266">
        <v>0.0</v>
      </c>
      <c r="AG94" s="84"/>
      <c r="AH94" s="266">
        <v>0.0</v>
      </c>
      <c r="AI94" s="84"/>
      <c r="AJ94" s="266">
        <v>0.0</v>
      </c>
      <c r="AK94" s="84"/>
      <c r="AL94" s="266">
        <v>0.0</v>
      </c>
      <c r="AM94" s="84"/>
      <c r="AN94" s="266">
        <v>0.0</v>
      </c>
      <c r="AO94" s="84"/>
      <c r="AP94" s="278">
        <v>0.0</v>
      </c>
      <c r="AQ94" s="270">
        <f t="shared" ref="AQ94:AQ359" si="10">SUM(F94:Y94)</f>
        <v>0</v>
      </c>
      <c r="AR94" s="270">
        <f t="shared" si="3"/>
        <v>0</v>
      </c>
      <c r="AS94" s="270">
        <f t="shared" si="4"/>
        <v>0</v>
      </c>
      <c r="AT94" s="271" t="str">
        <f t="shared" si="5"/>
        <v/>
      </c>
    </row>
    <row r="95" ht="15.75" customHeight="1">
      <c r="A95" s="272" t="s">
        <v>23</v>
      </c>
      <c r="B95" s="229">
        <f t="shared" si="6"/>
        <v>45020</v>
      </c>
      <c r="C95" s="230">
        <v>4.0</v>
      </c>
      <c r="D95" s="230" t="s">
        <v>34</v>
      </c>
      <c r="E95" s="234"/>
      <c r="F95" s="232">
        <v>0.0</v>
      </c>
      <c r="G95" s="3"/>
      <c r="H95" s="232">
        <v>0.0</v>
      </c>
      <c r="I95" s="3"/>
      <c r="J95" s="232">
        <v>0.0</v>
      </c>
      <c r="K95" s="3"/>
      <c r="L95" s="232">
        <v>0.0</v>
      </c>
      <c r="M95" s="3"/>
      <c r="N95" s="232">
        <v>0.0</v>
      </c>
      <c r="O95" s="3"/>
      <c r="P95" s="232">
        <v>0.0</v>
      </c>
      <c r="Q95" s="3"/>
      <c r="R95" s="232">
        <v>0.0</v>
      </c>
      <c r="S95" s="3"/>
      <c r="T95" s="232">
        <v>0.0</v>
      </c>
      <c r="U95" s="3"/>
      <c r="V95" s="232">
        <v>0.0</v>
      </c>
      <c r="W95" s="3"/>
      <c r="X95" s="232">
        <v>0.0</v>
      </c>
      <c r="Y95" s="3"/>
      <c r="Z95" s="232">
        <v>0.0</v>
      </c>
      <c r="AA95" s="3"/>
      <c r="AB95" s="232">
        <v>0.0</v>
      </c>
      <c r="AC95" s="3"/>
      <c r="AD95" s="232">
        <v>0.0</v>
      </c>
      <c r="AE95" s="3"/>
      <c r="AF95" s="232">
        <v>0.0</v>
      </c>
      <c r="AG95" s="3"/>
      <c r="AH95" s="232">
        <v>0.0</v>
      </c>
      <c r="AI95" s="3"/>
      <c r="AJ95" s="232">
        <v>0.0</v>
      </c>
      <c r="AK95" s="3"/>
      <c r="AL95" s="232">
        <v>0.0</v>
      </c>
      <c r="AM95" s="3"/>
      <c r="AN95" s="232">
        <v>0.0</v>
      </c>
      <c r="AO95" s="3"/>
      <c r="AP95" s="233">
        <f t="shared" ref="AP95:AP246" si="11">(F95*G$2)+(H95*I$2)+(J95*K$2)+(N95*O$2)+(P95*Q$2)+(R95*S$2)+(T95*U$2)+(V95*W$2)+(AB95*AC$2)+(AD95*AE$2)+(AF95*AG$2)+(AH95*AI$2)+(AJ95*AK$2)+(AL95*AM$2)+(AN95*AO$2)+(L95*M$2)+(Z95*AA$2)+(X95*Y$2)</f>
        <v>0</v>
      </c>
      <c r="AQ95" s="234">
        <f t="shared" si="10"/>
        <v>0</v>
      </c>
      <c r="AR95" s="234">
        <f t="shared" si="3"/>
        <v>0</v>
      </c>
      <c r="AS95" s="234">
        <f t="shared" si="4"/>
        <v>0</v>
      </c>
      <c r="AT95" s="274" t="str">
        <f t="shared" si="5"/>
        <v/>
      </c>
    </row>
    <row r="96" ht="15.75" customHeight="1">
      <c r="A96" s="230"/>
      <c r="B96" s="229">
        <f t="shared" si="6"/>
        <v>45021</v>
      </c>
      <c r="C96" s="230">
        <v>4.0</v>
      </c>
      <c r="D96" s="230" t="s">
        <v>34</v>
      </c>
      <c r="E96" s="231" t="s">
        <v>42</v>
      </c>
      <c r="F96" s="232">
        <v>0.0</v>
      </c>
      <c r="G96" s="3"/>
      <c r="H96" s="232">
        <v>0.0</v>
      </c>
      <c r="I96" s="3"/>
      <c r="J96" s="232">
        <v>0.0</v>
      </c>
      <c r="K96" s="3"/>
      <c r="L96" s="232">
        <v>0.0</v>
      </c>
      <c r="M96" s="3"/>
      <c r="N96" s="232">
        <v>125.0</v>
      </c>
      <c r="O96" s="3"/>
      <c r="P96" s="232">
        <v>0.0</v>
      </c>
      <c r="Q96" s="3"/>
      <c r="R96" s="232">
        <v>0.0</v>
      </c>
      <c r="S96" s="3"/>
      <c r="T96" s="232">
        <v>0.0</v>
      </c>
      <c r="U96" s="3"/>
      <c r="V96" s="232">
        <v>0.0</v>
      </c>
      <c r="W96" s="3"/>
      <c r="X96" s="232">
        <v>0.0</v>
      </c>
      <c r="Y96" s="3"/>
      <c r="Z96" s="232">
        <v>0.0</v>
      </c>
      <c r="AA96" s="3"/>
      <c r="AB96" s="232">
        <v>0.0</v>
      </c>
      <c r="AC96" s="3"/>
      <c r="AD96" s="232">
        <v>0.0</v>
      </c>
      <c r="AE96" s="3"/>
      <c r="AF96" s="232">
        <v>0.0</v>
      </c>
      <c r="AG96" s="3"/>
      <c r="AH96" s="232">
        <v>0.0</v>
      </c>
      <c r="AI96" s="3"/>
      <c r="AJ96" s="232">
        <v>0.0</v>
      </c>
      <c r="AK96" s="3"/>
      <c r="AL96" s="232">
        <v>0.0</v>
      </c>
      <c r="AM96" s="3"/>
      <c r="AN96" s="232">
        <v>0.0</v>
      </c>
      <c r="AO96" s="3"/>
      <c r="AP96" s="233">
        <f t="shared" si="11"/>
        <v>2037.5</v>
      </c>
      <c r="AQ96" s="234">
        <f t="shared" si="10"/>
        <v>125</v>
      </c>
      <c r="AR96" s="234">
        <f t="shared" si="3"/>
        <v>0</v>
      </c>
      <c r="AS96" s="234">
        <f t="shared" si="4"/>
        <v>125</v>
      </c>
      <c r="AT96" s="274">
        <f t="shared" si="5"/>
        <v>16.3</v>
      </c>
    </row>
    <row r="97" ht="15.75" customHeight="1">
      <c r="A97" s="272" t="s">
        <v>25</v>
      </c>
      <c r="B97" s="229">
        <f t="shared" si="6"/>
        <v>45022</v>
      </c>
      <c r="C97" s="230">
        <v>4.0</v>
      </c>
      <c r="D97" s="230" t="s">
        <v>34</v>
      </c>
      <c r="E97" s="231" t="s">
        <v>42</v>
      </c>
      <c r="F97" s="232">
        <v>0.0</v>
      </c>
      <c r="G97" s="3"/>
      <c r="H97" s="232">
        <v>0.0</v>
      </c>
      <c r="I97" s="3"/>
      <c r="J97" s="232">
        <v>0.0</v>
      </c>
      <c r="K97" s="3"/>
      <c r="L97" s="232">
        <v>0.0</v>
      </c>
      <c r="M97" s="3"/>
      <c r="N97" s="232">
        <v>125.0</v>
      </c>
      <c r="O97" s="3"/>
      <c r="P97" s="232">
        <v>125.0</v>
      </c>
      <c r="Q97" s="3"/>
      <c r="R97" s="232">
        <v>0.0</v>
      </c>
      <c r="S97" s="3"/>
      <c r="T97" s="232">
        <v>0.0</v>
      </c>
      <c r="U97" s="3"/>
      <c r="V97" s="232">
        <v>0.0</v>
      </c>
      <c r="W97" s="3"/>
      <c r="X97" s="232">
        <v>0.0</v>
      </c>
      <c r="Y97" s="3"/>
      <c r="Z97" s="232">
        <v>3.0</v>
      </c>
      <c r="AA97" s="3"/>
      <c r="AB97" s="232">
        <v>0.0</v>
      </c>
      <c r="AC97" s="3"/>
      <c r="AD97" s="232">
        <v>0.0</v>
      </c>
      <c r="AE97" s="3"/>
      <c r="AF97" s="232">
        <v>0.0</v>
      </c>
      <c r="AG97" s="3"/>
      <c r="AH97" s="232">
        <v>0.0</v>
      </c>
      <c r="AI97" s="3"/>
      <c r="AJ97" s="232">
        <v>0.0</v>
      </c>
      <c r="AK97" s="3"/>
      <c r="AL97" s="232">
        <v>0.0</v>
      </c>
      <c r="AM97" s="3"/>
      <c r="AN97" s="232">
        <v>0.0</v>
      </c>
      <c r="AO97" s="3"/>
      <c r="AP97" s="233">
        <f t="shared" si="11"/>
        <v>4745</v>
      </c>
      <c r="AQ97" s="234">
        <f t="shared" si="10"/>
        <v>250</v>
      </c>
      <c r="AR97" s="234">
        <f t="shared" si="3"/>
        <v>0</v>
      </c>
      <c r="AS97" s="234">
        <f t="shared" si="4"/>
        <v>253</v>
      </c>
      <c r="AT97" s="274">
        <f t="shared" si="5"/>
        <v>18.75494071</v>
      </c>
    </row>
    <row r="98" ht="15.75" customHeight="1">
      <c r="A98" s="272" t="s">
        <v>26</v>
      </c>
      <c r="B98" s="229">
        <f t="shared" si="6"/>
        <v>45023</v>
      </c>
      <c r="C98" s="279"/>
      <c r="D98" s="230" t="s">
        <v>34</v>
      </c>
      <c r="E98" s="231" t="s">
        <v>42</v>
      </c>
      <c r="F98" s="232">
        <v>0.0</v>
      </c>
      <c r="G98" s="3"/>
      <c r="H98" s="232">
        <v>0.0</v>
      </c>
      <c r="I98" s="3"/>
      <c r="J98" s="232">
        <v>0.0</v>
      </c>
      <c r="K98" s="3"/>
      <c r="L98" s="232">
        <v>0.0</v>
      </c>
      <c r="M98" s="3"/>
      <c r="N98" s="232">
        <v>125.0</v>
      </c>
      <c r="O98" s="3"/>
      <c r="P98" s="232">
        <v>125.0</v>
      </c>
      <c r="Q98" s="3"/>
      <c r="R98" s="232">
        <v>0.0</v>
      </c>
      <c r="S98" s="3"/>
      <c r="T98" s="232">
        <v>0.0</v>
      </c>
      <c r="U98" s="3"/>
      <c r="V98" s="232">
        <v>0.0</v>
      </c>
      <c r="W98" s="3"/>
      <c r="X98" s="232">
        <v>0.0</v>
      </c>
      <c r="Y98" s="3"/>
      <c r="Z98" s="232">
        <v>0.0</v>
      </c>
      <c r="AA98" s="3"/>
      <c r="AB98" s="232">
        <v>3.0</v>
      </c>
      <c r="AC98" s="3"/>
      <c r="AD98" s="232">
        <v>0.0</v>
      </c>
      <c r="AE98" s="3"/>
      <c r="AF98" s="232">
        <v>0.0</v>
      </c>
      <c r="AG98" s="3"/>
      <c r="AH98" s="232">
        <v>0.0</v>
      </c>
      <c r="AI98" s="3"/>
      <c r="AJ98" s="232">
        <v>0.0</v>
      </c>
      <c r="AK98" s="3"/>
      <c r="AL98" s="232">
        <v>0.0</v>
      </c>
      <c r="AM98" s="3"/>
      <c r="AN98" s="232">
        <v>0.0</v>
      </c>
      <c r="AO98" s="3"/>
      <c r="AP98" s="233">
        <f t="shared" si="11"/>
        <v>4880</v>
      </c>
      <c r="AQ98" s="234">
        <f t="shared" si="10"/>
        <v>250</v>
      </c>
      <c r="AR98" s="234">
        <f t="shared" si="3"/>
        <v>0</v>
      </c>
      <c r="AS98" s="234">
        <f t="shared" si="4"/>
        <v>253</v>
      </c>
      <c r="AT98" s="274">
        <f t="shared" si="5"/>
        <v>19.28853755</v>
      </c>
    </row>
    <row r="99" ht="15.75" customHeight="1">
      <c r="A99" s="272" t="s">
        <v>27</v>
      </c>
      <c r="B99" s="229">
        <f t="shared" si="6"/>
        <v>45024</v>
      </c>
      <c r="C99" s="230">
        <v>4.0</v>
      </c>
      <c r="D99" s="230" t="s">
        <v>34</v>
      </c>
      <c r="E99" s="231" t="s">
        <v>42</v>
      </c>
      <c r="F99" s="232">
        <v>0.0</v>
      </c>
      <c r="G99" s="3"/>
      <c r="H99" s="232">
        <v>0.0</v>
      </c>
      <c r="I99" s="3"/>
      <c r="J99" s="232">
        <v>0.0</v>
      </c>
      <c r="K99" s="3"/>
      <c r="L99" s="232">
        <v>0.0</v>
      </c>
      <c r="M99" s="3"/>
      <c r="N99" s="232">
        <v>125.0</v>
      </c>
      <c r="O99" s="3"/>
      <c r="P99" s="232">
        <v>125.0</v>
      </c>
      <c r="Q99" s="3"/>
      <c r="R99" s="232">
        <v>0.0</v>
      </c>
      <c r="S99" s="3"/>
      <c r="T99" s="232">
        <v>0.0</v>
      </c>
      <c r="U99" s="3"/>
      <c r="V99" s="232">
        <v>0.0</v>
      </c>
      <c r="W99" s="3"/>
      <c r="X99" s="232">
        <v>0.0</v>
      </c>
      <c r="Y99" s="3"/>
      <c r="Z99" s="232">
        <v>3.0</v>
      </c>
      <c r="AA99" s="3"/>
      <c r="AB99" s="232">
        <v>0.0</v>
      </c>
      <c r="AC99" s="3"/>
      <c r="AD99" s="232">
        <v>0.0</v>
      </c>
      <c r="AE99" s="3"/>
      <c r="AF99" s="232">
        <v>0.0</v>
      </c>
      <c r="AG99" s="3"/>
      <c r="AH99" s="232">
        <v>0.0</v>
      </c>
      <c r="AI99" s="3"/>
      <c r="AJ99" s="232">
        <v>0.0</v>
      </c>
      <c r="AK99" s="3"/>
      <c r="AL99" s="232">
        <v>0.0</v>
      </c>
      <c r="AM99" s="3"/>
      <c r="AN99" s="232">
        <v>0.0</v>
      </c>
      <c r="AO99" s="3"/>
      <c r="AP99" s="233">
        <f t="shared" si="11"/>
        <v>4745</v>
      </c>
      <c r="AQ99" s="234">
        <f t="shared" si="10"/>
        <v>250</v>
      </c>
      <c r="AR99" s="234">
        <f t="shared" si="3"/>
        <v>0</v>
      </c>
      <c r="AS99" s="234">
        <f t="shared" si="4"/>
        <v>253</v>
      </c>
      <c r="AT99" s="274">
        <f t="shared" si="5"/>
        <v>18.75494071</v>
      </c>
    </row>
    <row r="100" ht="15.75" customHeight="1">
      <c r="A100" s="272" t="s">
        <v>28</v>
      </c>
      <c r="B100" s="229">
        <f t="shared" si="6"/>
        <v>45025</v>
      </c>
      <c r="C100" s="230">
        <v>4.0</v>
      </c>
      <c r="D100" s="230" t="s">
        <v>34</v>
      </c>
      <c r="E100" s="236" t="s">
        <v>42</v>
      </c>
      <c r="F100" s="237">
        <v>0.0</v>
      </c>
      <c r="G100" s="73"/>
      <c r="H100" s="237">
        <v>0.0</v>
      </c>
      <c r="I100" s="73"/>
      <c r="J100" s="237">
        <v>0.0</v>
      </c>
      <c r="K100" s="73"/>
      <c r="L100" s="237">
        <v>0.0</v>
      </c>
      <c r="M100" s="73"/>
      <c r="N100" s="237">
        <v>0.0</v>
      </c>
      <c r="O100" s="73"/>
      <c r="P100" s="237">
        <v>0.0</v>
      </c>
      <c r="Q100" s="73"/>
      <c r="R100" s="237">
        <v>0.0</v>
      </c>
      <c r="S100" s="73"/>
      <c r="T100" s="237">
        <v>0.0</v>
      </c>
      <c r="U100" s="73"/>
      <c r="V100" s="237">
        <v>0.0</v>
      </c>
      <c r="W100" s="73"/>
      <c r="X100" s="237">
        <v>0.0</v>
      </c>
      <c r="Y100" s="73"/>
      <c r="Z100" s="237">
        <v>0.0</v>
      </c>
      <c r="AA100" s="73"/>
      <c r="AB100" s="237">
        <v>0.0</v>
      </c>
      <c r="AC100" s="73"/>
      <c r="AD100" s="237">
        <v>0.0</v>
      </c>
      <c r="AE100" s="73"/>
      <c r="AF100" s="237">
        <v>0.0</v>
      </c>
      <c r="AG100" s="73"/>
      <c r="AH100" s="237">
        <v>0.0</v>
      </c>
      <c r="AI100" s="73"/>
      <c r="AJ100" s="237">
        <v>0.0</v>
      </c>
      <c r="AK100" s="73"/>
      <c r="AL100" s="237">
        <v>0.0</v>
      </c>
      <c r="AM100" s="73"/>
      <c r="AN100" s="237">
        <v>0.0</v>
      </c>
      <c r="AO100" s="73"/>
      <c r="AP100" s="238">
        <f t="shared" si="11"/>
        <v>0</v>
      </c>
      <c r="AQ100" s="239">
        <f t="shared" si="10"/>
        <v>0</v>
      </c>
      <c r="AR100" s="239">
        <f t="shared" si="3"/>
        <v>0</v>
      </c>
      <c r="AS100" s="239">
        <f t="shared" si="4"/>
        <v>0</v>
      </c>
      <c r="AT100" s="276" t="str">
        <f t="shared" si="5"/>
        <v/>
      </c>
    </row>
    <row r="101" ht="15.75" customHeight="1">
      <c r="A101" s="134" t="s">
        <v>21</v>
      </c>
      <c r="B101" s="135">
        <f t="shared" si="6"/>
        <v>45026</v>
      </c>
      <c r="C101" s="136">
        <v>4.0</v>
      </c>
      <c r="D101" s="136" t="s">
        <v>36</v>
      </c>
      <c r="E101" s="174" t="s">
        <v>42</v>
      </c>
      <c r="F101" s="138">
        <v>0.0</v>
      </c>
      <c r="G101" s="84"/>
      <c r="H101" s="138">
        <v>0.0</v>
      </c>
      <c r="I101" s="84"/>
      <c r="J101" s="138">
        <v>0.0</v>
      </c>
      <c r="K101" s="84"/>
      <c r="L101" s="138">
        <v>0.0</v>
      </c>
      <c r="M101" s="84"/>
      <c r="N101" s="138">
        <v>125.0</v>
      </c>
      <c r="O101" s="84"/>
      <c r="P101" s="138">
        <v>125.0</v>
      </c>
      <c r="Q101" s="84"/>
      <c r="R101" s="138">
        <v>0.0</v>
      </c>
      <c r="S101" s="84"/>
      <c r="T101" s="138">
        <v>0.0</v>
      </c>
      <c r="U101" s="84"/>
      <c r="V101" s="138">
        <v>0.0</v>
      </c>
      <c r="W101" s="84"/>
      <c r="X101" s="138">
        <v>0.0</v>
      </c>
      <c r="Y101" s="84"/>
      <c r="Z101" s="138">
        <v>2.0</v>
      </c>
      <c r="AA101" s="84"/>
      <c r="AB101" s="138">
        <v>0.0</v>
      </c>
      <c r="AC101" s="84"/>
      <c r="AD101" s="138">
        <v>0.0</v>
      </c>
      <c r="AE101" s="84"/>
      <c r="AF101" s="138">
        <v>0.0</v>
      </c>
      <c r="AG101" s="84"/>
      <c r="AH101" s="138">
        <v>0.0</v>
      </c>
      <c r="AI101" s="84"/>
      <c r="AJ101" s="138">
        <v>0.0</v>
      </c>
      <c r="AK101" s="84"/>
      <c r="AL101" s="138">
        <v>0.0</v>
      </c>
      <c r="AM101" s="84"/>
      <c r="AN101" s="138">
        <v>0.0</v>
      </c>
      <c r="AO101" s="84"/>
      <c r="AP101" s="140">
        <f t="shared" si="11"/>
        <v>4665</v>
      </c>
      <c r="AQ101" s="141">
        <f t="shared" si="10"/>
        <v>250</v>
      </c>
      <c r="AR101" s="141">
        <f t="shared" si="3"/>
        <v>0</v>
      </c>
      <c r="AS101" s="141">
        <f t="shared" si="4"/>
        <v>252</v>
      </c>
      <c r="AT101" s="142">
        <f t="shared" si="5"/>
        <v>18.51190476</v>
      </c>
    </row>
    <row r="102" ht="15.75" customHeight="1">
      <c r="A102" s="143" t="s">
        <v>23</v>
      </c>
      <c r="B102" s="144">
        <f t="shared" si="6"/>
        <v>45027</v>
      </c>
      <c r="C102" s="145">
        <v>4.0</v>
      </c>
      <c r="D102" s="145" t="s">
        <v>36</v>
      </c>
      <c r="E102" s="175" t="s">
        <v>42</v>
      </c>
      <c r="F102" s="147">
        <v>0.0</v>
      </c>
      <c r="G102" s="3"/>
      <c r="H102" s="147">
        <v>0.0</v>
      </c>
      <c r="I102" s="3"/>
      <c r="J102" s="147">
        <v>0.0</v>
      </c>
      <c r="K102" s="3"/>
      <c r="L102" s="147">
        <v>0.0</v>
      </c>
      <c r="M102" s="3"/>
      <c r="N102" s="147">
        <v>125.0</v>
      </c>
      <c r="O102" s="3"/>
      <c r="P102" s="147">
        <v>125.0</v>
      </c>
      <c r="Q102" s="3"/>
      <c r="R102" s="147">
        <v>0.0</v>
      </c>
      <c r="S102" s="3"/>
      <c r="T102" s="147">
        <v>0.0</v>
      </c>
      <c r="U102" s="3"/>
      <c r="V102" s="147">
        <v>0.0</v>
      </c>
      <c r="W102" s="3"/>
      <c r="X102" s="147">
        <v>0.0</v>
      </c>
      <c r="Y102" s="3"/>
      <c r="Z102" s="147">
        <v>2.0</v>
      </c>
      <c r="AA102" s="3"/>
      <c r="AB102" s="147">
        <v>0.0</v>
      </c>
      <c r="AC102" s="3"/>
      <c r="AD102" s="147">
        <v>0.0</v>
      </c>
      <c r="AE102" s="3"/>
      <c r="AF102" s="147">
        <v>0.0</v>
      </c>
      <c r="AG102" s="3"/>
      <c r="AH102" s="147">
        <v>0.0</v>
      </c>
      <c r="AI102" s="3"/>
      <c r="AJ102" s="147">
        <v>0.0</v>
      </c>
      <c r="AK102" s="3"/>
      <c r="AL102" s="147">
        <v>0.0</v>
      </c>
      <c r="AM102" s="3"/>
      <c r="AN102" s="147">
        <v>0.0</v>
      </c>
      <c r="AO102" s="3"/>
      <c r="AP102" s="149">
        <f t="shared" si="11"/>
        <v>4665</v>
      </c>
      <c r="AQ102" s="150">
        <f t="shared" si="10"/>
        <v>250</v>
      </c>
      <c r="AR102" s="150">
        <f t="shared" si="3"/>
        <v>0</v>
      </c>
      <c r="AS102" s="150">
        <f t="shared" si="4"/>
        <v>252</v>
      </c>
      <c r="AT102" s="151">
        <f t="shared" si="5"/>
        <v>18.51190476</v>
      </c>
    </row>
    <row r="103" ht="15.75" customHeight="1">
      <c r="A103" s="143" t="s">
        <v>24</v>
      </c>
      <c r="B103" s="144">
        <f t="shared" si="6"/>
        <v>45028</v>
      </c>
      <c r="C103" s="145">
        <v>4.0</v>
      </c>
      <c r="D103" s="145" t="s">
        <v>36</v>
      </c>
      <c r="E103" s="175" t="s">
        <v>42</v>
      </c>
      <c r="F103" s="147">
        <v>0.0</v>
      </c>
      <c r="G103" s="3"/>
      <c r="H103" s="147">
        <v>0.0</v>
      </c>
      <c r="I103" s="3"/>
      <c r="J103" s="147">
        <v>0.0</v>
      </c>
      <c r="K103" s="3"/>
      <c r="L103" s="147">
        <v>0.0</v>
      </c>
      <c r="M103" s="3"/>
      <c r="N103" s="147">
        <v>125.0</v>
      </c>
      <c r="O103" s="3"/>
      <c r="P103" s="147">
        <v>125.0</v>
      </c>
      <c r="Q103" s="3"/>
      <c r="R103" s="147">
        <v>0.0</v>
      </c>
      <c r="S103" s="3"/>
      <c r="T103" s="147">
        <v>0.0</v>
      </c>
      <c r="U103" s="3"/>
      <c r="V103" s="147">
        <v>0.0</v>
      </c>
      <c r="W103" s="3"/>
      <c r="X103" s="147">
        <v>0.0</v>
      </c>
      <c r="Y103" s="3"/>
      <c r="Z103" s="147">
        <v>4.0</v>
      </c>
      <c r="AA103" s="3"/>
      <c r="AB103" s="147">
        <v>0.0</v>
      </c>
      <c r="AC103" s="3"/>
      <c r="AD103" s="147">
        <v>0.0</v>
      </c>
      <c r="AE103" s="3"/>
      <c r="AF103" s="147">
        <v>0.0</v>
      </c>
      <c r="AG103" s="3"/>
      <c r="AH103" s="147">
        <v>0.0</v>
      </c>
      <c r="AI103" s="3"/>
      <c r="AJ103" s="147">
        <v>0.0</v>
      </c>
      <c r="AK103" s="3"/>
      <c r="AL103" s="147">
        <v>0.0</v>
      </c>
      <c r="AM103" s="3"/>
      <c r="AN103" s="147">
        <v>0.0</v>
      </c>
      <c r="AO103" s="3"/>
      <c r="AP103" s="149">
        <f t="shared" si="11"/>
        <v>4825</v>
      </c>
      <c r="AQ103" s="150">
        <f t="shared" si="10"/>
        <v>250</v>
      </c>
      <c r="AR103" s="150">
        <f t="shared" si="3"/>
        <v>0</v>
      </c>
      <c r="AS103" s="150">
        <f t="shared" si="4"/>
        <v>254</v>
      </c>
      <c r="AT103" s="151">
        <f t="shared" si="5"/>
        <v>18.99606299</v>
      </c>
    </row>
    <row r="104" ht="15.75" customHeight="1">
      <c r="A104" s="143" t="s">
        <v>25</v>
      </c>
      <c r="B104" s="144">
        <f t="shared" si="6"/>
        <v>45029</v>
      </c>
      <c r="C104" s="145">
        <v>4.0</v>
      </c>
      <c r="D104" s="280" t="s">
        <v>36</v>
      </c>
      <c r="E104" s="175" t="s">
        <v>42</v>
      </c>
      <c r="F104" s="147">
        <v>0.0</v>
      </c>
      <c r="G104" s="3"/>
      <c r="H104" s="147">
        <v>0.0</v>
      </c>
      <c r="I104" s="3"/>
      <c r="J104" s="147">
        <v>0.0</v>
      </c>
      <c r="K104" s="3"/>
      <c r="L104" s="147">
        <v>0.0</v>
      </c>
      <c r="M104" s="3"/>
      <c r="N104" s="147">
        <v>125.0</v>
      </c>
      <c r="O104" s="3"/>
      <c r="P104" s="147">
        <v>125.0</v>
      </c>
      <c r="Q104" s="3"/>
      <c r="R104" s="147">
        <v>0.0</v>
      </c>
      <c r="S104" s="3"/>
      <c r="T104" s="147">
        <v>0.0</v>
      </c>
      <c r="U104" s="3"/>
      <c r="V104" s="147">
        <v>0.0</v>
      </c>
      <c r="W104" s="3"/>
      <c r="X104" s="147">
        <v>0.0</v>
      </c>
      <c r="Y104" s="3"/>
      <c r="Z104" s="147">
        <v>3.0</v>
      </c>
      <c r="AA104" s="3"/>
      <c r="AB104" s="147">
        <v>0.0</v>
      </c>
      <c r="AC104" s="3"/>
      <c r="AD104" s="147">
        <v>0.0</v>
      </c>
      <c r="AE104" s="3"/>
      <c r="AF104" s="147">
        <v>0.0</v>
      </c>
      <c r="AG104" s="3"/>
      <c r="AH104" s="147">
        <v>0.0</v>
      </c>
      <c r="AI104" s="3"/>
      <c r="AJ104" s="147">
        <v>0.0</v>
      </c>
      <c r="AK104" s="3"/>
      <c r="AL104" s="147">
        <v>0.0</v>
      </c>
      <c r="AM104" s="3"/>
      <c r="AN104" s="147">
        <v>0.0</v>
      </c>
      <c r="AO104" s="3"/>
      <c r="AP104" s="149">
        <f t="shared" si="11"/>
        <v>4745</v>
      </c>
      <c r="AQ104" s="150">
        <f t="shared" si="10"/>
        <v>250</v>
      </c>
      <c r="AR104" s="150">
        <f t="shared" si="3"/>
        <v>0</v>
      </c>
      <c r="AS104" s="150">
        <f t="shared" si="4"/>
        <v>253</v>
      </c>
      <c r="AT104" s="151">
        <f t="shared" si="5"/>
        <v>18.75494071</v>
      </c>
    </row>
    <row r="105" ht="15.75" customHeight="1">
      <c r="A105" s="143" t="s">
        <v>26</v>
      </c>
      <c r="B105" s="144">
        <f t="shared" si="6"/>
        <v>45030</v>
      </c>
      <c r="C105" s="145">
        <v>4.0</v>
      </c>
      <c r="D105" s="145" t="s">
        <v>36</v>
      </c>
      <c r="E105" s="175" t="s">
        <v>42</v>
      </c>
      <c r="F105" s="147">
        <v>0.0</v>
      </c>
      <c r="G105" s="3"/>
      <c r="H105" s="147">
        <v>0.0</v>
      </c>
      <c r="I105" s="3"/>
      <c r="J105" s="147">
        <v>0.0</v>
      </c>
      <c r="K105" s="3"/>
      <c r="L105" s="147">
        <v>0.0</v>
      </c>
      <c r="M105" s="3"/>
      <c r="N105" s="147">
        <v>125.0</v>
      </c>
      <c r="O105" s="3"/>
      <c r="P105" s="147">
        <v>125.0</v>
      </c>
      <c r="Q105" s="3"/>
      <c r="R105" s="147">
        <v>0.0</v>
      </c>
      <c r="S105" s="3"/>
      <c r="T105" s="147">
        <v>0.0</v>
      </c>
      <c r="U105" s="3"/>
      <c r="V105" s="147">
        <v>0.0</v>
      </c>
      <c r="W105" s="3"/>
      <c r="X105" s="147">
        <v>0.0</v>
      </c>
      <c r="Y105" s="3"/>
      <c r="Z105" s="147">
        <v>3.0</v>
      </c>
      <c r="AA105" s="3"/>
      <c r="AB105" s="147">
        <v>0.0</v>
      </c>
      <c r="AC105" s="3"/>
      <c r="AD105" s="147">
        <v>0.0</v>
      </c>
      <c r="AE105" s="3"/>
      <c r="AF105" s="147">
        <v>0.0</v>
      </c>
      <c r="AG105" s="3"/>
      <c r="AH105" s="147">
        <v>0.0</v>
      </c>
      <c r="AI105" s="3"/>
      <c r="AJ105" s="147">
        <v>0.0</v>
      </c>
      <c r="AK105" s="3"/>
      <c r="AL105" s="147">
        <v>0.0</v>
      </c>
      <c r="AM105" s="3"/>
      <c r="AN105" s="147">
        <v>0.0</v>
      </c>
      <c r="AO105" s="3"/>
      <c r="AP105" s="149">
        <f t="shared" si="11"/>
        <v>4745</v>
      </c>
      <c r="AQ105" s="150">
        <f t="shared" si="10"/>
        <v>250</v>
      </c>
      <c r="AR105" s="150">
        <f t="shared" si="3"/>
        <v>0</v>
      </c>
      <c r="AS105" s="150">
        <f t="shared" si="4"/>
        <v>253</v>
      </c>
      <c r="AT105" s="151">
        <f t="shared" si="5"/>
        <v>18.75494071</v>
      </c>
    </row>
    <row r="106" ht="15.75" customHeight="1">
      <c r="A106" s="143" t="s">
        <v>27</v>
      </c>
      <c r="B106" s="144">
        <f t="shared" si="6"/>
        <v>45031</v>
      </c>
      <c r="C106" s="145">
        <v>4.0</v>
      </c>
      <c r="D106" s="145" t="s">
        <v>36</v>
      </c>
      <c r="E106" s="175" t="s">
        <v>42</v>
      </c>
      <c r="F106" s="147">
        <v>0.0</v>
      </c>
      <c r="G106" s="3"/>
      <c r="H106" s="147">
        <v>0.0</v>
      </c>
      <c r="I106" s="3"/>
      <c r="J106" s="147">
        <v>0.0</v>
      </c>
      <c r="K106" s="3"/>
      <c r="L106" s="147">
        <v>0.0</v>
      </c>
      <c r="M106" s="3"/>
      <c r="N106" s="147">
        <v>125.0</v>
      </c>
      <c r="O106" s="3"/>
      <c r="P106" s="147">
        <v>125.0</v>
      </c>
      <c r="Q106" s="3"/>
      <c r="R106" s="147">
        <v>0.0</v>
      </c>
      <c r="S106" s="3"/>
      <c r="T106" s="147">
        <v>0.0</v>
      </c>
      <c r="U106" s="3"/>
      <c r="V106" s="147">
        <v>0.0</v>
      </c>
      <c r="W106" s="3"/>
      <c r="X106" s="147">
        <v>0.0</v>
      </c>
      <c r="Y106" s="3"/>
      <c r="Z106" s="147">
        <v>0.0</v>
      </c>
      <c r="AA106" s="3"/>
      <c r="AB106" s="147">
        <v>3.0</v>
      </c>
      <c r="AC106" s="3"/>
      <c r="AD106" s="147">
        <v>0.0</v>
      </c>
      <c r="AE106" s="3"/>
      <c r="AF106" s="147">
        <v>0.0</v>
      </c>
      <c r="AG106" s="3"/>
      <c r="AH106" s="147">
        <v>0.0</v>
      </c>
      <c r="AI106" s="3"/>
      <c r="AJ106" s="147">
        <v>0.0</v>
      </c>
      <c r="AK106" s="3"/>
      <c r="AL106" s="147">
        <v>0.0</v>
      </c>
      <c r="AM106" s="3"/>
      <c r="AN106" s="147">
        <v>0.0</v>
      </c>
      <c r="AO106" s="3"/>
      <c r="AP106" s="149">
        <f t="shared" si="11"/>
        <v>4880</v>
      </c>
      <c r="AQ106" s="150">
        <f t="shared" si="10"/>
        <v>250</v>
      </c>
      <c r="AR106" s="150">
        <f t="shared" si="3"/>
        <v>0</v>
      </c>
      <c r="AS106" s="150">
        <f t="shared" si="4"/>
        <v>253</v>
      </c>
      <c r="AT106" s="151">
        <f t="shared" si="5"/>
        <v>19.28853755</v>
      </c>
    </row>
    <row r="107" ht="15.75" customHeight="1">
      <c r="A107" s="176" t="s">
        <v>28</v>
      </c>
      <c r="B107" s="144">
        <f t="shared" si="6"/>
        <v>45032</v>
      </c>
      <c r="C107" s="145">
        <v>4.0</v>
      </c>
      <c r="D107" s="145" t="s">
        <v>36</v>
      </c>
      <c r="E107" s="281" t="s">
        <v>42</v>
      </c>
      <c r="F107" s="159">
        <v>0.0</v>
      </c>
      <c r="G107" s="73"/>
      <c r="H107" s="159">
        <v>0.0</v>
      </c>
      <c r="I107" s="73"/>
      <c r="J107" s="159">
        <v>0.0</v>
      </c>
      <c r="K107" s="73"/>
      <c r="L107" s="159">
        <v>0.0</v>
      </c>
      <c r="M107" s="73"/>
      <c r="N107" s="159">
        <v>0.0</v>
      </c>
      <c r="O107" s="73"/>
      <c r="P107" s="159">
        <v>0.0</v>
      </c>
      <c r="Q107" s="73"/>
      <c r="R107" s="159">
        <v>0.0</v>
      </c>
      <c r="S107" s="73"/>
      <c r="T107" s="159">
        <v>0.0</v>
      </c>
      <c r="U107" s="73"/>
      <c r="V107" s="159">
        <v>0.0</v>
      </c>
      <c r="W107" s="73"/>
      <c r="X107" s="159">
        <v>0.0</v>
      </c>
      <c r="Y107" s="73"/>
      <c r="Z107" s="159">
        <v>0.0</v>
      </c>
      <c r="AA107" s="73"/>
      <c r="AB107" s="159">
        <v>0.0</v>
      </c>
      <c r="AC107" s="73"/>
      <c r="AD107" s="159">
        <v>0.0</v>
      </c>
      <c r="AE107" s="73"/>
      <c r="AF107" s="159">
        <v>0.0</v>
      </c>
      <c r="AG107" s="73"/>
      <c r="AH107" s="159">
        <v>0.0</v>
      </c>
      <c r="AI107" s="73"/>
      <c r="AJ107" s="159">
        <v>0.0</v>
      </c>
      <c r="AK107" s="73"/>
      <c r="AL107" s="159">
        <v>0.0</v>
      </c>
      <c r="AM107" s="73"/>
      <c r="AN107" s="159">
        <v>0.0</v>
      </c>
      <c r="AO107" s="73"/>
      <c r="AP107" s="161">
        <f t="shared" si="11"/>
        <v>0</v>
      </c>
      <c r="AQ107" s="157">
        <f t="shared" si="10"/>
        <v>0</v>
      </c>
      <c r="AR107" s="157">
        <f t="shared" si="3"/>
        <v>0</v>
      </c>
      <c r="AS107" s="157">
        <f t="shared" si="4"/>
        <v>0</v>
      </c>
      <c r="AT107" s="162" t="str">
        <f t="shared" si="5"/>
        <v/>
      </c>
    </row>
    <row r="108" ht="15.75" customHeight="1">
      <c r="A108" s="108" t="s">
        <v>21</v>
      </c>
      <c r="B108" s="109">
        <f t="shared" si="6"/>
        <v>45033</v>
      </c>
      <c r="C108" s="110">
        <v>4.0</v>
      </c>
      <c r="D108" s="110" t="s">
        <v>37</v>
      </c>
      <c r="E108" s="111" t="s">
        <v>42</v>
      </c>
      <c r="F108" s="112">
        <v>0.0</v>
      </c>
      <c r="G108" s="84"/>
      <c r="H108" s="112">
        <v>0.0</v>
      </c>
      <c r="I108" s="84"/>
      <c r="J108" s="112">
        <v>0.0</v>
      </c>
      <c r="K108" s="84"/>
      <c r="L108" s="112">
        <v>0.0</v>
      </c>
      <c r="M108" s="84"/>
      <c r="N108" s="112">
        <v>125.0</v>
      </c>
      <c r="O108" s="84"/>
      <c r="P108" s="112">
        <v>125.0</v>
      </c>
      <c r="Q108" s="84"/>
      <c r="R108" s="112">
        <v>0.0</v>
      </c>
      <c r="S108" s="84"/>
      <c r="T108" s="112">
        <v>0.0</v>
      </c>
      <c r="U108" s="84"/>
      <c r="V108" s="112">
        <v>0.0</v>
      </c>
      <c r="W108" s="84"/>
      <c r="X108" s="112">
        <v>0.0</v>
      </c>
      <c r="Y108" s="84"/>
      <c r="Z108" s="112">
        <v>3.0</v>
      </c>
      <c r="AA108" s="84"/>
      <c r="AB108" s="112">
        <v>0.0</v>
      </c>
      <c r="AC108" s="84"/>
      <c r="AD108" s="112">
        <v>0.0</v>
      </c>
      <c r="AE108" s="84"/>
      <c r="AF108" s="112">
        <v>0.0</v>
      </c>
      <c r="AG108" s="84"/>
      <c r="AH108" s="112">
        <v>0.0</v>
      </c>
      <c r="AI108" s="84"/>
      <c r="AJ108" s="112">
        <v>0.0</v>
      </c>
      <c r="AK108" s="84"/>
      <c r="AL108" s="112">
        <v>0.0</v>
      </c>
      <c r="AM108" s="84"/>
      <c r="AN108" s="112">
        <v>0.0</v>
      </c>
      <c r="AO108" s="84"/>
      <c r="AP108" s="114">
        <f t="shared" si="11"/>
        <v>4745</v>
      </c>
      <c r="AQ108" s="115">
        <f t="shared" si="10"/>
        <v>250</v>
      </c>
      <c r="AR108" s="115">
        <f t="shared" si="3"/>
        <v>0</v>
      </c>
      <c r="AS108" s="115">
        <f t="shared" si="4"/>
        <v>253</v>
      </c>
      <c r="AT108" s="116">
        <f t="shared" si="5"/>
        <v>18.75494071</v>
      </c>
    </row>
    <row r="109" ht="15.75" customHeight="1">
      <c r="A109" s="117" t="s">
        <v>23</v>
      </c>
      <c r="B109" s="118">
        <f t="shared" si="6"/>
        <v>45034</v>
      </c>
      <c r="C109" s="119">
        <v>4.0</v>
      </c>
      <c r="D109" s="119" t="s">
        <v>37</v>
      </c>
      <c r="E109" s="120" t="s">
        <v>42</v>
      </c>
      <c r="F109" s="121">
        <v>0.0</v>
      </c>
      <c r="G109" s="3"/>
      <c r="H109" s="121">
        <v>0.0</v>
      </c>
      <c r="I109" s="3"/>
      <c r="J109" s="121">
        <v>0.0</v>
      </c>
      <c r="K109" s="3"/>
      <c r="L109" s="121">
        <v>0.0</v>
      </c>
      <c r="M109" s="3"/>
      <c r="N109" s="121">
        <v>125.0</v>
      </c>
      <c r="O109" s="3"/>
      <c r="P109" s="121">
        <v>125.0</v>
      </c>
      <c r="Q109" s="3"/>
      <c r="R109" s="121">
        <v>0.0</v>
      </c>
      <c r="S109" s="3"/>
      <c r="T109" s="121">
        <v>0.0</v>
      </c>
      <c r="U109" s="3"/>
      <c r="V109" s="121">
        <v>0.0</v>
      </c>
      <c r="W109" s="3"/>
      <c r="X109" s="121">
        <v>0.0</v>
      </c>
      <c r="Y109" s="3"/>
      <c r="Z109" s="121">
        <v>3.0</v>
      </c>
      <c r="AA109" s="3"/>
      <c r="AB109" s="121">
        <v>0.0</v>
      </c>
      <c r="AC109" s="3"/>
      <c r="AD109" s="121">
        <v>0.0</v>
      </c>
      <c r="AE109" s="3"/>
      <c r="AF109" s="121">
        <v>0.0</v>
      </c>
      <c r="AG109" s="3"/>
      <c r="AH109" s="121">
        <v>0.0</v>
      </c>
      <c r="AI109" s="3"/>
      <c r="AJ109" s="121">
        <v>0.0</v>
      </c>
      <c r="AK109" s="3"/>
      <c r="AL109" s="121">
        <v>0.0</v>
      </c>
      <c r="AM109" s="3"/>
      <c r="AN109" s="121">
        <v>0.0</v>
      </c>
      <c r="AO109" s="3"/>
      <c r="AP109" s="123">
        <f t="shared" si="11"/>
        <v>4745</v>
      </c>
      <c r="AQ109" s="124">
        <f t="shared" si="10"/>
        <v>250</v>
      </c>
      <c r="AR109" s="124">
        <f t="shared" si="3"/>
        <v>0</v>
      </c>
      <c r="AS109" s="124">
        <f t="shared" si="4"/>
        <v>253</v>
      </c>
      <c r="AT109" s="125">
        <f t="shared" si="5"/>
        <v>18.75494071</v>
      </c>
    </row>
    <row r="110" ht="15.75" customHeight="1">
      <c r="A110" s="117" t="s">
        <v>24</v>
      </c>
      <c r="B110" s="118">
        <f t="shared" si="6"/>
        <v>45035</v>
      </c>
      <c r="C110" s="119">
        <v>4.0</v>
      </c>
      <c r="D110" s="119" t="s">
        <v>37</v>
      </c>
      <c r="E110" s="120" t="s">
        <v>42</v>
      </c>
      <c r="F110" s="121">
        <v>0.0</v>
      </c>
      <c r="G110" s="3"/>
      <c r="H110" s="121">
        <v>0.0</v>
      </c>
      <c r="I110" s="3"/>
      <c r="J110" s="121">
        <v>0.0</v>
      </c>
      <c r="K110" s="3"/>
      <c r="L110" s="121">
        <v>0.0</v>
      </c>
      <c r="M110" s="3"/>
      <c r="N110" s="121">
        <v>125.0</v>
      </c>
      <c r="O110" s="3"/>
      <c r="P110" s="121">
        <v>125.0</v>
      </c>
      <c r="Q110" s="3"/>
      <c r="R110" s="121">
        <v>0.0</v>
      </c>
      <c r="S110" s="3"/>
      <c r="T110" s="121">
        <v>0.0</v>
      </c>
      <c r="U110" s="3"/>
      <c r="V110" s="121">
        <v>0.0</v>
      </c>
      <c r="W110" s="3"/>
      <c r="X110" s="121">
        <v>0.0</v>
      </c>
      <c r="Y110" s="3"/>
      <c r="Z110" s="121">
        <v>4.0</v>
      </c>
      <c r="AA110" s="3"/>
      <c r="AB110" s="121">
        <v>0.0</v>
      </c>
      <c r="AC110" s="3"/>
      <c r="AD110" s="121">
        <v>0.0</v>
      </c>
      <c r="AE110" s="3"/>
      <c r="AF110" s="121">
        <v>0.0</v>
      </c>
      <c r="AG110" s="3"/>
      <c r="AH110" s="121">
        <v>0.0</v>
      </c>
      <c r="AI110" s="3"/>
      <c r="AJ110" s="121">
        <v>0.0</v>
      </c>
      <c r="AK110" s="3"/>
      <c r="AL110" s="121">
        <v>0.0</v>
      </c>
      <c r="AM110" s="3"/>
      <c r="AN110" s="121">
        <v>0.0</v>
      </c>
      <c r="AO110" s="3"/>
      <c r="AP110" s="123">
        <f t="shared" si="11"/>
        <v>4825</v>
      </c>
      <c r="AQ110" s="124">
        <f t="shared" si="10"/>
        <v>250</v>
      </c>
      <c r="AR110" s="124">
        <f t="shared" si="3"/>
        <v>0</v>
      </c>
      <c r="AS110" s="124">
        <f t="shared" si="4"/>
        <v>254</v>
      </c>
      <c r="AT110" s="125">
        <f t="shared" si="5"/>
        <v>18.99606299</v>
      </c>
    </row>
    <row r="111" ht="15.75" customHeight="1">
      <c r="A111" s="117" t="s">
        <v>25</v>
      </c>
      <c r="B111" s="118">
        <f t="shared" si="6"/>
        <v>45036</v>
      </c>
      <c r="C111" s="119">
        <v>4.0</v>
      </c>
      <c r="D111" s="119" t="s">
        <v>37</v>
      </c>
      <c r="E111" s="120" t="s">
        <v>42</v>
      </c>
      <c r="F111" s="121">
        <v>0.0</v>
      </c>
      <c r="G111" s="3"/>
      <c r="H111" s="121">
        <v>0.0</v>
      </c>
      <c r="I111" s="3"/>
      <c r="J111" s="121">
        <v>0.0</v>
      </c>
      <c r="K111" s="3"/>
      <c r="L111" s="121">
        <v>0.0</v>
      </c>
      <c r="M111" s="3"/>
      <c r="N111" s="121">
        <v>125.0</v>
      </c>
      <c r="O111" s="3"/>
      <c r="P111" s="121">
        <v>125.0</v>
      </c>
      <c r="Q111" s="3"/>
      <c r="R111" s="121">
        <v>0.0</v>
      </c>
      <c r="S111" s="3"/>
      <c r="T111" s="121">
        <v>0.0</v>
      </c>
      <c r="U111" s="3"/>
      <c r="V111" s="121">
        <v>0.0</v>
      </c>
      <c r="W111" s="3"/>
      <c r="X111" s="121">
        <v>0.0</v>
      </c>
      <c r="Y111" s="3"/>
      <c r="Z111" s="121">
        <v>0.0</v>
      </c>
      <c r="AA111" s="3"/>
      <c r="AB111" s="121">
        <v>3.0</v>
      </c>
      <c r="AC111" s="3"/>
      <c r="AD111" s="121">
        <v>0.0</v>
      </c>
      <c r="AE111" s="3"/>
      <c r="AF111" s="121">
        <v>0.0</v>
      </c>
      <c r="AG111" s="3"/>
      <c r="AH111" s="121">
        <v>0.0</v>
      </c>
      <c r="AI111" s="3"/>
      <c r="AJ111" s="121">
        <v>0.0</v>
      </c>
      <c r="AK111" s="3"/>
      <c r="AL111" s="121">
        <v>0.0</v>
      </c>
      <c r="AM111" s="3"/>
      <c r="AN111" s="121">
        <v>0.0</v>
      </c>
      <c r="AO111" s="3"/>
      <c r="AP111" s="123">
        <f t="shared" si="11"/>
        <v>4880</v>
      </c>
      <c r="AQ111" s="124">
        <f t="shared" si="10"/>
        <v>250</v>
      </c>
      <c r="AR111" s="124">
        <f t="shared" si="3"/>
        <v>0</v>
      </c>
      <c r="AS111" s="124">
        <f t="shared" si="4"/>
        <v>253</v>
      </c>
      <c r="AT111" s="125">
        <f t="shared" si="5"/>
        <v>19.28853755</v>
      </c>
    </row>
    <row r="112" ht="15.75" customHeight="1">
      <c r="A112" s="117" t="s">
        <v>26</v>
      </c>
      <c r="B112" s="118">
        <f t="shared" si="6"/>
        <v>45037</v>
      </c>
      <c r="C112" s="119">
        <v>4.0</v>
      </c>
      <c r="D112" s="119" t="s">
        <v>37</v>
      </c>
      <c r="E112" s="120" t="s">
        <v>42</v>
      </c>
      <c r="F112" s="121">
        <v>0.0</v>
      </c>
      <c r="G112" s="3"/>
      <c r="H112" s="121">
        <v>0.0</v>
      </c>
      <c r="I112" s="3"/>
      <c r="J112" s="121">
        <v>0.0</v>
      </c>
      <c r="K112" s="3"/>
      <c r="L112" s="121">
        <v>0.0</v>
      </c>
      <c r="M112" s="3"/>
      <c r="N112" s="121">
        <v>125.0</v>
      </c>
      <c r="O112" s="3"/>
      <c r="P112" s="121">
        <v>125.0</v>
      </c>
      <c r="Q112" s="3"/>
      <c r="R112" s="121">
        <v>0.0</v>
      </c>
      <c r="S112" s="3"/>
      <c r="T112" s="121">
        <v>0.0</v>
      </c>
      <c r="U112" s="3"/>
      <c r="V112" s="121">
        <v>0.0</v>
      </c>
      <c r="W112" s="3"/>
      <c r="X112" s="121">
        <v>0.0</v>
      </c>
      <c r="Y112" s="3"/>
      <c r="Z112" s="121">
        <v>3.0</v>
      </c>
      <c r="AA112" s="3"/>
      <c r="AB112" s="121">
        <v>0.0</v>
      </c>
      <c r="AC112" s="3"/>
      <c r="AD112" s="121">
        <v>0.0</v>
      </c>
      <c r="AE112" s="3"/>
      <c r="AF112" s="121">
        <v>0.0</v>
      </c>
      <c r="AG112" s="3"/>
      <c r="AH112" s="121">
        <v>0.0</v>
      </c>
      <c r="AI112" s="3"/>
      <c r="AJ112" s="121">
        <v>0.0</v>
      </c>
      <c r="AK112" s="3"/>
      <c r="AL112" s="121">
        <v>0.0</v>
      </c>
      <c r="AM112" s="3"/>
      <c r="AN112" s="121">
        <v>0.0</v>
      </c>
      <c r="AO112" s="3"/>
      <c r="AP112" s="123">
        <f t="shared" si="11"/>
        <v>4745</v>
      </c>
      <c r="AQ112" s="124">
        <f t="shared" si="10"/>
        <v>250</v>
      </c>
      <c r="AR112" s="124">
        <f t="shared" si="3"/>
        <v>0</v>
      </c>
      <c r="AS112" s="124">
        <f t="shared" si="4"/>
        <v>253</v>
      </c>
      <c r="AT112" s="125">
        <f t="shared" si="5"/>
        <v>18.75494071</v>
      </c>
    </row>
    <row r="113" ht="15.75" customHeight="1">
      <c r="A113" s="117" t="s">
        <v>27</v>
      </c>
      <c r="B113" s="118">
        <f t="shared" si="6"/>
        <v>45038</v>
      </c>
      <c r="C113" s="119">
        <v>4.0</v>
      </c>
      <c r="D113" s="119" t="s">
        <v>37</v>
      </c>
      <c r="E113" s="120" t="s">
        <v>42</v>
      </c>
      <c r="F113" s="121">
        <v>0.0</v>
      </c>
      <c r="G113" s="3"/>
      <c r="H113" s="121">
        <v>0.0</v>
      </c>
      <c r="I113" s="3"/>
      <c r="J113" s="121">
        <v>0.0</v>
      </c>
      <c r="K113" s="3"/>
      <c r="L113" s="121">
        <v>0.0</v>
      </c>
      <c r="M113" s="3"/>
      <c r="N113" s="121">
        <v>125.0</v>
      </c>
      <c r="O113" s="3"/>
      <c r="P113" s="121">
        <v>125.0</v>
      </c>
      <c r="Q113" s="3"/>
      <c r="R113" s="121">
        <v>0.0</v>
      </c>
      <c r="S113" s="3"/>
      <c r="T113" s="121">
        <v>0.0</v>
      </c>
      <c r="U113" s="3"/>
      <c r="V113" s="121">
        <v>0.0</v>
      </c>
      <c r="W113" s="3"/>
      <c r="X113" s="121">
        <v>0.0</v>
      </c>
      <c r="Y113" s="3"/>
      <c r="Z113" s="121">
        <v>3.0</v>
      </c>
      <c r="AA113" s="3"/>
      <c r="AB113" s="121">
        <v>0.0</v>
      </c>
      <c r="AC113" s="3"/>
      <c r="AD113" s="121">
        <v>0.0</v>
      </c>
      <c r="AE113" s="3"/>
      <c r="AF113" s="121">
        <v>0.0</v>
      </c>
      <c r="AG113" s="3"/>
      <c r="AH113" s="121">
        <v>0.0</v>
      </c>
      <c r="AI113" s="3"/>
      <c r="AJ113" s="121">
        <v>0.0</v>
      </c>
      <c r="AK113" s="3"/>
      <c r="AL113" s="121">
        <v>0.0</v>
      </c>
      <c r="AM113" s="3"/>
      <c r="AN113" s="121">
        <v>0.0</v>
      </c>
      <c r="AO113" s="3"/>
      <c r="AP113" s="123">
        <f t="shared" si="11"/>
        <v>4745</v>
      </c>
      <c r="AQ113" s="124">
        <f t="shared" si="10"/>
        <v>250</v>
      </c>
      <c r="AR113" s="124">
        <f t="shared" si="3"/>
        <v>0</v>
      </c>
      <c r="AS113" s="124">
        <f t="shared" si="4"/>
        <v>253</v>
      </c>
      <c r="AT113" s="125">
        <f t="shared" si="5"/>
        <v>18.75494071</v>
      </c>
    </row>
    <row r="114" ht="15.75" customHeight="1">
      <c r="A114" s="117" t="s">
        <v>28</v>
      </c>
      <c r="B114" s="118">
        <f t="shared" si="6"/>
        <v>45039</v>
      </c>
      <c r="C114" s="119">
        <v>4.0</v>
      </c>
      <c r="D114" s="119" t="s">
        <v>37</v>
      </c>
      <c r="E114" s="259" t="s">
        <v>42</v>
      </c>
      <c r="F114" s="182">
        <v>0.0</v>
      </c>
      <c r="G114" s="73"/>
      <c r="H114" s="182">
        <v>0.0</v>
      </c>
      <c r="I114" s="73"/>
      <c r="J114" s="182">
        <v>0.0</v>
      </c>
      <c r="K114" s="73"/>
      <c r="L114" s="182">
        <v>0.0</v>
      </c>
      <c r="M114" s="73"/>
      <c r="N114" s="182">
        <v>0.0</v>
      </c>
      <c r="O114" s="73"/>
      <c r="P114" s="182">
        <v>0.0</v>
      </c>
      <c r="Q114" s="73"/>
      <c r="R114" s="182">
        <v>0.0</v>
      </c>
      <c r="S114" s="73"/>
      <c r="T114" s="182">
        <v>0.0</v>
      </c>
      <c r="U114" s="73"/>
      <c r="V114" s="182">
        <v>0.0</v>
      </c>
      <c r="W114" s="73"/>
      <c r="X114" s="182">
        <v>0.0</v>
      </c>
      <c r="Y114" s="73"/>
      <c r="Z114" s="182">
        <v>0.0</v>
      </c>
      <c r="AA114" s="73"/>
      <c r="AB114" s="182">
        <v>0.0</v>
      </c>
      <c r="AC114" s="73"/>
      <c r="AD114" s="182">
        <v>0.0</v>
      </c>
      <c r="AE114" s="73"/>
      <c r="AF114" s="182">
        <v>0.0</v>
      </c>
      <c r="AG114" s="73"/>
      <c r="AH114" s="182">
        <v>0.0</v>
      </c>
      <c r="AI114" s="73"/>
      <c r="AJ114" s="182">
        <v>0.0</v>
      </c>
      <c r="AK114" s="73"/>
      <c r="AL114" s="182">
        <v>0.0</v>
      </c>
      <c r="AM114" s="73"/>
      <c r="AN114" s="182">
        <v>0.0</v>
      </c>
      <c r="AO114" s="73"/>
      <c r="AP114" s="183">
        <f t="shared" si="11"/>
        <v>0</v>
      </c>
      <c r="AQ114" s="181">
        <f t="shared" si="10"/>
        <v>0</v>
      </c>
      <c r="AR114" s="181">
        <f t="shared" si="3"/>
        <v>0</v>
      </c>
      <c r="AS114" s="181">
        <f t="shared" si="4"/>
        <v>0</v>
      </c>
      <c r="AT114" s="184" t="str">
        <f t="shared" si="5"/>
        <v/>
      </c>
    </row>
    <row r="115" ht="15.75" customHeight="1">
      <c r="A115" s="262" t="s">
        <v>21</v>
      </c>
      <c r="B115" s="263">
        <f t="shared" si="6"/>
        <v>45040</v>
      </c>
      <c r="C115" s="264">
        <v>5.0</v>
      </c>
      <c r="D115" s="264" t="s">
        <v>22</v>
      </c>
      <c r="E115" s="265" t="s">
        <v>42</v>
      </c>
      <c r="F115" s="266">
        <v>0.0</v>
      </c>
      <c r="G115" s="84"/>
      <c r="H115" s="266">
        <v>0.0</v>
      </c>
      <c r="I115" s="84"/>
      <c r="J115" s="266">
        <v>0.0</v>
      </c>
      <c r="K115" s="84"/>
      <c r="L115" s="266">
        <v>0.0</v>
      </c>
      <c r="M115" s="84"/>
      <c r="N115" s="266">
        <v>125.0</v>
      </c>
      <c r="O115" s="84"/>
      <c r="P115" s="266">
        <v>125.0</v>
      </c>
      <c r="Q115" s="84"/>
      <c r="R115" s="266">
        <v>0.0</v>
      </c>
      <c r="S115" s="84"/>
      <c r="T115" s="266">
        <v>0.0</v>
      </c>
      <c r="U115" s="84"/>
      <c r="V115" s="266">
        <v>0.0</v>
      </c>
      <c r="W115" s="84"/>
      <c r="X115" s="266">
        <v>0.0</v>
      </c>
      <c r="Y115" s="84"/>
      <c r="Z115" s="266">
        <v>3.0</v>
      </c>
      <c r="AA115" s="84"/>
      <c r="AB115" s="266">
        <v>0.0</v>
      </c>
      <c r="AC115" s="84"/>
      <c r="AD115" s="266">
        <v>0.0</v>
      </c>
      <c r="AE115" s="84"/>
      <c r="AF115" s="266">
        <v>0.0</v>
      </c>
      <c r="AG115" s="84"/>
      <c r="AH115" s="266">
        <v>0.0</v>
      </c>
      <c r="AI115" s="84"/>
      <c r="AJ115" s="266">
        <v>0.0</v>
      </c>
      <c r="AK115" s="84"/>
      <c r="AL115" s="266">
        <v>0.0</v>
      </c>
      <c r="AM115" s="84"/>
      <c r="AN115" s="266">
        <v>0.0</v>
      </c>
      <c r="AO115" s="84"/>
      <c r="AP115" s="269">
        <f t="shared" si="11"/>
        <v>4745</v>
      </c>
      <c r="AQ115" s="270">
        <f t="shared" si="10"/>
        <v>250</v>
      </c>
      <c r="AR115" s="270">
        <f t="shared" si="3"/>
        <v>0</v>
      </c>
      <c r="AS115" s="270">
        <f t="shared" si="4"/>
        <v>253</v>
      </c>
      <c r="AT115" s="271">
        <f t="shared" si="5"/>
        <v>18.75494071</v>
      </c>
    </row>
    <row r="116" ht="15.75" customHeight="1">
      <c r="A116" s="272" t="s">
        <v>23</v>
      </c>
      <c r="B116" s="229">
        <f t="shared" si="6"/>
        <v>45041</v>
      </c>
      <c r="C116" s="230">
        <v>5.0</v>
      </c>
      <c r="D116" s="230" t="s">
        <v>22</v>
      </c>
      <c r="E116" s="231" t="s">
        <v>42</v>
      </c>
      <c r="F116" s="232">
        <v>0.0</v>
      </c>
      <c r="G116" s="3"/>
      <c r="H116" s="232">
        <v>0.0</v>
      </c>
      <c r="I116" s="3"/>
      <c r="J116" s="232">
        <v>0.0</v>
      </c>
      <c r="K116" s="3"/>
      <c r="L116" s="232">
        <v>0.0</v>
      </c>
      <c r="M116" s="3"/>
      <c r="N116" s="232">
        <v>125.0</v>
      </c>
      <c r="O116" s="3"/>
      <c r="P116" s="232">
        <v>90.0</v>
      </c>
      <c r="Q116" s="3"/>
      <c r="R116" s="232">
        <v>0.0</v>
      </c>
      <c r="S116" s="3"/>
      <c r="T116" s="232">
        <v>0.0</v>
      </c>
      <c r="U116" s="3"/>
      <c r="V116" s="232">
        <v>0.0</v>
      </c>
      <c r="W116" s="3"/>
      <c r="X116" s="232">
        <v>40.0</v>
      </c>
      <c r="Y116" s="3"/>
      <c r="Z116" s="232">
        <v>3.0</v>
      </c>
      <c r="AA116" s="3"/>
      <c r="AB116" s="232">
        <v>0.0</v>
      </c>
      <c r="AC116" s="3"/>
      <c r="AD116" s="232">
        <v>0.0</v>
      </c>
      <c r="AE116" s="3"/>
      <c r="AF116" s="232">
        <v>0.0</v>
      </c>
      <c r="AG116" s="3"/>
      <c r="AH116" s="232">
        <v>0.0</v>
      </c>
      <c r="AI116" s="3"/>
      <c r="AJ116" s="232">
        <v>0.0</v>
      </c>
      <c r="AK116" s="3"/>
      <c r="AL116" s="232">
        <v>0.0</v>
      </c>
      <c r="AM116" s="3"/>
      <c r="AN116" s="232">
        <v>0.0</v>
      </c>
      <c r="AO116" s="3"/>
      <c r="AP116" s="233">
        <f t="shared" si="11"/>
        <v>4843.7</v>
      </c>
      <c r="AQ116" s="234">
        <f t="shared" si="10"/>
        <v>255</v>
      </c>
      <c r="AR116" s="234">
        <f t="shared" si="3"/>
        <v>0</v>
      </c>
      <c r="AS116" s="234">
        <f t="shared" si="4"/>
        <v>258</v>
      </c>
      <c r="AT116" s="274">
        <f t="shared" si="5"/>
        <v>18.77403101</v>
      </c>
    </row>
    <row r="117" ht="15.75" customHeight="1">
      <c r="A117" s="272" t="s">
        <v>24</v>
      </c>
      <c r="B117" s="229">
        <f t="shared" si="6"/>
        <v>45042</v>
      </c>
      <c r="C117" s="230">
        <v>5.0</v>
      </c>
      <c r="D117" s="230" t="s">
        <v>22</v>
      </c>
      <c r="E117" s="231" t="s">
        <v>42</v>
      </c>
      <c r="F117" s="232">
        <v>0.0</v>
      </c>
      <c r="G117" s="3"/>
      <c r="H117" s="232">
        <v>0.0</v>
      </c>
      <c r="I117" s="3"/>
      <c r="J117" s="232">
        <v>0.0</v>
      </c>
      <c r="K117" s="3"/>
      <c r="L117" s="232">
        <v>0.0</v>
      </c>
      <c r="M117" s="3"/>
      <c r="N117" s="232">
        <v>125.0</v>
      </c>
      <c r="O117" s="3"/>
      <c r="P117" s="232">
        <v>125.0</v>
      </c>
      <c r="Q117" s="3"/>
      <c r="R117" s="232">
        <v>0.0</v>
      </c>
      <c r="S117" s="3"/>
      <c r="T117" s="232">
        <v>0.0</v>
      </c>
      <c r="U117" s="3"/>
      <c r="V117" s="232">
        <v>0.0</v>
      </c>
      <c r="W117" s="3"/>
      <c r="X117" s="232">
        <v>0.0</v>
      </c>
      <c r="Y117" s="3"/>
      <c r="Z117" s="232">
        <v>4.0</v>
      </c>
      <c r="AA117" s="3"/>
      <c r="AB117" s="232">
        <v>0.0</v>
      </c>
      <c r="AC117" s="3"/>
      <c r="AD117" s="232">
        <v>0.0</v>
      </c>
      <c r="AE117" s="3"/>
      <c r="AF117" s="232">
        <v>0.0</v>
      </c>
      <c r="AG117" s="3"/>
      <c r="AH117" s="232">
        <v>0.0</v>
      </c>
      <c r="AI117" s="3"/>
      <c r="AJ117" s="232">
        <v>0.0</v>
      </c>
      <c r="AK117" s="3"/>
      <c r="AL117" s="232">
        <v>0.0</v>
      </c>
      <c r="AM117" s="3"/>
      <c r="AN117" s="232">
        <v>0.0</v>
      </c>
      <c r="AO117" s="3"/>
      <c r="AP117" s="233">
        <f t="shared" si="11"/>
        <v>4825</v>
      </c>
      <c r="AQ117" s="234">
        <f t="shared" si="10"/>
        <v>250</v>
      </c>
      <c r="AR117" s="234">
        <f t="shared" si="3"/>
        <v>0</v>
      </c>
      <c r="AS117" s="234">
        <f t="shared" si="4"/>
        <v>254</v>
      </c>
      <c r="AT117" s="274">
        <f t="shared" si="5"/>
        <v>18.99606299</v>
      </c>
    </row>
    <row r="118" ht="15.75" customHeight="1">
      <c r="A118" s="272" t="s">
        <v>25</v>
      </c>
      <c r="B118" s="229">
        <f t="shared" si="6"/>
        <v>45043</v>
      </c>
      <c r="C118" s="230">
        <v>5.0</v>
      </c>
      <c r="D118" s="230" t="s">
        <v>22</v>
      </c>
      <c r="E118" s="231" t="s">
        <v>42</v>
      </c>
      <c r="F118" s="232">
        <v>0.0</v>
      </c>
      <c r="G118" s="3"/>
      <c r="H118" s="232">
        <v>0.0</v>
      </c>
      <c r="I118" s="3"/>
      <c r="J118" s="232">
        <v>0.0</v>
      </c>
      <c r="K118" s="3"/>
      <c r="L118" s="232">
        <v>0.0</v>
      </c>
      <c r="M118" s="3"/>
      <c r="N118" s="232">
        <v>125.0</v>
      </c>
      <c r="O118" s="3"/>
      <c r="P118" s="232">
        <v>125.0</v>
      </c>
      <c r="Q118" s="3"/>
      <c r="R118" s="232">
        <v>0.0</v>
      </c>
      <c r="S118" s="3"/>
      <c r="T118" s="232">
        <v>0.0</v>
      </c>
      <c r="U118" s="3"/>
      <c r="V118" s="232">
        <v>0.0</v>
      </c>
      <c r="W118" s="3"/>
      <c r="X118" s="232">
        <v>0.0</v>
      </c>
      <c r="Y118" s="3"/>
      <c r="Z118" s="232">
        <v>3.0</v>
      </c>
      <c r="AA118" s="3"/>
      <c r="AB118" s="232">
        <v>0.0</v>
      </c>
      <c r="AC118" s="3"/>
      <c r="AD118" s="232">
        <v>0.0</v>
      </c>
      <c r="AE118" s="3"/>
      <c r="AF118" s="232">
        <v>0.0</v>
      </c>
      <c r="AG118" s="3"/>
      <c r="AH118" s="232">
        <v>0.0</v>
      </c>
      <c r="AI118" s="3"/>
      <c r="AJ118" s="232">
        <v>0.0</v>
      </c>
      <c r="AK118" s="3"/>
      <c r="AL118" s="232">
        <v>0.0</v>
      </c>
      <c r="AM118" s="3"/>
      <c r="AN118" s="232">
        <v>0.0</v>
      </c>
      <c r="AO118" s="3"/>
      <c r="AP118" s="233">
        <f t="shared" si="11"/>
        <v>4745</v>
      </c>
      <c r="AQ118" s="234">
        <f t="shared" si="10"/>
        <v>250</v>
      </c>
      <c r="AR118" s="234">
        <f t="shared" si="3"/>
        <v>0</v>
      </c>
      <c r="AS118" s="234">
        <f t="shared" si="4"/>
        <v>253</v>
      </c>
      <c r="AT118" s="274">
        <f t="shared" si="5"/>
        <v>18.75494071</v>
      </c>
    </row>
    <row r="119" ht="15.75" customHeight="1">
      <c r="A119" s="272" t="s">
        <v>26</v>
      </c>
      <c r="B119" s="229">
        <f t="shared" si="6"/>
        <v>45044</v>
      </c>
      <c r="C119" s="230">
        <v>5.0</v>
      </c>
      <c r="D119" s="230" t="s">
        <v>22</v>
      </c>
      <c r="E119" s="231" t="s">
        <v>42</v>
      </c>
      <c r="F119" s="232">
        <v>0.0</v>
      </c>
      <c r="G119" s="3"/>
      <c r="H119" s="232">
        <v>0.0</v>
      </c>
      <c r="I119" s="3"/>
      <c r="J119" s="232">
        <v>0.0</v>
      </c>
      <c r="K119" s="3"/>
      <c r="L119" s="232">
        <v>0.0</v>
      </c>
      <c r="M119" s="3"/>
      <c r="N119" s="232">
        <v>125.0</v>
      </c>
      <c r="O119" s="3"/>
      <c r="P119" s="232">
        <v>90.0</v>
      </c>
      <c r="Q119" s="3"/>
      <c r="R119" s="232">
        <v>0.0</v>
      </c>
      <c r="S119" s="3"/>
      <c r="T119" s="232">
        <v>0.0</v>
      </c>
      <c r="U119" s="3"/>
      <c r="V119" s="232">
        <v>0.0</v>
      </c>
      <c r="W119" s="3"/>
      <c r="X119" s="232">
        <v>40.0</v>
      </c>
      <c r="Y119" s="3"/>
      <c r="Z119" s="232">
        <v>0.0</v>
      </c>
      <c r="AA119" s="3"/>
      <c r="AB119" s="232">
        <v>3.0</v>
      </c>
      <c r="AC119" s="3"/>
      <c r="AD119" s="232">
        <v>0.0</v>
      </c>
      <c r="AE119" s="3"/>
      <c r="AF119" s="232">
        <v>0.0</v>
      </c>
      <c r="AG119" s="3"/>
      <c r="AH119" s="232">
        <v>0.0</v>
      </c>
      <c r="AI119" s="3"/>
      <c r="AJ119" s="232">
        <v>0.0</v>
      </c>
      <c r="AK119" s="3"/>
      <c r="AL119" s="232">
        <v>0.0</v>
      </c>
      <c r="AM119" s="3"/>
      <c r="AN119" s="232">
        <v>0.0</v>
      </c>
      <c r="AO119" s="3"/>
      <c r="AP119" s="233">
        <f t="shared" si="11"/>
        <v>4978.7</v>
      </c>
      <c r="AQ119" s="234">
        <f t="shared" si="10"/>
        <v>255</v>
      </c>
      <c r="AR119" s="234">
        <f t="shared" si="3"/>
        <v>0</v>
      </c>
      <c r="AS119" s="234">
        <f t="shared" si="4"/>
        <v>258</v>
      </c>
      <c r="AT119" s="274">
        <f t="shared" si="5"/>
        <v>19.29728682</v>
      </c>
    </row>
    <row r="120" ht="15.75" customHeight="1">
      <c r="A120" s="272" t="s">
        <v>27</v>
      </c>
      <c r="B120" s="229">
        <f t="shared" si="6"/>
        <v>45045</v>
      </c>
      <c r="C120" s="230">
        <v>5.0</v>
      </c>
      <c r="D120" s="230" t="s">
        <v>22</v>
      </c>
      <c r="E120" s="231" t="s">
        <v>42</v>
      </c>
      <c r="F120" s="232">
        <v>0.0</v>
      </c>
      <c r="G120" s="3"/>
      <c r="H120" s="232">
        <v>0.0</v>
      </c>
      <c r="I120" s="3"/>
      <c r="J120" s="232">
        <v>0.0</v>
      </c>
      <c r="K120" s="3"/>
      <c r="L120" s="232">
        <v>0.0</v>
      </c>
      <c r="M120" s="3"/>
      <c r="N120" s="232">
        <v>125.0</v>
      </c>
      <c r="O120" s="3"/>
      <c r="P120" s="232">
        <v>125.0</v>
      </c>
      <c r="Q120" s="3"/>
      <c r="R120" s="232">
        <v>0.0</v>
      </c>
      <c r="S120" s="3"/>
      <c r="T120" s="232">
        <v>0.0</v>
      </c>
      <c r="U120" s="3"/>
      <c r="V120" s="232">
        <v>0.0</v>
      </c>
      <c r="W120" s="3"/>
      <c r="X120" s="232">
        <v>0.0</v>
      </c>
      <c r="Y120" s="3"/>
      <c r="Z120" s="232">
        <v>3.0</v>
      </c>
      <c r="AA120" s="3"/>
      <c r="AB120" s="232">
        <v>0.0</v>
      </c>
      <c r="AC120" s="3"/>
      <c r="AD120" s="232">
        <v>0.0</v>
      </c>
      <c r="AE120" s="3"/>
      <c r="AF120" s="232">
        <v>0.0</v>
      </c>
      <c r="AG120" s="3"/>
      <c r="AH120" s="232">
        <v>0.0</v>
      </c>
      <c r="AI120" s="3"/>
      <c r="AJ120" s="232">
        <v>0.0</v>
      </c>
      <c r="AK120" s="3"/>
      <c r="AL120" s="232">
        <v>0.0</v>
      </c>
      <c r="AM120" s="3"/>
      <c r="AN120" s="232">
        <v>0.0</v>
      </c>
      <c r="AO120" s="3"/>
      <c r="AP120" s="233">
        <f t="shared" si="11"/>
        <v>4745</v>
      </c>
      <c r="AQ120" s="234">
        <f t="shared" si="10"/>
        <v>250</v>
      </c>
      <c r="AR120" s="234">
        <f t="shared" si="3"/>
        <v>0</v>
      </c>
      <c r="AS120" s="234">
        <f t="shared" si="4"/>
        <v>253</v>
      </c>
      <c r="AT120" s="274">
        <f t="shared" si="5"/>
        <v>18.75494071</v>
      </c>
    </row>
    <row r="121" ht="15.75" customHeight="1">
      <c r="A121" s="272" t="s">
        <v>28</v>
      </c>
      <c r="B121" s="229">
        <f t="shared" si="6"/>
        <v>45046</v>
      </c>
      <c r="C121" s="230">
        <v>5.0</v>
      </c>
      <c r="D121" s="230" t="s">
        <v>22</v>
      </c>
      <c r="E121" s="236" t="s">
        <v>42</v>
      </c>
      <c r="F121" s="237">
        <v>0.0</v>
      </c>
      <c r="G121" s="73"/>
      <c r="H121" s="237">
        <v>0.0</v>
      </c>
      <c r="I121" s="73"/>
      <c r="J121" s="237">
        <v>0.0</v>
      </c>
      <c r="K121" s="73"/>
      <c r="L121" s="237">
        <v>0.0</v>
      </c>
      <c r="M121" s="73"/>
      <c r="N121" s="237">
        <v>0.0</v>
      </c>
      <c r="O121" s="73"/>
      <c r="P121" s="237">
        <v>0.0</v>
      </c>
      <c r="Q121" s="73"/>
      <c r="R121" s="237">
        <v>0.0</v>
      </c>
      <c r="S121" s="73"/>
      <c r="T121" s="237">
        <v>0.0</v>
      </c>
      <c r="U121" s="73"/>
      <c r="V121" s="237">
        <v>0.0</v>
      </c>
      <c r="W121" s="73"/>
      <c r="X121" s="237">
        <v>0.0</v>
      </c>
      <c r="Y121" s="73"/>
      <c r="Z121" s="237">
        <v>0.0</v>
      </c>
      <c r="AA121" s="73"/>
      <c r="AB121" s="237">
        <v>0.0</v>
      </c>
      <c r="AC121" s="73"/>
      <c r="AD121" s="237">
        <v>0.0</v>
      </c>
      <c r="AE121" s="73"/>
      <c r="AF121" s="237">
        <v>0.0</v>
      </c>
      <c r="AG121" s="73"/>
      <c r="AH121" s="237">
        <v>0.0</v>
      </c>
      <c r="AI121" s="73"/>
      <c r="AJ121" s="237">
        <v>0.0</v>
      </c>
      <c r="AK121" s="73"/>
      <c r="AL121" s="237">
        <v>0.0</v>
      </c>
      <c r="AM121" s="73"/>
      <c r="AN121" s="237">
        <v>0.0</v>
      </c>
      <c r="AO121" s="73"/>
      <c r="AP121" s="238">
        <f t="shared" si="11"/>
        <v>0</v>
      </c>
      <c r="AQ121" s="239">
        <f t="shared" si="10"/>
        <v>0</v>
      </c>
      <c r="AR121" s="239">
        <f t="shared" si="3"/>
        <v>0</v>
      </c>
      <c r="AS121" s="239">
        <f t="shared" si="4"/>
        <v>0</v>
      </c>
      <c r="AT121" s="276" t="str">
        <f t="shared" si="5"/>
        <v/>
      </c>
    </row>
    <row r="122" ht="15.75" customHeight="1">
      <c r="A122" s="108" t="s">
        <v>21</v>
      </c>
      <c r="B122" s="109">
        <f t="shared" si="6"/>
        <v>45047</v>
      </c>
      <c r="C122" s="110">
        <v>5.0</v>
      </c>
      <c r="D122" s="110" t="s">
        <v>34</v>
      </c>
      <c r="E122" s="111" t="s">
        <v>42</v>
      </c>
      <c r="F122" s="112">
        <v>0.0</v>
      </c>
      <c r="G122" s="84"/>
      <c r="H122" s="112">
        <v>0.0</v>
      </c>
      <c r="I122" s="84"/>
      <c r="J122" s="112">
        <v>0.0</v>
      </c>
      <c r="K122" s="84"/>
      <c r="L122" s="112">
        <v>0.0</v>
      </c>
      <c r="M122" s="84"/>
      <c r="N122" s="112">
        <v>125.0</v>
      </c>
      <c r="O122" s="84"/>
      <c r="P122" s="112">
        <v>90.0</v>
      </c>
      <c r="Q122" s="84"/>
      <c r="R122" s="112">
        <v>0.0</v>
      </c>
      <c r="S122" s="84"/>
      <c r="T122" s="112">
        <v>0.0</v>
      </c>
      <c r="U122" s="84"/>
      <c r="V122" s="112">
        <v>0.0</v>
      </c>
      <c r="W122" s="84"/>
      <c r="X122" s="112">
        <v>40.0</v>
      </c>
      <c r="Y122" s="84"/>
      <c r="Z122" s="112">
        <v>3.0</v>
      </c>
      <c r="AA122" s="84"/>
      <c r="AB122" s="112">
        <v>0.0</v>
      </c>
      <c r="AC122" s="84"/>
      <c r="AD122" s="112">
        <v>0.0</v>
      </c>
      <c r="AE122" s="84"/>
      <c r="AF122" s="112">
        <v>0.0</v>
      </c>
      <c r="AG122" s="84"/>
      <c r="AH122" s="112">
        <v>0.0</v>
      </c>
      <c r="AI122" s="84"/>
      <c r="AJ122" s="112">
        <v>0.0</v>
      </c>
      <c r="AK122" s="84"/>
      <c r="AL122" s="112">
        <v>0.0</v>
      </c>
      <c r="AM122" s="84"/>
      <c r="AN122" s="112">
        <v>0.0</v>
      </c>
      <c r="AO122" s="84"/>
      <c r="AP122" s="114">
        <f t="shared" si="11"/>
        <v>4843.7</v>
      </c>
      <c r="AQ122" s="115">
        <f t="shared" si="10"/>
        <v>255</v>
      </c>
      <c r="AR122" s="115">
        <f t="shared" si="3"/>
        <v>0</v>
      </c>
      <c r="AS122" s="115">
        <f t="shared" si="4"/>
        <v>258</v>
      </c>
      <c r="AT122" s="116">
        <f t="shared" si="5"/>
        <v>18.77403101</v>
      </c>
    </row>
    <row r="123" ht="15.75" customHeight="1">
      <c r="A123" s="117" t="s">
        <v>23</v>
      </c>
      <c r="B123" s="118">
        <f t="shared" si="6"/>
        <v>45048</v>
      </c>
      <c r="C123" s="119">
        <v>5.0</v>
      </c>
      <c r="D123" s="119" t="s">
        <v>34</v>
      </c>
      <c r="E123" s="120" t="s">
        <v>42</v>
      </c>
      <c r="F123" s="121">
        <v>0.0</v>
      </c>
      <c r="G123" s="3"/>
      <c r="H123" s="121">
        <v>0.0</v>
      </c>
      <c r="I123" s="3"/>
      <c r="J123" s="121">
        <v>0.0</v>
      </c>
      <c r="K123" s="3"/>
      <c r="L123" s="121">
        <v>0.0</v>
      </c>
      <c r="M123" s="3"/>
      <c r="N123" s="121">
        <v>125.0</v>
      </c>
      <c r="O123" s="3"/>
      <c r="P123" s="121">
        <v>125.0</v>
      </c>
      <c r="Q123" s="3"/>
      <c r="R123" s="121">
        <v>0.0</v>
      </c>
      <c r="S123" s="3"/>
      <c r="T123" s="121">
        <v>0.0</v>
      </c>
      <c r="U123" s="3"/>
      <c r="V123" s="121">
        <v>0.0</v>
      </c>
      <c r="W123" s="3"/>
      <c r="X123" s="121">
        <v>0.0</v>
      </c>
      <c r="Y123" s="3"/>
      <c r="Z123" s="121">
        <v>3.0</v>
      </c>
      <c r="AA123" s="3"/>
      <c r="AB123" s="121">
        <v>0.0</v>
      </c>
      <c r="AC123" s="3"/>
      <c r="AD123" s="121">
        <v>0.0</v>
      </c>
      <c r="AE123" s="3"/>
      <c r="AF123" s="121">
        <v>0.0</v>
      </c>
      <c r="AG123" s="3"/>
      <c r="AH123" s="121">
        <v>0.0</v>
      </c>
      <c r="AI123" s="3"/>
      <c r="AJ123" s="121">
        <v>0.0</v>
      </c>
      <c r="AK123" s="3"/>
      <c r="AL123" s="121">
        <v>0.0</v>
      </c>
      <c r="AM123" s="3"/>
      <c r="AN123" s="121">
        <v>0.0</v>
      </c>
      <c r="AO123" s="3"/>
      <c r="AP123" s="123">
        <f t="shared" si="11"/>
        <v>4745</v>
      </c>
      <c r="AQ123" s="124">
        <f t="shared" si="10"/>
        <v>250</v>
      </c>
      <c r="AR123" s="124">
        <f t="shared" si="3"/>
        <v>0</v>
      </c>
      <c r="AS123" s="124">
        <f t="shared" si="4"/>
        <v>253</v>
      </c>
      <c r="AT123" s="125">
        <f t="shared" si="5"/>
        <v>18.75494071</v>
      </c>
    </row>
    <row r="124" ht="15.75" customHeight="1">
      <c r="A124" s="117" t="s">
        <v>24</v>
      </c>
      <c r="B124" s="118">
        <f t="shared" si="6"/>
        <v>45049</v>
      </c>
      <c r="C124" s="119">
        <v>5.0</v>
      </c>
      <c r="D124" s="119" t="s">
        <v>34</v>
      </c>
      <c r="E124" s="120" t="s">
        <v>42</v>
      </c>
      <c r="F124" s="121">
        <v>0.0</v>
      </c>
      <c r="G124" s="3"/>
      <c r="H124" s="121">
        <v>0.0</v>
      </c>
      <c r="I124" s="3"/>
      <c r="J124" s="121">
        <v>0.0</v>
      </c>
      <c r="K124" s="3"/>
      <c r="L124" s="121">
        <v>0.0</v>
      </c>
      <c r="M124" s="3"/>
      <c r="N124" s="121">
        <v>125.0</v>
      </c>
      <c r="O124" s="3"/>
      <c r="P124" s="121">
        <v>125.0</v>
      </c>
      <c r="Q124" s="3"/>
      <c r="R124" s="121">
        <v>0.0</v>
      </c>
      <c r="S124" s="3"/>
      <c r="T124" s="121">
        <v>0.0</v>
      </c>
      <c r="U124" s="3"/>
      <c r="V124" s="121">
        <v>0.0</v>
      </c>
      <c r="W124" s="3"/>
      <c r="X124" s="121">
        <v>0.0</v>
      </c>
      <c r="Y124" s="3"/>
      <c r="Z124" s="121">
        <v>4.0</v>
      </c>
      <c r="AA124" s="3"/>
      <c r="AB124" s="121">
        <v>0.0</v>
      </c>
      <c r="AC124" s="3"/>
      <c r="AD124" s="121">
        <v>0.0</v>
      </c>
      <c r="AE124" s="3"/>
      <c r="AF124" s="121">
        <v>0.0</v>
      </c>
      <c r="AG124" s="3"/>
      <c r="AH124" s="121">
        <v>0.0</v>
      </c>
      <c r="AI124" s="3"/>
      <c r="AJ124" s="121">
        <v>0.0</v>
      </c>
      <c r="AK124" s="3"/>
      <c r="AL124" s="121">
        <v>0.0</v>
      </c>
      <c r="AM124" s="3"/>
      <c r="AN124" s="121">
        <v>0.0</v>
      </c>
      <c r="AO124" s="3"/>
      <c r="AP124" s="123">
        <f t="shared" si="11"/>
        <v>4825</v>
      </c>
      <c r="AQ124" s="124">
        <f t="shared" si="10"/>
        <v>250</v>
      </c>
      <c r="AR124" s="124">
        <f t="shared" si="3"/>
        <v>0</v>
      </c>
      <c r="AS124" s="124">
        <f t="shared" si="4"/>
        <v>254</v>
      </c>
      <c r="AT124" s="125">
        <f t="shared" si="5"/>
        <v>18.99606299</v>
      </c>
    </row>
    <row r="125" ht="15.75" customHeight="1">
      <c r="A125" s="117" t="s">
        <v>25</v>
      </c>
      <c r="B125" s="118">
        <f t="shared" si="6"/>
        <v>45050</v>
      </c>
      <c r="C125" s="119">
        <v>5.0</v>
      </c>
      <c r="D125" s="119" t="s">
        <v>34</v>
      </c>
      <c r="E125" s="120" t="s">
        <v>42</v>
      </c>
      <c r="F125" s="121">
        <v>0.0</v>
      </c>
      <c r="G125" s="3"/>
      <c r="H125" s="121">
        <v>0.0</v>
      </c>
      <c r="I125" s="3"/>
      <c r="J125" s="121">
        <v>0.0</v>
      </c>
      <c r="K125" s="3"/>
      <c r="L125" s="121">
        <v>0.0</v>
      </c>
      <c r="M125" s="3"/>
      <c r="N125" s="121">
        <v>125.0</v>
      </c>
      <c r="O125" s="3"/>
      <c r="P125" s="121">
        <v>90.0</v>
      </c>
      <c r="Q125" s="3"/>
      <c r="R125" s="121">
        <v>0.0</v>
      </c>
      <c r="S125" s="3"/>
      <c r="T125" s="121">
        <v>0.0</v>
      </c>
      <c r="U125" s="3"/>
      <c r="V125" s="121">
        <v>0.0</v>
      </c>
      <c r="W125" s="3"/>
      <c r="X125" s="121">
        <v>40.0</v>
      </c>
      <c r="Y125" s="3"/>
      <c r="Z125" s="121">
        <v>0.0</v>
      </c>
      <c r="AA125" s="3"/>
      <c r="AB125" s="121">
        <v>3.0</v>
      </c>
      <c r="AC125" s="3"/>
      <c r="AD125" s="121">
        <v>0.0</v>
      </c>
      <c r="AE125" s="3"/>
      <c r="AF125" s="121">
        <v>0.0</v>
      </c>
      <c r="AG125" s="3"/>
      <c r="AH125" s="121">
        <v>0.0</v>
      </c>
      <c r="AI125" s="3"/>
      <c r="AJ125" s="121">
        <v>0.0</v>
      </c>
      <c r="AK125" s="3"/>
      <c r="AL125" s="121">
        <v>0.0</v>
      </c>
      <c r="AM125" s="3"/>
      <c r="AN125" s="121">
        <v>0.0</v>
      </c>
      <c r="AO125" s="3"/>
      <c r="AP125" s="123">
        <f t="shared" si="11"/>
        <v>4978.7</v>
      </c>
      <c r="AQ125" s="124">
        <f t="shared" si="10"/>
        <v>255</v>
      </c>
      <c r="AR125" s="124">
        <f t="shared" si="3"/>
        <v>0</v>
      </c>
      <c r="AS125" s="124">
        <f t="shared" si="4"/>
        <v>258</v>
      </c>
      <c r="AT125" s="125">
        <f t="shared" si="5"/>
        <v>19.29728682</v>
      </c>
    </row>
    <row r="126" ht="15.75" customHeight="1">
      <c r="A126" s="117" t="s">
        <v>26</v>
      </c>
      <c r="B126" s="118">
        <f t="shared" si="6"/>
        <v>45051</v>
      </c>
      <c r="C126" s="119">
        <v>5.0</v>
      </c>
      <c r="D126" s="119" t="s">
        <v>34</v>
      </c>
      <c r="E126" s="120" t="s">
        <v>42</v>
      </c>
      <c r="F126" s="121">
        <v>0.0</v>
      </c>
      <c r="G126" s="3"/>
      <c r="H126" s="121">
        <v>0.0</v>
      </c>
      <c r="I126" s="3"/>
      <c r="J126" s="121">
        <v>0.0</v>
      </c>
      <c r="K126" s="3"/>
      <c r="L126" s="121">
        <v>0.0</v>
      </c>
      <c r="M126" s="3"/>
      <c r="N126" s="121">
        <v>125.0</v>
      </c>
      <c r="O126" s="3"/>
      <c r="P126" s="121">
        <v>125.0</v>
      </c>
      <c r="Q126" s="3"/>
      <c r="R126" s="121">
        <v>0.0</v>
      </c>
      <c r="S126" s="3"/>
      <c r="T126" s="121">
        <v>0.0</v>
      </c>
      <c r="U126" s="3"/>
      <c r="V126" s="121">
        <v>0.0</v>
      </c>
      <c r="W126" s="3"/>
      <c r="X126" s="121">
        <v>0.0</v>
      </c>
      <c r="Y126" s="3"/>
      <c r="Z126" s="121">
        <v>3.0</v>
      </c>
      <c r="AA126" s="3"/>
      <c r="AB126" s="121">
        <v>0.0</v>
      </c>
      <c r="AC126" s="3"/>
      <c r="AD126" s="121">
        <v>0.0</v>
      </c>
      <c r="AE126" s="3"/>
      <c r="AF126" s="121">
        <v>0.0</v>
      </c>
      <c r="AG126" s="3"/>
      <c r="AH126" s="121">
        <v>0.0</v>
      </c>
      <c r="AI126" s="3"/>
      <c r="AJ126" s="121">
        <v>0.0</v>
      </c>
      <c r="AK126" s="3"/>
      <c r="AL126" s="121">
        <v>0.0</v>
      </c>
      <c r="AM126" s="3"/>
      <c r="AN126" s="121">
        <v>0.0</v>
      </c>
      <c r="AO126" s="3"/>
      <c r="AP126" s="123">
        <f t="shared" si="11"/>
        <v>4745</v>
      </c>
      <c r="AQ126" s="124">
        <f t="shared" si="10"/>
        <v>250</v>
      </c>
      <c r="AR126" s="124">
        <f t="shared" si="3"/>
        <v>0</v>
      </c>
      <c r="AS126" s="124">
        <f t="shared" si="4"/>
        <v>253</v>
      </c>
      <c r="AT126" s="125">
        <f t="shared" si="5"/>
        <v>18.75494071</v>
      </c>
    </row>
    <row r="127" ht="15.75" customHeight="1">
      <c r="A127" s="117" t="s">
        <v>27</v>
      </c>
      <c r="B127" s="118">
        <f t="shared" si="6"/>
        <v>45052</v>
      </c>
      <c r="C127" s="119">
        <v>5.0</v>
      </c>
      <c r="D127" s="119" t="s">
        <v>34</v>
      </c>
      <c r="E127" s="120" t="s">
        <v>42</v>
      </c>
      <c r="F127" s="121">
        <v>0.0</v>
      </c>
      <c r="G127" s="3"/>
      <c r="H127" s="121">
        <v>0.0</v>
      </c>
      <c r="I127" s="3"/>
      <c r="J127" s="121">
        <v>0.0</v>
      </c>
      <c r="K127" s="3"/>
      <c r="L127" s="121">
        <v>0.0</v>
      </c>
      <c r="M127" s="3"/>
      <c r="N127" s="121">
        <v>125.0</v>
      </c>
      <c r="O127" s="3"/>
      <c r="P127" s="121">
        <v>125.0</v>
      </c>
      <c r="Q127" s="3"/>
      <c r="R127" s="121">
        <v>0.0</v>
      </c>
      <c r="S127" s="3"/>
      <c r="T127" s="121">
        <v>0.0</v>
      </c>
      <c r="U127" s="3"/>
      <c r="V127" s="121">
        <v>0.0</v>
      </c>
      <c r="W127" s="3"/>
      <c r="X127" s="121">
        <v>0.0</v>
      </c>
      <c r="Y127" s="3"/>
      <c r="Z127" s="121">
        <v>3.0</v>
      </c>
      <c r="AA127" s="3"/>
      <c r="AB127" s="121">
        <v>0.0</v>
      </c>
      <c r="AC127" s="3"/>
      <c r="AD127" s="121">
        <v>0.0</v>
      </c>
      <c r="AE127" s="3"/>
      <c r="AF127" s="121">
        <v>0.0</v>
      </c>
      <c r="AG127" s="3"/>
      <c r="AH127" s="121">
        <v>0.0</v>
      </c>
      <c r="AI127" s="3"/>
      <c r="AJ127" s="121">
        <v>0.0</v>
      </c>
      <c r="AK127" s="3"/>
      <c r="AL127" s="121">
        <v>0.0</v>
      </c>
      <c r="AM127" s="3"/>
      <c r="AN127" s="121">
        <v>0.0</v>
      </c>
      <c r="AO127" s="3"/>
      <c r="AP127" s="123">
        <f t="shared" si="11"/>
        <v>4745</v>
      </c>
      <c r="AQ127" s="124">
        <f t="shared" si="10"/>
        <v>250</v>
      </c>
      <c r="AR127" s="124">
        <f t="shared" si="3"/>
        <v>0</v>
      </c>
      <c r="AS127" s="124">
        <f t="shared" si="4"/>
        <v>253</v>
      </c>
      <c r="AT127" s="125">
        <f t="shared" si="5"/>
        <v>18.75494071</v>
      </c>
    </row>
    <row r="128" ht="15.75" customHeight="1">
      <c r="A128" s="117" t="s">
        <v>28</v>
      </c>
      <c r="B128" s="118">
        <f t="shared" si="6"/>
        <v>45053</v>
      </c>
      <c r="C128" s="119">
        <v>5.0</v>
      </c>
      <c r="D128" s="119" t="s">
        <v>34</v>
      </c>
      <c r="E128" s="259" t="s">
        <v>42</v>
      </c>
      <c r="F128" s="182">
        <v>0.0</v>
      </c>
      <c r="G128" s="73"/>
      <c r="H128" s="182">
        <v>0.0</v>
      </c>
      <c r="I128" s="73"/>
      <c r="J128" s="182">
        <v>0.0</v>
      </c>
      <c r="K128" s="73"/>
      <c r="L128" s="182">
        <v>0.0</v>
      </c>
      <c r="M128" s="73"/>
      <c r="N128" s="182">
        <v>0.0</v>
      </c>
      <c r="O128" s="73"/>
      <c r="P128" s="182">
        <v>0.0</v>
      </c>
      <c r="Q128" s="73"/>
      <c r="R128" s="182">
        <v>0.0</v>
      </c>
      <c r="S128" s="73"/>
      <c r="T128" s="182">
        <v>0.0</v>
      </c>
      <c r="U128" s="73"/>
      <c r="V128" s="182">
        <v>0.0</v>
      </c>
      <c r="W128" s="73"/>
      <c r="X128" s="182">
        <v>0.0</v>
      </c>
      <c r="Y128" s="73"/>
      <c r="Z128" s="182">
        <v>0.0</v>
      </c>
      <c r="AA128" s="73"/>
      <c r="AB128" s="182">
        <v>0.0</v>
      </c>
      <c r="AC128" s="73"/>
      <c r="AD128" s="182">
        <v>0.0</v>
      </c>
      <c r="AE128" s="73"/>
      <c r="AF128" s="182">
        <v>0.0</v>
      </c>
      <c r="AG128" s="73"/>
      <c r="AH128" s="182">
        <v>0.0</v>
      </c>
      <c r="AI128" s="73"/>
      <c r="AJ128" s="182">
        <v>0.0</v>
      </c>
      <c r="AK128" s="73"/>
      <c r="AL128" s="182">
        <v>0.0</v>
      </c>
      <c r="AM128" s="73"/>
      <c r="AN128" s="182">
        <v>0.0</v>
      </c>
      <c r="AO128" s="73"/>
      <c r="AP128" s="183">
        <f t="shared" si="11"/>
        <v>0</v>
      </c>
      <c r="AQ128" s="181">
        <f t="shared" si="10"/>
        <v>0</v>
      </c>
      <c r="AR128" s="181">
        <f t="shared" si="3"/>
        <v>0</v>
      </c>
      <c r="AS128" s="181">
        <f t="shared" si="4"/>
        <v>0</v>
      </c>
      <c r="AT128" s="184" t="str">
        <f t="shared" si="5"/>
        <v/>
      </c>
    </row>
    <row r="129" ht="15.75" customHeight="1">
      <c r="A129" s="262" t="s">
        <v>21</v>
      </c>
      <c r="B129" s="263">
        <f t="shared" si="6"/>
        <v>45054</v>
      </c>
      <c r="C129" s="264">
        <v>5.0</v>
      </c>
      <c r="D129" s="264" t="s">
        <v>36</v>
      </c>
      <c r="E129" s="265" t="s">
        <v>42</v>
      </c>
      <c r="F129" s="266">
        <v>0.0</v>
      </c>
      <c r="G129" s="84"/>
      <c r="H129" s="266">
        <v>0.0</v>
      </c>
      <c r="I129" s="84"/>
      <c r="J129" s="266">
        <v>0.0</v>
      </c>
      <c r="K129" s="84"/>
      <c r="L129" s="266">
        <v>0.0</v>
      </c>
      <c r="M129" s="84"/>
      <c r="N129" s="266">
        <v>120.0</v>
      </c>
      <c r="O129" s="84"/>
      <c r="P129" s="266">
        <v>90.0</v>
      </c>
      <c r="Q129" s="84"/>
      <c r="R129" s="266">
        <v>0.0</v>
      </c>
      <c r="S129" s="84"/>
      <c r="T129" s="266">
        <v>0.0</v>
      </c>
      <c r="U129" s="84"/>
      <c r="V129" s="266">
        <v>0.0</v>
      </c>
      <c r="W129" s="84"/>
      <c r="X129" s="266">
        <v>35.0</v>
      </c>
      <c r="Y129" s="84"/>
      <c r="Z129" s="266">
        <v>3.0</v>
      </c>
      <c r="AA129" s="84"/>
      <c r="AB129" s="266">
        <v>0.0</v>
      </c>
      <c r="AC129" s="84"/>
      <c r="AD129" s="266">
        <v>0.0</v>
      </c>
      <c r="AE129" s="84"/>
      <c r="AF129" s="266">
        <v>0.0</v>
      </c>
      <c r="AG129" s="84"/>
      <c r="AH129" s="266">
        <v>0.0</v>
      </c>
      <c r="AI129" s="84"/>
      <c r="AJ129" s="266">
        <v>0.0</v>
      </c>
      <c r="AK129" s="84"/>
      <c r="AL129" s="266">
        <v>0.0</v>
      </c>
      <c r="AM129" s="84"/>
      <c r="AN129" s="266">
        <v>0.0</v>
      </c>
      <c r="AO129" s="84"/>
      <c r="AP129" s="269">
        <f t="shared" si="11"/>
        <v>4663.5</v>
      </c>
      <c r="AQ129" s="270">
        <f t="shared" si="10"/>
        <v>245</v>
      </c>
      <c r="AR129" s="270">
        <f t="shared" si="3"/>
        <v>0</v>
      </c>
      <c r="AS129" s="270">
        <f t="shared" si="4"/>
        <v>248</v>
      </c>
      <c r="AT129" s="271">
        <f t="shared" si="5"/>
        <v>18.80443548</v>
      </c>
    </row>
    <row r="130" ht="15.75" customHeight="1">
      <c r="A130" s="272" t="s">
        <v>23</v>
      </c>
      <c r="B130" s="229">
        <f t="shared" si="6"/>
        <v>45055</v>
      </c>
      <c r="C130" s="230">
        <v>5.0</v>
      </c>
      <c r="D130" s="230" t="s">
        <v>36</v>
      </c>
      <c r="E130" s="231" t="s">
        <v>42</v>
      </c>
      <c r="F130" s="232">
        <v>0.0</v>
      </c>
      <c r="G130" s="3"/>
      <c r="H130" s="232">
        <v>0.0</v>
      </c>
      <c r="I130" s="3"/>
      <c r="J130" s="232">
        <v>0.0</v>
      </c>
      <c r="K130" s="3"/>
      <c r="L130" s="232">
        <v>0.0</v>
      </c>
      <c r="M130" s="3"/>
      <c r="N130" s="232">
        <v>120.0</v>
      </c>
      <c r="O130" s="3"/>
      <c r="P130" s="232">
        <v>120.0</v>
      </c>
      <c r="Q130" s="3"/>
      <c r="R130" s="232">
        <v>0.0</v>
      </c>
      <c r="S130" s="3"/>
      <c r="T130" s="232">
        <v>0.0</v>
      </c>
      <c r="U130" s="3"/>
      <c r="V130" s="232">
        <v>0.0</v>
      </c>
      <c r="W130" s="3"/>
      <c r="X130" s="232">
        <v>0.0</v>
      </c>
      <c r="Y130" s="3"/>
      <c r="Z130" s="232">
        <v>3.0</v>
      </c>
      <c r="AA130" s="3"/>
      <c r="AB130" s="232">
        <v>0.0</v>
      </c>
      <c r="AC130" s="3"/>
      <c r="AD130" s="232">
        <v>0.0</v>
      </c>
      <c r="AE130" s="3"/>
      <c r="AF130" s="232">
        <v>0.0</v>
      </c>
      <c r="AG130" s="3"/>
      <c r="AH130" s="232">
        <v>0.0</v>
      </c>
      <c r="AI130" s="3"/>
      <c r="AJ130" s="232">
        <v>0.0</v>
      </c>
      <c r="AK130" s="3"/>
      <c r="AL130" s="232">
        <v>0.0</v>
      </c>
      <c r="AM130" s="3"/>
      <c r="AN130" s="232">
        <v>0.0</v>
      </c>
      <c r="AO130" s="3"/>
      <c r="AP130" s="233">
        <f t="shared" si="11"/>
        <v>4564.8</v>
      </c>
      <c r="AQ130" s="234">
        <f t="shared" si="10"/>
        <v>240</v>
      </c>
      <c r="AR130" s="234">
        <f t="shared" si="3"/>
        <v>0</v>
      </c>
      <c r="AS130" s="234">
        <f t="shared" si="4"/>
        <v>243</v>
      </c>
      <c r="AT130" s="274">
        <f t="shared" si="5"/>
        <v>18.78518519</v>
      </c>
    </row>
    <row r="131" ht="15.75" customHeight="1">
      <c r="A131" s="272" t="s">
        <v>24</v>
      </c>
      <c r="B131" s="229">
        <f t="shared" si="6"/>
        <v>45056</v>
      </c>
      <c r="C131" s="230">
        <v>5.0</v>
      </c>
      <c r="D131" s="230" t="s">
        <v>36</v>
      </c>
      <c r="E131" s="231" t="s">
        <v>42</v>
      </c>
      <c r="F131" s="232">
        <v>0.0</v>
      </c>
      <c r="G131" s="3"/>
      <c r="H131" s="232">
        <v>0.0</v>
      </c>
      <c r="I131" s="3"/>
      <c r="J131" s="232">
        <v>0.0</v>
      </c>
      <c r="K131" s="3"/>
      <c r="L131" s="232">
        <v>0.0</v>
      </c>
      <c r="M131" s="3"/>
      <c r="N131" s="232">
        <v>120.0</v>
      </c>
      <c r="O131" s="3"/>
      <c r="P131" s="232">
        <v>120.0</v>
      </c>
      <c r="Q131" s="3"/>
      <c r="R131" s="232">
        <v>0.0</v>
      </c>
      <c r="S131" s="3"/>
      <c r="T131" s="232">
        <v>0.0</v>
      </c>
      <c r="U131" s="3"/>
      <c r="V131" s="232">
        <v>0.0</v>
      </c>
      <c r="W131" s="3"/>
      <c r="X131" s="232">
        <v>0.0</v>
      </c>
      <c r="Y131" s="3"/>
      <c r="Z131" s="232">
        <v>0.0</v>
      </c>
      <c r="AA131" s="3"/>
      <c r="AB131" s="232">
        <v>3.0</v>
      </c>
      <c r="AC131" s="3"/>
      <c r="AD131" s="232">
        <v>0.0</v>
      </c>
      <c r="AE131" s="3"/>
      <c r="AF131" s="232">
        <v>0.0</v>
      </c>
      <c r="AG131" s="3"/>
      <c r="AH131" s="232">
        <v>0.0</v>
      </c>
      <c r="AI131" s="3"/>
      <c r="AJ131" s="232">
        <v>0.0</v>
      </c>
      <c r="AK131" s="3"/>
      <c r="AL131" s="232">
        <v>0.0</v>
      </c>
      <c r="AM131" s="3"/>
      <c r="AN131" s="232">
        <v>0.0</v>
      </c>
      <c r="AO131" s="3"/>
      <c r="AP131" s="233">
        <f t="shared" si="11"/>
        <v>4699.8</v>
      </c>
      <c r="AQ131" s="234">
        <f t="shared" si="10"/>
        <v>240</v>
      </c>
      <c r="AR131" s="234">
        <f t="shared" si="3"/>
        <v>0</v>
      </c>
      <c r="AS131" s="234">
        <f t="shared" si="4"/>
        <v>243</v>
      </c>
      <c r="AT131" s="274">
        <f t="shared" si="5"/>
        <v>19.34074074</v>
      </c>
    </row>
    <row r="132" ht="15.75" customHeight="1">
      <c r="A132" s="272" t="s">
        <v>25</v>
      </c>
      <c r="B132" s="229">
        <f t="shared" si="6"/>
        <v>45057</v>
      </c>
      <c r="C132" s="230">
        <v>5.0</v>
      </c>
      <c r="D132" s="230" t="s">
        <v>36</v>
      </c>
      <c r="E132" s="231" t="s">
        <v>42</v>
      </c>
      <c r="F132" s="232">
        <v>0.0</v>
      </c>
      <c r="G132" s="3"/>
      <c r="H132" s="232">
        <v>0.0</v>
      </c>
      <c r="I132" s="3"/>
      <c r="J132" s="232">
        <v>0.0</v>
      </c>
      <c r="K132" s="3"/>
      <c r="L132" s="232">
        <v>0.0</v>
      </c>
      <c r="M132" s="3"/>
      <c r="N132" s="232">
        <v>120.0</v>
      </c>
      <c r="O132" s="3"/>
      <c r="P132" s="232">
        <v>120.0</v>
      </c>
      <c r="Q132" s="3"/>
      <c r="R132" s="232">
        <v>0.0</v>
      </c>
      <c r="S132" s="3"/>
      <c r="T132" s="232">
        <v>0.0</v>
      </c>
      <c r="U132" s="3"/>
      <c r="V132" s="232">
        <v>0.0</v>
      </c>
      <c r="W132" s="3"/>
      <c r="X132" s="232">
        <v>0.0</v>
      </c>
      <c r="Y132" s="3"/>
      <c r="Z132" s="232">
        <v>3.0</v>
      </c>
      <c r="AA132" s="3"/>
      <c r="AB132" s="232">
        <v>0.0</v>
      </c>
      <c r="AC132" s="3"/>
      <c r="AD132" s="232">
        <v>0.0</v>
      </c>
      <c r="AE132" s="3"/>
      <c r="AF132" s="232">
        <v>0.0</v>
      </c>
      <c r="AG132" s="3"/>
      <c r="AH132" s="232">
        <v>0.0</v>
      </c>
      <c r="AI132" s="3"/>
      <c r="AJ132" s="232">
        <v>0.0</v>
      </c>
      <c r="AK132" s="3"/>
      <c r="AL132" s="232">
        <v>0.0</v>
      </c>
      <c r="AM132" s="3"/>
      <c r="AN132" s="232">
        <v>0.0</v>
      </c>
      <c r="AO132" s="3"/>
      <c r="AP132" s="233">
        <f t="shared" si="11"/>
        <v>4564.8</v>
      </c>
      <c r="AQ132" s="234">
        <f t="shared" si="10"/>
        <v>240</v>
      </c>
      <c r="AR132" s="234">
        <f t="shared" si="3"/>
        <v>0</v>
      </c>
      <c r="AS132" s="234">
        <f t="shared" si="4"/>
        <v>243</v>
      </c>
      <c r="AT132" s="274">
        <f t="shared" si="5"/>
        <v>18.78518519</v>
      </c>
    </row>
    <row r="133" ht="15.75" customHeight="1">
      <c r="A133" s="272" t="s">
        <v>26</v>
      </c>
      <c r="B133" s="229">
        <f t="shared" si="6"/>
        <v>45058</v>
      </c>
      <c r="C133" s="230">
        <v>5.0</v>
      </c>
      <c r="D133" s="230" t="s">
        <v>36</v>
      </c>
      <c r="E133" s="231" t="s">
        <v>42</v>
      </c>
      <c r="F133" s="232">
        <v>0.0</v>
      </c>
      <c r="G133" s="3"/>
      <c r="H133" s="232">
        <v>0.0</v>
      </c>
      <c r="I133" s="3"/>
      <c r="J133" s="232">
        <v>0.0</v>
      </c>
      <c r="K133" s="3"/>
      <c r="L133" s="232">
        <v>0.0</v>
      </c>
      <c r="M133" s="3"/>
      <c r="N133" s="232">
        <v>120.0</v>
      </c>
      <c r="O133" s="3"/>
      <c r="P133" s="232">
        <v>90.0</v>
      </c>
      <c r="Q133" s="3"/>
      <c r="R133" s="232">
        <v>0.0</v>
      </c>
      <c r="S133" s="3"/>
      <c r="T133" s="232">
        <v>0.0</v>
      </c>
      <c r="U133" s="3"/>
      <c r="V133" s="232">
        <v>0.0</v>
      </c>
      <c r="W133" s="3"/>
      <c r="X133" s="232">
        <v>35.0</v>
      </c>
      <c r="Y133" s="3"/>
      <c r="Z133" s="232">
        <v>3.0</v>
      </c>
      <c r="AA133" s="3"/>
      <c r="AB133" s="232">
        <v>0.0</v>
      </c>
      <c r="AC133" s="3"/>
      <c r="AD133" s="232">
        <v>0.0</v>
      </c>
      <c r="AE133" s="3"/>
      <c r="AF133" s="232">
        <v>0.0</v>
      </c>
      <c r="AG133" s="3"/>
      <c r="AH133" s="232">
        <v>0.0</v>
      </c>
      <c r="AI133" s="3"/>
      <c r="AJ133" s="232">
        <v>0.0</v>
      </c>
      <c r="AK133" s="3"/>
      <c r="AL133" s="232">
        <v>0.0</v>
      </c>
      <c r="AM133" s="3"/>
      <c r="AN133" s="232">
        <v>0.0</v>
      </c>
      <c r="AO133" s="3"/>
      <c r="AP133" s="233">
        <f t="shared" si="11"/>
        <v>4663.5</v>
      </c>
      <c r="AQ133" s="234">
        <f t="shared" si="10"/>
        <v>245</v>
      </c>
      <c r="AR133" s="234">
        <f t="shared" si="3"/>
        <v>0</v>
      </c>
      <c r="AS133" s="234">
        <f t="shared" si="4"/>
        <v>248</v>
      </c>
      <c r="AT133" s="274">
        <f t="shared" si="5"/>
        <v>18.80443548</v>
      </c>
    </row>
    <row r="134" ht="15.75" customHeight="1">
      <c r="A134" s="272" t="s">
        <v>27</v>
      </c>
      <c r="B134" s="229">
        <f t="shared" si="6"/>
        <v>45059</v>
      </c>
      <c r="C134" s="230">
        <v>5.0</v>
      </c>
      <c r="D134" s="230" t="s">
        <v>36</v>
      </c>
      <c r="E134" s="231" t="s">
        <v>42</v>
      </c>
      <c r="F134" s="232">
        <v>0.0</v>
      </c>
      <c r="G134" s="3"/>
      <c r="H134" s="232">
        <v>0.0</v>
      </c>
      <c r="I134" s="3"/>
      <c r="J134" s="232">
        <v>0.0</v>
      </c>
      <c r="K134" s="3"/>
      <c r="L134" s="232">
        <v>0.0</v>
      </c>
      <c r="M134" s="3"/>
      <c r="N134" s="232">
        <v>120.0</v>
      </c>
      <c r="O134" s="3"/>
      <c r="P134" s="232">
        <v>120.0</v>
      </c>
      <c r="Q134" s="3"/>
      <c r="R134" s="232">
        <v>0.0</v>
      </c>
      <c r="S134" s="3"/>
      <c r="T134" s="232">
        <v>0.0</v>
      </c>
      <c r="U134" s="3"/>
      <c r="V134" s="232">
        <v>0.0</v>
      </c>
      <c r="W134" s="3"/>
      <c r="X134" s="232">
        <v>0.0</v>
      </c>
      <c r="Y134" s="3"/>
      <c r="Z134" s="232">
        <v>0.0</v>
      </c>
      <c r="AA134" s="3"/>
      <c r="AB134" s="232">
        <v>4.0</v>
      </c>
      <c r="AC134" s="3"/>
      <c r="AD134" s="232">
        <v>0.0</v>
      </c>
      <c r="AE134" s="3"/>
      <c r="AF134" s="232">
        <v>0.0</v>
      </c>
      <c r="AG134" s="3"/>
      <c r="AH134" s="232">
        <v>0.0</v>
      </c>
      <c r="AI134" s="3"/>
      <c r="AJ134" s="232">
        <v>0.0</v>
      </c>
      <c r="AK134" s="3"/>
      <c r="AL134" s="232">
        <v>0.0</v>
      </c>
      <c r="AM134" s="3"/>
      <c r="AN134" s="232">
        <v>0.0</v>
      </c>
      <c r="AO134" s="3"/>
      <c r="AP134" s="233">
        <f t="shared" si="11"/>
        <v>4824.8</v>
      </c>
      <c r="AQ134" s="234">
        <f t="shared" si="10"/>
        <v>240</v>
      </c>
      <c r="AR134" s="234">
        <f t="shared" si="3"/>
        <v>0</v>
      </c>
      <c r="AS134" s="234">
        <f t="shared" si="4"/>
        <v>244</v>
      </c>
      <c r="AT134" s="274">
        <f t="shared" si="5"/>
        <v>19.77377049</v>
      </c>
    </row>
    <row r="135" ht="15.75" customHeight="1">
      <c r="A135" s="272" t="s">
        <v>28</v>
      </c>
      <c r="B135" s="229">
        <f t="shared" si="6"/>
        <v>45060</v>
      </c>
      <c r="C135" s="230">
        <v>5.0</v>
      </c>
      <c r="D135" s="230" t="s">
        <v>36</v>
      </c>
      <c r="E135" s="236" t="s">
        <v>42</v>
      </c>
      <c r="F135" s="237">
        <v>0.0</v>
      </c>
      <c r="G135" s="73"/>
      <c r="H135" s="237">
        <v>0.0</v>
      </c>
      <c r="I135" s="73"/>
      <c r="J135" s="237">
        <v>0.0</v>
      </c>
      <c r="K135" s="73"/>
      <c r="L135" s="237">
        <v>0.0</v>
      </c>
      <c r="M135" s="73"/>
      <c r="N135" s="237">
        <v>0.0</v>
      </c>
      <c r="O135" s="73"/>
      <c r="P135" s="237">
        <v>0.0</v>
      </c>
      <c r="Q135" s="73"/>
      <c r="R135" s="237">
        <v>0.0</v>
      </c>
      <c r="S135" s="73"/>
      <c r="T135" s="237">
        <v>0.0</v>
      </c>
      <c r="U135" s="73"/>
      <c r="V135" s="237">
        <v>0.0</v>
      </c>
      <c r="W135" s="73"/>
      <c r="X135" s="237">
        <v>0.0</v>
      </c>
      <c r="Y135" s="73"/>
      <c r="Z135" s="237">
        <v>0.0</v>
      </c>
      <c r="AA135" s="73"/>
      <c r="AB135" s="237">
        <v>0.0</v>
      </c>
      <c r="AC135" s="73"/>
      <c r="AD135" s="237">
        <v>0.0</v>
      </c>
      <c r="AE135" s="73"/>
      <c r="AF135" s="237">
        <v>0.0</v>
      </c>
      <c r="AG135" s="73"/>
      <c r="AH135" s="237">
        <v>0.0</v>
      </c>
      <c r="AI135" s="73"/>
      <c r="AJ135" s="237">
        <v>0.0</v>
      </c>
      <c r="AK135" s="73"/>
      <c r="AL135" s="237">
        <v>0.0</v>
      </c>
      <c r="AM135" s="73"/>
      <c r="AN135" s="237">
        <v>0.0</v>
      </c>
      <c r="AO135" s="73"/>
      <c r="AP135" s="238">
        <f t="shared" si="11"/>
        <v>0</v>
      </c>
      <c r="AQ135" s="239">
        <f t="shared" si="10"/>
        <v>0</v>
      </c>
      <c r="AR135" s="239">
        <f t="shared" si="3"/>
        <v>0</v>
      </c>
      <c r="AS135" s="239">
        <f t="shared" si="4"/>
        <v>0</v>
      </c>
      <c r="AT135" s="276" t="str">
        <f t="shared" si="5"/>
        <v/>
      </c>
    </row>
    <row r="136" ht="15.75" customHeight="1">
      <c r="A136" s="134" t="s">
        <v>21</v>
      </c>
      <c r="B136" s="135">
        <f t="shared" si="6"/>
        <v>45061</v>
      </c>
      <c r="C136" s="136">
        <v>5.0</v>
      </c>
      <c r="D136" s="136" t="s">
        <v>37</v>
      </c>
      <c r="E136" s="174" t="s">
        <v>42</v>
      </c>
      <c r="F136" s="138">
        <v>0.0</v>
      </c>
      <c r="G136" s="84"/>
      <c r="H136" s="138">
        <v>0.0</v>
      </c>
      <c r="I136" s="84"/>
      <c r="J136" s="138">
        <v>0.0</v>
      </c>
      <c r="K136" s="84"/>
      <c r="L136" s="138">
        <v>0.0</v>
      </c>
      <c r="M136" s="84"/>
      <c r="N136" s="138">
        <v>120.0</v>
      </c>
      <c r="O136" s="84"/>
      <c r="P136" s="138">
        <v>120.0</v>
      </c>
      <c r="Q136" s="84"/>
      <c r="R136" s="138">
        <v>0.0</v>
      </c>
      <c r="S136" s="84"/>
      <c r="T136" s="138">
        <v>0.0</v>
      </c>
      <c r="U136" s="84"/>
      <c r="V136" s="138">
        <v>0.0</v>
      </c>
      <c r="W136" s="84"/>
      <c r="X136" s="138">
        <v>0.0</v>
      </c>
      <c r="Y136" s="84"/>
      <c r="Z136" s="138">
        <v>3.0</v>
      </c>
      <c r="AA136" s="84"/>
      <c r="AB136" s="138">
        <v>0.0</v>
      </c>
      <c r="AC136" s="84"/>
      <c r="AD136" s="138">
        <v>0.0</v>
      </c>
      <c r="AE136" s="84"/>
      <c r="AF136" s="138">
        <v>0.0</v>
      </c>
      <c r="AG136" s="84"/>
      <c r="AH136" s="138">
        <v>0.0</v>
      </c>
      <c r="AI136" s="84"/>
      <c r="AJ136" s="138">
        <v>0.0</v>
      </c>
      <c r="AK136" s="84"/>
      <c r="AL136" s="138">
        <v>0.0</v>
      </c>
      <c r="AM136" s="84"/>
      <c r="AN136" s="138">
        <v>0.0</v>
      </c>
      <c r="AO136" s="84"/>
      <c r="AP136" s="140">
        <f t="shared" si="11"/>
        <v>4564.8</v>
      </c>
      <c r="AQ136" s="141">
        <f t="shared" si="10"/>
        <v>240</v>
      </c>
      <c r="AR136" s="141">
        <f t="shared" si="3"/>
        <v>0</v>
      </c>
      <c r="AS136" s="141">
        <f t="shared" si="4"/>
        <v>243</v>
      </c>
      <c r="AT136" s="142">
        <f t="shared" si="5"/>
        <v>18.78518519</v>
      </c>
    </row>
    <row r="137" ht="15.75" customHeight="1">
      <c r="A137" s="143" t="s">
        <v>23</v>
      </c>
      <c r="B137" s="144">
        <f t="shared" si="6"/>
        <v>45062</v>
      </c>
      <c r="C137" s="145">
        <v>5.0</v>
      </c>
      <c r="D137" s="145" t="s">
        <v>37</v>
      </c>
      <c r="E137" s="175" t="s">
        <v>42</v>
      </c>
      <c r="F137" s="147">
        <v>0.0</v>
      </c>
      <c r="G137" s="3"/>
      <c r="H137" s="147">
        <v>0.0</v>
      </c>
      <c r="I137" s="3"/>
      <c r="J137" s="147">
        <v>0.0</v>
      </c>
      <c r="K137" s="3"/>
      <c r="L137" s="147">
        <v>0.0</v>
      </c>
      <c r="M137" s="3"/>
      <c r="N137" s="147">
        <v>120.0</v>
      </c>
      <c r="O137" s="3"/>
      <c r="P137" s="147">
        <v>90.0</v>
      </c>
      <c r="Q137" s="3"/>
      <c r="R137" s="147">
        <v>0.0</v>
      </c>
      <c r="S137" s="3"/>
      <c r="T137" s="147">
        <v>0.0</v>
      </c>
      <c r="U137" s="3"/>
      <c r="V137" s="147">
        <v>0.0</v>
      </c>
      <c r="W137" s="3"/>
      <c r="X137" s="147">
        <v>35.0</v>
      </c>
      <c r="Y137" s="3"/>
      <c r="Z137" s="147">
        <v>3.0</v>
      </c>
      <c r="AA137" s="3"/>
      <c r="AB137" s="147">
        <v>0.0</v>
      </c>
      <c r="AC137" s="3"/>
      <c r="AD137" s="147">
        <v>0.0</v>
      </c>
      <c r="AE137" s="3"/>
      <c r="AF137" s="147">
        <v>0.0</v>
      </c>
      <c r="AG137" s="3"/>
      <c r="AH137" s="147">
        <v>0.0</v>
      </c>
      <c r="AI137" s="3"/>
      <c r="AJ137" s="147">
        <v>0.0</v>
      </c>
      <c r="AK137" s="3"/>
      <c r="AL137" s="147">
        <v>0.0</v>
      </c>
      <c r="AM137" s="3"/>
      <c r="AN137" s="147">
        <v>0.0</v>
      </c>
      <c r="AO137" s="3"/>
      <c r="AP137" s="149">
        <f t="shared" si="11"/>
        <v>4663.5</v>
      </c>
      <c r="AQ137" s="150">
        <f t="shared" si="10"/>
        <v>245</v>
      </c>
      <c r="AR137" s="150">
        <f t="shared" si="3"/>
        <v>0</v>
      </c>
      <c r="AS137" s="150">
        <f t="shared" si="4"/>
        <v>248</v>
      </c>
      <c r="AT137" s="151">
        <f t="shared" si="5"/>
        <v>18.80443548</v>
      </c>
    </row>
    <row r="138" ht="15.75" customHeight="1">
      <c r="A138" s="143" t="s">
        <v>24</v>
      </c>
      <c r="B138" s="144">
        <f t="shared" si="6"/>
        <v>45063</v>
      </c>
      <c r="C138" s="145">
        <v>5.0</v>
      </c>
      <c r="D138" s="145" t="s">
        <v>37</v>
      </c>
      <c r="E138" s="175" t="s">
        <v>42</v>
      </c>
      <c r="F138" s="147">
        <v>0.0</v>
      </c>
      <c r="G138" s="3"/>
      <c r="H138" s="147">
        <v>0.0</v>
      </c>
      <c r="I138" s="3"/>
      <c r="J138" s="147">
        <v>0.0</v>
      </c>
      <c r="K138" s="3"/>
      <c r="L138" s="147">
        <v>0.0</v>
      </c>
      <c r="M138" s="3"/>
      <c r="N138" s="147">
        <v>120.0</v>
      </c>
      <c r="O138" s="3"/>
      <c r="P138" s="147">
        <v>120.0</v>
      </c>
      <c r="Q138" s="3"/>
      <c r="R138" s="147">
        <v>0.0</v>
      </c>
      <c r="S138" s="3"/>
      <c r="T138" s="147">
        <v>0.0</v>
      </c>
      <c r="U138" s="3"/>
      <c r="V138" s="147">
        <v>0.0</v>
      </c>
      <c r="W138" s="3"/>
      <c r="X138" s="147">
        <v>0.0</v>
      </c>
      <c r="Y138" s="3"/>
      <c r="Z138" s="147">
        <v>3.0</v>
      </c>
      <c r="AA138" s="3"/>
      <c r="AB138" s="147">
        <v>0.0</v>
      </c>
      <c r="AC138" s="3"/>
      <c r="AD138" s="147">
        <v>0.0</v>
      </c>
      <c r="AE138" s="3"/>
      <c r="AF138" s="147">
        <v>0.0</v>
      </c>
      <c r="AG138" s="3"/>
      <c r="AH138" s="147">
        <v>0.0</v>
      </c>
      <c r="AI138" s="3"/>
      <c r="AJ138" s="147">
        <v>0.0</v>
      </c>
      <c r="AK138" s="3"/>
      <c r="AL138" s="147">
        <v>0.0</v>
      </c>
      <c r="AM138" s="3"/>
      <c r="AN138" s="147">
        <v>0.0</v>
      </c>
      <c r="AO138" s="3"/>
      <c r="AP138" s="149">
        <f t="shared" si="11"/>
        <v>4564.8</v>
      </c>
      <c r="AQ138" s="150">
        <f t="shared" si="10"/>
        <v>240</v>
      </c>
      <c r="AR138" s="150">
        <f t="shared" si="3"/>
        <v>0</v>
      </c>
      <c r="AS138" s="150">
        <f t="shared" si="4"/>
        <v>243</v>
      </c>
      <c r="AT138" s="151">
        <f t="shared" si="5"/>
        <v>18.78518519</v>
      </c>
    </row>
    <row r="139" ht="15.75" customHeight="1">
      <c r="A139" s="143" t="s">
        <v>25</v>
      </c>
      <c r="B139" s="144">
        <f t="shared" si="6"/>
        <v>45064</v>
      </c>
      <c r="C139" s="145">
        <v>5.0</v>
      </c>
      <c r="D139" s="145" t="s">
        <v>37</v>
      </c>
      <c r="E139" s="175" t="s">
        <v>42</v>
      </c>
      <c r="F139" s="147">
        <v>0.0</v>
      </c>
      <c r="G139" s="3"/>
      <c r="H139" s="147">
        <v>0.0</v>
      </c>
      <c r="I139" s="3"/>
      <c r="J139" s="147">
        <v>0.0</v>
      </c>
      <c r="K139" s="3"/>
      <c r="L139" s="147">
        <v>0.0</v>
      </c>
      <c r="M139" s="3"/>
      <c r="N139" s="147">
        <v>120.0</v>
      </c>
      <c r="O139" s="3"/>
      <c r="P139" s="147">
        <v>120.0</v>
      </c>
      <c r="Q139" s="3"/>
      <c r="R139" s="147">
        <v>0.0</v>
      </c>
      <c r="S139" s="3"/>
      <c r="T139" s="147">
        <v>0.0</v>
      </c>
      <c r="U139" s="3"/>
      <c r="V139" s="147">
        <v>0.0</v>
      </c>
      <c r="W139" s="3"/>
      <c r="X139" s="147">
        <v>0.0</v>
      </c>
      <c r="Y139" s="3"/>
      <c r="Z139" s="147">
        <v>0.0</v>
      </c>
      <c r="AA139" s="3"/>
      <c r="AB139" s="147">
        <v>3.0</v>
      </c>
      <c r="AC139" s="3"/>
      <c r="AD139" s="147">
        <v>0.0</v>
      </c>
      <c r="AE139" s="3"/>
      <c r="AF139" s="147">
        <v>0.0</v>
      </c>
      <c r="AG139" s="3"/>
      <c r="AH139" s="147">
        <v>0.0</v>
      </c>
      <c r="AI139" s="3"/>
      <c r="AJ139" s="147">
        <v>0.0</v>
      </c>
      <c r="AK139" s="3"/>
      <c r="AL139" s="147">
        <v>0.0</v>
      </c>
      <c r="AM139" s="3"/>
      <c r="AN139" s="147">
        <v>0.0</v>
      </c>
      <c r="AO139" s="3"/>
      <c r="AP139" s="149">
        <f t="shared" si="11"/>
        <v>4699.8</v>
      </c>
      <c r="AQ139" s="150">
        <f t="shared" si="10"/>
        <v>240</v>
      </c>
      <c r="AR139" s="150">
        <f t="shared" si="3"/>
        <v>0</v>
      </c>
      <c r="AS139" s="150">
        <f t="shared" si="4"/>
        <v>243</v>
      </c>
      <c r="AT139" s="151">
        <f t="shared" si="5"/>
        <v>19.34074074</v>
      </c>
    </row>
    <row r="140" ht="15.75" customHeight="1">
      <c r="A140" s="143" t="s">
        <v>26</v>
      </c>
      <c r="B140" s="144">
        <f t="shared" si="6"/>
        <v>45065</v>
      </c>
      <c r="C140" s="145">
        <v>5.0</v>
      </c>
      <c r="D140" s="145" t="s">
        <v>37</v>
      </c>
      <c r="E140" s="175" t="s">
        <v>42</v>
      </c>
      <c r="F140" s="147">
        <v>0.0</v>
      </c>
      <c r="G140" s="3"/>
      <c r="H140" s="147">
        <v>0.0</v>
      </c>
      <c r="I140" s="3"/>
      <c r="J140" s="147">
        <v>0.0</v>
      </c>
      <c r="K140" s="3"/>
      <c r="L140" s="147">
        <v>0.0</v>
      </c>
      <c r="M140" s="3"/>
      <c r="N140" s="147">
        <v>120.0</v>
      </c>
      <c r="O140" s="3"/>
      <c r="P140" s="147">
        <v>90.0</v>
      </c>
      <c r="Q140" s="3"/>
      <c r="R140" s="147">
        <v>0.0</v>
      </c>
      <c r="S140" s="3"/>
      <c r="T140" s="147">
        <v>0.0</v>
      </c>
      <c r="U140" s="3"/>
      <c r="V140" s="147">
        <v>0.0</v>
      </c>
      <c r="W140" s="3"/>
      <c r="X140" s="147">
        <v>35.0</v>
      </c>
      <c r="Y140" s="3"/>
      <c r="Z140" s="147">
        <v>3.0</v>
      </c>
      <c r="AA140" s="3"/>
      <c r="AB140" s="147">
        <v>0.0</v>
      </c>
      <c r="AC140" s="3"/>
      <c r="AD140" s="147">
        <v>0.0</v>
      </c>
      <c r="AE140" s="3"/>
      <c r="AF140" s="147">
        <v>0.0</v>
      </c>
      <c r="AG140" s="3"/>
      <c r="AH140" s="147">
        <v>0.0</v>
      </c>
      <c r="AI140" s="3"/>
      <c r="AJ140" s="147">
        <v>0.0</v>
      </c>
      <c r="AK140" s="3"/>
      <c r="AL140" s="147">
        <v>0.0</v>
      </c>
      <c r="AM140" s="3"/>
      <c r="AN140" s="147">
        <v>0.0</v>
      </c>
      <c r="AO140" s="3"/>
      <c r="AP140" s="149">
        <f t="shared" si="11"/>
        <v>4663.5</v>
      </c>
      <c r="AQ140" s="150">
        <f t="shared" si="10"/>
        <v>245</v>
      </c>
      <c r="AR140" s="150">
        <f t="shared" si="3"/>
        <v>0</v>
      </c>
      <c r="AS140" s="150">
        <f t="shared" si="4"/>
        <v>248</v>
      </c>
      <c r="AT140" s="151">
        <f t="shared" si="5"/>
        <v>18.80443548</v>
      </c>
    </row>
    <row r="141" ht="15.75" customHeight="1">
      <c r="A141" s="143" t="s">
        <v>27</v>
      </c>
      <c r="B141" s="144">
        <f t="shared" si="6"/>
        <v>45066</v>
      </c>
      <c r="C141" s="145">
        <v>5.0</v>
      </c>
      <c r="D141" s="145" t="s">
        <v>37</v>
      </c>
      <c r="E141" s="175" t="s">
        <v>43</v>
      </c>
      <c r="F141" s="147">
        <v>0.0</v>
      </c>
      <c r="G141" s="3"/>
      <c r="H141" s="147">
        <v>0.0</v>
      </c>
      <c r="I141" s="3"/>
      <c r="J141" s="147">
        <v>0.0</v>
      </c>
      <c r="K141" s="3"/>
      <c r="L141" s="147">
        <v>0.0</v>
      </c>
      <c r="M141" s="3"/>
      <c r="N141" s="147">
        <v>0.0</v>
      </c>
      <c r="O141" s="3"/>
      <c r="P141" s="147">
        <v>0.0</v>
      </c>
      <c r="Q141" s="3"/>
      <c r="R141" s="147">
        <v>0.0</v>
      </c>
      <c r="S141" s="3"/>
      <c r="T141" s="147">
        <v>0.0</v>
      </c>
      <c r="U141" s="3"/>
      <c r="V141" s="147">
        <v>0.0</v>
      </c>
      <c r="W141" s="3"/>
      <c r="X141" s="147">
        <v>0.0</v>
      </c>
      <c r="Y141" s="3"/>
      <c r="Z141" s="147">
        <v>0.0</v>
      </c>
      <c r="AA141" s="3"/>
      <c r="AB141" s="147">
        <v>0.0</v>
      </c>
      <c r="AC141" s="3"/>
      <c r="AD141" s="147">
        <v>0.0</v>
      </c>
      <c r="AE141" s="3"/>
      <c r="AF141" s="147">
        <v>0.0</v>
      </c>
      <c r="AG141" s="3"/>
      <c r="AH141" s="147">
        <v>0.0</v>
      </c>
      <c r="AI141" s="3"/>
      <c r="AJ141" s="147">
        <v>0.0</v>
      </c>
      <c r="AK141" s="3"/>
      <c r="AL141" s="147">
        <v>0.0</v>
      </c>
      <c r="AM141" s="3"/>
      <c r="AN141" s="147">
        <v>0.0</v>
      </c>
      <c r="AO141" s="3"/>
      <c r="AP141" s="149">
        <f t="shared" si="11"/>
        <v>0</v>
      </c>
      <c r="AQ141" s="150">
        <f t="shared" si="10"/>
        <v>0</v>
      </c>
      <c r="AR141" s="150">
        <f t="shared" si="3"/>
        <v>0</v>
      </c>
      <c r="AS141" s="150">
        <f t="shared" si="4"/>
        <v>0</v>
      </c>
      <c r="AT141" s="151" t="str">
        <f t="shared" si="5"/>
        <v/>
      </c>
    </row>
    <row r="142" ht="15.75" customHeight="1">
      <c r="A142" s="176" t="s">
        <v>28</v>
      </c>
      <c r="B142" s="282">
        <f t="shared" si="6"/>
        <v>45067</v>
      </c>
      <c r="C142" s="283">
        <v>5.0</v>
      </c>
      <c r="D142" s="283" t="s">
        <v>37</v>
      </c>
      <c r="E142" s="284" t="s">
        <v>42</v>
      </c>
      <c r="F142" s="285">
        <v>0.0</v>
      </c>
      <c r="G142" s="104"/>
      <c r="H142" s="285">
        <v>0.0</v>
      </c>
      <c r="I142" s="104"/>
      <c r="J142" s="285">
        <v>0.0</v>
      </c>
      <c r="K142" s="104"/>
      <c r="L142" s="285">
        <v>0.0</v>
      </c>
      <c r="M142" s="104"/>
      <c r="N142" s="285">
        <v>0.0</v>
      </c>
      <c r="O142" s="104"/>
      <c r="P142" s="285">
        <v>0.0</v>
      </c>
      <c r="Q142" s="104"/>
      <c r="R142" s="285">
        <v>0.0</v>
      </c>
      <c r="S142" s="104"/>
      <c r="T142" s="285">
        <v>0.0</v>
      </c>
      <c r="U142" s="104"/>
      <c r="V142" s="285">
        <v>0.0</v>
      </c>
      <c r="W142" s="104"/>
      <c r="X142" s="285">
        <v>0.0</v>
      </c>
      <c r="Y142" s="104"/>
      <c r="Z142" s="285">
        <v>0.0</v>
      </c>
      <c r="AA142" s="104"/>
      <c r="AB142" s="285">
        <v>0.0</v>
      </c>
      <c r="AC142" s="104"/>
      <c r="AD142" s="285">
        <v>0.0</v>
      </c>
      <c r="AE142" s="104"/>
      <c r="AF142" s="285">
        <v>0.0</v>
      </c>
      <c r="AG142" s="104"/>
      <c r="AH142" s="285">
        <v>0.0</v>
      </c>
      <c r="AI142" s="104"/>
      <c r="AJ142" s="285">
        <v>0.0</v>
      </c>
      <c r="AK142" s="104"/>
      <c r="AL142" s="285">
        <v>0.0</v>
      </c>
      <c r="AM142" s="104"/>
      <c r="AN142" s="285">
        <v>0.0</v>
      </c>
      <c r="AO142" s="104"/>
      <c r="AP142" s="286">
        <f t="shared" si="11"/>
        <v>0</v>
      </c>
      <c r="AQ142" s="287">
        <f t="shared" si="10"/>
        <v>0</v>
      </c>
      <c r="AR142" s="287">
        <f t="shared" si="3"/>
        <v>0</v>
      </c>
      <c r="AS142" s="287">
        <f t="shared" si="4"/>
        <v>0</v>
      </c>
      <c r="AT142" s="288" t="str">
        <f t="shared" si="5"/>
        <v/>
      </c>
    </row>
    <row r="143" ht="15.75" customHeight="1">
      <c r="A143" s="108" t="s">
        <v>21</v>
      </c>
      <c r="B143" s="109">
        <f t="shared" si="6"/>
        <v>45068</v>
      </c>
      <c r="C143" s="110">
        <v>6.0</v>
      </c>
      <c r="D143" s="110" t="s">
        <v>22</v>
      </c>
      <c r="E143" s="111" t="s">
        <v>42</v>
      </c>
      <c r="F143" s="112">
        <v>0.0</v>
      </c>
      <c r="G143" s="84"/>
      <c r="H143" s="112">
        <v>0.0</v>
      </c>
      <c r="I143" s="84"/>
      <c r="J143" s="112">
        <v>0.0</v>
      </c>
      <c r="K143" s="84"/>
      <c r="L143" s="112">
        <v>0.0</v>
      </c>
      <c r="M143" s="84"/>
      <c r="N143" s="112">
        <v>120.0</v>
      </c>
      <c r="O143" s="84"/>
      <c r="P143" s="112">
        <v>120.0</v>
      </c>
      <c r="Q143" s="84"/>
      <c r="R143" s="112">
        <v>0.0</v>
      </c>
      <c r="S143" s="84"/>
      <c r="T143" s="112">
        <v>0.0</v>
      </c>
      <c r="U143" s="84"/>
      <c r="V143" s="112">
        <v>0.0</v>
      </c>
      <c r="W143" s="84"/>
      <c r="X143" s="112">
        <v>0.0</v>
      </c>
      <c r="Y143" s="84"/>
      <c r="Z143" s="112">
        <v>3.0</v>
      </c>
      <c r="AA143" s="84"/>
      <c r="AB143" s="112">
        <v>0.0</v>
      </c>
      <c r="AC143" s="84"/>
      <c r="AD143" s="112">
        <v>0.0</v>
      </c>
      <c r="AE143" s="84"/>
      <c r="AF143" s="112">
        <v>0.0</v>
      </c>
      <c r="AG143" s="84"/>
      <c r="AH143" s="112">
        <v>0.0</v>
      </c>
      <c r="AI143" s="84"/>
      <c r="AJ143" s="112">
        <v>0.0</v>
      </c>
      <c r="AK143" s="84"/>
      <c r="AL143" s="112">
        <v>0.0</v>
      </c>
      <c r="AM143" s="84"/>
      <c r="AN143" s="112">
        <v>0.0</v>
      </c>
      <c r="AO143" s="84"/>
      <c r="AP143" s="114">
        <f t="shared" si="11"/>
        <v>4564.8</v>
      </c>
      <c r="AQ143" s="115">
        <f t="shared" si="10"/>
        <v>240</v>
      </c>
      <c r="AR143" s="115">
        <f t="shared" si="3"/>
        <v>0</v>
      </c>
      <c r="AS143" s="115">
        <f t="shared" si="4"/>
        <v>243</v>
      </c>
      <c r="AT143" s="116">
        <f t="shared" si="5"/>
        <v>18.78518519</v>
      </c>
    </row>
    <row r="144" ht="15.75" customHeight="1">
      <c r="A144" s="117" t="s">
        <v>23</v>
      </c>
      <c r="B144" s="118">
        <f t="shared" si="6"/>
        <v>45069</v>
      </c>
      <c r="C144" s="119">
        <v>6.0</v>
      </c>
      <c r="D144" s="119" t="s">
        <v>22</v>
      </c>
      <c r="E144" s="120" t="s">
        <v>42</v>
      </c>
      <c r="F144" s="121">
        <v>0.0</v>
      </c>
      <c r="G144" s="3"/>
      <c r="H144" s="121">
        <v>0.0</v>
      </c>
      <c r="I144" s="3"/>
      <c r="J144" s="121">
        <v>0.0</v>
      </c>
      <c r="K144" s="3"/>
      <c r="L144" s="121">
        <v>0.0</v>
      </c>
      <c r="M144" s="3"/>
      <c r="N144" s="121">
        <v>120.0</v>
      </c>
      <c r="O144" s="3"/>
      <c r="P144" s="121">
        <v>90.0</v>
      </c>
      <c r="Q144" s="3"/>
      <c r="R144" s="121">
        <v>0.0</v>
      </c>
      <c r="S144" s="3"/>
      <c r="T144" s="121">
        <v>0.0</v>
      </c>
      <c r="U144" s="3"/>
      <c r="V144" s="121">
        <v>0.0</v>
      </c>
      <c r="W144" s="3"/>
      <c r="X144" s="121">
        <v>35.0</v>
      </c>
      <c r="Y144" s="3"/>
      <c r="Z144" s="121">
        <v>3.0</v>
      </c>
      <c r="AA144" s="3"/>
      <c r="AB144" s="121">
        <v>0.0</v>
      </c>
      <c r="AC144" s="3"/>
      <c r="AD144" s="121">
        <v>0.0</v>
      </c>
      <c r="AE144" s="3"/>
      <c r="AF144" s="121">
        <v>0.0</v>
      </c>
      <c r="AG144" s="3"/>
      <c r="AH144" s="121">
        <v>0.0</v>
      </c>
      <c r="AI144" s="3"/>
      <c r="AJ144" s="121">
        <v>0.0</v>
      </c>
      <c r="AK144" s="3"/>
      <c r="AL144" s="121">
        <v>0.0</v>
      </c>
      <c r="AM144" s="3"/>
      <c r="AN144" s="121">
        <v>0.0</v>
      </c>
      <c r="AO144" s="3"/>
      <c r="AP144" s="123">
        <f t="shared" si="11"/>
        <v>4663.5</v>
      </c>
      <c r="AQ144" s="124">
        <f t="shared" si="10"/>
        <v>245</v>
      </c>
      <c r="AR144" s="124">
        <f t="shared" si="3"/>
        <v>0</v>
      </c>
      <c r="AS144" s="124">
        <f t="shared" si="4"/>
        <v>248</v>
      </c>
      <c r="AT144" s="125">
        <f t="shared" si="5"/>
        <v>18.80443548</v>
      </c>
    </row>
    <row r="145" ht="15.75" customHeight="1">
      <c r="A145" s="117" t="s">
        <v>24</v>
      </c>
      <c r="B145" s="118">
        <f t="shared" si="6"/>
        <v>45070</v>
      </c>
      <c r="C145" s="119">
        <v>6.0</v>
      </c>
      <c r="D145" s="119" t="s">
        <v>22</v>
      </c>
      <c r="E145" s="120" t="s">
        <v>42</v>
      </c>
      <c r="F145" s="121">
        <v>0.0</v>
      </c>
      <c r="G145" s="3"/>
      <c r="H145" s="121">
        <v>0.0</v>
      </c>
      <c r="I145" s="3"/>
      <c r="J145" s="121">
        <v>0.0</v>
      </c>
      <c r="K145" s="3"/>
      <c r="L145" s="121">
        <v>0.0</v>
      </c>
      <c r="M145" s="3"/>
      <c r="N145" s="121">
        <v>120.0</v>
      </c>
      <c r="O145" s="3"/>
      <c r="P145" s="121">
        <v>120.0</v>
      </c>
      <c r="Q145" s="3"/>
      <c r="R145" s="121">
        <v>0.0</v>
      </c>
      <c r="S145" s="3"/>
      <c r="T145" s="121">
        <v>0.0</v>
      </c>
      <c r="U145" s="3"/>
      <c r="V145" s="121">
        <v>0.0</v>
      </c>
      <c r="W145" s="3"/>
      <c r="X145" s="121">
        <v>0.0</v>
      </c>
      <c r="Y145" s="3"/>
      <c r="Z145" s="121">
        <v>3.0</v>
      </c>
      <c r="AA145" s="3"/>
      <c r="AB145" s="121">
        <v>0.0</v>
      </c>
      <c r="AC145" s="3"/>
      <c r="AD145" s="121">
        <v>0.0</v>
      </c>
      <c r="AE145" s="3"/>
      <c r="AF145" s="121">
        <v>0.0</v>
      </c>
      <c r="AG145" s="3"/>
      <c r="AH145" s="121">
        <v>0.0</v>
      </c>
      <c r="AI145" s="3"/>
      <c r="AJ145" s="121">
        <v>0.0</v>
      </c>
      <c r="AK145" s="3"/>
      <c r="AL145" s="121">
        <v>0.0</v>
      </c>
      <c r="AM145" s="3"/>
      <c r="AN145" s="121">
        <v>0.0</v>
      </c>
      <c r="AO145" s="3"/>
      <c r="AP145" s="123">
        <f t="shared" si="11"/>
        <v>4564.8</v>
      </c>
      <c r="AQ145" s="124">
        <f t="shared" si="10"/>
        <v>240</v>
      </c>
      <c r="AR145" s="124">
        <f t="shared" si="3"/>
        <v>0</v>
      </c>
      <c r="AS145" s="124">
        <f t="shared" si="4"/>
        <v>243</v>
      </c>
      <c r="AT145" s="125">
        <f t="shared" si="5"/>
        <v>18.78518519</v>
      </c>
    </row>
    <row r="146" ht="15.75" customHeight="1">
      <c r="A146" s="117" t="s">
        <v>25</v>
      </c>
      <c r="B146" s="118">
        <f t="shared" si="6"/>
        <v>45071</v>
      </c>
      <c r="C146" s="119">
        <v>6.0</v>
      </c>
      <c r="D146" s="119" t="s">
        <v>22</v>
      </c>
      <c r="E146" s="120" t="s">
        <v>42</v>
      </c>
      <c r="F146" s="121">
        <v>0.0</v>
      </c>
      <c r="G146" s="3"/>
      <c r="H146" s="121">
        <v>0.0</v>
      </c>
      <c r="I146" s="3"/>
      <c r="J146" s="121">
        <v>0.0</v>
      </c>
      <c r="K146" s="3"/>
      <c r="L146" s="121">
        <v>0.0</v>
      </c>
      <c r="M146" s="3"/>
      <c r="N146" s="121">
        <v>120.0</v>
      </c>
      <c r="O146" s="3"/>
      <c r="P146" s="121">
        <v>120.0</v>
      </c>
      <c r="Q146" s="3"/>
      <c r="R146" s="121">
        <v>0.0</v>
      </c>
      <c r="S146" s="3"/>
      <c r="T146" s="121">
        <v>0.0</v>
      </c>
      <c r="U146" s="3"/>
      <c r="V146" s="121">
        <v>0.0</v>
      </c>
      <c r="W146" s="3"/>
      <c r="X146" s="121">
        <v>0.0</v>
      </c>
      <c r="Y146" s="3"/>
      <c r="Z146" s="121">
        <v>3.0</v>
      </c>
      <c r="AA146" s="3"/>
      <c r="AB146" s="121">
        <v>0.0</v>
      </c>
      <c r="AC146" s="3"/>
      <c r="AD146" s="121">
        <v>0.0</v>
      </c>
      <c r="AE146" s="3"/>
      <c r="AF146" s="121">
        <v>0.0</v>
      </c>
      <c r="AG146" s="3"/>
      <c r="AH146" s="121">
        <v>0.0</v>
      </c>
      <c r="AI146" s="3"/>
      <c r="AJ146" s="121">
        <v>0.0</v>
      </c>
      <c r="AK146" s="3"/>
      <c r="AL146" s="121">
        <v>0.0</v>
      </c>
      <c r="AM146" s="3"/>
      <c r="AN146" s="121">
        <v>0.0</v>
      </c>
      <c r="AO146" s="3"/>
      <c r="AP146" s="123">
        <f t="shared" si="11"/>
        <v>4564.8</v>
      </c>
      <c r="AQ146" s="124">
        <f t="shared" si="10"/>
        <v>240</v>
      </c>
      <c r="AR146" s="124">
        <f t="shared" si="3"/>
        <v>0</v>
      </c>
      <c r="AS146" s="124">
        <f t="shared" si="4"/>
        <v>243</v>
      </c>
      <c r="AT146" s="125">
        <f t="shared" si="5"/>
        <v>18.78518519</v>
      </c>
    </row>
    <row r="147" ht="15.75" customHeight="1">
      <c r="A147" s="117" t="s">
        <v>26</v>
      </c>
      <c r="B147" s="118">
        <f t="shared" si="6"/>
        <v>45072</v>
      </c>
      <c r="C147" s="119">
        <v>6.0</v>
      </c>
      <c r="D147" s="119" t="s">
        <v>22</v>
      </c>
      <c r="E147" s="120" t="s">
        <v>42</v>
      </c>
      <c r="F147" s="121">
        <v>0.0</v>
      </c>
      <c r="G147" s="3"/>
      <c r="H147" s="121">
        <v>0.0</v>
      </c>
      <c r="I147" s="3"/>
      <c r="J147" s="121">
        <v>0.0</v>
      </c>
      <c r="K147" s="3"/>
      <c r="L147" s="121">
        <v>0.0</v>
      </c>
      <c r="M147" s="3"/>
      <c r="N147" s="121">
        <v>120.0</v>
      </c>
      <c r="O147" s="3"/>
      <c r="P147" s="121">
        <v>90.0</v>
      </c>
      <c r="Q147" s="3"/>
      <c r="R147" s="121">
        <v>0.0</v>
      </c>
      <c r="S147" s="3"/>
      <c r="T147" s="121">
        <v>0.0</v>
      </c>
      <c r="U147" s="3"/>
      <c r="V147" s="121">
        <v>0.0</v>
      </c>
      <c r="W147" s="3"/>
      <c r="X147" s="121">
        <v>35.0</v>
      </c>
      <c r="Y147" s="3"/>
      <c r="Z147" s="121">
        <v>3.0</v>
      </c>
      <c r="AA147" s="3"/>
      <c r="AB147" s="121">
        <v>0.0</v>
      </c>
      <c r="AC147" s="3"/>
      <c r="AD147" s="121">
        <v>0.0</v>
      </c>
      <c r="AE147" s="3"/>
      <c r="AF147" s="121">
        <v>0.0</v>
      </c>
      <c r="AG147" s="3"/>
      <c r="AH147" s="121">
        <v>0.0</v>
      </c>
      <c r="AI147" s="3"/>
      <c r="AJ147" s="121">
        <v>0.0</v>
      </c>
      <c r="AK147" s="3"/>
      <c r="AL147" s="121">
        <v>0.0</v>
      </c>
      <c r="AM147" s="3"/>
      <c r="AN147" s="121">
        <v>0.0</v>
      </c>
      <c r="AO147" s="3"/>
      <c r="AP147" s="123">
        <f t="shared" si="11"/>
        <v>4663.5</v>
      </c>
      <c r="AQ147" s="124">
        <f t="shared" si="10"/>
        <v>245</v>
      </c>
      <c r="AR147" s="124">
        <f t="shared" si="3"/>
        <v>0</v>
      </c>
      <c r="AS147" s="124">
        <f t="shared" si="4"/>
        <v>248</v>
      </c>
      <c r="AT147" s="125">
        <f t="shared" si="5"/>
        <v>18.80443548</v>
      </c>
    </row>
    <row r="148" ht="15.75" customHeight="1">
      <c r="A148" s="117" t="s">
        <v>27</v>
      </c>
      <c r="B148" s="118">
        <f t="shared" si="6"/>
        <v>45073</v>
      </c>
      <c r="C148" s="119">
        <v>6.0</v>
      </c>
      <c r="D148" s="119" t="s">
        <v>22</v>
      </c>
      <c r="E148" s="120" t="s">
        <v>42</v>
      </c>
      <c r="F148" s="121">
        <v>0.0</v>
      </c>
      <c r="G148" s="3"/>
      <c r="H148" s="121">
        <v>0.0</v>
      </c>
      <c r="I148" s="3"/>
      <c r="J148" s="121">
        <v>0.0</v>
      </c>
      <c r="K148" s="3"/>
      <c r="L148" s="121">
        <v>0.0</v>
      </c>
      <c r="M148" s="3"/>
      <c r="N148" s="121">
        <v>120.0</v>
      </c>
      <c r="O148" s="3"/>
      <c r="P148" s="121">
        <v>120.0</v>
      </c>
      <c r="Q148" s="3"/>
      <c r="R148" s="121">
        <v>0.0</v>
      </c>
      <c r="S148" s="3"/>
      <c r="T148" s="121">
        <v>0.0</v>
      </c>
      <c r="U148" s="3"/>
      <c r="V148" s="121">
        <v>0.0</v>
      </c>
      <c r="W148" s="3"/>
      <c r="X148" s="121">
        <v>0.0</v>
      </c>
      <c r="Y148" s="3"/>
      <c r="Z148" s="121">
        <v>0.0</v>
      </c>
      <c r="AA148" s="3"/>
      <c r="AB148" s="121">
        <v>4.0</v>
      </c>
      <c r="AC148" s="3"/>
      <c r="AD148" s="121">
        <v>0.0</v>
      </c>
      <c r="AE148" s="3"/>
      <c r="AF148" s="121">
        <v>0.0</v>
      </c>
      <c r="AG148" s="3"/>
      <c r="AH148" s="121">
        <v>0.0</v>
      </c>
      <c r="AI148" s="3"/>
      <c r="AJ148" s="121">
        <v>0.0</v>
      </c>
      <c r="AK148" s="3"/>
      <c r="AL148" s="121">
        <v>0.0</v>
      </c>
      <c r="AM148" s="3"/>
      <c r="AN148" s="121">
        <v>0.0</v>
      </c>
      <c r="AO148" s="3"/>
      <c r="AP148" s="123">
        <f t="shared" si="11"/>
        <v>4824.8</v>
      </c>
      <c r="AQ148" s="124">
        <f t="shared" si="10"/>
        <v>240</v>
      </c>
      <c r="AR148" s="124">
        <f t="shared" si="3"/>
        <v>0</v>
      </c>
      <c r="AS148" s="124">
        <f t="shared" si="4"/>
        <v>244</v>
      </c>
      <c r="AT148" s="125">
        <f t="shared" si="5"/>
        <v>19.77377049</v>
      </c>
    </row>
    <row r="149" ht="15.75" customHeight="1">
      <c r="A149" s="126" t="s">
        <v>28</v>
      </c>
      <c r="B149" s="127">
        <f t="shared" si="6"/>
        <v>45074</v>
      </c>
      <c r="C149" s="119">
        <v>6.0</v>
      </c>
      <c r="D149" s="119" t="s">
        <v>22</v>
      </c>
      <c r="E149" s="259" t="s">
        <v>42</v>
      </c>
      <c r="F149" s="182">
        <v>0.0</v>
      </c>
      <c r="G149" s="73"/>
      <c r="H149" s="182">
        <v>0.0</v>
      </c>
      <c r="I149" s="73"/>
      <c r="J149" s="182">
        <v>0.0</v>
      </c>
      <c r="K149" s="73"/>
      <c r="L149" s="182">
        <v>0.0</v>
      </c>
      <c r="M149" s="73"/>
      <c r="N149" s="182">
        <v>0.0</v>
      </c>
      <c r="O149" s="73"/>
      <c r="P149" s="182">
        <v>0.0</v>
      </c>
      <c r="Q149" s="73"/>
      <c r="R149" s="182">
        <v>0.0</v>
      </c>
      <c r="S149" s="73"/>
      <c r="T149" s="182">
        <v>0.0</v>
      </c>
      <c r="U149" s="73"/>
      <c r="V149" s="182">
        <v>0.0</v>
      </c>
      <c r="W149" s="73"/>
      <c r="X149" s="182">
        <v>0.0</v>
      </c>
      <c r="Y149" s="73"/>
      <c r="Z149" s="182">
        <v>0.0</v>
      </c>
      <c r="AA149" s="73"/>
      <c r="AB149" s="182">
        <v>0.0</v>
      </c>
      <c r="AC149" s="73"/>
      <c r="AD149" s="182">
        <v>0.0</v>
      </c>
      <c r="AE149" s="73"/>
      <c r="AF149" s="182">
        <v>0.0</v>
      </c>
      <c r="AG149" s="73"/>
      <c r="AH149" s="182">
        <v>0.0</v>
      </c>
      <c r="AI149" s="73"/>
      <c r="AJ149" s="182">
        <v>0.0</v>
      </c>
      <c r="AK149" s="73"/>
      <c r="AL149" s="182">
        <v>0.0</v>
      </c>
      <c r="AM149" s="73"/>
      <c r="AN149" s="182">
        <v>0.0</v>
      </c>
      <c r="AO149" s="73"/>
      <c r="AP149" s="183">
        <f t="shared" si="11"/>
        <v>0</v>
      </c>
      <c r="AQ149" s="181">
        <f t="shared" si="10"/>
        <v>0</v>
      </c>
      <c r="AR149" s="181">
        <f t="shared" si="3"/>
        <v>0</v>
      </c>
      <c r="AS149" s="181">
        <f t="shared" si="4"/>
        <v>0</v>
      </c>
      <c r="AT149" s="184" t="str">
        <f t="shared" si="5"/>
        <v/>
      </c>
    </row>
    <row r="150" ht="15.75" customHeight="1">
      <c r="A150" s="289" t="s">
        <v>21</v>
      </c>
      <c r="B150" s="290">
        <f t="shared" si="6"/>
        <v>45075</v>
      </c>
      <c r="C150" s="291">
        <v>6.0</v>
      </c>
      <c r="D150" s="292" t="s">
        <v>34</v>
      </c>
      <c r="E150" s="293" t="s">
        <v>42</v>
      </c>
      <c r="F150" s="294">
        <v>0.0</v>
      </c>
      <c r="G150" s="190"/>
      <c r="H150" s="294">
        <v>0.0</v>
      </c>
      <c r="I150" s="190"/>
      <c r="J150" s="294">
        <v>0.0</v>
      </c>
      <c r="K150" s="190"/>
      <c r="L150" s="294">
        <v>0.0</v>
      </c>
      <c r="M150" s="190"/>
      <c r="N150" s="294">
        <v>120.0</v>
      </c>
      <c r="O150" s="190"/>
      <c r="P150" s="294">
        <v>120.0</v>
      </c>
      <c r="Q150" s="190"/>
      <c r="R150" s="294">
        <v>0.0</v>
      </c>
      <c r="S150" s="190"/>
      <c r="T150" s="294">
        <v>0.0</v>
      </c>
      <c r="U150" s="190"/>
      <c r="V150" s="294">
        <v>0.0</v>
      </c>
      <c r="W150" s="190"/>
      <c r="X150" s="294">
        <v>35.0</v>
      </c>
      <c r="Y150" s="190"/>
      <c r="Z150" s="294">
        <v>3.0</v>
      </c>
      <c r="AA150" s="190"/>
      <c r="AB150" s="294">
        <v>0.0</v>
      </c>
      <c r="AC150" s="190"/>
      <c r="AD150" s="294">
        <v>0.0</v>
      </c>
      <c r="AE150" s="190"/>
      <c r="AF150" s="294">
        <v>0.0</v>
      </c>
      <c r="AG150" s="190"/>
      <c r="AH150" s="294">
        <v>0.0</v>
      </c>
      <c r="AI150" s="190"/>
      <c r="AJ150" s="294">
        <v>0.0</v>
      </c>
      <c r="AK150" s="190"/>
      <c r="AL150" s="294">
        <v>0.0</v>
      </c>
      <c r="AM150" s="190"/>
      <c r="AN150" s="294">
        <v>0.0</v>
      </c>
      <c r="AO150" s="190"/>
      <c r="AP150" s="295">
        <f t="shared" si="11"/>
        <v>5255.7</v>
      </c>
      <c r="AQ150" s="296">
        <f t="shared" si="10"/>
        <v>275</v>
      </c>
      <c r="AR150" s="296">
        <f t="shared" si="3"/>
        <v>0</v>
      </c>
      <c r="AS150" s="296">
        <f t="shared" si="4"/>
        <v>278</v>
      </c>
      <c r="AT150" s="297">
        <f t="shared" si="5"/>
        <v>18.90539568</v>
      </c>
    </row>
    <row r="151" ht="15.75" customHeight="1">
      <c r="A151" s="289" t="s">
        <v>23</v>
      </c>
      <c r="B151" s="290">
        <f t="shared" si="6"/>
        <v>45076</v>
      </c>
      <c r="C151" s="298">
        <v>6.0</v>
      </c>
      <c r="D151" s="145" t="s">
        <v>34</v>
      </c>
      <c r="E151" s="175" t="s">
        <v>42</v>
      </c>
      <c r="F151" s="147">
        <v>0.0</v>
      </c>
      <c r="G151" s="3"/>
      <c r="H151" s="147">
        <v>0.0</v>
      </c>
      <c r="I151" s="3"/>
      <c r="J151" s="147">
        <v>0.0</v>
      </c>
      <c r="K151" s="3"/>
      <c r="L151" s="147">
        <v>0.0</v>
      </c>
      <c r="M151" s="3"/>
      <c r="N151" s="147">
        <v>120.0</v>
      </c>
      <c r="O151" s="3"/>
      <c r="P151" s="147">
        <v>120.0</v>
      </c>
      <c r="Q151" s="3"/>
      <c r="R151" s="147">
        <v>0.0</v>
      </c>
      <c r="S151" s="3"/>
      <c r="T151" s="147">
        <v>0.0</v>
      </c>
      <c r="U151" s="3"/>
      <c r="V151" s="147">
        <v>0.0</v>
      </c>
      <c r="W151" s="3"/>
      <c r="X151" s="147">
        <v>0.0</v>
      </c>
      <c r="Y151" s="3"/>
      <c r="Z151" s="147">
        <v>3.0</v>
      </c>
      <c r="AA151" s="3"/>
      <c r="AB151" s="147">
        <v>0.0</v>
      </c>
      <c r="AC151" s="3"/>
      <c r="AD151" s="147">
        <v>0.0</v>
      </c>
      <c r="AE151" s="3"/>
      <c r="AF151" s="147">
        <v>0.0</v>
      </c>
      <c r="AG151" s="3"/>
      <c r="AH151" s="147">
        <v>0.0</v>
      </c>
      <c r="AI151" s="3"/>
      <c r="AJ151" s="147">
        <v>0.0</v>
      </c>
      <c r="AK151" s="3"/>
      <c r="AL151" s="147">
        <v>0.0</v>
      </c>
      <c r="AM151" s="3"/>
      <c r="AN151" s="147">
        <v>0.0</v>
      </c>
      <c r="AO151" s="3"/>
      <c r="AP151" s="149">
        <f t="shared" si="11"/>
        <v>4564.8</v>
      </c>
      <c r="AQ151" s="150">
        <f t="shared" si="10"/>
        <v>240</v>
      </c>
      <c r="AR151" s="150">
        <f t="shared" si="3"/>
        <v>0</v>
      </c>
      <c r="AS151" s="150">
        <f t="shared" si="4"/>
        <v>243</v>
      </c>
      <c r="AT151" s="299">
        <f t="shared" si="5"/>
        <v>18.78518519</v>
      </c>
    </row>
    <row r="152" ht="15.75" customHeight="1">
      <c r="A152" s="289" t="s">
        <v>24</v>
      </c>
      <c r="B152" s="290">
        <f t="shared" si="6"/>
        <v>45077</v>
      </c>
      <c r="C152" s="298">
        <v>6.0</v>
      </c>
      <c r="D152" s="145" t="s">
        <v>34</v>
      </c>
      <c r="E152" s="175" t="s">
        <v>42</v>
      </c>
      <c r="F152" s="147">
        <v>0.0</v>
      </c>
      <c r="G152" s="3"/>
      <c r="H152" s="147">
        <v>0.0</v>
      </c>
      <c r="I152" s="3"/>
      <c r="J152" s="147">
        <v>0.0</v>
      </c>
      <c r="K152" s="3"/>
      <c r="L152" s="147">
        <v>0.0</v>
      </c>
      <c r="M152" s="3"/>
      <c r="N152" s="147">
        <v>120.0</v>
      </c>
      <c r="O152" s="3"/>
      <c r="P152" s="147">
        <v>50.0</v>
      </c>
      <c r="Q152" s="3"/>
      <c r="R152" s="147">
        <v>0.0</v>
      </c>
      <c r="S152" s="3"/>
      <c r="T152" s="147">
        <v>0.0</v>
      </c>
      <c r="U152" s="3"/>
      <c r="V152" s="147">
        <v>0.0</v>
      </c>
      <c r="W152" s="3"/>
      <c r="X152" s="147">
        <v>80.0</v>
      </c>
      <c r="Y152" s="3"/>
      <c r="Z152" s="147">
        <v>0.0</v>
      </c>
      <c r="AA152" s="3"/>
      <c r="AB152" s="147">
        <v>0.0</v>
      </c>
      <c r="AC152" s="3"/>
      <c r="AD152" s="147">
        <v>0.0</v>
      </c>
      <c r="AE152" s="3"/>
      <c r="AF152" s="147">
        <v>0.0</v>
      </c>
      <c r="AG152" s="3"/>
      <c r="AH152" s="147">
        <v>0.0</v>
      </c>
      <c r="AI152" s="3"/>
      <c r="AJ152" s="147">
        <v>0.0</v>
      </c>
      <c r="AK152" s="3"/>
      <c r="AL152" s="147">
        <v>0.0</v>
      </c>
      <c r="AM152" s="3"/>
      <c r="AN152" s="147">
        <v>0.0</v>
      </c>
      <c r="AO152" s="3"/>
      <c r="AP152" s="149">
        <f t="shared" si="11"/>
        <v>4522.2</v>
      </c>
      <c r="AQ152" s="150">
        <f t="shared" si="10"/>
        <v>250</v>
      </c>
      <c r="AR152" s="150">
        <f t="shared" si="3"/>
        <v>0</v>
      </c>
      <c r="AS152" s="150">
        <f t="shared" si="4"/>
        <v>250</v>
      </c>
      <c r="AT152" s="299">
        <f t="shared" si="5"/>
        <v>18.0888</v>
      </c>
    </row>
    <row r="153" ht="15.75" customHeight="1">
      <c r="A153" s="289" t="s">
        <v>25</v>
      </c>
      <c r="B153" s="290">
        <f t="shared" si="6"/>
        <v>45078</v>
      </c>
      <c r="C153" s="298">
        <v>6.0</v>
      </c>
      <c r="D153" s="145" t="s">
        <v>34</v>
      </c>
      <c r="E153" s="175" t="s">
        <v>42</v>
      </c>
      <c r="F153" s="147">
        <v>0.0</v>
      </c>
      <c r="G153" s="3"/>
      <c r="H153" s="147">
        <v>0.0</v>
      </c>
      <c r="I153" s="3"/>
      <c r="J153" s="147">
        <v>0.0</v>
      </c>
      <c r="K153" s="3"/>
      <c r="L153" s="147">
        <v>0.0</v>
      </c>
      <c r="M153" s="3"/>
      <c r="N153" s="147">
        <v>120.0</v>
      </c>
      <c r="O153" s="3"/>
      <c r="P153" s="147">
        <v>120.0</v>
      </c>
      <c r="Q153" s="3"/>
      <c r="R153" s="147">
        <v>0.0</v>
      </c>
      <c r="S153" s="3"/>
      <c r="T153" s="147">
        <v>0.0</v>
      </c>
      <c r="U153" s="3"/>
      <c r="V153" s="147">
        <v>0.0</v>
      </c>
      <c r="W153" s="3"/>
      <c r="X153" s="147">
        <v>0.0</v>
      </c>
      <c r="Y153" s="3"/>
      <c r="Z153" s="147">
        <v>0.0</v>
      </c>
      <c r="AA153" s="3"/>
      <c r="AB153" s="147">
        <v>3.0</v>
      </c>
      <c r="AC153" s="3"/>
      <c r="AD153" s="147">
        <v>0.0</v>
      </c>
      <c r="AE153" s="3"/>
      <c r="AF153" s="147">
        <v>0.0</v>
      </c>
      <c r="AG153" s="3"/>
      <c r="AH153" s="147">
        <v>0.0</v>
      </c>
      <c r="AI153" s="3"/>
      <c r="AJ153" s="147">
        <v>0.0</v>
      </c>
      <c r="AK153" s="3"/>
      <c r="AL153" s="147">
        <v>0.0</v>
      </c>
      <c r="AM153" s="3"/>
      <c r="AN153" s="147">
        <v>0.0</v>
      </c>
      <c r="AO153" s="3"/>
      <c r="AP153" s="149">
        <f t="shared" si="11"/>
        <v>4699.8</v>
      </c>
      <c r="AQ153" s="150">
        <f t="shared" si="10"/>
        <v>240</v>
      </c>
      <c r="AR153" s="150">
        <f t="shared" si="3"/>
        <v>0</v>
      </c>
      <c r="AS153" s="150">
        <f t="shared" si="4"/>
        <v>243</v>
      </c>
      <c r="AT153" s="299">
        <f t="shared" si="5"/>
        <v>19.34074074</v>
      </c>
    </row>
    <row r="154" ht="15.75" customHeight="1">
      <c r="A154" s="289" t="s">
        <v>26</v>
      </c>
      <c r="B154" s="290">
        <f t="shared" si="6"/>
        <v>45079</v>
      </c>
      <c r="C154" s="298">
        <v>6.0</v>
      </c>
      <c r="D154" s="145" t="s">
        <v>34</v>
      </c>
      <c r="E154" s="175" t="s">
        <v>42</v>
      </c>
      <c r="F154" s="147">
        <v>0.0</v>
      </c>
      <c r="G154" s="3"/>
      <c r="H154" s="147">
        <v>0.0</v>
      </c>
      <c r="I154" s="3"/>
      <c r="J154" s="147">
        <v>0.0</v>
      </c>
      <c r="K154" s="3"/>
      <c r="L154" s="147">
        <v>0.0</v>
      </c>
      <c r="M154" s="3"/>
      <c r="N154" s="147">
        <v>120.0</v>
      </c>
      <c r="O154" s="3"/>
      <c r="P154" s="147">
        <v>120.0</v>
      </c>
      <c r="Q154" s="3"/>
      <c r="R154" s="147">
        <v>0.0</v>
      </c>
      <c r="S154" s="3"/>
      <c r="T154" s="147">
        <v>0.0</v>
      </c>
      <c r="U154" s="3"/>
      <c r="V154" s="147">
        <v>0.0</v>
      </c>
      <c r="W154" s="3"/>
      <c r="X154" s="147">
        <v>0.0</v>
      </c>
      <c r="Y154" s="3"/>
      <c r="Z154" s="147">
        <v>3.0</v>
      </c>
      <c r="AA154" s="3"/>
      <c r="AB154" s="147">
        <v>0.0</v>
      </c>
      <c r="AC154" s="3"/>
      <c r="AD154" s="147">
        <v>0.0</v>
      </c>
      <c r="AE154" s="3"/>
      <c r="AF154" s="147">
        <v>0.0</v>
      </c>
      <c r="AG154" s="3"/>
      <c r="AH154" s="147">
        <v>0.0</v>
      </c>
      <c r="AI154" s="3"/>
      <c r="AJ154" s="147">
        <v>0.0</v>
      </c>
      <c r="AK154" s="3"/>
      <c r="AL154" s="147">
        <v>0.0</v>
      </c>
      <c r="AM154" s="3"/>
      <c r="AN154" s="147">
        <v>0.0</v>
      </c>
      <c r="AO154" s="3"/>
      <c r="AP154" s="149">
        <f t="shared" si="11"/>
        <v>4564.8</v>
      </c>
      <c r="AQ154" s="150">
        <f t="shared" si="10"/>
        <v>240</v>
      </c>
      <c r="AR154" s="150">
        <f t="shared" si="3"/>
        <v>0</v>
      </c>
      <c r="AS154" s="150">
        <f t="shared" si="4"/>
        <v>243</v>
      </c>
      <c r="AT154" s="299">
        <f t="shared" si="5"/>
        <v>18.78518519</v>
      </c>
    </row>
    <row r="155" ht="15.75" customHeight="1">
      <c r="A155" s="289" t="s">
        <v>27</v>
      </c>
      <c r="B155" s="290">
        <f t="shared" si="6"/>
        <v>45080</v>
      </c>
      <c r="C155" s="298">
        <v>6.0</v>
      </c>
      <c r="D155" s="145" t="s">
        <v>34</v>
      </c>
      <c r="E155" s="175" t="s">
        <v>42</v>
      </c>
      <c r="F155" s="147">
        <v>0.0</v>
      </c>
      <c r="G155" s="3"/>
      <c r="H155" s="147">
        <v>0.0</v>
      </c>
      <c r="I155" s="3"/>
      <c r="J155" s="147">
        <v>0.0</v>
      </c>
      <c r="K155" s="3"/>
      <c r="L155" s="147">
        <v>0.0</v>
      </c>
      <c r="M155" s="3"/>
      <c r="N155" s="147">
        <v>120.0</v>
      </c>
      <c r="O155" s="3"/>
      <c r="P155" s="147">
        <v>120.0</v>
      </c>
      <c r="Q155" s="3"/>
      <c r="R155" s="147">
        <v>0.0</v>
      </c>
      <c r="S155" s="3"/>
      <c r="T155" s="147">
        <v>0.0</v>
      </c>
      <c r="U155" s="3"/>
      <c r="V155" s="147">
        <v>0.0</v>
      </c>
      <c r="W155" s="3"/>
      <c r="X155" s="147">
        <v>0.0</v>
      </c>
      <c r="Y155" s="3"/>
      <c r="Z155" s="147">
        <v>3.0</v>
      </c>
      <c r="AA155" s="3"/>
      <c r="AB155" s="147">
        <v>0.0</v>
      </c>
      <c r="AC155" s="3"/>
      <c r="AD155" s="147">
        <v>0.0</v>
      </c>
      <c r="AE155" s="3"/>
      <c r="AF155" s="147">
        <v>0.0</v>
      </c>
      <c r="AG155" s="3"/>
      <c r="AH155" s="147">
        <v>0.0</v>
      </c>
      <c r="AI155" s="3"/>
      <c r="AJ155" s="147">
        <v>0.0</v>
      </c>
      <c r="AK155" s="3"/>
      <c r="AL155" s="147">
        <v>0.0</v>
      </c>
      <c r="AM155" s="3"/>
      <c r="AN155" s="147">
        <v>0.0</v>
      </c>
      <c r="AO155" s="3"/>
      <c r="AP155" s="149">
        <f t="shared" si="11"/>
        <v>4564.8</v>
      </c>
      <c r="AQ155" s="150">
        <f t="shared" si="10"/>
        <v>240</v>
      </c>
      <c r="AR155" s="150">
        <f t="shared" si="3"/>
        <v>0</v>
      </c>
      <c r="AS155" s="150">
        <f t="shared" si="4"/>
        <v>243</v>
      </c>
      <c r="AT155" s="299">
        <f t="shared" si="5"/>
        <v>18.78518519</v>
      </c>
    </row>
    <row r="156" ht="15.75" customHeight="1">
      <c r="A156" s="289" t="s">
        <v>28</v>
      </c>
      <c r="B156" s="290">
        <f t="shared" si="6"/>
        <v>45081</v>
      </c>
      <c r="C156" s="298">
        <v>6.0</v>
      </c>
      <c r="D156" s="145" t="s">
        <v>34</v>
      </c>
      <c r="E156" s="281" t="s">
        <v>42</v>
      </c>
      <c r="F156" s="159">
        <v>0.0</v>
      </c>
      <c r="G156" s="73"/>
      <c r="H156" s="159">
        <v>0.0</v>
      </c>
      <c r="I156" s="73"/>
      <c r="J156" s="159">
        <v>0.0</v>
      </c>
      <c r="K156" s="73"/>
      <c r="L156" s="159">
        <v>0.0</v>
      </c>
      <c r="M156" s="73"/>
      <c r="N156" s="159">
        <v>0.0</v>
      </c>
      <c r="O156" s="73"/>
      <c r="P156" s="159">
        <v>0.0</v>
      </c>
      <c r="Q156" s="73"/>
      <c r="R156" s="159">
        <v>0.0</v>
      </c>
      <c r="S156" s="73"/>
      <c r="T156" s="159">
        <v>0.0</v>
      </c>
      <c r="U156" s="73"/>
      <c r="V156" s="159">
        <v>0.0</v>
      </c>
      <c r="W156" s="73"/>
      <c r="X156" s="159">
        <v>0.0</v>
      </c>
      <c r="Y156" s="73"/>
      <c r="Z156" s="159">
        <v>0.0</v>
      </c>
      <c r="AA156" s="73"/>
      <c r="AB156" s="159">
        <v>0.0</v>
      </c>
      <c r="AC156" s="73"/>
      <c r="AD156" s="159">
        <v>0.0</v>
      </c>
      <c r="AE156" s="73"/>
      <c r="AF156" s="159">
        <v>0.0</v>
      </c>
      <c r="AG156" s="73"/>
      <c r="AH156" s="159">
        <v>0.0</v>
      </c>
      <c r="AI156" s="73"/>
      <c r="AJ156" s="159">
        <v>0.0</v>
      </c>
      <c r="AK156" s="73"/>
      <c r="AL156" s="159">
        <v>0.0</v>
      </c>
      <c r="AM156" s="73"/>
      <c r="AN156" s="159">
        <v>0.0</v>
      </c>
      <c r="AO156" s="73"/>
      <c r="AP156" s="161">
        <f t="shared" si="11"/>
        <v>0</v>
      </c>
      <c r="AQ156" s="157">
        <f t="shared" si="10"/>
        <v>0</v>
      </c>
      <c r="AR156" s="157">
        <f t="shared" si="3"/>
        <v>0</v>
      </c>
      <c r="AS156" s="157">
        <f t="shared" si="4"/>
        <v>0</v>
      </c>
      <c r="AT156" s="300" t="str">
        <f t="shared" si="5"/>
        <v/>
      </c>
    </row>
    <row r="157" ht="15.75" customHeight="1">
      <c r="A157" s="249" t="s">
        <v>21</v>
      </c>
      <c r="B157" s="250">
        <f t="shared" si="6"/>
        <v>45082</v>
      </c>
      <c r="C157" s="251">
        <v>6.0</v>
      </c>
      <c r="D157" s="251" t="s">
        <v>36</v>
      </c>
      <c r="E157" s="252" t="s">
        <v>44</v>
      </c>
      <c r="F157" s="253">
        <v>0.0</v>
      </c>
      <c r="G157" s="190"/>
      <c r="H157" s="253">
        <v>0.0</v>
      </c>
      <c r="I157" s="190"/>
      <c r="J157" s="253">
        <v>0.0</v>
      </c>
      <c r="K157" s="190"/>
      <c r="L157" s="253">
        <v>0.0</v>
      </c>
      <c r="M157" s="190"/>
      <c r="N157" s="253">
        <v>130.0</v>
      </c>
      <c r="O157" s="190"/>
      <c r="P157" s="253">
        <v>130.0</v>
      </c>
      <c r="Q157" s="190"/>
      <c r="R157" s="253">
        <v>30.0</v>
      </c>
      <c r="S157" s="190"/>
      <c r="T157" s="253">
        <v>0.0</v>
      </c>
      <c r="U157" s="190"/>
      <c r="V157" s="253">
        <v>0.0</v>
      </c>
      <c r="W157" s="190"/>
      <c r="X157" s="253">
        <v>30.0</v>
      </c>
      <c r="Y157" s="190"/>
      <c r="Z157" s="253">
        <v>3.0</v>
      </c>
      <c r="AA157" s="190"/>
      <c r="AB157" s="253">
        <v>0.0</v>
      </c>
      <c r="AC157" s="190"/>
      <c r="AD157" s="253">
        <v>0.0</v>
      </c>
      <c r="AE157" s="190"/>
      <c r="AF157" s="253">
        <v>0.0</v>
      </c>
      <c r="AG157" s="190"/>
      <c r="AH157" s="253">
        <v>0.0</v>
      </c>
      <c r="AI157" s="190"/>
      <c r="AJ157" s="253">
        <v>0.0</v>
      </c>
      <c r="AK157" s="190"/>
      <c r="AL157" s="253">
        <v>0.0</v>
      </c>
      <c r="AM157" s="190"/>
      <c r="AN157" s="253">
        <v>0.0</v>
      </c>
      <c r="AO157" s="190"/>
      <c r="AP157" s="254">
        <f t="shared" si="11"/>
        <v>6109.6</v>
      </c>
      <c r="AQ157" s="255">
        <f t="shared" si="10"/>
        <v>320</v>
      </c>
      <c r="AR157" s="255">
        <f t="shared" si="3"/>
        <v>0</v>
      </c>
      <c r="AS157" s="255">
        <f t="shared" si="4"/>
        <v>323</v>
      </c>
      <c r="AT157" s="256">
        <f t="shared" si="5"/>
        <v>18.91517028</v>
      </c>
    </row>
    <row r="158" ht="15.75" customHeight="1">
      <c r="A158" s="257" t="s">
        <v>23</v>
      </c>
      <c r="B158" s="118">
        <f t="shared" si="6"/>
        <v>45083</v>
      </c>
      <c r="C158" s="119">
        <v>6.0</v>
      </c>
      <c r="D158" s="119" t="s">
        <v>36</v>
      </c>
      <c r="E158" s="301" t="s">
        <v>44</v>
      </c>
      <c r="F158" s="121">
        <v>0.0</v>
      </c>
      <c r="G158" s="3"/>
      <c r="H158" s="121">
        <v>0.0</v>
      </c>
      <c r="I158" s="3"/>
      <c r="J158" s="121">
        <v>0.0</v>
      </c>
      <c r="K158" s="3"/>
      <c r="L158" s="121">
        <v>0.0</v>
      </c>
      <c r="M158" s="3"/>
      <c r="N158" s="121">
        <v>130.0</v>
      </c>
      <c r="O158" s="3"/>
      <c r="P158" s="121">
        <v>130.0</v>
      </c>
      <c r="Q158" s="3"/>
      <c r="R158" s="121">
        <v>30.0</v>
      </c>
      <c r="S158" s="3"/>
      <c r="T158" s="121">
        <v>0.0</v>
      </c>
      <c r="U158" s="3"/>
      <c r="V158" s="121">
        <v>0.0</v>
      </c>
      <c r="W158" s="3"/>
      <c r="X158" s="121">
        <v>0.0</v>
      </c>
      <c r="Y158" s="3"/>
      <c r="Z158" s="121">
        <v>4.0</v>
      </c>
      <c r="AA158" s="3"/>
      <c r="AB158" s="121">
        <v>0.0</v>
      </c>
      <c r="AC158" s="3"/>
      <c r="AD158" s="121">
        <v>0.0</v>
      </c>
      <c r="AE158" s="3"/>
      <c r="AF158" s="121">
        <v>0.0</v>
      </c>
      <c r="AG158" s="3"/>
      <c r="AH158" s="121">
        <v>0.0</v>
      </c>
      <c r="AI158" s="3"/>
      <c r="AJ158" s="121">
        <v>0.0</v>
      </c>
      <c r="AK158" s="3"/>
      <c r="AL158" s="121">
        <v>0.0</v>
      </c>
      <c r="AM158" s="3"/>
      <c r="AN158" s="121">
        <v>0.0</v>
      </c>
      <c r="AO158" s="3"/>
      <c r="AP158" s="123">
        <f t="shared" si="11"/>
        <v>5597.4</v>
      </c>
      <c r="AQ158" s="124">
        <f t="shared" si="10"/>
        <v>290</v>
      </c>
      <c r="AR158" s="124">
        <f t="shared" si="3"/>
        <v>0</v>
      </c>
      <c r="AS158" s="124">
        <f t="shared" si="4"/>
        <v>294</v>
      </c>
      <c r="AT158" s="258">
        <f t="shared" si="5"/>
        <v>19.03877551</v>
      </c>
    </row>
    <row r="159" ht="15.75" customHeight="1">
      <c r="A159" s="257" t="s">
        <v>24</v>
      </c>
      <c r="B159" s="118">
        <f t="shared" si="6"/>
        <v>45084</v>
      </c>
      <c r="C159" s="119">
        <v>6.0</v>
      </c>
      <c r="D159" s="119" t="s">
        <v>36</v>
      </c>
      <c r="E159" s="301" t="s">
        <v>44</v>
      </c>
      <c r="F159" s="121">
        <v>0.0</v>
      </c>
      <c r="G159" s="3"/>
      <c r="H159" s="121">
        <v>0.0</v>
      </c>
      <c r="I159" s="3"/>
      <c r="J159" s="121">
        <v>0.0</v>
      </c>
      <c r="K159" s="3"/>
      <c r="L159" s="121">
        <v>0.0</v>
      </c>
      <c r="M159" s="3"/>
      <c r="N159" s="121">
        <v>130.0</v>
      </c>
      <c r="O159" s="3"/>
      <c r="P159" s="121">
        <v>130.0</v>
      </c>
      <c r="Q159" s="3"/>
      <c r="R159" s="121">
        <v>30.0</v>
      </c>
      <c r="S159" s="3"/>
      <c r="T159" s="121">
        <v>0.0</v>
      </c>
      <c r="U159" s="3"/>
      <c r="V159" s="121">
        <v>0.0</v>
      </c>
      <c r="W159" s="3"/>
      <c r="X159" s="121">
        <v>0.0</v>
      </c>
      <c r="Y159" s="3"/>
      <c r="Z159" s="121">
        <v>4.0</v>
      </c>
      <c r="AA159" s="3"/>
      <c r="AB159" s="121">
        <v>0.0</v>
      </c>
      <c r="AC159" s="3"/>
      <c r="AD159" s="121">
        <v>0.0</v>
      </c>
      <c r="AE159" s="3"/>
      <c r="AF159" s="121">
        <v>0.0</v>
      </c>
      <c r="AG159" s="3"/>
      <c r="AH159" s="121">
        <v>0.0</v>
      </c>
      <c r="AI159" s="3"/>
      <c r="AJ159" s="121">
        <v>0.0</v>
      </c>
      <c r="AK159" s="3"/>
      <c r="AL159" s="121">
        <v>0.0</v>
      </c>
      <c r="AM159" s="3"/>
      <c r="AN159" s="121">
        <v>0.0</v>
      </c>
      <c r="AO159" s="3"/>
      <c r="AP159" s="123">
        <f t="shared" si="11"/>
        <v>5597.4</v>
      </c>
      <c r="AQ159" s="124">
        <f t="shared" si="10"/>
        <v>290</v>
      </c>
      <c r="AR159" s="124">
        <f t="shared" si="3"/>
        <v>0</v>
      </c>
      <c r="AS159" s="124">
        <f t="shared" si="4"/>
        <v>294</v>
      </c>
      <c r="AT159" s="258">
        <f t="shared" si="5"/>
        <v>19.03877551</v>
      </c>
    </row>
    <row r="160" ht="15.75" customHeight="1">
      <c r="A160" s="257" t="s">
        <v>25</v>
      </c>
      <c r="B160" s="118">
        <f t="shared" si="6"/>
        <v>45085</v>
      </c>
      <c r="C160" s="119">
        <v>6.0</v>
      </c>
      <c r="D160" s="119" t="s">
        <v>36</v>
      </c>
      <c r="E160" s="301" t="s">
        <v>44</v>
      </c>
      <c r="F160" s="121">
        <v>0.0</v>
      </c>
      <c r="G160" s="3"/>
      <c r="H160" s="121">
        <v>0.0</v>
      </c>
      <c r="I160" s="3"/>
      <c r="J160" s="121">
        <v>0.0</v>
      </c>
      <c r="K160" s="3"/>
      <c r="L160" s="121">
        <v>0.0</v>
      </c>
      <c r="M160" s="3"/>
      <c r="N160" s="121">
        <v>130.0</v>
      </c>
      <c r="O160" s="3"/>
      <c r="P160" s="121">
        <v>130.0</v>
      </c>
      <c r="Q160" s="3"/>
      <c r="R160" s="121">
        <v>30.0</v>
      </c>
      <c r="S160" s="3"/>
      <c r="T160" s="121">
        <v>0.0</v>
      </c>
      <c r="U160" s="3"/>
      <c r="V160" s="121">
        <v>0.0</v>
      </c>
      <c r="W160" s="3"/>
      <c r="X160" s="121">
        <v>30.0</v>
      </c>
      <c r="Y160" s="3"/>
      <c r="Z160" s="121">
        <v>3.0</v>
      </c>
      <c r="AA160" s="3"/>
      <c r="AB160" s="121">
        <v>0.0</v>
      </c>
      <c r="AC160" s="3"/>
      <c r="AD160" s="121">
        <v>0.0</v>
      </c>
      <c r="AE160" s="3"/>
      <c r="AF160" s="121">
        <v>0.0</v>
      </c>
      <c r="AG160" s="3"/>
      <c r="AH160" s="121">
        <v>0.0</v>
      </c>
      <c r="AI160" s="3"/>
      <c r="AJ160" s="121">
        <v>0.0</v>
      </c>
      <c r="AK160" s="3"/>
      <c r="AL160" s="121">
        <v>0.0</v>
      </c>
      <c r="AM160" s="3"/>
      <c r="AN160" s="121">
        <v>0.0</v>
      </c>
      <c r="AO160" s="3"/>
      <c r="AP160" s="123">
        <f t="shared" si="11"/>
        <v>6109.6</v>
      </c>
      <c r="AQ160" s="124">
        <f t="shared" si="10"/>
        <v>320</v>
      </c>
      <c r="AR160" s="124">
        <f t="shared" si="3"/>
        <v>0</v>
      </c>
      <c r="AS160" s="124">
        <f t="shared" si="4"/>
        <v>323</v>
      </c>
      <c r="AT160" s="258">
        <f t="shared" si="5"/>
        <v>18.91517028</v>
      </c>
    </row>
    <row r="161" ht="15.75" customHeight="1">
      <c r="A161" s="257" t="s">
        <v>26</v>
      </c>
      <c r="B161" s="118">
        <f t="shared" si="6"/>
        <v>45086</v>
      </c>
      <c r="C161" s="119">
        <v>6.0</v>
      </c>
      <c r="D161" s="119" t="s">
        <v>36</v>
      </c>
      <c r="E161" s="301" t="s">
        <v>44</v>
      </c>
      <c r="F161" s="121">
        <v>0.0</v>
      </c>
      <c r="G161" s="3"/>
      <c r="H161" s="121">
        <v>0.0</v>
      </c>
      <c r="I161" s="3"/>
      <c r="J161" s="121">
        <v>0.0</v>
      </c>
      <c r="K161" s="3"/>
      <c r="L161" s="121">
        <v>0.0</v>
      </c>
      <c r="M161" s="3"/>
      <c r="N161" s="121">
        <v>130.0</v>
      </c>
      <c r="O161" s="3"/>
      <c r="P161" s="121">
        <v>130.0</v>
      </c>
      <c r="Q161" s="3"/>
      <c r="R161" s="121">
        <v>30.0</v>
      </c>
      <c r="S161" s="3"/>
      <c r="T161" s="121">
        <v>0.0</v>
      </c>
      <c r="U161" s="3"/>
      <c r="V161" s="121">
        <v>0.0</v>
      </c>
      <c r="W161" s="3"/>
      <c r="X161" s="121">
        <v>0.0</v>
      </c>
      <c r="Y161" s="3"/>
      <c r="Z161" s="121">
        <v>3.0</v>
      </c>
      <c r="AA161" s="3"/>
      <c r="AB161" s="121">
        <v>0.0</v>
      </c>
      <c r="AC161" s="3"/>
      <c r="AD161" s="121">
        <v>0.0</v>
      </c>
      <c r="AE161" s="3"/>
      <c r="AF161" s="121">
        <v>0.0</v>
      </c>
      <c r="AG161" s="3"/>
      <c r="AH161" s="121">
        <v>0.0</v>
      </c>
      <c r="AI161" s="3"/>
      <c r="AJ161" s="121">
        <v>0.0</v>
      </c>
      <c r="AK161" s="3"/>
      <c r="AL161" s="121">
        <v>0.0</v>
      </c>
      <c r="AM161" s="3"/>
      <c r="AN161" s="121">
        <v>0.0</v>
      </c>
      <c r="AO161" s="3"/>
      <c r="AP161" s="123">
        <f t="shared" si="11"/>
        <v>5517.4</v>
      </c>
      <c r="AQ161" s="124">
        <f t="shared" si="10"/>
        <v>290</v>
      </c>
      <c r="AR161" s="124">
        <f t="shared" si="3"/>
        <v>0</v>
      </c>
      <c r="AS161" s="124">
        <f t="shared" si="4"/>
        <v>293</v>
      </c>
      <c r="AT161" s="258">
        <f t="shared" si="5"/>
        <v>18.83071672</v>
      </c>
    </row>
    <row r="162" ht="15.75" customHeight="1">
      <c r="A162" s="257" t="s">
        <v>27</v>
      </c>
      <c r="B162" s="118">
        <f t="shared" si="6"/>
        <v>45087</v>
      </c>
      <c r="C162" s="119">
        <v>6.0</v>
      </c>
      <c r="D162" s="119" t="s">
        <v>36</v>
      </c>
      <c r="E162" s="301" t="s">
        <v>44</v>
      </c>
      <c r="F162" s="121">
        <v>0.0</v>
      </c>
      <c r="G162" s="3"/>
      <c r="H162" s="121">
        <v>0.0</v>
      </c>
      <c r="I162" s="3"/>
      <c r="J162" s="121">
        <v>0.0</v>
      </c>
      <c r="K162" s="3"/>
      <c r="L162" s="121">
        <v>0.0</v>
      </c>
      <c r="M162" s="3"/>
      <c r="N162" s="121">
        <v>130.0</v>
      </c>
      <c r="O162" s="3"/>
      <c r="P162" s="121">
        <v>130.0</v>
      </c>
      <c r="Q162" s="3"/>
      <c r="R162" s="121">
        <v>0.0</v>
      </c>
      <c r="S162" s="3"/>
      <c r="T162" s="121">
        <v>0.0</v>
      </c>
      <c r="U162" s="3"/>
      <c r="V162" s="121">
        <v>0.0</v>
      </c>
      <c r="W162" s="3"/>
      <c r="X162" s="121">
        <v>0.0</v>
      </c>
      <c r="Y162" s="3"/>
      <c r="Z162" s="121">
        <v>3.0</v>
      </c>
      <c r="AA162" s="3"/>
      <c r="AB162" s="121">
        <v>0.0</v>
      </c>
      <c r="AC162" s="3"/>
      <c r="AD162" s="121">
        <v>0.0</v>
      </c>
      <c r="AE162" s="3"/>
      <c r="AF162" s="121">
        <v>0.0</v>
      </c>
      <c r="AG162" s="3"/>
      <c r="AH162" s="121">
        <v>0.0</v>
      </c>
      <c r="AI162" s="3"/>
      <c r="AJ162" s="121">
        <v>0.0</v>
      </c>
      <c r="AK162" s="3"/>
      <c r="AL162" s="121">
        <v>0.0</v>
      </c>
      <c r="AM162" s="3"/>
      <c r="AN162" s="121">
        <v>0.0</v>
      </c>
      <c r="AO162" s="3"/>
      <c r="AP162" s="123">
        <f t="shared" si="11"/>
        <v>4925.2</v>
      </c>
      <c r="AQ162" s="124">
        <f t="shared" si="10"/>
        <v>260</v>
      </c>
      <c r="AR162" s="124">
        <f t="shared" si="3"/>
        <v>0</v>
      </c>
      <c r="AS162" s="124">
        <f t="shared" si="4"/>
        <v>263</v>
      </c>
      <c r="AT162" s="258">
        <f t="shared" si="5"/>
        <v>18.7269962</v>
      </c>
    </row>
    <row r="163" ht="15.75" customHeight="1">
      <c r="A163" s="302" t="s">
        <v>28</v>
      </c>
      <c r="B163" s="303">
        <f t="shared" si="6"/>
        <v>45088</v>
      </c>
      <c r="C163" s="304">
        <v>6.0</v>
      </c>
      <c r="D163" s="304" t="s">
        <v>36</v>
      </c>
      <c r="E163" s="305" t="s">
        <v>45</v>
      </c>
      <c r="F163" s="260">
        <v>0.0</v>
      </c>
      <c r="G163" s="207"/>
      <c r="H163" s="260">
        <v>0.0</v>
      </c>
      <c r="I163" s="207"/>
      <c r="J163" s="260">
        <v>0.0</v>
      </c>
      <c r="K163" s="207"/>
      <c r="L163" s="260">
        <v>0.0</v>
      </c>
      <c r="M163" s="207"/>
      <c r="N163" s="260">
        <v>0.0</v>
      </c>
      <c r="O163" s="207"/>
      <c r="P163" s="260">
        <v>0.0</v>
      </c>
      <c r="Q163" s="207"/>
      <c r="R163" s="260">
        <v>0.0</v>
      </c>
      <c r="S163" s="207"/>
      <c r="T163" s="260">
        <v>0.0</v>
      </c>
      <c r="U163" s="207"/>
      <c r="V163" s="260">
        <v>0.0</v>
      </c>
      <c r="W163" s="207"/>
      <c r="X163" s="260">
        <v>0.0</v>
      </c>
      <c r="Y163" s="207"/>
      <c r="Z163" s="260">
        <v>0.0</v>
      </c>
      <c r="AA163" s="207"/>
      <c r="AB163" s="260">
        <v>0.0</v>
      </c>
      <c r="AC163" s="207"/>
      <c r="AD163" s="260">
        <v>0.0</v>
      </c>
      <c r="AE163" s="207"/>
      <c r="AF163" s="260">
        <v>0.0</v>
      </c>
      <c r="AG163" s="207"/>
      <c r="AH163" s="260">
        <v>0.0</v>
      </c>
      <c r="AI163" s="207"/>
      <c r="AJ163" s="260">
        <v>0.0</v>
      </c>
      <c r="AK163" s="207"/>
      <c r="AL163" s="260">
        <v>0.0</v>
      </c>
      <c r="AM163" s="207"/>
      <c r="AN163" s="260">
        <v>0.0</v>
      </c>
      <c r="AO163" s="207"/>
      <c r="AP163" s="306">
        <f t="shared" si="11"/>
        <v>0</v>
      </c>
      <c r="AQ163" s="307">
        <f t="shared" si="10"/>
        <v>0</v>
      </c>
      <c r="AR163" s="307">
        <f t="shared" si="3"/>
        <v>0</v>
      </c>
      <c r="AS163" s="307">
        <f t="shared" si="4"/>
        <v>0</v>
      </c>
      <c r="AT163" s="308" t="str">
        <f t="shared" si="5"/>
        <v/>
      </c>
    </row>
    <row r="164" ht="15.75" customHeight="1">
      <c r="A164" s="211" t="s">
        <v>21</v>
      </c>
      <c r="B164" s="195">
        <f t="shared" si="6"/>
        <v>45089</v>
      </c>
      <c r="C164" s="196">
        <v>6.0</v>
      </c>
      <c r="D164" s="196" t="s">
        <v>37</v>
      </c>
      <c r="E164" s="188" t="s">
        <v>44</v>
      </c>
      <c r="F164" s="189">
        <v>0.0</v>
      </c>
      <c r="G164" s="190"/>
      <c r="H164" s="189">
        <v>0.0</v>
      </c>
      <c r="I164" s="190"/>
      <c r="J164" s="189">
        <v>0.0</v>
      </c>
      <c r="K164" s="190"/>
      <c r="L164" s="189">
        <v>0.0</v>
      </c>
      <c r="M164" s="190"/>
      <c r="N164" s="189">
        <v>130.0</v>
      </c>
      <c r="O164" s="190"/>
      <c r="P164" s="189">
        <v>130.0</v>
      </c>
      <c r="Q164" s="190"/>
      <c r="R164" s="189">
        <v>30.0</v>
      </c>
      <c r="S164" s="190"/>
      <c r="T164" s="189">
        <v>0.0</v>
      </c>
      <c r="U164" s="190"/>
      <c r="V164" s="189">
        <v>0.0</v>
      </c>
      <c r="W164" s="190"/>
      <c r="X164" s="189">
        <v>0.0</v>
      </c>
      <c r="Y164" s="190"/>
      <c r="Z164" s="189">
        <v>3.0</v>
      </c>
      <c r="AA164" s="190"/>
      <c r="AB164" s="189">
        <v>0.0</v>
      </c>
      <c r="AC164" s="190"/>
      <c r="AD164" s="189">
        <v>0.0</v>
      </c>
      <c r="AE164" s="190"/>
      <c r="AF164" s="189">
        <v>0.0</v>
      </c>
      <c r="AG164" s="190"/>
      <c r="AH164" s="189">
        <v>0.0</v>
      </c>
      <c r="AI164" s="190"/>
      <c r="AJ164" s="189">
        <v>0.0</v>
      </c>
      <c r="AK164" s="190"/>
      <c r="AL164" s="189">
        <v>0.0</v>
      </c>
      <c r="AM164" s="190"/>
      <c r="AN164" s="189">
        <v>0.0</v>
      </c>
      <c r="AO164" s="190"/>
      <c r="AP164" s="213">
        <f t="shared" si="11"/>
        <v>5517.4</v>
      </c>
      <c r="AQ164" s="214">
        <f t="shared" si="10"/>
        <v>290</v>
      </c>
      <c r="AR164" s="214">
        <f t="shared" si="3"/>
        <v>0</v>
      </c>
      <c r="AS164" s="214">
        <f t="shared" si="4"/>
        <v>293</v>
      </c>
      <c r="AT164" s="213">
        <f t="shared" si="5"/>
        <v>18.83071672</v>
      </c>
    </row>
    <row r="165" ht="15.75" customHeight="1">
      <c r="A165" s="211" t="s">
        <v>23</v>
      </c>
      <c r="B165" s="195">
        <f t="shared" si="6"/>
        <v>45090</v>
      </c>
      <c r="C165" s="196">
        <v>6.0</v>
      </c>
      <c r="D165" s="196" t="s">
        <v>37</v>
      </c>
      <c r="E165" s="309" t="s">
        <v>44</v>
      </c>
      <c r="F165" s="198">
        <v>0.0</v>
      </c>
      <c r="G165" s="3"/>
      <c r="H165" s="198">
        <v>0.0</v>
      </c>
      <c r="I165" s="3"/>
      <c r="J165" s="198">
        <v>0.0</v>
      </c>
      <c r="K165" s="3"/>
      <c r="L165" s="198">
        <v>0.0</v>
      </c>
      <c r="M165" s="3"/>
      <c r="N165" s="198">
        <v>130.0</v>
      </c>
      <c r="O165" s="3"/>
      <c r="P165" s="198">
        <v>80.0</v>
      </c>
      <c r="Q165" s="3"/>
      <c r="R165" s="198">
        <v>40.0</v>
      </c>
      <c r="S165" s="3"/>
      <c r="T165" s="198">
        <v>0.0</v>
      </c>
      <c r="U165" s="3"/>
      <c r="V165" s="198">
        <v>0.0</v>
      </c>
      <c r="W165" s="3"/>
      <c r="X165" s="198">
        <v>40.0</v>
      </c>
      <c r="Y165" s="3"/>
      <c r="Z165" s="198">
        <v>0.0</v>
      </c>
      <c r="AA165" s="3"/>
      <c r="AB165" s="198">
        <v>0.0</v>
      </c>
      <c r="AC165" s="3"/>
      <c r="AD165" s="198">
        <v>0.0</v>
      </c>
      <c r="AE165" s="3"/>
      <c r="AF165" s="198">
        <v>0.0</v>
      </c>
      <c r="AG165" s="3"/>
      <c r="AH165" s="198">
        <v>0.0</v>
      </c>
      <c r="AI165" s="3"/>
      <c r="AJ165" s="198">
        <v>0.0</v>
      </c>
      <c r="AK165" s="3"/>
      <c r="AL165" s="198">
        <v>0.0</v>
      </c>
      <c r="AM165" s="3"/>
      <c r="AN165" s="198">
        <v>0.0</v>
      </c>
      <c r="AO165" s="3"/>
      <c r="AP165" s="199">
        <f t="shared" si="11"/>
        <v>5277.4</v>
      </c>
      <c r="AQ165" s="200">
        <f t="shared" si="10"/>
        <v>290</v>
      </c>
      <c r="AR165" s="200">
        <f t="shared" si="3"/>
        <v>0</v>
      </c>
      <c r="AS165" s="200">
        <f t="shared" si="4"/>
        <v>290</v>
      </c>
      <c r="AT165" s="199">
        <f t="shared" si="5"/>
        <v>18.19793103</v>
      </c>
    </row>
    <row r="166" ht="15.75" customHeight="1">
      <c r="A166" s="211" t="s">
        <v>24</v>
      </c>
      <c r="B166" s="195">
        <f t="shared" si="6"/>
        <v>45091</v>
      </c>
      <c r="C166" s="196">
        <v>6.0</v>
      </c>
      <c r="D166" s="196" t="s">
        <v>37</v>
      </c>
      <c r="E166" s="309" t="s">
        <v>44</v>
      </c>
      <c r="F166" s="198">
        <v>0.0</v>
      </c>
      <c r="G166" s="3"/>
      <c r="H166" s="198">
        <v>0.0</v>
      </c>
      <c r="I166" s="3"/>
      <c r="J166" s="198">
        <v>0.0</v>
      </c>
      <c r="K166" s="3"/>
      <c r="L166" s="198">
        <v>0.0</v>
      </c>
      <c r="M166" s="3"/>
      <c r="N166" s="198">
        <v>130.0</v>
      </c>
      <c r="O166" s="3"/>
      <c r="P166" s="198">
        <v>130.0</v>
      </c>
      <c r="Q166" s="3"/>
      <c r="R166" s="198">
        <v>0.0</v>
      </c>
      <c r="S166" s="3"/>
      <c r="T166" s="198">
        <v>0.0</v>
      </c>
      <c r="U166" s="3"/>
      <c r="V166" s="198">
        <v>0.0</v>
      </c>
      <c r="W166" s="3"/>
      <c r="X166" s="198">
        <v>0.0</v>
      </c>
      <c r="Y166" s="3"/>
      <c r="Z166" s="198">
        <v>4.0</v>
      </c>
      <c r="AA166" s="3"/>
      <c r="AB166" s="198">
        <v>0.0</v>
      </c>
      <c r="AC166" s="3"/>
      <c r="AD166" s="198">
        <v>0.0</v>
      </c>
      <c r="AE166" s="3"/>
      <c r="AF166" s="198">
        <v>0.0</v>
      </c>
      <c r="AG166" s="3"/>
      <c r="AH166" s="198">
        <v>0.0</v>
      </c>
      <c r="AI166" s="3"/>
      <c r="AJ166" s="198">
        <v>0.0</v>
      </c>
      <c r="AK166" s="3"/>
      <c r="AL166" s="198">
        <v>0.0</v>
      </c>
      <c r="AM166" s="3"/>
      <c r="AN166" s="198">
        <v>0.0</v>
      </c>
      <c r="AO166" s="3"/>
      <c r="AP166" s="199">
        <f t="shared" si="11"/>
        <v>5005.2</v>
      </c>
      <c r="AQ166" s="200">
        <f t="shared" si="10"/>
        <v>260</v>
      </c>
      <c r="AR166" s="200">
        <f t="shared" si="3"/>
        <v>0</v>
      </c>
      <c r="AS166" s="200">
        <f t="shared" si="4"/>
        <v>264</v>
      </c>
      <c r="AT166" s="199">
        <f t="shared" si="5"/>
        <v>18.95909091</v>
      </c>
    </row>
    <row r="167" ht="15.75" customHeight="1">
      <c r="A167" s="211" t="s">
        <v>25</v>
      </c>
      <c r="B167" s="195">
        <f t="shared" si="6"/>
        <v>45092</v>
      </c>
      <c r="C167" s="196">
        <v>6.0</v>
      </c>
      <c r="D167" s="196" t="s">
        <v>37</v>
      </c>
      <c r="E167" s="309" t="s">
        <v>44</v>
      </c>
      <c r="F167" s="198">
        <v>0.0</v>
      </c>
      <c r="G167" s="3"/>
      <c r="H167" s="198">
        <v>0.0</v>
      </c>
      <c r="I167" s="3"/>
      <c r="J167" s="198">
        <v>0.0</v>
      </c>
      <c r="K167" s="3"/>
      <c r="L167" s="198">
        <v>0.0</v>
      </c>
      <c r="M167" s="3"/>
      <c r="N167" s="198">
        <v>130.0</v>
      </c>
      <c r="O167" s="3"/>
      <c r="P167" s="198">
        <v>130.0</v>
      </c>
      <c r="Q167" s="3"/>
      <c r="R167" s="198">
        <v>30.0</v>
      </c>
      <c r="S167" s="3"/>
      <c r="T167" s="198">
        <v>0.0</v>
      </c>
      <c r="U167" s="3"/>
      <c r="V167" s="198">
        <v>0.0</v>
      </c>
      <c r="W167" s="3"/>
      <c r="X167" s="198">
        <v>0.0</v>
      </c>
      <c r="Y167" s="3"/>
      <c r="Z167" s="198">
        <v>3.0</v>
      </c>
      <c r="AA167" s="3"/>
      <c r="AB167" s="198">
        <v>0.0</v>
      </c>
      <c r="AC167" s="3"/>
      <c r="AD167" s="198">
        <v>0.0</v>
      </c>
      <c r="AE167" s="3"/>
      <c r="AF167" s="198">
        <v>0.0</v>
      </c>
      <c r="AG167" s="3"/>
      <c r="AH167" s="198">
        <v>0.0</v>
      </c>
      <c r="AI167" s="3"/>
      <c r="AJ167" s="198">
        <v>0.0</v>
      </c>
      <c r="AK167" s="3"/>
      <c r="AL167" s="198">
        <v>0.0</v>
      </c>
      <c r="AM167" s="3"/>
      <c r="AN167" s="198">
        <v>0.0</v>
      </c>
      <c r="AO167" s="3"/>
      <c r="AP167" s="199">
        <f t="shared" si="11"/>
        <v>5517.4</v>
      </c>
      <c r="AQ167" s="200">
        <f t="shared" si="10"/>
        <v>290</v>
      </c>
      <c r="AR167" s="200">
        <f t="shared" si="3"/>
        <v>0</v>
      </c>
      <c r="AS167" s="200">
        <f t="shared" si="4"/>
        <v>293</v>
      </c>
      <c r="AT167" s="199">
        <f t="shared" si="5"/>
        <v>18.83071672</v>
      </c>
    </row>
    <row r="168" ht="15.75" customHeight="1">
      <c r="A168" s="211" t="s">
        <v>26</v>
      </c>
      <c r="B168" s="195">
        <f t="shared" si="6"/>
        <v>45093</v>
      </c>
      <c r="C168" s="196">
        <v>6.0</v>
      </c>
      <c r="D168" s="196" t="s">
        <v>37</v>
      </c>
      <c r="E168" s="309" t="s">
        <v>44</v>
      </c>
      <c r="F168" s="198">
        <v>0.0</v>
      </c>
      <c r="G168" s="3"/>
      <c r="H168" s="198">
        <v>0.0</v>
      </c>
      <c r="I168" s="3"/>
      <c r="J168" s="198">
        <v>0.0</v>
      </c>
      <c r="K168" s="3"/>
      <c r="L168" s="198">
        <v>0.0</v>
      </c>
      <c r="M168" s="3"/>
      <c r="N168" s="198">
        <v>130.0</v>
      </c>
      <c r="O168" s="3"/>
      <c r="P168" s="198">
        <v>130.0</v>
      </c>
      <c r="Q168" s="3"/>
      <c r="R168" s="198">
        <v>30.0</v>
      </c>
      <c r="S168" s="3"/>
      <c r="T168" s="198">
        <v>0.0</v>
      </c>
      <c r="U168" s="3"/>
      <c r="V168" s="198">
        <v>0.0</v>
      </c>
      <c r="W168" s="3"/>
      <c r="X168" s="198">
        <v>30.0</v>
      </c>
      <c r="Y168" s="3"/>
      <c r="Z168" s="198">
        <v>3.0</v>
      </c>
      <c r="AA168" s="3"/>
      <c r="AB168" s="198">
        <v>0.0</v>
      </c>
      <c r="AC168" s="3"/>
      <c r="AD168" s="198">
        <v>0.0</v>
      </c>
      <c r="AE168" s="3"/>
      <c r="AF168" s="198">
        <v>0.0</v>
      </c>
      <c r="AG168" s="3"/>
      <c r="AH168" s="198">
        <v>0.0</v>
      </c>
      <c r="AI168" s="3"/>
      <c r="AJ168" s="198">
        <v>0.0</v>
      </c>
      <c r="AK168" s="3"/>
      <c r="AL168" s="198">
        <v>0.0</v>
      </c>
      <c r="AM168" s="3"/>
      <c r="AN168" s="198">
        <v>0.0</v>
      </c>
      <c r="AO168" s="3"/>
      <c r="AP168" s="199">
        <f t="shared" si="11"/>
        <v>6109.6</v>
      </c>
      <c r="AQ168" s="200">
        <f t="shared" si="10"/>
        <v>320</v>
      </c>
      <c r="AR168" s="200">
        <f t="shared" si="3"/>
        <v>0</v>
      </c>
      <c r="AS168" s="200">
        <f t="shared" si="4"/>
        <v>323</v>
      </c>
      <c r="AT168" s="199">
        <f t="shared" si="5"/>
        <v>18.91517028</v>
      </c>
    </row>
    <row r="169" ht="15.75" customHeight="1">
      <c r="A169" s="211" t="s">
        <v>27</v>
      </c>
      <c r="B169" s="195">
        <f t="shared" si="6"/>
        <v>45094</v>
      </c>
      <c r="C169" s="196">
        <v>6.0</v>
      </c>
      <c r="D169" s="196" t="s">
        <v>37</v>
      </c>
      <c r="E169" s="309" t="s">
        <v>44</v>
      </c>
      <c r="F169" s="198">
        <v>0.0</v>
      </c>
      <c r="G169" s="3"/>
      <c r="H169" s="198">
        <v>0.0</v>
      </c>
      <c r="I169" s="3"/>
      <c r="J169" s="198">
        <v>0.0</v>
      </c>
      <c r="K169" s="3"/>
      <c r="L169" s="198">
        <v>0.0</v>
      </c>
      <c r="M169" s="3"/>
      <c r="N169" s="198">
        <v>130.0</v>
      </c>
      <c r="O169" s="3"/>
      <c r="P169" s="198">
        <v>130.0</v>
      </c>
      <c r="Q169" s="3"/>
      <c r="R169" s="198">
        <v>0.0</v>
      </c>
      <c r="S169" s="3"/>
      <c r="T169" s="198">
        <v>0.0</v>
      </c>
      <c r="U169" s="3"/>
      <c r="V169" s="198">
        <v>0.0</v>
      </c>
      <c r="W169" s="3"/>
      <c r="X169" s="198">
        <v>0.0</v>
      </c>
      <c r="Y169" s="3"/>
      <c r="Z169" s="198">
        <v>3.0</v>
      </c>
      <c r="AA169" s="3"/>
      <c r="AB169" s="198">
        <v>0.0</v>
      </c>
      <c r="AC169" s="3"/>
      <c r="AD169" s="198">
        <v>0.0</v>
      </c>
      <c r="AE169" s="3"/>
      <c r="AF169" s="198">
        <v>0.0</v>
      </c>
      <c r="AG169" s="3"/>
      <c r="AH169" s="198">
        <v>0.0</v>
      </c>
      <c r="AI169" s="3"/>
      <c r="AJ169" s="198">
        <v>0.0</v>
      </c>
      <c r="AK169" s="3"/>
      <c r="AL169" s="198">
        <v>0.0</v>
      </c>
      <c r="AM169" s="3"/>
      <c r="AN169" s="198">
        <v>0.0</v>
      </c>
      <c r="AO169" s="3"/>
      <c r="AP169" s="199">
        <f t="shared" si="11"/>
        <v>4925.2</v>
      </c>
      <c r="AQ169" s="200">
        <f t="shared" si="10"/>
        <v>260</v>
      </c>
      <c r="AR169" s="200">
        <f t="shared" si="3"/>
        <v>0</v>
      </c>
      <c r="AS169" s="200">
        <f t="shared" si="4"/>
        <v>263</v>
      </c>
      <c r="AT169" s="199">
        <f t="shared" si="5"/>
        <v>18.7269962</v>
      </c>
    </row>
    <row r="170" ht="15.75" customHeight="1">
      <c r="A170" s="211" t="s">
        <v>28</v>
      </c>
      <c r="B170" s="195">
        <f t="shared" si="6"/>
        <v>45095</v>
      </c>
      <c r="C170" s="196">
        <v>6.0</v>
      </c>
      <c r="D170" s="196" t="s">
        <v>37</v>
      </c>
      <c r="E170" s="215" t="s">
        <v>45</v>
      </c>
      <c r="F170" s="216">
        <v>0.0</v>
      </c>
      <c r="G170" s="73"/>
      <c r="H170" s="216">
        <v>0.0</v>
      </c>
      <c r="I170" s="73"/>
      <c r="J170" s="216">
        <v>0.0</v>
      </c>
      <c r="K170" s="73"/>
      <c r="L170" s="216">
        <v>0.0</v>
      </c>
      <c r="M170" s="73"/>
      <c r="N170" s="216">
        <v>0.0</v>
      </c>
      <c r="O170" s="73"/>
      <c r="P170" s="216">
        <v>0.0</v>
      </c>
      <c r="Q170" s="73"/>
      <c r="R170" s="216">
        <v>0.0</v>
      </c>
      <c r="S170" s="73"/>
      <c r="T170" s="216">
        <v>0.0</v>
      </c>
      <c r="U170" s="73"/>
      <c r="V170" s="216">
        <v>0.0</v>
      </c>
      <c r="W170" s="73"/>
      <c r="X170" s="216">
        <v>0.0</v>
      </c>
      <c r="Y170" s="73"/>
      <c r="Z170" s="216">
        <v>0.0</v>
      </c>
      <c r="AA170" s="73"/>
      <c r="AB170" s="216">
        <v>0.0</v>
      </c>
      <c r="AC170" s="73"/>
      <c r="AD170" s="216">
        <v>0.0</v>
      </c>
      <c r="AE170" s="73"/>
      <c r="AF170" s="216">
        <v>0.0</v>
      </c>
      <c r="AG170" s="73"/>
      <c r="AH170" s="216">
        <v>0.0</v>
      </c>
      <c r="AI170" s="73"/>
      <c r="AJ170" s="216">
        <v>0.0</v>
      </c>
      <c r="AK170" s="73"/>
      <c r="AL170" s="216">
        <v>0.0</v>
      </c>
      <c r="AM170" s="73"/>
      <c r="AN170" s="216">
        <v>0.0</v>
      </c>
      <c r="AO170" s="73"/>
      <c r="AP170" s="218">
        <f t="shared" si="11"/>
        <v>0</v>
      </c>
      <c r="AQ170" s="219">
        <f t="shared" si="10"/>
        <v>0</v>
      </c>
      <c r="AR170" s="219">
        <f t="shared" si="3"/>
        <v>0</v>
      </c>
      <c r="AS170" s="219">
        <f t="shared" si="4"/>
        <v>0</v>
      </c>
      <c r="AT170" s="218" t="str">
        <f t="shared" si="5"/>
        <v/>
      </c>
    </row>
    <row r="171" ht="15.75" customHeight="1">
      <c r="A171" s="134" t="s">
        <v>21</v>
      </c>
      <c r="B171" s="135">
        <f t="shared" si="6"/>
        <v>45096</v>
      </c>
      <c r="C171" s="136">
        <v>7.0</v>
      </c>
      <c r="D171" s="136" t="s">
        <v>22</v>
      </c>
      <c r="E171" s="174" t="s">
        <v>44</v>
      </c>
      <c r="F171" s="138">
        <v>0.0</v>
      </c>
      <c r="G171" s="84"/>
      <c r="H171" s="138">
        <v>0.0</v>
      </c>
      <c r="I171" s="84"/>
      <c r="J171" s="138">
        <v>0.0</v>
      </c>
      <c r="K171" s="84"/>
      <c r="L171" s="138">
        <v>0.0</v>
      </c>
      <c r="M171" s="84"/>
      <c r="N171" s="138">
        <v>130.0</v>
      </c>
      <c r="O171" s="84"/>
      <c r="P171" s="138">
        <v>130.0</v>
      </c>
      <c r="Q171" s="84"/>
      <c r="R171" s="138">
        <v>30.0</v>
      </c>
      <c r="S171" s="84"/>
      <c r="T171" s="138">
        <v>0.0</v>
      </c>
      <c r="U171" s="84"/>
      <c r="V171" s="138">
        <v>0.0</v>
      </c>
      <c r="W171" s="84"/>
      <c r="X171" s="138">
        <v>0.0</v>
      </c>
      <c r="Y171" s="84"/>
      <c r="Z171" s="138">
        <v>0.0</v>
      </c>
      <c r="AA171" s="84"/>
      <c r="AB171" s="138">
        <v>0.0</v>
      </c>
      <c r="AC171" s="84"/>
      <c r="AD171" s="138">
        <v>0.0</v>
      </c>
      <c r="AE171" s="84"/>
      <c r="AF171" s="138">
        <v>0.0</v>
      </c>
      <c r="AG171" s="84"/>
      <c r="AH171" s="138">
        <v>0.0</v>
      </c>
      <c r="AI171" s="84"/>
      <c r="AJ171" s="138">
        <v>0.0</v>
      </c>
      <c r="AK171" s="84"/>
      <c r="AL171" s="138">
        <v>0.0</v>
      </c>
      <c r="AM171" s="84"/>
      <c r="AN171" s="138">
        <v>0.0</v>
      </c>
      <c r="AO171" s="84"/>
      <c r="AP171" s="140">
        <f t="shared" si="11"/>
        <v>5277.4</v>
      </c>
      <c r="AQ171" s="141">
        <f t="shared" si="10"/>
        <v>290</v>
      </c>
      <c r="AR171" s="141">
        <f t="shared" si="3"/>
        <v>0</v>
      </c>
      <c r="AS171" s="141">
        <f t="shared" si="4"/>
        <v>290</v>
      </c>
      <c r="AT171" s="142">
        <f t="shared" si="5"/>
        <v>18.19793103</v>
      </c>
    </row>
    <row r="172" ht="15.75" customHeight="1">
      <c r="A172" s="143" t="s">
        <v>23</v>
      </c>
      <c r="B172" s="144">
        <f t="shared" si="6"/>
        <v>45097</v>
      </c>
      <c r="C172" s="145">
        <v>7.0</v>
      </c>
      <c r="D172" s="145" t="s">
        <v>22</v>
      </c>
      <c r="E172" s="175" t="s">
        <v>44</v>
      </c>
      <c r="F172" s="147">
        <v>0.0</v>
      </c>
      <c r="G172" s="3"/>
      <c r="H172" s="147">
        <v>0.0</v>
      </c>
      <c r="I172" s="3"/>
      <c r="J172" s="147">
        <v>0.0</v>
      </c>
      <c r="K172" s="3"/>
      <c r="L172" s="147">
        <v>0.0</v>
      </c>
      <c r="M172" s="3"/>
      <c r="N172" s="147">
        <v>130.0</v>
      </c>
      <c r="O172" s="3"/>
      <c r="P172" s="147">
        <v>130.0</v>
      </c>
      <c r="Q172" s="3"/>
      <c r="R172" s="147">
        <v>30.0</v>
      </c>
      <c r="S172" s="3"/>
      <c r="T172" s="147">
        <v>0.0</v>
      </c>
      <c r="U172" s="3"/>
      <c r="V172" s="147">
        <v>0.0</v>
      </c>
      <c r="W172" s="3"/>
      <c r="X172" s="147">
        <v>30.0</v>
      </c>
      <c r="Y172" s="3"/>
      <c r="Z172" s="147">
        <v>0.0</v>
      </c>
      <c r="AA172" s="3"/>
      <c r="AB172" s="147">
        <v>0.0</v>
      </c>
      <c r="AC172" s="3"/>
      <c r="AD172" s="147">
        <v>0.0</v>
      </c>
      <c r="AE172" s="3"/>
      <c r="AF172" s="147">
        <v>0.0</v>
      </c>
      <c r="AG172" s="3"/>
      <c r="AH172" s="147">
        <v>0.0</v>
      </c>
      <c r="AI172" s="3"/>
      <c r="AJ172" s="147">
        <v>0.0</v>
      </c>
      <c r="AK172" s="3"/>
      <c r="AL172" s="147">
        <v>0.0</v>
      </c>
      <c r="AM172" s="3"/>
      <c r="AN172" s="147">
        <v>0.0</v>
      </c>
      <c r="AO172" s="3"/>
      <c r="AP172" s="149">
        <f t="shared" si="11"/>
        <v>5869.6</v>
      </c>
      <c r="AQ172" s="150">
        <f t="shared" si="10"/>
        <v>320</v>
      </c>
      <c r="AR172" s="150">
        <f t="shared" si="3"/>
        <v>0</v>
      </c>
      <c r="AS172" s="150">
        <f t="shared" si="4"/>
        <v>320</v>
      </c>
      <c r="AT172" s="151">
        <f t="shared" si="5"/>
        <v>18.3425</v>
      </c>
    </row>
    <row r="173" ht="15.75" customHeight="1">
      <c r="A173" s="143" t="s">
        <v>24</v>
      </c>
      <c r="B173" s="144">
        <f t="shared" si="6"/>
        <v>45098</v>
      </c>
      <c r="C173" s="145">
        <v>7.0</v>
      </c>
      <c r="D173" s="145" t="s">
        <v>22</v>
      </c>
      <c r="E173" s="175" t="s">
        <v>44</v>
      </c>
      <c r="F173" s="147">
        <v>0.0</v>
      </c>
      <c r="G173" s="3"/>
      <c r="H173" s="147">
        <v>0.0</v>
      </c>
      <c r="I173" s="3"/>
      <c r="J173" s="147">
        <v>0.0</v>
      </c>
      <c r="K173" s="3"/>
      <c r="L173" s="147">
        <v>0.0</v>
      </c>
      <c r="M173" s="3"/>
      <c r="N173" s="147">
        <v>130.0</v>
      </c>
      <c r="O173" s="3"/>
      <c r="P173" s="147">
        <v>130.0</v>
      </c>
      <c r="Q173" s="3"/>
      <c r="R173" s="147">
        <v>0.0</v>
      </c>
      <c r="S173" s="3"/>
      <c r="T173" s="147">
        <v>0.0</v>
      </c>
      <c r="U173" s="3"/>
      <c r="V173" s="147">
        <v>0.0</v>
      </c>
      <c r="W173" s="3"/>
      <c r="X173" s="147">
        <v>0.0</v>
      </c>
      <c r="Y173" s="3"/>
      <c r="Z173" s="147">
        <v>0.0</v>
      </c>
      <c r="AA173" s="3"/>
      <c r="AB173" s="147">
        <v>0.0</v>
      </c>
      <c r="AC173" s="3"/>
      <c r="AD173" s="147">
        <v>0.0</v>
      </c>
      <c r="AE173" s="3"/>
      <c r="AF173" s="147">
        <v>0.0</v>
      </c>
      <c r="AG173" s="3"/>
      <c r="AH173" s="147">
        <v>0.0</v>
      </c>
      <c r="AI173" s="3"/>
      <c r="AJ173" s="147">
        <v>0.0</v>
      </c>
      <c r="AK173" s="3"/>
      <c r="AL173" s="147">
        <v>0.0</v>
      </c>
      <c r="AM173" s="3"/>
      <c r="AN173" s="147">
        <v>0.0</v>
      </c>
      <c r="AO173" s="3"/>
      <c r="AP173" s="149">
        <f t="shared" si="11"/>
        <v>4685.2</v>
      </c>
      <c r="AQ173" s="150">
        <f t="shared" si="10"/>
        <v>260</v>
      </c>
      <c r="AR173" s="150">
        <f t="shared" si="3"/>
        <v>0</v>
      </c>
      <c r="AS173" s="150">
        <f t="shared" si="4"/>
        <v>260</v>
      </c>
      <c r="AT173" s="151">
        <f t="shared" si="5"/>
        <v>18.02</v>
      </c>
    </row>
    <row r="174" ht="15.75" customHeight="1">
      <c r="A174" s="143" t="s">
        <v>25</v>
      </c>
      <c r="B174" s="144">
        <f t="shared" si="6"/>
        <v>45099</v>
      </c>
      <c r="C174" s="145">
        <v>7.0</v>
      </c>
      <c r="D174" s="145" t="s">
        <v>22</v>
      </c>
      <c r="E174" s="175" t="s">
        <v>44</v>
      </c>
      <c r="F174" s="147">
        <v>0.0</v>
      </c>
      <c r="G174" s="3"/>
      <c r="H174" s="147">
        <v>0.0</v>
      </c>
      <c r="I174" s="3"/>
      <c r="J174" s="147">
        <v>0.0</v>
      </c>
      <c r="K174" s="3"/>
      <c r="L174" s="147">
        <v>0.0</v>
      </c>
      <c r="M174" s="3"/>
      <c r="N174" s="147">
        <v>130.0</v>
      </c>
      <c r="O174" s="3"/>
      <c r="P174" s="147">
        <v>130.0</v>
      </c>
      <c r="Q174" s="3"/>
      <c r="R174" s="147">
        <v>30.0</v>
      </c>
      <c r="S174" s="3"/>
      <c r="T174" s="147">
        <v>0.0</v>
      </c>
      <c r="U174" s="3"/>
      <c r="V174" s="147">
        <v>0.0</v>
      </c>
      <c r="W174" s="3"/>
      <c r="X174" s="147">
        <v>30.0</v>
      </c>
      <c r="Y174" s="3"/>
      <c r="Z174" s="147">
        <v>0.0</v>
      </c>
      <c r="AA174" s="3"/>
      <c r="AB174" s="147">
        <v>0.0</v>
      </c>
      <c r="AC174" s="3"/>
      <c r="AD174" s="147">
        <v>0.0</v>
      </c>
      <c r="AE174" s="3"/>
      <c r="AF174" s="147">
        <v>0.0</v>
      </c>
      <c r="AG174" s="3"/>
      <c r="AH174" s="147">
        <v>0.0</v>
      </c>
      <c r="AI174" s="3"/>
      <c r="AJ174" s="147">
        <v>0.0</v>
      </c>
      <c r="AK174" s="3"/>
      <c r="AL174" s="147">
        <v>0.0</v>
      </c>
      <c r="AM174" s="3"/>
      <c r="AN174" s="147">
        <v>0.0</v>
      </c>
      <c r="AO174" s="3"/>
      <c r="AP174" s="149">
        <f t="shared" si="11"/>
        <v>5869.6</v>
      </c>
      <c r="AQ174" s="150">
        <f t="shared" si="10"/>
        <v>320</v>
      </c>
      <c r="AR174" s="150">
        <f t="shared" si="3"/>
        <v>0</v>
      </c>
      <c r="AS174" s="150">
        <f t="shared" si="4"/>
        <v>320</v>
      </c>
      <c r="AT174" s="151">
        <f t="shared" si="5"/>
        <v>18.3425</v>
      </c>
    </row>
    <row r="175" ht="15.75" customHeight="1">
      <c r="A175" s="143" t="s">
        <v>26</v>
      </c>
      <c r="B175" s="144">
        <f t="shared" si="6"/>
        <v>45100</v>
      </c>
      <c r="C175" s="145">
        <v>7.0</v>
      </c>
      <c r="D175" s="145" t="s">
        <v>22</v>
      </c>
      <c r="E175" s="175" t="s">
        <v>44</v>
      </c>
      <c r="F175" s="147">
        <v>0.0</v>
      </c>
      <c r="G175" s="3"/>
      <c r="H175" s="147">
        <v>0.0</v>
      </c>
      <c r="I175" s="3"/>
      <c r="J175" s="147">
        <v>0.0</v>
      </c>
      <c r="K175" s="3"/>
      <c r="L175" s="147">
        <v>0.0</v>
      </c>
      <c r="M175" s="3"/>
      <c r="N175" s="147">
        <v>130.0</v>
      </c>
      <c r="O175" s="3"/>
      <c r="P175" s="147">
        <v>130.0</v>
      </c>
      <c r="Q175" s="3"/>
      <c r="R175" s="147">
        <v>30.0</v>
      </c>
      <c r="S175" s="3"/>
      <c r="T175" s="147">
        <v>0.0</v>
      </c>
      <c r="U175" s="3"/>
      <c r="V175" s="147">
        <v>0.0</v>
      </c>
      <c r="W175" s="3"/>
      <c r="X175" s="147">
        <v>0.0</v>
      </c>
      <c r="Y175" s="3"/>
      <c r="Z175" s="147">
        <v>0.0</v>
      </c>
      <c r="AA175" s="3"/>
      <c r="AB175" s="147">
        <v>0.0</v>
      </c>
      <c r="AC175" s="3"/>
      <c r="AD175" s="147">
        <v>0.0</v>
      </c>
      <c r="AE175" s="3"/>
      <c r="AF175" s="147">
        <v>0.0</v>
      </c>
      <c r="AG175" s="3"/>
      <c r="AH175" s="147">
        <v>0.0</v>
      </c>
      <c r="AI175" s="3"/>
      <c r="AJ175" s="147">
        <v>0.0</v>
      </c>
      <c r="AK175" s="3"/>
      <c r="AL175" s="147">
        <v>0.0</v>
      </c>
      <c r="AM175" s="3"/>
      <c r="AN175" s="147">
        <v>0.0</v>
      </c>
      <c r="AO175" s="3"/>
      <c r="AP175" s="149">
        <f t="shared" si="11"/>
        <v>5277.4</v>
      </c>
      <c r="AQ175" s="150">
        <f t="shared" si="10"/>
        <v>290</v>
      </c>
      <c r="AR175" s="150">
        <f t="shared" si="3"/>
        <v>0</v>
      </c>
      <c r="AS175" s="150">
        <f t="shared" si="4"/>
        <v>290</v>
      </c>
      <c r="AT175" s="151">
        <f t="shared" si="5"/>
        <v>18.19793103</v>
      </c>
    </row>
    <row r="176" ht="15.75" customHeight="1">
      <c r="A176" s="143" t="s">
        <v>27</v>
      </c>
      <c r="B176" s="144">
        <f t="shared" si="6"/>
        <v>45101</v>
      </c>
      <c r="C176" s="145">
        <v>7.0</v>
      </c>
      <c r="D176" s="145" t="s">
        <v>22</v>
      </c>
      <c r="E176" s="175" t="s">
        <v>44</v>
      </c>
      <c r="F176" s="147">
        <v>0.0</v>
      </c>
      <c r="G176" s="3"/>
      <c r="H176" s="147">
        <v>0.0</v>
      </c>
      <c r="I176" s="3"/>
      <c r="J176" s="147">
        <v>0.0</v>
      </c>
      <c r="K176" s="3"/>
      <c r="L176" s="147">
        <v>0.0</v>
      </c>
      <c r="M176" s="3"/>
      <c r="N176" s="147">
        <v>130.0</v>
      </c>
      <c r="O176" s="3"/>
      <c r="P176" s="147">
        <v>130.0</v>
      </c>
      <c r="Q176" s="3"/>
      <c r="R176" s="147">
        <v>0.0</v>
      </c>
      <c r="S176" s="3"/>
      <c r="T176" s="147">
        <v>0.0</v>
      </c>
      <c r="U176" s="3"/>
      <c r="V176" s="147">
        <v>0.0</v>
      </c>
      <c r="W176" s="3"/>
      <c r="X176" s="147">
        <v>0.0</v>
      </c>
      <c r="Y176" s="3"/>
      <c r="Z176" s="147">
        <v>0.0</v>
      </c>
      <c r="AA176" s="3"/>
      <c r="AB176" s="147">
        <v>0.0</v>
      </c>
      <c r="AC176" s="3"/>
      <c r="AD176" s="147">
        <v>0.0</v>
      </c>
      <c r="AE176" s="3"/>
      <c r="AF176" s="147">
        <v>0.0</v>
      </c>
      <c r="AG176" s="3"/>
      <c r="AH176" s="147">
        <v>0.0</v>
      </c>
      <c r="AI176" s="3"/>
      <c r="AJ176" s="147">
        <v>0.0</v>
      </c>
      <c r="AK176" s="3"/>
      <c r="AL176" s="147">
        <v>0.0</v>
      </c>
      <c r="AM176" s="3"/>
      <c r="AN176" s="147">
        <v>0.0</v>
      </c>
      <c r="AO176" s="3"/>
      <c r="AP176" s="149">
        <f t="shared" si="11"/>
        <v>4685.2</v>
      </c>
      <c r="AQ176" s="150">
        <f t="shared" si="10"/>
        <v>260</v>
      </c>
      <c r="AR176" s="150">
        <f t="shared" si="3"/>
        <v>0</v>
      </c>
      <c r="AS176" s="150">
        <f t="shared" si="4"/>
        <v>260</v>
      </c>
      <c r="AT176" s="151">
        <f t="shared" si="5"/>
        <v>18.02</v>
      </c>
    </row>
    <row r="177" ht="15.75" customHeight="1">
      <c r="A177" s="143" t="s">
        <v>28</v>
      </c>
      <c r="B177" s="144">
        <f t="shared" si="6"/>
        <v>45102</v>
      </c>
      <c r="C177" s="145">
        <v>7.0</v>
      </c>
      <c r="D177" s="145" t="s">
        <v>22</v>
      </c>
      <c r="E177" s="281" t="s">
        <v>45</v>
      </c>
      <c r="F177" s="159">
        <v>0.0</v>
      </c>
      <c r="G177" s="73"/>
      <c r="H177" s="159">
        <v>0.0</v>
      </c>
      <c r="I177" s="73"/>
      <c r="J177" s="159">
        <v>0.0</v>
      </c>
      <c r="K177" s="73"/>
      <c r="L177" s="159">
        <v>0.0</v>
      </c>
      <c r="M177" s="73"/>
      <c r="N177" s="159">
        <v>0.0</v>
      </c>
      <c r="O177" s="73"/>
      <c r="P177" s="159">
        <v>0.0</v>
      </c>
      <c r="Q177" s="73"/>
      <c r="R177" s="159">
        <v>0.0</v>
      </c>
      <c r="S177" s="73"/>
      <c r="T177" s="159">
        <v>0.0</v>
      </c>
      <c r="U177" s="73"/>
      <c r="V177" s="159">
        <v>0.0</v>
      </c>
      <c r="W177" s="73"/>
      <c r="X177" s="159">
        <v>0.0</v>
      </c>
      <c r="Y177" s="73"/>
      <c r="Z177" s="159">
        <v>0.0</v>
      </c>
      <c r="AA177" s="73"/>
      <c r="AB177" s="159">
        <v>0.0</v>
      </c>
      <c r="AC177" s="73"/>
      <c r="AD177" s="159">
        <v>0.0</v>
      </c>
      <c r="AE177" s="73"/>
      <c r="AF177" s="159">
        <v>0.0</v>
      </c>
      <c r="AG177" s="73"/>
      <c r="AH177" s="159">
        <v>0.0</v>
      </c>
      <c r="AI177" s="73"/>
      <c r="AJ177" s="159">
        <v>0.0</v>
      </c>
      <c r="AK177" s="73"/>
      <c r="AL177" s="159">
        <v>0.0</v>
      </c>
      <c r="AM177" s="73"/>
      <c r="AN177" s="159">
        <v>0.0</v>
      </c>
      <c r="AO177" s="73"/>
      <c r="AP177" s="161">
        <f t="shared" si="11"/>
        <v>0</v>
      </c>
      <c r="AQ177" s="157">
        <f t="shared" si="10"/>
        <v>0</v>
      </c>
      <c r="AR177" s="157">
        <f t="shared" si="3"/>
        <v>0</v>
      </c>
      <c r="AS177" s="157">
        <f t="shared" si="4"/>
        <v>0</v>
      </c>
      <c r="AT177" s="162" t="str">
        <f t="shared" si="5"/>
        <v/>
      </c>
    </row>
    <row r="178" ht="15.75" customHeight="1">
      <c r="A178" s="220" t="s">
        <v>21</v>
      </c>
      <c r="B178" s="221">
        <f t="shared" si="6"/>
        <v>45103</v>
      </c>
      <c r="C178" s="222">
        <v>7.0</v>
      </c>
      <c r="D178" s="222" t="s">
        <v>34</v>
      </c>
      <c r="E178" s="223" t="s">
        <v>44</v>
      </c>
      <c r="F178" s="224">
        <v>0.0</v>
      </c>
      <c r="G178" s="190"/>
      <c r="H178" s="224">
        <v>0.0</v>
      </c>
      <c r="I178" s="190"/>
      <c r="J178" s="224">
        <v>0.0</v>
      </c>
      <c r="K178" s="190"/>
      <c r="L178" s="224">
        <v>0.0</v>
      </c>
      <c r="M178" s="190"/>
      <c r="N178" s="224">
        <v>130.0</v>
      </c>
      <c r="O178" s="190"/>
      <c r="P178" s="224">
        <v>130.0</v>
      </c>
      <c r="Q178" s="190"/>
      <c r="R178" s="224">
        <v>30.0</v>
      </c>
      <c r="S178" s="190"/>
      <c r="T178" s="224">
        <v>0.0</v>
      </c>
      <c r="U178" s="190"/>
      <c r="V178" s="224">
        <v>0.0</v>
      </c>
      <c r="W178" s="190"/>
      <c r="X178" s="224">
        <v>0.0</v>
      </c>
      <c r="Y178" s="190"/>
      <c r="Z178" s="224">
        <v>3.0</v>
      </c>
      <c r="AA178" s="190"/>
      <c r="AB178" s="224">
        <v>0.0</v>
      </c>
      <c r="AC178" s="190"/>
      <c r="AD178" s="224">
        <v>0.0</v>
      </c>
      <c r="AE178" s="190"/>
      <c r="AF178" s="224">
        <v>0.0</v>
      </c>
      <c r="AG178" s="190"/>
      <c r="AH178" s="224">
        <v>0.0</v>
      </c>
      <c r="AI178" s="190"/>
      <c r="AJ178" s="224">
        <v>0.0</v>
      </c>
      <c r="AK178" s="190"/>
      <c r="AL178" s="224">
        <v>0.0</v>
      </c>
      <c r="AM178" s="190"/>
      <c r="AN178" s="224">
        <v>0.0</v>
      </c>
      <c r="AO178" s="190"/>
      <c r="AP178" s="225">
        <f t="shared" si="11"/>
        <v>5517.4</v>
      </c>
      <c r="AQ178" s="226">
        <f t="shared" si="10"/>
        <v>290</v>
      </c>
      <c r="AR178" s="226">
        <f t="shared" si="3"/>
        <v>0</v>
      </c>
      <c r="AS178" s="226">
        <f t="shared" si="4"/>
        <v>293</v>
      </c>
      <c r="AT178" s="227">
        <f t="shared" si="5"/>
        <v>18.83071672</v>
      </c>
    </row>
    <row r="179" ht="15.75" customHeight="1">
      <c r="A179" s="322" t="s">
        <v>23</v>
      </c>
      <c r="B179" s="323">
        <f t="shared" si="6"/>
        <v>45104</v>
      </c>
      <c r="C179" s="324">
        <v>7.0</v>
      </c>
      <c r="D179" s="324" t="s">
        <v>34</v>
      </c>
      <c r="E179" s="231" t="s">
        <v>44</v>
      </c>
      <c r="F179" s="232">
        <v>0.0</v>
      </c>
      <c r="G179" s="3"/>
      <c r="H179" s="232">
        <v>0.0</v>
      </c>
      <c r="I179" s="3"/>
      <c r="J179" s="232">
        <v>0.0</v>
      </c>
      <c r="K179" s="3"/>
      <c r="L179" s="232">
        <v>0.0</v>
      </c>
      <c r="M179" s="3"/>
      <c r="N179" s="232">
        <v>130.0</v>
      </c>
      <c r="O179" s="3"/>
      <c r="P179" s="232">
        <v>130.0</v>
      </c>
      <c r="Q179" s="3"/>
      <c r="R179" s="232">
        <v>30.0</v>
      </c>
      <c r="S179" s="3"/>
      <c r="T179" s="232">
        <v>0.0</v>
      </c>
      <c r="U179" s="3"/>
      <c r="V179" s="232">
        <v>0.0</v>
      </c>
      <c r="W179" s="3"/>
      <c r="X179" s="232">
        <v>0.0</v>
      </c>
      <c r="Y179" s="3"/>
      <c r="Z179" s="232">
        <v>3.0</v>
      </c>
      <c r="AA179" s="3"/>
      <c r="AB179" s="232">
        <v>0.0</v>
      </c>
      <c r="AC179" s="3"/>
      <c r="AD179" s="232">
        <v>0.0</v>
      </c>
      <c r="AE179" s="3"/>
      <c r="AF179" s="232">
        <v>0.0</v>
      </c>
      <c r="AG179" s="3"/>
      <c r="AH179" s="232">
        <v>0.0</v>
      </c>
      <c r="AI179" s="3"/>
      <c r="AJ179" s="232">
        <v>0.0</v>
      </c>
      <c r="AK179" s="3"/>
      <c r="AL179" s="232">
        <v>0.0</v>
      </c>
      <c r="AM179" s="3"/>
      <c r="AN179" s="232">
        <v>0.0</v>
      </c>
      <c r="AO179" s="3"/>
      <c r="AP179" s="233">
        <f t="shared" si="11"/>
        <v>5517.4</v>
      </c>
      <c r="AQ179" s="234">
        <f t="shared" si="10"/>
        <v>290</v>
      </c>
      <c r="AR179" s="234">
        <f t="shared" si="3"/>
        <v>0</v>
      </c>
      <c r="AS179" s="234">
        <f t="shared" si="4"/>
        <v>293</v>
      </c>
      <c r="AT179" s="235">
        <f t="shared" si="5"/>
        <v>18.83071672</v>
      </c>
    </row>
    <row r="180" ht="15.75" customHeight="1">
      <c r="A180" s="228" t="s">
        <v>24</v>
      </c>
      <c r="B180" s="229">
        <f t="shared" si="6"/>
        <v>45105</v>
      </c>
      <c r="C180" s="230">
        <v>7.0</v>
      </c>
      <c r="D180" s="230" t="s">
        <v>34</v>
      </c>
      <c r="E180" s="231" t="s">
        <v>44</v>
      </c>
      <c r="F180" s="232">
        <v>0.0</v>
      </c>
      <c r="G180" s="3"/>
      <c r="H180" s="232">
        <v>0.0</v>
      </c>
      <c r="I180" s="3"/>
      <c r="J180" s="232">
        <v>0.0</v>
      </c>
      <c r="K180" s="3"/>
      <c r="L180" s="232">
        <v>0.0</v>
      </c>
      <c r="M180" s="3"/>
      <c r="N180" s="232">
        <v>130.0</v>
      </c>
      <c r="O180" s="3"/>
      <c r="P180" s="232">
        <v>130.0</v>
      </c>
      <c r="Q180" s="3"/>
      <c r="R180" s="232">
        <v>0.0</v>
      </c>
      <c r="S180" s="3"/>
      <c r="T180" s="232">
        <v>0.0</v>
      </c>
      <c r="U180" s="3"/>
      <c r="V180" s="232">
        <v>0.0</v>
      </c>
      <c r="W180" s="3"/>
      <c r="X180" s="232">
        <v>0.0</v>
      </c>
      <c r="Y180" s="3"/>
      <c r="Z180" s="232">
        <v>4.0</v>
      </c>
      <c r="AA180" s="3"/>
      <c r="AB180" s="232">
        <v>0.0</v>
      </c>
      <c r="AC180" s="3"/>
      <c r="AD180" s="232">
        <v>0.0</v>
      </c>
      <c r="AE180" s="3"/>
      <c r="AF180" s="232">
        <v>0.0</v>
      </c>
      <c r="AG180" s="3"/>
      <c r="AH180" s="232">
        <v>0.0</v>
      </c>
      <c r="AI180" s="3"/>
      <c r="AJ180" s="232">
        <v>0.0</v>
      </c>
      <c r="AK180" s="3"/>
      <c r="AL180" s="232">
        <v>0.0</v>
      </c>
      <c r="AM180" s="3"/>
      <c r="AN180" s="232">
        <v>0.0</v>
      </c>
      <c r="AO180" s="3"/>
      <c r="AP180" s="233">
        <f t="shared" si="11"/>
        <v>5005.2</v>
      </c>
      <c r="AQ180" s="234">
        <f t="shared" si="10"/>
        <v>260</v>
      </c>
      <c r="AR180" s="234">
        <f t="shared" si="3"/>
        <v>0</v>
      </c>
      <c r="AS180" s="234">
        <f t="shared" si="4"/>
        <v>264</v>
      </c>
      <c r="AT180" s="235">
        <f t="shared" si="5"/>
        <v>18.95909091</v>
      </c>
    </row>
    <row r="181" ht="15.75" customHeight="1">
      <c r="A181" s="228" t="s">
        <v>25</v>
      </c>
      <c r="B181" s="229">
        <f t="shared" si="6"/>
        <v>45106</v>
      </c>
      <c r="C181" s="230">
        <v>7.0</v>
      </c>
      <c r="D181" s="230" t="s">
        <v>34</v>
      </c>
      <c r="E181" s="231" t="s">
        <v>44</v>
      </c>
      <c r="F181" s="232">
        <v>0.0</v>
      </c>
      <c r="G181" s="3"/>
      <c r="H181" s="232">
        <v>0.0</v>
      </c>
      <c r="I181" s="3"/>
      <c r="J181" s="232">
        <v>0.0</v>
      </c>
      <c r="K181" s="3"/>
      <c r="L181" s="232">
        <v>0.0</v>
      </c>
      <c r="M181" s="3"/>
      <c r="N181" s="232">
        <v>130.0</v>
      </c>
      <c r="O181" s="3"/>
      <c r="P181" s="232">
        <v>130.0</v>
      </c>
      <c r="Q181" s="3"/>
      <c r="R181" s="232">
        <v>30.0</v>
      </c>
      <c r="S181" s="3"/>
      <c r="T181" s="232">
        <v>0.0</v>
      </c>
      <c r="U181" s="3"/>
      <c r="V181" s="232">
        <v>0.0</v>
      </c>
      <c r="W181" s="3"/>
      <c r="X181" s="232">
        <v>30.0</v>
      </c>
      <c r="Y181" s="3"/>
      <c r="Z181" s="232">
        <v>0.0</v>
      </c>
      <c r="AA181" s="3"/>
      <c r="AB181" s="232">
        <v>3.0</v>
      </c>
      <c r="AC181" s="3"/>
      <c r="AD181" s="232">
        <v>0.0</v>
      </c>
      <c r="AE181" s="3"/>
      <c r="AF181" s="232">
        <v>0.0</v>
      </c>
      <c r="AG181" s="3"/>
      <c r="AH181" s="232">
        <v>0.0</v>
      </c>
      <c r="AI181" s="3"/>
      <c r="AJ181" s="232">
        <v>0.0</v>
      </c>
      <c r="AK181" s="3"/>
      <c r="AL181" s="232">
        <v>0.0</v>
      </c>
      <c r="AM181" s="3"/>
      <c r="AN181" s="232">
        <v>0.0</v>
      </c>
      <c r="AO181" s="3"/>
      <c r="AP181" s="233">
        <f t="shared" si="11"/>
        <v>6244.6</v>
      </c>
      <c r="AQ181" s="234">
        <f t="shared" si="10"/>
        <v>320</v>
      </c>
      <c r="AR181" s="234">
        <f t="shared" si="3"/>
        <v>0</v>
      </c>
      <c r="AS181" s="234">
        <f t="shared" si="4"/>
        <v>323</v>
      </c>
      <c r="AT181" s="235">
        <f t="shared" si="5"/>
        <v>19.33312693</v>
      </c>
    </row>
    <row r="182" ht="15.75" customHeight="1">
      <c r="A182" s="228" t="s">
        <v>26</v>
      </c>
      <c r="B182" s="229">
        <f t="shared" si="6"/>
        <v>45107</v>
      </c>
      <c r="C182" s="230">
        <v>7.0</v>
      </c>
      <c r="D182" s="230" t="s">
        <v>34</v>
      </c>
      <c r="E182" s="231" t="s">
        <v>44</v>
      </c>
      <c r="F182" s="232">
        <v>0.0</v>
      </c>
      <c r="G182" s="3"/>
      <c r="H182" s="232">
        <v>0.0</v>
      </c>
      <c r="I182" s="3"/>
      <c r="J182" s="232">
        <v>0.0</v>
      </c>
      <c r="K182" s="3"/>
      <c r="L182" s="232">
        <v>0.0</v>
      </c>
      <c r="M182" s="3"/>
      <c r="N182" s="232">
        <v>130.0</v>
      </c>
      <c r="O182" s="3"/>
      <c r="P182" s="232">
        <v>130.0</v>
      </c>
      <c r="Q182" s="3"/>
      <c r="R182" s="232">
        <v>20.0</v>
      </c>
      <c r="S182" s="3"/>
      <c r="T182" s="232">
        <v>0.0</v>
      </c>
      <c r="U182" s="3"/>
      <c r="V182" s="232">
        <v>0.0</v>
      </c>
      <c r="W182" s="3"/>
      <c r="X182" s="232">
        <v>30.0</v>
      </c>
      <c r="Y182" s="3"/>
      <c r="Z182" s="232">
        <v>3.0</v>
      </c>
      <c r="AA182" s="3"/>
      <c r="AB182" s="232">
        <v>0.0</v>
      </c>
      <c r="AC182" s="3"/>
      <c r="AD182" s="232">
        <v>0.0</v>
      </c>
      <c r="AE182" s="3"/>
      <c r="AF182" s="232">
        <v>0.0</v>
      </c>
      <c r="AG182" s="3"/>
      <c r="AH182" s="232">
        <v>0.0</v>
      </c>
      <c r="AI182" s="3"/>
      <c r="AJ182" s="232">
        <v>0.0</v>
      </c>
      <c r="AK182" s="3"/>
      <c r="AL182" s="232">
        <v>0.0</v>
      </c>
      <c r="AM182" s="3"/>
      <c r="AN182" s="232">
        <v>0.0</v>
      </c>
      <c r="AO182" s="3"/>
      <c r="AP182" s="233">
        <f t="shared" si="11"/>
        <v>5912.2</v>
      </c>
      <c r="AQ182" s="234">
        <f t="shared" si="10"/>
        <v>310</v>
      </c>
      <c r="AR182" s="234">
        <f t="shared" si="3"/>
        <v>0</v>
      </c>
      <c r="AS182" s="234">
        <f t="shared" si="4"/>
        <v>313</v>
      </c>
      <c r="AT182" s="235">
        <f t="shared" si="5"/>
        <v>18.88881789</v>
      </c>
    </row>
    <row r="183" ht="15.75" customHeight="1">
      <c r="A183" s="228" t="s">
        <v>27</v>
      </c>
      <c r="B183" s="229">
        <f t="shared" si="6"/>
        <v>45108</v>
      </c>
      <c r="C183" s="230">
        <v>7.0</v>
      </c>
      <c r="D183" s="230" t="s">
        <v>34</v>
      </c>
      <c r="E183" s="231" t="s">
        <v>44</v>
      </c>
      <c r="F183" s="232">
        <v>0.0</v>
      </c>
      <c r="G183" s="3"/>
      <c r="H183" s="232">
        <v>0.0</v>
      </c>
      <c r="I183" s="3"/>
      <c r="J183" s="232">
        <v>0.0</v>
      </c>
      <c r="K183" s="3"/>
      <c r="L183" s="232">
        <v>0.0</v>
      </c>
      <c r="M183" s="3"/>
      <c r="N183" s="232">
        <v>130.0</v>
      </c>
      <c r="O183" s="3"/>
      <c r="P183" s="232">
        <v>130.0</v>
      </c>
      <c r="Q183" s="3"/>
      <c r="R183" s="232">
        <v>0.0</v>
      </c>
      <c r="S183" s="3"/>
      <c r="T183" s="232">
        <v>0.0</v>
      </c>
      <c r="U183" s="3"/>
      <c r="V183" s="232">
        <v>0.0</v>
      </c>
      <c r="W183" s="3"/>
      <c r="X183" s="232">
        <v>0.0</v>
      </c>
      <c r="Y183" s="3"/>
      <c r="Z183" s="232">
        <v>3.0</v>
      </c>
      <c r="AA183" s="3"/>
      <c r="AB183" s="232">
        <v>0.0</v>
      </c>
      <c r="AC183" s="3"/>
      <c r="AD183" s="232">
        <v>0.0</v>
      </c>
      <c r="AE183" s="3"/>
      <c r="AF183" s="232">
        <v>0.0</v>
      </c>
      <c r="AG183" s="3"/>
      <c r="AH183" s="232">
        <v>0.0</v>
      </c>
      <c r="AI183" s="3"/>
      <c r="AJ183" s="232">
        <v>0.0</v>
      </c>
      <c r="AK183" s="3"/>
      <c r="AL183" s="232">
        <v>0.0</v>
      </c>
      <c r="AM183" s="3"/>
      <c r="AN183" s="232">
        <v>0.0</v>
      </c>
      <c r="AO183" s="3"/>
      <c r="AP183" s="233">
        <f t="shared" si="11"/>
        <v>4925.2</v>
      </c>
      <c r="AQ183" s="234">
        <f t="shared" si="10"/>
        <v>260</v>
      </c>
      <c r="AR183" s="234">
        <f t="shared" si="3"/>
        <v>0</v>
      </c>
      <c r="AS183" s="234">
        <f t="shared" si="4"/>
        <v>263</v>
      </c>
      <c r="AT183" s="235">
        <f t="shared" si="5"/>
        <v>18.7269962</v>
      </c>
    </row>
    <row r="184" ht="15.75" customHeight="1">
      <c r="A184" s="228" t="s">
        <v>28</v>
      </c>
      <c r="B184" s="229">
        <f t="shared" si="6"/>
        <v>45109</v>
      </c>
      <c r="C184" s="230">
        <v>7.0</v>
      </c>
      <c r="D184" s="230" t="s">
        <v>34</v>
      </c>
      <c r="E184" s="236" t="s">
        <v>50</v>
      </c>
      <c r="F184" s="237">
        <v>0.0</v>
      </c>
      <c r="G184" s="73"/>
      <c r="H184" s="237">
        <v>0.0</v>
      </c>
      <c r="I184" s="73"/>
      <c r="J184" s="237">
        <v>0.0</v>
      </c>
      <c r="K184" s="73"/>
      <c r="L184" s="237">
        <v>0.0</v>
      </c>
      <c r="M184" s="73"/>
      <c r="N184" s="237">
        <v>0.0</v>
      </c>
      <c r="O184" s="73"/>
      <c r="P184" s="237">
        <v>0.0</v>
      </c>
      <c r="Q184" s="73"/>
      <c r="R184" s="237">
        <v>0.0</v>
      </c>
      <c r="S184" s="73"/>
      <c r="T184" s="237">
        <v>0.0</v>
      </c>
      <c r="U184" s="73"/>
      <c r="V184" s="237">
        <v>0.0</v>
      </c>
      <c r="W184" s="73"/>
      <c r="X184" s="237">
        <v>0.0</v>
      </c>
      <c r="Y184" s="73"/>
      <c r="Z184" s="237">
        <v>0.0</v>
      </c>
      <c r="AA184" s="73"/>
      <c r="AB184" s="237">
        <v>0.0</v>
      </c>
      <c r="AC184" s="73"/>
      <c r="AD184" s="237">
        <v>0.0</v>
      </c>
      <c r="AE184" s="73"/>
      <c r="AF184" s="237">
        <v>0.0</v>
      </c>
      <c r="AG184" s="73"/>
      <c r="AH184" s="237">
        <v>0.0</v>
      </c>
      <c r="AI184" s="73"/>
      <c r="AJ184" s="237">
        <v>0.0</v>
      </c>
      <c r="AK184" s="73"/>
      <c r="AL184" s="237">
        <v>0.0</v>
      </c>
      <c r="AM184" s="73"/>
      <c r="AN184" s="237">
        <v>0.0</v>
      </c>
      <c r="AO184" s="73"/>
      <c r="AP184" s="238">
        <f t="shared" si="11"/>
        <v>0</v>
      </c>
      <c r="AQ184" s="239">
        <f t="shared" si="10"/>
        <v>0</v>
      </c>
      <c r="AR184" s="239">
        <f t="shared" si="3"/>
        <v>0</v>
      </c>
      <c r="AS184" s="239">
        <f t="shared" si="4"/>
        <v>0</v>
      </c>
      <c r="AT184" s="240" t="str">
        <f t="shared" si="5"/>
        <v/>
      </c>
    </row>
    <row r="185" ht="15.75" customHeight="1">
      <c r="A185" s="325" t="s">
        <v>21</v>
      </c>
      <c r="B185" s="326">
        <f t="shared" si="6"/>
        <v>45110</v>
      </c>
      <c r="C185" s="292">
        <v>7.0</v>
      </c>
      <c r="D185" s="292" t="s">
        <v>36</v>
      </c>
      <c r="E185" s="293" t="s">
        <v>44</v>
      </c>
      <c r="F185" s="294">
        <v>0.0</v>
      </c>
      <c r="G185" s="190"/>
      <c r="H185" s="294">
        <v>0.0</v>
      </c>
      <c r="I185" s="190"/>
      <c r="J185" s="294">
        <v>0.0</v>
      </c>
      <c r="K185" s="190"/>
      <c r="L185" s="294">
        <v>0.0</v>
      </c>
      <c r="M185" s="190"/>
      <c r="N185" s="294">
        <v>130.0</v>
      </c>
      <c r="O185" s="190"/>
      <c r="P185" s="294">
        <v>130.0</v>
      </c>
      <c r="Q185" s="190"/>
      <c r="R185" s="294">
        <v>20.0</v>
      </c>
      <c r="S185" s="190"/>
      <c r="T185" s="294">
        <v>0.0</v>
      </c>
      <c r="U185" s="190"/>
      <c r="V185" s="294">
        <v>0.0</v>
      </c>
      <c r="W185" s="190"/>
      <c r="X185" s="294">
        <v>30.0</v>
      </c>
      <c r="Y185" s="190"/>
      <c r="Z185" s="294">
        <v>3.0</v>
      </c>
      <c r="AA185" s="190"/>
      <c r="AB185" s="294">
        <v>0.0</v>
      </c>
      <c r="AC185" s="190"/>
      <c r="AD185" s="294">
        <v>0.0</v>
      </c>
      <c r="AE185" s="190"/>
      <c r="AF185" s="294">
        <v>0.0</v>
      </c>
      <c r="AG185" s="190"/>
      <c r="AH185" s="294">
        <v>0.0</v>
      </c>
      <c r="AI185" s="190"/>
      <c r="AJ185" s="294">
        <v>0.0</v>
      </c>
      <c r="AK185" s="190"/>
      <c r="AL185" s="294">
        <v>0.0</v>
      </c>
      <c r="AM185" s="190"/>
      <c r="AN185" s="294">
        <v>0.0</v>
      </c>
      <c r="AO185" s="190"/>
      <c r="AP185" s="295">
        <f t="shared" si="11"/>
        <v>5912.2</v>
      </c>
      <c r="AQ185" s="296">
        <f t="shared" si="10"/>
        <v>310</v>
      </c>
      <c r="AR185" s="296">
        <f t="shared" si="3"/>
        <v>0</v>
      </c>
      <c r="AS185" s="296">
        <f t="shared" si="4"/>
        <v>313</v>
      </c>
      <c r="AT185" s="297">
        <f t="shared" si="5"/>
        <v>18.88881789</v>
      </c>
    </row>
    <row r="186" ht="15.75" customHeight="1">
      <c r="A186" s="327" t="s">
        <v>23</v>
      </c>
      <c r="B186" s="144">
        <f t="shared" si="6"/>
        <v>45111</v>
      </c>
      <c r="C186" s="145">
        <v>7.0</v>
      </c>
      <c r="D186" s="145" t="s">
        <v>36</v>
      </c>
      <c r="E186" s="175" t="s">
        <v>44</v>
      </c>
      <c r="F186" s="147">
        <v>0.0</v>
      </c>
      <c r="G186" s="3"/>
      <c r="H186" s="147">
        <v>0.0</v>
      </c>
      <c r="I186" s="3"/>
      <c r="J186" s="147">
        <v>0.0</v>
      </c>
      <c r="K186" s="3"/>
      <c r="L186" s="147">
        <v>0.0</v>
      </c>
      <c r="M186" s="3"/>
      <c r="N186" s="147">
        <v>130.0</v>
      </c>
      <c r="O186" s="3"/>
      <c r="P186" s="147">
        <v>130.0</v>
      </c>
      <c r="Q186" s="3"/>
      <c r="R186" s="147">
        <v>20.0</v>
      </c>
      <c r="S186" s="3"/>
      <c r="T186" s="147">
        <v>0.0</v>
      </c>
      <c r="U186" s="3"/>
      <c r="V186" s="147">
        <v>0.0</v>
      </c>
      <c r="W186" s="3"/>
      <c r="X186" s="147">
        <v>0.0</v>
      </c>
      <c r="Y186" s="3"/>
      <c r="Z186" s="147">
        <v>0.0</v>
      </c>
      <c r="AA186" s="3"/>
      <c r="AB186" s="147">
        <v>4.0</v>
      </c>
      <c r="AC186" s="3"/>
      <c r="AD186" s="147">
        <v>0.0</v>
      </c>
      <c r="AE186" s="3"/>
      <c r="AF186" s="147">
        <v>0.0</v>
      </c>
      <c r="AG186" s="3"/>
      <c r="AH186" s="147">
        <v>0.0</v>
      </c>
      <c r="AI186" s="3"/>
      <c r="AJ186" s="147">
        <v>0.0</v>
      </c>
      <c r="AK186" s="3"/>
      <c r="AL186" s="147">
        <v>0.0</v>
      </c>
      <c r="AM186" s="3"/>
      <c r="AN186" s="147">
        <v>0.0</v>
      </c>
      <c r="AO186" s="3"/>
      <c r="AP186" s="149">
        <f t="shared" si="11"/>
        <v>5580</v>
      </c>
      <c r="AQ186" s="150">
        <f t="shared" si="10"/>
        <v>280</v>
      </c>
      <c r="AR186" s="150">
        <f t="shared" si="3"/>
        <v>0</v>
      </c>
      <c r="AS186" s="150">
        <f t="shared" si="4"/>
        <v>284</v>
      </c>
      <c r="AT186" s="299">
        <f t="shared" si="5"/>
        <v>19.64788732</v>
      </c>
    </row>
    <row r="187" ht="15.75" customHeight="1">
      <c r="A187" s="327" t="s">
        <v>24</v>
      </c>
      <c r="B187" s="144">
        <f t="shared" si="6"/>
        <v>45112</v>
      </c>
      <c r="C187" s="145">
        <v>7.0</v>
      </c>
      <c r="D187" s="145" t="s">
        <v>36</v>
      </c>
      <c r="E187" s="175" t="s">
        <v>44</v>
      </c>
      <c r="F187" s="147">
        <v>0.0</v>
      </c>
      <c r="G187" s="3"/>
      <c r="H187" s="147">
        <v>0.0</v>
      </c>
      <c r="I187" s="3"/>
      <c r="J187" s="147">
        <v>0.0</v>
      </c>
      <c r="K187" s="3"/>
      <c r="L187" s="147">
        <v>0.0</v>
      </c>
      <c r="M187" s="3"/>
      <c r="N187" s="147">
        <v>130.0</v>
      </c>
      <c r="O187" s="3"/>
      <c r="P187" s="147">
        <v>130.0</v>
      </c>
      <c r="Q187" s="3"/>
      <c r="R187" s="147">
        <v>0.0</v>
      </c>
      <c r="S187" s="3"/>
      <c r="T187" s="147">
        <v>0.0</v>
      </c>
      <c r="U187" s="3"/>
      <c r="V187" s="147">
        <v>0.0</v>
      </c>
      <c r="W187" s="3"/>
      <c r="X187" s="147">
        <v>0.0</v>
      </c>
      <c r="Y187" s="3"/>
      <c r="Z187" s="147">
        <v>4.0</v>
      </c>
      <c r="AA187" s="3"/>
      <c r="AB187" s="147">
        <v>0.0</v>
      </c>
      <c r="AC187" s="3"/>
      <c r="AD187" s="147">
        <v>0.0</v>
      </c>
      <c r="AE187" s="3"/>
      <c r="AF187" s="147">
        <v>0.0</v>
      </c>
      <c r="AG187" s="3"/>
      <c r="AH187" s="147">
        <v>0.0</v>
      </c>
      <c r="AI187" s="3"/>
      <c r="AJ187" s="147">
        <v>0.0</v>
      </c>
      <c r="AK187" s="3"/>
      <c r="AL187" s="147">
        <v>0.0</v>
      </c>
      <c r="AM187" s="3"/>
      <c r="AN187" s="147">
        <v>0.0</v>
      </c>
      <c r="AO187" s="3"/>
      <c r="AP187" s="149">
        <f t="shared" si="11"/>
        <v>5005.2</v>
      </c>
      <c r="AQ187" s="150">
        <f t="shared" si="10"/>
        <v>260</v>
      </c>
      <c r="AR187" s="150">
        <f t="shared" si="3"/>
        <v>0</v>
      </c>
      <c r="AS187" s="150">
        <f t="shared" si="4"/>
        <v>264</v>
      </c>
      <c r="AT187" s="299">
        <f t="shared" si="5"/>
        <v>18.95909091</v>
      </c>
    </row>
    <row r="188" ht="15.75" customHeight="1">
      <c r="A188" s="327" t="s">
        <v>25</v>
      </c>
      <c r="B188" s="144">
        <f t="shared" si="6"/>
        <v>45113</v>
      </c>
      <c r="C188" s="145">
        <v>7.0</v>
      </c>
      <c r="D188" s="145" t="s">
        <v>36</v>
      </c>
      <c r="E188" s="175" t="s">
        <v>44</v>
      </c>
      <c r="F188" s="147">
        <v>0.0</v>
      </c>
      <c r="G188" s="3"/>
      <c r="H188" s="147">
        <v>0.0</v>
      </c>
      <c r="I188" s="3"/>
      <c r="J188" s="147">
        <v>0.0</v>
      </c>
      <c r="K188" s="3"/>
      <c r="L188" s="147">
        <v>0.0</v>
      </c>
      <c r="M188" s="3"/>
      <c r="N188" s="147">
        <v>130.0</v>
      </c>
      <c r="O188" s="3"/>
      <c r="P188" s="147">
        <v>130.0</v>
      </c>
      <c r="Q188" s="3"/>
      <c r="R188" s="147">
        <v>20.0</v>
      </c>
      <c r="S188" s="3"/>
      <c r="T188" s="147">
        <v>0.0</v>
      </c>
      <c r="U188" s="3"/>
      <c r="V188" s="147">
        <v>0.0</v>
      </c>
      <c r="W188" s="3"/>
      <c r="X188" s="147">
        <v>30.0</v>
      </c>
      <c r="Y188" s="3"/>
      <c r="Z188" s="147">
        <v>3.0</v>
      </c>
      <c r="AA188" s="3"/>
      <c r="AB188" s="147">
        <v>0.0</v>
      </c>
      <c r="AC188" s="3"/>
      <c r="AD188" s="147">
        <v>0.0</v>
      </c>
      <c r="AE188" s="3"/>
      <c r="AF188" s="147">
        <v>0.0</v>
      </c>
      <c r="AG188" s="3"/>
      <c r="AH188" s="147">
        <v>0.0</v>
      </c>
      <c r="AI188" s="3"/>
      <c r="AJ188" s="147">
        <v>0.0</v>
      </c>
      <c r="AK188" s="3"/>
      <c r="AL188" s="147">
        <v>0.0</v>
      </c>
      <c r="AM188" s="3"/>
      <c r="AN188" s="147">
        <v>0.0</v>
      </c>
      <c r="AO188" s="3"/>
      <c r="AP188" s="149">
        <f t="shared" si="11"/>
        <v>5912.2</v>
      </c>
      <c r="AQ188" s="150">
        <f t="shared" si="10"/>
        <v>310</v>
      </c>
      <c r="AR188" s="150">
        <f t="shared" si="3"/>
        <v>0</v>
      </c>
      <c r="AS188" s="150">
        <f t="shared" si="4"/>
        <v>313</v>
      </c>
      <c r="AT188" s="299">
        <f t="shared" si="5"/>
        <v>18.88881789</v>
      </c>
    </row>
    <row r="189" ht="15.75" customHeight="1">
      <c r="A189" s="327" t="s">
        <v>26</v>
      </c>
      <c r="B189" s="144">
        <f t="shared" si="6"/>
        <v>45114</v>
      </c>
      <c r="C189" s="145">
        <v>7.0</v>
      </c>
      <c r="D189" s="145" t="s">
        <v>36</v>
      </c>
      <c r="E189" s="175" t="s">
        <v>44</v>
      </c>
      <c r="F189" s="147">
        <v>0.0</v>
      </c>
      <c r="G189" s="3"/>
      <c r="H189" s="147">
        <v>0.0</v>
      </c>
      <c r="I189" s="3"/>
      <c r="J189" s="147">
        <v>0.0</v>
      </c>
      <c r="K189" s="3"/>
      <c r="L189" s="147">
        <v>0.0</v>
      </c>
      <c r="M189" s="3"/>
      <c r="N189" s="147">
        <v>130.0</v>
      </c>
      <c r="O189" s="3"/>
      <c r="P189" s="147">
        <v>130.0</v>
      </c>
      <c r="Q189" s="3"/>
      <c r="R189" s="147">
        <v>20.0</v>
      </c>
      <c r="S189" s="3"/>
      <c r="T189" s="147">
        <v>0.0</v>
      </c>
      <c r="U189" s="3"/>
      <c r="V189" s="147">
        <v>0.0</v>
      </c>
      <c r="W189" s="3"/>
      <c r="X189" s="147">
        <v>0.0</v>
      </c>
      <c r="Y189" s="3"/>
      <c r="Z189" s="147">
        <v>3.0</v>
      </c>
      <c r="AA189" s="3"/>
      <c r="AB189" s="147">
        <v>0.0</v>
      </c>
      <c r="AC189" s="3"/>
      <c r="AD189" s="147">
        <v>0.0</v>
      </c>
      <c r="AE189" s="3"/>
      <c r="AF189" s="147">
        <v>0.0</v>
      </c>
      <c r="AG189" s="3"/>
      <c r="AH189" s="147">
        <v>0.0</v>
      </c>
      <c r="AI189" s="3"/>
      <c r="AJ189" s="147">
        <v>0.0</v>
      </c>
      <c r="AK189" s="3"/>
      <c r="AL189" s="147">
        <v>0.0</v>
      </c>
      <c r="AM189" s="3"/>
      <c r="AN189" s="147">
        <v>0.0</v>
      </c>
      <c r="AO189" s="3"/>
      <c r="AP189" s="149">
        <f t="shared" si="11"/>
        <v>5320</v>
      </c>
      <c r="AQ189" s="150">
        <f t="shared" si="10"/>
        <v>280</v>
      </c>
      <c r="AR189" s="150">
        <f t="shared" si="3"/>
        <v>0</v>
      </c>
      <c r="AS189" s="150">
        <f t="shared" si="4"/>
        <v>283</v>
      </c>
      <c r="AT189" s="299">
        <f t="shared" si="5"/>
        <v>18.79858657</v>
      </c>
    </row>
    <row r="190" ht="15.75" customHeight="1">
      <c r="A190" s="327" t="s">
        <v>27</v>
      </c>
      <c r="B190" s="144">
        <f t="shared" si="6"/>
        <v>45115</v>
      </c>
      <c r="C190" s="145">
        <v>7.0</v>
      </c>
      <c r="D190" s="145" t="s">
        <v>36</v>
      </c>
      <c r="E190" s="175" t="s">
        <v>44</v>
      </c>
      <c r="F190" s="147">
        <v>0.0</v>
      </c>
      <c r="G190" s="3"/>
      <c r="H190" s="147">
        <v>0.0</v>
      </c>
      <c r="I190" s="3"/>
      <c r="J190" s="147">
        <v>0.0</v>
      </c>
      <c r="K190" s="3"/>
      <c r="L190" s="147">
        <v>0.0</v>
      </c>
      <c r="M190" s="3"/>
      <c r="N190" s="147">
        <v>130.0</v>
      </c>
      <c r="O190" s="3"/>
      <c r="P190" s="147">
        <v>130.0</v>
      </c>
      <c r="Q190" s="3"/>
      <c r="R190" s="147">
        <v>20.0</v>
      </c>
      <c r="S190" s="3"/>
      <c r="T190" s="147">
        <v>0.0</v>
      </c>
      <c r="U190" s="3"/>
      <c r="V190" s="147">
        <v>0.0</v>
      </c>
      <c r="W190" s="3"/>
      <c r="X190" s="147">
        <v>0.0</v>
      </c>
      <c r="Y190" s="3"/>
      <c r="Z190" s="147">
        <v>3.0</v>
      </c>
      <c r="AA190" s="3"/>
      <c r="AB190" s="147">
        <v>0.0</v>
      </c>
      <c r="AC190" s="3"/>
      <c r="AD190" s="147">
        <v>0.0</v>
      </c>
      <c r="AE190" s="3"/>
      <c r="AF190" s="147">
        <v>0.0</v>
      </c>
      <c r="AG190" s="3"/>
      <c r="AH190" s="147">
        <v>0.0</v>
      </c>
      <c r="AI190" s="3"/>
      <c r="AJ190" s="147">
        <v>0.0</v>
      </c>
      <c r="AK190" s="3"/>
      <c r="AL190" s="147">
        <v>0.0</v>
      </c>
      <c r="AM190" s="3"/>
      <c r="AN190" s="147">
        <v>0.0</v>
      </c>
      <c r="AO190" s="3"/>
      <c r="AP190" s="149">
        <f t="shared" si="11"/>
        <v>5320</v>
      </c>
      <c r="AQ190" s="150">
        <f t="shared" si="10"/>
        <v>280</v>
      </c>
      <c r="AR190" s="150">
        <f t="shared" si="3"/>
        <v>0</v>
      </c>
      <c r="AS190" s="150">
        <f t="shared" si="4"/>
        <v>283</v>
      </c>
      <c r="AT190" s="299">
        <f t="shared" si="5"/>
        <v>18.79858657</v>
      </c>
    </row>
    <row r="191" ht="15.75" customHeight="1">
      <c r="A191" s="327" t="s">
        <v>28</v>
      </c>
      <c r="B191" s="144">
        <f t="shared" si="6"/>
        <v>45116</v>
      </c>
      <c r="C191" s="145">
        <v>7.0</v>
      </c>
      <c r="D191" s="145" t="s">
        <v>36</v>
      </c>
      <c r="E191" s="281" t="s">
        <v>43</v>
      </c>
      <c r="F191" s="159">
        <v>0.0</v>
      </c>
      <c r="G191" s="73"/>
      <c r="H191" s="159">
        <v>0.0</v>
      </c>
      <c r="I191" s="73"/>
      <c r="J191" s="159">
        <v>0.0</v>
      </c>
      <c r="K191" s="73"/>
      <c r="L191" s="159">
        <v>0.0</v>
      </c>
      <c r="M191" s="73"/>
      <c r="N191" s="159">
        <v>0.0</v>
      </c>
      <c r="O191" s="73"/>
      <c r="P191" s="159">
        <v>0.0</v>
      </c>
      <c r="Q191" s="73"/>
      <c r="R191" s="159">
        <v>0.0</v>
      </c>
      <c r="S191" s="73"/>
      <c r="T191" s="159">
        <v>0.0</v>
      </c>
      <c r="U191" s="73"/>
      <c r="V191" s="159">
        <v>0.0</v>
      </c>
      <c r="W191" s="73"/>
      <c r="X191" s="159">
        <v>0.0</v>
      </c>
      <c r="Y191" s="73"/>
      <c r="Z191" s="159">
        <v>0.0</v>
      </c>
      <c r="AA191" s="73"/>
      <c r="AB191" s="159">
        <v>0.0</v>
      </c>
      <c r="AC191" s="73"/>
      <c r="AD191" s="159">
        <v>0.0</v>
      </c>
      <c r="AE191" s="73"/>
      <c r="AF191" s="159">
        <v>0.0</v>
      </c>
      <c r="AG191" s="73"/>
      <c r="AH191" s="159">
        <v>0.0</v>
      </c>
      <c r="AI191" s="73"/>
      <c r="AJ191" s="159">
        <v>0.0</v>
      </c>
      <c r="AK191" s="73"/>
      <c r="AL191" s="159">
        <v>0.0</v>
      </c>
      <c r="AM191" s="73"/>
      <c r="AN191" s="159">
        <v>0.0</v>
      </c>
      <c r="AO191" s="73"/>
      <c r="AP191" s="161">
        <f t="shared" si="11"/>
        <v>0</v>
      </c>
      <c r="AQ191" s="157">
        <f t="shared" si="10"/>
        <v>0</v>
      </c>
      <c r="AR191" s="157">
        <f t="shared" si="3"/>
        <v>0</v>
      </c>
      <c r="AS191" s="157">
        <f t="shared" si="4"/>
        <v>0</v>
      </c>
      <c r="AT191" s="300" t="str">
        <f t="shared" si="5"/>
        <v/>
      </c>
    </row>
    <row r="192" ht="15.75" customHeight="1">
      <c r="A192" s="185" t="s">
        <v>21</v>
      </c>
      <c r="B192" s="186">
        <f t="shared" si="6"/>
        <v>45117</v>
      </c>
      <c r="C192" s="187">
        <v>7.0</v>
      </c>
      <c r="D192" s="187" t="s">
        <v>37</v>
      </c>
      <c r="E192" s="188" t="s">
        <v>43</v>
      </c>
      <c r="F192" s="189">
        <v>0.0</v>
      </c>
      <c r="G192" s="190"/>
      <c r="H192" s="189">
        <v>0.0</v>
      </c>
      <c r="I192" s="190"/>
      <c r="J192" s="189">
        <v>0.0</v>
      </c>
      <c r="K192" s="190"/>
      <c r="L192" s="189">
        <v>0.0</v>
      </c>
      <c r="M192" s="190"/>
      <c r="N192" s="189">
        <v>0.0</v>
      </c>
      <c r="O192" s="190"/>
      <c r="P192" s="189">
        <v>0.0</v>
      </c>
      <c r="Q192" s="190"/>
      <c r="R192" s="189">
        <v>0.0</v>
      </c>
      <c r="S192" s="190"/>
      <c r="T192" s="189">
        <v>0.0</v>
      </c>
      <c r="U192" s="190"/>
      <c r="V192" s="189">
        <v>0.0</v>
      </c>
      <c r="W192" s="190"/>
      <c r="X192" s="189">
        <v>0.0</v>
      </c>
      <c r="Y192" s="190"/>
      <c r="Z192" s="189">
        <v>0.0</v>
      </c>
      <c r="AA192" s="190"/>
      <c r="AB192" s="189">
        <v>0.0</v>
      </c>
      <c r="AC192" s="190"/>
      <c r="AD192" s="189">
        <v>0.0</v>
      </c>
      <c r="AE192" s="190"/>
      <c r="AF192" s="189">
        <v>0.0</v>
      </c>
      <c r="AG192" s="190"/>
      <c r="AH192" s="189">
        <v>0.0</v>
      </c>
      <c r="AI192" s="190"/>
      <c r="AJ192" s="189">
        <v>0.0</v>
      </c>
      <c r="AK192" s="190"/>
      <c r="AL192" s="189">
        <v>0.0</v>
      </c>
      <c r="AM192" s="190"/>
      <c r="AN192" s="189">
        <v>0.0</v>
      </c>
      <c r="AO192" s="190"/>
      <c r="AP192" s="191">
        <f t="shared" si="11"/>
        <v>0</v>
      </c>
      <c r="AQ192" s="192">
        <f t="shared" si="10"/>
        <v>0</v>
      </c>
      <c r="AR192" s="192">
        <f t="shared" si="3"/>
        <v>0</v>
      </c>
      <c r="AS192" s="192">
        <f t="shared" si="4"/>
        <v>0</v>
      </c>
      <c r="AT192" s="193" t="str">
        <f t="shared" si="5"/>
        <v/>
      </c>
    </row>
    <row r="193" ht="15.75" customHeight="1">
      <c r="A193" s="194" t="s">
        <v>23</v>
      </c>
      <c r="B193" s="195">
        <f t="shared" si="6"/>
        <v>45118</v>
      </c>
      <c r="C193" s="196">
        <v>7.0</v>
      </c>
      <c r="D193" s="196" t="s">
        <v>37</v>
      </c>
      <c r="E193" s="197" t="s">
        <v>43</v>
      </c>
      <c r="F193" s="198">
        <v>0.0</v>
      </c>
      <c r="G193" s="3"/>
      <c r="H193" s="198">
        <v>0.0</v>
      </c>
      <c r="I193" s="3"/>
      <c r="J193" s="198">
        <v>0.0</v>
      </c>
      <c r="K193" s="3"/>
      <c r="L193" s="198">
        <v>0.0</v>
      </c>
      <c r="M193" s="3"/>
      <c r="N193" s="198">
        <v>0.0</v>
      </c>
      <c r="O193" s="3"/>
      <c r="P193" s="198">
        <v>0.0</v>
      </c>
      <c r="Q193" s="3"/>
      <c r="R193" s="198">
        <v>0.0</v>
      </c>
      <c r="S193" s="3"/>
      <c r="T193" s="198">
        <v>0.0</v>
      </c>
      <c r="U193" s="3"/>
      <c r="V193" s="198">
        <v>0.0</v>
      </c>
      <c r="W193" s="3"/>
      <c r="X193" s="198">
        <v>0.0</v>
      </c>
      <c r="Y193" s="3"/>
      <c r="Z193" s="198">
        <v>0.0</v>
      </c>
      <c r="AA193" s="3"/>
      <c r="AB193" s="198">
        <v>0.0</v>
      </c>
      <c r="AC193" s="3"/>
      <c r="AD193" s="198">
        <v>0.0</v>
      </c>
      <c r="AE193" s="3"/>
      <c r="AF193" s="198">
        <v>0.0</v>
      </c>
      <c r="AG193" s="3"/>
      <c r="AH193" s="198">
        <v>0.0</v>
      </c>
      <c r="AI193" s="3"/>
      <c r="AJ193" s="198">
        <v>0.0</v>
      </c>
      <c r="AK193" s="3"/>
      <c r="AL193" s="198">
        <v>0.0</v>
      </c>
      <c r="AM193" s="3"/>
      <c r="AN193" s="198">
        <v>0.0</v>
      </c>
      <c r="AO193" s="3"/>
      <c r="AP193" s="199">
        <f t="shared" si="11"/>
        <v>0</v>
      </c>
      <c r="AQ193" s="200">
        <f t="shared" si="10"/>
        <v>0</v>
      </c>
      <c r="AR193" s="200">
        <f t="shared" si="3"/>
        <v>0</v>
      </c>
      <c r="AS193" s="200">
        <f t="shared" si="4"/>
        <v>0</v>
      </c>
      <c r="AT193" s="201" t="str">
        <f t="shared" si="5"/>
        <v/>
      </c>
    </row>
    <row r="194" ht="15.75" customHeight="1">
      <c r="A194" s="194" t="s">
        <v>24</v>
      </c>
      <c r="B194" s="195">
        <f t="shared" si="6"/>
        <v>45119</v>
      </c>
      <c r="C194" s="196">
        <v>7.0</v>
      </c>
      <c r="D194" s="196" t="s">
        <v>37</v>
      </c>
      <c r="E194" s="197" t="s">
        <v>44</v>
      </c>
      <c r="F194" s="198">
        <v>0.0</v>
      </c>
      <c r="G194" s="3"/>
      <c r="H194" s="198">
        <v>0.0</v>
      </c>
      <c r="I194" s="3"/>
      <c r="J194" s="198">
        <v>0.0</v>
      </c>
      <c r="K194" s="3"/>
      <c r="L194" s="198">
        <v>0.0</v>
      </c>
      <c r="M194" s="3"/>
      <c r="N194" s="198">
        <v>130.0</v>
      </c>
      <c r="O194" s="3"/>
      <c r="P194" s="198">
        <v>130.0</v>
      </c>
      <c r="Q194" s="3"/>
      <c r="R194" s="198">
        <v>20.0</v>
      </c>
      <c r="S194" s="3"/>
      <c r="T194" s="198">
        <v>0.0</v>
      </c>
      <c r="U194" s="3"/>
      <c r="V194" s="198">
        <v>0.0</v>
      </c>
      <c r="W194" s="3"/>
      <c r="X194" s="198">
        <v>0.0</v>
      </c>
      <c r="Y194" s="3"/>
      <c r="Z194" s="198">
        <v>4.0</v>
      </c>
      <c r="AA194" s="3"/>
      <c r="AB194" s="198">
        <v>0.0</v>
      </c>
      <c r="AC194" s="3"/>
      <c r="AD194" s="198">
        <v>0.0</v>
      </c>
      <c r="AE194" s="3"/>
      <c r="AF194" s="198">
        <v>0.0</v>
      </c>
      <c r="AG194" s="3"/>
      <c r="AH194" s="198">
        <v>0.0</v>
      </c>
      <c r="AI194" s="3"/>
      <c r="AJ194" s="198">
        <v>0.0</v>
      </c>
      <c r="AK194" s="3"/>
      <c r="AL194" s="198">
        <v>0.0</v>
      </c>
      <c r="AM194" s="3"/>
      <c r="AN194" s="198">
        <v>0.0</v>
      </c>
      <c r="AO194" s="3"/>
      <c r="AP194" s="199">
        <f t="shared" si="11"/>
        <v>5400</v>
      </c>
      <c r="AQ194" s="200">
        <f t="shared" si="10"/>
        <v>280</v>
      </c>
      <c r="AR194" s="200">
        <f t="shared" si="3"/>
        <v>0</v>
      </c>
      <c r="AS194" s="200">
        <f t="shared" si="4"/>
        <v>284</v>
      </c>
      <c r="AT194" s="201">
        <f t="shared" si="5"/>
        <v>19.01408451</v>
      </c>
    </row>
    <row r="195" ht="15.75" customHeight="1">
      <c r="A195" s="194" t="s">
        <v>25</v>
      </c>
      <c r="B195" s="195">
        <f t="shared" si="6"/>
        <v>45120</v>
      </c>
      <c r="C195" s="196">
        <v>7.0</v>
      </c>
      <c r="D195" s="196" t="s">
        <v>37</v>
      </c>
      <c r="E195" s="197" t="s">
        <v>44</v>
      </c>
      <c r="F195" s="198">
        <v>0.0</v>
      </c>
      <c r="G195" s="3"/>
      <c r="H195" s="198">
        <v>0.0</v>
      </c>
      <c r="I195" s="3"/>
      <c r="J195" s="198">
        <v>0.0</v>
      </c>
      <c r="K195" s="3"/>
      <c r="L195" s="198">
        <v>0.0</v>
      </c>
      <c r="M195" s="3"/>
      <c r="N195" s="198">
        <v>130.0</v>
      </c>
      <c r="O195" s="3"/>
      <c r="P195" s="198">
        <v>130.0</v>
      </c>
      <c r="Q195" s="3"/>
      <c r="R195" s="198">
        <v>0.0</v>
      </c>
      <c r="S195" s="3"/>
      <c r="T195" s="198">
        <v>0.0</v>
      </c>
      <c r="U195" s="3"/>
      <c r="V195" s="198">
        <v>0.0</v>
      </c>
      <c r="W195" s="3"/>
      <c r="X195" s="198">
        <v>0.0</v>
      </c>
      <c r="Y195" s="3"/>
      <c r="Z195" s="198">
        <v>3.0</v>
      </c>
      <c r="AA195" s="3"/>
      <c r="AB195" s="198">
        <v>0.0</v>
      </c>
      <c r="AC195" s="3"/>
      <c r="AD195" s="198">
        <v>0.0</v>
      </c>
      <c r="AE195" s="3"/>
      <c r="AF195" s="198">
        <v>0.0</v>
      </c>
      <c r="AG195" s="3"/>
      <c r="AH195" s="198">
        <v>0.0</v>
      </c>
      <c r="AI195" s="3"/>
      <c r="AJ195" s="198">
        <v>0.0</v>
      </c>
      <c r="AK195" s="3"/>
      <c r="AL195" s="198">
        <v>0.0</v>
      </c>
      <c r="AM195" s="3"/>
      <c r="AN195" s="198">
        <v>0.0</v>
      </c>
      <c r="AO195" s="3"/>
      <c r="AP195" s="199">
        <f t="shared" si="11"/>
        <v>4925.2</v>
      </c>
      <c r="AQ195" s="200">
        <f t="shared" si="10"/>
        <v>260</v>
      </c>
      <c r="AR195" s="200">
        <f t="shared" si="3"/>
        <v>0</v>
      </c>
      <c r="AS195" s="200">
        <f t="shared" si="4"/>
        <v>263</v>
      </c>
      <c r="AT195" s="201">
        <f t="shared" si="5"/>
        <v>18.7269962</v>
      </c>
    </row>
    <row r="196" ht="15.75" customHeight="1">
      <c r="A196" s="194" t="s">
        <v>26</v>
      </c>
      <c r="B196" s="195">
        <f t="shared" si="6"/>
        <v>45121</v>
      </c>
      <c r="C196" s="196">
        <v>7.0</v>
      </c>
      <c r="D196" s="196" t="s">
        <v>37</v>
      </c>
      <c r="E196" s="197" t="s">
        <v>44</v>
      </c>
      <c r="F196" s="198">
        <v>0.0</v>
      </c>
      <c r="G196" s="3"/>
      <c r="H196" s="198">
        <v>0.0</v>
      </c>
      <c r="I196" s="3"/>
      <c r="J196" s="198">
        <v>0.0</v>
      </c>
      <c r="K196" s="3"/>
      <c r="L196" s="198">
        <v>0.0</v>
      </c>
      <c r="M196" s="3"/>
      <c r="N196" s="198">
        <v>130.0</v>
      </c>
      <c r="O196" s="3"/>
      <c r="P196" s="198">
        <v>90.0</v>
      </c>
      <c r="Q196" s="3"/>
      <c r="R196" s="198">
        <v>20.0</v>
      </c>
      <c r="S196" s="3"/>
      <c r="T196" s="198">
        <v>0.0</v>
      </c>
      <c r="U196" s="3"/>
      <c r="V196" s="198">
        <v>0.0</v>
      </c>
      <c r="W196" s="3"/>
      <c r="X196" s="198">
        <v>40.0</v>
      </c>
      <c r="Y196" s="3"/>
      <c r="Z196" s="198">
        <v>3.0</v>
      </c>
      <c r="AA196" s="3"/>
      <c r="AB196" s="198">
        <v>0.0</v>
      </c>
      <c r="AC196" s="3"/>
      <c r="AD196" s="198">
        <v>0.0</v>
      </c>
      <c r="AE196" s="3"/>
      <c r="AF196" s="198">
        <v>0.0</v>
      </c>
      <c r="AG196" s="3"/>
      <c r="AH196" s="198">
        <v>0.0</v>
      </c>
      <c r="AI196" s="3"/>
      <c r="AJ196" s="198">
        <v>0.0</v>
      </c>
      <c r="AK196" s="3"/>
      <c r="AL196" s="198">
        <v>0.0</v>
      </c>
      <c r="AM196" s="3"/>
      <c r="AN196" s="198">
        <v>0.0</v>
      </c>
      <c r="AO196" s="3"/>
      <c r="AP196" s="199">
        <f t="shared" si="11"/>
        <v>5320</v>
      </c>
      <c r="AQ196" s="200">
        <f t="shared" si="10"/>
        <v>280</v>
      </c>
      <c r="AR196" s="200">
        <f t="shared" si="3"/>
        <v>0</v>
      </c>
      <c r="AS196" s="200">
        <f t="shared" si="4"/>
        <v>283</v>
      </c>
      <c r="AT196" s="201">
        <f t="shared" si="5"/>
        <v>18.79858657</v>
      </c>
    </row>
    <row r="197" ht="15.75" customHeight="1">
      <c r="A197" s="194" t="s">
        <v>27</v>
      </c>
      <c r="B197" s="195">
        <f t="shared" si="6"/>
        <v>45122</v>
      </c>
      <c r="C197" s="196">
        <v>7.0</v>
      </c>
      <c r="D197" s="196" t="s">
        <v>37</v>
      </c>
      <c r="E197" s="197" t="s">
        <v>51</v>
      </c>
      <c r="F197" s="198">
        <v>0.0</v>
      </c>
      <c r="G197" s="3"/>
      <c r="H197" s="198">
        <v>0.0</v>
      </c>
      <c r="I197" s="3"/>
      <c r="J197" s="198">
        <v>0.0</v>
      </c>
      <c r="K197" s="3"/>
      <c r="L197" s="198">
        <v>0.0</v>
      </c>
      <c r="M197" s="3"/>
      <c r="N197" s="198">
        <v>130.0</v>
      </c>
      <c r="O197" s="3"/>
      <c r="P197" s="198">
        <v>130.0</v>
      </c>
      <c r="Q197" s="3"/>
      <c r="R197" s="198">
        <v>20.0</v>
      </c>
      <c r="S197" s="3"/>
      <c r="T197" s="198">
        <v>0.0</v>
      </c>
      <c r="U197" s="3"/>
      <c r="V197" s="198">
        <v>0.0</v>
      </c>
      <c r="W197" s="3"/>
      <c r="X197" s="198">
        <v>0.0</v>
      </c>
      <c r="Y197" s="3"/>
      <c r="Z197" s="198">
        <v>0.0</v>
      </c>
      <c r="AA197" s="3"/>
      <c r="AB197" s="198">
        <v>4.0</v>
      </c>
      <c r="AC197" s="3"/>
      <c r="AD197" s="198">
        <v>0.0</v>
      </c>
      <c r="AE197" s="3"/>
      <c r="AF197" s="198">
        <v>0.0</v>
      </c>
      <c r="AG197" s="3"/>
      <c r="AH197" s="198">
        <v>0.0</v>
      </c>
      <c r="AI197" s="3"/>
      <c r="AJ197" s="198">
        <v>0.0</v>
      </c>
      <c r="AK197" s="3"/>
      <c r="AL197" s="198">
        <v>0.0</v>
      </c>
      <c r="AM197" s="3"/>
      <c r="AN197" s="198">
        <v>0.0</v>
      </c>
      <c r="AO197" s="3"/>
      <c r="AP197" s="199">
        <f t="shared" si="11"/>
        <v>5580</v>
      </c>
      <c r="AQ197" s="200">
        <f t="shared" si="10"/>
        <v>280</v>
      </c>
      <c r="AR197" s="200">
        <f t="shared" si="3"/>
        <v>0</v>
      </c>
      <c r="AS197" s="200">
        <f t="shared" si="4"/>
        <v>284</v>
      </c>
      <c r="AT197" s="201">
        <f t="shared" si="5"/>
        <v>19.64788732</v>
      </c>
    </row>
    <row r="198" ht="15.75" customHeight="1">
      <c r="A198" s="202" t="s">
        <v>28</v>
      </c>
      <c r="B198" s="203">
        <f t="shared" si="6"/>
        <v>45123</v>
      </c>
      <c r="C198" s="204">
        <v>7.0</v>
      </c>
      <c r="D198" s="204" t="s">
        <v>37</v>
      </c>
      <c r="E198" s="328" t="s">
        <v>43</v>
      </c>
      <c r="F198" s="206">
        <v>0.0</v>
      </c>
      <c r="G198" s="207"/>
      <c r="H198" s="206">
        <v>0.0</v>
      </c>
      <c r="I198" s="207"/>
      <c r="J198" s="206">
        <v>0.0</v>
      </c>
      <c r="K198" s="207"/>
      <c r="L198" s="206">
        <v>0.0</v>
      </c>
      <c r="M198" s="207"/>
      <c r="N198" s="206">
        <v>0.0</v>
      </c>
      <c r="O198" s="207"/>
      <c r="P198" s="206">
        <v>0.0</v>
      </c>
      <c r="Q198" s="207"/>
      <c r="R198" s="206">
        <v>0.0</v>
      </c>
      <c r="S198" s="207"/>
      <c r="T198" s="206">
        <v>0.0</v>
      </c>
      <c r="U198" s="207"/>
      <c r="V198" s="206">
        <v>0.0</v>
      </c>
      <c r="W198" s="207"/>
      <c r="X198" s="206">
        <v>0.0</v>
      </c>
      <c r="Y198" s="207"/>
      <c r="Z198" s="206">
        <v>0.0</v>
      </c>
      <c r="AA198" s="207"/>
      <c r="AB198" s="206">
        <v>0.0</v>
      </c>
      <c r="AC198" s="207"/>
      <c r="AD198" s="206">
        <v>0.0</v>
      </c>
      <c r="AE198" s="207"/>
      <c r="AF198" s="206">
        <v>0.0</v>
      </c>
      <c r="AG198" s="207"/>
      <c r="AH198" s="206">
        <v>0.0</v>
      </c>
      <c r="AI198" s="207"/>
      <c r="AJ198" s="206">
        <v>0.0</v>
      </c>
      <c r="AK198" s="207"/>
      <c r="AL198" s="206">
        <v>0.0</v>
      </c>
      <c r="AM198" s="207"/>
      <c r="AN198" s="206">
        <v>0.0</v>
      </c>
      <c r="AO198" s="207"/>
      <c r="AP198" s="208">
        <f t="shared" si="11"/>
        <v>0</v>
      </c>
      <c r="AQ198" s="209">
        <f t="shared" si="10"/>
        <v>0</v>
      </c>
      <c r="AR198" s="209">
        <f t="shared" si="3"/>
        <v>0</v>
      </c>
      <c r="AS198" s="209">
        <f t="shared" si="4"/>
        <v>0</v>
      </c>
      <c r="AT198" s="210" t="str">
        <f t="shared" si="5"/>
        <v/>
      </c>
    </row>
    <row r="199" ht="15.75" customHeight="1">
      <c r="A199" s="325" t="s">
        <v>21</v>
      </c>
      <c r="B199" s="326">
        <f t="shared" si="6"/>
        <v>45124</v>
      </c>
      <c r="C199" s="292">
        <v>8.0</v>
      </c>
      <c r="D199" s="292" t="s">
        <v>22</v>
      </c>
      <c r="E199" s="293" t="s">
        <v>44</v>
      </c>
      <c r="F199" s="294">
        <v>0.0</v>
      </c>
      <c r="G199" s="190"/>
      <c r="H199" s="294">
        <v>0.0</v>
      </c>
      <c r="I199" s="190"/>
      <c r="J199" s="294">
        <v>0.0</v>
      </c>
      <c r="K199" s="190"/>
      <c r="L199" s="294">
        <v>0.0</v>
      </c>
      <c r="M199" s="190"/>
      <c r="N199" s="294">
        <v>130.0</v>
      </c>
      <c r="O199" s="190"/>
      <c r="P199" s="294">
        <v>145.0</v>
      </c>
      <c r="Q199" s="190"/>
      <c r="R199" s="294">
        <v>20.0</v>
      </c>
      <c r="S199" s="190"/>
      <c r="T199" s="294">
        <v>0.0</v>
      </c>
      <c r="U199" s="190"/>
      <c r="V199" s="294">
        <v>0.0</v>
      </c>
      <c r="W199" s="190"/>
      <c r="X199" s="294">
        <v>0.0</v>
      </c>
      <c r="Y199" s="190"/>
      <c r="Z199" s="294">
        <v>3.0</v>
      </c>
      <c r="AA199" s="190"/>
      <c r="AB199" s="294">
        <v>0.0</v>
      </c>
      <c r="AC199" s="190"/>
      <c r="AD199" s="294">
        <v>0.0</v>
      </c>
      <c r="AE199" s="190"/>
      <c r="AF199" s="294">
        <v>0.0</v>
      </c>
      <c r="AG199" s="190"/>
      <c r="AH199" s="294">
        <v>0.0</v>
      </c>
      <c r="AI199" s="190"/>
      <c r="AJ199" s="294">
        <v>0.0</v>
      </c>
      <c r="AK199" s="190"/>
      <c r="AL199" s="294">
        <v>0.0</v>
      </c>
      <c r="AM199" s="190"/>
      <c r="AN199" s="294">
        <v>0.0</v>
      </c>
      <c r="AO199" s="190"/>
      <c r="AP199" s="295">
        <f t="shared" si="11"/>
        <v>5616.1</v>
      </c>
      <c r="AQ199" s="296">
        <f t="shared" si="10"/>
        <v>295</v>
      </c>
      <c r="AR199" s="296">
        <f t="shared" si="3"/>
        <v>0</v>
      </c>
      <c r="AS199" s="296">
        <f t="shared" si="4"/>
        <v>298</v>
      </c>
      <c r="AT199" s="297">
        <f t="shared" si="5"/>
        <v>18.84597315</v>
      </c>
    </row>
    <row r="200" ht="15.75" customHeight="1">
      <c r="A200" s="327" t="s">
        <v>23</v>
      </c>
      <c r="B200" s="144">
        <f t="shared" si="6"/>
        <v>45125</v>
      </c>
      <c r="C200" s="145">
        <v>8.0</v>
      </c>
      <c r="D200" s="145" t="s">
        <v>22</v>
      </c>
      <c r="E200" s="175" t="s">
        <v>44</v>
      </c>
      <c r="F200" s="147">
        <v>0.0</v>
      </c>
      <c r="G200" s="3"/>
      <c r="H200" s="147">
        <v>0.0</v>
      </c>
      <c r="I200" s="3"/>
      <c r="J200" s="147">
        <v>0.0</v>
      </c>
      <c r="K200" s="3"/>
      <c r="L200" s="147">
        <v>0.0</v>
      </c>
      <c r="M200" s="3"/>
      <c r="N200" s="147">
        <v>130.0</v>
      </c>
      <c r="O200" s="3"/>
      <c r="P200" s="147">
        <v>145.0</v>
      </c>
      <c r="Q200" s="3"/>
      <c r="R200" s="147">
        <v>20.0</v>
      </c>
      <c r="S200" s="3"/>
      <c r="T200" s="147">
        <v>0.0</v>
      </c>
      <c r="U200" s="3"/>
      <c r="V200" s="147">
        <v>0.0</v>
      </c>
      <c r="W200" s="3"/>
      <c r="X200" s="147">
        <v>30.0</v>
      </c>
      <c r="Y200" s="3"/>
      <c r="Z200" s="147">
        <v>3.0</v>
      </c>
      <c r="AA200" s="3"/>
      <c r="AB200" s="147">
        <v>0.0</v>
      </c>
      <c r="AC200" s="3"/>
      <c r="AD200" s="147">
        <v>0.0</v>
      </c>
      <c r="AE200" s="3"/>
      <c r="AF200" s="147">
        <v>0.0</v>
      </c>
      <c r="AG200" s="3"/>
      <c r="AH200" s="147">
        <v>0.0</v>
      </c>
      <c r="AI200" s="3"/>
      <c r="AJ200" s="147">
        <v>0.0</v>
      </c>
      <c r="AK200" s="3"/>
      <c r="AL200" s="147">
        <v>0.0</v>
      </c>
      <c r="AM200" s="3"/>
      <c r="AN200" s="147">
        <v>0.0</v>
      </c>
      <c r="AO200" s="3"/>
      <c r="AP200" s="149">
        <f t="shared" si="11"/>
        <v>6208.3</v>
      </c>
      <c r="AQ200" s="150">
        <f t="shared" si="10"/>
        <v>325</v>
      </c>
      <c r="AR200" s="150">
        <f t="shared" si="3"/>
        <v>0</v>
      </c>
      <c r="AS200" s="150">
        <f t="shared" si="4"/>
        <v>328</v>
      </c>
      <c r="AT200" s="299">
        <f t="shared" si="5"/>
        <v>18.9277439</v>
      </c>
    </row>
    <row r="201" ht="15.75" customHeight="1">
      <c r="A201" s="327" t="s">
        <v>24</v>
      </c>
      <c r="B201" s="144">
        <f t="shared" si="6"/>
        <v>45126</v>
      </c>
      <c r="C201" s="145">
        <v>8.0</v>
      </c>
      <c r="D201" s="145" t="s">
        <v>22</v>
      </c>
      <c r="E201" s="175" t="s">
        <v>44</v>
      </c>
      <c r="F201" s="147">
        <v>0.0</v>
      </c>
      <c r="G201" s="3"/>
      <c r="H201" s="147">
        <v>0.0</v>
      </c>
      <c r="I201" s="3"/>
      <c r="J201" s="147">
        <v>0.0</v>
      </c>
      <c r="K201" s="3"/>
      <c r="L201" s="147">
        <v>0.0</v>
      </c>
      <c r="M201" s="3"/>
      <c r="N201" s="147">
        <v>130.0</v>
      </c>
      <c r="O201" s="3"/>
      <c r="P201" s="147">
        <v>145.0</v>
      </c>
      <c r="Q201" s="3"/>
      <c r="R201" s="147">
        <v>0.0</v>
      </c>
      <c r="S201" s="3"/>
      <c r="T201" s="147">
        <v>0.0</v>
      </c>
      <c r="U201" s="3"/>
      <c r="V201" s="147">
        <v>0.0</v>
      </c>
      <c r="W201" s="3"/>
      <c r="X201" s="147">
        <v>0.0</v>
      </c>
      <c r="Y201" s="3"/>
      <c r="Z201" s="147">
        <v>4.0</v>
      </c>
      <c r="AA201" s="3"/>
      <c r="AB201" s="147">
        <v>0.0</v>
      </c>
      <c r="AC201" s="3"/>
      <c r="AD201" s="147">
        <v>0.0</v>
      </c>
      <c r="AE201" s="3"/>
      <c r="AF201" s="147">
        <v>0.0</v>
      </c>
      <c r="AG201" s="3"/>
      <c r="AH201" s="147">
        <v>0.0</v>
      </c>
      <c r="AI201" s="3"/>
      <c r="AJ201" s="147">
        <v>0.0</v>
      </c>
      <c r="AK201" s="3"/>
      <c r="AL201" s="147">
        <v>0.0</v>
      </c>
      <c r="AM201" s="3"/>
      <c r="AN201" s="147">
        <v>0.0</v>
      </c>
      <c r="AO201" s="3"/>
      <c r="AP201" s="149">
        <f t="shared" si="11"/>
        <v>5301.3</v>
      </c>
      <c r="AQ201" s="150">
        <f t="shared" si="10"/>
        <v>275</v>
      </c>
      <c r="AR201" s="150">
        <f t="shared" si="3"/>
        <v>0</v>
      </c>
      <c r="AS201" s="150">
        <f t="shared" si="4"/>
        <v>279</v>
      </c>
      <c r="AT201" s="299">
        <f t="shared" si="5"/>
        <v>19.00107527</v>
      </c>
    </row>
    <row r="202" ht="15.75" customHeight="1">
      <c r="A202" s="327" t="s">
        <v>25</v>
      </c>
      <c r="B202" s="144">
        <f t="shared" si="6"/>
        <v>45127</v>
      </c>
      <c r="C202" s="145">
        <v>8.0</v>
      </c>
      <c r="D202" s="145" t="s">
        <v>22</v>
      </c>
      <c r="E202" s="175" t="s">
        <v>44</v>
      </c>
      <c r="F202" s="147">
        <v>0.0</v>
      </c>
      <c r="G202" s="3"/>
      <c r="H202" s="147">
        <v>0.0</v>
      </c>
      <c r="I202" s="3"/>
      <c r="J202" s="147">
        <v>0.0</v>
      </c>
      <c r="K202" s="3"/>
      <c r="L202" s="147">
        <v>0.0</v>
      </c>
      <c r="M202" s="3"/>
      <c r="N202" s="147">
        <v>130.0</v>
      </c>
      <c r="O202" s="3"/>
      <c r="P202" s="147">
        <v>145.0</v>
      </c>
      <c r="Q202" s="3"/>
      <c r="R202" s="147">
        <v>20.0</v>
      </c>
      <c r="S202" s="3"/>
      <c r="T202" s="147">
        <v>0.0</v>
      </c>
      <c r="U202" s="3"/>
      <c r="V202" s="147">
        <v>0.0</v>
      </c>
      <c r="W202" s="3"/>
      <c r="X202" s="147">
        <v>30.0</v>
      </c>
      <c r="Y202" s="3"/>
      <c r="Z202" s="147">
        <v>0.0</v>
      </c>
      <c r="AA202" s="3"/>
      <c r="AB202" s="147">
        <v>3.0</v>
      </c>
      <c r="AC202" s="3"/>
      <c r="AD202" s="147">
        <v>0.0</v>
      </c>
      <c r="AE202" s="3"/>
      <c r="AF202" s="147">
        <v>0.0</v>
      </c>
      <c r="AG202" s="3"/>
      <c r="AH202" s="147">
        <v>0.0</v>
      </c>
      <c r="AI202" s="3"/>
      <c r="AJ202" s="147">
        <v>0.0</v>
      </c>
      <c r="AK202" s="3"/>
      <c r="AL202" s="147">
        <v>0.0</v>
      </c>
      <c r="AM202" s="3"/>
      <c r="AN202" s="147">
        <v>0.0</v>
      </c>
      <c r="AO202" s="3"/>
      <c r="AP202" s="149">
        <f t="shared" si="11"/>
        <v>6343.3</v>
      </c>
      <c r="AQ202" s="150">
        <f t="shared" si="10"/>
        <v>325</v>
      </c>
      <c r="AR202" s="150">
        <f t="shared" si="3"/>
        <v>0</v>
      </c>
      <c r="AS202" s="150">
        <f t="shared" si="4"/>
        <v>328</v>
      </c>
      <c r="AT202" s="299">
        <f t="shared" si="5"/>
        <v>19.33932927</v>
      </c>
    </row>
    <row r="203" ht="15.75" customHeight="1">
      <c r="A203" s="327" t="s">
        <v>26</v>
      </c>
      <c r="B203" s="144">
        <f t="shared" si="6"/>
        <v>45128</v>
      </c>
      <c r="C203" s="145">
        <v>8.0</v>
      </c>
      <c r="D203" s="145" t="s">
        <v>22</v>
      </c>
      <c r="E203" s="175" t="s">
        <v>44</v>
      </c>
      <c r="F203" s="147">
        <v>0.0</v>
      </c>
      <c r="G203" s="3"/>
      <c r="H203" s="147">
        <v>0.0</v>
      </c>
      <c r="I203" s="3"/>
      <c r="J203" s="147">
        <v>0.0</v>
      </c>
      <c r="K203" s="3"/>
      <c r="L203" s="147">
        <v>0.0</v>
      </c>
      <c r="M203" s="3"/>
      <c r="N203" s="147">
        <v>130.0</v>
      </c>
      <c r="O203" s="3"/>
      <c r="P203" s="147">
        <v>145.0</v>
      </c>
      <c r="Q203" s="3"/>
      <c r="R203" s="147">
        <v>20.0</v>
      </c>
      <c r="S203" s="3"/>
      <c r="T203" s="147">
        <v>0.0</v>
      </c>
      <c r="U203" s="3"/>
      <c r="V203" s="147">
        <v>0.0</v>
      </c>
      <c r="W203" s="3"/>
      <c r="X203" s="147">
        <v>0.0</v>
      </c>
      <c r="Y203" s="3"/>
      <c r="Z203" s="147">
        <v>3.0</v>
      </c>
      <c r="AA203" s="3"/>
      <c r="AB203" s="147">
        <v>0.0</v>
      </c>
      <c r="AC203" s="3"/>
      <c r="AD203" s="147">
        <v>0.0</v>
      </c>
      <c r="AE203" s="3"/>
      <c r="AF203" s="147">
        <v>0.0</v>
      </c>
      <c r="AG203" s="3"/>
      <c r="AH203" s="147">
        <v>0.0</v>
      </c>
      <c r="AI203" s="3"/>
      <c r="AJ203" s="147">
        <v>0.0</v>
      </c>
      <c r="AK203" s="3"/>
      <c r="AL203" s="147">
        <v>0.0</v>
      </c>
      <c r="AM203" s="3"/>
      <c r="AN203" s="147">
        <v>0.0</v>
      </c>
      <c r="AO203" s="3"/>
      <c r="AP203" s="149">
        <f t="shared" si="11"/>
        <v>5616.1</v>
      </c>
      <c r="AQ203" s="150">
        <f t="shared" si="10"/>
        <v>295</v>
      </c>
      <c r="AR203" s="150">
        <f t="shared" si="3"/>
        <v>0</v>
      </c>
      <c r="AS203" s="150">
        <f t="shared" si="4"/>
        <v>298</v>
      </c>
      <c r="AT203" s="299">
        <f t="shared" si="5"/>
        <v>18.84597315</v>
      </c>
    </row>
    <row r="204" ht="15.75" customHeight="1">
      <c r="A204" s="327" t="s">
        <v>27</v>
      </c>
      <c r="B204" s="144">
        <f t="shared" si="6"/>
        <v>45129</v>
      </c>
      <c r="C204" s="145">
        <v>8.0</v>
      </c>
      <c r="D204" s="145" t="s">
        <v>22</v>
      </c>
      <c r="E204" s="175" t="s">
        <v>44</v>
      </c>
      <c r="F204" s="147">
        <v>0.0</v>
      </c>
      <c r="G204" s="3"/>
      <c r="H204" s="147">
        <v>0.0</v>
      </c>
      <c r="I204" s="3"/>
      <c r="J204" s="147">
        <v>0.0</v>
      </c>
      <c r="K204" s="3"/>
      <c r="L204" s="147">
        <v>0.0</v>
      </c>
      <c r="M204" s="3"/>
      <c r="N204" s="147">
        <v>130.0</v>
      </c>
      <c r="O204" s="3"/>
      <c r="P204" s="147">
        <v>145.0</v>
      </c>
      <c r="Q204" s="3"/>
      <c r="R204" s="147">
        <v>0.0</v>
      </c>
      <c r="S204" s="3"/>
      <c r="T204" s="147">
        <v>0.0</v>
      </c>
      <c r="U204" s="3"/>
      <c r="V204" s="147">
        <v>0.0</v>
      </c>
      <c r="W204" s="3"/>
      <c r="X204" s="147">
        <v>0.0</v>
      </c>
      <c r="Y204" s="3"/>
      <c r="Z204" s="147">
        <v>3.0</v>
      </c>
      <c r="AA204" s="3"/>
      <c r="AB204" s="147">
        <v>0.0</v>
      </c>
      <c r="AC204" s="3"/>
      <c r="AD204" s="147">
        <v>0.0</v>
      </c>
      <c r="AE204" s="3"/>
      <c r="AF204" s="147">
        <v>0.0</v>
      </c>
      <c r="AG204" s="3"/>
      <c r="AH204" s="147">
        <v>0.0</v>
      </c>
      <c r="AI204" s="3"/>
      <c r="AJ204" s="147">
        <v>0.0</v>
      </c>
      <c r="AK204" s="3"/>
      <c r="AL204" s="147">
        <v>0.0</v>
      </c>
      <c r="AM204" s="3"/>
      <c r="AN204" s="147">
        <v>0.0</v>
      </c>
      <c r="AO204" s="3"/>
      <c r="AP204" s="149">
        <f t="shared" si="11"/>
        <v>5221.3</v>
      </c>
      <c r="AQ204" s="150">
        <f t="shared" si="10"/>
        <v>275</v>
      </c>
      <c r="AR204" s="150">
        <f t="shared" si="3"/>
        <v>0</v>
      </c>
      <c r="AS204" s="150">
        <f t="shared" si="4"/>
        <v>278</v>
      </c>
      <c r="AT204" s="299">
        <f t="shared" si="5"/>
        <v>18.78165468</v>
      </c>
    </row>
    <row r="205" ht="15.75" customHeight="1">
      <c r="A205" s="329" t="s">
        <v>28</v>
      </c>
      <c r="B205" s="330">
        <f t="shared" si="6"/>
        <v>45130</v>
      </c>
      <c r="C205" s="331">
        <v>8.0</v>
      </c>
      <c r="D205" s="331" t="s">
        <v>22</v>
      </c>
      <c r="E205" s="332" t="s">
        <v>43</v>
      </c>
      <c r="F205" s="333">
        <v>0.0</v>
      </c>
      <c r="G205" s="207"/>
      <c r="H205" s="333">
        <v>0.0</v>
      </c>
      <c r="I205" s="207"/>
      <c r="J205" s="333">
        <v>0.0</v>
      </c>
      <c r="K205" s="207"/>
      <c r="L205" s="333">
        <v>0.0</v>
      </c>
      <c r="M205" s="207"/>
      <c r="N205" s="333">
        <v>0.0</v>
      </c>
      <c r="O205" s="207"/>
      <c r="P205" s="333">
        <v>0.0</v>
      </c>
      <c r="Q205" s="207"/>
      <c r="R205" s="333">
        <v>0.0</v>
      </c>
      <c r="S205" s="207"/>
      <c r="T205" s="333">
        <v>0.0</v>
      </c>
      <c r="U205" s="207"/>
      <c r="V205" s="333">
        <v>0.0</v>
      </c>
      <c r="W205" s="207"/>
      <c r="X205" s="333">
        <v>0.0</v>
      </c>
      <c r="Y205" s="207"/>
      <c r="Z205" s="333">
        <v>0.0</v>
      </c>
      <c r="AA205" s="207"/>
      <c r="AB205" s="333">
        <v>0.0</v>
      </c>
      <c r="AC205" s="207"/>
      <c r="AD205" s="333">
        <v>0.0</v>
      </c>
      <c r="AE205" s="207"/>
      <c r="AF205" s="333">
        <v>0.0</v>
      </c>
      <c r="AG205" s="207"/>
      <c r="AH205" s="333">
        <v>0.0</v>
      </c>
      <c r="AI205" s="207"/>
      <c r="AJ205" s="333">
        <v>0.0</v>
      </c>
      <c r="AK205" s="207"/>
      <c r="AL205" s="333">
        <v>0.0</v>
      </c>
      <c r="AM205" s="207"/>
      <c r="AN205" s="333">
        <v>0.0</v>
      </c>
      <c r="AO205" s="207"/>
      <c r="AP205" s="334">
        <f t="shared" si="11"/>
        <v>0</v>
      </c>
      <c r="AQ205" s="335">
        <f t="shared" si="10"/>
        <v>0</v>
      </c>
      <c r="AR205" s="335">
        <f t="shared" si="3"/>
        <v>0</v>
      </c>
      <c r="AS205" s="335">
        <f t="shared" si="4"/>
        <v>0</v>
      </c>
      <c r="AT205" s="336" t="str">
        <f t="shared" si="5"/>
        <v/>
      </c>
    </row>
    <row r="206" ht="15.75" customHeight="1">
      <c r="A206" s="249" t="s">
        <v>21</v>
      </c>
      <c r="B206" s="250">
        <f t="shared" si="6"/>
        <v>45131</v>
      </c>
      <c r="C206" s="251">
        <v>8.0</v>
      </c>
      <c r="D206" s="251" t="s">
        <v>34</v>
      </c>
      <c r="E206" s="337" t="s">
        <v>44</v>
      </c>
      <c r="F206" s="338">
        <v>0.0</v>
      </c>
      <c r="G206" s="190"/>
      <c r="H206" s="338">
        <v>0.0</v>
      </c>
      <c r="I206" s="190"/>
      <c r="J206" s="338">
        <v>0.0</v>
      </c>
      <c r="K206" s="190"/>
      <c r="L206" s="338">
        <v>0.0</v>
      </c>
      <c r="M206" s="190"/>
      <c r="N206" s="253">
        <v>130.0</v>
      </c>
      <c r="O206" s="190"/>
      <c r="P206" s="253">
        <v>145.0</v>
      </c>
      <c r="Q206" s="190"/>
      <c r="R206" s="253">
        <v>20.0</v>
      </c>
      <c r="S206" s="190"/>
      <c r="T206" s="253">
        <v>0.0</v>
      </c>
      <c r="U206" s="190"/>
      <c r="V206" s="338">
        <v>0.0</v>
      </c>
      <c r="W206" s="190"/>
      <c r="X206" s="253">
        <v>0.0</v>
      </c>
      <c r="Y206" s="190"/>
      <c r="Z206" s="253">
        <v>3.0</v>
      </c>
      <c r="AA206" s="190"/>
      <c r="AB206" s="253">
        <v>0.0</v>
      </c>
      <c r="AC206" s="190"/>
      <c r="AD206" s="338">
        <v>0.0</v>
      </c>
      <c r="AE206" s="190"/>
      <c r="AF206" s="338">
        <v>0.0</v>
      </c>
      <c r="AG206" s="190"/>
      <c r="AH206" s="338">
        <v>0.0</v>
      </c>
      <c r="AI206" s="190"/>
      <c r="AJ206" s="338">
        <v>0.0</v>
      </c>
      <c r="AK206" s="190"/>
      <c r="AL206" s="338">
        <v>0.0</v>
      </c>
      <c r="AM206" s="190"/>
      <c r="AN206" s="338">
        <v>0.0</v>
      </c>
      <c r="AO206" s="190"/>
      <c r="AP206" s="254">
        <f t="shared" si="11"/>
        <v>5616.1</v>
      </c>
      <c r="AQ206" s="255">
        <f t="shared" si="10"/>
        <v>295</v>
      </c>
      <c r="AR206" s="255">
        <f t="shared" si="3"/>
        <v>0</v>
      </c>
      <c r="AS206" s="255">
        <f t="shared" si="4"/>
        <v>298</v>
      </c>
      <c r="AT206" s="256">
        <f t="shared" si="5"/>
        <v>18.84597315</v>
      </c>
    </row>
    <row r="207" ht="15.75" customHeight="1">
      <c r="A207" s="257" t="s">
        <v>23</v>
      </c>
      <c r="B207" s="118">
        <f t="shared" si="6"/>
        <v>45132</v>
      </c>
      <c r="C207" s="119">
        <v>8.0</v>
      </c>
      <c r="D207" s="119" t="s">
        <v>34</v>
      </c>
      <c r="E207" s="165" t="s">
        <v>44</v>
      </c>
      <c r="F207" s="166">
        <v>0.0</v>
      </c>
      <c r="G207" s="3"/>
      <c r="H207" s="166">
        <v>0.0</v>
      </c>
      <c r="I207" s="3"/>
      <c r="J207" s="166">
        <v>0.0</v>
      </c>
      <c r="K207" s="3"/>
      <c r="L207" s="166">
        <v>0.0</v>
      </c>
      <c r="M207" s="3"/>
      <c r="N207" s="121">
        <v>130.0</v>
      </c>
      <c r="O207" s="3"/>
      <c r="P207" s="121">
        <v>145.0</v>
      </c>
      <c r="Q207" s="3"/>
      <c r="R207" s="121">
        <v>20.0</v>
      </c>
      <c r="S207" s="3"/>
      <c r="T207" s="121">
        <v>0.0</v>
      </c>
      <c r="U207" s="3"/>
      <c r="V207" s="166">
        <v>0.0</v>
      </c>
      <c r="W207" s="3"/>
      <c r="X207" s="121">
        <v>0.0</v>
      </c>
      <c r="Y207" s="3"/>
      <c r="Z207" s="121">
        <v>0.0</v>
      </c>
      <c r="AA207" s="3"/>
      <c r="AB207" s="121">
        <v>3.0</v>
      </c>
      <c r="AC207" s="3"/>
      <c r="AD207" s="166">
        <v>0.0</v>
      </c>
      <c r="AE207" s="3"/>
      <c r="AF207" s="166">
        <v>0.0</v>
      </c>
      <c r="AG207" s="3"/>
      <c r="AH207" s="166">
        <v>0.0</v>
      </c>
      <c r="AI207" s="3"/>
      <c r="AJ207" s="166">
        <v>0.0</v>
      </c>
      <c r="AK207" s="3"/>
      <c r="AL207" s="166">
        <v>0.0</v>
      </c>
      <c r="AM207" s="3"/>
      <c r="AN207" s="166">
        <v>0.0</v>
      </c>
      <c r="AO207" s="3"/>
      <c r="AP207" s="123">
        <f t="shared" si="11"/>
        <v>5751.1</v>
      </c>
      <c r="AQ207" s="124">
        <f t="shared" si="10"/>
        <v>295</v>
      </c>
      <c r="AR207" s="124">
        <f t="shared" si="3"/>
        <v>0</v>
      </c>
      <c r="AS207" s="124">
        <f t="shared" si="4"/>
        <v>298</v>
      </c>
      <c r="AT207" s="258">
        <f t="shared" si="5"/>
        <v>19.29899329</v>
      </c>
    </row>
    <row r="208" ht="15.75" customHeight="1">
      <c r="A208" s="257" t="s">
        <v>24</v>
      </c>
      <c r="B208" s="118">
        <f t="shared" si="6"/>
        <v>45133</v>
      </c>
      <c r="C208" s="119">
        <v>8.0</v>
      </c>
      <c r="D208" s="119" t="s">
        <v>34</v>
      </c>
      <c r="E208" s="165" t="s">
        <v>44</v>
      </c>
      <c r="F208" s="166">
        <v>0.0</v>
      </c>
      <c r="G208" s="3"/>
      <c r="H208" s="166">
        <v>0.0</v>
      </c>
      <c r="I208" s="3"/>
      <c r="J208" s="166">
        <v>0.0</v>
      </c>
      <c r="K208" s="3"/>
      <c r="L208" s="166">
        <v>0.0</v>
      </c>
      <c r="M208" s="3"/>
      <c r="N208" s="121">
        <v>130.0</v>
      </c>
      <c r="O208" s="3"/>
      <c r="P208" s="121">
        <v>145.0</v>
      </c>
      <c r="Q208" s="3"/>
      <c r="R208" s="121">
        <v>0.0</v>
      </c>
      <c r="S208" s="3"/>
      <c r="T208" s="121">
        <v>0.0</v>
      </c>
      <c r="U208" s="3"/>
      <c r="V208" s="166">
        <v>0.0</v>
      </c>
      <c r="W208" s="3"/>
      <c r="X208" s="121">
        <v>0.0</v>
      </c>
      <c r="Y208" s="3"/>
      <c r="Z208" s="121">
        <v>4.0</v>
      </c>
      <c r="AA208" s="3"/>
      <c r="AB208" s="121">
        <v>0.0</v>
      </c>
      <c r="AC208" s="3"/>
      <c r="AD208" s="166">
        <v>0.0</v>
      </c>
      <c r="AE208" s="3"/>
      <c r="AF208" s="166">
        <v>0.0</v>
      </c>
      <c r="AG208" s="3"/>
      <c r="AH208" s="166">
        <v>0.0</v>
      </c>
      <c r="AI208" s="3"/>
      <c r="AJ208" s="166">
        <v>0.0</v>
      </c>
      <c r="AK208" s="3"/>
      <c r="AL208" s="166">
        <v>0.0</v>
      </c>
      <c r="AM208" s="3"/>
      <c r="AN208" s="166">
        <v>0.0</v>
      </c>
      <c r="AO208" s="3"/>
      <c r="AP208" s="123">
        <f t="shared" si="11"/>
        <v>5301.3</v>
      </c>
      <c r="AQ208" s="124">
        <f t="shared" si="10"/>
        <v>275</v>
      </c>
      <c r="AR208" s="124">
        <f t="shared" si="3"/>
        <v>0</v>
      </c>
      <c r="AS208" s="124">
        <f t="shared" si="4"/>
        <v>279</v>
      </c>
      <c r="AT208" s="258">
        <f t="shared" si="5"/>
        <v>19.00107527</v>
      </c>
    </row>
    <row r="209" ht="15.75" customHeight="1">
      <c r="A209" s="257" t="s">
        <v>25</v>
      </c>
      <c r="B209" s="118">
        <f t="shared" si="6"/>
        <v>45134</v>
      </c>
      <c r="C209" s="119">
        <v>8.0</v>
      </c>
      <c r="D209" s="119" t="s">
        <v>34</v>
      </c>
      <c r="E209" s="165" t="s">
        <v>44</v>
      </c>
      <c r="F209" s="166">
        <v>0.0</v>
      </c>
      <c r="G209" s="3"/>
      <c r="H209" s="166">
        <v>0.0</v>
      </c>
      <c r="I209" s="3"/>
      <c r="J209" s="166">
        <v>0.0</v>
      </c>
      <c r="K209" s="3"/>
      <c r="L209" s="166">
        <v>0.0</v>
      </c>
      <c r="M209" s="3"/>
      <c r="N209" s="121">
        <v>130.0</v>
      </c>
      <c r="O209" s="3"/>
      <c r="P209" s="121">
        <v>145.0</v>
      </c>
      <c r="Q209" s="3"/>
      <c r="R209" s="121">
        <v>20.0</v>
      </c>
      <c r="S209" s="3"/>
      <c r="T209" s="121">
        <v>0.0</v>
      </c>
      <c r="U209" s="3"/>
      <c r="V209" s="166">
        <v>0.0</v>
      </c>
      <c r="W209" s="3"/>
      <c r="X209" s="121">
        <v>30.0</v>
      </c>
      <c r="Y209" s="3"/>
      <c r="Z209" s="121">
        <v>3.0</v>
      </c>
      <c r="AA209" s="3"/>
      <c r="AB209" s="121">
        <v>0.0</v>
      </c>
      <c r="AC209" s="3"/>
      <c r="AD209" s="166">
        <v>0.0</v>
      </c>
      <c r="AE209" s="3"/>
      <c r="AF209" s="166">
        <v>0.0</v>
      </c>
      <c r="AG209" s="3"/>
      <c r="AH209" s="166">
        <v>0.0</v>
      </c>
      <c r="AI209" s="3"/>
      <c r="AJ209" s="166">
        <v>0.0</v>
      </c>
      <c r="AK209" s="3"/>
      <c r="AL209" s="166">
        <v>0.0</v>
      </c>
      <c r="AM209" s="3"/>
      <c r="AN209" s="166">
        <v>0.0</v>
      </c>
      <c r="AO209" s="3"/>
      <c r="AP209" s="123">
        <f t="shared" si="11"/>
        <v>6208.3</v>
      </c>
      <c r="AQ209" s="124">
        <f t="shared" si="10"/>
        <v>325</v>
      </c>
      <c r="AR209" s="124">
        <f t="shared" si="3"/>
        <v>0</v>
      </c>
      <c r="AS209" s="124">
        <f t="shared" si="4"/>
        <v>328</v>
      </c>
      <c r="AT209" s="258">
        <f t="shared" si="5"/>
        <v>18.9277439</v>
      </c>
    </row>
    <row r="210" ht="15.75" customHeight="1">
      <c r="A210" s="257" t="s">
        <v>26</v>
      </c>
      <c r="B210" s="118">
        <f t="shared" si="6"/>
        <v>45135</v>
      </c>
      <c r="C210" s="119">
        <v>8.0</v>
      </c>
      <c r="D210" s="119" t="s">
        <v>34</v>
      </c>
      <c r="E210" s="165" t="s">
        <v>44</v>
      </c>
      <c r="F210" s="166">
        <v>0.0</v>
      </c>
      <c r="G210" s="3"/>
      <c r="H210" s="166">
        <v>0.0</v>
      </c>
      <c r="I210" s="3"/>
      <c r="J210" s="166">
        <v>0.0</v>
      </c>
      <c r="K210" s="3"/>
      <c r="L210" s="166">
        <v>0.0</v>
      </c>
      <c r="M210" s="3"/>
      <c r="N210" s="121">
        <v>130.0</v>
      </c>
      <c r="O210" s="3"/>
      <c r="P210" s="121">
        <v>145.0</v>
      </c>
      <c r="Q210" s="3"/>
      <c r="R210" s="121">
        <v>20.0</v>
      </c>
      <c r="S210" s="3"/>
      <c r="T210" s="121">
        <v>0.0</v>
      </c>
      <c r="U210" s="3"/>
      <c r="V210" s="166">
        <v>0.0</v>
      </c>
      <c r="W210" s="3"/>
      <c r="X210" s="121">
        <v>30.0</v>
      </c>
      <c r="Y210" s="3"/>
      <c r="Z210" s="121">
        <v>3.0</v>
      </c>
      <c r="AA210" s="3"/>
      <c r="AB210" s="121">
        <v>0.0</v>
      </c>
      <c r="AC210" s="3"/>
      <c r="AD210" s="166">
        <v>0.0</v>
      </c>
      <c r="AE210" s="3"/>
      <c r="AF210" s="166">
        <v>0.0</v>
      </c>
      <c r="AG210" s="3"/>
      <c r="AH210" s="166">
        <v>0.0</v>
      </c>
      <c r="AI210" s="3"/>
      <c r="AJ210" s="166">
        <v>0.0</v>
      </c>
      <c r="AK210" s="3"/>
      <c r="AL210" s="166">
        <v>0.0</v>
      </c>
      <c r="AM210" s="3"/>
      <c r="AN210" s="166">
        <v>0.0</v>
      </c>
      <c r="AO210" s="3"/>
      <c r="AP210" s="123">
        <f t="shared" si="11"/>
        <v>6208.3</v>
      </c>
      <c r="AQ210" s="124">
        <f t="shared" si="10"/>
        <v>325</v>
      </c>
      <c r="AR210" s="124">
        <f t="shared" si="3"/>
        <v>0</v>
      </c>
      <c r="AS210" s="124">
        <f t="shared" si="4"/>
        <v>328</v>
      </c>
      <c r="AT210" s="258">
        <f t="shared" si="5"/>
        <v>18.9277439</v>
      </c>
    </row>
    <row r="211" ht="15.75" customHeight="1">
      <c r="A211" s="257" t="s">
        <v>27</v>
      </c>
      <c r="B211" s="118">
        <f t="shared" si="6"/>
        <v>45136</v>
      </c>
      <c r="C211" s="119">
        <v>8.0</v>
      </c>
      <c r="D211" s="119" t="s">
        <v>34</v>
      </c>
      <c r="E211" s="165" t="s">
        <v>44</v>
      </c>
      <c r="F211" s="166">
        <v>0.0</v>
      </c>
      <c r="G211" s="3"/>
      <c r="H211" s="166">
        <v>0.0</v>
      </c>
      <c r="I211" s="3"/>
      <c r="J211" s="166">
        <v>0.0</v>
      </c>
      <c r="K211" s="3"/>
      <c r="L211" s="166">
        <v>0.0</v>
      </c>
      <c r="M211" s="3"/>
      <c r="N211" s="121">
        <v>130.0</v>
      </c>
      <c r="O211" s="3"/>
      <c r="P211" s="121">
        <v>155.0</v>
      </c>
      <c r="Q211" s="3"/>
      <c r="R211" s="121">
        <v>0.0</v>
      </c>
      <c r="S211" s="3"/>
      <c r="T211" s="121">
        <v>0.0</v>
      </c>
      <c r="U211" s="3"/>
      <c r="V211" s="166">
        <v>0.0</v>
      </c>
      <c r="W211" s="3"/>
      <c r="X211" s="121">
        <v>0.0</v>
      </c>
      <c r="Y211" s="3"/>
      <c r="Z211" s="121">
        <v>3.0</v>
      </c>
      <c r="AA211" s="3"/>
      <c r="AB211" s="121">
        <v>0.0</v>
      </c>
      <c r="AC211" s="3"/>
      <c r="AD211" s="166">
        <v>0.0</v>
      </c>
      <c r="AE211" s="3"/>
      <c r="AF211" s="166">
        <v>0.0</v>
      </c>
      <c r="AG211" s="3"/>
      <c r="AH211" s="166">
        <v>0.0</v>
      </c>
      <c r="AI211" s="3"/>
      <c r="AJ211" s="166">
        <v>0.0</v>
      </c>
      <c r="AK211" s="3"/>
      <c r="AL211" s="166">
        <v>0.0</v>
      </c>
      <c r="AM211" s="3"/>
      <c r="AN211" s="166">
        <v>0.0</v>
      </c>
      <c r="AO211" s="3"/>
      <c r="AP211" s="123">
        <f t="shared" si="11"/>
        <v>5418.7</v>
      </c>
      <c r="AQ211" s="124">
        <f t="shared" si="10"/>
        <v>285</v>
      </c>
      <c r="AR211" s="124">
        <f t="shared" si="3"/>
        <v>0</v>
      </c>
      <c r="AS211" s="124">
        <f t="shared" si="4"/>
        <v>288</v>
      </c>
      <c r="AT211" s="258">
        <f t="shared" si="5"/>
        <v>18.81493056</v>
      </c>
    </row>
    <row r="212" ht="15.75" customHeight="1">
      <c r="A212" s="257" t="s">
        <v>28</v>
      </c>
      <c r="B212" s="118">
        <f t="shared" si="6"/>
        <v>45137</v>
      </c>
      <c r="C212" s="119">
        <v>8.0</v>
      </c>
      <c r="D212" s="119" t="s">
        <v>34</v>
      </c>
      <c r="E212" s="339" t="s">
        <v>43</v>
      </c>
      <c r="F212" s="340">
        <v>0.0</v>
      </c>
      <c r="G212" s="73"/>
      <c r="H212" s="340">
        <v>0.0</v>
      </c>
      <c r="I212" s="73"/>
      <c r="J212" s="340">
        <v>0.0</v>
      </c>
      <c r="K212" s="73"/>
      <c r="L212" s="340">
        <v>0.0</v>
      </c>
      <c r="M212" s="73"/>
      <c r="N212" s="182">
        <v>0.0</v>
      </c>
      <c r="O212" s="73"/>
      <c r="P212" s="182">
        <v>0.0</v>
      </c>
      <c r="Q212" s="73"/>
      <c r="R212" s="182">
        <v>0.0</v>
      </c>
      <c r="S212" s="73"/>
      <c r="T212" s="182">
        <v>0.0</v>
      </c>
      <c r="U212" s="73"/>
      <c r="V212" s="340">
        <v>0.0</v>
      </c>
      <c r="W212" s="73"/>
      <c r="X212" s="182">
        <v>0.0</v>
      </c>
      <c r="Y212" s="73"/>
      <c r="Z212" s="182">
        <v>0.0</v>
      </c>
      <c r="AA212" s="73"/>
      <c r="AB212" s="182">
        <v>0.0</v>
      </c>
      <c r="AC212" s="73"/>
      <c r="AD212" s="340">
        <v>0.0</v>
      </c>
      <c r="AE212" s="73"/>
      <c r="AF212" s="340">
        <v>0.0</v>
      </c>
      <c r="AG212" s="73"/>
      <c r="AH212" s="340">
        <v>0.0</v>
      </c>
      <c r="AI212" s="73"/>
      <c r="AJ212" s="340">
        <v>0.0</v>
      </c>
      <c r="AK212" s="73"/>
      <c r="AL212" s="340">
        <v>0.0</v>
      </c>
      <c r="AM212" s="73"/>
      <c r="AN212" s="340">
        <v>0.0</v>
      </c>
      <c r="AO212" s="73"/>
      <c r="AP212" s="183">
        <f t="shared" si="11"/>
        <v>0</v>
      </c>
      <c r="AQ212" s="181">
        <f t="shared" si="10"/>
        <v>0</v>
      </c>
      <c r="AR212" s="181">
        <f t="shared" si="3"/>
        <v>0</v>
      </c>
      <c r="AS212" s="181">
        <f t="shared" si="4"/>
        <v>0</v>
      </c>
      <c r="AT212" s="261" t="str">
        <f t="shared" si="5"/>
        <v/>
      </c>
    </row>
    <row r="213" ht="15.75" customHeight="1">
      <c r="A213" s="325" t="s">
        <v>21</v>
      </c>
      <c r="B213" s="326">
        <f t="shared" si="6"/>
        <v>45138</v>
      </c>
      <c r="C213" s="292">
        <v>8.0</v>
      </c>
      <c r="D213" s="292" t="s">
        <v>36</v>
      </c>
      <c r="E213" s="341" t="s">
        <v>44</v>
      </c>
      <c r="F213" s="342">
        <v>0.0</v>
      </c>
      <c r="G213" s="190"/>
      <c r="H213" s="342">
        <v>0.0</v>
      </c>
      <c r="I213" s="190"/>
      <c r="J213" s="342">
        <v>0.0</v>
      </c>
      <c r="K213" s="190"/>
      <c r="L213" s="342">
        <v>0.0</v>
      </c>
      <c r="M213" s="190"/>
      <c r="N213" s="294">
        <v>130.0</v>
      </c>
      <c r="O213" s="190"/>
      <c r="P213" s="294">
        <v>155.0</v>
      </c>
      <c r="Q213" s="190"/>
      <c r="R213" s="294">
        <v>30.0</v>
      </c>
      <c r="S213" s="190"/>
      <c r="T213" s="294">
        <v>0.0</v>
      </c>
      <c r="U213" s="190"/>
      <c r="V213" s="294">
        <v>0.0</v>
      </c>
      <c r="W213" s="190"/>
      <c r="X213" s="294">
        <v>0.0</v>
      </c>
      <c r="Y213" s="190"/>
      <c r="Z213" s="294">
        <v>3.0</v>
      </c>
      <c r="AA213" s="190"/>
      <c r="AB213" s="294">
        <v>0.0</v>
      </c>
      <c r="AC213" s="190"/>
      <c r="AD213" s="342">
        <v>0.0</v>
      </c>
      <c r="AE213" s="190"/>
      <c r="AF213" s="342">
        <v>0.0</v>
      </c>
      <c r="AG213" s="190"/>
      <c r="AH213" s="342">
        <v>0.0</v>
      </c>
      <c r="AI213" s="190"/>
      <c r="AJ213" s="342">
        <v>0.0</v>
      </c>
      <c r="AK213" s="190"/>
      <c r="AL213" s="342">
        <v>0.0</v>
      </c>
      <c r="AM213" s="190"/>
      <c r="AN213" s="342">
        <v>0.0</v>
      </c>
      <c r="AO213" s="190"/>
      <c r="AP213" s="295">
        <f t="shared" si="11"/>
        <v>6010.9</v>
      </c>
      <c r="AQ213" s="296">
        <f t="shared" si="10"/>
        <v>315</v>
      </c>
      <c r="AR213" s="296">
        <f t="shared" si="3"/>
        <v>0</v>
      </c>
      <c r="AS213" s="296">
        <f t="shared" si="4"/>
        <v>318</v>
      </c>
      <c r="AT213" s="297">
        <f t="shared" si="5"/>
        <v>18.90220126</v>
      </c>
    </row>
    <row r="214" ht="15.75" customHeight="1">
      <c r="A214" s="327" t="s">
        <v>23</v>
      </c>
      <c r="B214" s="144">
        <f t="shared" si="6"/>
        <v>45139</v>
      </c>
      <c r="C214" s="145">
        <v>8.0</v>
      </c>
      <c r="D214" s="145" t="s">
        <v>36</v>
      </c>
      <c r="E214" s="146" t="s">
        <v>44</v>
      </c>
      <c r="F214" s="343">
        <v>0.0</v>
      </c>
      <c r="G214" s="3"/>
      <c r="H214" s="343">
        <v>0.0</v>
      </c>
      <c r="I214" s="3"/>
      <c r="J214" s="343">
        <v>0.0</v>
      </c>
      <c r="K214" s="3"/>
      <c r="L214" s="343">
        <v>0.0</v>
      </c>
      <c r="M214" s="3"/>
      <c r="N214" s="147">
        <v>130.0</v>
      </c>
      <c r="O214" s="3"/>
      <c r="P214" s="147">
        <v>155.0</v>
      </c>
      <c r="Q214" s="3"/>
      <c r="R214" s="147">
        <v>30.0</v>
      </c>
      <c r="S214" s="3"/>
      <c r="T214" s="147">
        <v>0.0</v>
      </c>
      <c r="U214" s="3"/>
      <c r="V214" s="147">
        <v>0.0</v>
      </c>
      <c r="W214" s="3"/>
      <c r="X214" s="147">
        <v>30.0</v>
      </c>
      <c r="Y214" s="3"/>
      <c r="Z214" s="147">
        <v>3.0</v>
      </c>
      <c r="AA214" s="3"/>
      <c r="AB214" s="147">
        <v>0.0</v>
      </c>
      <c r="AC214" s="3"/>
      <c r="AD214" s="343">
        <v>0.0</v>
      </c>
      <c r="AE214" s="3"/>
      <c r="AF214" s="343">
        <v>0.0</v>
      </c>
      <c r="AG214" s="3"/>
      <c r="AH214" s="343">
        <v>0.0</v>
      </c>
      <c r="AI214" s="3"/>
      <c r="AJ214" s="343">
        <v>0.0</v>
      </c>
      <c r="AK214" s="3"/>
      <c r="AL214" s="343">
        <v>0.0</v>
      </c>
      <c r="AM214" s="3"/>
      <c r="AN214" s="343">
        <v>0.0</v>
      </c>
      <c r="AO214" s="3"/>
      <c r="AP214" s="149">
        <f t="shared" si="11"/>
        <v>6603.1</v>
      </c>
      <c r="AQ214" s="150">
        <f t="shared" si="10"/>
        <v>345</v>
      </c>
      <c r="AR214" s="150">
        <f t="shared" si="3"/>
        <v>0</v>
      </c>
      <c r="AS214" s="150">
        <f t="shared" si="4"/>
        <v>348</v>
      </c>
      <c r="AT214" s="299">
        <f t="shared" si="5"/>
        <v>18.97442529</v>
      </c>
    </row>
    <row r="215" ht="15.75" customHeight="1">
      <c r="A215" s="327" t="s">
        <v>24</v>
      </c>
      <c r="B215" s="144">
        <f t="shared" si="6"/>
        <v>45140</v>
      </c>
      <c r="C215" s="145">
        <v>8.0</v>
      </c>
      <c r="D215" s="145" t="s">
        <v>36</v>
      </c>
      <c r="E215" s="146" t="s">
        <v>44</v>
      </c>
      <c r="F215" s="343">
        <v>0.0</v>
      </c>
      <c r="G215" s="3"/>
      <c r="H215" s="343">
        <v>0.0</v>
      </c>
      <c r="I215" s="3"/>
      <c r="J215" s="343">
        <v>0.0</v>
      </c>
      <c r="K215" s="3"/>
      <c r="L215" s="343">
        <v>0.0</v>
      </c>
      <c r="M215" s="3"/>
      <c r="N215" s="147">
        <v>130.0</v>
      </c>
      <c r="O215" s="3"/>
      <c r="P215" s="147">
        <v>155.0</v>
      </c>
      <c r="Q215" s="3"/>
      <c r="R215" s="147">
        <v>0.0</v>
      </c>
      <c r="S215" s="3"/>
      <c r="T215" s="147">
        <v>0.0</v>
      </c>
      <c r="U215" s="3"/>
      <c r="V215" s="147">
        <v>0.0</v>
      </c>
      <c r="W215" s="3"/>
      <c r="X215" s="147">
        <v>0.0</v>
      </c>
      <c r="Y215" s="3"/>
      <c r="Z215" s="147">
        <v>4.0</v>
      </c>
      <c r="AA215" s="3"/>
      <c r="AB215" s="147">
        <v>0.0</v>
      </c>
      <c r="AC215" s="3"/>
      <c r="AD215" s="343">
        <v>0.0</v>
      </c>
      <c r="AE215" s="3"/>
      <c r="AF215" s="343">
        <v>0.0</v>
      </c>
      <c r="AG215" s="3"/>
      <c r="AH215" s="343">
        <v>0.0</v>
      </c>
      <c r="AI215" s="3"/>
      <c r="AJ215" s="343">
        <v>0.0</v>
      </c>
      <c r="AK215" s="3"/>
      <c r="AL215" s="343">
        <v>0.0</v>
      </c>
      <c r="AM215" s="3"/>
      <c r="AN215" s="343">
        <v>0.0</v>
      </c>
      <c r="AO215" s="3"/>
      <c r="AP215" s="149">
        <f t="shared" si="11"/>
        <v>5498.7</v>
      </c>
      <c r="AQ215" s="150">
        <f t="shared" si="10"/>
        <v>285</v>
      </c>
      <c r="AR215" s="150">
        <f t="shared" si="3"/>
        <v>0</v>
      </c>
      <c r="AS215" s="150">
        <f t="shared" si="4"/>
        <v>289</v>
      </c>
      <c r="AT215" s="299">
        <f t="shared" si="5"/>
        <v>19.0266436</v>
      </c>
    </row>
    <row r="216" ht="15.75" customHeight="1">
      <c r="A216" s="327" t="s">
        <v>25</v>
      </c>
      <c r="B216" s="144">
        <f t="shared" si="6"/>
        <v>45141</v>
      </c>
      <c r="C216" s="145">
        <v>8.0</v>
      </c>
      <c r="D216" s="145" t="s">
        <v>36</v>
      </c>
      <c r="E216" s="146" t="s">
        <v>44</v>
      </c>
      <c r="F216" s="343">
        <v>0.0</v>
      </c>
      <c r="G216" s="3"/>
      <c r="H216" s="343">
        <v>0.0</v>
      </c>
      <c r="I216" s="3"/>
      <c r="J216" s="343">
        <v>0.0</v>
      </c>
      <c r="K216" s="3"/>
      <c r="L216" s="343">
        <v>0.0</v>
      </c>
      <c r="M216" s="3"/>
      <c r="N216" s="147">
        <v>130.0</v>
      </c>
      <c r="O216" s="3"/>
      <c r="P216" s="147">
        <v>155.0</v>
      </c>
      <c r="Q216" s="3"/>
      <c r="R216" s="147">
        <v>30.0</v>
      </c>
      <c r="S216" s="3"/>
      <c r="T216" s="147">
        <v>0.0</v>
      </c>
      <c r="U216" s="3"/>
      <c r="V216" s="147">
        <v>0.0</v>
      </c>
      <c r="W216" s="3"/>
      <c r="X216" s="147">
        <v>30.0</v>
      </c>
      <c r="Y216" s="3"/>
      <c r="Z216" s="147">
        <v>0.0</v>
      </c>
      <c r="AA216" s="3"/>
      <c r="AB216" s="147">
        <v>3.0</v>
      </c>
      <c r="AC216" s="3"/>
      <c r="AD216" s="343">
        <v>0.0</v>
      </c>
      <c r="AE216" s="3"/>
      <c r="AF216" s="343">
        <v>0.0</v>
      </c>
      <c r="AG216" s="3"/>
      <c r="AH216" s="343">
        <v>0.0</v>
      </c>
      <c r="AI216" s="3"/>
      <c r="AJ216" s="343">
        <v>0.0</v>
      </c>
      <c r="AK216" s="3"/>
      <c r="AL216" s="343">
        <v>0.0</v>
      </c>
      <c r="AM216" s="3"/>
      <c r="AN216" s="343">
        <v>0.0</v>
      </c>
      <c r="AO216" s="3"/>
      <c r="AP216" s="149">
        <f t="shared" si="11"/>
        <v>6738.1</v>
      </c>
      <c r="AQ216" s="150">
        <f t="shared" si="10"/>
        <v>345</v>
      </c>
      <c r="AR216" s="150">
        <f t="shared" si="3"/>
        <v>0</v>
      </c>
      <c r="AS216" s="150">
        <f t="shared" si="4"/>
        <v>348</v>
      </c>
      <c r="AT216" s="299">
        <f t="shared" si="5"/>
        <v>19.36235632</v>
      </c>
    </row>
    <row r="217" ht="15.75" customHeight="1">
      <c r="A217" s="327" t="s">
        <v>26</v>
      </c>
      <c r="B217" s="144">
        <f t="shared" si="6"/>
        <v>45142</v>
      </c>
      <c r="C217" s="145">
        <v>8.0</v>
      </c>
      <c r="D217" s="145" t="s">
        <v>36</v>
      </c>
      <c r="E217" s="146" t="s">
        <v>44</v>
      </c>
      <c r="F217" s="343">
        <v>0.0</v>
      </c>
      <c r="G217" s="3"/>
      <c r="H217" s="343">
        <v>0.0</v>
      </c>
      <c r="I217" s="3"/>
      <c r="J217" s="343">
        <v>0.0</v>
      </c>
      <c r="K217" s="3"/>
      <c r="L217" s="343">
        <v>0.0</v>
      </c>
      <c r="M217" s="3"/>
      <c r="N217" s="147">
        <v>130.0</v>
      </c>
      <c r="O217" s="3"/>
      <c r="P217" s="147">
        <v>155.0</v>
      </c>
      <c r="Q217" s="3"/>
      <c r="R217" s="147">
        <v>30.0</v>
      </c>
      <c r="S217" s="3"/>
      <c r="T217" s="147">
        <v>0.0</v>
      </c>
      <c r="U217" s="3"/>
      <c r="V217" s="147">
        <v>0.0</v>
      </c>
      <c r="W217" s="3"/>
      <c r="X217" s="147">
        <v>0.0</v>
      </c>
      <c r="Y217" s="3"/>
      <c r="Z217" s="147">
        <v>3.0</v>
      </c>
      <c r="AA217" s="3"/>
      <c r="AB217" s="147">
        <v>0.0</v>
      </c>
      <c r="AC217" s="3"/>
      <c r="AD217" s="343">
        <v>0.0</v>
      </c>
      <c r="AE217" s="3"/>
      <c r="AF217" s="343">
        <v>0.0</v>
      </c>
      <c r="AG217" s="3"/>
      <c r="AH217" s="343">
        <v>0.0</v>
      </c>
      <c r="AI217" s="3"/>
      <c r="AJ217" s="343">
        <v>0.0</v>
      </c>
      <c r="AK217" s="3"/>
      <c r="AL217" s="343">
        <v>0.0</v>
      </c>
      <c r="AM217" s="3"/>
      <c r="AN217" s="343">
        <v>0.0</v>
      </c>
      <c r="AO217" s="3"/>
      <c r="AP217" s="149">
        <f t="shared" si="11"/>
        <v>6010.9</v>
      </c>
      <c r="AQ217" s="150">
        <f t="shared" si="10"/>
        <v>315</v>
      </c>
      <c r="AR217" s="150">
        <f t="shared" si="3"/>
        <v>0</v>
      </c>
      <c r="AS217" s="150">
        <f t="shared" si="4"/>
        <v>318</v>
      </c>
      <c r="AT217" s="299">
        <f t="shared" si="5"/>
        <v>18.90220126</v>
      </c>
    </row>
    <row r="218" ht="15.75" customHeight="1">
      <c r="A218" s="327" t="s">
        <v>27</v>
      </c>
      <c r="B218" s="144">
        <f t="shared" si="6"/>
        <v>45143</v>
      </c>
      <c r="C218" s="145">
        <v>8.0</v>
      </c>
      <c r="D218" s="145" t="s">
        <v>36</v>
      </c>
      <c r="E218" s="146" t="s">
        <v>44</v>
      </c>
      <c r="F218" s="343">
        <v>0.0</v>
      </c>
      <c r="G218" s="3"/>
      <c r="H218" s="343">
        <v>0.0</v>
      </c>
      <c r="I218" s="3"/>
      <c r="J218" s="343">
        <v>0.0</v>
      </c>
      <c r="K218" s="3"/>
      <c r="L218" s="343">
        <v>0.0</v>
      </c>
      <c r="M218" s="3"/>
      <c r="N218" s="147">
        <v>130.0</v>
      </c>
      <c r="O218" s="3"/>
      <c r="P218" s="147">
        <v>155.0</v>
      </c>
      <c r="Q218" s="3"/>
      <c r="R218" s="147">
        <v>0.0</v>
      </c>
      <c r="S218" s="3"/>
      <c r="T218" s="147">
        <v>0.0</v>
      </c>
      <c r="U218" s="3"/>
      <c r="V218" s="147">
        <v>0.0</v>
      </c>
      <c r="W218" s="3"/>
      <c r="X218" s="147">
        <v>0.0</v>
      </c>
      <c r="Y218" s="3"/>
      <c r="Z218" s="147">
        <v>0.0</v>
      </c>
      <c r="AA218" s="3"/>
      <c r="AB218" s="147">
        <v>4.0</v>
      </c>
      <c r="AC218" s="3"/>
      <c r="AD218" s="343">
        <v>0.0</v>
      </c>
      <c r="AE218" s="3"/>
      <c r="AF218" s="343">
        <v>0.0</v>
      </c>
      <c r="AG218" s="3"/>
      <c r="AH218" s="343">
        <v>0.0</v>
      </c>
      <c r="AI218" s="3"/>
      <c r="AJ218" s="343">
        <v>0.0</v>
      </c>
      <c r="AK218" s="3"/>
      <c r="AL218" s="343">
        <v>0.0</v>
      </c>
      <c r="AM218" s="3"/>
      <c r="AN218" s="343">
        <v>0.0</v>
      </c>
      <c r="AO218" s="3"/>
      <c r="AP218" s="149">
        <f t="shared" si="11"/>
        <v>5678.7</v>
      </c>
      <c r="AQ218" s="150">
        <f t="shared" si="10"/>
        <v>285</v>
      </c>
      <c r="AR218" s="150">
        <f t="shared" si="3"/>
        <v>0</v>
      </c>
      <c r="AS218" s="150">
        <f t="shared" si="4"/>
        <v>289</v>
      </c>
      <c r="AT218" s="299">
        <f t="shared" si="5"/>
        <v>19.64948097</v>
      </c>
    </row>
    <row r="219" ht="15.75" customHeight="1">
      <c r="A219" s="344" t="s">
        <v>28</v>
      </c>
      <c r="B219" s="345">
        <f t="shared" si="6"/>
        <v>45144</v>
      </c>
      <c r="C219" s="335">
        <v>8.0</v>
      </c>
      <c r="D219" s="335" t="s">
        <v>36</v>
      </c>
      <c r="E219" s="332" t="s">
        <v>43</v>
      </c>
      <c r="F219" s="346">
        <v>0.0</v>
      </c>
      <c r="G219" s="207"/>
      <c r="H219" s="346">
        <v>0.0</v>
      </c>
      <c r="I219" s="207"/>
      <c r="J219" s="346">
        <v>0.0</v>
      </c>
      <c r="K219" s="207"/>
      <c r="L219" s="346">
        <v>0.0</v>
      </c>
      <c r="M219" s="207"/>
      <c r="N219" s="333">
        <v>0.0</v>
      </c>
      <c r="O219" s="207"/>
      <c r="P219" s="333">
        <v>0.0</v>
      </c>
      <c r="Q219" s="207"/>
      <c r="R219" s="333">
        <v>0.0</v>
      </c>
      <c r="S219" s="207"/>
      <c r="T219" s="333">
        <v>0.0</v>
      </c>
      <c r="U219" s="207"/>
      <c r="V219" s="333">
        <v>0.0</v>
      </c>
      <c r="W219" s="207"/>
      <c r="X219" s="333">
        <v>0.0</v>
      </c>
      <c r="Y219" s="207"/>
      <c r="Z219" s="333">
        <v>0.0</v>
      </c>
      <c r="AA219" s="207"/>
      <c r="AB219" s="333">
        <v>0.0</v>
      </c>
      <c r="AC219" s="207"/>
      <c r="AD219" s="346">
        <v>0.0</v>
      </c>
      <c r="AE219" s="207"/>
      <c r="AF219" s="346">
        <v>0.0</v>
      </c>
      <c r="AG219" s="207"/>
      <c r="AH219" s="346">
        <v>0.0</v>
      </c>
      <c r="AI219" s="207"/>
      <c r="AJ219" s="346">
        <v>0.0</v>
      </c>
      <c r="AK219" s="207"/>
      <c r="AL219" s="346">
        <v>0.0</v>
      </c>
      <c r="AM219" s="207"/>
      <c r="AN219" s="346">
        <v>0.0</v>
      </c>
      <c r="AO219" s="207"/>
      <c r="AP219" s="334">
        <f t="shared" si="11"/>
        <v>0</v>
      </c>
      <c r="AQ219" s="335">
        <f t="shared" si="10"/>
        <v>0</v>
      </c>
      <c r="AR219" s="335">
        <f t="shared" si="3"/>
        <v>0</v>
      </c>
      <c r="AS219" s="335">
        <f t="shared" si="4"/>
        <v>0</v>
      </c>
      <c r="AT219" s="334" t="str">
        <f t="shared" si="5"/>
        <v/>
      </c>
    </row>
    <row r="220" ht="15.75" customHeight="1">
      <c r="A220" s="249" t="s">
        <v>21</v>
      </c>
      <c r="B220" s="250">
        <f t="shared" si="6"/>
        <v>45145</v>
      </c>
      <c r="C220" s="251">
        <v>8.0</v>
      </c>
      <c r="D220" s="251" t="s">
        <v>37</v>
      </c>
      <c r="E220" s="337" t="s">
        <v>44</v>
      </c>
      <c r="F220" s="338">
        <v>0.0</v>
      </c>
      <c r="G220" s="190"/>
      <c r="H220" s="338">
        <v>0.0</v>
      </c>
      <c r="I220" s="190"/>
      <c r="J220" s="338">
        <v>0.0</v>
      </c>
      <c r="K220" s="190"/>
      <c r="L220" s="338">
        <v>0.0</v>
      </c>
      <c r="M220" s="190"/>
      <c r="N220" s="253">
        <v>130.0</v>
      </c>
      <c r="O220" s="190"/>
      <c r="P220" s="253">
        <v>155.0</v>
      </c>
      <c r="Q220" s="190"/>
      <c r="R220" s="253">
        <v>30.0</v>
      </c>
      <c r="S220" s="190"/>
      <c r="T220" s="253">
        <v>0.0</v>
      </c>
      <c r="U220" s="190"/>
      <c r="V220" s="253">
        <v>0.0</v>
      </c>
      <c r="W220" s="190"/>
      <c r="X220" s="253">
        <v>0.0</v>
      </c>
      <c r="Y220" s="190"/>
      <c r="Z220" s="253">
        <v>3.0</v>
      </c>
      <c r="AA220" s="190"/>
      <c r="AB220" s="253">
        <v>0.0</v>
      </c>
      <c r="AC220" s="190"/>
      <c r="AD220" s="338">
        <v>0.0</v>
      </c>
      <c r="AE220" s="190"/>
      <c r="AF220" s="338">
        <v>0.0</v>
      </c>
      <c r="AG220" s="190"/>
      <c r="AH220" s="338">
        <v>0.0</v>
      </c>
      <c r="AI220" s="190"/>
      <c r="AJ220" s="338">
        <v>0.0</v>
      </c>
      <c r="AK220" s="190"/>
      <c r="AL220" s="338">
        <v>0.0</v>
      </c>
      <c r="AM220" s="190"/>
      <c r="AN220" s="338">
        <v>0.0</v>
      </c>
      <c r="AO220" s="190"/>
      <c r="AP220" s="254">
        <f t="shared" si="11"/>
        <v>6010.9</v>
      </c>
      <c r="AQ220" s="255">
        <f t="shared" si="10"/>
        <v>315</v>
      </c>
      <c r="AR220" s="255">
        <f t="shared" si="3"/>
        <v>0</v>
      </c>
      <c r="AS220" s="255">
        <f t="shared" si="4"/>
        <v>318</v>
      </c>
      <c r="AT220" s="256">
        <f t="shared" si="5"/>
        <v>18.90220126</v>
      </c>
    </row>
    <row r="221" ht="15.75" customHeight="1">
      <c r="A221" s="257" t="s">
        <v>23</v>
      </c>
      <c r="B221" s="118">
        <f t="shared" si="6"/>
        <v>45146</v>
      </c>
      <c r="C221" s="119">
        <v>8.0</v>
      </c>
      <c r="D221" s="119" t="s">
        <v>37</v>
      </c>
      <c r="E221" s="165" t="s">
        <v>44</v>
      </c>
      <c r="F221" s="166">
        <v>0.0</v>
      </c>
      <c r="G221" s="3"/>
      <c r="H221" s="166">
        <v>0.0</v>
      </c>
      <c r="I221" s="3"/>
      <c r="J221" s="166">
        <v>0.0</v>
      </c>
      <c r="K221" s="3"/>
      <c r="L221" s="166">
        <v>0.0</v>
      </c>
      <c r="M221" s="3"/>
      <c r="N221" s="121">
        <v>130.0</v>
      </c>
      <c r="O221" s="3"/>
      <c r="P221" s="121">
        <v>155.0</v>
      </c>
      <c r="Q221" s="3"/>
      <c r="R221" s="121">
        <v>30.0</v>
      </c>
      <c r="S221" s="3"/>
      <c r="T221" s="121">
        <v>0.0</v>
      </c>
      <c r="U221" s="3"/>
      <c r="V221" s="121">
        <v>0.0</v>
      </c>
      <c r="W221" s="3"/>
      <c r="X221" s="121">
        <v>0.0</v>
      </c>
      <c r="Y221" s="3"/>
      <c r="Z221" s="121">
        <v>3.0</v>
      </c>
      <c r="AA221" s="3"/>
      <c r="AB221" s="121">
        <v>0.0</v>
      </c>
      <c r="AC221" s="3"/>
      <c r="AD221" s="166">
        <v>0.0</v>
      </c>
      <c r="AE221" s="3"/>
      <c r="AF221" s="166">
        <v>0.0</v>
      </c>
      <c r="AG221" s="3"/>
      <c r="AH221" s="166">
        <v>0.0</v>
      </c>
      <c r="AI221" s="3"/>
      <c r="AJ221" s="166">
        <v>0.0</v>
      </c>
      <c r="AK221" s="3"/>
      <c r="AL221" s="166">
        <v>0.0</v>
      </c>
      <c r="AM221" s="3"/>
      <c r="AN221" s="166">
        <v>0.0</v>
      </c>
      <c r="AO221" s="3"/>
      <c r="AP221" s="123">
        <f t="shared" si="11"/>
        <v>6010.9</v>
      </c>
      <c r="AQ221" s="124">
        <f t="shared" si="10"/>
        <v>315</v>
      </c>
      <c r="AR221" s="124">
        <f t="shared" si="3"/>
        <v>0</v>
      </c>
      <c r="AS221" s="124">
        <f t="shared" si="4"/>
        <v>318</v>
      </c>
      <c r="AT221" s="258">
        <f t="shared" si="5"/>
        <v>18.90220126</v>
      </c>
    </row>
    <row r="222" ht="15.75" customHeight="1">
      <c r="A222" s="257" t="s">
        <v>24</v>
      </c>
      <c r="B222" s="118">
        <f t="shared" si="6"/>
        <v>45147</v>
      </c>
      <c r="C222" s="119">
        <v>8.0</v>
      </c>
      <c r="D222" s="119" t="s">
        <v>37</v>
      </c>
      <c r="E222" s="165" t="s">
        <v>44</v>
      </c>
      <c r="F222" s="166">
        <v>0.0</v>
      </c>
      <c r="G222" s="3"/>
      <c r="H222" s="166">
        <v>0.0</v>
      </c>
      <c r="I222" s="3"/>
      <c r="J222" s="166">
        <v>0.0</v>
      </c>
      <c r="K222" s="3"/>
      <c r="L222" s="166">
        <v>0.0</v>
      </c>
      <c r="M222" s="3"/>
      <c r="N222" s="121">
        <v>130.0</v>
      </c>
      <c r="O222" s="3"/>
      <c r="P222" s="121">
        <v>155.0</v>
      </c>
      <c r="Q222" s="3"/>
      <c r="R222" s="121">
        <v>0.0</v>
      </c>
      <c r="S222" s="3"/>
      <c r="T222" s="121">
        <v>0.0</v>
      </c>
      <c r="U222" s="3"/>
      <c r="V222" s="121">
        <v>0.0</v>
      </c>
      <c r="W222" s="3"/>
      <c r="X222" s="121">
        <v>0.0</v>
      </c>
      <c r="Y222" s="3"/>
      <c r="Z222" s="121">
        <v>4.0</v>
      </c>
      <c r="AA222" s="3"/>
      <c r="AB222" s="121">
        <v>0.0</v>
      </c>
      <c r="AC222" s="3"/>
      <c r="AD222" s="166">
        <v>0.0</v>
      </c>
      <c r="AE222" s="3"/>
      <c r="AF222" s="166">
        <v>0.0</v>
      </c>
      <c r="AG222" s="3"/>
      <c r="AH222" s="166">
        <v>0.0</v>
      </c>
      <c r="AI222" s="3"/>
      <c r="AJ222" s="166">
        <v>0.0</v>
      </c>
      <c r="AK222" s="3"/>
      <c r="AL222" s="166">
        <v>0.0</v>
      </c>
      <c r="AM222" s="3"/>
      <c r="AN222" s="166">
        <v>0.0</v>
      </c>
      <c r="AO222" s="3"/>
      <c r="AP222" s="123">
        <f t="shared" si="11"/>
        <v>5498.7</v>
      </c>
      <c r="AQ222" s="124">
        <f t="shared" si="10"/>
        <v>285</v>
      </c>
      <c r="AR222" s="124">
        <f t="shared" si="3"/>
        <v>0</v>
      </c>
      <c r="AS222" s="124">
        <f t="shared" si="4"/>
        <v>289</v>
      </c>
      <c r="AT222" s="258">
        <f t="shared" si="5"/>
        <v>19.0266436</v>
      </c>
    </row>
    <row r="223" ht="15.75" customHeight="1">
      <c r="A223" s="257" t="s">
        <v>25</v>
      </c>
      <c r="B223" s="118">
        <f t="shared" si="6"/>
        <v>45148</v>
      </c>
      <c r="C223" s="119">
        <v>8.0</v>
      </c>
      <c r="D223" s="119" t="s">
        <v>37</v>
      </c>
      <c r="E223" s="165" t="s">
        <v>44</v>
      </c>
      <c r="F223" s="166">
        <v>0.0</v>
      </c>
      <c r="G223" s="3"/>
      <c r="H223" s="166">
        <v>0.0</v>
      </c>
      <c r="I223" s="3"/>
      <c r="J223" s="166">
        <v>0.0</v>
      </c>
      <c r="K223" s="3"/>
      <c r="L223" s="166">
        <v>0.0</v>
      </c>
      <c r="M223" s="3"/>
      <c r="N223" s="121">
        <v>130.0</v>
      </c>
      <c r="O223" s="3"/>
      <c r="P223" s="121">
        <v>155.0</v>
      </c>
      <c r="Q223" s="3"/>
      <c r="R223" s="121">
        <v>30.0</v>
      </c>
      <c r="S223" s="3"/>
      <c r="T223" s="121">
        <v>0.0</v>
      </c>
      <c r="U223" s="3"/>
      <c r="V223" s="121">
        <v>0.0</v>
      </c>
      <c r="W223" s="3"/>
      <c r="X223" s="121">
        <v>30.0</v>
      </c>
      <c r="Y223" s="3"/>
      <c r="Z223" s="121">
        <v>0.0</v>
      </c>
      <c r="AA223" s="3"/>
      <c r="AB223" s="121">
        <v>3.0</v>
      </c>
      <c r="AC223" s="3"/>
      <c r="AD223" s="166">
        <v>0.0</v>
      </c>
      <c r="AE223" s="3"/>
      <c r="AF223" s="166">
        <v>0.0</v>
      </c>
      <c r="AG223" s="3"/>
      <c r="AH223" s="166">
        <v>0.0</v>
      </c>
      <c r="AI223" s="3"/>
      <c r="AJ223" s="166">
        <v>0.0</v>
      </c>
      <c r="AK223" s="3"/>
      <c r="AL223" s="166">
        <v>0.0</v>
      </c>
      <c r="AM223" s="3"/>
      <c r="AN223" s="166">
        <v>0.0</v>
      </c>
      <c r="AO223" s="3"/>
      <c r="AP223" s="123">
        <f t="shared" si="11"/>
        <v>6738.1</v>
      </c>
      <c r="AQ223" s="124">
        <f t="shared" si="10"/>
        <v>345</v>
      </c>
      <c r="AR223" s="124">
        <f t="shared" si="3"/>
        <v>0</v>
      </c>
      <c r="AS223" s="124">
        <f t="shared" si="4"/>
        <v>348</v>
      </c>
      <c r="AT223" s="258">
        <f t="shared" si="5"/>
        <v>19.36235632</v>
      </c>
    </row>
    <row r="224" ht="15.75" customHeight="1">
      <c r="A224" s="257" t="s">
        <v>26</v>
      </c>
      <c r="B224" s="118">
        <f t="shared" si="6"/>
        <v>45149</v>
      </c>
      <c r="C224" s="119">
        <v>8.0</v>
      </c>
      <c r="D224" s="119" t="s">
        <v>37</v>
      </c>
      <c r="E224" s="165" t="s">
        <v>44</v>
      </c>
      <c r="F224" s="166">
        <v>0.0</v>
      </c>
      <c r="G224" s="3"/>
      <c r="H224" s="166">
        <v>0.0</v>
      </c>
      <c r="I224" s="3"/>
      <c r="J224" s="166">
        <v>0.0</v>
      </c>
      <c r="K224" s="3"/>
      <c r="L224" s="166">
        <v>0.0</v>
      </c>
      <c r="M224" s="3"/>
      <c r="N224" s="121">
        <v>130.0</v>
      </c>
      <c r="O224" s="3"/>
      <c r="P224" s="121">
        <v>155.0</v>
      </c>
      <c r="Q224" s="3"/>
      <c r="R224" s="121">
        <v>30.0</v>
      </c>
      <c r="S224" s="3"/>
      <c r="T224" s="121">
        <v>0.0</v>
      </c>
      <c r="U224" s="3"/>
      <c r="V224" s="121">
        <v>0.0</v>
      </c>
      <c r="W224" s="3"/>
      <c r="X224" s="121">
        <v>30.0</v>
      </c>
      <c r="Y224" s="3"/>
      <c r="Z224" s="121">
        <v>3.0</v>
      </c>
      <c r="AA224" s="3"/>
      <c r="AB224" s="121">
        <v>0.0</v>
      </c>
      <c r="AC224" s="3"/>
      <c r="AD224" s="166">
        <v>0.0</v>
      </c>
      <c r="AE224" s="3"/>
      <c r="AF224" s="166">
        <v>0.0</v>
      </c>
      <c r="AG224" s="3"/>
      <c r="AH224" s="166">
        <v>0.0</v>
      </c>
      <c r="AI224" s="3"/>
      <c r="AJ224" s="166">
        <v>0.0</v>
      </c>
      <c r="AK224" s="3"/>
      <c r="AL224" s="166">
        <v>0.0</v>
      </c>
      <c r="AM224" s="3"/>
      <c r="AN224" s="166">
        <v>0.0</v>
      </c>
      <c r="AO224" s="3"/>
      <c r="AP224" s="123">
        <f t="shared" si="11"/>
        <v>6603.1</v>
      </c>
      <c r="AQ224" s="124">
        <f t="shared" si="10"/>
        <v>345</v>
      </c>
      <c r="AR224" s="124">
        <f t="shared" si="3"/>
        <v>0</v>
      </c>
      <c r="AS224" s="124">
        <f t="shared" si="4"/>
        <v>348</v>
      </c>
      <c r="AT224" s="258">
        <f t="shared" si="5"/>
        <v>18.97442529</v>
      </c>
    </row>
    <row r="225" ht="15.75" customHeight="1">
      <c r="A225" s="257" t="s">
        <v>27</v>
      </c>
      <c r="B225" s="118">
        <f t="shared" si="6"/>
        <v>45150</v>
      </c>
      <c r="C225" s="119">
        <v>8.0</v>
      </c>
      <c r="D225" s="119" t="s">
        <v>37</v>
      </c>
      <c r="E225" s="165" t="s">
        <v>44</v>
      </c>
      <c r="F225" s="166">
        <v>0.0</v>
      </c>
      <c r="G225" s="3"/>
      <c r="H225" s="166">
        <v>0.0</v>
      </c>
      <c r="I225" s="3"/>
      <c r="J225" s="166">
        <v>0.0</v>
      </c>
      <c r="K225" s="3"/>
      <c r="L225" s="166">
        <v>0.0</v>
      </c>
      <c r="M225" s="3"/>
      <c r="N225" s="121">
        <v>130.0</v>
      </c>
      <c r="O225" s="3"/>
      <c r="P225" s="121">
        <v>155.0</v>
      </c>
      <c r="Q225" s="3"/>
      <c r="R225" s="121">
        <v>0.0</v>
      </c>
      <c r="S225" s="3"/>
      <c r="T225" s="121">
        <v>0.0</v>
      </c>
      <c r="U225" s="3"/>
      <c r="V225" s="121">
        <v>0.0</v>
      </c>
      <c r="W225" s="3"/>
      <c r="X225" s="121">
        <v>0.0</v>
      </c>
      <c r="Y225" s="3"/>
      <c r="Z225" s="121">
        <v>0.0</v>
      </c>
      <c r="AA225" s="3"/>
      <c r="AB225" s="121">
        <v>4.0</v>
      </c>
      <c r="AC225" s="3"/>
      <c r="AD225" s="166">
        <v>0.0</v>
      </c>
      <c r="AE225" s="3"/>
      <c r="AF225" s="166">
        <v>0.0</v>
      </c>
      <c r="AG225" s="3"/>
      <c r="AH225" s="166">
        <v>0.0</v>
      </c>
      <c r="AI225" s="3"/>
      <c r="AJ225" s="166">
        <v>0.0</v>
      </c>
      <c r="AK225" s="3"/>
      <c r="AL225" s="166">
        <v>0.0</v>
      </c>
      <c r="AM225" s="3"/>
      <c r="AN225" s="166">
        <v>0.0</v>
      </c>
      <c r="AO225" s="3"/>
      <c r="AP225" s="123">
        <f t="shared" si="11"/>
        <v>5678.7</v>
      </c>
      <c r="AQ225" s="124">
        <f t="shared" si="10"/>
        <v>285</v>
      </c>
      <c r="AR225" s="124">
        <f t="shared" si="3"/>
        <v>0</v>
      </c>
      <c r="AS225" s="124">
        <f t="shared" si="4"/>
        <v>289</v>
      </c>
      <c r="AT225" s="258">
        <f t="shared" si="5"/>
        <v>19.64948097</v>
      </c>
    </row>
    <row r="226" ht="15.75" customHeight="1">
      <c r="A226" s="302" t="s">
        <v>28</v>
      </c>
      <c r="B226" s="303">
        <f t="shared" si="6"/>
        <v>45151</v>
      </c>
      <c r="C226" s="304">
        <v>8.0</v>
      </c>
      <c r="D226" s="304" t="s">
        <v>37</v>
      </c>
      <c r="E226" s="305" t="s">
        <v>43</v>
      </c>
      <c r="F226" s="347">
        <v>0.0</v>
      </c>
      <c r="G226" s="207"/>
      <c r="H226" s="347">
        <v>0.0</v>
      </c>
      <c r="I226" s="207"/>
      <c r="J226" s="347">
        <v>0.0</v>
      </c>
      <c r="K226" s="207"/>
      <c r="L226" s="347">
        <v>0.0</v>
      </c>
      <c r="M226" s="207"/>
      <c r="N226" s="260">
        <v>0.0</v>
      </c>
      <c r="O226" s="207"/>
      <c r="P226" s="260">
        <v>0.0</v>
      </c>
      <c r="Q226" s="207"/>
      <c r="R226" s="260">
        <v>0.0</v>
      </c>
      <c r="S226" s="207"/>
      <c r="T226" s="260">
        <v>0.0</v>
      </c>
      <c r="U226" s="207"/>
      <c r="V226" s="260">
        <v>0.0</v>
      </c>
      <c r="W226" s="207"/>
      <c r="X226" s="260">
        <v>0.0</v>
      </c>
      <c r="Y226" s="207"/>
      <c r="Z226" s="260">
        <v>0.0</v>
      </c>
      <c r="AA226" s="207"/>
      <c r="AB226" s="260">
        <v>0.0</v>
      </c>
      <c r="AC226" s="207"/>
      <c r="AD226" s="347">
        <v>0.0</v>
      </c>
      <c r="AE226" s="207"/>
      <c r="AF226" s="347">
        <v>0.0</v>
      </c>
      <c r="AG226" s="207"/>
      <c r="AH226" s="347">
        <v>0.0</v>
      </c>
      <c r="AI226" s="207"/>
      <c r="AJ226" s="347">
        <v>0.0</v>
      </c>
      <c r="AK226" s="207"/>
      <c r="AL226" s="347">
        <v>0.0</v>
      </c>
      <c r="AM226" s="207"/>
      <c r="AN226" s="347">
        <v>0.0</v>
      </c>
      <c r="AO226" s="207"/>
      <c r="AP226" s="306">
        <f t="shared" si="11"/>
        <v>0</v>
      </c>
      <c r="AQ226" s="307">
        <f t="shared" si="10"/>
        <v>0</v>
      </c>
      <c r="AR226" s="307">
        <f t="shared" si="3"/>
        <v>0</v>
      </c>
      <c r="AS226" s="307">
        <f t="shared" si="4"/>
        <v>0</v>
      </c>
      <c r="AT226" s="308" t="str">
        <f t="shared" si="5"/>
        <v/>
      </c>
    </row>
    <row r="227" ht="15.75" customHeight="1">
      <c r="A227" s="289" t="s">
        <v>21</v>
      </c>
      <c r="B227" s="144">
        <f t="shared" si="6"/>
        <v>45152</v>
      </c>
      <c r="C227" s="145">
        <v>9.0</v>
      </c>
      <c r="D227" s="145" t="s">
        <v>22</v>
      </c>
      <c r="E227" s="348" t="s">
        <v>44</v>
      </c>
      <c r="F227" s="342">
        <v>0.0</v>
      </c>
      <c r="G227" s="190"/>
      <c r="H227" s="342">
        <v>0.0</v>
      </c>
      <c r="I227" s="190"/>
      <c r="J227" s="342">
        <v>0.0</v>
      </c>
      <c r="K227" s="190"/>
      <c r="L227" s="342">
        <v>0.0</v>
      </c>
      <c r="M227" s="190"/>
      <c r="N227" s="294">
        <v>130.0</v>
      </c>
      <c r="O227" s="190"/>
      <c r="P227" s="294">
        <v>155.0</v>
      </c>
      <c r="Q227" s="190"/>
      <c r="R227" s="294">
        <v>30.0</v>
      </c>
      <c r="S227" s="190"/>
      <c r="T227" s="342">
        <v>0.0</v>
      </c>
      <c r="U227" s="190"/>
      <c r="V227" s="342">
        <v>0.0</v>
      </c>
      <c r="W227" s="190"/>
      <c r="X227" s="349">
        <v>0.0</v>
      </c>
      <c r="Y227" s="58"/>
      <c r="Z227" s="349">
        <v>3.0</v>
      </c>
      <c r="AA227" s="58"/>
      <c r="AB227" s="349">
        <v>0.0</v>
      </c>
      <c r="AC227" s="58"/>
      <c r="AD227" s="342">
        <v>0.0</v>
      </c>
      <c r="AE227" s="190"/>
      <c r="AF227" s="342">
        <v>0.0</v>
      </c>
      <c r="AG227" s="190"/>
      <c r="AH227" s="342">
        <v>0.0</v>
      </c>
      <c r="AI227" s="190"/>
      <c r="AJ227" s="342">
        <v>0.0</v>
      </c>
      <c r="AK227" s="190"/>
      <c r="AL227" s="342">
        <v>0.0</v>
      </c>
      <c r="AM227" s="190"/>
      <c r="AN227" s="342">
        <v>0.0</v>
      </c>
      <c r="AO227" s="190"/>
      <c r="AP227" s="350">
        <f t="shared" si="11"/>
        <v>6010.9</v>
      </c>
      <c r="AQ227" s="351">
        <f t="shared" si="10"/>
        <v>315</v>
      </c>
      <c r="AR227" s="351">
        <f t="shared" si="3"/>
        <v>0</v>
      </c>
      <c r="AS227" s="351">
        <f t="shared" si="4"/>
        <v>318</v>
      </c>
      <c r="AT227" s="350">
        <f t="shared" si="5"/>
        <v>18.90220126</v>
      </c>
    </row>
    <row r="228" ht="15.75" customHeight="1">
      <c r="A228" s="289" t="s">
        <v>23</v>
      </c>
      <c r="B228" s="144">
        <f t="shared" si="6"/>
        <v>45153</v>
      </c>
      <c r="C228" s="145">
        <v>9.0</v>
      </c>
      <c r="D228" s="145" t="s">
        <v>22</v>
      </c>
      <c r="E228" s="146" t="s">
        <v>44</v>
      </c>
      <c r="F228" s="343">
        <v>0.0</v>
      </c>
      <c r="G228" s="3"/>
      <c r="H228" s="343">
        <v>0.0</v>
      </c>
      <c r="I228" s="3"/>
      <c r="J228" s="343">
        <v>0.0</v>
      </c>
      <c r="K228" s="3"/>
      <c r="L228" s="343">
        <v>0.0</v>
      </c>
      <c r="M228" s="3"/>
      <c r="N228" s="147">
        <v>130.0</v>
      </c>
      <c r="O228" s="3"/>
      <c r="P228" s="147">
        <v>95.0</v>
      </c>
      <c r="Q228" s="3"/>
      <c r="R228" s="147">
        <v>30.0</v>
      </c>
      <c r="S228" s="3"/>
      <c r="T228" s="343">
        <v>0.0</v>
      </c>
      <c r="U228" s="3"/>
      <c r="V228" s="343">
        <v>0.0</v>
      </c>
      <c r="W228" s="3"/>
      <c r="X228" s="147">
        <v>30.0</v>
      </c>
      <c r="Y228" s="3"/>
      <c r="Z228" s="147">
        <v>0.0</v>
      </c>
      <c r="AA228" s="3"/>
      <c r="AB228" s="147">
        <v>0.0</v>
      </c>
      <c r="AC228" s="3"/>
      <c r="AD228" s="343">
        <v>0.0</v>
      </c>
      <c r="AE228" s="3"/>
      <c r="AF228" s="343">
        <v>0.0</v>
      </c>
      <c r="AG228" s="3"/>
      <c r="AH228" s="343">
        <v>0.0</v>
      </c>
      <c r="AI228" s="3"/>
      <c r="AJ228" s="343">
        <v>0.0</v>
      </c>
      <c r="AK228" s="3"/>
      <c r="AL228" s="343">
        <v>0.0</v>
      </c>
      <c r="AM228" s="3"/>
      <c r="AN228" s="343">
        <v>0.0</v>
      </c>
      <c r="AO228" s="3"/>
      <c r="AP228" s="149">
        <f t="shared" si="11"/>
        <v>5178.7</v>
      </c>
      <c r="AQ228" s="150">
        <f t="shared" si="10"/>
        <v>285</v>
      </c>
      <c r="AR228" s="150">
        <f t="shared" si="3"/>
        <v>0</v>
      </c>
      <c r="AS228" s="150">
        <f t="shared" si="4"/>
        <v>285</v>
      </c>
      <c r="AT228" s="149">
        <f t="shared" si="5"/>
        <v>18.17087719</v>
      </c>
    </row>
    <row r="229" ht="15.75" customHeight="1">
      <c r="A229" s="289" t="s">
        <v>24</v>
      </c>
      <c r="B229" s="144">
        <f t="shared" si="6"/>
        <v>45154</v>
      </c>
      <c r="C229" s="145">
        <v>9.0</v>
      </c>
      <c r="D229" s="145" t="s">
        <v>22</v>
      </c>
      <c r="E229" s="146" t="s">
        <v>44</v>
      </c>
      <c r="F229" s="343">
        <v>0.0</v>
      </c>
      <c r="G229" s="3"/>
      <c r="H229" s="343">
        <v>0.0</v>
      </c>
      <c r="I229" s="3"/>
      <c r="J229" s="343">
        <v>0.0</v>
      </c>
      <c r="K229" s="3"/>
      <c r="L229" s="343">
        <v>0.0</v>
      </c>
      <c r="M229" s="3"/>
      <c r="N229" s="147">
        <v>130.0</v>
      </c>
      <c r="O229" s="3"/>
      <c r="P229" s="147">
        <v>155.0</v>
      </c>
      <c r="Q229" s="3"/>
      <c r="R229" s="147">
        <v>0.0</v>
      </c>
      <c r="S229" s="3"/>
      <c r="T229" s="343">
        <v>0.0</v>
      </c>
      <c r="U229" s="3"/>
      <c r="V229" s="343">
        <v>0.0</v>
      </c>
      <c r="W229" s="3"/>
      <c r="X229" s="147">
        <v>0.0</v>
      </c>
      <c r="Y229" s="3"/>
      <c r="Z229" s="147">
        <v>0.0</v>
      </c>
      <c r="AA229" s="3"/>
      <c r="AB229" s="147">
        <v>4.0</v>
      </c>
      <c r="AC229" s="3"/>
      <c r="AD229" s="343">
        <v>0.0</v>
      </c>
      <c r="AE229" s="3"/>
      <c r="AF229" s="343">
        <v>0.0</v>
      </c>
      <c r="AG229" s="3"/>
      <c r="AH229" s="343">
        <v>0.0</v>
      </c>
      <c r="AI229" s="3"/>
      <c r="AJ229" s="343">
        <v>0.0</v>
      </c>
      <c r="AK229" s="3"/>
      <c r="AL229" s="343">
        <v>0.0</v>
      </c>
      <c r="AM229" s="3"/>
      <c r="AN229" s="343">
        <v>0.0</v>
      </c>
      <c r="AO229" s="3"/>
      <c r="AP229" s="149">
        <f t="shared" si="11"/>
        <v>5678.7</v>
      </c>
      <c r="AQ229" s="150">
        <f t="shared" si="10"/>
        <v>285</v>
      </c>
      <c r="AR229" s="150">
        <f t="shared" si="3"/>
        <v>0</v>
      </c>
      <c r="AS229" s="150">
        <f t="shared" si="4"/>
        <v>289</v>
      </c>
      <c r="AT229" s="149">
        <f t="shared" si="5"/>
        <v>19.64948097</v>
      </c>
    </row>
    <row r="230" ht="15.75" customHeight="1">
      <c r="A230" s="289" t="s">
        <v>25</v>
      </c>
      <c r="B230" s="144">
        <f t="shared" si="6"/>
        <v>45155</v>
      </c>
      <c r="C230" s="145">
        <v>9.0</v>
      </c>
      <c r="D230" s="145" t="s">
        <v>22</v>
      </c>
      <c r="E230" s="146" t="s">
        <v>44</v>
      </c>
      <c r="F230" s="343">
        <v>0.0</v>
      </c>
      <c r="G230" s="3"/>
      <c r="H230" s="343">
        <v>0.0</v>
      </c>
      <c r="I230" s="3"/>
      <c r="J230" s="343">
        <v>0.0</v>
      </c>
      <c r="K230" s="3"/>
      <c r="L230" s="343">
        <v>0.0</v>
      </c>
      <c r="M230" s="3"/>
      <c r="N230" s="147">
        <v>130.0</v>
      </c>
      <c r="O230" s="3"/>
      <c r="P230" s="147">
        <v>155.0</v>
      </c>
      <c r="Q230" s="3"/>
      <c r="R230" s="147">
        <v>30.0</v>
      </c>
      <c r="S230" s="3"/>
      <c r="T230" s="343">
        <v>0.0</v>
      </c>
      <c r="U230" s="3"/>
      <c r="V230" s="343">
        <v>0.0</v>
      </c>
      <c r="W230" s="3"/>
      <c r="X230" s="147">
        <v>30.0</v>
      </c>
      <c r="Y230" s="3"/>
      <c r="Z230" s="147">
        <v>3.0</v>
      </c>
      <c r="AA230" s="3"/>
      <c r="AB230" s="147">
        <v>0.0</v>
      </c>
      <c r="AC230" s="3"/>
      <c r="AD230" s="343">
        <v>0.0</v>
      </c>
      <c r="AE230" s="3"/>
      <c r="AF230" s="343">
        <v>0.0</v>
      </c>
      <c r="AG230" s="3"/>
      <c r="AH230" s="343">
        <v>0.0</v>
      </c>
      <c r="AI230" s="3"/>
      <c r="AJ230" s="343">
        <v>0.0</v>
      </c>
      <c r="AK230" s="3"/>
      <c r="AL230" s="343">
        <v>0.0</v>
      </c>
      <c r="AM230" s="3"/>
      <c r="AN230" s="343">
        <v>0.0</v>
      </c>
      <c r="AO230" s="3"/>
      <c r="AP230" s="149">
        <f t="shared" si="11"/>
        <v>6603.1</v>
      </c>
      <c r="AQ230" s="150">
        <f t="shared" si="10"/>
        <v>345</v>
      </c>
      <c r="AR230" s="150">
        <f t="shared" si="3"/>
        <v>0</v>
      </c>
      <c r="AS230" s="150">
        <f t="shared" si="4"/>
        <v>348</v>
      </c>
      <c r="AT230" s="149">
        <f t="shared" si="5"/>
        <v>18.97442529</v>
      </c>
    </row>
    <row r="231" ht="15.75" customHeight="1">
      <c r="A231" s="289" t="s">
        <v>26</v>
      </c>
      <c r="B231" s="144">
        <f t="shared" si="6"/>
        <v>45156</v>
      </c>
      <c r="C231" s="145">
        <v>9.0</v>
      </c>
      <c r="D231" s="145" t="s">
        <v>22</v>
      </c>
      <c r="E231" s="146" t="s">
        <v>44</v>
      </c>
      <c r="F231" s="343">
        <v>0.0</v>
      </c>
      <c r="G231" s="3"/>
      <c r="H231" s="343">
        <v>0.0</v>
      </c>
      <c r="I231" s="3"/>
      <c r="J231" s="343">
        <v>0.0</v>
      </c>
      <c r="K231" s="3"/>
      <c r="L231" s="343">
        <v>0.0</v>
      </c>
      <c r="M231" s="3"/>
      <c r="N231" s="147">
        <v>130.0</v>
      </c>
      <c r="O231" s="3"/>
      <c r="P231" s="147">
        <v>155.0</v>
      </c>
      <c r="Q231" s="3"/>
      <c r="R231" s="147">
        <v>30.0</v>
      </c>
      <c r="S231" s="3"/>
      <c r="T231" s="343">
        <v>0.0</v>
      </c>
      <c r="U231" s="3"/>
      <c r="V231" s="343">
        <v>0.0</v>
      </c>
      <c r="W231" s="3"/>
      <c r="X231" s="147">
        <v>0.0</v>
      </c>
      <c r="Y231" s="3"/>
      <c r="Z231" s="147">
        <v>3.0</v>
      </c>
      <c r="AA231" s="3"/>
      <c r="AB231" s="147">
        <v>0.0</v>
      </c>
      <c r="AC231" s="3"/>
      <c r="AD231" s="343">
        <v>0.0</v>
      </c>
      <c r="AE231" s="3"/>
      <c r="AF231" s="343">
        <v>0.0</v>
      </c>
      <c r="AG231" s="3"/>
      <c r="AH231" s="343">
        <v>0.0</v>
      </c>
      <c r="AI231" s="3"/>
      <c r="AJ231" s="343">
        <v>0.0</v>
      </c>
      <c r="AK231" s="3"/>
      <c r="AL231" s="343">
        <v>0.0</v>
      </c>
      <c r="AM231" s="3"/>
      <c r="AN231" s="343">
        <v>0.0</v>
      </c>
      <c r="AO231" s="3"/>
      <c r="AP231" s="149">
        <f t="shared" si="11"/>
        <v>6010.9</v>
      </c>
      <c r="AQ231" s="150">
        <f t="shared" si="10"/>
        <v>315</v>
      </c>
      <c r="AR231" s="150">
        <f t="shared" si="3"/>
        <v>0</v>
      </c>
      <c r="AS231" s="150">
        <f t="shared" si="4"/>
        <v>318</v>
      </c>
      <c r="AT231" s="149">
        <f t="shared" si="5"/>
        <v>18.90220126</v>
      </c>
    </row>
    <row r="232" ht="15.75" customHeight="1">
      <c r="A232" s="289" t="s">
        <v>27</v>
      </c>
      <c r="B232" s="144">
        <f t="shared" si="6"/>
        <v>45157</v>
      </c>
      <c r="C232" s="145">
        <v>9.0</v>
      </c>
      <c r="D232" s="145" t="s">
        <v>22</v>
      </c>
      <c r="E232" s="146" t="s">
        <v>44</v>
      </c>
      <c r="F232" s="343">
        <v>0.0</v>
      </c>
      <c r="G232" s="3"/>
      <c r="H232" s="343">
        <v>0.0</v>
      </c>
      <c r="I232" s="3"/>
      <c r="J232" s="343">
        <v>0.0</v>
      </c>
      <c r="K232" s="3"/>
      <c r="L232" s="343">
        <v>0.0</v>
      </c>
      <c r="M232" s="3"/>
      <c r="N232" s="147">
        <v>130.0</v>
      </c>
      <c r="O232" s="3"/>
      <c r="P232" s="147">
        <v>155.0</v>
      </c>
      <c r="Q232" s="3"/>
      <c r="R232" s="147">
        <v>0.0</v>
      </c>
      <c r="S232" s="3"/>
      <c r="T232" s="343">
        <v>0.0</v>
      </c>
      <c r="U232" s="3"/>
      <c r="V232" s="343">
        <v>0.0</v>
      </c>
      <c r="W232" s="3"/>
      <c r="X232" s="147">
        <v>0.0</v>
      </c>
      <c r="Y232" s="3"/>
      <c r="Z232" s="147">
        <v>3.0</v>
      </c>
      <c r="AA232" s="3"/>
      <c r="AB232" s="147">
        <v>0.0</v>
      </c>
      <c r="AC232" s="3"/>
      <c r="AD232" s="343">
        <v>0.0</v>
      </c>
      <c r="AE232" s="3"/>
      <c r="AF232" s="343">
        <v>0.0</v>
      </c>
      <c r="AG232" s="3"/>
      <c r="AH232" s="343">
        <v>0.0</v>
      </c>
      <c r="AI232" s="3"/>
      <c r="AJ232" s="343">
        <v>0.0</v>
      </c>
      <c r="AK232" s="3"/>
      <c r="AL232" s="343">
        <v>0.0</v>
      </c>
      <c r="AM232" s="3"/>
      <c r="AN232" s="343">
        <v>0.0</v>
      </c>
      <c r="AO232" s="3"/>
      <c r="AP232" s="149">
        <f t="shared" si="11"/>
        <v>5418.7</v>
      </c>
      <c r="AQ232" s="150">
        <f t="shared" si="10"/>
        <v>285</v>
      </c>
      <c r="AR232" s="150">
        <f t="shared" si="3"/>
        <v>0</v>
      </c>
      <c r="AS232" s="150">
        <f t="shared" si="4"/>
        <v>288</v>
      </c>
      <c r="AT232" s="149">
        <f t="shared" si="5"/>
        <v>18.81493056</v>
      </c>
    </row>
    <row r="233" ht="15.75" customHeight="1">
      <c r="A233" s="352" t="s">
        <v>28</v>
      </c>
      <c r="B233" s="353">
        <f t="shared" si="6"/>
        <v>45158</v>
      </c>
      <c r="C233" s="157">
        <v>9.0</v>
      </c>
      <c r="D233" s="157" t="s">
        <v>22</v>
      </c>
      <c r="E233" s="281" t="s">
        <v>43</v>
      </c>
      <c r="F233" s="354">
        <v>0.0</v>
      </c>
      <c r="G233" s="73"/>
      <c r="H233" s="354">
        <v>0.0</v>
      </c>
      <c r="I233" s="73"/>
      <c r="J233" s="354">
        <v>0.0</v>
      </c>
      <c r="K233" s="73"/>
      <c r="L233" s="354">
        <v>0.0</v>
      </c>
      <c r="M233" s="73"/>
      <c r="N233" s="159">
        <v>0.0</v>
      </c>
      <c r="O233" s="73"/>
      <c r="P233" s="159">
        <v>0.0</v>
      </c>
      <c r="Q233" s="73"/>
      <c r="R233" s="159">
        <v>0.0</v>
      </c>
      <c r="S233" s="73"/>
      <c r="T233" s="354">
        <v>0.0</v>
      </c>
      <c r="U233" s="73"/>
      <c r="V233" s="354">
        <v>0.0</v>
      </c>
      <c r="W233" s="73"/>
      <c r="X233" s="159">
        <v>0.0</v>
      </c>
      <c r="Y233" s="73"/>
      <c r="Z233" s="159">
        <v>0.0</v>
      </c>
      <c r="AA233" s="73"/>
      <c r="AB233" s="159">
        <v>0.0</v>
      </c>
      <c r="AC233" s="73"/>
      <c r="AD233" s="354">
        <v>0.0</v>
      </c>
      <c r="AE233" s="73"/>
      <c r="AF233" s="354">
        <v>0.0</v>
      </c>
      <c r="AG233" s="73"/>
      <c r="AH233" s="354">
        <v>0.0</v>
      </c>
      <c r="AI233" s="73"/>
      <c r="AJ233" s="354">
        <v>0.0</v>
      </c>
      <c r="AK233" s="73"/>
      <c r="AL233" s="354">
        <v>0.0</v>
      </c>
      <c r="AM233" s="73"/>
      <c r="AN233" s="354">
        <v>0.0</v>
      </c>
      <c r="AO233" s="73"/>
      <c r="AP233" s="161">
        <f t="shared" si="11"/>
        <v>0</v>
      </c>
      <c r="AQ233" s="157">
        <f t="shared" si="10"/>
        <v>0</v>
      </c>
      <c r="AR233" s="157">
        <f t="shared" si="3"/>
        <v>0</v>
      </c>
      <c r="AS233" s="157">
        <f t="shared" si="4"/>
        <v>0</v>
      </c>
      <c r="AT233" s="161" t="str">
        <f t="shared" si="5"/>
        <v/>
      </c>
    </row>
    <row r="234" ht="15.75" customHeight="1">
      <c r="A234" s="355" t="s">
        <v>21</v>
      </c>
      <c r="B234" s="356">
        <f t="shared" si="6"/>
        <v>45159</v>
      </c>
      <c r="C234" s="255">
        <v>9.0</v>
      </c>
      <c r="D234" s="255" t="s">
        <v>34</v>
      </c>
      <c r="E234" s="337" t="s">
        <v>44</v>
      </c>
      <c r="F234" s="338">
        <v>0.0</v>
      </c>
      <c r="G234" s="190"/>
      <c r="H234" s="338">
        <v>0.0</v>
      </c>
      <c r="I234" s="190"/>
      <c r="J234" s="338">
        <v>0.0</v>
      </c>
      <c r="K234" s="190"/>
      <c r="L234" s="338">
        <v>0.0</v>
      </c>
      <c r="M234" s="190"/>
      <c r="N234" s="253">
        <v>130.0</v>
      </c>
      <c r="O234" s="190"/>
      <c r="P234" s="253">
        <v>70.0</v>
      </c>
      <c r="Q234" s="190"/>
      <c r="R234" s="253">
        <v>30.0</v>
      </c>
      <c r="S234" s="190"/>
      <c r="T234" s="338">
        <v>0.0</v>
      </c>
      <c r="U234" s="190"/>
      <c r="V234" s="338">
        <v>0.0</v>
      </c>
      <c r="W234" s="190"/>
      <c r="X234" s="338">
        <v>0.0</v>
      </c>
      <c r="Y234" s="190"/>
      <c r="Z234" s="253">
        <v>2.0</v>
      </c>
      <c r="AA234" s="190"/>
      <c r="AB234" s="338">
        <v>0.0</v>
      </c>
      <c r="AC234" s="190"/>
      <c r="AD234" s="338">
        <v>0.0</v>
      </c>
      <c r="AE234" s="190"/>
      <c r="AF234" s="338">
        <v>0.0</v>
      </c>
      <c r="AG234" s="190"/>
      <c r="AH234" s="338">
        <v>0.0</v>
      </c>
      <c r="AI234" s="190"/>
      <c r="AJ234" s="338">
        <v>0.0</v>
      </c>
      <c r="AK234" s="190"/>
      <c r="AL234" s="338">
        <v>0.0</v>
      </c>
      <c r="AM234" s="190"/>
      <c r="AN234" s="338">
        <v>0.0</v>
      </c>
      <c r="AO234" s="190"/>
      <c r="AP234" s="254">
        <f t="shared" si="11"/>
        <v>4253</v>
      </c>
      <c r="AQ234" s="255">
        <f t="shared" si="10"/>
        <v>230</v>
      </c>
      <c r="AR234" s="255">
        <f t="shared" si="3"/>
        <v>0</v>
      </c>
      <c r="AS234" s="255">
        <f t="shared" si="4"/>
        <v>232</v>
      </c>
      <c r="AT234" s="256">
        <f t="shared" si="5"/>
        <v>18.33189655</v>
      </c>
    </row>
    <row r="235" ht="15.75" customHeight="1">
      <c r="A235" s="357" t="s">
        <v>23</v>
      </c>
      <c r="B235" s="358">
        <f t="shared" si="6"/>
        <v>45160</v>
      </c>
      <c r="C235" s="124">
        <v>9.0</v>
      </c>
      <c r="D235" s="124" t="s">
        <v>34</v>
      </c>
      <c r="E235" s="165" t="s">
        <v>44</v>
      </c>
      <c r="F235" s="166">
        <v>0.0</v>
      </c>
      <c r="G235" s="3"/>
      <c r="H235" s="166">
        <v>0.0</v>
      </c>
      <c r="I235" s="3"/>
      <c r="J235" s="166">
        <v>0.0</v>
      </c>
      <c r="K235" s="3"/>
      <c r="L235" s="166">
        <v>0.0</v>
      </c>
      <c r="M235" s="3"/>
      <c r="N235" s="121">
        <v>130.0</v>
      </c>
      <c r="O235" s="3"/>
      <c r="P235" s="121">
        <v>155.0</v>
      </c>
      <c r="Q235" s="3"/>
      <c r="R235" s="121">
        <v>30.0</v>
      </c>
      <c r="S235" s="3"/>
      <c r="T235" s="166">
        <v>0.0</v>
      </c>
      <c r="U235" s="3"/>
      <c r="V235" s="166">
        <v>0.0</v>
      </c>
      <c r="W235" s="3"/>
      <c r="X235" s="166">
        <v>0.0</v>
      </c>
      <c r="Y235" s="3"/>
      <c r="Z235" s="121">
        <v>3.0</v>
      </c>
      <c r="AA235" s="3"/>
      <c r="AB235" s="166">
        <v>0.0</v>
      </c>
      <c r="AC235" s="3"/>
      <c r="AD235" s="166">
        <v>0.0</v>
      </c>
      <c r="AE235" s="3"/>
      <c r="AF235" s="166">
        <v>0.0</v>
      </c>
      <c r="AG235" s="3"/>
      <c r="AH235" s="166">
        <v>0.0</v>
      </c>
      <c r="AI235" s="3"/>
      <c r="AJ235" s="166">
        <v>0.0</v>
      </c>
      <c r="AK235" s="3"/>
      <c r="AL235" s="166">
        <v>0.0</v>
      </c>
      <c r="AM235" s="3"/>
      <c r="AN235" s="166">
        <v>0.0</v>
      </c>
      <c r="AO235" s="3"/>
      <c r="AP235" s="123">
        <f t="shared" si="11"/>
        <v>6010.9</v>
      </c>
      <c r="AQ235" s="124">
        <f t="shared" si="10"/>
        <v>315</v>
      </c>
      <c r="AR235" s="124">
        <f t="shared" si="3"/>
        <v>0</v>
      </c>
      <c r="AS235" s="124">
        <f t="shared" si="4"/>
        <v>318</v>
      </c>
      <c r="AT235" s="258">
        <f t="shared" si="5"/>
        <v>18.90220126</v>
      </c>
    </row>
    <row r="236" ht="15.75" customHeight="1">
      <c r="A236" s="357" t="s">
        <v>24</v>
      </c>
      <c r="B236" s="358">
        <f t="shared" si="6"/>
        <v>45161</v>
      </c>
      <c r="C236" s="124">
        <v>9.0</v>
      </c>
      <c r="D236" s="124" t="s">
        <v>34</v>
      </c>
      <c r="E236" s="120" t="s">
        <v>45</v>
      </c>
      <c r="F236" s="166">
        <v>0.0</v>
      </c>
      <c r="G236" s="3"/>
      <c r="H236" s="166">
        <v>0.0</v>
      </c>
      <c r="I236" s="3"/>
      <c r="J236" s="166">
        <v>0.0</v>
      </c>
      <c r="K236" s="3"/>
      <c r="L236" s="166">
        <v>0.0</v>
      </c>
      <c r="M236" s="3"/>
      <c r="N236" s="121">
        <v>30.0</v>
      </c>
      <c r="O236" s="3"/>
      <c r="P236" s="121">
        <v>30.0</v>
      </c>
      <c r="Q236" s="3"/>
      <c r="R236" s="121">
        <v>0.0</v>
      </c>
      <c r="S236" s="3"/>
      <c r="T236" s="166">
        <v>0.0</v>
      </c>
      <c r="U236" s="3"/>
      <c r="V236" s="166">
        <v>0.0</v>
      </c>
      <c r="W236" s="3"/>
      <c r="X236" s="166">
        <v>0.0</v>
      </c>
      <c r="Y236" s="3"/>
      <c r="Z236" s="166">
        <v>0.0</v>
      </c>
      <c r="AA236" s="3"/>
      <c r="AB236" s="121">
        <v>4.0</v>
      </c>
      <c r="AC236" s="3"/>
      <c r="AD236" s="166">
        <v>0.0</v>
      </c>
      <c r="AE236" s="3"/>
      <c r="AF236" s="166">
        <v>0.0</v>
      </c>
      <c r="AG236" s="3"/>
      <c r="AH236" s="166">
        <v>0.0</v>
      </c>
      <c r="AI236" s="3"/>
      <c r="AJ236" s="166">
        <v>0.0</v>
      </c>
      <c r="AK236" s="3"/>
      <c r="AL236" s="166">
        <v>0.0</v>
      </c>
      <c r="AM236" s="3"/>
      <c r="AN236" s="166">
        <v>0.0</v>
      </c>
      <c r="AO236" s="3"/>
      <c r="AP236" s="123">
        <f t="shared" si="11"/>
        <v>1581.2</v>
      </c>
      <c r="AQ236" s="124">
        <f t="shared" si="10"/>
        <v>60</v>
      </c>
      <c r="AR236" s="124">
        <f t="shared" si="3"/>
        <v>0</v>
      </c>
      <c r="AS236" s="124">
        <f t="shared" si="4"/>
        <v>64</v>
      </c>
      <c r="AT236" s="258">
        <f t="shared" si="5"/>
        <v>24.70625</v>
      </c>
    </row>
    <row r="237" ht="15.75" customHeight="1">
      <c r="A237" s="357" t="s">
        <v>25</v>
      </c>
      <c r="B237" s="358">
        <f t="shared" si="6"/>
        <v>45162</v>
      </c>
      <c r="C237" s="124">
        <v>9.0</v>
      </c>
      <c r="D237" s="124" t="s">
        <v>34</v>
      </c>
      <c r="E237" s="120" t="s">
        <v>45</v>
      </c>
      <c r="F237" s="166">
        <v>0.0</v>
      </c>
      <c r="G237" s="3"/>
      <c r="H237" s="166">
        <v>0.0</v>
      </c>
      <c r="I237" s="3"/>
      <c r="J237" s="166">
        <v>0.0</v>
      </c>
      <c r="K237" s="3"/>
      <c r="L237" s="166">
        <v>0.0</v>
      </c>
      <c r="M237" s="3"/>
      <c r="N237" s="121">
        <v>30.0</v>
      </c>
      <c r="O237" s="3"/>
      <c r="P237" s="121">
        <v>30.0</v>
      </c>
      <c r="Q237" s="3"/>
      <c r="R237" s="121">
        <v>0.0</v>
      </c>
      <c r="S237" s="3"/>
      <c r="T237" s="166">
        <v>0.0</v>
      </c>
      <c r="U237" s="3"/>
      <c r="V237" s="166">
        <v>0.0</v>
      </c>
      <c r="W237" s="3"/>
      <c r="X237" s="166">
        <v>0.0</v>
      </c>
      <c r="Y237" s="3"/>
      <c r="Z237" s="166">
        <v>0.0</v>
      </c>
      <c r="AA237" s="3"/>
      <c r="AB237" s="166">
        <v>0.0</v>
      </c>
      <c r="AC237" s="3"/>
      <c r="AD237" s="166">
        <v>0.0</v>
      </c>
      <c r="AE237" s="3"/>
      <c r="AF237" s="166">
        <v>0.0</v>
      </c>
      <c r="AG237" s="3"/>
      <c r="AH237" s="166">
        <v>0.0</v>
      </c>
      <c r="AI237" s="3"/>
      <c r="AJ237" s="166">
        <v>0.0</v>
      </c>
      <c r="AK237" s="3"/>
      <c r="AL237" s="166">
        <v>0.0</v>
      </c>
      <c r="AM237" s="3"/>
      <c r="AN237" s="166">
        <v>0.0</v>
      </c>
      <c r="AO237" s="3"/>
      <c r="AP237" s="123">
        <f t="shared" si="11"/>
        <v>1081.2</v>
      </c>
      <c r="AQ237" s="124">
        <f t="shared" si="10"/>
        <v>60</v>
      </c>
      <c r="AR237" s="124">
        <f t="shared" si="3"/>
        <v>0</v>
      </c>
      <c r="AS237" s="124">
        <f t="shared" si="4"/>
        <v>60</v>
      </c>
      <c r="AT237" s="258">
        <f t="shared" si="5"/>
        <v>18.02</v>
      </c>
    </row>
    <row r="238" ht="15.75" customHeight="1">
      <c r="A238" s="357" t="s">
        <v>26</v>
      </c>
      <c r="B238" s="358">
        <f t="shared" si="6"/>
        <v>45163</v>
      </c>
      <c r="C238" s="124">
        <v>9.0</v>
      </c>
      <c r="D238" s="124" t="s">
        <v>34</v>
      </c>
      <c r="E238" s="120" t="s">
        <v>45</v>
      </c>
      <c r="F238" s="166">
        <v>0.0</v>
      </c>
      <c r="G238" s="3"/>
      <c r="H238" s="166">
        <v>0.0</v>
      </c>
      <c r="I238" s="3"/>
      <c r="J238" s="166">
        <v>0.0</v>
      </c>
      <c r="K238" s="3"/>
      <c r="L238" s="166">
        <v>0.0</v>
      </c>
      <c r="M238" s="3"/>
      <c r="N238" s="121">
        <v>30.0</v>
      </c>
      <c r="O238" s="3"/>
      <c r="P238" s="121">
        <v>30.0</v>
      </c>
      <c r="Q238" s="3"/>
      <c r="R238" s="121">
        <v>0.0</v>
      </c>
      <c r="S238" s="3"/>
      <c r="T238" s="166">
        <v>0.0</v>
      </c>
      <c r="U238" s="3"/>
      <c r="V238" s="166">
        <v>0.0</v>
      </c>
      <c r="W238" s="3"/>
      <c r="X238" s="166">
        <v>0.0</v>
      </c>
      <c r="Y238" s="3"/>
      <c r="Z238" s="166">
        <v>0.0</v>
      </c>
      <c r="AA238" s="3"/>
      <c r="AB238" s="166">
        <v>0.0</v>
      </c>
      <c r="AC238" s="3"/>
      <c r="AD238" s="166">
        <v>0.0</v>
      </c>
      <c r="AE238" s="3"/>
      <c r="AF238" s="166">
        <v>0.0</v>
      </c>
      <c r="AG238" s="3"/>
      <c r="AH238" s="166">
        <v>0.0</v>
      </c>
      <c r="AI238" s="3"/>
      <c r="AJ238" s="166">
        <v>0.0</v>
      </c>
      <c r="AK238" s="3"/>
      <c r="AL238" s="166">
        <v>0.0</v>
      </c>
      <c r="AM238" s="3"/>
      <c r="AN238" s="166">
        <v>0.0</v>
      </c>
      <c r="AO238" s="3"/>
      <c r="AP238" s="123">
        <f t="shared" si="11"/>
        <v>1081.2</v>
      </c>
      <c r="AQ238" s="124">
        <f t="shared" si="10"/>
        <v>60</v>
      </c>
      <c r="AR238" s="124">
        <f t="shared" si="3"/>
        <v>0</v>
      </c>
      <c r="AS238" s="124">
        <f t="shared" si="4"/>
        <v>60</v>
      </c>
      <c r="AT238" s="258">
        <f t="shared" si="5"/>
        <v>18.02</v>
      </c>
    </row>
    <row r="239" ht="15.75" customHeight="1">
      <c r="A239" s="357" t="s">
        <v>27</v>
      </c>
      <c r="B239" s="358">
        <f t="shared" si="6"/>
        <v>45164</v>
      </c>
      <c r="C239" s="124">
        <v>9.0</v>
      </c>
      <c r="D239" s="124" t="s">
        <v>34</v>
      </c>
      <c r="E239" s="120" t="s">
        <v>43</v>
      </c>
      <c r="F239" s="166">
        <v>0.0</v>
      </c>
      <c r="G239" s="3"/>
      <c r="H239" s="166">
        <v>0.0</v>
      </c>
      <c r="I239" s="3"/>
      <c r="J239" s="166">
        <v>0.0</v>
      </c>
      <c r="K239" s="3"/>
      <c r="L239" s="166">
        <v>0.0</v>
      </c>
      <c r="M239" s="3"/>
      <c r="N239" s="121">
        <v>0.0</v>
      </c>
      <c r="O239" s="3"/>
      <c r="P239" s="121">
        <v>0.0</v>
      </c>
      <c r="Q239" s="3"/>
      <c r="R239" s="121">
        <v>0.0</v>
      </c>
      <c r="S239" s="3"/>
      <c r="T239" s="166">
        <v>0.0</v>
      </c>
      <c r="U239" s="3"/>
      <c r="V239" s="166">
        <v>0.0</v>
      </c>
      <c r="W239" s="3"/>
      <c r="X239" s="166">
        <v>0.0</v>
      </c>
      <c r="Y239" s="3"/>
      <c r="Z239" s="166">
        <v>0.0</v>
      </c>
      <c r="AA239" s="3"/>
      <c r="AB239" s="166">
        <v>0.0</v>
      </c>
      <c r="AC239" s="3"/>
      <c r="AD239" s="166">
        <v>0.0</v>
      </c>
      <c r="AE239" s="3"/>
      <c r="AF239" s="166">
        <v>0.0</v>
      </c>
      <c r="AG239" s="3"/>
      <c r="AH239" s="166">
        <v>0.0</v>
      </c>
      <c r="AI239" s="3"/>
      <c r="AJ239" s="166">
        <v>0.0</v>
      </c>
      <c r="AK239" s="3"/>
      <c r="AL239" s="166">
        <v>0.0</v>
      </c>
      <c r="AM239" s="3"/>
      <c r="AN239" s="166">
        <v>0.0</v>
      </c>
      <c r="AO239" s="3"/>
      <c r="AP239" s="123">
        <f t="shared" si="11"/>
        <v>0</v>
      </c>
      <c r="AQ239" s="124">
        <f t="shared" si="10"/>
        <v>0</v>
      </c>
      <c r="AR239" s="124">
        <f t="shared" si="3"/>
        <v>0</v>
      </c>
      <c r="AS239" s="124">
        <f t="shared" si="4"/>
        <v>0</v>
      </c>
      <c r="AT239" s="258" t="str">
        <f t="shared" si="5"/>
        <v/>
      </c>
    </row>
    <row r="240" ht="15.75" customHeight="1">
      <c r="A240" s="363" t="s">
        <v>28</v>
      </c>
      <c r="B240" s="364">
        <f t="shared" si="6"/>
        <v>45165</v>
      </c>
      <c r="C240" s="307">
        <v>9.0</v>
      </c>
      <c r="D240" s="307" t="s">
        <v>34</v>
      </c>
      <c r="E240" s="305" t="s">
        <v>43</v>
      </c>
      <c r="F240" s="347">
        <v>0.0</v>
      </c>
      <c r="G240" s="207"/>
      <c r="H240" s="347">
        <v>0.0</v>
      </c>
      <c r="I240" s="207"/>
      <c r="J240" s="347">
        <v>0.0</v>
      </c>
      <c r="K240" s="207"/>
      <c r="L240" s="347">
        <v>0.0</v>
      </c>
      <c r="M240" s="207"/>
      <c r="N240" s="260">
        <v>0.0</v>
      </c>
      <c r="O240" s="207"/>
      <c r="P240" s="260">
        <v>0.0</v>
      </c>
      <c r="Q240" s="207"/>
      <c r="R240" s="260">
        <v>0.0</v>
      </c>
      <c r="S240" s="207"/>
      <c r="T240" s="347">
        <v>0.0</v>
      </c>
      <c r="U240" s="207"/>
      <c r="V240" s="347">
        <v>0.0</v>
      </c>
      <c r="W240" s="207"/>
      <c r="X240" s="347">
        <v>0.0</v>
      </c>
      <c r="Y240" s="207"/>
      <c r="Z240" s="347">
        <v>0.0</v>
      </c>
      <c r="AA240" s="207"/>
      <c r="AB240" s="347">
        <v>0.0</v>
      </c>
      <c r="AC240" s="207"/>
      <c r="AD240" s="347">
        <v>0.0</v>
      </c>
      <c r="AE240" s="207"/>
      <c r="AF240" s="347">
        <v>0.0</v>
      </c>
      <c r="AG240" s="207"/>
      <c r="AH240" s="347">
        <v>0.0</v>
      </c>
      <c r="AI240" s="207"/>
      <c r="AJ240" s="347">
        <v>0.0</v>
      </c>
      <c r="AK240" s="207"/>
      <c r="AL240" s="347">
        <v>0.0</v>
      </c>
      <c r="AM240" s="207"/>
      <c r="AN240" s="347">
        <v>0.0</v>
      </c>
      <c r="AO240" s="207"/>
      <c r="AP240" s="306">
        <f t="shared" si="11"/>
        <v>0</v>
      </c>
      <c r="AQ240" s="307">
        <f t="shared" si="10"/>
        <v>0</v>
      </c>
      <c r="AR240" s="307">
        <f t="shared" si="3"/>
        <v>0</v>
      </c>
      <c r="AS240" s="307">
        <f t="shared" si="4"/>
        <v>0</v>
      </c>
      <c r="AT240" s="308" t="str">
        <f t="shared" si="5"/>
        <v/>
      </c>
    </row>
    <row r="241" ht="15.75" customHeight="1">
      <c r="A241" s="220" t="s">
        <v>21</v>
      </c>
      <c r="B241" s="221">
        <f t="shared" si="6"/>
        <v>45166</v>
      </c>
      <c r="C241" s="222">
        <v>9.0</v>
      </c>
      <c r="D241" s="222" t="s">
        <v>36</v>
      </c>
      <c r="E241" s="223" t="s">
        <v>45</v>
      </c>
      <c r="F241" s="365">
        <v>0.0</v>
      </c>
      <c r="G241" s="190"/>
      <c r="H241" s="365">
        <v>0.0</v>
      </c>
      <c r="I241" s="190"/>
      <c r="J241" s="365">
        <v>0.0</v>
      </c>
      <c r="K241" s="190"/>
      <c r="L241" s="365">
        <v>0.0</v>
      </c>
      <c r="M241" s="190"/>
      <c r="N241" s="224">
        <v>0.0</v>
      </c>
      <c r="O241" s="190"/>
      <c r="P241" s="224">
        <v>0.0</v>
      </c>
      <c r="Q241" s="190"/>
      <c r="R241" s="224">
        <v>0.0</v>
      </c>
      <c r="S241" s="190"/>
      <c r="T241" s="224">
        <v>0.0</v>
      </c>
      <c r="U241" s="190"/>
      <c r="V241" s="224">
        <v>0.0</v>
      </c>
      <c r="W241" s="190"/>
      <c r="X241" s="224">
        <v>0.0</v>
      </c>
      <c r="Y241" s="190"/>
      <c r="Z241" s="224">
        <v>0.0</v>
      </c>
      <c r="AA241" s="190"/>
      <c r="AB241" s="224">
        <v>0.0</v>
      </c>
      <c r="AC241" s="190"/>
      <c r="AD241" s="224">
        <v>0.0</v>
      </c>
      <c r="AE241" s="190"/>
      <c r="AF241" s="224">
        <v>0.0</v>
      </c>
      <c r="AG241" s="190"/>
      <c r="AH241" s="224">
        <v>0.0</v>
      </c>
      <c r="AI241" s="190"/>
      <c r="AJ241" s="224">
        <v>0.0</v>
      </c>
      <c r="AK241" s="190"/>
      <c r="AL241" s="224">
        <v>0.0</v>
      </c>
      <c r="AM241" s="190"/>
      <c r="AN241" s="224">
        <v>0.0</v>
      </c>
      <c r="AO241" s="190"/>
      <c r="AP241" s="225">
        <f t="shared" si="11"/>
        <v>0</v>
      </c>
      <c r="AQ241" s="226">
        <f t="shared" si="10"/>
        <v>0</v>
      </c>
      <c r="AR241" s="226">
        <f t="shared" si="3"/>
        <v>0</v>
      </c>
      <c r="AS241" s="226">
        <f t="shared" si="4"/>
        <v>0</v>
      </c>
      <c r="AT241" s="227" t="str">
        <f t="shared" si="5"/>
        <v/>
      </c>
    </row>
    <row r="242" ht="15.75" customHeight="1">
      <c r="A242" s="228" t="s">
        <v>23</v>
      </c>
      <c r="B242" s="229">
        <f t="shared" si="6"/>
        <v>45167</v>
      </c>
      <c r="C242" s="230">
        <v>9.0</v>
      </c>
      <c r="D242" s="230" t="s">
        <v>36</v>
      </c>
      <c r="E242" s="231" t="s">
        <v>45</v>
      </c>
      <c r="F242" s="366">
        <v>0.0</v>
      </c>
      <c r="G242" s="3"/>
      <c r="H242" s="366">
        <v>0.0</v>
      </c>
      <c r="I242" s="3"/>
      <c r="J242" s="366">
        <v>0.0</v>
      </c>
      <c r="K242" s="3"/>
      <c r="L242" s="366">
        <v>0.0</v>
      </c>
      <c r="M242" s="3"/>
      <c r="N242" s="232">
        <v>0.0</v>
      </c>
      <c r="O242" s="3"/>
      <c r="P242" s="232">
        <v>0.0</v>
      </c>
      <c r="Q242" s="3"/>
      <c r="R242" s="232">
        <v>0.0</v>
      </c>
      <c r="S242" s="3"/>
      <c r="T242" s="232">
        <v>0.0</v>
      </c>
      <c r="U242" s="3"/>
      <c r="V242" s="232">
        <v>0.0</v>
      </c>
      <c r="W242" s="3"/>
      <c r="X242" s="232">
        <v>0.0</v>
      </c>
      <c r="Y242" s="3"/>
      <c r="Z242" s="232">
        <v>0.0</v>
      </c>
      <c r="AA242" s="3"/>
      <c r="AB242" s="232">
        <v>0.0</v>
      </c>
      <c r="AC242" s="3"/>
      <c r="AD242" s="232">
        <v>0.0</v>
      </c>
      <c r="AE242" s="3"/>
      <c r="AF242" s="232">
        <v>0.0</v>
      </c>
      <c r="AG242" s="3"/>
      <c r="AH242" s="232">
        <v>0.0</v>
      </c>
      <c r="AI242" s="3"/>
      <c r="AJ242" s="232">
        <v>0.0</v>
      </c>
      <c r="AK242" s="3"/>
      <c r="AL242" s="232">
        <v>0.0</v>
      </c>
      <c r="AM242" s="3"/>
      <c r="AN242" s="232">
        <v>0.0</v>
      </c>
      <c r="AO242" s="3"/>
      <c r="AP242" s="233">
        <f t="shared" si="11"/>
        <v>0</v>
      </c>
      <c r="AQ242" s="234">
        <f t="shared" si="10"/>
        <v>0</v>
      </c>
      <c r="AR242" s="234">
        <f t="shared" si="3"/>
        <v>0</v>
      </c>
      <c r="AS242" s="234">
        <f t="shared" si="4"/>
        <v>0</v>
      </c>
      <c r="AT242" s="235" t="str">
        <f t="shared" si="5"/>
        <v/>
      </c>
    </row>
    <row r="243" ht="15.75" customHeight="1">
      <c r="A243" s="228" t="s">
        <v>24</v>
      </c>
      <c r="B243" s="229">
        <f t="shared" si="6"/>
        <v>45168</v>
      </c>
      <c r="C243" s="230">
        <v>9.0</v>
      </c>
      <c r="D243" s="230" t="s">
        <v>36</v>
      </c>
      <c r="E243" s="231" t="s">
        <v>45</v>
      </c>
      <c r="F243" s="366">
        <v>0.0</v>
      </c>
      <c r="G243" s="3"/>
      <c r="H243" s="366">
        <v>0.0</v>
      </c>
      <c r="I243" s="3"/>
      <c r="J243" s="366">
        <v>0.0</v>
      </c>
      <c r="K243" s="3"/>
      <c r="L243" s="366">
        <v>0.0</v>
      </c>
      <c r="M243" s="3"/>
      <c r="N243" s="232">
        <v>0.0</v>
      </c>
      <c r="O243" s="3"/>
      <c r="P243" s="232">
        <v>0.0</v>
      </c>
      <c r="Q243" s="3"/>
      <c r="R243" s="232">
        <v>0.0</v>
      </c>
      <c r="S243" s="3"/>
      <c r="T243" s="232">
        <v>0.0</v>
      </c>
      <c r="U243" s="3"/>
      <c r="V243" s="232">
        <v>0.0</v>
      </c>
      <c r="W243" s="3"/>
      <c r="X243" s="232">
        <v>0.0</v>
      </c>
      <c r="Y243" s="3"/>
      <c r="Z243" s="232">
        <v>0.0</v>
      </c>
      <c r="AA243" s="3"/>
      <c r="AB243" s="232">
        <v>0.0</v>
      </c>
      <c r="AC243" s="3"/>
      <c r="AD243" s="232">
        <v>0.0</v>
      </c>
      <c r="AE243" s="3"/>
      <c r="AF243" s="232">
        <v>0.0</v>
      </c>
      <c r="AG243" s="3"/>
      <c r="AH243" s="232">
        <v>0.0</v>
      </c>
      <c r="AI243" s="3"/>
      <c r="AJ243" s="232">
        <v>0.0</v>
      </c>
      <c r="AK243" s="3"/>
      <c r="AL243" s="232">
        <v>0.0</v>
      </c>
      <c r="AM243" s="3"/>
      <c r="AN243" s="232">
        <v>0.0</v>
      </c>
      <c r="AO243" s="3"/>
      <c r="AP243" s="233">
        <f t="shared" si="11"/>
        <v>0</v>
      </c>
      <c r="AQ243" s="234">
        <f t="shared" si="10"/>
        <v>0</v>
      </c>
      <c r="AR243" s="234">
        <f t="shared" si="3"/>
        <v>0</v>
      </c>
      <c r="AS243" s="234">
        <f t="shared" si="4"/>
        <v>0</v>
      </c>
      <c r="AT243" s="235" t="str">
        <f t="shared" si="5"/>
        <v/>
      </c>
    </row>
    <row r="244" ht="15.75" customHeight="1">
      <c r="A244" s="228" t="s">
        <v>25</v>
      </c>
      <c r="B244" s="229">
        <f t="shared" si="6"/>
        <v>45169</v>
      </c>
      <c r="C244" s="230">
        <v>9.0</v>
      </c>
      <c r="D244" s="230" t="s">
        <v>36</v>
      </c>
      <c r="E244" s="231" t="s">
        <v>45</v>
      </c>
      <c r="F244" s="366">
        <v>0.0</v>
      </c>
      <c r="G244" s="3"/>
      <c r="H244" s="366">
        <v>0.0</v>
      </c>
      <c r="I244" s="3"/>
      <c r="J244" s="366">
        <v>0.0</v>
      </c>
      <c r="K244" s="3"/>
      <c r="L244" s="366">
        <v>0.0</v>
      </c>
      <c r="M244" s="3"/>
      <c r="N244" s="232">
        <v>0.0</v>
      </c>
      <c r="O244" s="3"/>
      <c r="P244" s="232">
        <v>0.0</v>
      </c>
      <c r="Q244" s="3"/>
      <c r="R244" s="232">
        <v>0.0</v>
      </c>
      <c r="S244" s="3"/>
      <c r="T244" s="232">
        <v>0.0</v>
      </c>
      <c r="U244" s="3"/>
      <c r="V244" s="232">
        <v>0.0</v>
      </c>
      <c r="W244" s="3"/>
      <c r="X244" s="232">
        <v>0.0</v>
      </c>
      <c r="Y244" s="3"/>
      <c r="Z244" s="232">
        <v>0.0</v>
      </c>
      <c r="AA244" s="3"/>
      <c r="AB244" s="232">
        <v>0.0</v>
      </c>
      <c r="AC244" s="3"/>
      <c r="AD244" s="232">
        <v>0.0</v>
      </c>
      <c r="AE244" s="3"/>
      <c r="AF244" s="232">
        <v>0.0</v>
      </c>
      <c r="AG244" s="3"/>
      <c r="AH244" s="232">
        <v>0.0</v>
      </c>
      <c r="AI244" s="3"/>
      <c r="AJ244" s="232">
        <v>0.0</v>
      </c>
      <c r="AK244" s="3"/>
      <c r="AL244" s="232">
        <v>0.0</v>
      </c>
      <c r="AM244" s="3"/>
      <c r="AN244" s="232">
        <v>0.0</v>
      </c>
      <c r="AO244" s="3"/>
      <c r="AP244" s="233">
        <f t="shared" si="11"/>
        <v>0</v>
      </c>
      <c r="AQ244" s="234">
        <f t="shared" si="10"/>
        <v>0</v>
      </c>
      <c r="AR244" s="234">
        <f t="shared" si="3"/>
        <v>0</v>
      </c>
      <c r="AS244" s="234">
        <f t="shared" si="4"/>
        <v>0</v>
      </c>
      <c r="AT244" s="235" t="str">
        <f t="shared" si="5"/>
        <v/>
      </c>
    </row>
    <row r="245" ht="15.75" customHeight="1">
      <c r="A245" s="228" t="s">
        <v>26</v>
      </c>
      <c r="B245" s="229">
        <f t="shared" si="6"/>
        <v>45170</v>
      </c>
      <c r="C245" s="230">
        <v>9.0</v>
      </c>
      <c r="D245" s="230" t="s">
        <v>36</v>
      </c>
      <c r="E245" s="231" t="s">
        <v>45</v>
      </c>
      <c r="F245" s="366">
        <v>0.0</v>
      </c>
      <c r="G245" s="3"/>
      <c r="H245" s="366">
        <v>0.0</v>
      </c>
      <c r="I245" s="3"/>
      <c r="J245" s="366">
        <v>0.0</v>
      </c>
      <c r="K245" s="3"/>
      <c r="L245" s="366">
        <v>0.0</v>
      </c>
      <c r="M245" s="3"/>
      <c r="N245" s="232">
        <v>0.0</v>
      </c>
      <c r="O245" s="3"/>
      <c r="P245" s="232">
        <v>0.0</v>
      </c>
      <c r="Q245" s="3"/>
      <c r="R245" s="232">
        <v>0.0</v>
      </c>
      <c r="S245" s="3"/>
      <c r="T245" s="232">
        <v>0.0</v>
      </c>
      <c r="U245" s="3"/>
      <c r="V245" s="232">
        <v>0.0</v>
      </c>
      <c r="W245" s="3"/>
      <c r="X245" s="232">
        <v>0.0</v>
      </c>
      <c r="Y245" s="3"/>
      <c r="Z245" s="232">
        <v>0.0</v>
      </c>
      <c r="AA245" s="3"/>
      <c r="AB245" s="232">
        <v>0.0</v>
      </c>
      <c r="AC245" s="3"/>
      <c r="AD245" s="232">
        <v>0.0</v>
      </c>
      <c r="AE245" s="3"/>
      <c r="AF245" s="232">
        <v>0.0</v>
      </c>
      <c r="AG245" s="3"/>
      <c r="AH245" s="232">
        <v>0.0</v>
      </c>
      <c r="AI245" s="3"/>
      <c r="AJ245" s="232">
        <v>0.0</v>
      </c>
      <c r="AK245" s="3"/>
      <c r="AL245" s="232">
        <v>0.0</v>
      </c>
      <c r="AM245" s="3"/>
      <c r="AN245" s="232">
        <v>0.0</v>
      </c>
      <c r="AO245" s="3"/>
      <c r="AP245" s="233">
        <f t="shared" si="11"/>
        <v>0</v>
      </c>
      <c r="AQ245" s="234">
        <f t="shared" si="10"/>
        <v>0</v>
      </c>
      <c r="AR245" s="234">
        <f t="shared" si="3"/>
        <v>0</v>
      </c>
      <c r="AS245" s="234">
        <f t="shared" si="4"/>
        <v>0</v>
      </c>
      <c r="AT245" s="235" t="str">
        <f t="shared" si="5"/>
        <v/>
      </c>
    </row>
    <row r="246" ht="15.75" customHeight="1">
      <c r="A246" s="228" t="s">
        <v>27</v>
      </c>
      <c r="B246" s="229">
        <f t="shared" si="6"/>
        <v>45171</v>
      </c>
      <c r="C246" s="230">
        <v>9.0</v>
      </c>
      <c r="D246" s="230" t="s">
        <v>36</v>
      </c>
      <c r="E246" s="236" t="s">
        <v>58</v>
      </c>
      <c r="F246" s="366">
        <v>0.0</v>
      </c>
      <c r="G246" s="3"/>
      <c r="H246" s="366">
        <v>0.0</v>
      </c>
      <c r="I246" s="3"/>
      <c r="J246" s="366">
        <v>0.0</v>
      </c>
      <c r="K246" s="3"/>
      <c r="L246" s="366">
        <v>0.0</v>
      </c>
      <c r="M246" s="3"/>
      <c r="N246" s="232">
        <v>0.0</v>
      </c>
      <c r="O246" s="3"/>
      <c r="P246" s="232">
        <v>0.0</v>
      </c>
      <c r="Q246" s="3"/>
      <c r="R246" s="232">
        <v>0.0</v>
      </c>
      <c r="S246" s="3"/>
      <c r="T246" s="232">
        <v>0.0</v>
      </c>
      <c r="U246" s="3"/>
      <c r="V246" s="232">
        <v>0.0</v>
      </c>
      <c r="W246" s="3"/>
      <c r="X246" s="232">
        <v>0.0</v>
      </c>
      <c r="Y246" s="3"/>
      <c r="Z246" s="232">
        <v>0.0</v>
      </c>
      <c r="AA246" s="3"/>
      <c r="AB246" s="232">
        <v>0.0</v>
      </c>
      <c r="AC246" s="3"/>
      <c r="AD246" s="232">
        <v>0.0</v>
      </c>
      <c r="AE246" s="3"/>
      <c r="AF246" s="232">
        <v>0.0</v>
      </c>
      <c r="AG246" s="3"/>
      <c r="AH246" s="232">
        <v>0.0</v>
      </c>
      <c r="AI246" s="3"/>
      <c r="AJ246" s="232">
        <v>0.0</v>
      </c>
      <c r="AK246" s="3"/>
      <c r="AL246" s="232">
        <v>0.0</v>
      </c>
      <c r="AM246" s="3"/>
      <c r="AN246" s="232">
        <v>0.0</v>
      </c>
      <c r="AO246" s="3"/>
      <c r="AP246" s="233">
        <f t="shared" si="11"/>
        <v>0</v>
      </c>
      <c r="AQ246" s="234">
        <f t="shared" si="10"/>
        <v>0</v>
      </c>
      <c r="AR246" s="234">
        <f t="shared" si="3"/>
        <v>0</v>
      </c>
      <c r="AS246" s="234">
        <f t="shared" si="4"/>
        <v>0</v>
      </c>
      <c r="AT246" s="235" t="str">
        <f t="shared" si="5"/>
        <v/>
      </c>
    </row>
    <row r="247" ht="15.75" customHeight="1">
      <c r="A247" s="228" t="s">
        <v>28</v>
      </c>
      <c r="B247" s="229">
        <f t="shared" si="6"/>
        <v>45172</v>
      </c>
      <c r="C247" s="230">
        <v>9.0</v>
      </c>
      <c r="D247" s="230" t="s">
        <v>36</v>
      </c>
      <c r="E247" s="244" t="s">
        <v>58</v>
      </c>
      <c r="F247" s="367">
        <v>0.0</v>
      </c>
      <c r="G247" s="73"/>
      <c r="H247" s="367">
        <v>0.0</v>
      </c>
      <c r="I247" s="73"/>
      <c r="J247" s="367">
        <v>0.0</v>
      </c>
      <c r="K247" s="73"/>
      <c r="L247" s="367">
        <v>0.0</v>
      </c>
      <c r="M247" s="73"/>
      <c r="N247" s="237">
        <v>0.0</v>
      </c>
      <c r="O247" s="73"/>
      <c r="P247" s="237">
        <v>0.0</v>
      </c>
      <c r="Q247" s="73"/>
      <c r="R247" s="237">
        <v>0.0</v>
      </c>
      <c r="S247" s="73"/>
      <c r="T247" s="237">
        <v>0.0</v>
      </c>
      <c r="U247" s="73"/>
      <c r="V247" s="237">
        <v>0.0</v>
      </c>
      <c r="W247" s="73"/>
      <c r="X247" s="237">
        <v>0.0</v>
      </c>
      <c r="Y247" s="73"/>
      <c r="Z247" s="237">
        <v>0.0</v>
      </c>
      <c r="AA247" s="73"/>
      <c r="AB247" s="237">
        <v>0.0</v>
      </c>
      <c r="AC247" s="73"/>
      <c r="AD247" s="237">
        <v>0.0</v>
      </c>
      <c r="AE247" s="73"/>
      <c r="AF247" s="237">
        <v>0.0</v>
      </c>
      <c r="AG247" s="73"/>
      <c r="AH247" s="237">
        <v>0.0</v>
      </c>
      <c r="AI247" s="73"/>
      <c r="AJ247" s="237">
        <v>0.0</v>
      </c>
      <c r="AK247" s="73"/>
      <c r="AL247" s="237">
        <v>0.0</v>
      </c>
      <c r="AM247" s="73"/>
      <c r="AN247" s="237">
        <v>0.0</v>
      </c>
      <c r="AO247" s="73"/>
      <c r="AP247" s="368">
        <v>0.0</v>
      </c>
      <c r="AQ247" s="239">
        <f t="shared" si="10"/>
        <v>0</v>
      </c>
      <c r="AR247" s="239">
        <f t="shared" si="3"/>
        <v>0</v>
      </c>
      <c r="AS247" s="239">
        <f t="shared" si="4"/>
        <v>0</v>
      </c>
      <c r="AT247" s="240" t="str">
        <f t="shared" si="5"/>
        <v/>
      </c>
    </row>
    <row r="248" ht="15.75" customHeight="1">
      <c r="A248" s="325" t="s">
        <v>21</v>
      </c>
      <c r="B248" s="326">
        <f t="shared" si="6"/>
        <v>45173</v>
      </c>
      <c r="C248" s="292">
        <v>9.0</v>
      </c>
      <c r="D248" s="292" t="s">
        <v>37</v>
      </c>
      <c r="E248" s="280" t="s">
        <v>58</v>
      </c>
      <c r="F248" s="342">
        <v>0.0</v>
      </c>
      <c r="G248" s="190"/>
      <c r="H248" s="342">
        <v>0.0</v>
      </c>
      <c r="I248" s="190"/>
      <c r="J248" s="342">
        <v>0.0</v>
      </c>
      <c r="K248" s="190"/>
      <c r="L248" s="342">
        <v>0.0</v>
      </c>
      <c r="M248" s="190"/>
      <c r="N248" s="294">
        <v>0.0</v>
      </c>
      <c r="O248" s="190"/>
      <c r="P248" s="294">
        <v>0.0</v>
      </c>
      <c r="Q248" s="190"/>
      <c r="R248" s="294">
        <v>0.0</v>
      </c>
      <c r="S248" s="190"/>
      <c r="T248" s="294">
        <v>0.0</v>
      </c>
      <c r="U248" s="190"/>
      <c r="V248" s="294">
        <v>0.0</v>
      </c>
      <c r="W248" s="190"/>
      <c r="X248" s="294">
        <v>0.0</v>
      </c>
      <c r="Y248" s="190"/>
      <c r="Z248" s="294">
        <v>0.0</v>
      </c>
      <c r="AA248" s="190"/>
      <c r="AB248" s="294">
        <v>0.0</v>
      </c>
      <c r="AC248" s="190"/>
      <c r="AD248" s="294">
        <v>0.0</v>
      </c>
      <c r="AE248" s="190"/>
      <c r="AF248" s="294">
        <v>0.0</v>
      </c>
      <c r="AG248" s="190"/>
      <c r="AH248" s="294">
        <v>0.0</v>
      </c>
      <c r="AI248" s="190"/>
      <c r="AJ248" s="294">
        <v>0.0</v>
      </c>
      <c r="AK248" s="190"/>
      <c r="AL248" s="294">
        <v>0.0</v>
      </c>
      <c r="AM248" s="190"/>
      <c r="AN248" s="294">
        <v>0.0</v>
      </c>
      <c r="AO248" s="190"/>
      <c r="AP248" s="295">
        <f t="shared" ref="AP248:AP359" si="12">(F248*G$2)+(H248*I$2)+(J248*K$2)+(N248*O$2)+(P248*Q$2)+(R248*S$2)+(T248*U$2)+(V248*W$2)+(AB248*AC$2)+(AD248*AE$2)+(AF248*AG$2)+(AH248*AI$2)+(AJ248*AK$2)+(AL248*AM$2)+(AN248*AO$2)+(L248*M$2)+(Z248*AA$2)+(X248*Y$2)</f>
        <v>0</v>
      </c>
      <c r="AQ248" s="296">
        <f t="shared" si="10"/>
        <v>0</v>
      </c>
      <c r="AR248" s="296">
        <f t="shared" si="3"/>
        <v>0</v>
      </c>
      <c r="AS248" s="296">
        <f t="shared" si="4"/>
        <v>0</v>
      </c>
      <c r="AT248" s="297" t="str">
        <f t="shared" si="5"/>
        <v/>
      </c>
    </row>
    <row r="249" ht="15.75" customHeight="1">
      <c r="A249" s="327" t="s">
        <v>23</v>
      </c>
      <c r="B249" s="144">
        <f t="shared" si="6"/>
        <v>45174</v>
      </c>
      <c r="C249" s="145">
        <v>9.0</v>
      </c>
      <c r="D249" s="145" t="s">
        <v>37</v>
      </c>
      <c r="E249" s="175" t="s">
        <v>45</v>
      </c>
      <c r="F249" s="343">
        <v>0.0</v>
      </c>
      <c r="G249" s="3"/>
      <c r="H249" s="343">
        <v>0.0</v>
      </c>
      <c r="I249" s="3"/>
      <c r="J249" s="343">
        <v>0.0</v>
      </c>
      <c r="K249" s="3"/>
      <c r="L249" s="343">
        <v>0.0</v>
      </c>
      <c r="M249" s="3"/>
      <c r="N249" s="147">
        <v>0.0</v>
      </c>
      <c r="O249" s="3"/>
      <c r="P249" s="147">
        <v>0.0</v>
      </c>
      <c r="Q249" s="3"/>
      <c r="R249" s="147">
        <v>0.0</v>
      </c>
      <c r="S249" s="3"/>
      <c r="T249" s="147">
        <v>0.0</v>
      </c>
      <c r="U249" s="3"/>
      <c r="V249" s="147">
        <v>0.0</v>
      </c>
      <c r="W249" s="3"/>
      <c r="X249" s="147">
        <v>0.0</v>
      </c>
      <c r="Y249" s="3"/>
      <c r="Z249" s="147">
        <v>0.0</v>
      </c>
      <c r="AA249" s="3"/>
      <c r="AB249" s="147">
        <v>0.0</v>
      </c>
      <c r="AC249" s="3"/>
      <c r="AD249" s="147">
        <v>0.0</v>
      </c>
      <c r="AE249" s="3"/>
      <c r="AF249" s="147">
        <v>0.0</v>
      </c>
      <c r="AG249" s="3"/>
      <c r="AH249" s="147">
        <v>0.0</v>
      </c>
      <c r="AI249" s="3"/>
      <c r="AJ249" s="147">
        <v>0.0</v>
      </c>
      <c r="AK249" s="3"/>
      <c r="AL249" s="147">
        <v>0.0</v>
      </c>
      <c r="AM249" s="3"/>
      <c r="AN249" s="147">
        <v>0.0</v>
      </c>
      <c r="AO249" s="3"/>
      <c r="AP249" s="149">
        <f t="shared" si="12"/>
        <v>0</v>
      </c>
      <c r="AQ249" s="150">
        <f t="shared" si="10"/>
        <v>0</v>
      </c>
      <c r="AR249" s="150">
        <f t="shared" si="3"/>
        <v>0</v>
      </c>
      <c r="AS249" s="150">
        <f t="shared" si="4"/>
        <v>0</v>
      </c>
      <c r="AT249" s="299" t="str">
        <f t="shared" si="5"/>
        <v/>
      </c>
    </row>
    <row r="250" ht="15.75" customHeight="1">
      <c r="A250" s="327" t="s">
        <v>24</v>
      </c>
      <c r="B250" s="144">
        <f t="shared" si="6"/>
        <v>45175</v>
      </c>
      <c r="C250" s="145">
        <v>9.0</v>
      </c>
      <c r="D250" s="145" t="s">
        <v>37</v>
      </c>
      <c r="E250" s="175" t="s">
        <v>59</v>
      </c>
      <c r="F250" s="343">
        <v>0.0</v>
      </c>
      <c r="G250" s="3"/>
      <c r="H250" s="343">
        <v>0.0</v>
      </c>
      <c r="I250" s="3"/>
      <c r="J250" s="343">
        <v>0.0</v>
      </c>
      <c r="K250" s="3"/>
      <c r="L250" s="343">
        <v>0.0</v>
      </c>
      <c r="M250" s="3"/>
      <c r="N250" s="147">
        <v>120.0</v>
      </c>
      <c r="O250" s="3"/>
      <c r="P250" s="147">
        <v>120.0</v>
      </c>
      <c r="Q250" s="3"/>
      <c r="R250" s="147">
        <v>0.0</v>
      </c>
      <c r="S250" s="3"/>
      <c r="T250" s="147">
        <v>0.0</v>
      </c>
      <c r="U250" s="3"/>
      <c r="V250" s="147">
        <v>0.0</v>
      </c>
      <c r="W250" s="3"/>
      <c r="X250" s="147">
        <v>0.0</v>
      </c>
      <c r="Y250" s="3"/>
      <c r="Z250" s="147">
        <v>3.0</v>
      </c>
      <c r="AA250" s="3"/>
      <c r="AB250" s="147">
        <v>0.0</v>
      </c>
      <c r="AC250" s="3"/>
      <c r="AD250" s="147">
        <v>0.0</v>
      </c>
      <c r="AE250" s="3"/>
      <c r="AF250" s="147">
        <v>0.0</v>
      </c>
      <c r="AG250" s="3"/>
      <c r="AH250" s="147">
        <v>0.0</v>
      </c>
      <c r="AI250" s="3"/>
      <c r="AJ250" s="147">
        <v>0.0</v>
      </c>
      <c r="AK250" s="3"/>
      <c r="AL250" s="147">
        <v>0.0</v>
      </c>
      <c r="AM250" s="3"/>
      <c r="AN250" s="147">
        <v>0.0</v>
      </c>
      <c r="AO250" s="3"/>
      <c r="AP250" s="149">
        <f t="shared" si="12"/>
        <v>4564.8</v>
      </c>
      <c r="AQ250" s="150">
        <f t="shared" si="10"/>
        <v>240</v>
      </c>
      <c r="AR250" s="150">
        <f t="shared" si="3"/>
        <v>0</v>
      </c>
      <c r="AS250" s="150">
        <f t="shared" si="4"/>
        <v>243</v>
      </c>
      <c r="AT250" s="299">
        <f t="shared" si="5"/>
        <v>18.78518519</v>
      </c>
    </row>
    <row r="251" ht="15.75" customHeight="1">
      <c r="A251" s="327" t="s">
        <v>25</v>
      </c>
      <c r="B251" s="144">
        <f t="shared" si="6"/>
        <v>45176</v>
      </c>
      <c r="C251" s="145">
        <v>9.0</v>
      </c>
      <c r="D251" s="145" t="s">
        <v>37</v>
      </c>
      <c r="E251" s="175" t="s">
        <v>59</v>
      </c>
      <c r="F251" s="343">
        <v>0.0</v>
      </c>
      <c r="G251" s="3"/>
      <c r="H251" s="343">
        <v>0.0</v>
      </c>
      <c r="I251" s="3"/>
      <c r="J251" s="343">
        <v>0.0</v>
      </c>
      <c r="K251" s="3"/>
      <c r="L251" s="343">
        <v>0.0</v>
      </c>
      <c r="M251" s="3"/>
      <c r="N251" s="147">
        <v>120.0</v>
      </c>
      <c r="O251" s="3"/>
      <c r="P251" s="147">
        <v>120.0</v>
      </c>
      <c r="Q251" s="3"/>
      <c r="R251" s="147">
        <v>0.0</v>
      </c>
      <c r="S251" s="3"/>
      <c r="T251" s="147">
        <v>0.0</v>
      </c>
      <c r="U251" s="3"/>
      <c r="V251" s="147">
        <v>0.0</v>
      </c>
      <c r="W251" s="3"/>
      <c r="X251" s="147">
        <v>0.0</v>
      </c>
      <c r="Y251" s="3"/>
      <c r="Z251" s="147">
        <v>3.0</v>
      </c>
      <c r="AA251" s="3"/>
      <c r="AB251" s="147">
        <v>0.0</v>
      </c>
      <c r="AC251" s="3"/>
      <c r="AD251" s="147">
        <v>0.0</v>
      </c>
      <c r="AE251" s="3"/>
      <c r="AF251" s="147">
        <v>0.0</v>
      </c>
      <c r="AG251" s="3"/>
      <c r="AH251" s="147">
        <v>0.0</v>
      </c>
      <c r="AI251" s="3"/>
      <c r="AJ251" s="147">
        <v>0.0</v>
      </c>
      <c r="AK251" s="3"/>
      <c r="AL251" s="147">
        <v>0.0</v>
      </c>
      <c r="AM251" s="3"/>
      <c r="AN251" s="147">
        <v>0.0</v>
      </c>
      <c r="AO251" s="3"/>
      <c r="AP251" s="149">
        <f t="shared" si="12"/>
        <v>4564.8</v>
      </c>
      <c r="AQ251" s="150">
        <f t="shared" si="10"/>
        <v>240</v>
      </c>
      <c r="AR251" s="150">
        <f t="shared" si="3"/>
        <v>0</v>
      </c>
      <c r="AS251" s="150">
        <f t="shared" si="4"/>
        <v>243</v>
      </c>
      <c r="AT251" s="299">
        <f t="shared" si="5"/>
        <v>18.78518519</v>
      </c>
    </row>
    <row r="252" ht="15.75" customHeight="1">
      <c r="A252" s="327" t="s">
        <v>26</v>
      </c>
      <c r="B252" s="144">
        <f t="shared" si="6"/>
        <v>45177</v>
      </c>
      <c r="C252" s="145">
        <v>9.0</v>
      </c>
      <c r="D252" s="145" t="s">
        <v>37</v>
      </c>
      <c r="E252" s="175" t="s">
        <v>59</v>
      </c>
      <c r="F252" s="343">
        <v>0.0</v>
      </c>
      <c r="G252" s="3"/>
      <c r="H252" s="343">
        <v>0.0</v>
      </c>
      <c r="I252" s="3"/>
      <c r="J252" s="343">
        <v>0.0</v>
      </c>
      <c r="K252" s="3"/>
      <c r="L252" s="343">
        <v>0.0</v>
      </c>
      <c r="M252" s="3"/>
      <c r="N252" s="147">
        <v>120.0</v>
      </c>
      <c r="O252" s="3"/>
      <c r="P252" s="147">
        <v>120.0</v>
      </c>
      <c r="Q252" s="3"/>
      <c r="R252" s="147">
        <v>0.0</v>
      </c>
      <c r="S252" s="3"/>
      <c r="T252" s="147">
        <v>0.0</v>
      </c>
      <c r="U252" s="3"/>
      <c r="V252" s="147">
        <v>0.0</v>
      </c>
      <c r="W252" s="3"/>
      <c r="X252" s="147">
        <v>0.0</v>
      </c>
      <c r="Y252" s="3"/>
      <c r="Z252" s="147">
        <v>0.0</v>
      </c>
      <c r="AA252" s="3"/>
      <c r="AB252" s="147">
        <v>3.0</v>
      </c>
      <c r="AC252" s="3"/>
      <c r="AD252" s="147">
        <v>0.0</v>
      </c>
      <c r="AE252" s="3"/>
      <c r="AF252" s="147">
        <v>0.0</v>
      </c>
      <c r="AG252" s="3"/>
      <c r="AH252" s="147">
        <v>0.0</v>
      </c>
      <c r="AI252" s="3"/>
      <c r="AJ252" s="147">
        <v>0.0</v>
      </c>
      <c r="AK252" s="3"/>
      <c r="AL252" s="147">
        <v>0.0</v>
      </c>
      <c r="AM252" s="3"/>
      <c r="AN252" s="147">
        <v>0.0</v>
      </c>
      <c r="AO252" s="3"/>
      <c r="AP252" s="149">
        <f t="shared" si="12"/>
        <v>4699.8</v>
      </c>
      <c r="AQ252" s="150">
        <f t="shared" si="10"/>
        <v>240</v>
      </c>
      <c r="AR252" s="150">
        <f t="shared" si="3"/>
        <v>0</v>
      </c>
      <c r="AS252" s="150">
        <f t="shared" si="4"/>
        <v>243</v>
      </c>
      <c r="AT252" s="299">
        <f t="shared" si="5"/>
        <v>19.34074074</v>
      </c>
    </row>
    <row r="253" ht="15.75" customHeight="1">
      <c r="A253" s="327" t="s">
        <v>27</v>
      </c>
      <c r="B253" s="144">
        <f t="shared" si="6"/>
        <v>45178</v>
      </c>
      <c r="C253" s="145">
        <v>9.0</v>
      </c>
      <c r="D253" s="145" t="s">
        <v>37</v>
      </c>
      <c r="E253" s="175" t="s">
        <v>59</v>
      </c>
      <c r="F253" s="343">
        <v>0.0</v>
      </c>
      <c r="G253" s="3"/>
      <c r="H253" s="343">
        <v>0.0</v>
      </c>
      <c r="I253" s="3"/>
      <c r="J253" s="343">
        <v>0.0</v>
      </c>
      <c r="K253" s="3"/>
      <c r="L253" s="343">
        <v>0.0</v>
      </c>
      <c r="M253" s="3"/>
      <c r="N253" s="147">
        <v>120.0</v>
      </c>
      <c r="O253" s="3"/>
      <c r="P253" s="147">
        <v>120.0</v>
      </c>
      <c r="Q253" s="3"/>
      <c r="R253" s="147">
        <v>0.0</v>
      </c>
      <c r="S253" s="3"/>
      <c r="T253" s="147">
        <v>0.0</v>
      </c>
      <c r="U253" s="3"/>
      <c r="V253" s="147">
        <v>0.0</v>
      </c>
      <c r="W253" s="3"/>
      <c r="X253" s="147">
        <v>0.0</v>
      </c>
      <c r="Y253" s="3"/>
      <c r="Z253" s="147">
        <v>3.0</v>
      </c>
      <c r="AA253" s="3"/>
      <c r="AB253" s="147">
        <v>0.0</v>
      </c>
      <c r="AC253" s="3"/>
      <c r="AD253" s="147">
        <v>0.0</v>
      </c>
      <c r="AE253" s="3"/>
      <c r="AF253" s="147">
        <v>0.0</v>
      </c>
      <c r="AG253" s="3"/>
      <c r="AH253" s="147">
        <v>0.0</v>
      </c>
      <c r="AI253" s="3"/>
      <c r="AJ253" s="147">
        <v>0.0</v>
      </c>
      <c r="AK253" s="3"/>
      <c r="AL253" s="147">
        <v>0.0</v>
      </c>
      <c r="AM253" s="3"/>
      <c r="AN253" s="147">
        <v>0.0</v>
      </c>
      <c r="AO253" s="3"/>
      <c r="AP253" s="149">
        <f t="shared" si="12"/>
        <v>4564.8</v>
      </c>
      <c r="AQ253" s="150">
        <f t="shared" si="10"/>
        <v>240</v>
      </c>
      <c r="AR253" s="150">
        <f t="shared" si="3"/>
        <v>0</v>
      </c>
      <c r="AS253" s="150">
        <f t="shared" si="4"/>
        <v>243</v>
      </c>
      <c r="AT253" s="299">
        <f t="shared" si="5"/>
        <v>18.78518519</v>
      </c>
    </row>
    <row r="254" ht="15.75" customHeight="1">
      <c r="A254" s="327" t="s">
        <v>28</v>
      </c>
      <c r="B254" s="144">
        <f t="shared" si="6"/>
        <v>45179</v>
      </c>
      <c r="C254" s="145">
        <v>9.0</v>
      </c>
      <c r="D254" s="145" t="s">
        <v>37</v>
      </c>
      <c r="E254" s="281" t="s">
        <v>59</v>
      </c>
      <c r="F254" s="354">
        <v>0.0</v>
      </c>
      <c r="G254" s="73"/>
      <c r="H254" s="354">
        <v>0.0</v>
      </c>
      <c r="I254" s="73"/>
      <c r="J254" s="354">
        <v>0.0</v>
      </c>
      <c r="K254" s="73"/>
      <c r="L254" s="354">
        <v>0.0</v>
      </c>
      <c r="M254" s="73"/>
      <c r="N254" s="159">
        <v>120.0</v>
      </c>
      <c r="O254" s="73"/>
      <c r="P254" s="159">
        <v>120.0</v>
      </c>
      <c r="Q254" s="73"/>
      <c r="R254" s="159">
        <v>0.0</v>
      </c>
      <c r="S254" s="73"/>
      <c r="T254" s="159">
        <v>0.0</v>
      </c>
      <c r="U254" s="73"/>
      <c r="V254" s="159">
        <v>0.0</v>
      </c>
      <c r="W254" s="73"/>
      <c r="X254" s="159">
        <v>0.0</v>
      </c>
      <c r="Y254" s="73"/>
      <c r="Z254" s="159">
        <v>3.0</v>
      </c>
      <c r="AA254" s="73"/>
      <c r="AB254" s="159">
        <v>0.0</v>
      </c>
      <c r="AC254" s="73"/>
      <c r="AD254" s="159">
        <v>0.0</v>
      </c>
      <c r="AE254" s="73"/>
      <c r="AF254" s="159">
        <v>0.0</v>
      </c>
      <c r="AG254" s="73"/>
      <c r="AH254" s="159">
        <v>0.0</v>
      </c>
      <c r="AI254" s="73"/>
      <c r="AJ254" s="159">
        <v>0.0</v>
      </c>
      <c r="AK254" s="73"/>
      <c r="AL254" s="159">
        <v>0.0</v>
      </c>
      <c r="AM254" s="73"/>
      <c r="AN254" s="159">
        <v>0.0</v>
      </c>
      <c r="AO254" s="73"/>
      <c r="AP254" s="161">
        <f t="shared" si="12"/>
        <v>4564.8</v>
      </c>
      <c r="AQ254" s="157">
        <f t="shared" si="10"/>
        <v>240</v>
      </c>
      <c r="AR254" s="157">
        <f t="shared" si="3"/>
        <v>0</v>
      </c>
      <c r="AS254" s="157">
        <f t="shared" si="4"/>
        <v>243</v>
      </c>
      <c r="AT254" s="300">
        <f t="shared" si="5"/>
        <v>18.78518519</v>
      </c>
    </row>
    <row r="255" ht="15.75" customHeight="1">
      <c r="A255" s="185" t="s">
        <v>21</v>
      </c>
      <c r="B255" s="186">
        <f t="shared" si="6"/>
        <v>45180</v>
      </c>
      <c r="C255" s="187">
        <v>10.0</v>
      </c>
      <c r="D255" s="187" t="s">
        <v>22</v>
      </c>
      <c r="E255" s="188" t="s">
        <v>59</v>
      </c>
      <c r="F255" s="369">
        <v>0.0</v>
      </c>
      <c r="G255" s="190"/>
      <c r="H255" s="369">
        <v>0.0</v>
      </c>
      <c r="I255" s="190"/>
      <c r="J255" s="369">
        <v>0.0</v>
      </c>
      <c r="K255" s="190"/>
      <c r="L255" s="369">
        <v>0.0</v>
      </c>
      <c r="M255" s="190"/>
      <c r="N255" s="189">
        <v>120.0</v>
      </c>
      <c r="O255" s="190"/>
      <c r="P255" s="189">
        <v>120.0</v>
      </c>
      <c r="Q255" s="190"/>
      <c r="R255" s="189">
        <v>0.0</v>
      </c>
      <c r="S255" s="190"/>
      <c r="T255" s="189">
        <v>0.0</v>
      </c>
      <c r="U255" s="190"/>
      <c r="V255" s="189">
        <v>0.0</v>
      </c>
      <c r="W255" s="190"/>
      <c r="X255" s="189">
        <v>0.0</v>
      </c>
      <c r="Y255" s="190"/>
      <c r="Z255" s="189">
        <v>3.0</v>
      </c>
      <c r="AA255" s="190"/>
      <c r="AB255" s="189">
        <v>0.0</v>
      </c>
      <c r="AC255" s="190"/>
      <c r="AD255" s="189">
        <v>0.0</v>
      </c>
      <c r="AE255" s="190"/>
      <c r="AF255" s="189">
        <v>0.0</v>
      </c>
      <c r="AG255" s="190"/>
      <c r="AH255" s="189">
        <v>0.0</v>
      </c>
      <c r="AI255" s="190"/>
      <c r="AJ255" s="189">
        <v>0.0</v>
      </c>
      <c r="AK255" s="190"/>
      <c r="AL255" s="189">
        <v>0.0</v>
      </c>
      <c r="AM255" s="190"/>
      <c r="AN255" s="189">
        <v>0.0</v>
      </c>
      <c r="AO255" s="190"/>
      <c r="AP255" s="191">
        <f t="shared" si="12"/>
        <v>4564.8</v>
      </c>
      <c r="AQ255" s="192">
        <f t="shared" si="10"/>
        <v>240</v>
      </c>
      <c r="AR255" s="192">
        <f t="shared" si="3"/>
        <v>0</v>
      </c>
      <c r="AS255" s="192">
        <f t="shared" si="4"/>
        <v>243</v>
      </c>
      <c r="AT255" s="193">
        <f t="shared" si="5"/>
        <v>18.78518519</v>
      </c>
    </row>
    <row r="256" ht="15.75" customHeight="1">
      <c r="A256" s="194" t="s">
        <v>23</v>
      </c>
      <c r="B256" s="195">
        <f t="shared" si="6"/>
        <v>45181</v>
      </c>
      <c r="C256" s="196">
        <v>10.0</v>
      </c>
      <c r="D256" s="196" t="s">
        <v>22</v>
      </c>
      <c r="E256" s="197" t="s">
        <v>59</v>
      </c>
      <c r="F256" s="370">
        <v>0.0</v>
      </c>
      <c r="G256" s="3"/>
      <c r="H256" s="370">
        <v>0.0</v>
      </c>
      <c r="I256" s="3"/>
      <c r="J256" s="370">
        <v>0.0</v>
      </c>
      <c r="K256" s="3"/>
      <c r="L256" s="370">
        <v>0.0</v>
      </c>
      <c r="M256" s="3"/>
      <c r="N256" s="198">
        <v>120.0</v>
      </c>
      <c r="O256" s="3"/>
      <c r="P256" s="198">
        <v>140.0</v>
      </c>
      <c r="Q256" s="3"/>
      <c r="R256" s="198">
        <v>0.0</v>
      </c>
      <c r="S256" s="3"/>
      <c r="T256" s="198">
        <v>0.0</v>
      </c>
      <c r="U256" s="3"/>
      <c r="V256" s="198">
        <v>0.0</v>
      </c>
      <c r="W256" s="3"/>
      <c r="X256" s="198">
        <v>0.0</v>
      </c>
      <c r="Y256" s="3"/>
      <c r="Z256" s="198">
        <v>3.0</v>
      </c>
      <c r="AA256" s="3"/>
      <c r="AB256" s="198">
        <v>0.0</v>
      </c>
      <c r="AC256" s="3"/>
      <c r="AD256" s="198">
        <v>0.0</v>
      </c>
      <c r="AE256" s="3"/>
      <c r="AF256" s="198">
        <v>0.0</v>
      </c>
      <c r="AG256" s="3"/>
      <c r="AH256" s="198">
        <v>0.0</v>
      </c>
      <c r="AI256" s="3"/>
      <c r="AJ256" s="198">
        <v>0.0</v>
      </c>
      <c r="AK256" s="3"/>
      <c r="AL256" s="198">
        <v>0.0</v>
      </c>
      <c r="AM256" s="3"/>
      <c r="AN256" s="198">
        <v>0.0</v>
      </c>
      <c r="AO256" s="3"/>
      <c r="AP256" s="199">
        <f t="shared" si="12"/>
        <v>4959.6</v>
      </c>
      <c r="AQ256" s="200">
        <f t="shared" si="10"/>
        <v>260</v>
      </c>
      <c r="AR256" s="200">
        <f t="shared" si="3"/>
        <v>0</v>
      </c>
      <c r="AS256" s="200">
        <f t="shared" si="4"/>
        <v>263</v>
      </c>
      <c r="AT256" s="201">
        <f t="shared" si="5"/>
        <v>18.85779468</v>
      </c>
    </row>
    <row r="257" ht="15.75" customHeight="1">
      <c r="A257" s="194" t="s">
        <v>24</v>
      </c>
      <c r="B257" s="195">
        <f t="shared" si="6"/>
        <v>45182</v>
      </c>
      <c r="C257" s="196">
        <v>10.0</v>
      </c>
      <c r="D257" s="196" t="s">
        <v>22</v>
      </c>
      <c r="E257" s="197" t="s">
        <v>59</v>
      </c>
      <c r="F257" s="370">
        <v>0.0</v>
      </c>
      <c r="G257" s="3"/>
      <c r="H257" s="370">
        <v>0.0</v>
      </c>
      <c r="I257" s="3"/>
      <c r="J257" s="370">
        <v>0.0</v>
      </c>
      <c r="K257" s="3"/>
      <c r="L257" s="370">
        <v>0.0</v>
      </c>
      <c r="M257" s="3"/>
      <c r="N257" s="198">
        <v>120.0</v>
      </c>
      <c r="O257" s="3"/>
      <c r="P257" s="198">
        <v>140.0</v>
      </c>
      <c r="Q257" s="3"/>
      <c r="R257" s="198">
        <v>0.0</v>
      </c>
      <c r="S257" s="3"/>
      <c r="T257" s="198">
        <v>0.0</v>
      </c>
      <c r="U257" s="3"/>
      <c r="V257" s="198">
        <v>0.0</v>
      </c>
      <c r="W257" s="3"/>
      <c r="X257" s="198">
        <v>0.0</v>
      </c>
      <c r="Y257" s="3"/>
      <c r="Z257" s="198">
        <v>0.0</v>
      </c>
      <c r="AA257" s="3"/>
      <c r="AB257" s="198">
        <v>3.0</v>
      </c>
      <c r="AC257" s="3"/>
      <c r="AD257" s="198">
        <v>0.0</v>
      </c>
      <c r="AE257" s="3"/>
      <c r="AF257" s="198">
        <v>0.0</v>
      </c>
      <c r="AG257" s="3"/>
      <c r="AH257" s="198">
        <v>0.0</v>
      </c>
      <c r="AI257" s="3"/>
      <c r="AJ257" s="198">
        <v>0.0</v>
      </c>
      <c r="AK257" s="3"/>
      <c r="AL257" s="198">
        <v>0.0</v>
      </c>
      <c r="AM257" s="3"/>
      <c r="AN257" s="198">
        <v>0.0</v>
      </c>
      <c r="AO257" s="3"/>
      <c r="AP257" s="199">
        <f t="shared" si="12"/>
        <v>5094.6</v>
      </c>
      <c r="AQ257" s="200">
        <f t="shared" si="10"/>
        <v>260</v>
      </c>
      <c r="AR257" s="200">
        <f t="shared" si="3"/>
        <v>0</v>
      </c>
      <c r="AS257" s="200">
        <f t="shared" si="4"/>
        <v>263</v>
      </c>
      <c r="AT257" s="201">
        <f t="shared" si="5"/>
        <v>19.37110266</v>
      </c>
    </row>
    <row r="258" ht="15.75" customHeight="1">
      <c r="A258" s="194" t="s">
        <v>25</v>
      </c>
      <c r="B258" s="195">
        <f t="shared" si="6"/>
        <v>45183</v>
      </c>
      <c r="C258" s="196">
        <v>10.0</v>
      </c>
      <c r="D258" s="196" t="s">
        <v>22</v>
      </c>
      <c r="E258" s="197" t="s">
        <v>59</v>
      </c>
      <c r="F258" s="370">
        <v>0.0</v>
      </c>
      <c r="G258" s="3"/>
      <c r="H258" s="370">
        <v>0.0</v>
      </c>
      <c r="I258" s="3"/>
      <c r="J258" s="370">
        <v>0.0</v>
      </c>
      <c r="K258" s="3"/>
      <c r="L258" s="370">
        <v>0.0</v>
      </c>
      <c r="M258" s="3"/>
      <c r="N258" s="198">
        <v>120.0</v>
      </c>
      <c r="O258" s="3"/>
      <c r="P258" s="198">
        <v>140.0</v>
      </c>
      <c r="Q258" s="3"/>
      <c r="R258" s="198">
        <v>0.0</v>
      </c>
      <c r="S258" s="3"/>
      <c r="T258" s="198">
        <v>0.0</v>
      </c>
      <c r="U258" s="3"/>
      <c r="V258" s="198">
        <v>0.0</v>
      </c>
      <c r="W258" s="3"/>
      <c r="X258" s="198">
        <v>0.0</v>
      </c>
      <c r="Y258" s="3"/>
      <c r="Z258" s="198">
        <v>3.0</v>
      </c>
      <c r="AA258" s="3"/>
      <c r="AB258" s="198">
        <v>0.0</v>
      </c>
      <c r="AC258" s="3"/>
      <c r="AD258" s="198">
        <v>0.0</v>
      </c>
      <c r="AE258" s="3"/>
      <c r="AF258" s="198">
        <v>0.0</v>
      </c>
      <c r="AG258" s="3"/>
      <c r="AH258" s="198">
        <v>0.0</v>
      </c>
      <c r="AI258" s="3"/>
      <c r="AJ258" s="198">
        <v>0.0</v>
      </c>
      <c r="AK258" s="3"/>
      <c r="AL258" s="198">
        <v>0.0</v>
      </c>
      <c r="AM258" s="3"/>
      <c r="AN258" s="198">
        <v>0.0</v>
      </c>
      <c r="AO258" s="3"/>
      <c r="AP258" s="199">
        <f t="shared" si="12"/>
        <v>4959.6</v>
      </c>
      <c r="AQ258" s="200">
        <f t="shared" si="10"/>
        <v>260</v>
      </c>
      <c r="AR258" s="200">
        <f t="shared" si="3"/>
        <v>0</v>
      </c>
      <c r="AS258" s="200">
        <f t="shared" si="4"/>
        <v>263</v>
      </c>
      <c r="AT258" s="201">
        <f t="shared" si="5"/>
        <v>18.85779468</v>
      </c>
    </row>
    <row r="259" ht="15.75" customHeight="1">
      <c r="A259" s="194" t="s">
        <v>26</v>
      </c>
      <c r="B259" s="195">
        <f t="shared" si="6"/>
        <v>45184</v>
      </c>
      <c r="C259" s="196">
        <v>10.0</v>
      </c>
      <c r="D259" s="196" t="s">
        <v>22</v>
      </c>
      <c r="E259" s="197" t="s">
        <v>59</v>
      </c>
      <c r="F259" s="370">
        <v>0.0</v>
      </c>
      <c r="G259" s="3"/>
      <c r="H259" s="370">
        <v>0.0</v>
      </c>
      <c r="I259" s="3"/>
      <c r="J259" s="370">
        <v>0.0</v>
      </c>
      <c r="K259" s="3"/>
      <c r="L259" s="370">
        <v>0.0</v>
      </c>
      <c r="M259" s="3"/>
      <c r="N259" s="198">
        <v>120.0</v>
      </c>
      <c r="O259" s="3"/>
      <c r="P259" s="198">
        <v>140.0</v>
      </c>
      <c r="Q259" s="3"/>
      <c r="R259" s="198">
        <v>0.0</v>
      </c>
      <c r="S259" s="3"/>
      <c r="T259" s="198">
        <v>0.0</v>
      </c>
      <c r="U259" s="3"/>
      <c r="V259" s="198">
        <v>0.0</v>
      </c>
      <c r="W259" s="3"/>
      <c r="X259" s="198">
        <v>0.0</v>
      </c>
      <c r="Y259" s="3"/>
      <c r="Z259" s="198">
        <v>3.0</v>
      </c>
      <c r="AA259" s="3"/>
      <c r="AB259" s="198">
        <v>0.0</v>
      </c>
      <c r="AC259" s="3"/>
      <c r="AD259" s="198">
        <v>0.0</v>
      </c>
      <c r="AE259" s="3"/>
      <c r="AF259" s="198">
        <v>0.0</v>
      </c>
      <c r="AG259" s="3"/>
      <c r="AH259" s="198">
        <v>0.0</v>
      </c>
      <c r="AI259" s="3"/>
      <c r="AJ259" s="198">
        <v>0.0</v>
      </c>
      <c r="AK259" s="3"/>
      <c r="AL259" s="198">
        <v>0.0</v>
      </c>
      <c r="AM259" s="3"/>
      <c r="AN259" s="198">
        <v>0.0</v>
      </c>
      <c r="AO259" s="3"/>
      <c r="AP259" s="199">
        <f t="shared" si="12"/>
        <v>4959.6</v>
      </c>
      <c r="AQ259" s="200">
        <f t="shared" si="10"/>
        <v>260</v>
      </c>
      <c r="AR259" s="200">
        <f t="shared" si="3"/>
        <v>0</v>
      </c>
      <c r="AS259" s="200">
        <f t="shared" si="4"/>
        <v>263</v>
      </c>
      <c r="AT259" s="201">
        <f t="shared" si="5"/>
        <v>18.85779468</v>
      </c>
    </row>
    <row r="260" ht="15.75" customHeight="1">
      <c r="A260" s="194" t="s">
        <v>27</v>
      </c>
      <c r="B260" s="195">
        <f t="shared" si="6"/>
        <v>45185</v>
      </c>
      <c r="C260" s="196">
        <v>10.0</v>
      </c>
      <c r="D260" s="196" t="s">
        <v>22</v>
      </c>
      <c r="E260" s="197" t="s">
        <v>59</v>
      </c>
      <c r="F260" s="370">
        <v>0.0</v>
      </c>
      <c r="G260" s="3"/>
      <c r="H260" s="370">
        <v>0.0</v>
      </c>
      <c r="I260" s="3"/>
      <c r="J260" s="370">
        <v>0.0</v>
      </c>
      <c r="K260" s="3"/>
      <c r="L260" s="370">
        <v>0.0</v>
      </c>
      <c r="M260" s="3"/>
      <c r="N260" s="198">
        <v>120.0</v>
      </c>
      <c r="O260" s="3"/>
      <c r="P260" s="198">
        <v>140.0</v>
      </c>
      <c r="Q260" s="3"/>
      <c r="R260" s="198">
        <v>0.0</v>
      </c>
      <c r="S260" s="3"/>
      <c r="T260" s="198">
        <v>0.0</v>
      </c>
      <c r="U260" s="3"/>
      <c r="V260" s="198">
        <v>0.0</v>
      </c>
      <c r="W260" s="3"/>
      <c r="X260" s="198">
        <v>0.0</v>
      </c>
      <c r="Y260" s="3"/>
      <c r="Z260" s="198">
        <v>0.0</v>
      </c>
      <c r="AA260" s="3"/>
      <c r="AB260" s="198">
        <v>4.0</v>
      </c>
      <c r="AC260" s="3"/>
      <c r="AD260" s="198">
        <v>0.0</v>
      </c>
      <c r="AE260" s="3"/>
      <c r="AF260" s="198">
        <v>0.0</v>
      </c>
      <c r="AG260" s="3"/>
      <c r="AH260" s="198">
        <v>0.0</v>
      </c>
      <c r="AI260" s="3"/>
      <c r="AJ260" s="198">
        <v>0.0</v>
      </c>
      <c r="AK260" s="3"/>
      <c r="AL260" s="198">
        <v>0.0</v>
      </c>
      <c r="AM260" s="3"/>
      <c r="AN260" s="198">
        <v>0.0</v>
      </c>
      <c r="AO260" s="3"/>
      <c r="AP260" s="199">
        <f t="shared" si="12"/>
        <v>5219.6</v>
      </c>
      <c r="AQ260" s="200">
        <f t="shared" si="10"/>
        <v>260</v>
      </c>
      <c r="AR260" s="200">
        <f t="shared" si="3"/>
        <v>0</v>
      </c>
      <c r="AS260" s="200">
        <f t="shared" si="4"/>
        <v>264</v>
      </c>
      <c r="AT260" s="201">
        <f t="shared" si="5"/>
        <v>19.77121212</v>
      </c>
    </row>
    <row r="261" ht="15.75" customHeight="1">
      <c r="A261" s="194" t="s">
        <v>28</v>
      </c>
      <c r="B261" s="195">
        <f t="shared" si="6"/>
        <v>45186</v>
      </c>
      <c r="C261" s="196">
        <v>10.0</v>
      </c>
      <c r="D261" s="196" t="s">
        <v>22</v>
      </c>
      <c r="E261" s="215" t="s">
        <v>43</v>
      </c>
      <c r="F261" s="371">
        <v>0.0</v>
      </c>
      <c r="G261" s="73"/>
      <c r="H261" s="371">
        <v>0.0</v>
      </c>
      <c r="I261" s="73"/>
      <c r="J261" s="371">
        <v>0.0</v>
      </c>
      <c r="K261" s="73"/>
      <c r="L261" s="371">
        <v>0.0</v>
      </c>
      <c r="M261" s="73"/>
      <c r="N261" s="216">
        <v>0.0</v>
      </c>
      <c r="O261" s="73"/>
      <c r="P261" s="216">
        <v>0.0</v>
      </c>
      <c r="Q261" s="73"/>
      <c r="R261" s="216">
        <v>0.0</v>
      </c>
      <c r="S261" s="73"/>
      <c r="T261" s="216">
        <v>0.0</v>
      </c>
      <c r="U261" s="73"/>
      <c r="V261" s="216">
        <v>0.0</v>
      </c>
      <c r="W261" s="73"/>
      <c r="X261" s="216">
        <v>0.0</v>
      </c>
      <c r="Y261" s="73"/>
      <c r="Z261" s="216">
        <v>0.0</v>
      </c>
      <c r="AA261" s="73"/>
      <c r="AB261" s="216">
        <v>0.0</v>
      </c>
      <c r="AC261" s="73"/>
      <c r="AD261" s="216">
        <v>0.0</v>
      </c>
      <c r="AE261" s="73"/>
      <c r="AF261" s="216">
        <v>0.0</v>
      </c>
      <c r="AG261" s="73"/>
      <c r="AH261" s="216">
        <v>0.0</v>
      </c>
      <c r="AI261" s="73"/>
      <c r="AJ261" s="216">
        <v>0.0</v>
      </c>
      <c r="AK261" s="73"/>
      <c r="AL261" s="216">
        <v>0.0</v>
      </c>
      <c r="AM261" s="73"/>
      <c r="AN261" s="216">
        <v>0.0</v>
      </c>
      <c r="AO261" s="73"/>
      <c r="AP261" s="218">
        <f t="shared" si="12"/>
        <v>0</v>
      </c>
      <c r="AQ261" s="219">
        <f t="shared" si="10"/>
        <v>0</v>
      </c>
      <c r="AR261" s="219">
        <f t="shared" si="3"/>
        <v>0</v>
      </c>
      <c r="AS261" s="219">
        <f t="shared" si="4"/>
        <v>0</v>
      </c>
      <c r="AT261" s="372" t="str">
        <f t="shared" si="5"/>
        <v/>
      </c>
    </row>
    <row r="262" ht="15.75" customHeight="1">
      <c r="A262" s="325" t="s">
        <v>21</v>
      </c>
      <c r="B262" s="326">
        <f t="shared" si="6"/>
        <v>45187</v>
      </c>
      <c r="C262" s="292">
        <v>10.0</v>
      </c>
      <c r="D262" s="292" t="s">
        <v>34</v>
      </c>
      <c r="E262" s="293" t="s">
        <v>59</v>
      </c>
      <c r="F262" s="354">
        <v>0.0</v>
      </c>
      <c r="G262" s="73"/>
      <c r="H262" s="354">
        <v>0.0</v>
      </c>
      <c r="I262" s="73"/>
      <c r="J262" s="354">
        <v>0.0</v>
      </c>
      <c r="K262" s="73"/>
      <c r="L262" s="354">
        <v>0.0</v>
      </c>
      <c r="M262" s="73"/>
      <c r="N262" s="294">
        <v>120.0</v>
      </c>
      <c r="O262" s="190"/>
      <c r="P262" s="294">
        <v>115.0</v>
      </c>
      <c r="Q262" s="190"/>
      <c r="R262" s="294">
        <v>40.0</v>
      </c>
      <c r="S262" s="190"/>
      <c r="T262" s="294">
        <v>0.0</v>
      </c>
      <c r="U262" s="190"/>
      <c r="V262" s="294">
        <v>0.0</v>
      </c>
      <c r="W262" s="190"/>
      <c r="X262" s="294">
        <v>40.0</v>
      </c>
      <c r="Y262" s="190"/>
      <c r="Z262" s="294">
        <v>2.0</v>
      </c>
      <c r="AA262" s="190"/>
      <c r="AB262" s="294">
        <v>0.0</v>
      </c>
      <c r="AC262" s="190"/>
      <c r="AD262" s="294">
        <v>0.0</v>
      </c>
      <c r="AE262" s="190"/>
      <c r="AF262" s="294">
        <v>0.0</v>
      </c>
      <c r="AG262" s="190"/>
      <c r="AH262" s="294">
        <v>0.0</v>
      </c>
      <c r="AI262" s="190"/>
      <c r="AJ262" s="294">
        <v>0.0</v>
      </c>
      <c r="AK262" s="190"/>
      <c r="AL262" s="294">
        <v>0.0</v>
      </c>
      <c r="AM262" s="190"/>
      <c r="AN262" s="294">
        <v>0.0</v>
      </c>
      <c r="AO262" s="190"/>
      <c r="AP262" s="295">
        <f t="shared" si="12"/>
        <v>5965.3</v>
      </c>
      <c r="AQ262" s="296">
        <f t="shared" si="10"/>
        <v>315</v>
      </c>
      <c r="AR262" s="296">
        <f t="shared" si="3"/>
        <v>0</v>
      </c>
      <c r="AS262" s="296">
        <f t="shared" si="4"/>
        <v>317</v>
      </c>
      <c r="AT262" s="297">
        <f t="shared" si="5"/>
        <v>18.81798107</v>
      </c>
    </row>
    <row r="263" ht="15.75" customHeight="1">
      <c r="A263" s="327" t="s">
        <v>23</v>
      </c>
      <c r="B263" s="144">
        <f t="shared" si="6"/>
        <v>45188</v>
      </c>
      <c r="C263" s="145">
        <v>10.0</v>
      </c>
      <c r="D263" s="145" t="s">
        <v>34</v>
      </c>
      <c r="E263" s="175" t="s">
        <v>59</v>
      </c>
      <c r="F263" s="354">
        <v>0.0</v>
      </c>
      <c r="G263" s="73"/>
      <c r="H263" s="354">
        <v>0.0</v>
      </c>
      <c r="I263" s="73"/>
      <c r="J263" s="354">
        <v>0.0</v>
      </c>
      <c r="K263" s="73"/>
      <c r="L263" s="354">
        <v>0.0</v>
      </c>
      <c r="M263" s="73"/>
      <c r="N263" s="147">
        <v>120.0</v>
      </c>
      <c r="O263" s="3"/>
      <c r="P263" s="147">
        <v>155.0</v>
      </c>
      <c r="Q263" s="3"/>
      <c r="R263" s="147">
        <v>0.0</v>
      </c>
      <c r="S263" s="3"/>
      <c r="T263" s="147">
        <v>0.0</v>
      </c>
      <c r="U263" s="3"/>
      <c r="V263" s="147">
        <v>0.0</v>
      </c>
      <c r="W263" s="3"/>
      <c r="X263" s="147">
        <v>0.0</v>
      </c>
      <c r="Y263" s="3"/>
      <c r="Z263" s="147">
        <v>3.0</v>
      </c>
      <c r="AA263" s="3"/>
      <c r="AB263" s="147">
        <v>0.0</v>
      </c>
      <c r="AC263" s="3"/>
      <c r="AD263" s="147">
        <v>0.0</v>
      </c>
      <c r="AE263" s="3"/>
      <c r="AF263" s="147">
        <v>0.0</v>
      </c>
      <c r="AG263" s="3"/>
      <c r="AH263" s="147">
        <v>0.0</v>
      </c>
      <c r="AI263" s="3"/>
      <c r="AJ263" s="147">
        <v>0.0</v>
      </c>
      <c r="AK263" s="3"/>
      <c r="AL263" s="147">
        <v>0.0</v>
      </c>
      <c r="AM263" s="3"/>
      <c r="AN263" s="147">
        <v>0.0</v>
      </c>
      <c r="AO263" s="3"/>
      <c r="AP263" s="149">
        <f t="shared" si="12"/>
        <v>5255.7</v>
      </c>
      <c r="AQ263" s="150">
        <f t="shared" si="10"/>
        <v>275</v>
      </c>
      <c r="AR263" s="150">
        <f t="shared" si="3"/>
        <v>0</v>
      </c>
      <c r="AS263" s="150">
        <f t="shared" si="4"/>
        <v>278</v>
      </c>
      <c r="AT263" s="299">
        <f t="shared" si="5"/>
        <v>18.90539568</v>
      </c>
    </row>
    <row r="264" ht="15.75" customHeight="1">
      <c r="A264" s="327" t="s">
        <v>24</v>
      </c>
      <c r="B264" s="144">
        <f t="shared" si="6"/>
        <v>45189</v>
      </c>
      <c r="C264" s="145">
        <v>10.0</v>
      </c>
      <c r="D264" s="145" t="s">
        <v>34</v>
      </c>
      <c r="E264" s="175" t="s">
        <v>59</v>
      </c>
      <c r="F264" s="354">
        <v>0.0</v>
      </c>
      <c r="G264" s="73"/>
      <c r="H264" s="354">
        <v>0.0</v>
      </c>
      <c r="I264" s="73"/>
      <c r="J264" s="354">
        <v>0.0</v>
      </c>
      <c r="K264" s="73"/>
      <c r="L264" s="354">
        <v>0.0</v>
      </c>
      <c r="M264" s="73"/>
      <c r="N264" s="147">
        <v>120.0</v>
      </c>
      <c r="O264" s="3"/>
      <c r="P264" s="147">
        <v>115.0</v>
      </c>
      <c r="Q264" s="3"/>
      <c r="R264" s="147">
        <v>60.0</v>
      </c>
      <c r="S264" s="3"/>
      <c r="T264" s="147">
        <v>0.0</v>
      </c>
      <c r="U264" s="3"/>
      <c r="V264" s="147">
        <v>0.0</v>
      </c>
      <c r="W264" s="3"/>
      <c r="X264" s="147">
        <v>45.0</v>
      </c>
      <c r="Y264" s="3"/>
      <c r="Z264" s="147">
        <v>0.0</v>
      </c>
      <c r="AA264" s="3"/>
      <c r="AB264" s="147">
        <v>2.0</v>
      </c>
      <c r="AC264" s="3"/>
      <c r="AD264" s="147">
        <v>0.0</v>
      </c>
      <c r="AE264" s="3"/>
      <c r="AF264" s="147">
        <v>0.0</v>
      </c>
      <c r="AG264" s="3"/>
      <c r="AH264" s="147">
        <v>0.0</v>
      </c>
      <c r="AI264" s="3"/>
      <c r="AJ264" s="147">
        <v>0.0</v>
      </c>
      <c r="AK264" s="3"/>
      <c r="AL264" s="147">
        <v>0.0</v>
      </c>
      <c r="AM264" s="3"/>
      <c r="AN264" s="147">
        <v>0.0</v>
      </c>
      <c r="AO264" s="3"/>
      <c r="AP264" s="149">
        <f t="shared" si="12"/>
        <v>6548.8</v>
      </c>
      <c r="AQ264" s="150">
        <f t="shared" si="10"/>
        <v>340</v>
      </c>
      <c r="AR264" s="150">
        <f t="shared" si="3"/>
        <v>0</v>
      </c>
      <c r="AS264" s="150">
        <f t="shared" si="4"/>
        <v>342</v>
      </c>
      <c r="AT264" s="299">
        <f t="shared" si="5"/>
        <v>19.14853801</v>
      </c>
    </row>
    <row r="265" ht="15.75" customHeight="1">
      <c r="A265" s="327" t="s">
        <v>25</v>
      </c>
      <c r="B265" s="144">
        <f t="shared" si="6"/>
        <v>45190</v>
      </c>
      <c r="C265" s="145">
        <v>10.0</v>
      </c>
      <c r="D265" s="145" t="s">
        <v>34</v>
      </c>
      <c r="E265" s="175" t="s">
        <v>59</v>
      </c>
      <c r="F265" s="354">
        <v>0.0</v>
      </c>
      <c r="G265" s="73"/>
      <c r="H265" s="354">
        <v>0.0</v>
      </c>
      <c r="I265" s="73"/>
      <c r="J265" s="354">
        <v>0.0</v>
      </c>
      <c r="K265" s="73"/>
      <c r="L265" s="354">
        <v>0.0</v>
      </c>
      <c r="M265" s="73"/>
      <c r="N265" s="147">
        <v>120.0</v>
      </c>
      <c r="O265" s="3"/>
      <c r="P265" s="147">
        <v>155.0</v>
      </c>
      <c r="Q265" s="3"/>
      <c r="R265" s="147">
        <v>0.0</v>
      </c>
      <c r="S265" s="3"/>
      <c r="T265" s="147">
        <v>0.0</v>
      </c>
      <c r="U265" s="3"/>
      <c r="V265" s="147">
        <v>0.0</v>
      </c>
      <c r="W265" s="3"/>
      <c r="X265" s="147">
        <v>0.0</v>
      </c>
      <c r="Y265" s="3"/>
      <c r="Z265" s="147">
        <v>3.0</v>
      </c>
      <c r="AA265" s="3"/>
      <c r="AB265" s="147">
        <v>0.0</v>
      </c>
      <c r="AC265" s="3"/>
      <c r="AD265" s="147">
        <v>0.0</v>
      </c>
      <c r="AE265" s="3"/>
      <c r="AF265" s="147">
        <v>0.0</v>
      </c>
      <c r="AG265" s="3"/>
      <c r="AH265" s="147">
        <v>0.0</v>
      </c>
      <c r="AI265" s="3"/>
      <c r="AJ265" s="147">
        <v>0.0</v>
      </c>
      <c r="AK265" s="3"/>
      <c r="AL265" s="147">
        <v>0.0</v>
      </c>
      <c r="AM265" s="3"/>
      <c r="AN265" s="147">
        <v>0.0</v>
      </c>
      <c r="AO265" s="3"/>
      <c r="AP265" s="149">
        <f t="shared" si="12"/>
        <v>5255.7</v>
      </c>
      <c r="AQ265" s="150">
        <f t="shared" si="10"/>
        <v>275</v>
      </c>
      <c r="AR265" s="150">
        <f t="shared" si="3"/>
        <v>0</v>
      </c>
      <c r="AS265" s="150">
        <f t="shared" si="4"/>
        <v>278</v>
      </c>
      <c r="AT265" s="299">
        <f t="shared" si="5"/>
        <v>18.90539568</v>
      </c>
    </row>
    <row r="266" ht="15.75" customHeight="1">
      <c r="A266" s="327" t="s">
        <v>26</v>
      </c>
      <c r="B266" s="144">
        <f t="shared" si="6"/>
        <v>45191</v>
      </c>
      <c r="C266" s="145">
        <v>10.0</v>
      </c>
      <c r="D266" s="145" t="s">
        <v>34</v>
      </c>
      <c r="E266" s="175" t="s">
        <v>59</v>
      </c>
      <c r="F266" s="354">
        <v>0.0</v>
      </c>
      <c r="G266" s="73"/>
      <c r="H266" s="354">
        <v>0.0</v>
      </c>
      <c r="I266" s="73"/>
      <c r="J266" s="354">
        <v>0.0</v>
      </c>
      <c r="K266" s="73"/>
      <c r="L266" s="354">
        <v>0.0</v>
      </c>
      <c r="M266" s="73"/>
      <c r="N266" s="147">
        <v>120.0</v>
      </c>
      <c r="O266" s="3"/>
      <c r="P266" s="147">
        <v>155.0</v>
      </c>
      <c r="Q266" s="3"/>
      <c r="R266" s="147">
        <v>0.0</v>
      </c>
      <c r="S266" s="3"/>
      <c r="T266" s="147">
        <v>0.0</v>
      </c>
      <c r="U266" s="3"/>
      <c r="V266" s="147">
        <v>0.0</v>
      </c>
      <c r="W266" s="3"/>
      <c r="X266" s="147">
        <v>0.0</v>
      </c>
      <c r="Y266" s="3"/>
      <c r="Z266" s="147">
        <v>3.0</v>
      </c>
      <c r="AA266" s="3"/>
      <c r="AB266" s="147">
        <v>0.0</v>
      </c>
      <c r="AC266" s="3"/>
      <c r="AD266" s="147">
        <v>0.0</v>
      </c>
      <c r="AE266" s="3"/>
      <c r="AF266" s="147">
        <v>0.0</v>
      </c>
      <c r="AG266" s="3"/>
      <c r="AH266" s="147">
        <v>0.0</v>
      </c>
      <c r="AI266" s="3"/>
      <c r="AJ266" s="147">
        <v>0.0</v>
      </c>
      <c r="AK266" s="3"/>
      <c r="AL266" s="147">
        <v>0.0</v>
      </c>
      <c r="AM266" s="3"/>
      <c r="AN266" s="147">
        <v>0.0</v>
      </c>
      <c r="AO266" s="3"/>
      <c r="AP266" s="149">
        <f t="shared" si="12"/>
        <v>5255.7</v>
      </c>
      <c r="AQ266" s="150">
        <f t="shared" si="10"/>
        <v>275</v>
      </c>
      <c r="AR266" s="150">
        <f t="shared" si="3"/>
        <v>0</v>
      </c>
      <c r="AS266" s="150">
        <f t="shared" si="4"/>
        <v>278</v>
      </c>
      <c r="AT266" s="299">
        <f t="shared" si="5"/>
        <v>18.90539568</v>
      </c>
    </row>
    <row r="267" ht="15.75" customHeight="1">
      <c r="A267" s="327" t="s">
        <v>27</v>
      </c>
      <c r="B267" s="144">
        <f t="shared" si="6"/>
        <v>45192</v>
      </c>
      <c r="C267" s="145">
        <v>10.0</v>
      </c>
      <c r="D267" s="145" t="s">
        <v>34</v>
      </c>
      <c r="E267" s="175" t="s">
        <v>59</v>
      </c>
      <c r="F267" s="354">
        <v>0.0</v>
      </c>
      <c r="G267" s="73"/>
      <c r="H267" s="354">
        <v>0.0</v>
      </c>
      <c r="I267" s="73"/>
      <c r="J267" s="354">
        <v>0.0</v>
      </c>
      <c r="K267" s="73"/>
      <c r="L267" s="354">
        <v>0.0</v>
      </c>
      <c r="M267" s="73"/>
      <c r="N267" s="147">
        <v>120.0</v>
      </c>
      <c r="O267" s="3"/>
      <c r="P267" s="147">
        <v>155.0</v>
      </c>
      <c r="Q267" s="3"/>
      <c r="R267" s="147">
        <v>0.0</v>
      </c>
      <c r="S267" s="3"/>
      <c r="T267" s="147">
        <v>0.0</v>
      </c>
      <c r="U267" s="3"/>
      <c r="V267" s="147">
        <v>0.0</v>
      </c>
      <c r="W267" s="3"/>
      <c r="X267" s="147">
        <v>0.0</v>
      </c>
      <c r="Y267" s="3"/>
      <c r="Z267" s="147">
        <v>3.0</v>
      </c>
      <c r="AA267" s="3"/>
      <c r="AB267" s="147">
        <v>0.0</v>
      </c>
      <c r="AC267" s="3"/>
      <c r="AD267" s="147">
        <v>0.0</v>
      </c>
      <c r="AE267" s="3"/>
      <c r="AF267" s="147">
        <v>0.0</v>
      </c>
      <c r="AG267" s="3"/>
      <c r="AH267" s="147">
        <v>0.0</v>
      </c>
      <c r="AI267" s="3"/>
      <c r="AJ267" s="147">
        <v>0.0</v>
      </c>
      <c r="AK267" s="3"/>
      <c r="AL267" s="147">
        <v>0.0</v>
      </c>
      <c r="AM267" s="3"/>
      <c r="AN267" s="147">
        <v>0.0</v>
      </c>
      <c r="AO267" s="3"/>
      <c r="AP267" s="149">
        <f t="shared" si="12"/>
        <v>5255.7</v>
      </c>
      <c r="AQ267" s="150">
        <f t="shared" si="10"/>
        <v>275</v>
      </c>
      <c r="AR267" s="150">
        <f t="shared" si="3"/>
        <v>0</v>
      </c>
      <c r="AS267" s="150">
        <f t="shared" si="4"/>
        <v>278</v>
      </c>
      <c r="AT267" s="299">
        <f t="shared" si="5"/>
        <v>18.90539568</v>
      </c>
    </row>
    <row r="268" ht="15.75" customHeight="1">
      <c r="A268" s="329" t="s">
        <v>28</v>
      </c>
      <c r="B268" s="330">
        <f t="shared" si="6"/>
        <v>45193</v>
      </c>
      <c r="C268" s="331">
        <v>10.0</v>
      </c>
      <c r="D268" s="331" t="s">
        <v>34</v>
      </c>
      <c r="E268" s="281" t="s">
        <v>43</v>
      </c>
      <c r="F268" s="354">
        <v>0.0</v>
      </c>
      <c r="G268" s="73"/>
      <c r="H268" s="354">
        <v>0.0</v>
      </c>
      <c r="I268" s="73"/>
      <c r="J268" s="354">
        <v>0.0</v>
      </c>
      <c r="K268" s="73"/>
      <c r="L268" s="354">
        <v>0.0</v>
      </c>
      <c r="M268" s="73"/>
      <c r="N268" s="333">
        <v>0.0</v>
      </c>
      <c r="O268" s="207"/>
      <c r="P268" s="333">
        <v>0.0</v>
      </c>
      <c r="Q268" s="207"/>
      <c r="R268" s="159">
        <v>0.0</v>
      </c>
      <c r="S268" s="73"/>
      <c r="T268" s="159">
        <v>0.0</v>
      </c>
      <c r="U268" s="73"/>
      <c r="V268" s="159">
        <v>0.0</v>
      </c>
      <c r="W268" s="73"/>
      <c r="X268" s="159">
        <v>0.0</v>
      </c>
      <c r="Y268" s="73"/>
      <c r="Z268" s="159">
        <v>0.0</v>
      </c>
      <c r="AA268" s="73"/>
      <c r="AB268" s="159">
        <v>0.0</v>
      </c>
      <c r="AC268" s="73"/>
      <c r="AD268" s="159">
        <v>0.0</v>
      </c>
      <c r="AE268" s="73"/>
      <c r="AF268" s="159">
        <v>0.0</v>
      </c>
      <c r="AG268" s="73"/>
      <c r="AH268" s="159">
        <v>0.0</v>
      </c>
      <c r="AI268" s="73"/>
      <c r="AJ268" s="159">
        <v>0.0</v>
      </c>
      <c r="AK268" s="73"/>
      <c r="AL268" s="159">
        <v>0.0</v>
      </c>
      <c r="AM268" s="73"/>
      <c r="AN268" s="159">
        <v>0.0</v>
      </c>
      <c r="AO268" s="73"/>
      <c r="AP268" s="334">
        <f t="shared" si="12"/>
        <v>0</v>
      </c>
      <c r="AQ268" s="335">
        <f t="shared" si="10"/>
        <v>0</v>
      </c>
      <c r="AR268" s="335">
        <f t="shared" si="3"/>
        <v>0</v>
      </c>
      <c r="AS268" s="335">
        <f t="shared" si="4"/>
        <v>0</v>
      </c>
      <c r="AT268" s="336" t="str">
        <f t="shared" si="5"/>
        <v/>
      </c>
    </row>
    <row r="269" ht="15.75" customHeight="1">
      <c r="A269" s="185" t="s">
        <v>21</v>
      </c>
      <c r="B269" s="186">
        <f t="shared" si="6"/>
        <v>45194</v>
      </c>
      <c r="C269" s="187">
        <v>10.0</v>
      </c>
      <c r="D269" s="187" t="s">
        <v>36</v>
      </c>
      <c r="E269" s="192"/>
      <c r="F269" s="373"/>
      <c r="G269" s="190"/>
      <c r="H269" s="373"/>
      <c r="I269" s="190"/>
      <c r="J269" s="373"/>
      <c r="K269" s="190"/>
      <c r="L269" s="373"/>
      <c r="M269" s="190"/>
      <c r="N269" s="189">
        <v>60.0</v>
      </c>
      <c r="O269" s="190"/>
      <c r="P269" s="189">
        <v>60.0</v>
      </c>
      <c r="Q269" s="190"/>
      <c r="R269" s="189">
        <v>0.0</v>
      </c>
      <c r="S269" s="190"/>
      <c r="T269" s="189">
        <v>0.0</v>
      </c>
      <c r="U269" s="190"/>
      <c r="V269" s="189">
        <v>0.0</v>
      </c>
      <c r="W269" s="190"/>
      <c r="X269" s="189">
        <v>0.0</v>
      </c>
      <c r="Y269" s="190"/>
      <c r="Z269" s="189">
        <v>1.0</v>
      </c>
      <c r="AA269" s="190"/>
      <c r="AB269" s="189">
        <v>0.0</v>
      </c>
      <c r="AC269" s="190"/>
      <c r="AD269" s="189">
        <v>0.0</v>
      </c>
      <c r="AE269" s="190"/>
      <c r="AF269" s="189">
        <v>0.0</v>
      </c>
      <c r="AG269" s="190"/>
      <c r="AH269" s="189">
        <v>0.0</v>
      </c>
      <c r="AI269" s="190"/>
      <c r="AJ269" s="189">
        <v>0.0</v>
      </c>
      <c r="AK269" s="190"/>
      <c r="AL269" s="189">
        <v>0.0</v>
      </c>
      <c r="AM269" s="190"/>
      <c r="AN269" s="189">
        <v>0.0</v>
      </c>
      <c r="AO269" s="190"/>
      <c r="AP269" s="191">
        <f t="shared" si="12"/>
        <v>2242.4</v>
      </c>
      <c r="AQ269" s="192">
        <f t="shared" si="10"/>
        <v>120</v>
      </c>
      <c r="AR269" s="192">
        <f t="shared" si="3"/>
        <v>0</v>
      </c>
      <c r="AS269" s="192">
        <f t="shared" si="4"/>
        <v>121</v>
      </c>
      <c r="AT269" s="193">
        <f t="shared" si="5"/>
        <v>18.5322314</v>
      </c>
    </row>
    <row r="270" ht="15.75" customHeight="1">
      <c r="A270" s="194" t="s">
        <v>23</v>
      </c>
      <c r="B270" s="195">
        <f t="shared" si="6"/>
        <v>45195</v>
      </c>
      <c r="C270" s="196">
        <v>10.0</v>
      </c>
      <c r="D270" s="196" t="s">
        <v>36</v>
      </c>
      <c r="E270" s="200"/>
      <c r="F270" s="374"/>
      <c r="G270" s="3"/>
      <c r="H270" s="374"/>
      <c r="I270" s="3"/>
      <c r="J270" s="374"/>
      <c r="K270" s="3"/>
      <c r="L270" s="374"/>
      <c r="M270" s="3"/>
      <c r="N270" s="198">
        <v>60.0</v>
      </c>
      <c r="O270" s="3"/>
      <c r="P270" s="198">
        <v>60.0</v>
      </c>
      <c r="Q270" s="3"/>
      <c r="R270" s="198">
        <v>0.0</v>
      </c>
      <c r="S270" s="3"/>
      <c r="T270" s="198">
        <v>0.0</v>
      </c>
      <c r="U270" s="3"/>
      <c r="V270" s="198">
        <v>0.0</v>
      </c>
      <c r="W270" s="3"/>
      <c r="X270" s="198">
        <v>0.0</v>
      </c>
      <c r="Y270" s="3"/>
      <c r="Z270" s="198">
        <v>1.0</v>
      </c>
      <c r="AA270" s="3"/>
      <c r="AB270" s="198">
        <v>0.0</v>
      </c>
      <c r="AC270" s="3"/>
      <c r="AD270" s="198">
        <v>0.0</v>
      </c>
      <c r="AE270" s="3"/>
      <c r="AF270" s="198">
        <v>0.0</v>
      </c>
      <c r="AG270" s="3"/>
      <c r="AH270" s="198">
        <v>0.0</v>
      </c>
      <c r="AI270" s="3"/>
      <c r="AJ270" s="198">
        <v>0.0</v>
      </c>
      <c r="AK270" s="3"/>
      <c r="AL270" s="198">
        <v>0.0</v>
      </c>
      <c r="AM270" s="3"/>
      <c r="AN270" s="198">
        <v>0.0</v>
      </c>
      <c r="AO270" s="3"/>
      <c r="AP270" s="199">
        <f t="shared" si="12"/>
        <v>2242.4</v>
      </c>
      <c r="AQ270" s="200">
        <f t="shared" si="10"/>
        <v>120</v>
      </c>
      <c r="AR270" s="200">
        <f t="shared" si="3"/>
        <v>0</v>
      </c>
      <c r="AS270" s="200">
        <f t="shared" si="4"/>
        <v>121</v>
      </c>
      <c r="AT270" s="201">
        <f t="shared" si="5"/>
        <v>18.5322314</v>
      </c>
    </row>
    <row r="271" ht="15.75" customHeight="1">
      <c r="A271" s="194" t="s">
        <v>24</v>
      </c>
      <c r="B271" s="195">
        <f t="shared" si="6"/>
        <v>45196</v>
      </c>
      <c r="C271" s="196">
        <v>10.0</v>
      </c>
      <c r="D271" s="196" t="s">
        <v>36</v>
      </c>
      <c r="E271" s="200"/>
      <c r="F271" s="374"/>
      <c r="G271" s="3"/>
      <c r="H271" s="374"/>
      <c r="I271" s="3"/>
      <c r="J271" s="374"/>
      <c r="K271" s="3"/>
      <c r="L271" s="374"/>
      <c r="M271" s="3"/>
      <c r="N271" s="198">
        <v>60.0</v>
      </c>
      <c r="O271" s="3"/>
      <c r="P271" s="198">
        <v>60.0</v>
      </c>
      <c r="Q271" s="3"/>
      <c r="R271" s="198">
        <v>0.0</v>
      </c>
      <c r="S271" s="3"/>
      <c r="T271" s="198">
        <v>0.0</v>
      </c>
      <c r="U271" s="3"/>
      <c r="V271" s="198">
        <v>0.0</v>
      </c>
      <c r="W271" s="3"/>
      <c r="X271" s="198">
        <v>0.0</v>
      </c>
      <c r="Y271" s="3"/>
      <c r="Z271" s="198">
        <v>0.0</v>
      </c>
      <c r="AA271" s="3"/>
      <c r="AB271" s="198">
        <v>1.0</v>
      </c>
      <c r="AC271" s="3"/>
      <c r="AD271" s="198">
        <v>0.0</v>
      </c>
      <c r="AE271" s="3"/>
      <c r="AF271" s="198">
        <v>0.0</v>
      </c>
      <c r="AG271" s="3"/>
      <c r="AH271" s="198">
        <v>0.0</v>
      </c>
      <c r="AI271" s="3"/>
      <c r="AJ271" s="198">
        <v>0.0</v>
      </c>
      <c r="AK271" s="3"/>
      <c r="AL271" s="198">
        <v>0.0</v>
      </c>
      <c r="AM271" s="3"/>
      <c r="AN271" s="198">
        <v>0.0</v>
      </c>
      <c r="AO271" s="3"/>
      <c r="AP271" s="199">
        <f t="shared" si="12"/>
        <v>2287.4</v>
      </c>
      <c r="AQ271" s="200">
        <f t="shared" si="10"/>
        <v>120</v>
      </c>
      <c r="AR271" s="200">
        <f t="shared" si="3"/>
        <v>0</v>
      </c>
      <c r="AS271" s="200">
        <f t="shared" si="4"/>
        <v>121</v>
      </c>
      <c r="AT271" s="201">
        <f t="shared" si="5"/>
        <v>18.90413223</v>
      </c>
    </row>
    <row r="272" ht="15.75" customHeight="1">
      <c r="A272" s="194" t="s">
        <v>25</v>
      </c>
      <c r="B272" s="195">
        <f t="shared" si="6"/>
        <v>45197</v>
      </c>
      <c r="C272" s="196">
        <v>10.0</v>
      </c>
      <c r="D272" s="196" t="s">
        <v>36</v>
      </c>
      <c r="E272" s="200"/>
      <c r="F272" s="374"/>
      <c r="G272" s="3"/>
      <c r="H272" s="374"/>
      <c r="I272" s="3"/>
      <c r="J272" s="374"/>
      <c r="K272" s="3"/>
      <c r="L272" s="374"/>
      <c r="M272" s="3"/>
      <c r="N272" s="198">
        <v>45.0</v>
      </c>
      <c r="O272" s="3"/>
      <c r="P272" s="198">
        <v>45.0</v>
      </c>
      <c r="Q272" s="3"/>
      <c r="R272" s="198">
        <v>0.0</v>
      </c>
      <c r="S272" s="3"/>
      <c r="T272" s="198">
        <v>0.0</v>
      </c>
      <c r="U272" s="3"/>
      <c r="V272" s="198">
        <v>0.0</v>
      </c>
      <c r="W272" s="3"/>
      <c r="X272" s="198">
        <v>0.0</v>
      </c>
      <c r="Y272" s="3"/>
      <c r="Z272" s="198">
        <v>0.0</v>
      </c>
      <c r="AA272" s="3"/>
      <c r="AB272" s="198">
        <v>0.0</v>
      </c>
      <c r="AC272" s="3"/>
      <c r="AD272" s="198">
        <v>0.0</v>
      </c>
      <c r="AE272" s="3"/>
      <c r="AF272" s="198">
        <v>0.0</v>
      </c>
      <c r="AG272" s="3"/>
      <c r="AH272" s="198">
        <v>0.0</v>
      </c>
      <c r="AI272" s="3"/>
      <c r="AJ272" s="198">
        <v>0.0</v>
      </c>
      <c r="AK272" s="3"/>
      <c r="AL272" s="198">
        <v>0.0</v>
      </c>
      <c r="AM272" s="3"/>
      <c r="AN272" s="198">
        <v>0.0</v>
      </c>
      <c r="AO272" s="3"/>
      <c r="AP272" s="199">
        <f t="shared" si="12"/>
        <v>1621.8</v>
      </c>
      <c r="AQ272" s="200">
        <f t="shared" si="10"/>
        <v>90</v>
      </c>
      <c r="AR272" s="200">
        <f t="shared" si="3"/>
        <v>0</v>
      </c>
      <c r="AS272" s="200">
        <f t="shared" si="4"/>
        <v>90</v>
      </c>
      <c r="AT272" s="201">
        <f t="shared" si="5"/>
        <v>18.02</v>
      </c>
    </row>
    <row r="273" ht="15.75" customHeight="1">
      <c r="A273" s="194" t="s">
        <v>26</v>
      </c>
      <c r="B273" s="195">
        <f t="shared" si="6"/>
        <v>45198</v>
      </c>
      <c r="C273" s="196">
        <v>10.0</v>
      </c>
      <c r="D273" s="196" t="s">
        <v>36</v>
      </c>
      <c r="E273" s="200"/>
      <c r="F273" s="374"/>
      <c r="G273" s="3"/>
      <c r="H273" s="374"/>
      <c r="I273" s="3"/>
      <c r="J273" s="374"/>
      <c r="K273" s="3"/>
      <c r="L273" s="374"/>
      <c r="M273" s="3"/>
      <c r="N273" s="198">
        <v>45.0</v>
      </c>
      <c r="O273" s="3"/>
      <c r="P273" s="198">
        <v>45.0</v>
      </c>
      <c r="Q273" s="3"/>
      <c r="R273" s="198">
        <v>0.0</v>
      </c>
      <c r="S273" s="3"/>
      <c r="T273" s="198">
        <v>0.0</v>
      </c>
      <c r="U273" s="3"/>
      <c r="V273" s="198">
        <v>0.0</v>
      </c>
      <c r="W273" s="3"/>
      <c r="X273" s="198">
        <v>0.0</v>
      </c>
      <c r="Y273" s="3"/>
      <c r="Z273" s="198">
        <v>0.0</v>
      </c>
      <c r="AA273" s="3"/>
      <c r="AB273" s="198">
        <v>0.0</v>
      </c>
      <c r="AC273" s="3"/>
      <c r="AD273" s="198">
        <v>0.0</v>
      </c>
      <c r="AE273" s="3"/>
      <c r="AF273" s="198">
        <v>0.0</v>
      </c>
      <c r="AG273" s="3"/>
      <c r="AH273" s="198">
        <v>0.0</v>
      </c>
      <c r="AI273" s="3"/>
      <c r="AJ273" s="198">
        <v>0.0</v>
      </c>
      <c r="AK273" s="3"/>
      <c r="AL273" s="198">
        <v>0.0</v>
      </c>
      <c r="AM273" s="3"/>
      <c r="AN273" s="198">
        <v>0.0</v>
      </c>
      <c r="AO273" s="3"/>
      <c r="AP273" s="199">
        <f t="shared" si="12"/>
        <v>1621.8</v>
      </c>
      <c r="AQ273" s="200">
        <f t="shared" si="10"/>
        <v>90</v>
      </c>
      <c r="AR273" s="200">
        <f t="shared" si="3"/>
        <v>0</v>
      </c>
      <c r="AS273" s="200">
        <f t="shared" si="4"/>
        <v>90</v>
      </c>
      <c r="AT273" s="201">
        <f t="shared" si="5"/>
        <v>18.02</v>
      </c>
    </row>
    <row r="274" ht="15.75" customHeight="1">
      <c r="A274" s="194" t="s">
        <v>27</v>
      </c>
      <c r="B274" s="195">
        <f t="shared" si="6"/>
        <v>45199</v>
      </c>
      <c r="C274" s="196">
        <v>10.0</v>
      </c>
      <c r="D274" s="196" t="s">
        <v>36</v>
      </c>
      <c r="E274" s="200"/>
      <c r="F274" s="374"/>
      <c r="G274" s="3"/>
      <c r="H274" s="374"/>
      <c r="I274" s="3"/>
      <c r="J274" s="374"/>
      <c r="K274" s="3"/>
      <c r="L274" s="374"/>
      <c r="M274" s="3"/>
      <c r="N274" s="198">
        <v>0.0</v>
      </c>
      <c r="O274" s="3"/>
      <c r="P274" s="198">
        <v>0.0</v>
      </c>
      <c r="Q274" s="3"/>
      <c r="R274" s="198">
        <v>0.0</v>
      </c>
      <c r="S274" s="3"/>
      <c r="T274" s="198">
        <v>0.0</v>
      </c>
      <c r="U274" s="3"/>
      <c r="V274" s="198">
        <v>0.0</v>
      </c>
      <c r="W274" s="3"/>
      <c r="X274" s="198">
        <v>0.0</v>
      </c>
      <c r="Y274" s="3"/>
      <c r="Z274" s="198">
        <v>0.0</v>
      </c>
      <c r="AA274" s="3"/>
      <c r="AB274" s="198">
        <v>0.0</v>
      </c>
      <c r="AC274" s="3"/>
      <c r="AD274" s="198">
        <v>0.0</v>
      </c>
      <c r="AE274" s="3"/>
      <c r="AF274" s="198">
        <v>0.0</v>
      </c>
      <c r="AG274" s="3"/>
      <c r="AH274" s="198">
        <v>0.0</v>
      </c>
      <c r="AI274" s="3"/>
      <c r="AJ274" s="198">
        <v>0.0</v>
      </c>
      <c r="AK274" s="3"/>
      <c r="AL274" s="198">
        <v>0.0</v>
      </c>
      <c r="AM274" s="3"/>
      <c r="AN274" s="198">
        <v>0.0</v>
      </c>
      <c r="AO274" s="3"/>
      <c r="AP274" s="199">
        <f t="shared" si="12"/>
        <v>0</v>
      </c>
      <c r="AQ274" s="200">
        <f t="shared" si="10"/>
        <v>0</v>
      </c>
      <c r="AR274" s="200">
        <f t="shared" si="3"/>
        <v>0</v>
      </c>
      <c r="AS274" s="200">
        <f t="shared" si="4"/>
        <v>0</v>
      </c>
      <c r="AT274" s="201" t="str">
        <f t="shared" si="5"/>
        <v/>
      </c>
    </row>
    <row r="275" ht="15.75" customHeight="1">
      <c r="A275" s="202" t="s">
        <v>28</v>
      </c>
      <c r="B275" s="203">
        <f t="shared" si="6"/>
        <v>45200</v>
      </c>
      <c r="C275" s="204">
        <v>10.0</v>
      </c>
      <c r="D275" s="204" t="s">
        <v>36</v>
      </c>
      <c r="E275" s="209"/>
      <c r="F275" s="375"/>
      <c r="G275" s="207"/>
      <c r="H275" s="375"/>
      <c r="I275" s="207"/>
      <c r="J275" s="375"/>
      <c r="K275" s="207"/>
      <c r="L275" s="375"/>
      <c r="M275" s="207"/>
      <c r="N275" s="206">
        <v>0.0</v>
      </c>
      <c r="O275" s="207"/>
      <c r="P275" s="206">
        <v>0.0</v>
      </c>
      <c r="Q275" s="207"/>
      <c r="R275" s="216">
        <v>0.0</v>
      </c>
      <c r="S275" s="73"/>
      <c r="T275" s="216">
        <v>0.0</v>
      </c>
      <c r="U275" s="73"/>
      <c r="V275" s="216">
        <v>0.0</v>
      </c>
      <c r="W275" s="73"/>
      <c r="X275" s="216">
        <v>0.0</v>
      </c>
      <c r="Y275" s="73"/>
      <c r="Z275" s="216">
        <v>0.0</v>
      </c>
      <c r="AA275" s="73"/>
      <c r="AB275" s="216">
        <v>0.0</v>
      </c>
      <c r="AC275" s="73"/>
      <c r="AD275" s="216">
        <v>0.0</v>
      </c>
      <c r="AE275" s="73"/>
      <c r="AF275" s="216">
        <v>0.0</v>
      </c>
      <c r="AG275" s="73"/>
      <c r="AH275" s="216">
        <v>0.0</v>
      </c>
      <c r="AI275" s="73"/>
      <c r="AJ275" s="216">
        <v>0.0</v>
      </c>
      <c r="AK275" s="73"/>
      <c r="AL275" s="216">
        <v>0.0</v>
      </c>
      <c r="AM275" s="73"/>
      <c r="AN275" s="216">
        <v>0.0</v>
      </c>
      <c r="AO275" s="73"/>
      <c r="AP275" s="208">
        <f t="shared" si="12"/>
        <v>0</v>
      </c>
      <c r="AQ275" s="209">
        <f t="shared" si="10"/>
        <v>0</v>
      </c>
      <c r="AR275" s="209">
        <f t="shared" si="3"/>
        <v>0</v>
      </c>
      <c r="AS275" s="209">
        <f t="shared" si="4"/>
        <v>0</v>
      </c>
      <c r="AT275" s="210" t="str">
        <f t="shared" si="5"/>
        <v/>
      </c>
    </row>
    <row r="276" ht="15.75" customHeight="1">
      <c r="A276" s="325" t="s">
        <v>21</v>
      </c>
      <c r="B276" s="326">
        <f t="shared" si="6"/>
        <v>45201</v>
      </c>
      <c r="C276" s="292">
        <v>10.0</v>
      </c>
      <c r="D276" s="292" t="s">
        <v>37</v>
      </c>
      <c r="E276" s="296"/>
      <c r="F276" s="376"/>
      <c r="G276" s="190"/>
      <c r="H276" s="376"/>
      <c r="I276" s="190"/>
      <c r="J276" s="376"/>
      <c r="K276" s="190"/>
      <c r="L276" s="376"/>
      <c r="M276" s="190"/>
      <c r="N276" s="294">
        <v>45.0</v>
      </c>
      <c r="O276" s="190"/>
      <c r="P276" s="294">
        <v>80.0</v>
      </c>
      <c r="Q276" s="190"/>
      <c r="R276" s="294">
        <v>0.0</v>
      </c>
      <c r="S276" s="190"/>
      <c r="T276" s="294">
        <v>0.0</v>
      </c>
      <c r="U276" s="190"/>
      <c r="V276" s="294">
        <v>0.0</v>
      </c>
      <c r="W276" s="190"/>
      <c r="X276" s="294">
        <v>0.0</v>
      </c>
      <c r="Y276" s="190"/>
      <c r="Z276" s="294">
        <v>0.0</v>
      </c>
      <c r="AA276" s="190"/>
      <c r="AB276" s="294">
        <v>0.0</v>
      </c>
      <c r="AC276" s="190"/>
      <c r="AD276" s="294">
        <v>0.0</v>
      </c>
      <c r="AE276" s="190"/>
      <c r="AF276" s="294">
        <v>0.0</v>
      </c>
      <c r="AG276" s="190"/>
      <c r="AH276" s="294">
        <v>0.0</v>
      </c>
      <c r="AI276" s="190"/>
      <c r="AJ276" s="294">
        <v>0.0</v>
      </c>
      <c r="AK276" s="190"/>
      <c r="AL276" s="294">
        <v>0.0</v>
      </c>
      <c r="AM276" s="190"/>
      <c r="AN276" s="294">
        <v>0.0</v>
      </c>
      <c r="AO276" s="190"/>
      <c r="AP276" s="295">
        <f t="shared" si="12"/>
        <v>2312.7</v>
      </c>
      <c r="AQ276" s="296">
        <f t="shared" si="10"/>
        <v>125</v>
      </c>
      <c r="AR276" s="296">
        <f t="shared" si="3"/>
        <v>0</v>
      </c>
      <c r="AS276" s="296">
        <f t="shared" si="4"/>
        <v>125</v>
      </c>
      <c r="AT276" s="297">
        <f t="shared" si="5"/>
        <v>18.5016</v>
      </c>
    </row>
    <row r="277" ht="15.75" customHeight="1">
      <c r="A277" s="327" t="s">
        <v>23</v>
      </c>
      <c r="B277" s="144">
        <f t="shared" si="6"/>
        <v>45202</v>
      </c>
      <c r="C277" s="145">
        <v>10.0</v>
      </c>
      <c r="D277" s="145" t="s">
        <v>37</v>
      </c>
      <c r="E277" s="150"/>
      <c r="F277" s="148"/>
      <c r="G277" s="3"/>
      <c r="H277" s="148"/>
      <c r="I277" s="3"/>
      <c r="J277" s="148"/>
      <c r="K277" s="3"/>
      <c r="L277" s="148"/>
      <c r="M277" s="3"/>
      <c r="N277" s="147">
        <v>80.0</v>
      </c>
      <c r="O277" s="3"/>
      <c r="P277" s="147">
        <v>80.0</v>
      </c>
      <c r="Q277" s="3"/>
      <c r="R277" s="147">
        <v>0.0</v>
      </c>
      <c r="S277" s="3"/>
      <c r="T277" s="147">
        <v>0.0</v>
      </c>
      <c r="U277" s="3"/>
      <c r="V277" s="147">
        <v>0.0</v>
      </c>
      <c r="W277" s="3"/>
      <c r="X277" s="147">
        <v>0.0</v>
      </c>
      <c r="Y277" s="3"/>
      <c r="Z277" s="147">
        <v>1.0</v>
      </c>
      <c r="AA277" s="3"/>
      <c r="AB277" s="147">
        <v>0.0</v>
      </c>
      <c r="AC277" s="3"/>
      <c r="AD277" s="147">
        <v>0.0</v>
      </c>
      <c r="AE277" s="3"/>
      <c r="AF277" s="147">
        <v>0.0</v>
      </c>
      <c r="AG277" s="3"/>
      <c r="AH277" s="147">
        <v>0.0</v>
      </c>
      <c r="AI277" s="3"/>
      <c r="AJ277" s="147">
        <v>0.0</v>
      </c>
      <c r="AK277" s="3"/>
      <c r="AL277" s="147">
        <v>0.0</v>
      </c>
      <c r="AM277" s="3"/>
      <c r="AN277" s="147">
        <v>0.0</v>
      </c>
      <c r="AO277" s="3"/>
      <c r="AP277" s="149">
        <f t="shared" si="12"/>
        <v>2963.2</v>
      </c>
      <c r="AQ277" s="150">
        <f t="shared" si="10"/>
        <v>160</v>
      </c>
      <c r="AR277" s="150">
        <f t="shared" si="3"/>
        <v>0</v>
      </c>
      <c r="AS277" s="150">
        <f t="shared" si="4"/>
        <v>161</v>
      </c>
      <c r="AT277" s="299">
        <f t="shared" si="5"/>
        <v>18.40496894</v>
      </c>
    </row>
    <row r="278" ht="15.75" customHeight="1">
      <c r="A278" s="327" t="s">
        <v>24</v>
      </c>
      <c r="B278" s="144">
        <f t="shared" si="6"/>
        <v>45203</v>
      </c>
      <c r="C278" s="145">
        <v>10.0</v>
      </c>
      <c r="D278" s="145" t="s">
        <v>37</v>
      </c>
      <c r="E278" s="150"/>
      <c r="F278" s="148"/>
      <c r="G278" s="3"/>
      <c r="H278" s="148"/>
      <c r="I278" s="3"/>
      <c r="J278" s="148"/>
      <c r="K278" s="3"/>
      <c r="L278" s="148"/>
      <c r="M278" s="3"/>
      <c r="N278" s="147">
        <v>80.0</v>
      </c>
      <c r="O278" s="3"/>
      <c r="P278" s="147">
        <v>80.0</v>
      </c>
      <c r="Q278" s="3"/>
      <c r="R278" s="147">
        <v>0.0</v>
      </c>
      <c r="S278" s="3"/>
      <c r="T278" s="147">
        <v>0.0</v>
      </c>
      <c r="U278" s="3"/>
      <c r="V278" s="147">
        <v>0.0</v>
      </c>
      <c r="W278" s="3"/>
      <c r="X278" s="147">
        <v>0.0</v>
      </c>
      <c r="Y278" s="3"/>
      <c r="Z278" s="147">
        <v>0.0</v>
      </c>
      <c r="AA278" s="3"/>
      <c r="AB278" s="147">
        <v>1.0</v>
      </c>
      <c r="AC278" s="3"/>
      <c r="AD278" s="147">
        <v>0.0</v>
      </c>
      <c r="AE278" s="3"/>
      <c r="AF278" s="147">
        <v>0.0</v>
      </c>
      <c r="AG278" s="3"/>
      <c r="AH278" s="147">
        <v>0.0</v>
      </c>
      <c r="AI278" s="3"/>
      <c r="AJ278" s="147">
        <v>0.0</v>
      </c>
      <c r="AK278" s="3"/>
      <c r="AL278" s="147">
        <v>0.0</v>
      </c>
      <c r="AM278" s="3"/>
      <c r="AN278" s="147">
        <v>0.0</v>
      </c>
      <c r="AO278" s="3"/>
      <c r="AP278" s="149">
        <f t="shared" si="12"/>
        <v>3008.2</v>
      </c>
      <c r="AQ278" s="150">
        <f t="shared" si="10"/>
        <v>160</v>
      </c>
      <c r="AR278" s="150">
        <f t="shared" si="3"/>
        <v>0</v>
      </c>
      <c r="AS278" s="150">
        <f t="shared" si="4"/>
        <v>161</v>
      </c>
      <c r="AT278" s="299">
        <f t="shared" si="5"/>
        <v>18.68447205</v>
      </c>
    </row>
    <row r="279" ht="15.75" customHeight="1">
      <c r="A279" s="327" t="s">
        <v>25</v>
      </c>
      <c r="B279" s="144">
        <f t="shared" si="6"/>
        <v>45204</v>
      </c>
      <c r="C279" s="145">
        <v>10.0</v>
      </c>
      <c r="D279" s="145" t="s">
        <v>37</v>
      </c>
      <c r="E279" s="150"/>
      <c r="F279" s="148"/>
      <c r="G279" s="3"/>
      <c r="H279" s="148"/>
      <c r="I279" s="3"/>
      <c r="J279" s="148"/>
      <c r="K279" s="3"/>
      <c r="L279" s="148"/>
      <c r="M279" s="3"/>
      <c r="N279" s="147">
        <v>80.0</v>
      </c>
      <c r="O279" s="3"/>
      <c r="P279" s="147">
        <v>80.0</v>
      </c>
      <c r="Q279" s="3"/>
      <c r="R279" s="147">
        <v>0.0</v>
      </c>
      <c r="S279" s="3"/>
      <c r="T279" s="147">
        <v>0.0</v>
      </c>
      <c r="U279" s="3"/>
      <c r="V279" s="147">
        <v>0.0</v>
      </c>
      <c r="W279" s="3"/>
      <c r="X279" s="147">
        <v>0.0</v>
      </c>
      <c r="Y279" s="3"/>
      <c r="Z279" s="147">
        <v>0.0</v>
      </c>
      <c r="AA279" s="3"/>
      <c r="AB279" s="147">
        <v>0.0</v>
      </c>
      <c r="AC279" s="3"/>
      <c r="AD279" s="147">
        <v>0.0</v>
      </c>
      <c r="AE279" s="3"/>
      <c r="AF279" s="147">
        <v>0.0</v>
      </c>
      <c r="AG279" s="3"/>
      <c r="AH279" s="147">
        <v>0.0</v>
      </c>
      <c r="AI279" s="3"/>
      <c r="AJ279" s="147">
        <v>0.0</v>
      </c>
      <c r="AK279" s="3"/>
      <c r="AL279" s="147">
        <v>0.0</v>
      </c>
      <c r="AM279" s="3"/>
      <c r="AN279" s="147">
        <v>0.0</v>
      </c>
      <c r="AO279" s="3"/>
      <c r="AP279" s="149">
        <f t="shared" si="12"/>
        <v>2883.2</v>
      </c>
      <c r="AQ279" s="150">
        <f t="shared" si="10"/>
        <v>160</v>
      </c>
      <c r="AR279" s="150">
        <f t="shared" si="3"/>
        <v>0</v>
      </c>
      <c r="AS279" s="150">
        <f t="shared" si="4"/>
        <v>160</v>
      </c>
      <c r="AT279" s="299">
        <f t="shared" si="5"/>
        <v>18.02</v>
      </c>
    </row>
    <row r="280" ht="15.75" customHeight="1">
      <c r="A280" s="327" t="s">
        <v>26</v>
      </c>
      <c r="B280" s="144">
        <f t="shared" si="6"/>
        <v>45205</v>
      </c>
      <c r="C280" s="145">
        <v>10.0</v>
      </c>
      <c r="D280" s="145" t="s">
        <v>37</v>
      </c>
      <c r="E280" s="150"/>
      <c r="F280" s="148"/>
      <c r="G280" s="3"/>
      <c r="H280" s="148"/>
      <c r="I280" s="3"/>
      <c r="J280" s="148"/>
      <c r="K280" s="3"/>
      <c r="L280" s="148"/>
      <c r="M280" s="3"/>
      <c r="N280" s="147">
        <v>40.0</v>
      </c>
      <c r="O280" s="3"/>
      <c r="P280" s="147">
        <v>40.0</v>
      </c>
      <c r="Q280" s="3"/>
      <c r="R280" s="147">
        <v>0.0</v>
      </c>
      <c r="S280" s="3"/>
      <c r="T280" s="147">
        <v>0.0</v>
      </c>
      <c r="U280" s="3"/>
      <c r="V280" s="147">
        <v>0.0</v>
      </c>
      <c r="W280" s="3"/>
      <c r="X280" s="147">
        <v>0.0</v>
      </c>
      <c r="Y280" s="3"/>
      <c r="Z280" s="147">
        <v>0.0</v>
      </c>
      <c r="AA280" s="3"/>
      <c r="AB280" s="147">
        <v>0.0</v>
      </c>
      <c r="AC280" s="3"/>
      <c r="AD280" s="147">
        <v>0.0</v>
      </c>
      <c r="AE280" s="3"/>
      <c r="AF280" s="147">
        <v>0.0</v>
      </c>
      <c r="AG280" s="3"/>
      <c r="AH280" s="147">
        <v>0.0</v>
      </c>
      <c r="AI280" s="3"/>
      <c r="AJ280" s="147">
        <v>0.0</v>
      </c>
      <c r="AK280" s="3"/>
      <c r="AL280" s="147">
        <v>0.0</v>
      </c>
      <c r="AM280" s="3"/>
      <c r="AN280" s="147">
        <v>0.0</v>
      </c>
      <c r="AO280" s="3"/>
      <c r="AP280" s="149">
        <f t="shared" si="12"/>
        <v>1441.6</v>
      </c>
      <c r="AQ280" s="150">
        <f t="shared" si="10"/>
        <v>80</v>
      </c>
      <c r="AR280" s="150">
        <f t="shared" si="3"/>
        <v>0</v>
      </c>
      <c r="AS280" s="150">
        <f t="shared" si="4"/>
        <v>80</v>
      </c>
      <c r="AT280" s="299">
        <f t="shared" si="5"/>
        <v>18.02</v>
      </c>
    </row>
    <row r="281" ht="15.75" customHeight="1">
      <c r="A281" s="327" t="s">
        <v>27</v>
      </c>
      <c r="B281" s="144">
        <f t="shared" si="6"/>
        <v>45206</v>
      </c>
      <c r="C281" s="145">
        <v>10.0</v>
      </c>
      <c r="D281" s="145" t="s">
        <v>37</v>
      </c>
      <c r="E281" s="150"/>
      <c r="F281" s="148"/>
      <c r="G281" s="3"/>
      <c r="H281" s="148"/>
      <c r="I281" s="3"/>
      <c r="J281" s="148"/>
      <c r="K281" s="3"/>
      <c r="L281" s="148"/>
      <c r="M281" s="3"/>
      <c r="N281" s="147">
        <v>0.0</v>
      </c>
      <c r="O281" s="3"/>
      <c r="P281" s="147">
        <v>0.0</v>
      </c>
      <c r="Q281" s="3"/>
      <c r="R281" s="147">
        <v>0.0</v>
      </c>
      <c r="S281" s="3"/>
      <c r="T281" s="147">
        <v>0.0</v>
      </c>
      <c r="U281" s="3"/>
      <c r="V281" s="147">
        <v>0.0</v>
      </c>
      <c r="W281" s="3"/>
      <c r="X281" s="147">
        <v>0.0</v>
      </c>
      <c r="Y281" s="3"/>
      <c r="Z281" s="147">
        <v>0.0</v>
      </c>
      <c r="AA281" s="3"/>
      <c r="AB281" s="147">
        <v>0.0</v>
      </c>
      <c r="AC281" s="3"/>
      <c r="AD281" s="147">
        <v>0.0</v>
      </c>
      <c r="AE281" s="3"/>
      <c r="AF281" s="147">
        <v>0.0</v>
      </c>
      <c r="AG281" s="3"/>
      <c r="AH281" s="147">
        <v>0.0</v>
      </c>
      <c r="AI281" s="3"/>
      <c r="AJ281" s="147">
        <v>0.0</v>
      </c>
      <c r="AK281" s="3"/>
      <c r="AL281" s="147">
        <v>0.0</v>
      </c>
      <c r="AM281" s="3"/>
      <c r="AN281" s="147">
        <v>0.0</v>
      </c>
      <c r="AO281" s="3"/>
      <c r="AP281" s="149">
        <f t="shared" si="12"/>
        <v>0</v>
      </c>
      <c r="AQ281" s="150">
        <f t="shared" si="10"/>
        <v>0</v>
      </c>
      <c r="AR281" s="150">
        <f t="shared" si="3"/>
        <v>0</v>
      </c>
      <c r="AS281" s="150">
        <f t="shared" si="4"/>
        <v>0</v>
      </c>
      <c r="AT281" s="299" t="str">
        <f t="shared" si="5"/>
        <v/>
      </c>
    </row>
    <row r="282" ht="15.75" customHeight="1">
      <c r="A282" s="329" t="s">
        <v>28</v>
      </c>
      <c r="B282" s="330">
        <f t="shared" si="6"/>
        <v>45207</v>
      </c>
      <c r="C282" s="331">
        <v>10.0</v>
      </c>
      <c r="D282" s="331" t="s">
        <v>37</v>
      </c>
      <c r="E282" s="335"/>
      <c r="F282" s="377"/>
      <c r="G282" s="207"/>
      <c r="H282" s="377"/>
      <c r="I282" s="207"/>
      <c r="J282" s="377"/>
      <c r="K282" s="207"/>
      <c r="L282" s="377"/>
      <c r="M282" s="207"/>
      <c r="N282" s="333">
        <v>0.0</v>
      </c>
      <c r="O282" s="207"/>
      <c r="P282" s="333">
        <v>0.0</v>
      </c>
      <c r="Q282" s="207"/>
      <c r="R282" s="333">
        <v>0.0</v>
      </c>
      <c r="S282" s="207"/>
      <c r="T282" s="333">
        <v>0.0</v>
      </c>
      <c r="U282" s="207"/>
      <c r="V282" s="333">
        <v>0.0</v>
      </c>
      <c r="W282" s="207"/>
      <c r="X282" s="333">
        <v>0.0</v>
      </c>
      <c r="Y282" s="207"/>
      <c r="Z282" s="333">
        <v>0.0</v>
      </c>
      <c r="AA282" s="207"/>
      <c r="AB282" s="333">
        <v>0.0</v>
      </c>
      <c r="AC282" s="207"/>
      <c r="AD282" s="333">
        <v>0.0</v>
      </c>
      <c r="AE282" s="207"/>
      <c r="AF282" s="333">
        <v>0.0</v>
      </c>
      <c r="AG282" s="207"/>
      <c r="AH282" s="333">
        <v>0.0</v>
      </c>
      <c r="AI282" s="207"/>
      <c r="AJ282" s="333">
        <v>0.0</v>
      </c>
      <c r="AK282" s="207"/>
      <c r="AL282" s="333">
        <v>0.0</v>
      </c>
      <c r="AM282" s="207"/>
      <c r="AN282" s="333">
        <v>0.0</v>
      </c>
      <c r="AO282" s="207"/>
      <c r="AP282" s="334">
        <f t="shared" si="12"/>
        <v>0</v>
      </c>
      <c r="AQ282" s="335">
        <f t="shared" si="10"/>
        <v>0</v>
      </c>
      <c r="AR282" s="335">
        <f t="shared" si="3"/>
        <v>0</v>
      </c>
      <c r="AS282" s="335">
        <f t="shared" si="4"/>
        <v>0</v>
      </c>
      <c r="AT282" s="336" t="str">
        <f t="shared" si="5"/>
        <v/>
      </c>
    </row>
    <row r="283" ht="15.75" customHeight="1">
      <c r="A283" s="378" t="s">
        <v>21</v>
      </c>
      <c r="B283" s="118">
        <f t="shared" si="6"/>
        <v>45208</v>
      </c>
      <c r="C283" s="119">
        <v>11.0</v>
      </c>
      <c r="D283" s="119" t="s">
        <v>22</v>
      </c>
      <c r="E283" s="277"/>
      <c r="F283" s="379">
        <v>0.0</v>
      </c>
      <c r="G283" s="58"/>
      <c r="H283" s="379">
        <v>0.0</v>
      </c>
      <c r="I283" s="58"/>
      <c r="J283" s="379">
        <v>0.0</v>
      </c>
      <c r="K283" s="58"/>
      <c r="L283" s="379">
        <v>0.0</v>
      </c>
      <c r="M283" s="58"/>
      <c r="N283" s="379">
        <v>30.0</v>
      </c>
      <c r="O283" s="58"/>
      <c r="P283" s="379">
        <v>30.0</v>
      </c>
      <c r="Q283" s="58"/>
      <c r="R283" s="379">
        <v>0.0</v>
      </c>
      <c r="S283" s="58"/>
      <c r="T283" s="379">
        <v>0.0</v>
      </c>
      <c r="U283" s="58"/>
      <c r="V283" s="379">
        <v>0.0</v>
      </c>
      <c r="W283" s="58"/>
      <c r="X283" s="379">
        <v>0.0</v>
      </c>
      <c r="Y283" s="58"/>
      <c r="Z283" s="379">
        <v>0.0</v>
      </c>
      <c r="AA283" s="58"/>
      <c r="AB283" s="379">
        <v>0.0</v>
      </c>
      <c r="AC283" s="58"/>
      <c r="AD283" s="379">
        <v>0.0</v>
      </c>
      <c r="AE283" s="58"/>
      <c r="AF283" s="379">
        <v>0.0</v>
      </c>
      <c r="AG283" s="58"/>
      <c r="AH283" s="379">
        <v>0.0</v>
      </c>
      <c r="AI283" s="58"/>
      <c r="AJ283" s="379">
        <v>0.0</v>
      </c>
      <c r="AK283" s="58"/>
      <c r="AL283" s="379">
        <v>0.0</v>
      </c>
      <c r="AM283" s="58"/>
      <c r="AN283" s="379">
        <v>0.0</v>
      </c>
      <c r="AO283" s="58"/>
      <c r="AP283" s="380">
        <f t="shared" si="12"/>
        <v>1081.2</v>
      </c>
      <c r="AQ283" s="277">
        <f t="shared" si="10"/>
        <v>60</v>
      </c>
      <c r="AR283" s="277">
        <f t="shared" si="3"/>
        <v>0</v>
      </c>
      <c r="AS283" s="277">
        <f t="shared" si="4"/>
        <v>60</v>
      </c>
      <c r="AT283" s="380">
        <f t="shared" si="5"/>
        <v>18.02</v>
      </c>
    </row>
    <row r="284" ht="15.75" customHeight="1">
      <c r="A284" s="378" t="s">
        <v>23</v>
      </c>
      <c r="B284" s="118">
        <f t="shared" si="6"/>
        <v>45209</v>
      </c>
      <c r="C284" s="119">
        <v>11.0</v>
      </c>
      <c r="D284" s="119" t="s">
        <v>22</v>
      </c>
      <c r="E284" s="124"/>
      <c r="F284" s="379">
        <v>0.0</v>
      </c>
      <c r="G284" s="58"/>
      <c r="H284" s="379">
        <v>0.0</v>
      </c>
      <c r="I284" s="58"/>
      <c r="J284" s="379">
        <v>0.0</v>
      </c>
      <c r="K284" s="58"/>
      <c r="L284" s="379">
        <v>0.0</v>
      </c>
      <c r="M284" s="58"/>
      <c r="N284" s="121">
        <v>30.0</v>
      </c>
      <c r="O284" s="3"/>
      <c r="P284" s="121">
        <v>30.0</v>
      </c>
      <c r="Q284" s="3"/>
      <c r="R284" s="379">
        <v>0.0</v>
      </c>
      <c r="S284" s="58"/>
      <c r="T284" s="379">
        <v>0.0</v>
      </c>
      <c r="U284" s="58"/>
      <c r="V284" s="379">
        <v>0.0</v>
      </c>
      <c r="W284" s="58"/>
      <c r="X284" s="379">
        <v>0.0</v>
      </c>
      <c r="Y284" s="58"/>
      <c r="Z284" s="379">
        <v>0.0</v>
      </c>
      <c r="AA284" s="58"/>
      <c r="AB284" s="379">
        <v>0.0</v>
      </c>
      <c r="AC284" s="58"/>
      <c r="AD284" s="379">
        <v>0.0</v>
      </c>
      <c r="AE284" s="58"/>
      <c r="AF284" s="379">
        <v>0.0</v>
      </c>
      <c r="AG284" s="58"/>
      <c r="AH284" s="379">
        <v>0.0</v>
      </c>
      <c r="AI284" s="58"/>
      <c r="AJ284" s="379">
        <v>0.0</v>
      </c>
      <c r="AK284" s="58"/>
      <c r="AL284" s="379">
        <v>0.0</v>
      </c>
      <c r="AM284" s="58"/>
      <c r="AN284" s="379">
        <v>0.0</v>
      </c>
      <c r="AO284" s="58"/>
      <c r="AP284" s="123">
        <f t="shared" si="12"/>
        <v>1081.2</v>
      </c>
      <c r="AQ284" s="124">
        <f t="shared" si="10"/>
        <v>60</v>
      </c>
      <c r="AR284" s="124">
        <f t="shared" si="3"/>
        <v>0</v>
      </c>
      <c r="AS284" s="124">
        <f t="shared" si="4"/>
        <v>60</v>
      </c>
      <c r="AT284" s="123">
        <f t="shared" si="5"/>
        <v>18.02</v>
      </c>
    </row>
    <row r="285" ht="15.75" customHeight="1">
      <c r="A285" s="378" t="s">
        <v>24</v>
      </c>
      <c r="B285" s="118">
        <f t="shared" si="6"/>
        <v>45210</v>
      </c>
      <c r="C285" s="119">
        <v>11.0</v>
      </c>
      <c r="D285" s="119" t="s">
        <v>22</v>
      </c>
      <c r="E285" s="124"/>
      <c r="F285" s="379">
        <v>0.0</v>
      </c>
      <c r="G285" s="58"/>
      <c r="H285" s="379">
        <v>0.0</v>
      </c>
      <c r="I285" s="58"/>
      <c r="J285" s="379">
        <v>0.0</v>
      </c>
      <c r="K285" s="58"/>
      <c r="L285" s="379">
        <v>0.0</v>
      </c>
      <c r="M285" s="58"/>
      <c r="N285" s="121">
        <v>30.0</v>
      </c>
      <c r="O285" s="3"/>
      <c r="P285" s="121">
        <v>30.0</v>
      </c>
      <c r="Q285" s="3"/>
      <c r="R285" s="379">
        <v>0.0</v>
      </c>
      <c r="S285" s="58"/>
      <c r="T285" s="379">
        <v>0.0</v>
      </c>
      <c r="U285" s="58"/>
      <c r="V285" s="379">
        <v>0.0</v>
      </c>
      <c r="W285" s="58"/>
      <c r="X285" s="379">
        <v>0.0</v>
      </c>
      <c r="Y285" s="58"/>
      <c r="Z285" s="379">
        <v>0.0</v>
      </c>
      <c r="AA285" s="58"/>
      <c r="AB285" s="379">
        <v>0.0</v>
      </c>
      <c r="AC285" s="58"/>
      <c r="AD285" s="379">
        <v>0.0</v>
      </c>
      <c r="AE285" s="58"/>
      <c r="AF285" s="379">
        <v>0.0</v>
      </c>
      <c r="AG285" s="58"/>
      <c r="AH285" s="379">
        <v>0.0</v>
      </c>
      <c r="AI285" s="58"/>
      <c r="AJ285" s="379">
        <v>0.0</v>
      </c>
      <c r="AK285" s="58"/>
      <c r="AL285" s="379">
        <v>0.0</v>
      </c>
      <c r="AM285" s="58"/>
      <c r="AN285" s="379">
        <v>0.0</v>
      </c>
      <c r="AO285" s="58"/>
      <c r="AP285" s="123">
        <f t="shared" si="12"/>
        <v>1081.2</v>
      </c>
      <c r="AQ285" s="124">
        <f t="shared" si="10"/>
        <v>60</v>
      </c>
      <c r="AR285" s="124">
        <f t="shared" si="3"/>
        <v>0</v>
      </c>
      <c r="AS285" s="124">
        <f t="shared" si="4"/>
        <v>60</v>
      </c>
      <c r="AT285" s="123">
        <f t="shared" si="5"/>
        <v>18.02</v>
      </c>
    </row>
    <row r="286" ht="15.75" customHeight="1">
      <c r="A286" s="378" t="s">
        <v>25</v>
      </c>
      <c r="B286" s="118">
        <f t="shared" si="6"/>
        <v>45211</v>
      </c>
      <c r="C286" s="119">
        <v>11.0</v>
      </c>
      <c r="D286" s="119" t="s">
        <v>22</v>
      </c>
      <c r="E286" s="124"/>
      <c r="F286" s="379">
        <v>0.0</v>
      </c>
      <c r="G286" s="58"/>
      <c r="H286" s="379">
        <v>0.0</v>
      </c>
      <c r="I286" s="58"/>
      <c r="J286" s="379">
        <v>0.0</v>
      </c>
      <c r="K286" s="58"/>
      <c r="L286" s="379">
        <v>0.0</v>
      </c>
      <c r="M286" s="58"/>
      <c r="N286" s="121">
        <v>30.0</v>
      </c>
      <c r="O286" s="3"/>
      <c r="P286" s="121">
        <v>30.0</v>
      </c>
      <c r="Q286" s="3"/>
      <c r="R286" s="379">
        <v>0.0</v>
      </c>
      <c r="S286" s="58"/>
      <c r="T286" s="379">
        <v>0.0</v>
      </c>
      <c r="U286" s="58"/>
      <c r="V286" s="379">
        <v>0.0</v>
      </c>
      <c r="W286" s="58"/>
      <c r="X286" s="379">
        <v>0.0</v>
      </c>
      <c r="Y286" s="58"/>
      <c r="Z286" s="379">
        <v>0.0</v>
      </c>
      <c r="AA286" s="58"/>
      <c r="AB286" s="379">
        <v>0.0</v>
      </c>
      <c r="AC286" s="58"/>
      <c r="AD286" s="379">
        <v>0.0</v>
      </c>
      <c r="AE286" s="58"/>
      <c r="AF286" s="379">
        <v>0.0</v>
      </c>
      <c r="AG286" s="58"/>
      <c r="AH286" s="379">
        <v>0.0</v>
      </c>
      <c r="AI286" s="58"/>
      <c r="AJ286" s="379">
        <v>0.0</v>
      </c>
      <c r="AK286" s="58"/>
      <c r="AL286" s="379">
        <v>0.0</v>
      </c>
      <c r="AM286" s="58"/>
      <c r="AN286" s="379">
        <v>0.0</v>
      </c>
      <c r="AO286" s="58"/>
      <c r="AP286" s="123">
        <f t="shared" si="12"/>
        <v>1081.2</v>
      </c>
      <c r="AQ286" s="124">
        <f t="shared" si="10"/>
        <v>60</v>
      </c>
      <c r="AR286" s="124">
        <f t="shared" si="3"/>
        <v>0</v>
      </c>
      <c r="AS286" s="124">
        <f t="shared" si="4"/>
        <v>60</v>
      </c>
      <c r="AT286" s="123">
        <f t="shared" si="5"/>
        <v>18.02</v>
      </c>
    </row>
    <row r="287" ht="15.75" customHeight="1">
      <c r="A287" s="378" t="s">
        <v>26</v>
      </c>
      <c r="B287" s="118">
        <f t="shared" si="6"/>
        <v>45212</v>
      </c>
      <c r="C287" s="119">
        <v>11.0</v>
      </c>
      <c r="D287" s="119" t="s">
        <v>22</v>
      </c>
      <c r="E287" s="124"/>
      <c r="F287" s="379">
        <v>0.0</v>
      </c>
      <c r="G287" s="58"/>
      <c r="H287" s="379">
        <v>0.0</v>
      </c>
      <c r="I287" s="58"/>
      <c r="J287" s="379">
        <v>0.0</v>
      </c>
      <c r="K287" s="58"/>
      <c r="L287" s="379">
        <v>0.0</v>
      </c>
      <c r="M287" s="58"/>
      <c r="N287" s="121">
        <v>30.0</v>
      </c>
      <c r="O287" s="3"/>
      <c r="P287" s="121">
        <v>30.0</v>
      </c>
      <c r="Q287" s="3"/>
      <c r="R287" s="379">
        <v>0.0</v>
      </c>
      <c r="S287" s="58"/>
      <c r="T287" s="379">
        <v>0.0</v>
      </c>
      <c r="U287" s="58"/>
      <c r="V287" s="379">
        <v>0.0</v>
      </c>
      <c r="W287" s="58"/>
      <c r="X287" s="379">
        <v>0.0</v>
      </c>
      <c r="Y287" s="58"/>
      <c r="Z287" s="379">
        <v>0.0</v>
      </c>
      <c r="AA287" s="58"/>
      <c r="AB287" s="379">
        <v>0.0</v>
      </c>
      <c r="AC287" s="58"/>
      <c r="AD287" s="379">
        <v>0.0</v>
      </c>
      <c r="AE287" s="58"/>
      <c r="AF287" s="379">
        <v>0.0</v>
      </c>
      <c r="AG287" s="58"/>
      <c r="AH287" s="379">
        <v>0.0</v>
      </c>
      <c r="AI287" s="58"/>
      <c r="AJ287" s="379">
        <v>0.0</v>
      </c>
      <c r="AK287" s="58"/>
      <c r="AL287" s="379">
        <v>0.0</v>
      </c>
      <c r="AM287" s="58"/>
      <c r="AN287" s="379">
        <v>0.0</v>
      </c>
      <c r="AO287" s="58"/>
      <c r="AP287" s="123">
        <f t="shared" si="12"/>
        <v>1081.2</v>
      </c>
      <c r="AQ287" s="124">
        <f t="shared" si="10"/>
        <v>60</v>
      </c>
      <c r="AR287" s="124">
        <f t="shared" si="3"/>
        <v>0</v>
      </c>
      <c r="AS287" s="124">
        <f t="shared" si="4"/>
        <v>60</v>
      </c>
      <c r="AT287" s="123">
        <f t="shared" si="5"/>
        <v>18.02</v>
      </c>
    </row>
    <row r="288" ht="15.75" customHeight="1">
      <c r="A288" s="378" t="s">
        <v>27</v>
      </c>
      <c r="B288" s="118">
        <f t="shared" si="6"/>
        <v>45213</v>
      </c>
      <c r="C288" s="119">
        <v>11.0</v>
      </c>
      <c r="D288" s="119" t="s">
        <v>22</v>
      </c>
      <c r="E288" s="124"/>
      <c r="F288" s="379">
        <v>0.0</v>
      </c>
      <c r="G288" s="58"/>
      <c r="H288" s="379">
        <v>0.0</v>
      </c>
      <c r="I288" s="58"/>
      <c r="J288" s="379">
        <v>0.0</v>
      </c>
      <c r="K288" s="58"/>
      <c r="L288" s="379">
        <v>0.0</v>
      </c>
      <c r="M288" s="58"/>
      <c r="N288" s="121">
        <v>0.0</v>
      </c>
      <c r="O288" s="3"/>
      <c r="P288" s="121">
        <v>0.0</v>
      </c>
      <c r="Q288" s="3"/>
      <c r="R288" s="379">
        <v>0.0</v>
      </c>
      <c r="S288" s="58"/>
      <c r="T288" s="379">
        <v>0.0</v>
      </c>
      <c r="U288" s="58"/>
      <c r="V288" s="379">
        <v>0.0</v>
      </c>
      <c r="W288" s="58"/>
      <c r="X288" s="379">
        <v>0.0</v>
      </c>
      <c r="Y288" s="58"/>
      <c r="Z288" s="379">
        <v>0.0</v>
      </c>
      <c r="AA288" s="58"/>
      <c r="AB288" s="379">
        <v>0.0</v>
      </c>
      <c r="AC288" s="58"/>
      <c r="AD288" s="379">
        <v>0.0</v>
      </c>
      <c r="AE288" s="58"/>
      <c r="AF288" s="379">
        <v>0.0</v>
      </c>
      <c r="AG288" s="58"/>
      <c r="AH288" s="379">
        <v>0.0</v>
      </c>
      <c r="AI288" s="58"/>
      <c r="AJ288" s="379">
        <v>0.0</v>
      </c>
      <c r="AK288" s="58"/>
      <c r="AL288" s="379">
        <v>0.0</v>
      </c>
      <c r="AM288" s="58"/>
      <c r="AN288" s="379">
        <v>0.0</v>
      </c>
      <c r="AO288" s="58"/>
      <c r="AP288" s="123">
        <f t="shared" si="12"/>
        <v>0</v>
      </c>
      <c r="AQ288" s="124">
        <f t="shared" si="10"/>
        <v>0</v>
      </c>
      <c r="AR288" s="124">
        <f t="shared" si="3"/>
        <v>0</v>
      </c>
      <c r="AS288" s="124">
        <f t="shared" si="4"/>
        <v>0</v>
      </c>
      <c r="AT288" s="123" t="str">
        <f t="shared" si="5"/>
        <v/>
      </c>
    </row>
    <row r="289" ht="15.75" customHeight="1">
      <c r="A289" s="381" t="s">
        <v>28</v>
      </c>
      <c r="B289" s="382">
        <f t="shared" si="6"/>
        <v>45214</v>
      </c>
      <c r="C289" s="277">
        <v>11.0</v>
      </c>
      <c r="D289" s="277" t="s">
        <v>22</v>
      </c>
      <c r="E289" s="124"/>
      <c r="F289" s="379">
        <v>0.0</v>
      </c>
      <c r="G289" s="58"/>
      <c r="H289" s="379">
        <v>0.0</v>
      </c>
      <c r="I289" s="58"/>
      <c r="J289" s="379">
        <v>0.0</v>
      </c>
      <c r="K289" s="58"/>
      <c r="L289" s="379">
        <v>0.0</v>
      </c>
      <c r="M289" s="58"/>
      <c r="N289" s="121">
        <v>0.0</v>
      </c>
      <c r="O289" s="3"/>
      <c r="P289" s="121">
        <v>0.0</v>
      </c>
      <c r="Q289" s="3"/>
      <c r="R289" s="379">
        <v>0.0</v>
      </c>
      <c r="S289" s="58"/>
      <c r="T289" s="379">
        <v>0.0</v>
      </c>
      <c r="U289" s="58"/>
      <c r="V289" s="379">
        <v>0.0</v>
      </c>
      <c r="W289" s="58"/>
      <c r="X289" s="379">
        <v>0.0</v>
      </c>
      <c r="Y289" s="58"/>
      <c r="Z289" s="379">
        <v>0.0</v>
      </c>
      <c r="AA289" s="58"/>
      <c r="AB289" s="379">
        <v>0.0</v>
      </c>
      <c r="AC289" s="58"/>
      <c r="AD289" s="379">
        <v>0.0</v>
      </c>
      <c r="AE289" s="58"/>
      <c r="AF289" s="379">
        <v>0.0</v>
      </c>
      <c r="AG289" s="58"/>
      <c r="AH289" s="379">
        <v>0.0</v>
      </c>
      <c r="AI289" s="58"/>
      <c r="AJ289" s="379">
        <v>0.0</v>
      </c>
      <c r="AK289" s="58"/>
      <c r="AL289" s="379">
        <v>0.0</v>
      </c>
      <c r="AM289" s="58"/>
      <c r="AN289" s="379">
        <v>0.0</v>
      </c>
      <c r="AO289" s="58"/>
      <c r="AP289" s="123">
        <f t="shared" si="12"/>
        <v>0</v>
      </c>
      <c r="AQ289" s="124">
        <f t="shared" si="10"/>
        <v>0</v>
      </c>
      <c r="AR289" s="124">
        <f t="shared" si="3"/>
        <v>0</v>
      </c>
      <c r="AS289" s="124">
        <f t="shared" si="4"/>
        <v>0</v>
      </c>
      <c r="AT289" s="123" t="str">
        <f t="shared" si="5"/>
        <v/>
      </c>
    </row>
    <row r="290" ht="15.75" customHeight="1">
      <c r="A290" s="352" t="s">
        <v>21</v>
      </c>
      <c r="B290" s="353">
        <f t="shared" si="6"/>
        <v>45215</v>
      </c>
      <c r="C290" s="157">
        <v>11.0</v>
      </c>
      <c r="D290" s="157" t="s">
        <v>34</v>
      </c>
      <c r="E290" s="351"/>
      <c r="F290" s="349">
        <v>0.0</v>
      </c>
      <c r="G290" s="58"/>
      <c r="H290" s="349">
        <v>0.0</v>
      </c>
      <c r="I290" s="58"/>
      <c r="J290" s="349">
        <v>0.0</v>
      </c>
      <c r="K290" s="58"/>
      <c r="L290" s="349">
        <v>0.0</v>
      </c>
      <c r="M290" s="58"/>
      <c r="N290" s="349">
        <v>30.0</v>
      </c>
      <c r="O290" s="58"/>
      <c r="P290" s="349">
        <v>30.0</v>
      </c>
      <c r="Q290" s="58"/>
      <c r="R290" s="349">
        <v>0.0</v>
      </c>
      <c r="S290" s="58"/>
      <c r="T290" s="349">
        <v>0.0</v>
      </c>
      <c r="U290" s="58"/>
      <c r="V290" s="349">
        <v>0.0</v>
      </c>
      <c r="W290" s="58"/>
      <c r="X290" s="349">
        <v>0.0</v>
      </c>
      <c r="Y290" s="58"/>
      <c r="Z290" s="349">
        <v>0.0</v>
      </c>
      <c r="AA290" s="58"/>
      <c r="AB290" s="349">
        <v>0.0</v>
      </c>
      <c r="AC290" s="58"/>
      <c r="AD290" s="349">
        <v>0.0</v>
      </c>
      <c r="AE290" s="58"/>
      <c r="AF290" s="349">
        <v>0.0</v>
      </c>
      <c r="AG290" s="58"/>
      <c r="AH290" s="349">
        <v>0.0</v>
      </c>
      <c r="AI290" s="58"/>
      <c r="AJ290" s="349">
        <v>0.0</v>
      </c>
      <c r="AK290" s="58"/>
      <c r="AL290" s="349">
        <v>0.0</v>
      </c>
      <c r="AM290" s="58"/>
      <c r="AN290" s="349">
        <v>0.0</v>
      </c>
      <c r="AO290" s="58"/>
      <c r="AP290" s="149">
        <f t="shared" si="12"/>
        <v>1081.2</v>
      </c>
      <c r="AQ290" s="150">
        <f t="shared" si="10"/>
        <v>60</v>
      </c>
      <c r="AR290" s="150">
        <f t="shared" si="3"/>
        <v>0</v>
      </c>
      <c r="AS290" s="150">
        <f t="shared" si="4"/>
        <v>60</v>
      </c>
      <c r="AT290" s="149">
        <f t="shared" si="5"/>
        <v>18.02</v>
      </c>
    </row>
    <row r="291" ht="15.75" customHeight="1">
      <c r="A291" s="289" t="s">
        <v>23</v>
      </c>
      <c r="B291" s="144">
        <f t="shared" si="6"/>
        <v>45216</v>
      </c>
      <c r="C291" s="145">
        <v>11.0</v>
      </c>
      <c r="D291" s="145" t="s">
        <v>34</v>
      </c>
      <c r="E291" s="150"/>
      <c r="F291" s="349">
        <v>0.0</v>
      </c>
      <c r="G291" s="58"/>
      <c r="H291" s="349">
        <v>0.0</v>
      </c>
      <c r="I291" s="58"/>
      <c r="J291" s="349">
        <v>0.0</v>
      </c>
      <c r="K291" s="58"/>
      <c r="L291" s="349">
        <v>0.0</v>
      </c>
      <c r="M291" s="58"/>
      <c r="N291" s="147">
        <v>30.0</v>
      </c>
      <c r="O291" s="3"/>
      <c r="P291" s="147">
        <v>30.0</v>
      </c>
      <c r="Q291" s="3"/>
      <c r="R291" s="349">
        <v>0.0</v>
      </c>
      <c r="S291" s="58"/>
      <c r="T291" s="349">
        <v>0.0</v>
      </c>
      <c r="U291" s="58"/>
      <c r="V291" s="349">
        <v>0.0</v>
      </c>
      <c r="W291" s="58"/>
      <c r="X291" s="349">
        <v>0.0</v>
      </c>
      <c r="Y291" s="58"/>
      <c r="Z291" s="349">
        <v>0.0</v>
      </c>
      <c r="AA291" s="58"/>
      <c r="AB291" s="349">
        <v>0.0</v>
      </c>
      <c r="AC291" s="58"/>
      <c r="AD291" s="349">
        <v>0.0</v>
      </c>
      <c r="AE291" s="58"/>
      <c r="AF291" s="349">
        <v>0.0</v>
      </c>
      <c r="AG291" s="58"/>
      <c r="AH291" s="349">
        <v>0.0</v>
      </c>
      <c r="AI291" s="58"/>
      <c r="AJ291" s="349">
        <v>0.0</v>
      </c>
      <c r="AK291" s="58"/>
      <c r="AL291" s="349">
        <v>0.0</v>
      </c>
      <c r="AM291" s="58"/>
      <c r="AN291" s="349">
        <v>0.0</v>
      </c>
      <c r="AO291" s="58"/>
      <c r="AP291" s="149">
        <f t="shared" si="12"/>
        <v>1081.2</v>
      </c>
      <c r="AQ291" s="150">
        <f t="shared" si="10"/>
        <v>60</v>
      </c>
      <c r="AR291" s="150">
        <f t="shared" si="3"/>
        <v>0</v>
      </c>
      <c r="AS291" s="150">
        <f t="shared" si="4"/>
        <v>60</v>
      </c>
      <c r="AT291" s="149">
        <f t="shared" si="5"/>
        <v>18.02</v>
      </c>
    </row>
    <row r="292" ht="15.75" customHeight="1">
      <c r="A292" s="289" t="s">
        <v>24</v>
      </c>
      <c r="B292" s="144">
        <f t="shared" si="6"/>
        <v>45217</v>
      </c>
      <c r="C292" s="145">
        <v>11.0</v>
      </c>
      <c r="D292" s="145" t="s">
        <v>34</v>
      </c>
      <c r="E292" s="150"/>
      <c r="F292" s="349">
        <v>0.0</v>
      </c>
      <c r="G292" s="58"/>
      <c r="H292" s="349">
        <v>0.0</v>
      </c>
      <c r="I292" s="58"/>
      <c r="J292" s="349">
        <v>0.0</v>
      </c>
      <c r="K292" s="58"/>
      <c r="L292" s="349">
        <v>0.0</v>
      </c>
      <c r="M292" s="58"/>
      <c r="N292" s="147">
        <v>30.0</v>
      </c>
      <c r="O292" s="3"/>
      <c r="P292" s="147">
        <v>30.0</v>
      </c>
      <c r="Q292" s="3"/>
      <c r="R292" s="349">
        <v>0.0</v>
      </c>
      <c r="S292" s="58"/>
      <c r="T292" s="349">
        <v>0.0</v>
      </c>
      <c r="U292" s="58"/>
      <c r="V292" s="349">
        <v>0.0</v>
      </c>
      <c r="W292" s="58"/>
      <c r="X292" s="349">
        <v>0.0</v>
      </c>
      <c r="Y292" s="58"/>
      <c r="Z292" s="349">
        <v>0.0</v>
      </c>
      <c r="AA292" s="58"/>
      <c r="AB292" s="349">
        <v>0.0</v>
      </c>
      <c r="AC292" s="58"/>
      <c r="AD292" s="349">
        <v>0.0</v>
      </c>
      <c r="AE292" s="58"/>
      <c r="AF292" s="349">
        <v>0.0</v>
      </c>
      <c r="AG292" s="58"/>
      <c r="AH292" s="349">
        <v>0.0</v>
      </c>
      <c r="AI292" s="58"/>
      <c r="AJ292" s="349">
        <v>0.0</v>
      </c>
      <c r="AK292" s="58"/>
      <c r="AL292" s="349">
        <v>0.0</v>
      </c>
      <c r="AM292" s="58"/>
      <c r="AN292" s="349">
        <v>0.0</v>
      </c>
      <c r="AO292" s="58"/>
      <c r="AP292" s="149">
        <f t="shared" si="12"/>
        <v>1081.2</v>
      </c>
      <c r="AQ292" s="150">
        <f t="shared" si="10"/>
        <v>60</v>
      </c>
      <c r="AR292" s="150">
        <f t="shared" si="3"/>
        <v>0</v>
      </c>
      <c r="AS292" s="150">
        <f t="shared" si="4"/>
        <v>60</v>
      </c>
      <c r="AT292" s="149">
        <f t="shared" si="5"/>
        <v>18.02</v>
      </c>
    </row>
    <row r="293" ht="15.75" customHeight="1">
      <c r="A293" s="289" t="s">
        <v>25</v>
      </c>
      <c r="B293" s="144">
        <f t="shared" si="6"/>
        <v>45218</v>
      </c>
      <c r="C293" s="145">
        <v>11.0</v>
      </c>
      <c r="D293" s="145" t="s">
        <v>34</v>
      </c>
      <c r="E293" s="150"/>
      <c r="F293" s="349">
        <v>0.0</v>
      </c>
      <c r="G293" s="58"/>
      <c r="H293" s="349">
        <v>0.0</v>
      </c>
      <c r="I293" s="58"/>
      <c r="J293" s="349">
        <v>0.0</v>
      </c>
      <c r="K293" s="58"/>
      <c r="L293" s="349">
        <v>0.0</v>
      </c>
      <c r="M293" s="58"/>
      <c r="N293" s="147">
        <v>30.0</v>
      </c>
      <c r="O293" s="3"/>
      <c r="P293" s="147">
        <v>30.0</v>
      </c>
      <c r="Q293" s="3"/>
      <c r="R293" s="349">
        <v>0.0</v>
      </c>
      <c r="S293" s="58"/>
      <c r="T293" s="349">
        <v>0.0</v>
      </c>
      <c r="U293" s="58"/>
      <c r="V293" s="349">
        <v>0.0</v>
      </c>
      <c r="W293" s="58"/>
      <c r="X293" s="349">
        <v>0.0</v>
      </c>
      <c r="Y293" s="58"/>
      <c r="Z293" s="349">
        <v>0.0</v>
      </c>
      <c r="AA293" s="58"/>
      <c r="AB293" s="349">
        <v>0.0</v>
      </c>
      <c r="AC293" s="58"/>
      <c r="AD293" s="349">
        <v>0.0</v>
      </c>
      <c r="AE293" s="58"/>
      <c r="AF293" s="349">
        <v>0.0</v>
      </c>
      <c r="AG293" s="58"/>
      <c r="AH293" s="349">
        <v>0.0</v>
      </c>
      <c r="AI293" s="58"/>
      <c r="AJ293" s="349">
        <v>0.0</v>
      </c>
      <c r="AK293" s="58"/>
      <c r="AL293" s="349">
        <v>0.0</v>
      </c>
      <c r="AM293" s="58"/>
      <c r="AN293" s="349">
        <v>0.0</v>
      </c>
      <c r="AO293" s="58"/>
      <c r="AP293" s="149">
        <f t="shared" si="12"/>
        <v>1081.2</v>
      </c>
      <c r="AQ293" s="150">
        <f t="shared" si="10"/>
        <v>60</v>
      </c>
      <c r="AR293" s="150">
        <f t="shared" si="3"/>
        <v>0</v>
      </c>
      <c r="AS293" s="150">
        <f t="shared" si="4"/>
        <v>60</v>
      </c>
      <c r="AT293" s="149">
        <f t="shared" si="5"/>
        <v>18.02</v>
      </c>
    </row>
    <row r="294" ht="15.75" customHeight="1">
      <c r="A294" s="289" t="s">
        <v>26</v>
      </c>
      <c r="B294" s="144">
        <f t="shared" si="6"/>
        <v>45219</v>
      </c>
      <c r="C294" s="145">
        <v>11.0</v>
      </c>
      <c r="D294" s="145" t="s">
        <v>34</v>
      </c>
      <c r="E294" s="150"/>
      <c r="F294" s="349">
        <v>0.0</v>
      </c>
      <c r="G294" s="58"/>
      <c r="H294" s="349">
        <v>0.0</v>
      </c>
      <c r="I294" s="58"/>
      <c r="J294" s="349">
        <v>0.0</v>
      </c>
      <c r="K294" s="58"/>
      <c r="L294" s="349">
        <v>0.0</v>
      </c>
      <c r="M294" s="58"/>
      <c r="N294" s="147">
        <v>30.0</v>
      </c>
      <c r="O294" s="3"/>
      <c r="P294" s="147">
        <v>30.0</v>
      </c>
      <c r="Q294" s="3"/>
      <c r="R294" s="349">
        <v>0.0</v>
      </c>
      <c r="S294" s="58"/>
      <c r="T294" s="349">
        <v>0.0</v>
      </c>
      <c r="U294" s="58"/>
      <c r="V294" s="349">
        <v>0.0</v>
      </c>
      <c r="W294" s="58"/>
      <c r="X294" s="349">
        <v>0.0</v>
      </c>
      <c r="Y294" s="58"/>
      <c r="Z294" s="349">
        <v>0.0</v>
      </c>
      <c r="AA294" s="58"/>
      <c r="AB294" s="349">
        <v>0.0</v>
      </c>
      <c r="AC294" s="58"/>
      <c r="AD294" s="349">
        <v>0.0</v>
      </c>
      <c r="AE294" s="58"/>
      <c r="AF294" s="349">
        <v>0.0</v>
      </c>
      <c r="AG294" s="58"/>
      <c r="AH294" s="349">
        <v>0.0</v>
      </c>
      <c r="AI294" s="58"/>
      <c r="AJ294" s="349">
        <v>0.0</v>
      </c>
      <c r="AK294" s="58"/>
      <c r="AL294" s="349">
        <v>0.0</v>
      </c>
      <c r="AM294" s="58"/>
      <c r="AN294" s="349">
        <v>0.0</v>
      </c>
      <c r="AO294" s="58"/>
      <c r="AP294" s="149">
        <f t="shared" si="12"/>
        <v>1081.2</v>
      </c>
      <c r="AQ294" s="150">
        <f t="shared" si="10"/>
        <v>60</v>
      </c>
      <c r="AR294" s="150">
        <f t="shared" si="3"/>
        <v>0</v>
      </c>
      <c r="AS294" s="150">
        <f t="shared" si="4"/>
        <v>60</v>
      </c>
      <c r="AT294" s="149">
        <f t="shared" si="5"/>
        <v>18.02</v>
      </c>
    </row>
    <row r="295" ht="15.75" customHeight="1">
      <c r="A295" s="289" t="s">
        <v>27</v>
      </c>
      <c r="B295" s="144">
        <f t="shared" si="6"/>
        <v>45220</v>
      </c>
      <c r="C295" s="145">
        <v>11.0</v>
      </c>
      <c r="D295" s="145" t="s">
        <v>34</v>
      </c>
      <c r="E295" s="150"/>
      <c r="F295" s="349">
        <v>0.0</v>
      </c>
      <c r="G295" s="58"/>
      <c r="H295" s="349">
        <v>0.0</v>
      </c>
      <c r="I295" s="58"/>
      <c r="J295" s="349">
        <v>0.0</v>
      </c>
      <c r="K295" s="58"/>
      <c r="L295" s="349">
        <v>0.0</v>
      </c>
      <c r="M295" s="58"/>
      <c r="N295" s="147">
        <v>0.0</v>
      </c>
      <c r="O295" s="3"/>
      <c r="P295" s="147">
        <v>0.0</v>
      </c>
      <c r="Q295" s="3"/>
      <c r="R295" s="349">
        <v>0.0</v>
      </c>
      <c r="S295" s="58"/>
      <c r="T295" s="349">
        <v>0.0</v>
      </c>
      <c r="U295" s="58"/>
      <c r="V295" s="349">
        <v>0.0</v>
      </c>
      <c r="W295" s="58"/>
      <c r="X295" s="349">
        <v>0.0</v>
      </c>
      <c r="Y295" s="58"/>
      <c r="Z295" s="349">
        <v>0.0</v>
      </c>
      <c r="AA295" s="58"/>
      <c r="AB295" s="349">
        <v>0.0</v>
      </c>
      <c r="AC295" s="58"/>
      <c r="AD295" s="349">
        <v>0.0</v>
      </c>
      <c r="AE295" s="58"/>
      <c r="AF295" s="349">
        <v>0.0</v>
      </c>
      <c r="AG295" s="58"/>
      <c r="AH295" s="349">
        <v>0.0</v>
      </c>
      <c r="AI295" s="58"/>
      <c r="AJ295" s="349">
        <v>0.0</v>
      </c>
      <c r="AK295" s="58"/>
      <c r="AL295" s="349">
        <v>0.0</v>
      </c>
      <c r="AM295" s="58"/>
      <c r="AN295" s="349">
        <v>0.0</v>
      </c>
      <c r="AO295" s="58"/>
      <c r="AP295" s="149">
        <f t="shared" si="12"/>
        <v>0</v>
      </c>
      <c r="AQ295" s="150">
        <f t="shared" si="10"/>
        <v>0</v>
      </c>
      <c r="AR295" s="150">
        <f t="shared" si="3"/>
        <v>0</v>
      </c>
      <c r="AS295" s="150">
        <f t="shared" si="4"/>
        <v>0</v>
      </c>
      <c r="AT295" s="149" t="str">
        <f t="shared" si="5"/>
        <v/>
      </c>
    </row>
    <row r="296" ht="15.75" customHeight="1">
      <c r="A296" s="383" t="s">
        <v>28</v>
      </c>
      <c r="B296" s="384">
        <f t="shared" si="6"/>
        <v>45221</v>
      </c>
      <c r="C296" s="351">
        <v>11.0</v>
      </c>
      <c r="D296" s="351" t="s">
        <v>34</v>
      </c>
      <c r="E296" s="150"/>
      <c r="F296" s="349">
        <v>0.0</v>
      </c>
      <c r="G296" s="58"/>
      <c r="H296" s="349">
        <v>0.0</v>
      </c>
      <c r="I296" s="58"/>
      <c r="J296" s="349">
        <v>0.0</v>
      </c>
      <c r="K296" s="58"/>
      <c r="L296" s="349">
        <v>0.0</v>
      </c>
      <c r="M296" s="58"/>
      <c r="N296" s="147">
        <v>0.0</v>
      </c>
      <c r="O296" s="3"/>
      <c r="P296" s="147">
        <v>0.0</v>
      </c>
      <c r="Q296" s="3"/>
      <c r="R296" s="349">
        <v>0.0</v>
      </c>
      <c r="S296" s="58"/>
      <c r="T296" s="349">
        <v>0.0</v>
      </c>
      <c r="U296" s="58"/>
      <c r="V296" s="349">
        <v>0.0</v>
      </c>
      <c r="W296" s="58"/>
      <c r="X296" s="349">
        <v>0.0</v>
      </c>
      <c r="Y296" s="58"/>
      <c r="Z296" s="349">
        <v>0.0</v>
      </c>
      <c r="AA296" s="58"/>
      <c r="AB296" s="349">
        <v>0.0</v>
      </c>
      <c r="AC296" s="58"/>
      <c r="AD296" s="349">
        <v>0.0</v>
      </c>
      <c r="AE296" s="58"/>
      <c r="AF296" s="349">
        <v>0.0</v>
      </c>
      <c r="AG296" s="58"/>
      <c r="AH296" s="349">
        <v>0.0</v>
      </c>
      <c r="AI296" s="58"/>
      <c r="AJ296" s="349">
        <v>0.0</v>
      </c>
      <c r="AK296" s="58"/>
      <c r="AL296" s="349">
        <v>0.0</v>
      </c>
      <c r="AM296" s="58"/>
      <c r="AN296" s="349">
        <v>0.0</v>
      </c>
      <c r="AO296" s="58"/>
      <c r="AP296" s="149">
        <f t="shared" si="12"/>
        <v>0</v>
      </c>
      <c r="AQ296" s="150">
        <f t="shared" si="10"/>
        <v>0</v>
      </c>
      <c r="AR296" s="150">
        <f t="shared" si="3"/>
        <v>0</v>
      </c>
      <c r="AS296" s="150">
        <f t="shared" si="4"/>
        <v>0</v>
      </c>
      <c r="AT296" s="149" t="str">
        <f t="shared" si="5"/>
        <v/>
      </c>
    </row>
    <row r="297" ht="15.75" customHeight="1">
      <c r="A297" s="385" t="s">
        <v>21</v>
      </c>
      <c r="B297" s="386">
        <f t="shared" si="6"/>
        <v>45222</v>
      </c>
      <c r="C297" s="219">
        <v>11.0</v>
      </c>
      <c r="D297" s="219" t="s">
        <v>36</v>
      </c>
      <c r="E297" s="200"/>
      <c r="F297" s="212">
        <v>0.0</v>
      </c>
      <c r="G297" s="58"/>
      <c r="H297" s="212">
        <v>0.0</v>
      </c>
      <c r="I297" s="58"/>
      <c r="J297" s="212">
        <v>0.0</v>
      </c>
      <c r="K297" s="58"/>
      <c r="L297" s="212">
        <v>0.0</v>
      </c>
      <c r="M297" s="58"/>
      <c r="N297" s="212">
        <v>30.0</v>
      </c>
      <c r="O297" s="58"/>
      <c r="P297" s="212">
        <v>30.0</v>
      </c>
      <c r="Q297" s="58"/>
      <c r="R297" s="212">
        <v>0.0</v>
      </c>
      <c r="S297" s="58"/>
      <c r="T297" s="212">
        <v>0.0</v>
      </c>
      <c r="U297" s="58"/>
      <c r="V297" s="212">
        <v>0.0</v>
      </c>
      <c r="W297" s="58"/>
      <c r="X297" s="212">
        <v>0.0</v>
      </c>
      <c r="Y297" s="58"/>
      <c r="Z297" s="212">
        <v>0.0</v>
      </c>
      <c r="AA297" s="58"/>
      <c r="AB297" s="212">
        <v>0.0</v>
      </c>
      <c r="AC297" s="58"/>
      <c r="AD297" s="212">
        <v>0.0</v>
      </c>
      <c r="AE297" s="58"/>
      <c r="AF297" s="212">
        <v>0.0</v>
      </c>
      <c r="AG297" s="58"/>
      <c r="AH297" s="212">
        <v>0.0</v>
      </c>
      <c r="AI297" s="58"/>
      <c r="AJ297" s="212">
        <v>0.0</v>
      </c>
      <c r="AK297" s="58"/>
      <c r="AL297" s="212">
        <v>0.0</v>
      </c>
      <c r="AM297" s="58"/>
      <c r="AN297" s="212">
        <v>0.0</v>
      </c>
      <c r="AO297" s="58"/>
      <c r="AP297" s="199">
        <f t="shared" si="12"/>
        <v>1081.2</v>
      </c>
      <c r="AQ297" s="200">
        <f t="shared" si="10"/>
        <v>60</v>
      </c>
      <c r="AR297" s="200">
        <f t="shared" si="3"/>
        <v>0</v>
      </c>
      <c r="AS297" s="200">
        <f t="shared" si="4"/>
        <v>60</v>
      </c>
      <c r="AT297" s="199">
        <f t="shared" si="5"/>
        <v>18.02</v>
      </c>
    </row>
    <row r="298" ht="15.75" customHeight="1">
      <c r="A298" s="211" t="s">
        <v>23</v>
      </c>
      <c r="B298" s="195">
        <f t="shared" si="6"/>
        <v>45223</v>
      </c>
      <c r="C298" s="196">
        <v>11.0</v>
      </c>
      <c r="D298" s="196" t="s">
        <v>36</v>
      </c>
      <c r="E298" s="200"/>
      <c r="F298" s="212">
        <v>0.0</v>
      </c>
      <c r="G298" s="58"/>
      <c r="H298" s="212">
        <v>0.0</v>
      </c>
      <c r="I298" s="58"/>
      <c r="J298" s="212">
        <v>0.0</v>
      </c>
      <c r="K298" s="58"/>
      <c r="L298" s="212">
        <v>0.0</v>
      </c>
      <c r="M298" s="58"/>
      <c r="N298" s="198">
        <v>30.0</v>
      </c>
      <c r="O298" s="3"/>
      <c r="P298" s="198">
        <v>30.0</v>
      </c>
      <c r="Q298" s="3"/>
      <c r="R298" s="212">
        <v>0.0</v>
      </c>
      <c r="S298" s="58"/>
      <c r="T298" s="212">
        <v>0.0</v>
      </c>
      <c r="U298" s="58"/>
      <c r="V298" s="212">
        <v>0.0</v>
      </c>
      <c r="W298" s="58"/>
      <c r="X298" s="212">
        <v>0.0</v>
      </c>
      <c r="Y298" s="58"/>
      <c r="Z298" s="212">
        <v>0.0</v>
      </c>
      <c r="AA298" s="58"/>
      <c r="AB298" s="212">
        <v>0.0</v>
      </c>
      <c r="AC298" s="58"/>
      <c r="AD298" s="212">
        <v>0.0</v>
      </c>
      <c r="AE298" s="58"/>
      <c r="AF298" s="212">
        <v>0.0</v>
      </c>
      <c r="AG298" s="58"/>
      <c r="AH298" s="212">
        <v>0.0</v>
      </c>
      <c r="AI298" s="58"/>
      <c r="AJ298" s="212">
        <v>0.0</v>
      </c>
      <c r="AK298" s="58"/>
      <c r="AL298" s="212">
        <v>0.0</v>
      </c>
      <c r="AM298" s="58"/>
      <c r="AN298" s="212">
        <v>0.0</v>
      </c>
      <c r="AO298" s="58"/>
      <c r="AP298" s="199">
        <f t="shared" si="12"/>
        <v>1081.2</v>
      </c>
      <c r="AQ298" s="200">
        <f t="shared" si="10"/>
        <v>60</v>
      </c>
      <c r="AR298" s="200">
        <f t="shared" si="3"/>
        <v>0</v>
      </c>
      <c r="AS298" s="200">
        <f t="shared" si="4"/>
        <v>60</v>
      </c>
      <c r="AT298" s="199">
        <f t="shared" si="5"/>
        <v>18.02</v>
      </c>
    </row>
    <row r="299" ht="15.75" customHeight="1">
      <c r="A299" s="211" t="s">
        <v>24</v>
      </c>
      <c r="B299" s="195">
        <f t="shared" si="6"/>
        <v>45224</v>
      </c>
      <c r="C299" s="196">
        <v>11.0</v>
      </c>
      <c r="D299" s="196" t="s">
        <v>36</v>
      </c>
      <c r="E299" s="200"/>
      <c r="F299" s="212">
        <v>0.0</v>
      </c>
      <c r="G299" s="58"/>
      <c r="H299" s="212">
        <v>0.0</v>
      </c>
      <c r="I299" s="58"/>
      <c r="J299" s="212">
        <v>0.0</v>
      </c>
      <c r="K299" s="58"/>
      <c r="L299" s="212">
        <v>0.0</v>
      </c>
      <c r="M299" s="58"/>
      <c r="N299" s="198">
        <v>30.0</v>
      </c>
      <c r="O299" s="3"/>
      <c r="P299" s="198">
        <v>30.0</v>
      </c>
      <c r="Q299" s="3"/>
      <c r="R299" s="212">
        <v>0.0</v>
      </c>
      <c r="S299" s="58"/>
      <c r="T299" s="212">
        <v>0.0</v>
      </c>
      <c r="U299" s="58"/>
      <c r="V299" s="212">
        <v>0.0</v>
      </c>
      <c r="W299" s="58"/>
      <c r="X299" s="212">
        <v>0.0</v>
      </c>
      <c r="Y299" s="58"/>
      <c r="Z299" s="212">
        <v>0.0</v>
      </c>
      <c r="AA299" s="58"/>
      <c r="AB299" s="212">
        <v>0.0</v>
      </c>
      <c r="AC299" s="58"/>
      <c r="AD299" s="212">
        <v>0.0</v>
      </c>
      <c r="AE299" s="58"/>
      <c r="AF299" s="212">
        <v>0.0</v>
      </c>
      <c r="AG299" s="58"/>
      <c r="AH299" s="212">
        <v>0.0</v>
      </c>
      <c r="AI299" s="58"/>
      <c r="AJ299" s="212">
        <v>0.0</v>
      </c>
      <c r="AK299" s="58"/>
      <c r="AL299" s="212">
        <v>0.0</v>
      </c>
      <c r="AM299" s="58"/>
      <c r="AN299" s="212">
        <v>0.0</v>
      </c>
      <c r="AO299" s="58"/>
      <c r="AP299" s="199">
        <f t="shared" si="12"/>
        <v>1081.2</v>
      </c>
      <c r="AQ299" s="200">
        <f t="shared" si="10"/>
        <v>60</v>
      </c>
      <c r="AR299" s="200">
        <f t="shared" si="3"/>
        <v>0</v>
      </c>
      <c r="AS299" s="200">
        <f t="shared" si="4"/>
        <v>60</v>
      </c>
      <c r="AT299" s="199">
        <f t="shared" si="5"/>
        <v>18.02</v>
      </c>
    </row>
    <row r="300" ht="15.75" customHeight="1">
      <c r="A300" s="211" t="s">
        <v>25</v>
      </c>
      <c r="B300" s="195">
        <f t="shared" si="6"/>
        <v>45225</v>
      </c>
      <c r="C300" s="196">
        <v>11.0</v>
      </c>
      <c r="D300" s="196" t="s">
        <v>36</v>
      </c>
      <c r="E300" s="200"/>
      <c r="F300" s="212">
        <v>0.0</v>
      </c>
      <c r="G300" s="58"/>
      <c r="H300" s="212">
        <v>0.0</v>
      </c>
      <c r="I300" s="58"/>
      <c r="J300" s="212">
        <v>0.0</v>
      </c>
      <c r="K300" s="58"/>
      <c r="L300" s="212">
        <v>0.0</v>
      </c>
      <c r="M300" s="58"/>
      <c r="N300" s="198">
        <v>30.0</v>
      </c>
      <c r="O300" s="3"/>
      <c r="P300" s="198">
        <v>30.0</v>
      </c>
      <c r="Q300" s="3"/>
      <c r="R300" s="212">
        <v>0.0</v>
      </c>
      <c r="S300" s="58"/>
      <c r="T300" s="212">
        <v>0.0</v>
      </c>
      <c r="U300" s="58"/>
      <c r="V300" s="212">
        <v>0.0</v>
      </c>
      <c r="W300" s="58"/>
      <c r="X300" s="212">
        <v>0.0</v>
      </c>
      <c r="Y300" s="58"/>
      <c r="Z300" s="212">
        <v>0.0</v>
      </c>
      <c r="AA300" s="58"/>
      <c r="AB300" s="212">
        <v>0.0</v>
      </c>
      <c r="AC300" s="58"/>
      <c r="AD300" s="212">
        <v>0.0</v>
      </c>
      <c r="AE300" s="58"/>
      <c r="AF300" s="212">
        <v>0.0</v>
      </c>
      <c r="AG300" s="58"/>
      <c r="AH300" s="212">
        <v>0.0</v>
      </c>
      <c r="AI300" s="58"/>
      <c r="AJ300" s="212">
        <v>0.0</v>
      </c>
      <c r="AK300" s="58"/>
      <c r="AL300" s="212">
        <v>0.0</v>
      </c>
      <c r="AM300" s="58"/>
      <c r="AN300" s="212">
        <v>0.0</v>
      </c>
      <c r="AO300" s="58"/>
      <c r="AP300" s="199">
        <f t="shared" si="12"/>
        <v>1081.2</v>
      </c>
      <c r="AQ300" s="200">
        <f t="shared" si="10"/>
        <v>60</v>
      </c>
      <c r="AR300" s="200">
        <f t="shared" si="3"/>
        <v>0</v>
      </c>
      <c r="AS300" s="200">
        <f t="shared" si="4"/>
        <v>60</v>
      </c>
      <c r="AT300" s="199">
        <f t="shared" si="5"/>
        <v>18.02</v>
      </c>
    </row>
    <row r="301" ht="15.75" customHeight="1">
      <c r="A301" s="211" t="s">
        <v>26</v>
      </c>
      <c r="B301" s="195">
        <f t="shared" si="6"/>
        <v>45226</v>
      </c>
      <c r="C301" s="196">
        <v>11.0</v>
      </c>
      <c r="D301" s="196" t="s">
        <v>36</v>
      </c>
      <c r="E301" s="200"/>
      <c r="F301" s="212">
        <v>0.0</v>
      </c>
      <c r="G301" s="58"/>
      <c r="H301" s="212">
        <v>0.0</v>
      </c>
      <c r="I301" s="58"/>
      <c r="J301" s="212">
        <v>0.0</v>
      </c>
      <c r="K301" s="58"/>
      <c r="L301" s="212">
        <v>0.0</v>
      </c>
      <c r="M301" s="58"/>
      <c r="N301" s="198">
        <v>30.0</v>
      </c>
      <c r="O301" s="3"/>
      <c r="P301" s="198">
        <v>30.0</v>
      </c>
      <c r="Q301" s="3"/>
      <c r="R301" s="212">
        <v>0.0</v>
      </c>
      <c r="S301" s="58"/>
      <c r="T301" s="212">
        <v>0.0</v>
      </c>
      <c r="U301" s="58"/>
      <c r="V301" s="212">
        <v>0.0</v>
      </c>
      <c r="W301" s="58"/>
      <c r="X301" s="212">
        <v>0.0</v>
      </c>
      <c r="Y301" s="58"/>
      <c r="Z301" s="212">
        <v>0.0</v>
      </c>
      <c r="AA301" s="58"/>
      <c r="AB301" s="212">
        <v>0.0</v>
      </c>
      <c r="AC301" s="58"/>
      <c r="AD301" s="212">
        <v>0.0</v>
      </c>
      <c r="AE301" s="58"/>
      <c r="AF301" s="212">
        <v>0.0</v>
      </c>
      <c r="AG301" s="58"/>
      <c r="AH301" s="212">
        <v>0.0</v>
      </c>
      <c r="AI301" s="58"/>
      <c r="AJ301" s="212">
        <v>0.0</v>
      </c>
      <c r="AK301" s="58"/>
      <c r="AL301" s="212">
        <v>0.0</v>
      </c>
      <c r="AM301" s="58"/>
      <c r="AN301" s="212">
        <v>0.0</v>
      </c>
      <c r="AO301" s="58"/>
      <c r="AP301" s="199">
        <f t="shared" si="12"/>
        <v>1081.2</v>
      </c>
      <c r="AQ301" s="200">
        <f t="shared" si="10"/>
        <v>60</v>
      </c>
      <c r="AR301" s="200">
        <f t="shared" si="3"/>
        <v>0</v>
      </c>
      <c r="AS301" s="200">
        <f t="shared" si="4"/>
        <v>60</v>
      </c>
      <c r="AT301" s="199">
        <f t="shared" si="5"/>
        <v>18.02</v>
      </c>
    </row>
    <row r="302" ht="15.75" customHeight="1">
      <c r="A302" s="211" t="s">
        <v>27</v>
      </c>
      <c r="B302" s="195">
        <f t="shared" si="6"/>
        <v>45227</v>
      </c>
      <c r="C302" s="196">
        <v>11.0</v>
      </c>
      <c r="D302" s="196" t="s">
        <v>36</v>
      </c>
      <c r="E302" s="200"/>
      <c r="F302" s="212">
        <v>0.0</v>
      </c>
      <c r="G302" s="58"/>
      <c r="H302" s="212">
        <v>0.0</v>
      </c>
      <c r="I302" s="58"/>
      <c r="J302" s="212">
        <v>0.0</v>
      </c>
      <c r="K302" s="58"/>
      <c r="L302" s="212">
        <v>0.0</v>
      </c>
      <c r="M302" s="58"/>
      <c r="N302" s="198">
        <v>0.0</v>
      </c>
      <c r="O302" s="3"/>
      <c r="P302" s="198">
        <v>0.0</v>
      </c>
      <c r="Q302" s="3"/>
      <c r="R302" s="212">
        <v>0.0</v>
      </c>
      <c r="S302" s="58"/>
      <c r="T302" s="212">
        <v>0.0</v>
      </c>
      <c r="U302" s="58"/>
      <c r="V302" s="212">
        <v>0.0</v>
      </c>
      <c r="W302" s="58"/>
      <c r="X302" s="212">
        <v>0.0</v>
      </c>
      <c r="Y302" s="58"/>
      <c r="Z302" s="212">
        <v>0.0</v>
      </c>
      <c r="AA302" s="58"/>
      <c r="AB302" s="212">
        <v>0.0</v>
      </c>
      <c r="AC302" s="58"/>
      <c r="AD302" s="212">
        <v>0.0</v>
      </c>
      <c r="AE302" s="58"/>
      <c r="AF302" s="212">
        <v>0.0</v>
      </c>
      <c r="AG302" s="58"/>
      <c r="AH302" s="212">
        <v>0.0</v>
      </c>
      <c r="AI302" s="58"/>
      <c r="AJ302" s="212">
        <v>0.0</v>
      </c>
      <c r="AK302" s="58"/>
      <c r="AL302" s="212">
        <v>0.0</v>
      </c>
      <c r="AM302" s="58"/>
      <c r="AN302" s="212">
        <v>0.0</v>
      </c>
      <c r="AO302" s="58"/>
      <c r="AP302" s="199">
        <f t="shared" si="12"/>
        <v>0</v>
      </c>
      <c r="AQ302" s="200">
        <f t="shared" si="10"/>
        <v>0</v>
      </c>
      <c r="AR302" s="200">
        <f t="shared" si="3"/>
        <v>0</v>
      </c>
      <c r="AS302" s="200">
        <f t="shared" si="4"/>
        <v>0</v>
      </c>
      <c r="AT302" s="199" t="str">
        <f t="shared" si="5"/>
        <v/>
      </c>
    </row>
    <row r="303" ht="15.75" customHeight="1">
      <c r="A303" s="387" t="s">
        <v>28</v>
      </c>
      <c r="B303" s="388">
        <f t="shared" si="6"/>
        <v>45228</v>
      </c>
      <c r="C303" s="214">
        <v>11.0</v>
      </c>
      <c r="D303" s="214" t="s">
        <v>36</v>
      </c>
      <c r="E303" s="200"/>
      <c r="F303" s="212">
        <v>0.0</v>
      </c>
      <c r="G303" s="58"/>
      <c r="H303" s="212">
        <v>0.0</v>
      </c>
      <c r="I303" s="58"/>
      <c r="J303" s="212">
        <v>0.0</v>
      </c>
      <c r="K303" s="58"/>
      <c r="L303" s="212">
        <v>0.0</v>
      </c>
      <c r="M303" s="58"/>
      <c r="N303" s="198">
        <v>0.0</v>
      </c>
      <c r="O303" s="3"/>
      <c r="P303" s="198">
        <v>0.0</v>
      </c>
      <c r="Q303" s="3"/>
      <c r="R303" s="212">
        <v>0.0</v>
      </c>
      <c r="S303" s="58"/>
      <c r="T303" s="212">
        <v>0.0</v>
      </c>
      <c r="U303" s="58"/>
      <c r="V303" s="212">
        <v>0.0</v>
      </c>
      <c r="W303" s="58"/>
      <c r="X303" s="212">
        <v>0.0</v>
      </c>
      <c r="Y303" s="58"/>
      <c r="Z303" s="212">
        <v>0.0</v>
      </c>
      <c r="AA303" s="58"/>
      <c r="AB303" s="212">
        <v>0.0</v>
      </c>
      <c r="AC303" s="58"/>
      <c r="AD303" s="212">
        <v>0.0</v>
      </c>
      <c r="AE303" s="58"/>
      <c r="AF303" s="212">
        <v>0.0</v>
      </c>
      <c r="AG303" s="58"/>
      <c r="AH303" s="212">
        <v>0.0</v>
      </c>
      <c r="AI303" s="58"/>
      <c r="AJ303" s="212">
        <v>0.0</v>
      </c>
      <c r="AK303" s="58"/>
      <c r="AL303" s="212">
        <v>0.0</v>
      </c>
      <c r="AM303" s="58"/>
      <c r="AN303" s="212">
        <v>0.0</v>
      </c>
      <c r="AO303" s="58"/>
      <c r="AP303" s="199">
        <f t="shared" si="12"/>
        <v>0</v>
      </c>
      <c r="AQ303" s="200">
        <f t="shared" si="10"/>
        <v>0</v>
      </c>
      <c r="AR303" s="200">
        <f t="shared" si="3"/>
        <v>0</v>
      </c>
      <c r="AS303" s="200">
        <f t="shared" si="4"/>
        <v>0</v>
      </c>
      <c r="AT303" s="199" t="str">
        <f t="shared" si="5"/>
        <v/>
      </c>
    </row>
    <row r="304" ht="15.75" customHeight="1">
      <c r="A304" s="18" t="s">
        <v>21</v>
      </c>
      <c r="B304" s="68">
        <f t="shared" si="6"/>
        <v>45229</v>
      </c>
      <c r="C304" s="20">
        <v>11.0</v>
      </c>
      <c r="D304" s="20" t="s">
        <v>37</v>
      </c>
      <c r="E304" s="389"/>
      <c r="F304" s="390"/>
      <c r="G304" s="3"/>
      <c r="H304" s="390"/>
      <c r="I304" s="3"/>
      <c r="J304" s="390"/>
      <c r="K304" s="3"/>
      <c r="L304" s="390"/>
      <c r="M304" s="3"/>
      <c r="N304" s="391"/>
      <c r="O304" s="3"/>
      <c r="P304" s="391"/>
      <c r="Q304" s="3"/>
      <c r="R304" s="391"/>
      <c r="S304" s="3"/>
      <c r="T304" s="391"/>
      <c r="U304" s="3"/>
      <c r="V304" s="390"/>
      <c r="W304" s="3"/>
      <c r="X304" s="390"/>
      <c r="Y304" s="3"/>
      <c r="Z304" s="390"/>
      <c r="AA304" s="3"/>
      <c r="AB304" s="390"/>
      <c r="AC304" s="3"/>
      <c r="AD304" s="390"/>
      <c r="AE304" s="3"/>
      <c r="AF304" s="390"/>
      <c r="AG304" s="3"/>
      <c r="AH304" s="390"/>
      <c r="AI304" s="3"/>
      <c r="AJ304" s="390"/>
      <c r="AK304" s="3"/>
      <c r="AL304" s="390"/>
      <c r="AM304" s="3"/>
      <c r="AN304" s="390"/>
      <c r="AO304" s="3"/>
      <c r="AP304" s="392">
        <f t="shared" si="12"/>
        <v>0</v>
      </c>
      <c r="AQ304" s="389">
        <f t="shared" si="10"/>
        <v>0</v>
      </c>
      <c r="AR304" s="389">
        <f t="shared" si="3"/>
        <v>0</v>
      </c>
      <c r="AS304" s="389">
        <f t="shared" si="4"/>
        <v>0</v>
      </c>
      <c r="AT304" s="392" t="str">
        <f t="shared" si="5"/>
        <v/>
      </c>
    </row>
    <row r="305" ht="15.75" customHeight="1">
      <c r="A305" s="34" t="s">
        <v>23</v>
      </c>
      <c r="B305" s="35">
        <f t="shared" si="6"/>
        <v>45230</v>
      </c>
      <c r="C305" s="36">
        <v>11.0</v>
      </c>
      <c r="D305" s="36" t="s">
        <v>37</v>
      </c>
      <c r="E305" s="389"/>
      <c r="F305" s="390"/>
      <c r="G305" s="3"/>
      <c r="H305" s="390"/>
      <c r="I305" s="3"/>
      <c r="J305" s="390"/>
      <c r="K305" s="3"/>
      <c r="L305" s="390"/>
      <c r="M305" s="3"/>
      <c r="N305" s="391"/>
      <c r="O305" s="3"/>
      <c r="P305" s="391"/>
      <c r="Q305" s="3"/>
      <c r="R305" s="391"/>
      <c r="S305" s="3"/>
      <c r="T305" s="391"/>
      <c r="U305" s="3"/>
      <c r="V305" s="390"/>
      <c r="W305" s="3"/>
      <c r="X305" s="390"/>
      <c r="Y305" s="3"/>
      <c r="Z305" s="390"/>
      <c r="AA305" s="3"/>
      <c r="AB305" s="390"/>
      <c r="AC305" s="3"/>
      <c r="AD305" s="390"/>
      <c r="AE305" s="3"/>
      <c r="AF305" s="390"/>
      <c r="AG305" s="3"/>
      <c r="AH305" s="390"/>
      <c r="AI305" s="3"/>
      <c r="AJ305" s="390"/>
      <c r="AK305" s="3"/>
      <c r="AL305" s="390"/>
      <c r="AM305" s="3"/>
      <c r="AN305" s="390"/>
      <c r="AO305" s="3"/>
      <c r="AP305" s="392">
        <f t="shared" si="12"/>
        <v>0</v>
      </c>
      <c r="AQ305" s="389">
        <f t="shared" si="10"/>
        <v>0</v>
      </c>
      <c r="AR305" s="389">
        <f t="shared" si="3"/>
        <v>0</v>
      </c>
      <c r="AS305" s="389">
        <f t="shared" si="4"/>
        <v>0</v>
      </c>
      <c r="AT305" s="392" t="str">
        <f t="shared" si="5"/>
        <v/>
      </c>
    </row>
    <row r="306" ht="15.75" customHeight="1">
      <c r="A306" s="34" t="s">
        <v>24</v>
      </c>
      <c r="B306" s="35">
        <f t="shared" si="6"/>
        <v>45231</v>
      </c>
      <c r="C306" s="36">
        <v>11.0</v>
      </c>
      <c r="D306" s="36" t="s">
        <v>37</v>
      </c>
      <c r="E306" s="389"/>
      <c r="F306" s="390"/>
      <c r="G306" s="3"/>
      <c r="H306" s="390"/>
      <c r="I306" s="3"/>
      <c r="J306" s="390"/>
      <c r="K306" s="3"/>
      <c r="L306" s="390"/>
      <c r="M306" s="3"/>
      <c r="N306" s="391"/>
      <c r="O306" s="3"/>
      <c r="P306" s="391"/>
      <c r="Q306" s="3"/>
      <c r="R306" s="391"/>
      <c r="S306" s="3"/>
      <c r="T306" s="391"/>
      <c r="U306" s="3"/>
      <c r="V306" s="390"/>
      <c r="W306" s="3"/>
      <c r="X306" s="390"/>
      <c r="Y306" s="3"/>
      <c r="Z306" s="390"/>
      <c r="AA306" s="3"/>
      <c r="AB306" s="390"/>
      <c r="AC306" s="3"/>
      <c r="AD306" s="390"/>
      <c r="AE306" s="3"/>
      <c r="AF306" s="390"/>
      <c r="AG306" s="3"/>
      <c r="AH306" s="390"/>
      <c r="AI306" s="3"/>
      <c r="AJ306" s="390"/>
      <c r="AK306" s="3"/>
      <c r="AL306" s="390"/>
      <c r="AM306" s="3"/>
      <c r="AN306" s="390"/>
      <c r="AO306" s="3"/>
      <c r="AP306" s="392">
        <f t="shared" si="12"/>
        <v>0</v>
      </c>
      <c r="AQ306" s="389">
        <f t="shared" si="10"/>
        <v>0</v>
      </c>
      <c r="AR306" s="389">
        <f t="shared" si="3"/>
        <v>0</v>
      </c>
      <c r="AS306" s="389">
        <f t="shared" si="4"/>
        <v>0</v>
      </c>
      <c r="AT306" s="392" t="str">
        <f t="shared" si="5"/>
        <v/>
      </c>
    </row>
    <row r="307" ht="15.75" customHeight="1">
      <c r="A307" s="34" t="s">
        <v>25</v>
      </c>
      <c r="B307" s="35">
        <f t="shared" si="6"/>
        <v>45232</v>
      </c>
      <c r="C307" s="36">
        <v>11.0</v>
      </c>
      <c r="D307" s="36" t="s">
        <v>37</v>
      </c>
      <c r="E307" s="389"/>
      <c r="F307" s="390"/>
      <c r="G307" s="3"/>
      <c r="H307" s="390"/>
      <c r="I307" s="3"/>
      <c r="J307" s="390"/>
      <c r="K307" s="3"/>
      <c r="L307" s="390"/>
      <c r="M307" s="3"/>
      <c r="N307" s="391"/>
      <c r="O307" s="3"/>
      <c r="P307" s="391"/>
      <c r="Q307" s="3"/>
      <c r="R307" s="391"/>
      <c r="S307" s="3"/>
      <c r="T307" s="391"/>
      <c r="U307" s="3"/>
      <c r="V307" s="390"/>
      <c r="W307" s="3"/>
      <c r="X307" s="390"/>
      <c r="Y307" s="3"/>
      <c r="Z307" s="390"/>
      <c r="AA307" s="3"/>
      <c r="AB307" s="390"/>
      <c r="AC307" s="3"/>
      <c r="AD307" s="390"/>
      <c r="AE307" s="3"/>
      <c r="AF307" s="390"/>
      <c r="AG307" s="3"/>
      <c r="AH307" s="390"/>
      <c r="AI307" s="3"/>
      <c r="AJ307" s="390"/>
      <c r="AK307" s="3"/>
      <c r="AL307" s="390"/>
      <c r="AM307" s="3"/>
      <c r="AN307" s="390"/>
      <c r="AO307" s="3"/>
      <c r="AP307" s="392">
        <f t="shared" si="12"/>
        <v>0</v>
      </c>
      <c r="AQ307" s="389">
        <f t="shared" si="10"/>
        <v>0</v>
      </c>
      <c r="AR307" s="389">
        <f t="shared" si="3"/>
        <v>0</v>
      </c>
      <c r="AS307" s="389">
        <f t="shared" si="4"/>
        <v>0</v>
      </c>
      <c r="AT307" s="392" t="str">
        <f t="shared" si="5"/>
        <v/>
      </c>
    </row>
    <row r="308" ht="15.75" customHeight="1">
      <c r="A308" s="34" t="s">
        <v>26</v>
      </c>
      <c r="B308" s="35">
        <f t="shared" si="6"/>
        <v>45233</v>
      </c>
      <c r="C308" s="36">
        <v>11.0</v>
      </c>
      <c r="D308" s="36" t="s">
        <v>37</v>
      </c>
      <c r="E308" s="389"/>
      <c r="F308" s="390"/>
      <c r="G308" s="3"/>
      <c r="H308" s="390"/>
      <c r="I308" s="3"/>
      <c r="J308" s="390"/>
      <c r="K308" s="3"/>
      <c r="L308" s="390"/>
      <c r="M308" s="3"/>
      <c r="N308" s="391"/>
      <c r="O308" s="3"/>
      <c r="P308" s="391"/>
      <c r="Q308" s="3"/>
      <c r="R308" s="391"/>
      <c r="S308" s="3"/>
      <c r="T308" s="391"/>
      <c r="U308" s="3"/>
      <c r="V308" s="390"/>
      <c r="W308" s="3"/>
      <c r="X308" s="390"/>
      <c r="Y308" s="3"/>
      <c r="Z308" s="390"/>
      <c r="AA308" s="3"/>
      <c r="AB308" s="390"/>
      <c r="AC308" s="3"/>
      <c r="AD308" s="390"/>
      <c r="AE308" s="3"/>
      <c r="AF308" s="390"/>
      <c r="AG308" s="3"/>
      <c r="AH308" s="390"/>
      <c r="AI308" s="3"/>
      <c r="AJ308" s="390"/>
      <c r="AK308" s="3"/>
      <c r="AL308" s="390"/>
      <c r="AM308" s="3"/>
      <c r="AN308" s="390"/>
      <c r="AO308" s="3"/>
      <c r="AP308" s="392">
        <f t="shared" si="12"/>
        <v>0</v>
      </c>
      <c r="AQ308" s="389">
        <f t="shared" si="10"/>
        <v>0</v>
      </c>
      <c r="AR308" s="389">
        <f t="shared" si="3"/>
        <v>0</v>
      </c>
      <c r="AS308" s="389">
        <f t="shared" si="4"/>
        <v>0</v>
      </c>
      <c r="AT308" s="392" t="str">
        <f t="shared" si="5"/>
        <v/>
      </c>
    </row>
    <row r="309" ht="15.75" customHeight="1">
      <c r="A309" s="34" t="s">
        <v>27</v>
      </c>
      <c r="B309" s="35">
        <f t="shared" si="6"/>
        <v>45234</v>
      </c>
      <c r="C309" s="36">
        <v>11.0</v>
      </c>
      <c r="D309" s="36" t="s">
        <v>37</v>
      </c>
      <c r="E309" s="389"/>
      <c r="F309" s="390"/>
      <c r="G309" s="3"/>
      <c r="H309" s="390"/>
      <c r="I309" s="3"/>
      <c r="J309" s="390"/>
      <c r="K309" s="3"/>
      <c r="L309" s="390"/>
      <c r="M309" s="3"/>
      <c r="N309" s="391"/>
      <c r="O309" s="3"/>
      <c r="P309" s="391"/>
      <c r="Q309" s="3"/>
      <c r="R309" s="391"/>
      <c r="S309" s="3"/>
      <c r="T309" s="391"/>
      <c r="U309" s="3"/>
      <c r="V309" s="390"/>
      <c r="W309" s="3"/>
      <c r="X309" s="390"/>
      <c r="Y309" s="3"/>
      <c r="Z309" s="390"/>
      <c r="AA309" s="3"/>
      <c r="AB309" s="390"/>
      <c r="AC309" s="3"/>
      <c r="AD309" s="390"/>
      <c r="AE309" s="3"/>
      <c r="AF309" s="390"/>
      <c r="AG309" s="3"/>
      <c r="AH309" s="390"/>
      <c r="AI309" s="3"/>
      <c r="AJ309" s="390"/>
      <c r="AK309" s="3"/>
      <c r="AL309" s="390"/>
      <c r="AM309" s="3"/>
      <c r="AN309" s="390"/>
      <c r="AO309" s="3"/>
      <c r="AP309" s="392">
        <f t="shared" si="12"/>
        <v>0</v>
      </c>
      <c r="AQ309" s="389">
        <f t="shared" si="10"/>
        <v>0</v>
      </c>
      <c r="AR309" s="389">
        <f t="shared" si="3"/>
        <v>0</v>
      </c>
      <c r="AS309" s="389">
        <f t="shared" si="4"/>
        <v>0</v>
      </c>
      <c r="AT309" s="392" t="str">
        <f t="shared" si="5"/>
        <v/>
      </c>
    </row>
    <row r="310" ht="15.75" customHeight="1">
      <c r="A310" s="46" t="s">
        <v>28</v>
      </c>
      <c r="B310" s="47">
        <f t="shared" si="6"/>
        <v>45235</v>
      </c>
      <c r="C310" s="49">
        <v>11.0</v>
      </c>
      <c r="D310" s="49" t="s">
        <v>37</v>
      </c>
      <c r="E310" s="389"/>
      <c r="F310" s="390"/>
      <c r="G310" s="3"/>
      <c r="H310" s="390"/>
      <c r="I310" s="3"/>
      <c r="J310" s="390"/>
      <c r="K310" s="3"/>
      <c r="L310" s="390"/>
      <c r="M310" s="3"/>
      <c r="N310" s="391"/>
      <c r="O310" s="3"/>
      <c r="P310" s="391"/>
      <c r="Q310" s="3"/>
      <c r="R310" s="391"/>
      <c r="S310" s="3"/>
      <c r="T310" s="391"/>
      <c r="U310" s="3"/>
      <c r="V310" s="390"/>
      <c r="W310" s="3"/>
      <c r="X310" s="390"/>
      <c r="Y310" s="3"/>
      <c r="Z310" s="390"/>
      <c r="AA310" s="3"/>
      <c r="AB310" s="390"/>
      <c r="AC310" s="3"/>
      <c r="AD310" s="390"/>
      <c r="AE310" s="3"/>
      <c r="AF310" s="390"/>
      <c r="AG310" s="3"/>
      <c r="AH310" s="390"/>
      <c r="AI310" s="3"/>
      <c r="AJ310" s="390"/>
      <c r="AK310" s="3"/>
      <c r="AL310" s="390"/>
      <c r="AM310" s="3"/>
      <c r="AN310" s="390"/>
      <c r="AO310" s="3"/>
      <c r="AP310" s="392">
        <f t="shared" si="12"/>
        <v>0</v>
      </c>
      <c r="AQ310" s="389">
        <f t="shared" si="10"/>
        <v>0</v>
      </c>
      <c r="AR310" s="389">
        <f t="shared" si="3"/>
        <v>0</v>
      </c>
      <c r="AS310" s="389">
        <f t="shared" si="4"/>
        <v>0</v>
      </c>
      <c r="AT310" s="392" t="str">
        <f t="shared" si="5"/>
        <v/>
      </c>
    </row>
    <row r="311" ht="15.75" customHeight="1">
      <c r="A311" s="18" t="s">
        <v>21</v>
      </c>
      <c r="B311" s="68">
        <f t="shared" si="6"/>
        <v>45236</v>
      </c>
      <c r="C311" s="20">
        <v>12.0</v>
      </c>
      <c r="D311" s="20" t="s">
        <v>22</v>
      </c>
      <c r="E311" s="389"/>
      <c r="F311" s="390"/>
      <c r="G311" s="3"/>
      <c r="H311" s="390"/>
      <c r="I311" s="3"/>
      <c r="J311" s="390"/>
      <c r="K311" s="3"/>
      <c r="L311" s="390"/>
      <c r="M311" s="3"/>
      <c r="N311" s="391"/>
      <c r="O311" s="3"/>
      <c r="P311" s="391"/>
      <c r="Q311" s="3"/>
      <c r="R311" s="391"/>
      <c r="S311" s="3"/>
      <c r="T311" s="391"/>
      <c r="U311" s="3"/>
      <c r="V311" s="390"/>
      <c r="W311" s="3"/>
      <c r="X311" s="390"/>
      <c r="Y311" s="3"/>
      <c r="Z311" s="390"/>
      <c r="AA311" s="3"/>
      <c r="AB311" s="390"/>
      <c r="AC311" s="3"/>
      <c r="AD311" s="390"/>
      <c r="AE311" s="3"/>
      <c r="AF311" s="390"/>
      <c r="AG311" s="3"/>
      <c r="AH311" s="390"/>
      <c r="AI311" s="3"/>
      <c r="AJ311" s="390"/>
      <c r="AK311" s="3"/>
      <c r="AL311" s="390"/>
      <c r="AM311" s="3"/>
      <c r="AN311" s="390"/>
      <c r="AO311" s="3"/>
      <c r="AP311" s="392">
        <f t="shared" si="12"/>
        <v>0</v>
      </c>
      <c r="AQ311" s="389">
        <f t="shared" si="10"/>
        <v>0</v>
      </c>
      <c r="AR311" s="389">
        <f t="shared" si="3"/>
        <v>0</v>
      </c>
      <c r="AS311" s="389">
        <f t="shared" si="4"/>
        <v>0</v>
      </c>
      <c r="AT311" s="392" t="str">
        <f t="shared" si="5"/>
        <v/>
      </c>
    </row>
    <row r="312" ht="15.75" customHeight="1">
      <c r="A312" s="34" t="s">
        <v>23</v>
      </c>
      <c r="B312" s="35">
        <f t="shared" si="6"/>
        <v>45237</v>
      </c>
      <c r="C312" s="36">
        <v>12.0</v>
      </c>
      <c r="D312" s="36" t="s">
        <v>22</v>
      </c>
      <c r="E312" s="389"/>
      <c r="F312" s="390"/>
      <c r="G312" s="3"/>
      <c r="H312" s="390"/>
      <c r="I312" s="3"/>
      <c r="J312" s="390"/>
      <c r="K312" s="3"/>
      <c r="L312" s="390"/>
      <c r="M312" s="3"/>
      <c r="N312" s="391"/>
      <c r="O312" s="3"/>
      <c r="P312" s="391"/>
      <c r="Q312" s="3"/>
      <c r="R312" s="391"/>
      <c r="S312" s="3"/>
      <c r="T312" s="391"/>
      <c r="U312" s="3"/>
      <c r="V312" s="390"/>
      <c r="W312" s="3"/>
      <c r="X312" s="390"/>
      <c r="Y312" s="3"/>
      <c r="Z312" s="390"/>
      <c r="AA312" s="3"/>
      <c r="AB312" s="390"/>
      <c r="AC312" s="3"/>
      <c r="AD312" s="390"/>
      <c r="AE312" s="3"/>
      <c r="AF312" s="390"/>
      <c r="AG312" s="3"/>
      <c r="AH312" s="390"/>
      <c r="AI312" s="3"/>
      <c r="AJ312" s="390"/>
      <c r="AK312" s="3"/>
      <c r="AL312" s="390"/>
      <c r="AM312" s="3"/>
      <c r="AN312" s="390"/>
      <c r="AO312" s="3"/>
      <c r="AP312" s="392">
        <f t="shared" si="12"/>
        <v>0</v>
      </c>
      <c r="AQ312" s="389">
        <f t="shared" si="10"/>
        <v>0</v>
      </c>
      <c r="AR312" s="389">
        <f t="shared" si="3"/>
        <v>0</v>
      </c>
      <c r="AS312" s="389">
        <f t="shared" si="4"/>
        <v>0</v>
      </c>
      <c r="AT312" s="392" t="str">
        <f t="shared" si="5"/>
        <v/>
      </c>
    </row>
    <row r="313" ht="15.75" customHeight="1">
      <c r="A313" s="34" t="s">
        <v>24</v>
      </c>
      <c r="B313" s="35">
        <f t="shared" si="6"/>
        <v>45238</v>
      </c>
      <c r="C313" s="36">
        <v>12.0</v>
      </c>
      <c r="D313" s="36" t="s">
        <v>22</v>
      </c>
      <c r="E313" s="389"/>
      <c r="F313" s="390"/>
      <c r="G313" s="3"/>
      <c r="H313" s="390"/>
      <c r="I313" s="3"/>
      <c r="J313" s="390"/>
      <c r="K313" s="3"/>
      <c r="L313" s="390"/>
      <c r="M313" s="3"/>
      <c r="N313" s="391"/>
      <c r="O313" s="3"/>
      <c r="P313" s="391"/>
      <c r="Q313" s="3"/>
      <c r="R313" s="391"/>
      <c r="S313" s="3"/>
      <c r="T313" s="391"/>
      <c r="U313" s="3"/>
      <c r="V313" s="390"/>
      <c r="W313" s="3"/>
      <c r="X313" s="390"/>
      <c r="Y313" s="3"/>
      <c r="Z313" s="390"/>
      <c r="AA313" s="3"/>
      <c r="AB313" s="390"/>
      <c r="AC313" s="3"/>
      <c r="AD313" s="390"/>
      <c r="AE313" s="3"/>
      <c r="AF313" s="390"/>
      <c r="AG313" s="3"/>
      <c r="AH313" s="390"/>
      <c r="AI313" s="3"/>
      <c r="AJ313" s="390"/>
      <c r="AK313" s="3"/>
      <c r="AL313" s="390"/>
      <c r="AM313" s="3"/>
      <c r="AN313" s="390"/>
      <c r="AO313" s="3"/>
      <c r="AP313" s="392">
        <f t="shared" si="12"/>
        <v>0</v>
      </c>
      <c r="AQ313" s="389">
        <f t="shared" si="10"/>
        <v>0</v>
      </c>
      <c r="AR313" s="389">
        <f t="shared" si="3"/>
        <v>0</v>
      </c>
      <c r="AS313" s="389">
        <f t="shared" si="4"/>
        <v>0</v>
      </c>
      <c r="AT313" s="392" t="str">
        <f t="shared" si="5"/>
        <v/>
      </c>
    </row>
    <row r="314" ht="15.75" customHeight="1">
      <c r="A314" s="34" t="s">
        <v>25</v>
      </c>
      <c r="B314" s="35">
        <f t="shared" si="6"/>
        <v>45239</v>
      </c>
      <c r="C314" s="36">
        <v>12.0</v>
      </c>
      <c r="D314" s="36" t="s">
        <v>22</v>
      </c>
      <c r="E314" s="389"/>
      <c r="F314" s="390"/>
      <c r="G314" s="3"/>
      <c r="H314" s="390"/>
      <c r="I314" s="3"/>
      <c r="J314" s="390"/>
      <c r="K314" s="3"/>
      <c r="L314" s="390"/>
      <c r="M314" s="3"/>
      <c r="N314" s="391"/>
      <c r="O314" s="3"/>
      <c r="P314" s="391"/>
      <c r="Q314" s="3"/>
      <c r="R314" s="391"/>
      <c r="S314" s="3"/>
      <c r="T314" s="391"/>
      <c r="U314" s="3"/>
      <c r="V314" s="390"/>
      <c r="W314" s="3"/>
      <c r="X314" s="390"/>
      <c r="Y314" s="3"/>
      <c r="Z314" s="390"/>
      <c r="AA314" s="3"/>
      <c r="AB314" s="390"/>
      <c r="AC314" s="3"/>
      <c r="AD314" s="390"/>
      <c r="AE314" s="3"/>
      <c r="AF314" s="390"/>
      <c r="AG314" s="3"/>
      <c r="AH314" s="390"/>
      <c r="AI314" s="3"/>
      <c r="AJ314" s="390"/>
      <c r="AK314" s="3"/>
      <c r="AL314" s="390"/>
      <c r="AM314" s="3"/>
      <c r="AN314" s="390"/>
      <c r="AO314" s="3"/>
      <c r="AP314" s="392">
        <f t="shared" si="12"/>
        <v>0</v>
      </c>
      <c r="AQ314" s="389">
        <f t="shared" si="10"/>
        <v>0</v>
      </c>
      <c r="AR314" s="389">
        <f t="shared" si="3"/>
        <v>0</v>
      </c>
      <c r="AS314" s="389">
        <f t="shared" si="4"/>
        <v>0</v>
      </c>
      <c r="AT314" s="392" t="str">
        <f t="shared" si="5"/>
        <v/>
      </c>
    </row>
    <row r="315" ht="15.75" customHeight="1">
      <c r="A315" s="34" t="s">
        <v>26</v>
      </c>
      <c r="B315" s="35">
        <f t="shared" si="6"/>
        <v>45240</v>
      </c>
      <c r="C315" s="36">
        <v>12.0</v>
      </c>
      <c r="D315" s="36" t="s">
        <v>22</v>
      </c>
      <c r="E315" s="389"/>
      <c r="F315" s="390"/>
      <c r="G315" s="3"/>
      <c r="H315" s="390"/>
      <c r="I315" s="3"/>
      <c r="J315" s="390"/>
      <c r="K315" s="3"/>
      <c r="L315" s="390"/>
      <c r="M315" s="3"/>
      <c r="N315" s="391"/>
      <c r="O315" s="3"/>
      <c r="P315" s="391"/>
      <c r="Q315" s="3"/>
      <c r="R315" s="391"/>
      <c r="S315" s="3"/>
      <c r="T315" s="391"/>
      <c r="U315" s="3"/>
      <c r="V315" s="390"/>
      <c r="W315" s="3"/>
      <c r="X315" s="390"/>
      <c r="Y315" s="3"/>
      <c r="Z315" s="390"/>
      <c r="AA315" s="3"/>
      <c r="AB315" s="390"/>
      <c r="AC315" s="3"/>
      <c r="AD315" s="390"/>
      <c r="AE315" s="3"/>
      <c r="AF315" s="390"/>
      <c r="AG315" s="3"/>
      <c r="AH315" s="390"/>
      <c r="AI315" s="3"/>
      <c r="AJ315" s="390"/>
      <c r="AK315" s="3"/>
      <c r="AL315" s="390"/>
      <c r="AM315" s="3"/>
      <c r="AN315" s="390"/>
      <c r="AO315" s="3"/>
      <c r="AP315" s="392">
        <f t="shared" si="12"/>
        <v>0</v>
      </c>
      <c r="AQ315" s="389">
        <f t="shared" si="10"/>
        <v>0</v>
      </c>
      <c r="AR315" s="389">
        <f t="shared" si="3"/>
        <v>0</v>
      </c>
      <c r="AS315" s="389">
        <f t="shared" si="4"/>
        <v>0</v>
      </c>
      <c r="AT315" s="392" t="str">
        <f t="shared" si="5"/>
        <v/>
      </c>
    </row>
    <row r="316" ht="15.75" customHeight="1">
      <c r="A316" s="34" t="s">
        <v>27</v>
      </c>
      <c r="B316" s="35">
        <f t="shared" si="6"/>
        <v>45241</v>
      </c>
      <c r="C316" s="36">
        <v>12.0</v>
      </c>
      <c r="D316" s="36" t="s">
        <v>22</v>
      </c>
      <c r="E316" s="389"/>
      <c r="F316" s="390"/>
      <c r="G316" s="3"/>
      <c r="H316" s="390"/>
      <c r="I316" s="3"/>
      <c r="J316" s="390"/>
      <c r="K316" s="3"/>
      <c r="L316" s="390"/>
      <c r="M316" s="3"/>
      <c r="N316" s="391"/>
      <c r="O316" s="3"/>
      <c r="P316" s="391"/>
      <c r="Q316" s="3"/>
      <c r="R316" s="391"/>
      <c r="S316" s="3"/>
      <c r="T316" s="391"/>
      <c r="U316" s="3"/>
      <c r="V316" s="390"/>
      <c r="W316" s="3"/>
      <c r="X316" s="390"/>
      <c r="Y316" s="3"/>
      <c r="Z316" s="390"/>
      <c r="AA316" s="3"/>
      <c r="AB316" s="390"/>
      <c r="AC316" s="3"/>
      <c r="AD316" s="390"/>
      <c r="AE316" s="3"/>
      <c r="AF316" s="390"/>
      <c r="AG316" s="3"/>
      <c r="AH316" s="390"/>
      <c r="AI316" s="3"/>
      <c r="AJ316" s="390"/>
      <c r="AK316" s="3"/>
      <c r="AL316" s="390"/>
      <c r="AM316" s="3"/>
      <c r="AN316" s="390"/>
      <c r="AO316" s="3"/>
      <c r="AP316" s="392">
        <f t="shared" si="12"/>
        <v>0</v>
      </c>
      <c r="AQ316" s="389">
        <f t="shared" si="10"/>
        <v>0</v>
      </c>
      <c r="AR316" s="389">
        <f t="shared" si="3"/>
        <v>0</v>
      </c>
      <c r="AS316" s="389">
        <f t="shared" si="4"/>
        <v>0</v>
      </c>
      <c r="AT316" s="392" t="str">
        <f t="shared" si="5"/>
        <v/>
      </c>
    </row>
    <row r="317" ht="15.75" customHeight="1">
      <c r="A317" s="46" t="s">
        <v>28</v>
      </c>
      <c r="B317" s="47">
        <f t="shared" si="6"/>
        <v>45242</v>
      </c>
      <c r="C317" s="49">
        <v>12.0</v>
      </c>
      <c r="D317" s="49" t="s">
        <v>22</v>
      </c>
      <c r="E317" s="389"/>
      <c r="F317" s="390"/>
      <c r="G317" s="3"/>
      <c r="H317" s="390"/>
      <c r="I317" s="3"/>
      <c r="J317" s="390"/>
      <c r="K317" s="3"/>
      <c r="L317" s="390"/>
      <c r="M317" s="3"/>
      <c r="N317" s="391"/>
      <c r="O317" s="3"/>
      <c r="P317" s="391"/>
      <c r="Q317" s="3"/>
      <c r="R317" s="391"/>
      <c r="S317" s="3"/>
      <c r="T317" s="391"/>
      <c r="U317" s="3"/>
      <c r="V317" s="390"/>
      <c r="W317" s="3"/>
      <c r="X317" s="390"/>
      <c r="Y317" s="3"/>
      <c r="Z317" s="390"/>
      <c r="AA317" s="3"/>
      <c r="AB317" s="390"/>
      <c r="AC317" s="3"/>
      <c r="AD317" s="390"/>
      <c r="AE317" s="3"/>
      <c r="AF317" s="390"/>
      <c r="AG317" s="3"/>
      <c r="AH317" s="390"/>
      <c r="AI317" s="3"/>
      <c r="AJ317" s="390"/>
      <c r="AK317" s="3"/>
      <c r="AL317" s="390"/>
      <c r="AM317" s="3"/>
      <c r="AN317" s="390"/>
      <c r="AO317" s="3"/>
      <c r="AP317" s="392">
        <f t="shared" si="12"/>
        <v>0</v>
      </c>
      <c r="AQ317" s="389">
        <f t="shared" si="10"/>
        <v>0</v>
      </c>
      <c r="AR317" s="389">
        <f t="shared" si="3"/>
        <v>0</v>
      </c>
      <c r="AS317" s="389">
        <f t="shared" si="4"/>
        <v>0</v>
      </c>
      <c r="AT317" s="392" t="str">
        <f t="shared" si="5"/>
        <v/>
      </c>
    </row>
    <row r="318" ht="15.75" customHeight="1">
      <c r="A318" s="18" t="s">
        <v>21</v>
      </c>
      <c r="B318" s="68">
        <f t="shared" si="6"/>
        <v>45243</v>
      </c>
      <c r="C318" s="20">
        <v>12.0</v>
      </c>
      <c r="D318" s="20" t="s">
        <v>34</v>
      </c>
      <c r="E318" s="389"/>
      <c r="F318" s="390"/>
      <c r="G318" s="3"/>
      <c r="H318" s="390"/>
      <c r="I318" s="3"/>
      <c r="J318" s="390"/>
      <c r="K318" s="3"/>
      <c r="L318" s="390"/>
      <c r="M318" s="3"/>
      <c r="N318" s="391"/>
      <c r="O318" s="3"/>
      <c r="P318" s="391"/>
      <c r="Q318" s="3"/>
      <c r="R318" s="391"/>
      <c r="S318" s="3"/>
      <c r="T318" s="391"/>
      <c r="U318" s="3"/>
      <c r="V318" s="390"/>
      <c r="W318" s="3"/>
      <c r="X318" s="390"/>
      <c r="Y318" s="3"/>
      <c r="Z318" s="390"/>
      <c r="AA318" s="3"/>
      <c r="AB318" s="390"/>
      <c r="AC318" s="3"/>
      <c r="AD318" s="390"/>
      <c r="AE318" s="3"/>
      <c r="AF318" s="390"/>
      <c r="AG318" s="3"/>
      <c r="AH318" s="390"/>
      <c r="AI318" s="3"/>
      <c r="AJ318" s="390"/>
      <c r="AK318" s="3"/>
      <c r="AL318" s="390"/>
      <c r="AM318" s="3"/>
      <c r="AN318" s="390"/>
      <c r="AO318" s="3"/>
      <c r="AP318" s="392">
        <f t="shared" si="12"/>
        <v>0</v>
      </c>
      <c r="AQ318" s="389">
        <f t="shared" si="10"/>
        <v>0</v>
      </c>
      <c r="AR318" s="389">
        <f t="shared" si="3"/>
        <v>0</v>
      </c>
      <c r="AS318" s="389">
        <f t="shared" si="4"/>
        <v>0</v>
      </c>
      <c r="AT318" s="392" t="str">
        <f t="shared" si="5"/>
        <v/>
      </c>
    </row>
    <row r="319" ht="15.75" customHeight="1">
      <c r="A319" s="34" t="s">
        <v>23</v>
      </c>
      <c r="B319" s="35">
        <f t="shared" si="6"/>
        <v>45244</v>
      </c>
      <c r="C319" s="36">
        <v>12.0</v>
      </c>
      <c r="D319" s="36" t="s">
        <v>34</v>
      </c>
      <c r="E319" s="389"/>
      <c r="F319" s="390"/>
      <c r="G319" s="3"/>
      <c r="H319" s="390"/>
      <c r="I319" s="3"/>
      <c r="J319" s="390"/>
      <c r="K319" s="3"/>
      <c r="L319" s="390"/>
      <c r="M319" s="3"/>
      <c r="N319" s="391"/>
      <c r="O319" s="3"/>
      <c r="P319" s="391"/>
      <c r="Q319" s="3"/>
      <c r="R319" s="391"/>
      <c r="S319" s="3"/>
      <c r="T319" s="391"/>
      <c r="U319" s="3"/>
      <c r="V319" s="390"/>
      <c r="W319" s="3"/>
      <c r="X319" s="390"/>
      <c r="Y319" s="3"/>
      <c r="Z319" s="390"/>
      <c r="AA319" s="3"/>
      <c r="AB319" s="390"/>
      <c r="AC319" s="3"/>
      <c r="AD319" s="390"/>
      <c r="AE319" s="3"/>
      <c r="AF319" s="390"/>
      <c r="AG319" s="3"/>
      <c r="AH319" s="390"/>
      <c r="AI319" s="3"/>
      <c r="AJ319" s="390"/>
      <c r="AK319" s="3"/>
      <c r="AL319" s="390"/>
      <c r="AM319" s="3"/>
      <c r="AN319" s="390"/>
      <c r="AO319" s="3"/>
      <c r="AP319" s="392">
        <f t="shared" si="12"/>
        <v>0</v>
      </c>
      <c r="AQ319" s="389">
        <f t="shared" si="10"/>
        <v>0</v>
      </c>
      <c r="AR319" s="389">
        <f t="shared" si="3"/>
        <v>0</v>
      </c>
      <c r="AS319" s="389">
        <f t="shared" si="4"/>
        <v>0</v>
      </c>
      <c r="AT319" s="392" t="str">
        <f t="shared" si="5"/>
        <v/>
      </c>
    </row>
    <row r="320" ht="15.75" customHeight="1">
      <c r="A320" s="34" t="s">
        <v>24</v>
      </c>
      <c r="B320" s="35">
        <f t="shared" si="6"/>
        <v>45245</v>
      </c>
      <c r="C320" s="36">
        <v>12.0</v>
      </c>
      <c r="D320" s="36" t="s">
        <v>34</v>
      </c>
      <c r="E320" s="389"/>
      <c r="F320" s="390"/>
      <c r="G320" s="3"/>
      <c r="H320" s="390"/>
      <c r="I320" s="3"/>
      <c r="J320" s="390"/>
      <c r="K320" s="3"/>
      <c r="L320" s="390"/>
      <c r="M320" s="3"/>
      <c r="N320" s="391"/>
      <c r="O320" s="3"/>
      <c r="P320" s="391"/>
      <c r="Q320" s="3"/>
      <c r="R320" s="391"/>
      <c r="S320" s="3"/>
      <c r="T320" s="391"/>
      <c r="U320" s="3"/>
      <c r="V320" s="390"/>
      <c r="W320" s="3"/>
      <c r="X320" s="390"/>
      <c r="Y320" s="3"/>
      <c r="Z320" s="390"/>
      <c r="AA320" s="3"/>
      <c r="AB320" s="390"/>
      <c r="AC320" s="3"/>
      <c r="AD320" s="390"/>
      <c r="AE320" s="3"/>
      <c r="AF320" s="390"/>
      <c r="AG320" s="3"/>
      <c r="AH320" s="390"/>
      <c r="AI320" s="3"/>
      <c r="AJ320" s="390"/>
      <c r="AK320" s="3"/>
      <c r="AL320" s="390"/>
      <c r="AM320" s="3"/>
      <c r="AN320" s="390"/>
      <c r="AO320" s="3"/>
      <c r="AP320" s="392">
        <f t="shared" si="12"/>
        <v>0</v>
      </c>
      <c r="AQ320" s="389">
        <f t="shared" si="10"/>
        <v>0</v>
      </c>
      <c r="AR320" s="389">
        <f t="shared" si="3"/>
        <v>0</v>
      </c>
      <c r="AS320" s="389">
        <f t="shared" si="4"/>
        <v>0</v>
      </c>
      <c r="AT320" s="392" t="str">
        <f t="shared" si="5"/>
        <v/>
      </c>
    </row>
    <row r="321" ht="15.75" customHeight="1">
      <c r="A321" s="34" t="s">
        <v>25</v>
      </c>
      <c r="B321" s="35">
        <f t="shared" si="6"/>
        <v>45246</v>
      </c>
      <c r="C321" s="36">
        <v>12.0</v>
      </c>
      <c r="D321" s="36" t="s">
        <v>34</v>
      </c>
      <c r="E321" s="389"/>
      <c r="F321" s="390"/>
      <c r="G321" s="3"/>
      <c r="H321" s="390"/>
      <c r="I321" s="3"/>
      <c r="J321" s="390"/>
      <c r="K321" s="3"/>
      <c r="L321" s="390"/>
      <c r="M321" s="3"/>
      <c r="N321" s="391"/>
      <c r="O321" s="3"/>
      <c r="P321" s="391"/>
      <c r="Q321" s="3"/>
      <c r="R321" s="391"/>
      <c r="S321" s="3"/>
      <c r="T321" s="391"/>
      <c r="U321" s="3"/>
      <c r="V321" s="390"/>
      <c r="W321" s="3"/>
      <c r="X321" s="390"/>
      <c r="Y321" s="3"/>
      <c r="Z321" s="390"/>
      <c r="AA321" s="3"/>
      <c r="AB321" s="390"/>
      <c r="AC321" s="3"/>
      <c r="AD321" s="390"/>
      <c r="AE321" s="3"/>
      <c r="AF321" s="390"/>
      <c r="AG321" s="3"/>
      <c r="AH321" s="390"/>
      <c r="AI321" s="3"/>
      <c r="AJ321" s="390"/>
      <c r="AK321" s="3"/>
      <c r="AL321" s="390"/>
      <c r="AM321" s="3"/>
      <c r="AN321" s="390"/>
      <c r="AO321" s="3"/>
      <c r="AP321" s="392">
        <f t="shared" si="12"/>
        <v>0</v>
      </c>
      <c r="AQ321" s="389">
        <f t="shared" si="10"/>
        <v>0</v>
      </c>
      <c r="AR321" s="389">
        <f t="shared" si="3"/>
        <v>0</v>
      </c>
      <c r="AS321" s="389">
        <f t="shared" si="4"/>
        <v>0</v>
      </c>
      <c r="AT321" s="392" t="str">
        <f t="shared" si="5"/>
        <v/>
      </c>
    </row>
    <row r="322" ht="15.75" customHeight="1">
      <c r="A322" s="34" t="s">
        <v>26</v>
      </c>
      <c r="B322" s="35">
        <f t="shared" si="6"/>
        <v>45247</v>
      </c>
      <c r="C322" s="36">
        <v>12.0</v>
      </c>
      <c r="D322" s="36" t="s">
        <v>34</v>
      </c>
      <c r="E322" s="389"/>
      <c r="F322" s="390"/>
      <c r="G322" s="3"/>
      <c r="H322" s="390"/>
      <c r="I322" s="3"/>
      <c r="J322" s="390"/>
      <c r="K322" s="3"/>
      <c r="L322" s="390"/>
      <c r="M322" s="3"/>
      <c r="N322" s="391"/>
      <c r="O322" s="3"/>
      <c r="P322" s="391"/>
      <c r="Q322" s="3"/>
      <c r="R322" s="391"/>
      <c r="S322" s="3"/>
      <c r="T322" s="391"/>
      <c r="U322" s="3"/>
      <c r="V322" s="390"/>
      <c r="W322" s="3"/>
      <c r="X322" s="390"/>
      <c r="Y322" s="3"/>
      <c r="Z322" s="390"/>
      <c r="AA322" s="3"/>
      <c r="AB322" s="390"/>
      <c r="AC322" s="3"/>
      <c r="AD322" s="390"/>
      <c r="AE322" s="3"/>
      <c r="AF322" s="390"/>
      <c r="AG322" s="3"/>
      <c r="AH322" s="390"/>
      <c r="AI322" s="3"/>
      <c r="AJ322" s="390"/>
      <c r="AK322" s="3"/>
      <c r="AL322" s="390"/>
      <c r="AM322" s="3"/>
      <c r="AN322" s="390"/>
      <c r="AO322" s="3"/>
      <c r="AP322" s="392">
        <f t="shared" si="12"/>
        <v>0</v>
      </c>
      <c r="AQ322" s="389">
        <f t="shared" si="10"/>
        <v>0</v>
      </c>
      <c r="AR322" s="389">
        <f t="shared" si="3"/>
        <v>0</v>
      </c>
      <c r="AS322" s="389">
        <f t="shared" si="4"/>
        <v>0</v>
      </c>
      <c r="AT322" s="392" t="str">
        <f t="shared" si="5"/>
        <v/>
      </c>
    </row>
    <row r="323" ht="15.75" customHeight="1">
      <c r="A323" s="34" t="s">
        <v>27</v>
      </c>
      <c r="B323" s="35">
        <f t="shared" si="6"/>
        <v>45248</v>
      </c>
      <c r="C323" s="36">
        <v>12.0</v>
      </c>
      <c r="D323" s="36" t="s">
        <v>34</v>
      </c>
      <c r="E323" s="389"/>
      <c r="F323" s="390"/>
      <c r="G323" s="3"/>
      <c r="H323" s="390"/>
      <c r="I323" s="3"/>
      <c r="J323" s="390"/>
      <c r="K323" s="3"/>
      <c r="L323" s="390"/>
      <c r="M323" s="3"/>
      <c r="N323" s="391"/>
      <c r="O323" s="3"/>
      <c r="P323" s="391"/>
      <c r="Q323" s="3"/>
      <c r="R323" s="391"/>
      <c r="S323" s="3"/>
      <c r="T323" s="391"/>
      <c r="U323" s="3"/>
      <c r="V323" s="390"/>
      <c r="W323" s="3"/>
      <c r="X323" s="390"/>
      <c r="Y323" s="3"/>
      <c r="Z323" s="390"/>
      <c r="AA323" s="3"/>
      <c r="AB323" s="390"/>
      <c r="AC323" s="3"/>
      <c r="AD323" s="390"/>
      <c r="AE323" s="3"/>
      <c r="AF323" s="390"/>
      <c r="AG323" s="3"/>
      <c r="AH323" s="390"/>
      <c r="AI323" s="3"/>
      <c r="AJ323" s="390"/>
      <c r="AK323" s="3"/>
      <c r="AL323" s="390"/>
      <c r="AM323" s="3"/>
      <c r="AN323" s="390"/>
      <c r="AO323" s="3"/>
      <c r="AP323" s="392">
        <f t="shared" si="12"/>
        <v>0</v>
      </c>
      <c r="AQ323" s="389">
        <f t="shared" si="10"/>
        <v>0</v>
      </c>
      <c r="AR323" s="389">
        <f t="shared" si="3"/>
        <v>0</v>
      </c>
      <c r="AS323" s="389">
        <f t="shared" si="4"/>
        <v>0</v>
      </c>
      <c r="AT323" s="392" t="str">
        <f t="shared" si="5"/>
        <v/>
      </c>
    </row>
    <row r="324" ht="15.75" customHeight="1">
      <c r="A324" s="46" t="s">
        <v>28</v>
      </c>
      <c r="B324" s="47">
        <f t="shared" si="6"/>
        <v>45249</v>
      </c>
      <c r="C324" s="49">
        <v>12.0</v>
      </c>
      <c r="D324" s="49" t="s">
        <v>34</v>
      </c>
      <c r="E324" s="389"/>
      <c r="F324" s="390"/>
      <c r="G324" s="3"/>
      <c r="H324" s="390"/>
      <c r="I324" s="3"/>
      <c r="J324" s="390"/>
      <c r="K324" s="3"/>
      <c r="L324" s="390"/>
      <c r="M324" s="3"/>
      <c r="N324" s="391"/>
      <c r="O324" s="3"/>
      <c r="P324" s="391"/>
      <c r="Q324" s="3"/>
      <c r="R324" s="391"/>
      <c r="S324" s="3"/>
      <c r="T324" s="391"/>
      <c r="U324" s="3"/>
      <c r="V324" s="390"/>
      <c r="W324" s="3"/>
      <c r="X324" s="390"/>
      <c r="Y324" s="3"/>
      <c r="Z324" s="390"/>
      <c r="AA324" s="3"/>
      <c r="AB324" s="390"/>
      <c r="AC324" s="3"/>
      <c r="AD324" s="390"/>
      <c r="AE324" s="3"/>
      <c r="AF324" s="390"/>
      <c r="AG324" s="3"/>
      <c r="AH324" s="390"/>
      <c r="AI324" s="3"/>
      <c r="AJ324" s="390"/>
      <c r="AK324" s="3"/>
      <c r="AL324" s="390"/>
      <c r="AM324" s="3"/>
      <c r="AN324" s="390"/>
      <c r="AO324" s="3"/>
      <c r="AP324" s="392">
        <f t="shared" si="12"/>
        <v>0</v>
      </c>
      <c r="AQ324" s="389">
        <f t="shared" si="10"/>
        <v>0</v>
      </c>
      <c r="AR324" s="389">
        <f t="shared" si="3"/>
        <v>0</v>
      </c>
      <c r="AS324" s="389">
        <f t="shared" si="4"/>
        <v>0</v>
      </c>
      <c r="AT324" s="392" t="str">
        <f t="shared" si="5"/>
        <v/>
      </c>
    </row>
    <row r="325" ht="15.75" customHeight="1">
      <c r="A325" s="18" t="s">
        <v>21</v>
      </c>
      <c r="B325" s="68">
        <f t="shared" si="6"/>
        <v>45250</v>
      </c>
      <c r="C325" s="20">
        <v>12.0</v>
      </c>
      <c r="D325" s="20" t="s">
        <v>36</v>
      </c>
      <c r="E325" s="389"/>
      <c r="F325" s="390"/>
      <c r="G325" s="3"/>
      <c r="H325" s="390"/>
      <c r="I325" s="3"/>
      <c r="J325" s="390"/>
      <c r="K325" s="3"/>
      <c r="L325" s="390"/>
      <c r="M325" s="3"/>
      <c r="N325" s="391"/>
      <c r="O325" s="3"/>
      <c r="P325" s="391"/>
      <c r="Q325" s="3"/>
      <c r="R325" s="391"/>
      <c r="S325" s="3"/>
      <c r="T325" s="391"/>
      <c r="U325" s="3"/>
      <c r="V325" s="390"/>
      <c r="W325" s="3"/>
      <c r="X325" s="390"/>
      <c r="Y325" s="3"/>
      <c r="Z325" s="390"/>
      <c r="AA325" s="3"/>
      <c r="AB325" s="390"/>
      <c r="AC325" s="3"/>
      <c r="AD325" s="390"/>
      <c r="AE325" s="3"/>
      <c r="AF325" s="390"/>
      <c r="AG325" s="3"/>
      <c r="AH325" s="390"/>
      <c r="AI325" s="3"/>
      <c r="AJ325" s="390"/>
      <c r="AK325" s="3"/>
      <c r="AL325" s="390"/>
      <c r="AM325" s="3"/>
      <c r="AN325" s="390"/>
      <c r="AO325" s="3"/>
      <c r="AP325" s="392">
        <f t="shared" si="12"/>
        <v>0</v>
      </c>
      <c r="AQ325" s="389">
        <f t="shared" si="10"/>
        <v>0</v>
      </c>
      <c r="AR325" s="389">
        <f t="shared" si="3"/>
        <v>0</v>
      </c>
      <c r="AS325" s="389">
        <f t="shared" si="4"/>
        <v>0</v>
      </c>
      <c r="AT325" s="392" t="str">
        <f t="shared" si="5"/>
        <v/>
      </c>
    </row>
    <row r="326" ht="15.75" customHeight="1">
      <c r="A326" s="34" t="s">
        <v>23</v>
      </c>
      <c r="B326" s="35">
        <f t="shared" si="6"/>
        <v>45251</v>
      </c>
      <c r="C326" s="36">
        <v>12.0</v>
      </c>
      <c r="D326" s="36" t="s">
        <v>36</v>
      </c>
      <c r="E326" s="389"/>
      <c r="F326" s="390"/>
      <c r="G326" s="3"/>
      <c r="H326" s="390"/>
      <c r="I326" s="3"/>
      <c r="J326" s="390"/>
      <c r="K326" s="3"/>
      <c r="L326" s="390"/>
      <c r="M326" s="3"/>
      <c r="N326" s="391"/>
      <c r="O326" s="3"/>
      <c r="P326" s="391"/>
      <c r="Q326" s="3"/>
      <c r="R326" s="391"/>
      <c r="S326" s="3"/>
      <c r="T326" s="391"/>
      <c r="U326" s="3"/>
      <c r="V326" s="390"/>
      <c r="W326" s="3"/>
      <c r="X326" s="390"/>
      <c r="Y326" s="3"/>
      <c r="Z326" s="390"/>
      <c r="AA326" s="3"/>
      <c r="AB326" s="390"/>
      <c r="AC326" s="3"/>
      <c r="AD326" s="390"/>
      <c r="AE326" s="3"/>
      <c r="AF326" s="390"/>
      <c r="AG326" s="3"/>
      <c r="AH326" s="390"/>
      <c r="AI326" s="3"/>
      <c r="AJ326" s="390"/>
      <c r="AK326" s="3"/>
      <c r="AL326" s="390"/>
      <c r="AM326" s="3"/>
      <c r="AN326" s="390"/>
      <c r="AO326" s="3"/>
      <c r="AP326" s="392">
        <f t="shared" si="12"/>
        <v>0</v>
      </c>
      <c r="AQ326" s="389">
        <f t="shared" si="10"/>
        <v>0</v>
      </c>
      <c r="AR326" s="389">
        <f t="shared" si="3"/>
        <v>0</v>
      </c>
      <c r="AS326" s="389">
        <f t="shared" si="4"/>
        <v>0</v>
      </c>
      <c r="AT326" s="392" t="str">
        <f t="shared" si="5"/>
        <v/>
      </c>
    </row>
    <row r="327" ht="15.75" customHeight="1">
      <c r="A327" s="34" t="s">
        <v>24</v>
      </c>
      <c r="B327" s="35">
        <f t="shared" si="6"/>
        <v>45252</v>
      </c>
      <c r="C327" s="36">
        <v>12.0</v>
      </c>
      <c r="D327" s="36" t="s">
        <v>36</v>
      </c>
      <c r="E327" s="389"/>
      <c r="F327" s="390"/>
      <c r="G327" s="3"/>
      <c r="H327" s="390"/>
      <c r="I327" s="3"/>
      <c r="J327" s="390"/>
      <c r="K327" s="3"/>
      <c r="L327" s="390"/>
      <c r="M327" s="3"/>
      <c r="N327" s="391"/>
      <c r="O327" s="3"/>
      <c r="P327" s="391"/>
      <c r="Q327" s="3"/>
      <c r="R327" s="391"/>
      <c r="S327" s="3"/>
      <c r="T327" s="391"/>
      <c r="U327" s="3"/>
      <c r="V327" s="390"/>
      <c r="W327" s="3"/>
      <c r="X327" s="390"/>
      <c r="Y327" s="3"/>
      <c r="Z327" s="390"/>
      <c r="AA327" s="3"/>
      <c r="AB327" s="390"/>
      <c r="AC327" s="3"/>
      <c r="AD327" s="390"/>
      <c r="AE327" s="3"/>
      <c r="AF327" s="390"/>
      <c r="AG327" s="3"/>
      <c r="AH327" s="390"/>
      <c r="AI327" s="3"/>
      <c r="AJ327" s="390"/>
      <c r="AK327" s="3"/>
      <c r="AL327" s="390"/>
      <c r="AM327" s="3"/>
      <c r="AN327" s="390"/>
      <c r="AO327" s="3"/>
      <c r="AP327" s="392">
        <f t="shared" si="12"/>
        <v>0</v>
      </c>
      <c r="AQ327" s="389">
        <f t="shared" si="10"/>
        <v>0</v>
      </c>
      <c r="AR327" s="389">
        <f t="shared" si="3"/>
        <v>0</v>
      </c>
      <c r="AS327" s="389">
        <f t="shared" si="4"/>
        <v>0</v>
      </c>
      <c r="AT327" s="392" t="str">
        <f t="shared" si="5"/>
        <v/>
      </c>
    </row>
    <row r="328" ht="15.75" customHeight="1">
      <c r="A328" s="34" t="s">
        <v>25</v>
      </c>
      <c r="B328" s="35">
        <f t="shared" si="6"/>
        <v>45253</v>
      </c>
      <c r="C328" s="36">
        <v>12.0</v>
      </c>
      <c r="D328" s="36" t="s">
        <v>36</v>
      </c>
      <c r="E328" s="389"/>
      <c r="F328" s="390"/>
      <c r="G328" s="3"/>
      <c r="H328" s="390"/>
      <c r="I328" s="3"/>
      <c r="J328" s="390"/>
      <c r="K328" s="3"/>
      <c r="L328" s="390"/>
      <c r="M328" s="3"/>
      <c r="N328" s="391"/>
      <c r="O328" s="3"/>
      <c r="P328" s="391"/>
      <c r="Q328" s="3"/>
      <c r="R328" s="391"/>
      <c r="S328" s="3"/>
      <c r="T328" s="391"/>
      <c r="U328" s="3"/>
      <c r="V328" s="390"/>
      <c r="W328" s="3"/>
      <c r="X328" s="390"/>
      <c r="Y328" s="3"/>
      <c r="Z328" s="390"/>
      <c r="AA328" s="3"/>
      <c r="AB328" s="390"/>
      <c r="AC328" s="3"/>
      <c r="AD328" s="390"/>
      <c r="AE328" s="3"/>
      <c r="AF328" s="390"/>
      <c r="AG328" s="3"/>
      <c r="AH328" s="390"/>
      <c r="AI328" s="3"/>
      <c r="AJ328" s="390"/>
      <c r="AK328" s="3"/>
      <c r="AL328" s="390"/>
      <c r="AM328" s="3"/>
      <c r="AN328" s="390"/>
      <c r="AO328" s="3"/>
      <c r="AP328" s="392">
        <f t="shared" si="12"/>
        <v>0</v>
      </c>
      <c r="AQ328" s="389">
        <f t="shared" si="10"/>
        <v>0</v>
      </c>
      <c r="AR328" s="389">
        <f t="shared" si="3"/>
        <v>0</v>
      </c>
      <c r="AS328" s="389">
        <f t="shared" si="4"/>
        <v>0</v>
      </c>
      <c r="AT328" s="392" t="str">
        <f t="shared" si="5"/>
        <v/>
      </c>
    </row>
    <row r="329" ht="15.75" customHeight="1">
      <c r="A329" s="34" t="s">
        <v>26</v>
      </c>
      <c r="B329" s="35">
        <f t="shared" si="6"/>
        <v>45254</v>
      </c>
      <c r="C329" s="36">
        <v>12.0</v>
      </c>
      <c r="D329" s="36" t="s">
        <v>36</v>
      </c>
      <c r="E329" s="389"/>
      <c r="F329" s="390"/>
      <c r="G329" s="3"/>
      <c r="H329" s="390"/>
      <c r="I329" s="3"/>
      <c r="J329" s="390"/>
      <c r="K329" s="3"/>
      <c r="L329" s="390"/>
      <c r="M329" s="3"/>
      <c r="N329" s="391"/>
      <c r="O329" s="3"/>
      <c r="P329" s="391"/>
      <c r="Q329" s="3"/>
      <c r="R329" s="391"/>
      <c r="S329" s="3"/>
      <c r="T329" s="391"/>
      <c r="U329" s="3"/>
      <c r="V329" s="390"/>
      <c r="W329" s="3"/>
      <c r="X329" s="390"/>
      <c r="Y329" s="3"/>
      <c r="Z329" s="390"/>
      <c r="AA329" s="3"/>
      <c r="AB329" s="390"/>
      <c r="AC329" s="3"/>
      <c r="AD329" s="390"/>
      <c r="AE329" s="3"/>
      <c r="AF329" s="390"/>
      <c r="AG329" s="3"/>
      <c r="AH329" s="390"/>
      <c r="AI329" s="3"/>
      <c r="AJ329" s="390"/>
      <c r="AK329" s="3"/>
      <c r="AL329" s="390"/>
      <c r="AM329" s="3"/>
      <c r="AN329" s="390"/>
      <c r="AO329" s="3"/>
      <c r="AP329" s="392">
        <f t="shared" si="12"/>
        <v>0</v>
      </c>
      <c r="AQ329" s="389">
        <f t="shared" si="10"/>
        <v>0</v>
      </c>
      <c r="AR329" s="389">
        <f t="shared" si="3"/>
        <v>0</v>
      </c>
      <c r="AS329" s="389">
        <f t="shared" si="4"/>
        <v>0</v>
      </c>
      <c r="AT329" s="392" t="str">
        <f t="shared" si="5"/>
        <v/>
      </c>
    </row>
    <row r="330" ht="15.75" customHeight="1">
      <c r="A330" s="34" t="s">
        <v>27</v>
      </c>
      <c r="B330" s="35">
        <f t="shared" si="6"/>
        <v>45255</v>
      </c>
      <c r="C330" s="36">
        <v>12.0</v>
      </c>
      <c r="D330" s="36" t="s">
        <v>36</v>
      </c>
      <c r="E330" s="389"/>
      <c r="F330" s="390"/>
      <c r="G330" s="3"/>
      <c r="H330" s="390"/>
      <c r="I330" s="3"/>
      <c r="J330" s="390"/>
      <c r="K330" s="3"/>
      <c r="L330" s="390"/>
      <c r="M330" s="3"/>
      <c r="N330" s="391"/>
      <c r="O330" s="3"/>
      <c r="P330" s="391"/>
      <c r="Q330" s="3"/>
      <c r="R330" s="391"/>
      <c r="S330" s="3"/>
      <c r="T330" s="391"/>
      <c r="U330" s="3"/>
      <c r="V330" s="390"/>
      <c r="W330" s="3"/>
      <c r="X330" s="390"/>
      <c r="Y330" s="3"/>
      <c r="Z330" s="390"/>
      <c r="AA330" s="3"/>
      <c r="AB330" s="390"/>
      <c r="AC330" s="3"/>
      <c r="AD330" s="390"/>
      <c r="AE330" s="3"/>
      <c r="AF330" s="390"/>
      <c r="AG330" s="3"/>
      <c r="AH330" s="390"/>
      <c r="AI330" s="3"/>
      <c r="AJ330" s="390"/>
      <c r="AK330" s="3"/>
      <c r="AL330" s="390"/>
      <c r="AM330" s="3"/>
      <c r="AN330" s="390"/>
      <c r="AO330" s="3"/>
      <c r="AP330" s="392">
        <f t="shared" si="12"/>
        <v>0</v>
      </c>
      <c r="AQ330" s="389">
        <f t="shared" si="10"/>
        <v>0</v>
      </c>
      <c r="AR330" s="389">
        <f t="shared" si="3"/>
        <v>0</v>
      </c>
      <c r="AS330" s="389">
        <f t="shared" si="4"/>
        <v>0</v>
      </c>
      <c r="AT330" s="392" t="str">
        <f t="shared" si="5"/>
        <v/>
      </c>
    </row>
    <row r="331" ht="15.75" customHeight="1">
      <c r="A331" s="46" t="s">
        <v>28</v>
      </c>
      <c r="B331" s="47">
        <f t="shared" si="6"/>
        <v>45256</v>
      </c>
      <c r="C331" s="49">
        <v>12.0</v>
      </c>
      <c r="D331" s="49" t="s">
        <v>36</v>
      </c>
      <c r="E331" s="389"/>
      <c r="F331" s="390"/>
      <c r="G331" s="3"/>
      <c r="H331" s="390"/>
      <c r="I331" s="3"/>
      <c r="J331" s="390"/>
      <c r="K331" s="3"/>
      <c r="L331" s="390"/>
      <c r="M331" s="3"/>
      <c r="N331" s="391"/>
      <c r="O331" s="3"/>
      <c r="P331" s="391"/>
      <c r="Q331" s="3"/>
      <c r="R331" s="391"/>
      <c r="S331" s="3"/>
      <c r="T331" s="391"/>
      <c r="U331" s="3"/>
      <c r="V331" s="390"/>
      <c r="W331" s="3"/>
      <c r="X331" s="390"/>
      <c r="Y331" s="3"/>
      <c r="Z331" s="390"/>
      <c r="AA331" s="3"/>
      <c r="AB331" s="390"/>
      <c r="AC331" s="3"/>
      <c r="AD331" s="390"/>
      <c r="AE331" s="3"/>
      <c r="AF331" s="390"/>
      <c r="AG331" s="3"/>
      <c r="AH331" s="390"/>
      <c r="AI331" s="3"/>
      <c r="AJ331" s="390"/>
      <c r="AK331" s="3"/>
      <c r="AL331" s="390"/>
      <c r="AM331" s="3"/>
      <c r="AN331" s="390"/>
      <c r="AO331" s="3"/>
      <c r="AP331" s="392">
        <f t="shared" si="12"/>
        <v>0</v>
      </c>
      <c r="AQ331" s="389">
        <f t="shared" si="10"/>
        <v>0</v>
      </c>
      <c r="AR331" s="389">
        <f t="shared" si="3"/>
        <v>0</v>
      </c>
      <c r="AS331" s="389">
        <f t="shared" si="4"/>
        <v>0</v>
      </c>
      <c r="AT331" s="392" t="str">
        <f t="shared" si="5"/>
        <v/>
      </c>
    </row>
    <row r="332" ht="15.75" customHeight="1">
      <c r="A332" s="18" t="s">
        <v>21</v>
      </c>
      <c r="B332" s="68">
        <f t="shared" si="6"/>
        <v>45257</v>
      </c>
      <c r="C332" s="20">
        <v>12.0</v>
      </c>
      <c r="D332" s="20" t="s">
        <v>37</v>
      </c>
      <c r="E332" s="389"/>
      <c r="F332" s="390"/>
      <c r="G332" s="3"/>
      <c r="H332" s="390"/>
      <c r="I332" s="3"/>
      <c r="J332" s="390"/>
      <c r="K332" s="3"/>
      <c r="L332" s="390"/>
      <c r="M332" s="3"/>
      <c r="N332" s="391"/>
      <c r="O332" s="3"/>
      <c r="P332" s="391"/>
      <c r="Q332" s="3"/>
      <c r="R332" s="391"/>
      <c r="S332" s="3"/>
      <c r="T332" s="391"/>
      <c r="U332" s="3"/>
      <c r="V332" s="390"/>
      <c r="W332" s="3"/>
      <c r="X332" s="390"/>
      <c r="Y332" s="3"/>
      <c r="Z332" s="390"/>
      <c r="AA332" s="3"/>
      <c r="AB332" s="390"/>
      <c r="AC332" s="3"/>
      <c r="AD332" s="390"/>
      <c r="AE332" s="3"/>
      <c r="AF332" s="390"/>
      <c r="AG332" s="3"/>
      <c r="AH332" s="390"/>
      <c r="AI332" s="3"/>
      <c r="AJ332" s="390"/>
      <c r="AK332" s="3"/>
      <c r="AL332" s="390"/>
      <c r="AM332" s="3"/>
      <c r="AN332" s="390"/>
      <c r="AO332" s="3"/>
      <c r="AP332" s="392">
        <f t="shared" si="12"/>
        <v>0</v>
      </c>
      <c r="AQ332" s="389">
        <f t="shared" si="10"/>
        <v>0</v>
      </c>
      <c r="AR332" s="389">
        <f t="shared" si="3"/>
        <v>0</v>
      </c>
      <c r="AS332" s="389">
        <f t="shared" si="4"/>
        <v>0</v>
      </c>
      <c r="AT332" s="392" t="str">
        <f t="shared" si="5"/>
        <v/>
      </c>
    </row>
    <row r="333" ht="15.75" customHeight="1">
      <c r="A333" s="34" t="s">
        <v>23</v>
      </c>
      <c r="B333" s="35">
        <f t="shared" si="6"/>
        <v>45258</v>
      </c>
      <c r="C333" s="36">
        <v>12.0</v>
      </c>
      <c r="D333" s="36" t="s">
        <v>37</v>
      </c>
      <c r="E333" s="389"/>
      <c r="F333" s="390"/>
      <c r="G333" s="3"/>
      <c r="H333" s="390"/>
      <c r="I333" s="3"/>
      <c r="J333" s="390"/>
      <c r="K333" s="3"/>
      <c r="L333" s="390"/>
      <c r="M333" s="3"/>
      <c r="N333" s="391"/>
      <c r="O333" s="3"/>
      <c r="P333" s="391"/>
      <c r="Q333" s="3"/>
      <c r="R333" s="391"/>
      <c r="S333" s="3"/>
      <c r="T333" s="391"/>
      <c r="U333" s="3"/>
      <c r="V333" s="390"/>
      <c r="W333" s="3"/>
      <c r="X333" s="390"/>
      <c r="Y333" s="3"/>
      <c r="Z333" s="390"/>
      <c r="AA333" s="3"/>
      <c r="AB333" s="390"/>
      <c r="AC333" s="3"/>
      <c r="AD333" s="390"/>
      <c r="AE333" s="3"/>
      <c r="AF333" s="390"/>
      <c r="AG333" s="3"/>
      <c r="AH333" s="390"/>
      <c r="AI333" s="3"/>
      <c r="AJ333" s="390"/>
      <c r="AK333" s="3"/>
      <c r="AL333" s="390"/>
      <c r="AM333" s="3"/>
      <c r="AN333" s="390"/>
      <c r="AO333" s="3"/>
      <c r="AP333" s="392">
        <f t="shared" si="12"/>
        <v>0</v>
      </c>
      <c r="AQ333" s="389">
        <f t="shared" si="10"/>
        <v>0</v>
      </c>
      <c r="AR333" s="389">
        <f t="shared" si="3"/>
        <v>0</v>
      </c>
      <c r="AS333" s="389">
        <f t="shared" si="4"/>
        <v>0</v>
      </c>
      <c r="AT333" s="392" t="str">
        <f t="shared" si="5"/>
        <v/>
      </c>
    </row>
    <row r="334" ht="15.75" customHeight="1">
      <c r="A334" s="34" t="s">
        <v>24</v>
      </c>
      <c r="B334" s="35">
        <f t="shared" si="6"/>
        <v>45259</v>
      </c>
      <c r="C334" s="36">
        <v>12.0</v>
      </c>
      <c r="D334" s="36" t="s">
        <v>37</v>
      </c>
      <c r="E334" s="389"/>
      <c r="F334" s="390"/>
      <c r="G334" s="3"/>
      <c r="H334" s="390"/>
      <c r="I334" s="3"/>
      <c r="J334" s="390"/>
      <c r="K334" s="3"/>
      <c r="L334" s="390"/>
      <c r="M334" s="3"/>
      <c r="N334" s="391"/>
      <c r="O334" s="3"/>
      <c r="P334" s="391"/>
      <c r="Q334" s="3"/>
      <c r="R334" s="391"/>
      <c r="S334" s="3"/>
      <c r="T334" s="391"/>
      <c r="U334" s="3"/>
      <c r="V334" s="390"/>
      <c r="W334" s="3"/>
      <c r="X334" s="390"/>
      <c r="Y334" s="3"/>
      <c r="Z334" s="390"/>
      <c r="AA334" s="3"/>
      <c r="AB334" s="390"/>
      <c r="AC334" s="3"/>
      <c r="AD334" s="390"/>
      <c r="AE334" s="3"/>
      <c r="AF334" s="390"/>
      <c r="AG334" s="3"/>
      <c r="AH334" s="390"/>
      <c r="AI334" s="3"/>
      <c r="AJ334" s="390"/>
      <c r="AK334" s="3"/>
      <c r="AL334" s="390"/>
      <c r="AM334" s="3"/>
      <c r="AN334" s="390"/>
      <c r="AO334" s="3"/>
      <c r="AP334" s="392">
        <f t="shared" si="12"/>
        <v>0</v>
      </c>
      <c r="AQ334" s="389">
        <f t="shared" si="10"/>
        <v>0</v>
      </c>
      <c r="AR334" s="389">
        <f t="shared" si="3"/>
        <v>0</v>
      </c>
      <c r="AS334" s="389">
        <f t="shared" si="4"/>
        <v>0</v>
      </c>
      <c r="AT334" s="392" t="str">
        <f t="shared" si="5"/>
        <v/>
      </c>
    </row>
    <row r="335" ht="15.75" customHeight="1">
      <c r="A335" s="34" t="s">
        <v>25</v>
      </c>
      <c r="B335" s="35">
        <f t="shared" si="6"/>
        <v>45260</v>
      </c>
      <c r="C335" s="36">
        <v>12.0</v>
      </c>
      <c r="D335" s="36" t="s">
        <v>37</v>
      </c>
      <c r="E335" s="389"/>
      <c r="F335" s="390"/>
      <c r="G335" s="3"/>
      <c r="H335" s="390"/>
      <c r="I335" s="3"/>
      <c r="J335" s="390"/>
      <c r="K335" s="3"/>
      <c r="L335" s="390"/>
      <c r="M335" s="3"/>
      <c r="N335" s="391"/>
      <c r="O335" s="3"/>
      <c r="P335" s="391"/>
      <c r="Q335" s="3"/>
      <c r="R335" s="391"/>
      <c r="S335" s="3"/>
      <c r="T335" s="391"/>
      <c r="U335" s="3"/>
      <c r="V335" s="390"/>
      <c r="W335" s="3"/>
      <c r="X335" s="390"/>
      <c r="Y335" s="3"/>
      <c r="Z335" s="390"/>
      <c r="AA335" s="3"/>
      <c r="AB335" s="390"/>
      <c r="AC335" s="3"/>
      <c r="AD335" s="390"/>
      <c r="AE335" s="3"/>
      <c r="AF335" s="390"/>
      <c r="AG335" s="3"/>
      <c r="AH335" s="390"/>
      <c r="AI335" s="3"/>
      <c r="AJ335" s="390"/>
      <c r="AK335" s="3"/>
      <c r="AL335" s="390"/>
      <c r="AM335" s="3"/>
      <c r="AN335" s="390"/>
      <c r="AO335" s="3"/>
      <c r="AP335" s="392">
        <f t="shared" si="12"/>
        <v>0</v>
      </c>
      <c r="AQ335" s="389">
        <f t="shared" si="10"/>
        <v>0</v>
      </c>
      <c r="AR335" s="389">
        <f t="shared" si="3"/>
        <v>0</v>
      </c>
      <c r="AS335" s="389">
        <f t="shared" si="4"/>
        <v>0</v>
      </c>
      <c r="AT335" s="392" t="str">
        <f t="shared" si="5"/>
        <v/>
      </c>
    </row>
    <row r="336" ht="15.75" customHeight="1">
      <c r="A336" s="34" t="s">
        <v>26</v>
      </c>
      <c r="B336" s="35">
        <f t="shared" si="6"/>
        <v>45261</v>
      </c>
      <c r="C336" s="36">
        <v>12.0</v>
      </c>
      <c r="D336" s="36" t="s">
        <v>37</v>
      </c>
      <c r="E336" s="389"/>
      <c r="F336" s="390"/>
      <c r="G336" s="3"/>
      <c r="H336" s="390"/>
      <c r="I336" s="3"/>
      <c r="J336" s="390"/>
      <c r="K336" s="3"/>
      <c r="L336" s="390"/>
      <c r="M336" s="3"/>
      <c r="N336" s="391"/>
      <c r="O336" s="3"/>
      <c r="P336" s="391"/>
      <c r="Q336" s="3"/>
      <c r="R336" s="391"/>
      <c r="S336" s="3"/>
      <c r="T336" s="391"/>
      <c r="U336" s="3"/>
      <c r="V336" s="390"/>
      <c r="W336" s="3"/>
      <c r="X336" s="390"/>
      <c r="Y336" s="3"/>
      <c r="Z336" s="390"/>
      <c r="AA336" s="3"/>
      <c r="AB336" s="390"/>
      <c r="AC336" s="3"/>
      <c r="AD336" s="390"/>
      <c r="AE336" s="3"/>
      <c r="AF336" s="390"/>
      <c r="AG336" s="3"/>
      <c r="AH336" s="390"/>
      <c r="AI336" s="3"/>
      <c r="AJ336" s="390"/>
      <c r="AK336" s="3"/>
      <c r="AL336" s="390"/>
      <c r="AM336" s="3"/>
      <c r="AN336" s="390"/>
      <c r="AO336" s="3"/>
      <c r="AP336" s="392">
        <f t="shared" si="12"/>
        <v>0</v>
      </c>
      <c r="AQ336" s="389">
        <f t="shared" si="10"/>
        <v>0</v>
      </c>
      <c r="AR336" s="389">
        <f t="shared" si="3"/>
        <v>0</v>
      </c>
      <c r="AS336" s="389">
        <f t="shared" si="4"/>
        <v>0</v>
      </c>
      <c r="AT336" s="392" t="str">
        <f t="shared" si="5"/>
        <v/>
      </c>
    </row>
    <row r="337" ht="15.75" customHeight="1">
      <c r="A337" s="34" t="s">
        <v>27</v>
      </c>
      <c r="B337" s="35">
        <f t="shared" si="6"/>
        <v>45262</v>
      </c>
      <c r="C337" s="36">
        <v>12.0</v>
      </c>
      <c r="D337" s="36" t="s">
        <v>37</v>
      </c>
      <c r="E337" s="389"/>
      <c r="F337" s="390"/>
      <c r="G337" s="3"/>
      <c r="H337" s="390"/>
      <c r="I337" s="3"/>
      <c r="J337" s="390"/>
      <c r="K337" s="3"/>
      <c r="L337" s="390"/>
      <c r="M337" s="3"/>
      <c r="N337" s="391"/>
      <c r="O337" s="3"/>
      <c r="P337" s="391"/>
      <c r="Q337" s="3"/>
      <c r="R337" s="391"/>
      <c r="S337" s="3"/>
      <c r="T337" s="391"/>
      <c r="U337" s="3"/>
      <c r="V337" s="390"/>
      <c r="W337" s="3"/>
      <c r="X337" s="390"/>
      <c r="Y337" s="3"/>
      <c r="Z337" s="390"/>
      <c r="AA337" s="3"/>
      <c r="AB337" s="390"/>
      <c r="AC337" s="3"/>
      <c r="AD337" s="390"/>
      <c r="AE337" s="3"/>
      <c r="AF337" s="390"/>
      <c r="AG337" s="3"/>
      <c r="AH337" s="390"/>
      <c r="AI337" s="3"/>
      <c r="AJ337" s="390"/>
      <c r="AK337" s="3"/>
      <c r="AL337" s="390"/>
      <c r="AM337" s="3"/>
      <c r="AN337" s="390"/>
      <c r="AO337" s="3"/>
      <c r="AP337" s="392">
        <f t="shared" si="12"/>
        <v>0</v>
      </c>
      <c r="AQ337" s="389">
        <f t="shared" si="10"/>
        <v>0</v>
      </c>
      <c r="AR337" s="389">
        <f t="shared" si="3"/>
        <v>0</v>
      </c>
      <c r="AS337" s="389">
        <f t="shared" si="4"/>
        <v>0</v>
      </c>
      <c r="AT337" s="392" t="str">
        <f t="shared" si="5"/>
        <v/>
      </c>
    </row>
    <row r="338" ht="15.75" customHeight="1">
      <c r="A338" s="46" t="s">
        <v>28</v>
      </c>
      <c r="B338" s="47">
        <f t="shared" si="6"/>
        <v>45263</v>
      </c>
      <c r="C338" s="49">
        <v>12.0</v>
      </c>
      <c r="D338" s="49" t="s">
        <v>37</v>
      </c>
      <c r="E338" s="389"/>
      <c r="F338" s="390"/>
      <c r="G338" s="3"/>
      <c r="H338" s="390"/>
      <c r="I338" s="3"/>
      <c r="J338" s="390"/>
      <c r="K338" s="3"/>
      <c r="L338" s="390"/>
      <c r="M338" s="3"/>
      <c r="N338" s="391"/>
      <c r="O338" s="3"/>
      <c r="P338" s="391"/>
      <c r="Q338" s="3"/>
      <c r="R338" s="391"/>
      <c r="S338" s="3"/>
      <c r="T338" s="391"/>
      <c r="U338" s="3"/>
      <c r="V338" s="390"/>
      <c r="W338" s="3"/>
      <c r="X338" s="391"/>
      <c r="Y338" s="3"/>
      <c r="Z338" s="390"/>
      <c r="AA338" s="3"/>
      <c r="AB338" s="390"/>
      <c r="AC338" s="3"/>
      <c r="AD338" s="390"/>
      <c r="AE338" s="3"/>
      <c r="AF338" s="390"/>
      <c r="AG338" s="3"/>
      <c r="AH338" s="390"/>
      <c r="AI338" s="3"/>
      <c r="AJ338" s="390"/>
      <c r="AK338" s="3"/>
      <c r="AL338" s="390"/>
      <c r="AM338" s="3"/>
      <c r="AN338" s="390"/>
      <c r="AO338" s="3"/>
      <c r="AP338" s="392">
        <f t="shared" si="12"/>
        <v>0</v>
      </c>
      <c r="AQ338" s="389">
        <f t="shared" si="10"/>
        <v>0</v>
      </c>
      <c r="AR338" s="389">
        <f t="shared" si="3"/>
        <v>0</v>
      </c>
      <c r="AS338" s="389">
        <f t="shared" si="4"/>
        <v>0</v>
      </c>
      <c r="AT338" s="392" t="str">
        <f t="shared" si="5"/>
        <v/>
      </c>
    </row>
    <row r="339" ht="15.75" customHeight="1">
      <c r="A339" s="18" t="s">
        <v>21</v>
      </c>
      <c r="B339" s="68">
        <f t="shared" si="6"/>
        <v>45264</v>
      </c>
      <c r="C339" s="20">
        <v>13.0</v>
      </c>
      <c r="D339" s="20" t="s">
        <v>22</v>
      </c>
      <c r="E339" s="389"/>
      <c r="F339" s="390"/>
      <c r="G339" s="3"/>
      <c r="H339" s="390"/>
      <c r="I339" s="3"/>
      <c r="J339" s="390"/>
      <c r="K339" s="3"/>
      <c r="L339" s="390"/>
      <c r="M339" s="3"/>
      <c r="N339" s="391"/>
      <c r="O339" s="3"/>
      <c r="P339" s="391"/>
      <c r="Q339" s="3"/>
      <c r="R339" s="391"/>
      <c r="S339" s="3"/>
      <c r="T339" s="391"/>
      <c r="U339" s="3"/>
      <c r="V339" s="390"/>
      <c r="W339" s="3"/>
      <c r="X339" s="391"/>
      <c r="Y339" s="3"/>
      <c r="Z339" s="390"/>
      <c r="AA339" s="3"/>
      <c r="AB339" s="390"/>
      <c r="AC339" s="3"/>
      <c r="AD339" s="390"/>
      <c r="AE339" s="3"/>
      <c r="AF339" s="390"/>
      <c r="AG339" s="3"/>
      <c r="AH339" s="390"/>
      <c r="AI339" s="3"/>
      <c r="AJ339" s="390"/>
      <c r="AK339" s="3"/>
      <c r="AL339" s="390"/>
      <c r="AM339" s="3"/>
      <c r="AN339" s="390"/>
      <c r="AO339" s="3"/>
      <c r="AP339" s="392">
        <f t="shared" si="12"/>
        <v>0</v>
      </c>
      <c r="AQ339" s="389">
        <f t="shared" si="10"/>
        <v>0</v>
      </c>
      <c r="AR339" s="389">
        <f t="shared" si="3"/>
        <v>0</v>
      </c>
      <c r="AS339" s="389">
        <f t="shared" si="4"/>
        <v>0</v>
      </c>
      <c r="AT339" s="392" t="str">
        <f t="shared" si="5"/>
        <v/>
      </c>
    </row>
    <row r="340" ht="15.75" customHeight="1">
      <c r="A340" s="34" t="s">
        <v>23</v>
      </c>
      <c r="B340" s="35">
        <f t="shared" si="6"/>
        <v>45265</v>
      </c>
      <c r="C340" s="36">
        <v>13.0</v>
      </c>
      <c r="D340" s="36" t="s">
        <v>22</v>
      </c>
      <c r="E340" s="389"/>
      <c r="F340" s="390"/>
      <c r="G340" s="3"/>
      <c r="H340" s="390"/>
      <c r="I340" s="3"/>
      <c r="J340" s="390"/>
      <c r="K340" s="3"/>
      <c r="L340" s="390"/>
      <c r="M340" s="3"/>
      <c r="N340" s="391"/>
      <c r="O340" s="3"/>
      <c r="P340" s="391"/>
      <c r="Q340" s="3"/>
      <c r="R340" s="391"/>
      <c r="S340" s="3"/>
      <c r="T340" s="391"/>
      <c r="U340" s="3"/>
      <c r="V340" s="390"/>
      <c r="W340" s="3"/>
      <c r="X340" s="391"/>
      <c r="Y340" s="3"/>
      <c r="Z340" s="390"/>
      <c r="AA340" s="3"/>
      <c r="AB340" s="390"/>
      <c r="AC340" s="3"/>
      <c r="AD340" s="390"/>
      <c r="AE340" s="3"/>
      <c r="AF340" s="390"/>
      <c r="AG340" s="3"/>
      <c r="AH340" s="390"/>
      <c r="AI340" s="3"/>
      <c r="AJ340" s="390"/>
      <c r="AK340" s="3"/>
      <c r="AL340" s="390"/>
      <c r="AM340" s="3"/>
      <c r="AN340" s="390"/>
      <c r="AO340" s="3"/>
      <c r="AP340" s="392">
        <f t="shared" si="12"/>
        <v>0</v>
      </c>
      <c r="AQ340" s="389">
        <f t="shared" si="10"/>
        <v>0</v>
      </c>
      <c r="AR340" s="389">
        <f t="shared" si="3"/>
        <v>0</v>
      </c>
      <c r="AS340" s="389">
        <f t="shared" si="4"/>
        <v>0</v>
      </c>
      <c r="AT340" s="392" t="str">
        <f t="shared" si="5"/>
        <v/>
      </c>
    </row>
    <row r="341" ht="15.75" customHeight="1">
      <c r="A341" s="34" t="s">
        <v>24</v>
      </c>
      <c r="B341" s="35">
        <f t="shared" si="6"/>
        <v>45266</v>
      </c>
      <c r="C341" s="36">
        <v>13.0</v>
      </c>
      <c r="D341" s="36" t="s">
        <v>22</v>
      </c>
      <c r="E341" s="389"/>
      <c r="F341" s="390"/>
      <c r="G341" s="3"/>
      <c r="H341" s="390"/>
      <c r="I341" s="3"/>
      <c r="J341" s="390"/>
      <c r="K341" s="3"/>
      <c r="L341" s="390"/>
      <c r="M341" s="3"/>
      <c r="N341" s="391"/>
      <c r="O341" s="3"/>
      <c r="P341" s="391"/>
      <c r="Q341" s="3"/>
      <c r="R341" s="391"/>
      <c r="S341" s="3"/>
      <c r="T341" s="391"/>
      <c r="U341" s="3"/>
      <c r="V341" s="390"/>
      <c r="W341" s="3"/>
      <c r="X341" s="391"/>
      <c r="Y341" s="3"/>
      <c r="Z341" s="390"/>
      <c r="AA341" s="3"/>
      <c r="AB341" s="390"/>
      <c r="AC341" s="3"/>
      <c r="AD341" s="390"/>
      <c r="AE341" s="3"/>
      <c r="AF341" s="390"/>
      <c r="AG341" s="3"/>
      <c r="AH341" s="390"/>
      <c r="AI341" s="3"/>
      <c r="AJ341" s="390"/>
      <c r="AK341" s="3"/>
      <c r="AL341" s="390"/>
      <c r="AM341" s="3"/>
      <c r="AN341" s="390"/>
      <c r="AO341" s="3"/>
      <c r="AP341" s="392">
        <f t="shared" si="12"/>
        <v>0</v>
      </c>
      <c r="AQ341" s="389">
        <f t="shared" si="10"/>
        <v>0</v>
      </c>
      <c r="AR341" s="389">
        <f t="shared" si="3"/>
        <v>0</v>
      </c>
      <c r="AS341" s="389">
        <f t="shared" si="4"/>
        <v>0</v>
      </c>
      <c r="AT341" s="392" t="str">
        <f t="shared" si="5"/>
        <v/>
      </c>
    </row>
    <row r="342" ht="15.75" customHeight="1">
      <c r="A342" s="34" t="s">
        <v>25</v>
      </c>
      <c r="B342" s="35">
        <f t="shared" si="6"/>
        <v>45267</v>
      </c>
      <c r="C342" s="36">
        <v>13.0</v>
      </c>
      <c r="D342" s="36" t="s">
        <v>22</v>
      </c>
      <c r="E342" s="389"/>
      <c r="F342" s="390"/>
      <c r="G342" s="3"/>
      <c r="H342" s="390"/>
      <c r="I342" s="3"/>
      <c r="J342" s="390"/>
      <c r="K342" s="3"/>
      <c r="L342" s="390"/>
      <c r="M342" s="3"/>
      <c r="N342" s="391"/>
      <c r="O342" s="3"/>
      <c r="P342" s="391"/>
      <c r="Q342" s="3"/>
      <c r="R342" s="391"/>
      <c r="S342" s="3"/>
      <c r="T342" s="391"/>
      <c r="U342" s="3"/>
      <c r="V342" s="390"/>
      <c r="W342" s="3"/>
      <c r="X342" s="391"/>
      <c r="Y342" s="3"/>
      <c r="Z342" s="390"/>
      <c r="AA342" s="3"/>
      <c r="AB342" s="390"/>
      <c r="AC342" s="3"/>
      <c r="AD342" s="390"/>
      <c r="AE342" s="3"/>
      <c r="AF342" s="390"/>
      <c r="AG342" s="3"/>
      <c r="AH342" s="390"/>
      <c r="AI342" s="3"/>
      <c r="AJ342" s="390"/>
      <c r="AK342" s="3"/>
      <c r="AL342" s="390"/>
      <c r="AM342" s="3"/>
      <c r="AN342" s="390"/>
      <c r="AO342" s="3"/>
      <c r="AP342" s="392">
        <f t="shared" si="12"/>
        <v>0</v>
      </c>
      <c r="AQ342" s="389">
        <f t="shared" si="10"/>
        <v>0</v>
      </c>
      <c r="AR342" s="389">
        <f t="shared" si="3"/>
        <v>0</v>
      </c>
      <c r="AS342" s="389">
        <f t="shared" si="4"/>
        <v>0</v>
      </c>
      <c r="AT342" s="392" t="str">
        <f t="shared" si="5"/>
        <v/>
      </c>
    </row>
    <row r="343" ht="15.75" customHeight="1">
      <c r="A343" s="34" t="s">
        <v>26</v>
      </c>
      <c r="B343" s="35">
        <f t="shared" si="6"/>
        <v>45268</v>
      </c>
      <c r="C343" s="36">
        <v>13.0</v>
      </c>
      <c r="D343" s="36" t="s">
        <v>22</v>
      </c>
      <c r="E343" s="389"/>
      <c r="F343" s="390"/>
      <c r="G343" s="3"/>
      <c r="H343" s="390"/>
      <c r="I343" s="3"/>
      <c r="J343" s="390"/>
      <c r="K343" s="3"/>
      <c r="L343" s="390"/>
      <c r="M343" s="3"/>
      <c r="N343" s="391"/>
      <c r="O343" s="3"/>
      <c r="P343" s="391"/>
      <c r="Q343" s="3"/>
      <c r="R343" s="391"/>
      <c r="S343" s="3"/>
      <c r="T343" s="391"/>
      <c r="U343" s="3"/>
      <c r="V343" s="390"/>
      <c r="W343" s="3"/>
      <c r="X343" s="391"/>
      <c r="Y343" s="3"/>
      <c r="Z343" s="390"/>
      <c r="AA343" s="3"/>
      <c r="AB343" s="390"/>
      <c r="AC343" s="3"/>
      <c r="AD343" s="390"/>
      <c r="AE343" s="3"/>
      <c r="AF343" s="390"/>
      <c r="AG343" s="3"/>
      <c r="AH343" s="390"/>
      <c r="AI343" s="3"/>
      <c r="AJ343" s="390"/>
      <c r="AK343" s="3"/>
      <c r="AL343" s="390"/>
      <c r="AM343" s="3"/>
      <c r="AN343" s="390"/>
      <c r="AO343" s="3"/>
      <c r="AP343" s="392">
        <f t="shared" si="12"/>
        <v>0</v>
      </c>
      <c r="AQ343" s="389">
        <f t="shared" si="10"/>
        <v>0</v>
      </c>
      <c r="AR343" s="389">
        <f t="shared" si="3"/>
        <v>0</v>
      </c>
      <c r="AS343" s="389">
        <f t="shared" si="4"/>
        <v>0</v>
      </c>
      <c r="AT343" s="392" t="str">
        <f t="shared" si="5"/>
        <v/>
      </c>
    </row>
    <row r="344" ht="15.75" customHeight="1">
      <c r="A344" s="34" t="s">
        <v>27</v>
      </c>
      <c r="B344" s="35">
        <f t="shared" si="6"/>
        <v>45269</v>
      </c>
      <c r="C344" s="36">
        <v>13.0</v>
      </c>
      <c r="D344" s="36" t="s">
        <v>22</v>
      </c>
      <c r="E344" s="389"/>
      <c r="F344" s="390"/>
      <c r="G344" s="3"/>
      <c r="H344" s="390"/>
      <c r="I344" s="3"/>
      <c r="J344" s="390"/>
      <c r="K344" s="3"/>
      <c r="L344" s="390"/>
      <c r="M344" s="3"/>
      <c r="N344" s="391"/>
      <c r="O344" s="3"/>
      <c r="P344" s="391"/>
      <c r="Q344" s="3"/>
      <c r="R344" s="391"/>
      <c r="S344" s="3"/>
      <c r="T344" s="391"/>
      <c r="U344" s="3"/>
      <c r="V344" s="390"/>
      <c r="W344" s="3"/>
      <c r="X344" s="390"/>
      <c r="Y344" s="3"/>
      <c r="Z344" s="390"/>
      <c r="AA344" s="3"/>
      <c r="AB344" s="390"/>
      <c r="AC344" s="3"/>
      <c r="AD344" s="390"/>
      <c r="AE344" s="3"/>
      <c r="AF344" s="390"/>
      <c r="AG344" s="3"/>
      <c r="AH344" s="390"/>
      <c r="AI344" s="3"/>
      <c r="AJ344" s="390"/>
      <c r="AK344" s="3"/>
      <c r="AL344" s="390"/>
      <c r="AM344" s="3"/>
      <c r="AN344" s="390"/>
      <c r="AO344" s="3"/>
      <c r="AP344" s="392">
        <f t="shared" si="12"/>
        <v>0</v>
      </c>
      <c r="AQ344" s="389">
        <f t="shared" si="10"/>
        <v>0</v>
      </c>
      <c r="AR344" s="389">
        <f t="shared" si="3"/>
        <v>0</v>
      </c>
      <c r="AS344" s="389">
        <f t="shared" si="4"/>
        <v>0</v>
      </c>
      <c r="AT344" s="392" t="str">
        <f t="shared" si="5"/>
        <v/>
      </c>
    </row>
    <row r="345" ht="15.75" customHeight="1">
      <c r="A345" s="46" t="s">
        <v>28</v>
      </c>
      <c r="B345" s="47">
        <f t="shared" si="6"/>
        <v>45270</v>
      </c>
      <c r="C345" s="49">
        <v>13.0</v>
      </c>
      <c r="D345" s="49" t="s">
        <v>22</v>
      </c>
      <c r="E345" s="389"/>
      <c r="F345" s="390"/>
      <c r="G345" s="3"/>
      <c r="H345" s="390"/>
      <c r="I345" s="3"/>
      <c r="J345" s="390"/>
      <c r="K345" s="3"/>
      <c r="L345" s="390"/>
      <c r="M345" s="3"/>
      <c r="N345" s="391"/>
      <c r="O345" s="3"/>
      <c r="P345" s="391"/>
      <c r="Q345" s="3"/>
      <c r="R345" s="391"/>
      <c r="S345" s="3"/>
      <c r="T345" s="391"/>
      <c r="U345" s="3"/>
      <c r="V345" s="390"/>
      <c r="W345" s="3"/>
      <c r="X345" s="390"/>
      <c r="Y345" s="3"/>
      <c r="Z345" s="390"/>
      <c r="AA345" s="3"/>
      <c r="AB345" s="390"/>
      <c r="AC345" s="3"/>
      <c r="AD345" s="390"/>
      <c r="AE345" s="3"/>
      <c r="AF345" s="390"/>
      <c r="AG345" s="3"/>
      <c r="AH345" s="390"/>
      <c r="AI345" s="3"/>
      <c r="AJ345" s="390"/>
      <c r="AK345" s="3"/>
      <c r="AL345" s="390"/>
      <c r="AM345" s="3"/>
      <c r="AN345" s="390"/>
      <c r="AO345" s="3"/>
      <c r="AP345" s="392">
        <f t="shared" si="12"/>
        <v>0</v>
      </c>
      <c r="AQ345" s="389">
        <f t="shared" si="10"/>
        <v>0</v>
      </c>
      <c r="AR345" s="389">
        <f t="shared" si="3"/>
        <v>0</v>
      </c>
      <c r="AS345" s="389">
        <f t="shared" si="4"/>
        <v>0</v>
      </c>
      <c r="AT345" s="392" t="str">
        <f t="shared" si="5"/>
        <v/>
      </c>
    </row>
    <row r="346" ht="15.75" customHeight="1">
      <c r="A346" s="18" t="s">
        <v>21</v>
      </c>
      <c r="B346" s="68">
        <f t="shared" si="6"/>
        <v>45271</v>
      </c>
      <c r="C346" s="20">
        <v>13.0</v>
      </c>
      <c r="D346" s="20" t="s">
        <v>34</v>
      </c>
      <c r="E346" s="389"/>
      <c r="F346" s="390"/>
      <c r="G346" s="3"/>
      <c r="H346" s="390"/>
      <c r="I346" s="3"/>
      <c r="J346" s="390"/>
      <c r="K346" s="3"/>
      <c r="L346" s="390"/>
      <c r="M346" s="3"/>
      <c r="N346" s="391"/>
      <c r="O346" s="3"/>
      <c r="P346" s="391"/>
      <c r="Q346" s="3"/>
      <c r="R346" s="391"/>
      <c r="S346" s="3"/>
      <c r="T346" s="391"/>
      <c r="U346" s="3"/>
      <c r="V346" s="390"/>
      <c r="W346" s="3"/>
      <c r="X346" s="390"/>
      <c r="Y346" s="3"/>
      <c r="Z346" s="390"/>
      <c r="AA346" s="3"/>
      <c r="AB346" s="390"/>
      <c r="AC346" s="3"/>
      <c r="AD346" s="390"/>
      <c r="AE346" s="3"/>
      <c r="AF346" s="390"/>
      <c r="AG346" s="3"/>
      <c r="AH346" s="390"/>
      <c r="AI346" s="3"/>
      <c r="AJ346" s="390"/>
      <c r="AK346" s="3"/>
      <c r="AL346" s="390"/>
      <c r="AM346" s="3"/>
      <c r="AN346" s="390"/>
      <c r="AO346" s="3"/>
      <c r="AP346" s="392">
        <f t="shared" si="12"/>
        <v>0</v>
      </c>
      <c r="AQ346" s="389">
        <f t="shared" si="10"/>
        <v>0</v>
      </c>
      <c r="AR346" s="389">
        <f t="shared" si="3"/>
        <v>0</v>
      </c>
      <c r="AS346" s="389">
        <f t="shared" si="4"/>
        <v>0</v>
      </c>
      <c r="AT346" s="392" t="str">
        <f t="shared" si="5"/>
        <v/>
      </c>
    </row>
    <row r="347" ht="15.75" customHeight="1">
      <c r="A347" s="34" t="s">
        <v>23</v>
      </c>
      <c r="B347" s="35">
        <f t="shared" si="6"/>
        <v>45272</v>
      </c>
      <c r="C347" s="36">
        <v>13.0</v>
      </c>
      <c r="D347" s="36" t="s">
        <v>34</v>
      </c>
      <c r="E347" s="389"/>
      <c r="F347" s="390"/>
      <c r="G347" s="3"/>
      <c r="H347" s="390"/>
      <c r="I347" s="3"/>
      <c r="J347" s="390"/>
      <c r="K347" s="3"/>
      <c r="L347" s="390"/>
      <c r="M347" s="3"/>
      <c r="N347" s="391"/>
      <c r="O347" s="3"/>
      <c r="P347" s="391"/>
      <c r="Q347" s="3"/>
      <c r="R347" s="391"/>
      <c r="S347" s="3"/>
      <c r="T347" s="391"/>
      <c r="U347" s="3"/>
      <c r="V347" s="390"/>
      <c r="W347" s="3"/>
      <c r="X347" s="390"/>
      <c r="Y347" s="3"/>
      <c r="Z347" s="390"/>
      <c r="AA347" s="3"/>
      <c r="AB347" s="390"/>
      <c r="AC347" s="3"/>
      <c r="AD347" s="390"/>
      <c r="AE347" s="3"/>
      <c r="AF347" s="390"/>
      <c r="AG347" s="3"/>
      <c r="AH347" s="390"/>
      <c r="AI347" s="3"/>
      <c r="AJ347" s="390"/>
      <c r="AK347" s="3"/>
      <c r="AL347" s="390"/>
      <c r="AM347" s="3"/>
      <c r="AN347" s="390"/>
      <c r="AO347" s="3"/>
      <c r="AP347" s="392">
        <f t="shared" si="12"/>
        <v>0</v>
      </c>
      <c r="AQ347" s="389">
        <f t="shared" si="10"/>
        <v>0</v>
      </c>
      <c r="AR347" s="389">
        <f t="shared" si="3"/>
        <v>0</v>
      </c>
      <c r="AS347" s="389">
        <f t="shared" si="4"/>
        <v>0</v>
      </c>
      <c r="AT347" s="392" t="str">
        <f t="shared" si="5"/>
        <v/>
      </c>
    </row>
    <row r="348" ht="15.75" customHeight="1">
      <c r="A348" s="34" t="s">
        <v>24</v>
      </c>
      <c r="B348" s="35">
        <f t="shared" si="6"/>
        <v>45273</v>
      </c>
      <c r="C348" s="36">
        <v>13.0</v>
      </c>
      <c r="D348" s="36" t="s">
        <v>34</v>
      </c>
      <c r="E348" s="389"/>
      <c r="F348" s="390"/>
      <c r="G348" s="3"/>
      <c r="H348" s="390"/>
      <c r="I348" s="3"/>
      <c r="J348" s="390"/>
      <c r="K348" s="3"/>
      <c r="L348" s="390"/>
      <c r="M348" s="3"/>
      <c r="N348" s="391"/>
      <c r="O348" s="3"/>
      <c r="P348" s="391"/>
      <c r="Q348" s="3"/>
      <c r="R348" s="391"/>
      <c r="S348" s="3"/>
      <c r="T348" s="391"/>
      <c r="U348" s="3"/>
      <c r="V348" s="390"/>
      <c r="W348" s="3"/>
      <c r="X348" s="390"/>
      <c r="Y348" s="3"/>
      <c r="Z348" s="390"/>
      <c r="AA348" s="3"/>
      <c r="AB348" s="390"/>
      <c r="AC348" s="3"/>
      <c r="AD348" s="390"/>
      <c r="AE348" s="3"/>
      <c r="AF348" s="390"/>
      <c r="AG348" s="3"/>
      <c r="AH348" s="390"/>
      <c r="AI348" s="3"/>
      <c r="AJ348" s="390"/>
      <c r="AK348" s="3"/>
      <c r="AL348" s="390"/>
      <c r="AM348" s="3"/>
      <c r="AN348" s="390"/>
      <c r="AO348" s="3"/>
      <c r="AP348" s="392">
        <f t="shared" si="12"/>
        <v>0</v>
      </c>
      <c r="AQ348" s="389">
        <f t="shared" si="10"/>
        <v>0</v>
      </c>
      <c r="AR348" s="389">
        <f t="shared" si="3"/>
        <v>0</v>
      </c>
      <c r="AS348" s="389">
        <f t="shared" si="4"/>
        <v>0</v>
      </c>
      <c r="AT348" s="392" t="str">
        <f t="shared" si="5"/>
        <v/>
      </c>
    </row>
    <row r="349" ht="15.75" customHeight="1">
      <c r="A349" s="34" t="s">
        <v>25</v>
      </c>
      <c r="B349" s="35">
        <f t="shared" si="6"/>
        <v>45274</v>
      </c>
      <c r="C349" s="36">
        <v>13.0</v>
      </c>
      <c r="D349" s="36" t="s">
        <v>34</v>
      </c>
      <c r="E349" s="389"/>
      <c r="F349" s="390"/>
      <c r="G349" s="3"/>
      <c r="H349" s="390"/>
      <c r="I349" s="3"/>
      <c r="J349" s="390"/>
      <c r="K349" s="3"/>
      <c r="L349" s="390"/>
      <c r="M349" s="3"/>
      <c r="N349" s="391"/>
      <c r="O349" s="3"/>
      <c r="P349" s="391"/>
      <c r="Q349" s="3"/>
      <c r="R349" s="391"/>
      <c r="S349" s="3"/>
      <c r="T349" s="391"/>
      <c r="U349" s="3"/>
      <c r="V349" s="390"/>
      <c r="W349" s="3"/>
      <c r="X349" s="390"/>
      <c r="Y349" s="3"/>
      <c r="Z349" s="390"/>
      <c r="AA349" s="3"/>
      <c r="AB349" s="390"/>
      <c r="AC349" s="3"/>
      <c r="AD349" s="390"/>
      <c r="AE349" s="3"/>
      <c r="AF349" s="390"/>
      <c r="AG349" s="3"/>
      <c r="AH349" s="390"/>
      <c r="AI349" s="3"/>
      <c r="AJ349" s="390"/>
      <c r="AK349" s="3"/>
      <c r="AL349" s="390"/>
      <c r="AM349" s="3"/>
      <c r="AN349" s="390"/>
      <c r="AO349" s="3"/>
      <c r="AP349" s="392">
        <f t="shared" si="12"/>
        <v>0</v>
      </c>
      <c r="AQ349" s="389">
        <f t="shared" si="10"/>
        <v>0</v>
      </c>
      <c r="AR349" s="389">
        <f t="shared" si="3"/>
        <v>0</v>
      </c>
      <c r="AS349" s="389">
        <f t="shared" si="4"/>
        <v>0</v>
      </c>
      <c r="AT349" s="392" t="str">
        <f t="shared" si="5"/>
        <v/>
      </c>
    </row>
    <row r="350" ht="15.75" customHeight="1">
      <c r="A350" s="34" t="s">
        <v>26</v>
      </c>
      <c r="B350" s="35">
        <f t="shared" si="6"/>
        <v>45275</v>
      </c>
      <c r="C350" s="36">
        <v>13.0</v>
      </c>
      <c r="D350" s="36" t="s">
        <v>34</v>
      </c>
      <c r="E350" s="389"/>
      <c r="F350" s="390"/>
      <c r="G350" s="3"/>
      <c r="H350" s="390"/>
      <c r="I350" s="3"/>
      <c r="J350" s="390"/>
      <c r="K350" s="3"/>
      <c r="L350" s="390"/>
      <c r="M350" s="3"/>
      <c r="N350" s="391"/>
      <c r="O350" s="3"/>
      <c r="P350" s="391"/>
      <c r="Q350" s="3"/>
      <c r="R350" s="391"/>
      <c r="S350" s="3"/>
      <c r="T350" s="391"/>
      <c r="U350" s="3"/>
      <c r="V350" s="390"/>
      <c r="W350" s="3"/>
      <c r="X350" s="390"/>
      <c r="Y350" s="3"/>
      <c r="Z350" s="390"/>
      <c r="AA350" s="3"/>
      <c r="AB350" s="390"/>
      <c r="AC350" s="3"/>
      <c r="AD350" s="390"/>
      <c r="AE350" s="3"/>
      <c r="AF350" s="390"/>
      <c r="AG350" s="3"/>
      <c r="AH350" s="390"/>
      <c r="AI350" s="3"/>
      <c r="AJ350" s="390"/>
      <c r="AK350" s="3"/>
      <c r="AL350" s="390"/>
      <c r="AM350" s="3"/>
      <c r="AN350" s="390"/>
      <c r="AO350" s="3"/>
      <c r="AP350" s="392">
        <f t="shared" si="12"/>
        <v>0</v>
      </c>
      <c r="AQ350" s="389">
        <f t="shared" si="10"/>
        <v>0</v>
      </c>
      <c r="AR350" s="389">
        <f t="shared" si="3"/>
        <v>0</v>
      </c>
      <c r="AS350" s="389">
        <f t="shared" si="4"/>
        <v>0</v>
      </c>
      <c r="AT350" s="392" t="str">
        <f t="shared" si="5"/>
        <v/>
      </c>
    </row>
    <row r="351" ht="15.75" customHeight="1">
      <c r="A351" s="34" t="s">
        <v>27</v>
      </c>
      <c r="B351" s="35">
        <f t="shared" si="6"/>
        <v>45276</v>
      </c>
      <c r="C351" s="36">
        <v>13.0</v>
      </c>
      <c r="D351" s="36" t="s">
        <v>34</v>
      </c>
      <c r="E351" s="389"/>
      <c r="F351" s="390"/>
      <c r="G351" s="3"/>
      <c r="H351" s="390"/>
      <c r="I351" s="3"/>
      <c r="J351" s="390"/>
      <c r="K351" s="3"/>
      <c r="L351" s="390"/>
      <c r="M351" s="3"/>
      <c r="N351" s="391"/>
      <c r="O351" s="3"/>
      <c r="P351" s="391"/>
      <c r="Q351" s="3"/>
      <c r="R351" s="391"/>
      <c r="S351" s="3"/>
      <c r="T351" s="391"/>
      <c r="U351" s="3"/>
      <c r="V351" s="390"/>
      <c r="W351" s="3"/>
      <c r="X351" s="390"/>
      <c r="Y351" s="3"/>
      <c r="Z351" s="390"/>
      <c r="AA351" s="3"/>
      <c r="AB351" s="390"/>
      <c r="AC351" s="3"/>
      <c r="AD351" s="390"/>
      <c r="AE351" s="3"/>
      <c r="AF351" s="390"/>
      <c r="AG351" s="3"/>
      <c r="AH351" s="390"/>
      <c r="AI351" s="3"/>
      <c r="AJ351" s="390"/>
      <c r="AK351" s="3"/>
      <c r="AL351" s="390"/>
      <c r="AM351" s="3"/>
      <c r="AN351" s="390"/>
      <c r="AO351" s="3"/>
      <c r="AP351" s="392">
        <f t="shared" si="12"/>
        <v>0</v>
      </c>
      <c r="AQ351" s="389">
        <f t="shared" si="10"/>
        <v>0</v>
      </c>
      <c r="AR351" s="389">
        <f t="shared" si="3"/>
        <v>0</v>
      </c>
      <c r="AS351" s="389">
        <f t="shared" si="4"/>
        <v>0</v>
      </c>
      <c r="AT351" s="392" t="str">
        <f t="shared" si="5"/>
        <v/>
      </c>
    </row>
    <row r="352" ht="15.75" customHeight="1">
      <c r="A352" s="46" t="s">
        <v>28</v>
      </c>
      <c r="B352" s="47">
        <f t="shared" si="6"/>
        <v>45277</v>
      </c>
      <c r="C352" s="49">
        <v>13.0</v>
      </c>
      <c r="D352" s="49" t="s">
        <v>34</v>
      </c>
      <c r="E352" s="389"/>
      <c r="F352" s="390"/>
      <c r="G352" s="3"/>
      <c r="H352" s="390"/>
      <c r="I352" s="3"/>
      <c r="J352" s="390"/>
      <c r="K352" s="3"/>
      <c r="L352" s="390"/>
      <c r="M352" s="3"/>
      <c r="N352" s="391"/>
      <c r="O352" s="3"/>
      <c r="P352" s="391"/>
      <c r="Q352" s="3"/>
      <c r="R352" s="391"/>
      <c r="S352" s="3"/>
      <c r="T352" s="391"/>
      <c r="U352" s="3"/>
      <c r="V352" s="390"/>
      <c r="W352" s="3"/>
      <c r="X352" s="390"/>
      <c r="Y352" s="3"/>
      <c r="Z352" s="390"/>
      <c r="AA352" s="3"/>
      <c r="AB352" s="390"/>
      <c r="AC352" s="3"/>
      <c r="AD352" s="390"/>
      <c r="AE352" s="3"/>
      <c r="AF352" s="390"/>
      <c r="AG352" s="3"/>
      <c r="AH352" s="390"/>
      <c r="AI352" s="3"/>
      <c r="AJ352" s="390"/>
      <c r="AK352" s="3"/>
      <c r="AL352" s="390"/>
      <c r="AM352" s="3"/>
      <c r="AN352" s="390"/>
      <c r="AO352" s="3"/>
      <c r="AP352" s="392">
        <f t="shared" si="12"/>
        <v>0</v>
      </c>
      <c r="AQ352" s="389">
        <f t="shared" si="10"/>
        <v>0</v>
      </c>
      <c r="AR352" s="389">
        <f t="shared" si="3"/>
        <v>0</v>
      </c>
      <c r="AS352" s="389">
        <f t="shared" si="4"/>
        <v>0</v>
      </c>
      <c r="AT352" s="392" t="str">
        <f t="shared" si="5"/>
        <v/>
      </c>
    </row>
    <row r="353" ht="15.75" customHeight="1">
      <c r="A353" s="18" t="s">
        <v>21</v>
      </c>
      <c r="B353" s="68">
        <f t="shared" si="6"/>
        <v>45278</v>
      </c>
      <c r="C353" s="20">
        <v>13.0</v>
      </c>
      <c r="D353" s="20" t="s">
        <v>36</v>
      </c>
      <c r="E353" s="389"/>
      <c r="F353" s="390"/>
      <c r="G353" s="3"/>
      <c r="H353" s="390"/>
      <c r="I353" s="3"/>
      <c r="J353" s="390"/>
      <c r="K353" s="3"/>
      <c r="L353" s="390"/>
      <c r="M353" s="3"/>
      <c r="N353" s="391"/>
      <c r="O353" s="3"/>
      <c r="P353" s="391"/>
      <c r="Q353" s="3"/>
      <c r="R353" s="391"/>
      <c r="S353" s="3"/>
      <c r="T353" s="391"/>
      <c r="U353" s="3"/>
      <c r="V353" s="390"/>
      <c r="W353" s="3"/>
      <c r="X353" s="390"/>
      <c r="Y353" s="3"/>
      <c r="Z353" s="390"/>
      <c r="AA353" s="3"/>
      <c r="AB353" s="390"/>
      <c r="AC353" s="3"/>
      <c r="AD353" s="390"/>
      <c r="AE353" s="3"/>
      <c r="AF353" s="390"/>
      <c r="AG353" s="3"/>
      <c r="AH353" s="390"/>
      <c r="AI353" s="3"/>
      <c r="AJ353" s="390"/>
      <c r="AK353" s="3"/>
      <c r="AL353" s="390"/>
      <c r="AM353" s="3"/>
      <c r="AN353" s="390"/>
      <c r="AO353" s="3"/>
      <c r="AP353" s="392">
        <f t="shared" si="12"/>
        <v>0</v>
      </c>
      <c r="AQ353" s="389">
        <f t="shared" si="10"/>
        <v>0</v>
      </c>
      <c r="AR353" s="389">
        <f t="shared" si="3"/>
        <v>0</v>
      </c>
      <c r="AS353" s="389">
        <f t="shared" si="4"/>
        <v>0</v>
      </c>
      <c r="AT353" s="392" t="str">
        <f t="shared" si="5"/>
        <v/>
      </c>
    </row>
    <row r="354" ht="15.75" customHeight="1">
      <c r="A354" s="34" t="s">
        <v>23</v>
      </c>
      <c r="B354" s="35">
        <f t="shared" si="6"/>
        <v>45279</v>
      </c>
      <c r="C354" s="36">
        <v>13.0</v>
      </c>
      <c r="D354" s="36" t="s">
        <v>36</v>
      </c>
      <c r="E354" s="389"/>
      <c r="F354" s="390"/>
      <c r="G354" s="3"/>
      <c r="H354" s="390"/>
      <c r="I354" s="3"/>
      <c r="J354" s="390"/>
      <c r="K354" s="3"/>
      <c r="L354" s="390"/>
      <c r="M354" s="3"/>
      <c r="N354" s="391"/>
      <c r="O354" s="3"/>
      <c r="P354" s="391"/>
      <c r="Q354" s="3"/>
      <c r="R354" s="391"/>
      <c r="S354" s="3"/>
      <c r="T354" s="391"/>
      <c r="U354" s="3"/>
      <c r="V354" s="390"/>
      <c r="W354" s="3"/>
      <c r="X354" s="390"/>
      <c r="Y354" s="3"/>
      <c r="Z354" s="390"/>
      <c r="AA354" s="3"/>
      <c r="AB354" s="390"/>
      <c r="AC354" s="3"/>
      <c r="AD354" s="390"/>
      <c r="AE354" s="3"/>
      <c r="AF354" s="390"/>
      <c r="AG354" s="3"/>
      <c r="AH354" s="390"/>
      <c r="AI354" s="3"/>
      <c r="AJ354" s="390"/>
      <c r="AK354" s="3"/>
      <c r="AL354" s="390"/>
      <c r="AM354" s="3"/>
      <c r="AN354" s="390"/>
      <c r="AO354" s="3"/>
      <c r="AP354" s="392">
        <f t="shared" si="12"/>
        <v>0</v>
      </c>
      <c r="AQ354" s="389">
        <f t="shared" si="10"/>
        <v>0</v>
      </c>
      <c r="AR354" s="389">
        <f t="shared" si="3"/>
        <v>0</v>
      </c>
      <c r="AS354" s="389">
        <f t="shared" si="4"/>
        <v>0</v>
      </c>
      <c r="AT354" s="392" t="str">
        <f t="shared" si="5"/>
        <v/>
      </c>
    </row>
    <row r="355" ht="15.75" customHeight="1">
      <c r="A355" s="34" t="s">
        <v>24</v>
      </c>
      <c r="B355" s="35">
        <f t="shared" si="6"/>
        <v>45280</v>
      </c>
      <c r="C355" s="36">
        <v>13.0</v>
      </c>
      <c r="D355" s="36" t="s">
        <v>36</v>
      </c>
      <c r="E355" s="389"/>
      <c r="F355" s="390"/>
      <c r="G355" s="3"/>
      <c r="H355" s="390"/>
      <c r="I355" s="3"/>
      <c r="J355" s="390"/>
      <c r="K355" s="3"/>
      <c r="L355" s="390"/>
      <c r="M355" s="3"/>
      <c r="N355" s="391"/>
      <c r="O355" s="3"/>
      <c r="P355" s="391"/>
      <c r="Q355" s="3"/>
      <c r="R355" s="391"/>
      <c r="S355" s="3"/>
      <c r="T355" s="391"/>
      <c r="U355" s="3"/>
      <c r="V355" s="390"/>
      <c r="W355" s="3"/>
      <c r="X355" s="390"/>
      <c r="Y355" s="3"/>
      <c r="Z355" s="390"/>
      <c r="AA355" s="3"/>
      <c r="AB355" s="390"/>
      <c r="AC355" s="3"/>
      <c r="AD355" s="390"/>
      <c r="AE355" s="3"/>
      <c r="AF355" s="390"/>
      <c r="AG355" s="3"/>
      <c r="AH355" s="390"/>
      <c r="AI355" s="3"/>
      <c r="AJ355" s="390"/>
      <c r="AK355" s="3"/>
      <c r="AL355" s="390"/>
      <c r="AM355" s="3"/>
      <c r="AN355" s="390"/>
      <c r="AO355" s="3"/>
      <c r="AP355" s="392">
        <f t="shared" si="12"/>
        <v>0</v>
      </c>
      <c r="AQ355" s="389">
        <f t="shared" si="10"/>
        <v>0</v>
      </c>
      <c r="AR355" s="389">
        <f t="shared" si="3"/>
        <v>0</v>
      </c>
      <c r="AS355" s="389">
        <f t="shared" si="4"/>
        <v>0</v>
      </c>
      <c r="AT355" s="392" t="str">
        <f t="shared" si="5"/>
        <v/>
      </c>
    </row>
    <row r="356" ht="15.75" customHeight="1">
      <c r="A356" s="34" t="s">
        <v>25</v>
      </c>
      <c r="B356" s="35">
        <f t="shared" si="6"/>
        <v>45281</v>
      </c>
      <c r="C356" s="36">
        <v>13.0</v>
      </c>
      <c r="D356" s="36" t="s">
        <v>36</v>
      </c>
      <c r="E356" s="389"/>
      <c r="F356" s="390"/>
      <c r="G356" s="3"/>
      <c r="H356" s="390"/>
      <c r="I356" s="3"/>
      <c r="J356" s="390"/>
      <c r="K356" s="3"/>
      <c r="L356" s="390"/>
      <c r="M356" s="3"/>
      <c r="N356" s="391"/>
      <c r="O356" s="3"/>
      <c r="P356" s="391"/>
      <c r="Q356" s="3"/>
      <c r="R356" s="391"/>
      <c r="S356" s="3"/>
      <c r="T356" s="391"/>
      <c r="U356" s="3"/>
      <c r="V356" s="390"/>
      <c r="W356" s="3"/>
      <c r="X356" s="390"/>
      <c r="Y356" s="3"/>
      <c r="Z356" s="390"/>
      <c r="AA356" s="3"/>
      <c r="AB356" s="390"/>
      <c r="AC356" s="3"/>
      <c r="AD356" s="390"/>
      <c r="AE356" s="3"/>
      <c r="AF356" s="390"/>
      <c r="AG356" s="3"/>
      <c r="AH356" s="390"/>
      <c r="AI356" s="3"/>
      <c r="AJ356" s="390"/>
      <c r="AK356" s="3"/>
      <c r="AL356" s="390"/>
      <c r="AM356" s="3"/>
      <c r="AN356" s="390"/>
      <c r="AO356" s="3"/>
      <c r="AP356" s="392">
        <f t="shared" si="12"/>
        <v>0</v>
      </c>
      <c r="AQ356" s="389">
        <f t="shared" si="10"/>
        <v>0</v>
      </c>
      <c r="AR356" s="389">
        <f t="shared" si="3"/>
        <v>0</v>
      </c>
      <c r="AS356" s="389">
        <f t="shared" si="4"/>
        <v>0</v>
      </c>
      <c r="AT356" s="392" t="str">
        <f t="shared" si="5"/>
        <v/>
      </c>
    </row>
    <row r="357" ht="15.75" customHeight="1">
      <c r="A357" s="34" t="s">
        <v>26</v>
      </c>
      <c r="B357" s="35">
        <f t="shared" si="6"/>
        <v>45282</v>
      </c>
      <c r="C357" s="36">
        <v>13.0</v>
      </c>
      <c r="D357" s="36" t="s">
        <v>36</v>
      </c>
      <c r="E357" s="389"/>
      <c r="F357" s="390"/>
      <c r="G357" s="3"/>
      <c r="H357" s="390"/>
      <c r="I357" s="3"/>
      <c r="J357" s="390"/>
      <c r="K357" s="3"/>
      <c r="L357" s="390"/>
      <c r="M357" s="3"/>
      <c r="N357" s="391"/>
      <c r="O357" s="3"/>
      <c r="P357" s="391"/>
      <c r="Q357" s="3"/>
      <c r="R357" s="391"/>
      <c r="S357" s="3"/>
      <c r="T357" s="391"/>
      <c r="U357" s="3"/>
      <c r="V357" s="390"/>
      <c r="W357" s="3"/>
      <c r="X357" s="390"/>
      <c r="Y357" s="3"/>
      <c r="Z357" s="390"/>
      <c r="AA357" s="3"/>
      <c r="AB357" s="390"/>
      <c r="AC357" s="3"/>
      <c r="AD357" s="390"/>
      <c r="AE357" s="3"/>
      <c r="AF357" s="390"/>
      <c r="AG357" s="3"/>
      <c r="AH357" s="390"/>
      <c r="AI357" s="3"/>
      <c r="AJ357" s="390"/>
      <c r="AK357" s="3"/>
      <c r="AL357" s="390"/>
      <c r="AM357" s="3"/>
      <c r="AN357" s="390"/>
      <c r="AO357" s="3"/>
      <c r="AP357" s="392">
        <f t="shared" si="12"/>
        <v>0</v>
      </c>
      <c r="AQ357" s="389">
        <f t="shared" si="10"/>
        <v>0</v>
      </c>
      <c r="AR357" s="389">
        <f t="shared" si="3"/>
        <v>0</v>
      </c>
      <c r="AS357" s="389">
        <f t="shared" si="4"/>
        <v>0</v>
      </c>
      <c r="AT357" s="392" t="str">
        <f t="shared" si="5"/>
        <v/>
      </c>
    </row>
    <row r="358" ht="15.75" customHeight="1">
      <c r="A358" s="34" t="s">
        <v>27</v>
      </c>
      <c r="B358" s="35">
        <f t="shared" si="6"/>
        <v>45283</v>
      </c>
      <c r="C358" s="36">
        <v>13.0</v>
      </c>
      <c r="D358" s="36" t="s">
        <v>36</v>
      </c>
      <c r="E358" s="389"/>
      <c r="F358" s="390"/>
      <c r="G358" s="3"/>
      <c r="H358" s="390"/>
      <c r="I358" s="3"/>
      <c r="J358" s="390"/>
      <c r="K358" s="3"/>
      <c r="L358" s="390"/>
      <c r="M358" s="3"/>
      <c r="N358" s="391"/>
      <c r="O358" s="3"/>
      <c r="P358" s="391"/>
      <c r="Q358" s="3"/>
      <c r="R358" s="391"/>
      <c r="S358" s="3"/>
      <c r="T358" s="391"/>
      <c r="U358" s="3"/>
      <c r="V358" s="390"/>
      <c r="W358" s="3"/>
      <c r="X358" s="390"/>
      <c r="Y358" s="3"/>
      <c r="Z358" s="390"/>
      <c r="AA358" s="3"/>
      <c r="AB358" s="390"/>
      <c r="AC358" s="3"/>
      <c r="AD358" s="390"/>
      <c r="AE358" s="3"/>
      <c r="AF358" s="390"/>
      <c r="AG358" s="3"/>
      <c r="AH358" s="390"/>
      <c r="AI358" s="3"/>
      <c r="AJ358" s="390"/>
      <c r="AK358" s="3"/>
      <c r="AL358" s="390"/>
      <c r="AM358" s="3"/>
      <c r="AN358" s="390"/>
      <c r="AO358" s="3"/>
      <c r="AP358" s="392">
        <f t="shared" si="12"/>
        <v>0</v>
      </c>
      <c r="AQ358" s="389">
        <f t="shared" si="10"/>
        <v>0</v>
      </c>
      <c r="AR358" s="389">
        <f t="shared" si="3"/>
        <v>0</v>
      </c>
      <c r="AS358" s="389">
        <f t="shared" si="4"/>
        <v>0</v>
      </c>
      <c r="AT358" s="392" t="str">
        <f t="shared" si="5"/>
        <v/>
      </c>
    </row>
    <row r="359" ht="15.75" customHeight="1">
      <c r="A359" s="46" t="s">
        <v>28</v>
      </c>
      <c r="B359" s="47">
        <f t="shared" si="6"/>
        <v>45284</v>
      </c>
      <c r="C359" s="49">
        <v>13.0</v>
      </c>
      <c r="D359" s="49" t="s">
        <v>36</v>
      </c>
      <c r="E359" s="389"/>
      <c r="F359" s="390"/>
      <c r="G359" s="3"/>
      <c r="H359" s="390"/>
      <c r="I359" s="3"/>
      <c r="J359" s="390"/>
      <c r="K359" s="3"/>
      <c r="L359" s="390"/>
      <c r="M359" s="3"/>
      <c r="N359" s="391"/>
      <c r="O359" s="3"/>
      <c r="P359" s="391"/>
      <c r="Q359" s="3"/>
      <c r="R359" s="391"/>
      <c r="S359" s="3"/>
      <c r="T359" s="391"/>
      <c r="U359" s="3"/>
      <c r="V359" s="390"/>
      <c r="W359" s="3"/>
      <c r="X359" s="390"/>
      <c r="Y359" s="3"/>
      <c r="Z359" s="390"/>
      <c r="AA359" s="3"/>
      <c r="AB359" s="390"/>
      <c r="AC359" s="3"/>
      <c r="AD359" s="390"/>
      <c r="AE359" s="3"/>
      <c r="AF359" s="390"/>
      <c r="AG359" s="3"/>
      <c r="AH359" s="390"/>
      <c r="AI359" s="3"/>
      <c r="AJ359" s="390"/>
      <c r="AK359" s="3"/>
      <c r="AL359" s="390"/>
      <c r="AM359" s="3"/>
      <c r="AN359" s="390"/>
      <c r="AO359" s="3"/>
      <c r="AP359" s="392">
        <f t="shared" si="12"/>
        <v>0</v>
      </c>
      <c r="AQ359" s="389">
        <f t="shared" si="10"/>
        <v>0</v>
      </c>
      <c r="AR359" s="389">
        <f t="shared" si="3"/>
        <v>0</v>
      </c>
      <c r="AS359" s="389">
        <f t="shared" si="4"/>
        <v>0</v>
      </c>
      <c r="AT359" s="392" t="str">
        <f t="shared" si="5"/>
        <v/>
      </c>
    </row>
    <row r="360" ht="15.75" customHeight="1">
      <c r="A360" s="310"/>
      <c r="B360" s="311"/>
      <c r="C360" s="312"/>
      <c r="D360" s="312"/>
      <c r="E360" s="312"/>
      <c r="F360" s="312"/>
      <c r="G360" s="312"/>
      <c r="H360" s="312"/>
      <c r="I360" s="312"/>
      <c r="J360" s="312"/>
      <c r="K360" s="312"/>
      <c r="L360" s="312"/>
      <c r="M360" s="312"/>
      <c r="N360" s="312"/>
      <c r="O360" s="312"/>
      <c r="P360" s="312"/>
      <c r="Q360" s="312"/>
      <c r="R360" s="312"/>
      <c r="S360" s="312"/>
      <c r="T360" s="312"/>
      <c r="U360" s="312"/>
      <c r="V360" s="312"/>
      <c r="W360" s="312"/>
      <c r="X360" s="312"/>
      <c r="Y360" s="312"/>
      <c r="Z360" s="312"/>
      <c r="AA360" s="312"/>
      <c r="AB360" s="312"/>
      <c r="AC360" s="312"/>
      <c r="AD360" s="312"/>
      <c r="AE360" s="312"/>
      <c r="AF360" s="312"/>
      <c r="AG360" s="312"/>
      <c r="AH360" s="312"/>
      <c r="AI360" s="312"/>
      <c r="AJ360" s="312"/>
      <c r="AK360" s="312"/>
      <c r="AL360" s="312"/>
      <c r="AM360" s="312"/>
      <c r="AN360" s="312"/>
      <c r="AO360" s="312"/>
      <c r="AP360" s="313">
        <f t="shared" ref="AP360:AT360" si="13">sum(AP3:AP359)</f>
        <v>1290522.66</v>
      </c>
      <c r="AQ360" s="312">
        <f t="shared" si="13"/>
        <v>63755</v>
      </c>
      <c r="AR360" s="312">
        <f t="shared" si="13"/>
        <v>0</v>
      </c>
      <c r="AS360" s="312">
        <f t="shared" si="13"/>
        <v>64225</v>
      </c>
      <c r="AT360" s="313">
        <f t="shared" si="13"/>
        <v>4584.068625</v>
      </c>
    </row>
    <row r="361" ht="15.75" customHeight="1">
      <c r="A361" s="310"/>
      <c r="B361" s="311"/>
      <c r="C361" s="312"/>
      <c r="D361" s="312"/>
      <c r="E361" s="312"/>
      <c r="F361" s="312"/>
      <c r="G361" s="314"/>
      <c r="H361" s="312"/>
      <c r="I361" s="314"/>
      <c r="J361" s="312"/>
      <c r="K361" s="312"/>
      <c r="L361" s="312"/>
      <c r="M361" s="312"/>
      <c r="N361" s="314"/>
      <c r="O361" s="314"/>
      <c r="P361" s="314"/>
      <c r="Q361" s="314"/>
      <c r="R361" s="314"/>
      <c r="S361" s="314"/>
      <c r="T361" s="314"/>
      <c r="U361" s="314"/>
      <c r="V361" s="315"/>
      <c r="W361" s="312"/>
      <c r="X361" s="312"/>
      <c r="Y361" s="312"/>
      <c r="Z361" s="312"/>
      <c r="AA361" s="312"/>
      <c r="AB361" s="312"/>
      <c r="AC361" s="312"/>
      <c r="AD361" s="312"/>
      <c r="AE361" s="312"/>
      <c r="AF361" s="312"/>
      <c r="AG361" s="312"/>
      <c r="AH361" s="312"/>
      <c r="AI361" s="312"/>
      <c r="AJ361" s="312"/>
      <c r="AK361" s="312"/>
      <c r="AL361" s="312"/>
      <c r="AM361" s="312"/>
      <c r="AN361" s="312"/>
      <c r="AO361" s="312"/>
      <c r="AP361" s="316"/>
      <c r="AQ361" s="312"/>
      <c r="AR361" s="312"/>
      <c r="AS361" s="317"/>
      <c r="AT361" s="312"/>
    </row>
    <row r="362" ht="15.75" customHeight="1">
      <c r="A362" s="318"/>
      <c r="B362" s="312"/>
      <c r="C362" s="312"/>
      <c r="D362" s="312"/>
      <c r="E362" s="312"/>
      <c r="F362" s="312"/>
      <c r="G362" s="312"/>
      <c r="H362" s="312"/>
      <c r="I362" s="312"/>
      <c r="J362" s="312"/>
      <c r="K362" s="312"/>
      <c r="L362" s="312"/>
      <c r="M362" s="312"/>
      <c r="N362" s="312"/>
      <c r="O362" s="312"/>
      <c r="P362" s="312"/>
      <c r="Q362" s="312"/>
      <c r="R362" s="312"/>
      <c r="S362" s="312"/>
      <c r="T362" s="312"/>
      <c r="U362" s="312"/>
      <c r="V362" s="312"/>
      <c r="W362" s="312"/>
      <c r="X362" s="312"/>
      <c r="Y362" s="312"/>
      <c r="Z362" s="312"/>
      <c r="AA362" s="312"/>
      <c r="AB362" s="312"/>
      <c r="AC362" s="312"/>
      <c r="AD362" s="312"/>
      <c r="AE362" s="312"/>
      <c r="AF362" s="312"/>
      <c r="AG362" s="312"/>
      <c r="AH362" s="312"/>
      <c r="AI362" s="312"/>
      <c r="AJ362" s="312"/>
      <c r="AK362" s="312"/>
      <c r="AL362" s="312"/>
      <c r="AM362" s="312"/>
      <c r="AN362" s="312"/>
      <c r="AO362" s="312"/>
      <c r="AP362" s="312"/>
      <c r="AQ362" s="312"/>
      <c r="AR362" s="312"/>
      <c r="AS362" s="312"/>
      <c r="AT362" s="312"/>
    </row>
    <row r="363" ht="15.75" customHeight="1">
      <c r="A363" s="318"/>
      <c r="B363" s="312"/>
      <c r="C363" s="312"/>
      <c r="D363" s="312"/>
      <c r="E363" s="312"/>
      <c r="F363" s="312"/>
      <c r="G363" s="312"/>
      <c r="H363" s="312"/>
      <c r="I363" s="312"/>
      <c r="J363" s="312"/>
      <c r="K363" s="312"/>
      <c r="L363" s="312"/>
      <c r="M363" s="312"/>
      <c r="N363" s="312"/>
      <c r="O363" s="312"/>
      <c r="P363" s="312"/>
      <c r="Q363" s="312"/>
      <c r="R363" s="312"/>
      <c r="S363" s="312"/>
      <c r="T363" s="312"/>
      <c r="U363" s="312"/>
      <c r="V363" s="312"/>
      <c r="W363" s="312"/>
      <c r="X363" s="312"/>
      <c r="Y363" s="312"/>
      <c r="Z363" s="312"/>
      <c r="AA363" s="312"/>
      <c r="AB363" s="312"/>
      <c r="AC363" s="312"/>
      <c r="AD363" s="312"/>
      <c r="AE363" s="312"/>
      <c r="AF363" s="312"/>
      <c r="AG363" s="312"/>
      <c r="AH363" s="312"/>
      <c r="AI363" s="312"/>
      <c r="AJ363" s="312"/>
      <c r="AK363" s="312"/>
      <c r="AL363" s="312"/>
      <c r="AM363" s="312"/>
      <c r="AN363" s="312"/>
      <c r="AO363" s="312"/>
      <c r="AP363" s="319" t="s">
        <v>46</v>
      </c>
      <c r="AQ363" s="320" t="s">
        <v>47</v>
      </c>
      <c r="AR363" s="320" t="s">
        <v>48</v>
      </c>
      <c r="AS363" s="320" t="s">
        <v>49</v>
      </c>
      <c r="AT363" s="312"/>
    </row>
    <row r="364" ht="15.75" customHeight="1">
      <c r="A364" s="318"/>
      <c r="B364" s="312"/>
      <c r="C364" s="312"/>
      <c r="D364" s="312"/>
      <c r="E364" s="312"/>
      <c r="F364" s="312"/>
      <c r="G364" s="312"/>
      <c r="H364" s="312"/>
      <c r="I364" s="312"/>
      <c r="J364" s="312"/>
      <c r="K364" s="312"/>
      <c r="L364" s="312"/>
      <c r="M364" s="312"/>
      <c r="N364" s="312"/>
      <c r="O364" s="312"/>
      <c r="P364" s="312"/>
      <c r="Q364" s="312"/>
      <c r="R364" s="312"/>
      <c r="S364" s="312"/>
      <c r="T364" s="312"/>
      <c r="U364" s="312"/>
      <c r="V364" s="312"/>
      <c r="W364" s="312"/>
      <c r="X364" s="312"/>
      <c r="Y364" s="312"/>
      <c r="Z364" s="312"/>
      <c r="AA364" s="312"/>
      <c r="AB364" s="312"/>
      <c r="AC364" s="312"/>
      <c r="AD364" s="312"/>
      <c r="AE364" s="312"/>
      <c r="AF364" s="312"/>
      <c r="AG364" s="312"/>
      <c r="AH364" s="312"/>
      <c r="AI364" s="312"/>
      <c r="AJ364" s="312"/>
      <c r="AK364" s="312"/>
      <c r="AL364" s="312"/>
      <c r="AM364" s="312"/>
      <c r="AN364" s="312"/>
      <c r="AO364" s="312"/>
      <c r="AP364" s="319">
        <v>1.0</v>
      </c>
      <c r="AQ364" s="321">
        <f t="shared" ref="AQ364:AQ376" si="14">sumif($C$3:$C$359, AP364, $AP$3:$AP$359)</f>
        <v>29552.8</v>
      </c>
      <c r="AR364" s="319">
        <f>sum(N3:S30)</f>
        <v>1640</v>
      </c>
      <c r="AS364" s="319">
        <v>0.0</v>
      </c>
      <c r="AT364" s="312"/>
    </row>
    <row r="365" ht="15.75" customHeight="1">
      <c r="A365" s="318"/>
      <c r="B365" s="312"/>
      <c r="C365" s="312"/>
      <c r="D365" s="312"/>
      <c r="E365" s="312"/>
      <c r="F365" s="312"/>
      <c r="G365" s="312"/>
      <c r="H365" s="312"/>
      <c r="I365" s="312"/>
      <c r="J365" s="312"/>
      <c r="K365" s="312"/>
      <c r="L365" s="312"/>
      <c r="M365" s="312"/>
      <c r="N365" s="312"/>
      <c r="O365" s="312"/>
      <c r="P365" s="312"/>
      <c r="Q365" s="312"/>
      <c r="R365" s="312"/>
      <c r="S365" s="312"/>
      <c r="T365" s="312"/>
      <c r="U365" s="312"/>
      <c r="V365" s="312"/>
      <c r="W365" s="312"/>
      <c r="X365" s="312"/>
      <c r="Y365" s="312"/>
      <c r="Z365" s="312"/>
      <c r="AA365" s="312"/>
      <c r="AB365" s="312"/>
      <c r="AC365" s="312"/>
      <c r="AD365" s="312"/>
      <c r="AE365" s="312"/>
      <c r="AF365" s="312"/>
      <c r="AG365" s="312"/>
      <c r="AH365" s="312"/>
      <c r="AI365" s="312"/>
      <c r="AJ365" s="312"/>
      <c r="AK365" s="312"/>
      <c r="AL365" s="312"/>
      <c r="AM365" s="312"/>
      <c r="AN365" s="312"/>
      <c r="AO365" s="312"/>
      <c r="AP365" s="319">
        <v>2.0</v>
      </c>
      <c r="AQ365" s="321">
        <f t="shared" si="14"/>
        <v>189386.2</v>
      </c>
      <c r="AR365" s="319">
        <f>sum(N31:S58)</f>
        <v>1100</v>
      </c>
      <c r="AS365" s="319">
        <f>sum(F31:M58)</f>
        <v>4910</v>
      </c>
      <c r="AT365" s="312"/>
    </row>
    <row r="366" ht="15.75" customHeight="1">
      <c r="A366" s="318"/>
      <c r="B366" s="312"/>
      <c r="C366" s="312"/>
      <c r="D366" s="312"/>
      <c r="E366" s="312"/>
      <c r="F366" s="312"/>
      <c r="G366" s="312"/>
      <c r="H366" s="312"/>
      <c r="I366" s="312"/>
      <c r="J366" s="312"/>
      <c r="K366" s="312"/>
      <c r="L366" s="312"/>
      <c r="M366" s="312"/>
      <c r="N366" s="312"/>
      <c r="O366" s="312"/>
      <c r="P366" s="312"/>
      <c r="Q366" s="312"/>
      <c r="R366" s="312"/>
      <c r="S366" s="312"/>
      <c r="T366" s="312"/>
      <c r="U366" s="312"/>
      <c r="V366" s="312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  <c r="AJ366" s="312"/>
      <c r="AK366" s="312"/>
      <c r="AL366" s="312"/>
      <c r="AM366" s="312"/>
      <c r="AN366" s="312"/>
      <c r="AO366" s="312"/>
      <c r="AP366" s="319">
        <v>3.0</v>
      </c>
      <c r="AQ366" s="321">
        <f t="shared" si="14"/>
        <v>274079.16</v>
      </c>
      <c r="AR366" s="319">
        <f>sum(N59:AC86)</f>
        <v>13543</v>
      </c>
      <c r="AS366" s="319">
        <f>sum(F59:M86)</f>
        <v>700</v>
      </c>
      <c r="AT366" s="312"/>
    </row>
    <row r="367" ht="15.75" customHeight="1">
      <c r="A367" s="318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2"/>
      <c r="S367" s="312"/>
      <c r="T367" s="312"/>
      <c r="U367" s="312"/>
      <c r="V367" s="312"/>
      <c r="W367" s="312"/>
      <c r="X367" s="312"/>
      <c r="Y367" s="312"/>
      <c r="Z367" s="312"/>
      <c r="AA367" s="312"/>
      <c r="AB367" s="312"/>
      <c r="AC367" s="312"/>
      <c r="AD367" s="312"/>
      <c r="AE367" s="312"/>
      <c r="AF367" s="312"/>
      <c r="AG367" s="312"/>
      <c r="AH367" s="312"/>
      <c r="AI367" s="312"/>
      <c r="AJ367" s="312"/>
      <c r="AK367" s="312"/>
      <c r="AL367" s="312"/>
      <c r="AM367" s="312"/>
      <c r="AN367" s="312"/>
      <c r="AO367" s="312"/>
      <c r="AP367" s="319">
        <v>4.0</v>
      </c>
      <c r="AQ367" s="321">
        <f t="shared" si="14"/>
        <v>126537.9</v>
      </c>
      <c r="AR367" s="319">
        <f>sum(N87:AC114)</f>
        <v>7049</v>
      </c>
      <c r="AS367" s="319">
        <v>0.0</v>
      </c>
      <c r="AT367" s="312"/>
    </row>
    <row r="368" ht="15.75" customHeight="1">
      <c r="A368" s="318"/>
      <c r="B368" s="312"/>
      <c r="C368" s="312"/>
      <c r="D368" s="312"/>
      <c r="E368" s="312"/>
      <c r="F368" s="312"/>
      <c r="G368" s="312"/>
      <c r="H368" s="312"/>
      <c r="I368" s="312"/>
      <c r="J368" s="312"/>
      <c r="K368" s="312"/>
      <c r="L368" s="312"/>
      <c r="M368" s="312"/>
      <c r="N368" s="312"/>
      <c r="O368" s="312"/>
      <c r="P368" s="312"/>
      <c r="Q368" s="312"/>
      <c r="R368" s="312"/>
      <c r="S368" s="312"/>
      <c r="T368" s="312"/>
      <c r="U368" s="312"/>
      <c r="V368" s="312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  <c r="AJ368" s="312"/>
      <c r="AK368" s="312"/>
      <c r="AL368" s="312"/>
      <c r="AM368" s="312"/>
      <c r="AN368" s="312"/>
      <c r="AO368" s="312"/>
      <c r="AP368" s="319">
        <v>5.0</v>
      </c>
      <c r="AQ368" s="321">
        <f t="shared" si="14"/>
        <v>108902.4</v>
      </c>
      <c r="AR368" s="319">
        <f>sum(N115:AC142)</f>
        <v>5752</v>
      </c>
      <c r="AS368" s="319">
        <v>0.0</v>
      </c>
      <c r="AT368" s="312"/>
    </row>
    <row r="369" ht="15.75" customHeight="1">
      <c r="A369" s="318"/>
      <c r="B369" s="312"/>
      <c r="C369" s="312"/>
      <c r="D369" s="312"/>
      <c r="E369" s="312"/>
      <c r="F369" s="312"/>
      <c r="G369" s="312"/>
      <c r="H369" s="312"/>
      <c r="I369" s="312"/>
      <c r="J369" s="312"/>
      <c r="K369" s="312"/>
      <c r="L369" s="312"/>
      <c r="M369" s="312"/>
      <c r="N369" s="312"/>
      <c r="O369" s="312"/>
      <c r="P369" s="312"/>
      <c r="Q369" s="312"/>
      <c r="R369" s="312"/>
      <c r="S369" s="312"/>
      <c r="T369" s="312"/>
      <c r="U369" s="312"/>
      <c r="V369" s="312"/>
      <c r="W369" s="312"/>
      <c r="X369" s="312"/>
      <c r="Y369" s="312"/>
      <c r="Z369" s="312"/>
      <c r="AA369" s="312"/>
      <c r="AB369" s="312"/>
      <c r="AC369" s="312"/>
      <c r="AD369" s="312"/>
      <c r="AE369" s="312"/>
      <c r="AF369" s="312"/>
      <c r="AG369" s="312"/>
      <c r="AH369" s="312"/>
      <c r="AI369" s="312"/>
      <c r="AJ369" s="312"/>
      <c r="AK369" s="312"/>
      <c r="AL369" s="312"/>
      <c r="AM369" s="312"/>
      <c r="AN369" s="312"/>
      <c r="AO369" s="312"/>
      <c r="AP369" s="319">
        <v>6.0</v>
      </c>
      <c r="AQ369" s="321">
        <f t="shared" si="14"/>
        <v>122227.1</v>
      </c>
      <c r="AR369" s="319">
        <f>sum(N143:AC170)</f>
        <v>6485</v>
      </c>
      <c r="AS369" s="319">
        <v>0.0</v>
      </c>
      <c r="AT369" s="312"/>
    </row>
    <row r="370" ht="15.75" customHeight="1">
      <c r="A370" s="318"/>
      <c r="B370" s="312"/>
      <c r="C370" s="312"/>
      <c r="D370" s="312"/>
      <c r="E370" s="312"/>
      <c r="F370" s="312"/>
      <c r="G370" s="312"/>
      <c r="H370" s="312"/>
      <c r="I370" s="312"/>
      <c r="J370" s="312"/>
      <c r="K370" s="312"/>
      <c r="L370" s="312"/>
      <c r="M370" s="312"/>
      <c r="N370" s="312"/>
      <c r="O370" s="312"/>
      <c r="P370" s="312"/>
      <c r="Q370" s="312"/>
      <c r="R370" s="312"/>
      <c r="S370" s="312"/>
      <c r="T370" s="312"/>
      <c r="U370" s="312"/>
      <c r="V370" s="312"/>
      <c r="W370" s="312"/>
      <c r="X370" s="312"/>
      <c r="Y370" s="312"/>
      <c r="Z370" s="312"/>
      <c r="AA370" s="312"/>
      <c r="AB370" s="312"/>
      <c r="AC370" s="312"/>
      <c r="AD370" s="312"/>
      <c r="AE370" s="312"/>
      <c r="AF370" s="312"/>
      <c r="AG370" s="312"/>
      <c r="AH370" s="312"/>
      <c r="AI370" s="312"/>
      <c r="AJ370" s="312"/>
      <c r="AK370" s="312"/>
      <c r="AL370" s="312"/>
      <c r="AM370" s="312"/>
      <c r="AN370" s="312"/>
      <c r="AO370" s="312"/>
      <c r="AP370" s="319">
        <v>7.0</v>
      </c>
      <c r="AQ370" s="321">
        <f t="shared" si="14"/>
        <v>119061.2</v>
      </c>
      <c r="AR370" s="319">
        <f>sum(N171:AC198)</f>
        <v>6343</v>
      </c>
      <c r="AS370" s="319">
        <v>0.0</v>
      </c>
      <c r="AT370" s="312"/>
    </row>
    <row r="371" ht="15.75" customHeight="1">
      <c r="A371" s="318"/>
      <c r="B371" s="312"/>
      <c r="C371" s="312"/>
      <c r="D371" s="312"/>
      <c r="E371" s="312"/>
      <c r="F371" s="312"/>
      <c r="G371" s="312"/>
      <c r="H371" s="312"/>
      <c r="I371" s="312"/>
      <c r="J371" s="312"/>
      <c r="K371" s="312"/>
      <c r="L371" s="312"/>
      <c r="M371" s="312"/>
      <c r="N371" s="312"/>
      <c r="O371" s="312"/>
      <c r="P371" s="312"/>
      <c r="Q371" s="312"/>
      <c r="R371" s="312"/>
      <c r="S371" s="312"/>
      <c r="T371" s="312"/>
      <c r="U371" s="312"/>
      <c r="V371" s="312"/>
      <c r="W371" s="312"/>
      <c r="X371" s="312"/>
      <c r="Y371" s="312"/>
      <c r="Z371" s="312"/>
      <c r="AA371" s="312"/>
      <c r="AB371" s="312"/>
      <c r="AC371" s="312"/>
      <c r="AD371" s="312"/>
      <c r="AE371" s="312"/>
      <c r="AF371" s="312"/>
      <c r="AG371" s="312"/>
      <c r="AH371" s="312"/>
      <c r="AI371" s="312"/>
      <c r="AJ371" s="312"/>
      <c r="AK371" s="312"/>
      <c r="AL371" s="312"/>
      <c r="AM371" s="312"/>
      <c r="AN371" s="312"/>
      <c r="AO371" s="312"/>
      <c r="AP371" s="319">
        <v>8.0</v>
      </c>
      <c r="AQ371" s="321">
        <f t="shared" si="14"/>
        <v>141891</v>
      </c>
      <c r="AR371" s="319">
        <f>sum(N199:AC226)</f>
        <v>7448</v>
      </c>
      <c r="AS371" s="319">
        <v>0.0</v>
      </c>
      <c r="AT371" s="312"/>
    </row>
    <row r="372" ht="15.75" customHeight="1">
      <c r="A372" s="318"/>
      <c r="B372" s="312"/>
      <c r="C372" s="312"/>
      <c r="D372" s="312"/>
      <c r="E372" s="312"/>
      <c r="F372" s="312"/>
      <c r="G372" s="312"/>
      <c r="H372" s="312"/>
      <c r="I372" s="312"/>
      <c r="J372" s="312"/>
      <c r="K372" s="312"/>
      <c r="L372" s="312"/>
      <c r="M372" s="312"/>
      <c r="N372" s="312"/>
      <c r="O372" s="312"/>
      <c r="P372" s="312"/>
      <c r="Q372" s="312"/>
      <c r="R372" s="312"/>
      <c r="S372" s="312"/>
      <c r="T372" s="312"/>
      <c r="U372" s="312"/>
      <c r="V372" s="312"/>
      <c r="W372" s="312"/>
      <c r="X372" s="312"/>
      <c r="Y372" s="312"/>
      <c r="Z372" s="312"/>
      <c r="AA372" s="312"/>
      <c r="AB372" s="312"/>
      <c r="AC372" s="312"/>
      <c r="AD372" s="312"/>
      <c r="AE372" s="312"/>
      <c r="AF372" s="312"/>
      <c r="AG372" s="312"/>
      <c r="AH372" s="312"/>
      <c r="AI372" s="312"/>
      <c r="AJ372" s="312"/>
      <c r="AK372" s="312"/>
      <c r="AL372" s="312"/>
      <c r="AM372" s="312"/>
      <c r="AN372" s="312"/>
      <c r="AO372" s="312"/>
      <c r="AP372" s="319">
        <v>9.0</v>
      </c>
      <c r="AQ372" s="321">
        <f t="shared" si="14"/>
        <v>71867.5</v>
      </c>
      <c r="AR372" s="319">
        <f>sum(N227:AC254)</f>
        <v>3795</v>
      </c>
      <c r="AS372" s="319">
        <v>0.0</v>
      </c>
      <c r="AT372" s="312"/>
    </row>
    <row r="373" ht="15.75" customHeight="1">
      <c r="A373" s="318"/>
      <c r="B373" s="312"/>
      <c r="C373" s="312"/>
      <c r="D373" s="312"/>
      <c r="E373" s="312"/>
      <c r="F373" s="312"/>
      <c r="G373" s="312"/>
      <c r="H373" s="312"/>
      <c r="I373" s="312"/>
      <c r="J373" s="312"/>
      <c r="K373" s="312"/>
      <c r="L373" s="312"/>
      <c r="M373" s="312"/>
      <c r="N373" s="312"/>
      <c r="O373" s="312"/>
      <c r="P373" s="312"/>
      <c r="Q373" s="312"/>
      <c r="R373" s="312"/>
      <c r="S373" s="312"/>
      <c r="T373" s="312"/>
      <c r="U373" s="312"/>
      <c r="V373" s="312"/>
      <c r="W373" s="312"/>
      <c r="X373" s="312"/>
      <c r="Y373" s="312"/>
      <c r="Z373" s="312"/>
      <c r="AA373" s="312"/>
      <c r="AB373" s="312"/>
      <c r="AC373" s="312"/>
      <c r="AD373" s="312"/>
      <c r="AE373" s="312"/>
      <c r="AF373" s="312"/>
      <c r="AG373" s="312"/>
      <c r="AH373" s="312"/>
      <c r="AI373" s="312"/>
      <c r="AJ373" s="312"/>
      <c r="AK373" s="312"/>
      <c r="AL373" s="312"/>
      <c r="AM373" s="312"/>
      <c r="AN373" s="312"/>
      <c r="AO373" s="312"/>
      <c r="AP373" s="319">
        <v>10.0</v>
      </c>
      <c r="AQ373" s="321">
        <f t="shared" si="14"/>
        <v>85919.4</v>
      </c>
      <c r="AR373" s="319">
        <f>sum(N255:AC282)</f>
        <v>4560</v>
      </c>
      <c r="AS373" s="319">
        <v>0.0</v>
      </c>
      <c r="AT373" s="312"/>
    </row>
    <row r="374" ht="15.75" customHeight="1">
      <c r="A374" s="318"/>
      <c r="B374" s="312"/>
      <c r="C374" s="312"/>
      <c r="D374" s="312"/>
      <c r="E374" s="312"/>
      <c r="F374" s="312"/>
      <c r="G374" s="312"/>
      <c r="H374" s="312"/>
      <c r="I374" s="312"/>
      <c r="J374" s="312"/>
      <c r="K374" s="312"/>
      <c r="L374" s="312"/>
      <c r="M374" s="312"/>
      <c r="N374" s="312"/>
      <c r="O374" s="312"/>
      <c r="P374" s="312"/>
      <c r="Q374" s="312"/>
      <c r="R374" s="312"/>
      <c r="S374" s="312"/>
      <c r="T374" s="312"/>
      <c r="U374" s="312"/>
      <c r="V374" s="312"/>
      <c r="W374" s="312"/>
      <c r="X374" s="312"/>
      <c r="Y374" s="312"/>
      <c r="Z374" s="312"/>
      <c r="AA374" s="312"/>
      <c r="AB374" s="312"/>
      <c r="AC374" s="312"/>
      <c r="AD374" s="312"/>
      <c r="AE374" s="312"/>
      <c r="AF374" s="312"/>
      <c r="AG374" s="312"/>
      <c r="AH374" s="312"/>
      <c r="AI374" s="312"/>
      <c r="AJ374" s="312"/>
      <c r="AK374" s="312"/>
      <c r="AL374" s="312"/>
      <c r="AM374" s="312"/>
      <c r="AN374" s="312"/>
      <c r="AO374" s="312"/>
      <c r="AP374" s="319">
        <v>11.0</v>
      </c>
      <c r="AQ374" s="321">
        <f t="shared" si="14"/>
        <v>16218</v>
      </c>
      <c r="AR374" s="319">
        <f>sum(N283:AC310)</f>
        <v>900</v>
      </c>
      <c r="AS374" s="319">
        <v>0.0</v>
      </c>
      <c r="AT374" s="312"/>
    </row>
    <row r="375" ht="15.75" customHeight="1">
      <c r="A375" s="318"/>
      <c r="B375" s="312"/>
      <c r="C375" s="312"/>
      <c r="D375" s="312"/>
      <c r="E375" s="312"/>
      <c r="F375" s="312"/>
      <c r="G375" s="312"/>
      <c r="H375" s="312"/>
      <c r="I375" s="312"/>
      <c r="J375" s="312"/>
      <c r="K375" s="312"/>
      <c r="L375" s="312"/>
      <c r="M375" s="312"/>
      <c r="N375" s="312"/>
      <c r="O375" s="312"/>
      <c r="P375" s="312"/>
      <c r="Q375" s="312"/>
      <c r="R375" s="312"/>
      <c r="S375" s="312"/>
      <c r="T375" s="312"/>
      <c r="U375" s="312"/>
      <c r="V375" s="312"/>
      <c r="W375" s="312"/>
      <c r="X375" s="312"/>
      <c r="Y375" s="312"/>
      <c r="Z375" s="312"/>
      <c r="AA375" s="312"/>
      <c r="AB375" s="312"/>
      <c r="AC375" s="312"/>
      <c r="AD375" s="312"/>
      <c r="AE375" s="312"/>
      <c r="AF375" s="312"/>
      <c r="AG375" s="312"/>
      <c r="AH375" s="312"/>
      <c r="AI375" s="312"/>
      <c r="AJ375" s="312"/>
      <c r="AK375" s="312"/>
      <c r="AL375" s="312"/>
      <c r="AM375" s="312"/>
      <c r="AN375" s="312"/>
      <c r="AO375" s="312"/>
      <c r="AP375" s="319">
        <v>12.0</v>
      </c>
      <c r="AQ375" s="321">
        <f t="shared" si="14"/>
        <v>0</v>
      </c>
      <c r="AR375" s="319">
        <f>sum(N311:AC338)</f>
        <v>0</v>
      </c>
      <c r="AS375" s="319">
        <v>0.0</v>
      </c>
      <c r="AT375" s="312"/>
    </row>
    <row r="376" ht="15.75" customHeight="1">
      <c r="A376" s="318"/>
      <c r="B376" s="312"/>
      <c r="C376" s="312"/>
      <c r="D376" s="312"/>
      <c r="E376" s="312"/>
      <c r="F376" s="312"/>
      <c r="G376" s="312"/>
      <c r="H376" s="312"/>
      <c r="I376" s="312"/>
      <c r="J376" s="312"/>
      <c r="K376" s="312"/>
      <c r="L376" s="312"/>
      <c r="M376" s="312"/>
      <c r="N376" s="312"/>
      <c r="O376" s="312"/>
      <c r="P376" s="312"/>
      <c r="Q376" s="312"/>
      <c r="R376" s="312"/>
      <c r="S376" s="312"/>
      <c r="T376" s="312"/>
      <c r="U376" s="312"/>
      <c r="V376" s="312"/>
      <c r="W376" s="312"/>
      <c r="X376" s="312"/>
      <c r="Y376" s="312"/>
      <c r="Z376" s="312"/>
      <c r="AA376" s="312"/>
      <c r="AB376" s="312"/>
      <c r="AC376" s="312"/>
      <c r="AD376" s="312"/>
      <c r="AE376" s="312"/>
      <c r="AF376" s="312"/>
      <c r="AG376" s="312"/>
      <c r="AH376" s="312"/>
      <c r="AI376" s="312"/>
      <c r="AJ376" s="312"/>
      <c r="AK376" s="312"/>
      <c r="AL376" s="312"/>
      <c r="AM376" s="312"/>
      <c r="AN376" s="312"/>
      <c r="AO376" s="312"/>
      <c r="AP376" s="319">
        <v>13.0</v>
      </c>
      <c r="AQ376" s="321">
        <f t="shared" si="14"/>
        <v>0</v>
      </c>
      <c r="AR376" s="319">
        <f>sum(N339:AC359)</f>
        <v>0</v>
      </c>
      <c r="AS376" s="319">
        <v>0.0</v>
      </c>
      <c r="AT376" s="312"/>
    </row>
    <row r="377" ht="15.75" customHeight="1">
      <c r="A377" s="318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2"/>
      <c r="S377" s="312"/>
      <c r="T377" s="312"/>
      <c r="U377" s="312"/>
      <c r="V377" s="312"/>
      <c r="W377" s="312"/>
      <c r="X377" s="312"/>
      <c r="Y377" s="312"/>
      <c r="Z377" s="312"/>
      <c r="AA377" s="312"/>
      <c r="AB377" s="312"/>
      <c r="AC377" s="312"/>
      <c r="AD377" s="312"/>
      <c r="AE377" s="312"/>
      <c r="AF377" s="312"/>
      <c r="AG377" s="312"/>
      <c r="AH377" s="312"/>
      <c r="AI377" s="312"/>
      <c r="AJ377" s="312"/>
      <c r="AK377" s="312"/>
      <c r="AL377" s="312"/>
      <c r="AM377" s="312"/>
      <c r="AN377" s="312"/>
      <c r="AO377" s="312"/>
      <c r="AP377" s="312"/>
      <c r="AQ377" s="312"/>
      <c r="AR377" s="312"/>
      <c r="AS377" s="312"/>
      <c r="AT377" s="312"/>
    </row>
    <row r="378" ht="15.75" customHeight="1">
      <c r="A378" s="318"/>
      <c r="B378" s="312"/>
      <c r="C378" s="312"/>
      <c r="D378" s="312"/>
      <c r="E378" s="312"/>
      <c r="F378" s="312"/>
      <c r="G378" s="312"/>
      <c r="H378" s="312"/>
      <c r="I378" s="312"/>
      <c r="J378" s="312"/>
      <c r="K378" s="312"/>
      <c r="L378" s="312"/>
      <c r="M378" s="312"/>
      <c r="N378" s="312"/>
      <c r="O378" s="312"/>
      <c r="P378" s="312"/>
      <c r="Q378" s="312"/>
      <c r="R378" s="312"/>
      <c r="S378" s="312"/>
      <c r="T378" s="312"/>
      <c r="U378" s="312"/>
      <c r="V378" s="312"/>
      <c r="W378" s="312"/>
      <c r="X378" s="312"/>
      <c r="Y378" s="312"/>
      <c r="Z378" s="312"/>
      <c r="AA378" s="312"/>
      <c r="AB378" s="312"/>
      <c r="AC378" s="312"/>
      <c r="AD378" s="312"/>
      <c r="AE378" s="312"/>
      <c r="AF378" s="312"/>
      <c r="AG378" s="312"/>
      <c r="AH378" s="312"/>
      <c r="AI378" s="312"/>
      <c r="AJ378" s="312"/>
      <c r="AK378" s="312"/>
      <c r="AL378" s="312"/>
      <c r="AM378" s="312"/>
      <c r="AN378" s="312"/>
      <c r="AO378" s="312"/>
      <c r="AP378" s="312"/>
      <c r="AQ378" s="312"/>
      <c r="AR378" s="312"/>
      <c r="AS378" s="312"/>
      <c r="AT378" s="312"/>
    </row>
    <row r="379" ht="15.75" customHeight="1">
      <c r="A379" s="318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2"/>
      <c r="S379" s="312"/>
      <c r="T379" s="312"/>
      <c r="U379" s="312"/>
      <c r="V379" s="312"/>
      <c r="W379" s="312"/>
      <c r="X379" s="312"/>
      <c r="Y379" s="312"/>
      <c r="Z379" s="312"/>
      <c r="AA379" s="312"/>
      <c r="AB379" s="312"/>
      <c r="AC379" s="312"/>
      <c r="AD379" s="312"/>
      <c r="AE379" s="312"/>
      <c r="AF379" s="312"/>
      <c r="AG379" s="312"/>
      <c r="AH379" s="312"/>
      <c r="AI379" s="312"/>
      <c r="AJ379" s="312"/>
      <c r="AK379" s="312"/>
      <c r="AL379" s="312"/>
      <c r="AM379" s="312"/>
      <c r="AN379" s="312"/>
      <c r="AO379" s="312"/>
      <c r="AP379" s="312"/>
      <c r="AQ379" s="312"/>
      <c r="AR379" s="312"/>
      <c r="AS379" s="312"/>
      <c r="AT379" s="312"/>
    </row>
    <row r="380" ht="15.75" customHeight="1">
      <c r="A380" s="318"/>
      <c r="B380" s="312"/>
      <c r="C380" s="312"/>
      <c r="D380" s="312"/>
      <c r="E380" s="312"/>
      <c r="F380" s="312"/>
      <c r="G380" s="312"/>
      <c r="H380" s="312"/>
      <c r="I380" s="312"/>
      <c r="J380" s="312"/>
      <c r="K380" s="312"/>
      <c r="L380" s="312"/>
      <c r="M380" s="312"/>
      <c r="N380" s="312"/>
      <c r="O380" s="312"/>
      <c r="P380" s="312"/>
      <c r="Q380" s="312"/>
      <c r="R380" s="312"/>
      <c r="S380" s="312"/>
      <c r="T380" s="312"/>
      <c r="U380" s="312"/>
      <c r="V380" s="312"/>
      <c r="W380" s="312"/>
      <c r="X380" s="312"/>
      <c r="Y380" s="312"/>
      <c r="Z380" s="312"/>
      <c r="AA380" s="312"/>
      <c r="AB380" s="312"/>
      <c r="AC380" s="312"/>
      <c r="AD380" s="312"/>
      <c r="AE380" s="312"/>
      <c r="AF380" s="312"/>
      <c r="AG380" s="312"/>
      <c r="AH380" s="312"/>
      <c r="AI380" s="312"/>
      <c r="AJ380" s="312"/>
      <c r="AK380" s="312"/>
      <c r="AL380" s="312"/>
      <c r="AM380" s="312"/>
      <c r="AN380" s="312"/>
      <c r="AO380" s="312"/>
      <c r="AP380" s="312"/>
      <c r="AQ380" s="312"/>
      <c r="AR380" s="312"/>
      <c r="AS380" s="312"/>
      <c r="AT380" s="312"/>
    </row>
    <row r="381" ht="15.75" customHeight="1">
      <c r="A381" s="318"/>
      <c r="B381" s="312"/>
      <c r="C381" s="312"/>
      <c r="D381" s="312"/>
      <c r="E381" s="312"/>
      <c r="F381" s="312"/>
      <c r="G381" s="312"/>
      <c r="H381" s="312"/>
      <c r="I381" s="312"/>
      <c r="J381" s="312"/>
      <c r="K381" s="312"/>
      <c r="L381" s="312"/>
      <c r="M381" s="312"/>
      <c r="N381" s="312"/>
      <c r="O381" s="312"/>
      <c r="P381" s="312"/>
      <c r="Q381" s="312"/>
      <c r="R381" s="312"/>
      <c r="S381" s="312"/>
      <c r="T381" s="312"/>
      <c r="U381" s="312"/>
      <c r="V381" s="312"/>
      <c r="W381" s="312"/>
      <c r="X381" s="312"/>
      <c r="Y381" s="312"/>
      <c r="Z381" s="312"/>
      <c r="AA381" s="312"/>
      <c r="AB381" s="312"/>
      <c r="AC381" s="312"/>
      <c r="AD381" s="312"/>
      <c r="AE381" s="312"/>
      <c r="AF381" s="312"/>
      <c r="AG381" s="312"/>
      <c r="AH381" s="312"/>
      <c r="AI381" s="312"/>
      <c r="AJ381" s="312"/>
      <c r="AK381" s="312"/>
      <c r="AL381" s="312"/>
      <c r="AM381" s="312"/>
      <c r="AN381" s="312"/>
      <c r="AO381" s="312"/>
      <c r="AP381" s="312"/>
      <c r="AQ381" s="312"/>
      <c r="AR381" s="312"/>
      <c r="AS381" s="312"/>
      <c r="AT381" s="312"/>
    </row>
    <row r="382" ht="15.75" customHeight="1">
      <c r="A382" s="318"/>
      <c r="B382" s="312"/>
      <c r="C382" s="312"/>
      <c r="D382" s="312"/>
      <c r="E382" s="312"/>
      <c r="F382" s="312"/>
      <c r="G382" s="312"/>
      <c r="H382" s="312"/>
      <c r="I382" s="312"/>
      <c r="J382" s="312"/>
      <c r="K382" s="312"/>
      <c r="L382" s="312"/>
      <c r="M382" s="312"/>
      <c r="N382" s="312"/>
      <c r="O382" s="312"/>
      <c r="P382" s="312"/>
      <c r="Q382" s="312"/>
      <c r="R382" s="312"/>
      <c r="S382" s="312"/>
      <c r="T382" s="312"/>
      <c r="U382" s="312"/>
      <c r="V382" s="312"/>
      <c r="W382" s="312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  <c r="AJ382" s="312"/>
      <c r="AK382" s="312"/>
      <c r="AL382" s="312"/>
      <c r="AM382" s="312"/>
      <c r="AN382" s="312"/>
      <c r="AO382" s="312"/>
      <c r="AP382" s="312"/>
      <c r="AQ382" s="312"/>
      <c r="AR382" s="312"/>
      <c r="AS382" s="312"/>
      <c r="AT382" s="312"/>
    </row>
    <row r="383" ht="15.75" customHeight="1">
      <c r="A383" s="318"/>
      <c r="B383" s="312"/>
      <c r="C383" s="312"/>
      <c r="D383" s="312"/>
      <c r="E383" s="312"/>
      <c r="F383" s="312"/>
      <c r="G383" s="312"/>
      <c r="H383" s="312"/>
      <c r="I383" s="312"/>
      <c r="J383" s="312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2"/>
      <c r="X383" s="312"/>
      <c r="Y383" s="312"/>
      <c r="Z383" s="312"/>
      <c r="AA383" s="312"/>
      <c r="AB383" s="312"/>
      <c r="AC383" s="312"/>
      <c r="AD383" s="312"/>
      <c r="AE383" s="312"/>
      <c r="AF383" s="312"/>
      <c r="AG383" s="312"/>
      <c r="AH383" s="312"/>
      <c r="AI383" s="312"/>
      <c r="AJ383" s="312"/>
      <c r="AK383" s="312"/>
      <c r="AL383" s="312"/>
      <c r="AM383" s="312"/>
      <c r="AN383" s="312"/>
      <c r="AO383" s="312"/>
      <c r="AP383" s="312"/>
      <c r="AQ383" s="312"/>
      <c r="AR383" s="312"/>
      <c r="AS383" s="312"/>
      <c r="AT383" s="312"/>
    </row>
    <row r="384" ht="15.75" customHeight="1">
      <c r="A384" s="318"/>
      <c r="B384" s="312"/>
      <c r="C384" s="312"/>
      <c r="D384" s="312"/>
      <c r="E384" s="312"/>
      <c r="F384" s="312"/>
      <c r="G384" s="312"/>
      <c r="H384" s="312"/>
      <c r="I384" s="312"/>
      <c r="J384" s="312"/>
      <c r="K384" s="312"/>
      <c r="L384" s="312"/>
      <c r="M384" s="312"/>
      <c r="N384" s="312"/>
      <c r="O384" s="312"/>
      <c r="P384" s="312"/>
      <c r="Q384" s="312"/>
      <c r="R384" s="312"/>
      <c r="S384" s="312"/>
      <c r="T384" s="312"/>
      <c r="U384" s="312"/>
      <c r="V384" s="312"/>
      <c r="W384" s="312"/>
      <c r="X384" s="312"/>
      <c r="Y384" s="312"/>
      <c r="Z384" s="312"/>
      <c r="AA384" s="312"/>
      <c r="AB384" s="312"/>
      <c r="AC384" s="312"/>
      <c r="AD384" s="312"/>
      <c r="AE384" s="312"/>
      <c r="AF384" s="312"/>
      <c r="AG384" s="312"/>
      <c r="AH384" s="312"/>
      <c r="AI384" s="312"/>
      <c r="AJ384" s="312"/>
      <c r="AK384" s="312"/>
      <c r="AL384" s="312"/>
      <c r="AM384" s="312"/>
      <c r="AN384" s="312"/>
      <c r="AO384" s="312"/>
      <c r="AP384" s="312"/>
      <c r="AQ384" s="312"/>
      <c r="AR384" s="312"/>
      <c r="AS384" s="312"/>
      <c r="AT384" s="312"/>
    </row>
    <row r="385" ht="15.75" customHeight="1">
      <c r="A385" s="318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2"/>
      <c r="S385" s="312"/>
      <c r="T385" s="312"/>
      <c r="U385" s="312"/>
      <c r="V385" s="312"/>
      <c r="W385" s="312"/>
      <c r="X385" s="312"/>
      <c r="Y385" s="312"/>
      <c r="Z385" s="312"/>
      <c r="AA385" s="312"/>
      <c r="AB385" s="312"/>
      <c r="AC385" s="312"/>
      <c r="AD385" s="312"/>
      <c r="AE385" s="312"/>
      <c r="AF385" s="312"/>
      <c r="AG385" s="312"/>
      <c r="AH385" s="312"/>
      <c r="AI385" s="312"/>
      <c r="AJ385" s="312"/>
      <c r="AK385" s="312"/>
      <c r="AL385" s="312"/>
      <c r="AM385" s="312"/>
      <c r="AN385" s="312"/>
      <c r="AO385" s="312"/>
      <c r="AP385" s="312"/>
      <c r="AQ385" s="312"/>
      <c r="AR385" s="312"/>
      <c r="AS385" s="312"/>
      <c r="AT385" s="312"/>
    </row>
    <row r="386" ht="15.75" customHeight="1">
      <c r="A386" s="318"/>
      <c r="B386" s="312"/>
      <c r="C386" s="312"/>
      <c r="D386" s="312"/>
      <c r="E386" s="312"/>
      <c r="F386" s="312"/>
      <c r="G386" s="312"/>
      <c r="H386" s="312"/>
      <c r="I386" s="312"/>
      <c r="J386" s="312"/>
      <c r="K386" s="312"/>
      <c r="L386" s="312"/>
      <c r="M386" s="312"/>
      <c r="N386" s="312"/>
      <c r="O386" s="312"/>
      <c r="P386" s="312"/>
      <c r="Q386" s="312"/>
      <c r="R386" s="312"/>
      <c r="S386" s="312"/>
      <c r="T386" s="312"/>
      <c r="U386" s="312"/>
      <c r="V386" s="312"/>
      <c r="W386" s="312"/>
      <c r="X386" s="312"/>
      <c r="Y386" s="312"/>
      <c r="Z386" s="312"/>
      <c r="AA386" s="312"/>
      <c r="AB386" s="312"/>
      <c r="AC386" s="312"/>
      <c r="AD386" s="312"/>
      <c r="AE386" s="312"/>
      <c r="AF386" s="312"/>
      <c r="AG386" s="312"/>
      <c r="AH386" s="312"/>
      <c r="AI386" s="312"/>
      <c r="AJ386" s="312"/>
      <c r="AK386" s="312"/>
      <c r="AL386" s="312"/>
      <c r="AM386" s="312"/>
      <c r="AN386" s="312"/>
      <c r="AO386" s="312"/>
      <c r="AP386" s="312"/>
      <c r="AQ386" s="312"/>
      <c r="AR386" s="312"/>
      <c r="AS386" s="312"/>
      <c r="AT386" s="312"/>
    </row>
    <row r="387" ht="15.75" customHeight="1">
      <c r="A387" s="318"/>
      <c r="B387" s="312"/>
      <c r="C387" s="312"/>
      <c r="D387" s="312"/>
      <c r="E387" s="312"/>
      <c r="F387" s="312"/>
      <c r="G387" s="312"/>
      <c r="H387" s="312"/>
      <c r="I387" s="312"/>
      <c r="J387" s="312"/>
      <c r="K387" s="312"/>
      <c r="L387" s="312"/>
      <c r="M387" s="312"/>
      <c r="N387" s="312"/>
      <c r="O387" s="312"/>
      <c r="P387" s="312"/>
      <c r="Q387" s="312"/>
      <c r="R387" s="312"/>
      <c r="S387" s="312"/>
      <c r="T387" s="312"/>
      <c r="U387" s="312"/>
      <c r="V387" s="312"/>
      <c r="W387" s="312"/>
      <c r="X387" s="312"/>
      <c r="Y387" s="312"/>
      <c r="Z387" s="312"/>
      <c r="AA387" s="312"/>
      <c r="AB387" s="312"/>
      <c r="AC387" s="312"/>
      <c r="AD387" s="312"/>
      <c r="AE387" s="312"/>
      <c r="AF387" s="312"/>
      <c r="AG387" s="312"/>
      <c r="AH387" s="312"/>
      <c r="AI387" s="312"/>
      <c r="AJ387" s="312"/>
      <c r="AK387" s="312"/>
      <c r="AL387" s="312"/>
      <c r="AM387" s="312"/>
      <c r="AN387" s="312"/>
      <c r="AO387" s="312"/>
      <c r="AP387" s="312"/>
      <c r="AQ387" s="312"/>
      <c r="AR387" s="312"/>
      <c r="AS387" s="312"/>
      <c r="AT387" s="312"/>
    </row>
    <row r="388" ht="15.75" customHeight="1">
      <c r="A388" s="318"/>
      <c r="B388" s="312"/>
      <c r="C388" s="312"/>
      <c r="D388" s="312"/>
      <c r="E388" s="312"/>
      <c r="F388" s="312"/>
      <c r="G388" s="312"/>
      <c r="H388" s="312"/>
      <c r="I388" s="312"/>
      <c r="J388" s="312"/>
      <c r="K388" s="312"/>
      <c r="L388" s="312"/>
      <c r="M388" s="312"/>
      <c r="N388" s="312"/>
      <c r="O388" s="312"/>
      <c r="P388" s="312"/>
      <c r="Q388" s="312"/>
      <c r="R388" s="312"/>
      <c r="S388" s="312"/>
      <c r="T388" s="312"/>
      <c r="U388" s="312"/>
      <c r="V388" s="312"/>
      <c r="W388" s="312"/>
      <c r="X388" s="312"/>
      <c r="Y388" s="312"/>
      <c r="Z388" s="312"/>
      <c r="AA388" s="312"/>
      <c r="AB388" s="312"/>
      <c r="AC388" s="312"/>
      <c r="AD388" s="312"/>
      <c r="AE388" s="312"/>
      <c r="AF388" s="312"/>
      <c r="AG388" s="312"/>
      <c r="AH388" s="312"/>
      <c r="AI388" s="312"/>
      <c r="AJ388" s="312"/>
      <c r="AK388" s="312"/>
      <c r="AL388" s="312"/>
      <c r="AM388" s="312"/>
      <c r="AN388" s="312"/>
      <c r="AO388" s="312"/>
      <c r="AP388" s="312"/>
      <c r="AQ388" s="312"/>
      <c r="AR388" s="312"/>
      <c r="AS388" s="312"/>
      <c r="AT388" s="312"/>
    </row>
    <row r="389" ht="15.75" customHeight="1">
      <c r="A389" s="318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2"/>
      <c r="S389" s="312"/>
      <c r="T389" s="312"/>
      <c r="U389" s="312"/>
      <c r="V389" s="312"/>
      <c r="W389" s="312"/>
      <c r="X389" s="312"/>
      <c r="Y389" s="312"/>
      <c r="Z389" s="312"/>
      <c r="AA389" s="312"/>
      <c r="AB389" s="312"/>
      <c r="AC389" s="312"/>
      <c r="AD389" s="312"/>
      <c r="AE389" s="312"/>
      <c r="AF389" s="312"/>
      <c r="AG389" s="312"/>
      <c r="AH389" s="312"/>
      <c r="AI389" s="312"/>
      <c r="AJ389" s="312"/>
      <c r="AK389" s="312"/>
      <c r="AL389" s="312"/>
      <c r="AM389" s="312"/>
      <c r="AN389" s="312"/>
      <c r="AO389" s="312"/>
      <c r="AP389" s="312"/>
      <c r="AQ389" s="312"/>
      <c r="AR389" s="312"/>
      <c r="AS389" s="312"/>
      <c r="AT389" s="312"/>
    </row>
    <row r="390" ht="15.75" customHeight="1">
      <c r="A390" s="318"/>
      <c r="B390" s="312"/>
      <c r="C390" s="312"/>
      <c r="D390" s="312"/>
      <c r="E390" s="312"/>
      <c r="F390" s="312"/>
      <c r="G390" s="312"/>
      <c r="H390" s="312"/>
      <c r="I390" s="312"/>
      <c r="J390" s="312"/>
      <c r="K390" s="312"/>
      <c r="L390" s="312"/>
      <c r="M390" s="312"/>
      <c r="N390" s="312"/>
      <c r="O390" s="312"/>
      <c r="P390" s="312"/>
      <c r="Q390" s="312"/>
      <c r="R390" s="312"/>
      <c r="S390" s="312"/>
      <c r="T390" s="312"/>
      <c r="U390" s="312"/>
      <c r="V390" s="312"/>
      <c r="W390" s="312"/>
      <c r="X390" s="312"/>
      <c r="Y390" s="312"/>
      <c r="Z390" s="312"/>
      <c r="AA390" s="312"/>
      <c r="AB390" s="312"/>
      <c r="AC390" s="312"/>
      <c r="AD390" s="312"/>
      <c r="AE390" s="312"/>
      <c r="AF390" s="312"/>
      <c r="AG390" s="312"/>
      <c r="AH390" s="312"/>
      <c r="AI390" s="312"/>
      <c r="AJ390" s="312"/>
      <c r="AK390" s="312"/>
      <c r="AL390" s="312"/>
      <c r="AM390" s="312"/>
      <c r="AN390" s="312"/>
      <c r="AO390" s="312"/>
      <c r="AP390" s="312"/>
      <c r="AQ390" s="312"/>
      <c r="AR390" s="312"/>
      <c r="AS390" s="312"/>
      <c r="AT390" s="312"/>
    </row>
    <row r="391" ht="15.75" customHeight="1">
      <c r="A391" s="318"/>
      <c r="B391" s="312"/>
      <c r="C391" s="312"/>
      <c r="D391" s="312"/>
      <c r="E391" s="312"/>
      <c r="F391" s="312"/>
      <c r="G391" s="312"/>
      <c r="H391" s="312"/>
      <c r="I391" s="312"/>
      <c r="J391" s="312"/>
      <c r="K391" s="312"/>
      <c r="L391" s="312"/>
      <c r="M391" s="312"/>
      <c r="N391" s="312"/>
      <c r="O391" s="312"/>
      <c r="P391" s="312"/>
      <c r="Q391" s="312"/>
      <c r="R391" s="312"/>
      <c r="S391" s="312"/>
      <c r="T391" s="312"/>
      <c r="U391" s="312"/>
      <c r="V391" s="312"/>
      <c r="W391" s="312"/>
      <c r="X391" s="312"/>
      <c r="Y391" s="312"/>
      <c r="Z391" s="312"/>
      <c r="AA391" s="312"/>
      <c r="AB391" s="312"/>
      <c r="AC391" s="312"/>
      <c r="AD391" s="312"/>
      <c r="AE391" s="312"/>
      <c r="AF391" s="312"/>
      <c r="AG391" s="312"/>
      <c r="AH391" s="312"/>
      <c r="AI391" s="312"/>
      <c r="AJ391" s="312"/>
      <c r="AK391" s="312"/>
      <c r="AL391" s="312"/>
      <c r="AM391" s="312"/>
      <c r="AN391" s="312"/>
      <c r="AO391" s="312"/>
      <c r="AP391" s="312"/>
      <c r="AQ391" s="312"/>
      <c r="AR391" s="312"/>
      <c r="AS391" s="312"/>
      <c r="AT391" s="312"/>
    </row>
    <row r="392" ht="15.75" customHeight="1">
      <c r="A392" s="318"/>
      <c r="B392" s="312"/>
      <c r="C392" s="312"/>
      <c r="D392" s="312"/>
      <c r="E392" s="312"/>
      <c r="F392" s="312"/>
      <c r="G392" s="312"/>
      <c r="H392" s="312"/>
      <c r="I392" s="312"/>
      <c r="J392" s="312"/>
      <c r="K392" s="312"/>
      <c r="L392" s="312"/>
      <c r="M392" s="312"/>
      <c r="N392" s="312"/>
      <c r="O392" s="312"/>
      <c r="P392" s="312"/>
      <c r="Q392" s="312"/>
      <c r="R392" s="312"/>
      <c r="S392" s="312"/>
      <c r="T392" s="312"/>
      <c r="U392" s="312"/>
      <c r="V392" s="312"/>
      <c r="W392" s="312"/>
      <c r="X392" s="312"/>
      <c r="Y392" s="312"/>
      <c r="Z392" s="312"/>
      <c r="AA392" s="312"/>
      <c r="AB392" s="312"/>
      <c r="AC392" s="312"/>
      <c r="AD392" s="312"/>
      <c r="AE392" s="312"/>
      <c r="AF392" s="312"/>
      <c r="AG392" s="312"/>
      <c r="AH392" s="312"/>
      <c r="AI392" s="312"/>
      <c r="AJ392" s="312"/>
      <c r="AK392" s="312"/>
      <c r="AL392" s="312"/>
      <c r="AM392" s="312"/>
      <c r="AN392" s="312"/>
      <c r="AO392" s="312"/>
      <c r="AP392" s="312"/>
      <c r="AQ392" s="312"/>
      <c r="AR392" s="312"/>
      <c r="AS392" s="312"/>
      <c r="AT392" s="312"/>
    </row>
    <row r="393" ht="15.75" customHeight="1">
      <c r="A393" s="318"/>
      <c r="B393" s="312"/>
      <c r="C393" s="312"/>
      <c r="D393" s="312"/>
      <c r="E393" s="312"/>
      <c r="F393" s="312"/>
      <c r="G393" s="312"/>
      <c r="H393" s="312"/>
      <c r="I393" s="312"/>
      <c r="J393" s="312"/>
      <c r="K393" s="312"/>
      <c r="L393" s="312"/>
      <c r="M393" s="312"/>
      <c r="N393" s="312"/>
      <c r="O393" s="312"/>
      <c r="P393" s="312"/>
      <c r="Q393" s="312"/>
      <c r="R393" s="312"/>
      <c r="S393" s="312"/>
      <c r="T393" s="312"/>
      <c r="U393" s="312"/>
      <c r="V393" s="312"/>
      <c r="W393" s="312"/>
      <c r="X393" s="312"/>
      <c r="Y393" s="312"/>
      <c r="Z393" s="312"/>
      <c r="AA393" s="312"/>
      <c r="AB393" s="312"/>
      <c r="AC393" s="312"/>
      <c r="AD393" s="312"/>
      <c r="AE393" s="312"/>
      <c r="AF393" s="312"/>
      <c r="AG393" s="312"/>
      <c r="AH393" s="312"/>
      <c r="AI393" s="312"/>
      <c r="AJ393" s="312"/>
      <c r="AK393" s="312"/>
      <c r="AL393" s="312"/>
      <c r="AM393" s="312"/>
      <c r="AN393" s="312"/>
      <c r="AO393" s="312"/>
      <c r="AP393" s="312"/>
      <c r="AQ393" s="312"/>
      <c r="AR393" s="312"/>
      <c r="AS393" s="312"/>
      <c r="AT393" s="312"/>
    </row>
    <row r="394" ht="15.75" customHeight="1">
      <c r="A394" s="318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312"/>
      <c r="AH394" s="312"/>
      <c r="AI394" s="312"/>
      <c r="AJ394" s="312"/>
      <c r="AK394" s="312"/>
      <c r="AL394" s="312"/>
      <c r="AM394" s="312"/>
      <c r="AN394" s="312"/>
      <c r="AO394" s="312"/>
      <c r="AP394" s="312"/>
      <c r="AQ394" s="312"/>
      <c r="AR394" s="312"/>
      <c r="AS394" s="312"/>
      <c r="AT394" s="312"/>
    </row>
    <row r="395" ht="15.75" customHeight="1">
      <c r="A395" s="318"/>
      <c r="B395" s="312"/>
      <c r="C395" s="312"/>
      <c r="D395" s="312"/>
      <c r="E395" s="312"/>
      <c r="F395" s="312"/>
      <c r="G395" s="312"/>
      <c r="H395" s="312"/>
      <c r="I395" s="312"/>
      <c r="J395" s="312"/>
      <c r="K395" s="312"/>
      <c r="L395" s="312"/>
      <c r="M395" s="312"/>
      <c r="N395" s="312"/>
      <c r="O395" s="312"/>
      <c r="P395" s="312"/>
      <c r="Q395" s="312"/>
      <c r="R395" s="312"/>
      <c r="S395" s="312"/>
      <c r="T395" s="312"/>
      <c r="U395" s="312"/>
      <c r="V395" s="312"/>
      <c r="W395" s="312"/>
      <c r="X395" s="312"/>
      <c r="Y395" s="312"/>
      <c r="Z395" s="312"/>
      <c r="AA395" s="312"/>
      <c r="AB395" s="312"/>
      <c r="AC395" s="312"/>
      <c r="AD395" s="312"/>
      <c r="AE395" s="312"/>
      <c r="AF395" s="312"/>
      <c r="AG395" s="312"/>
      <c r="AH395" s="312"/>
      <c r="AI395" s="312"/>
      <c r="AJ395" s="312"/>
      <c r="AK395" s="312"/>
      <c r="AL395" s="312"/>
      <c r="AM395" s="312"/>
      <c r="AN395" s="312"/>
      <c r="AO395" s="312"/>
      <c r="AP395" s="312"/>
      <c r="AQ395" s="312"/>
      <c r="AR395" s="312"/>
      <c r="AS395" s="312"/>
      <c r="AT395" s="312"/>
    </row>
    <row r="396" ht="15.75" customHeight="1">
      <c r="A396" s="318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2"/>
      <c r="S396" s="312"/>
      <c r="T396" s="312"/>
      <c r="U396" s="312"/>
      <c r="V396" s="312"/>
      <c r="W396" s="312"/>
      <c r="X396" s="312"/>
      <c r="Y396" s="312"/>
      <c r="Z396" s="312"/>
      <c r="AA396" s="312"/>
      <c r="AB396" s="312"/>
      <c r="AC396" s="312"/>
      <c r="AD396" s="312"/>
      <c r="AE396" s="312"/>
      <c r="AF396" s="312"/>
      <c r="AG396" s="312"/>
      <c r="AH396" s="312"/>
      <c r="AI396" s="312"/>
      <c r="AJ396" s="312"/>
      <c r="AK396" s="312"/>
      <c r="AL396" s="312"/>
      <c r="AM396" s="312"/>
      <c r="AN396" s="312"/>
      <c r="AO396" s="312"/>
      <c r="AP396" s="312"/>
      <c r="AQ396" s="312"/>
      <c r="AR396" s="312"/>
      <c r="AS396" s="312"/>
      <c r="AT396" s="312"/>
    </row>
    <row r="397" ht="15.75" customHeight="1">
      <c r="A397" s="318"/>
      <c r="B397" s="312"/>
      <c r="C397" s="312"/>
      <c r="D397" s="312"/>
      <c r="E397" s="312"/>
      <c r="F397" s="312"/>
      <c r="G397" s="312"/>
      <c r="H397" s="312"/>
      <c r="I397" s="312"/>
      <c r="J397" s="312"/>
      <c r="K397" s="312"/>
      <c r="L397" s="312"/>
      <c r="M397" s="312"/>
      <c r="N397" s="312"/>
      <c r="O397" s="312"/>
      <c r="P397" s="312"/>
      <c r="Q397" s="312"/>
      <c r="R397" s="312"/>
      <c r="S397" s="312"/>
      <c r="T397" s="312"/>
      <c r="U397" s="312"/>
      <c r="V397" s="312"/>
      <c r="W397" s="312"/>
      <c r="X397" s="312"/>
      <c r="Y397" s="312"/>
      <c r="Z397" s="312"/>
      <c r="AA397" s="312"/>
      <c r="AB397" s="312"/>
      <c r="AC397" s="312"/>
      <c r="AD397" s="312"/>
      <c r="AE397" s="312"/>
      <c r="AF397" s="312"/>
      <c r="AG397" s="312"/>
      <c r="AH397" s="312"/>
      <c r="AI397" s="312"/>
      <c r="AJ397" s="312"/>
      <c r="AK397" s="312"/>
      <c r="AL397" s="312"/>
      <c r="AM397" s="312"/>
      <c r="AN397" s="312"/>
      <c r="AO397" s="312"/>
      <c r="AP397" s="312"/>
      <c r="AQ397" s="312"/>
      <c r="AR397" s="312"/>
      <c r="AS397" s="312"/>
      <c r="AT397" s="312"/>
    </row>
    <row r="398" ht="15.75" customHeight="1">
      <c r="A398" s="318"/>
      <c r="B398" s="312"/>
      <c r="C398" s="312"/>
      <c r="D398" s="312"/>
      <c r="E398" s="312"/>
      <c r="F398" s="312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2"/>
      <c r="S398" s="312"/>
      <c r="T398" s="312"/>
      <c r="U398" s="312"/>
      <c r="V398" s="312"/>
      <c r="W398" s="312"/>
      <c r="X398" s="312"/>
      <c r="Y398" s="312"/>
      <c r="Z398" s="312"/>
      <c r="AA398" s="312"/>
      <c r="AB398" s="312"/>
      <c r="AC398" s="312"/>
      <c r="AD398" s="312"/>
      <c r="AE398" s="312"/>
      <c r="AF398" s="312"/>
      <c r="AG398" s="312"/>
      <c r="AH398" s="312"/>
      <c r="AI398" s="312"/>
      <c r="AJ398" s="312"/>
      <c r="AK398" s="312"/>
      <c r="AL398" s="312"/>
      <c r="AM398" s="312"/>
      <c r="AN398" s="312"/>
      <c r="AO398" s="312"/>
      <c r="AP398" s="312"/>
      <c r="AQ398" s="312"/>
      <c r="AR398" s="312"/>
      <c r="AS398" s="312"/>
      <c r="AT398" s="312"/>
    </row>
    <row r="399" ht="15.75" customHeight="1">
      <c r="A399" s="318"/>
      <c r="B399" s="312"/>
      <c r="C399" s="312"/>
      <c r="D399" s="312"/>
      <c r="E399" s="312"/>
      <c r="F399" s="312"/>
      <c r="G399" s="312"/>
      <c r="H399" s="312"/>
      <c r="I399" s="312"/>
      <c r="J399" s="312"/>
      <c r="K399" s="312"/>
      <c r="L399" s="312"/>
      <c r="M399" s="312"/>
      <c r="N399" s="312"/>
      <c r="O399" s="312"/>
      <c r="P399" s="312"/>
      <c r="Q399" s="312"/>
      <c r="R399" s="312"/>
      <c r="S399" s="312"/>
      <c r="T399" s="312"/>
      <c r="U399" s="312"/>
      <c r="V399" s="312"/>
      <c r="W399" s="312"/>
      <c r="X399" s="312"/>
      <c r="Y399" s="312"/>
      <c r="Z399" s="312"/>
      <c r="AA399" s="312"/>
      <c r="AB399" s="312"/>
      <c r="AC399" s="312"/>
      <c r="AD399" s="312"/>
      <c r="AE399" s="312"/>
      <c r="AF399" s="312"/>
      <c r="AG399" s="312"/>
      <c r="AH399" s="312"/>
      <c r="AI399" s="312"/>
      <c r="AJ399" s="312"/>
      <c r="AK399" s="312"/>
      <c r="AL399" s="312"/>
      <c r="AM399" s="312"/>
      <c r="AN399" s="312"/>
      <c r="AO399" s="312"/>
      <c r="AP399" s="312"/>
      <c r="AQ399" s="312"/>
      <c r="AR399" s="312"/>
      <c r="AS399" s="312"/>
      <c r="AT399" s="312"/>
    </row>
    <row r="400" ht="15.75" customHeight="1">
      <c r="A400" s="318"/>
      <c r="B400" s="312"/>
      <c r="C400" s="312"/>
      <c r="D400" s="312"/>
      <c r="E400" s="312"/>
      <c r="F400" s="312"/>
      <c r="G400" s="312"/>
      <c r="H400" s="312"/>
      <c r="I400" s="312"/>
      <c r="J400" s="312"/>
      <c r="K400" s="312"/>
      <c r="L400" s="312"/>
      <c r="M400" s="312"/>
      <c r="N400" s="312"/>
      <c r="O400" s="312"/>
      <c r="P400" s="312"/>
      <c r="Q400" s="312"/>
      <c r="R400" s="312"/>
      <c r="S400" s="312"/>
      <c r="T400" s="312"/>
      <c r="U400" s="312"/>
      <c r="V400" s="312"/>
      <c r="W400" s="312"/>
      <c r="X400" s="312"/>
      <c r="Y400" s="312"/>
      <c r="Z400" s="312"/>
      <c r="AA400" s="312"/>
      <c r="AB400" s="312"/>
      <c r="AC400" s="312"/>
      <c r="AD400" s="312"/>
      <c r="AE400" s="312"/>
      <c r="AF400" s="312"/>
      <c r="AG400" s="312"/>
      <c r="AH400" s="312"/>
      <c r="AI400" s="312"/>
      <c r="AJ400" s="312"/>
      <c r="AK400" s="312"/>
      <c r="AL400" s="312"/>
      <c r="AM400" s="312"/>
      <c r="AN400" s="312"/>
      <c r="AO400" s="312"/>
      <c r="AP400" s="312"/>
      <c r="AQ400" s="312"/>
      <c r="AR400" s="312"/>
      <c r="AS400" s="312"/>
      <c r="AT400" s="312"/>
    </row>
    <row r="401" ht="15.75" customHeight="1">
      <c r="A401" s="318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2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312"/>
      <c r="AH401" s="312"/>
      <c r="AI401" s="312"/>
      <c r="AJ401" s="312"/>
      <c r="AK401" s="312"/>
      <c r="AL401" s="312"/>
      <c r="AM401" s="312"/>
      <c r="AN401" s="312"/>
      <c r="AO401" s="312"/>
      <c r="AP401" s="312"/>
      <c r="AQ401" s="312"/>
      <c r="AR401" s="312"/>
      <c r="AS401" s="312"/>
      <c r="AT401" s="312"/>
    </row>
    <row r="402" ht="15.75" customHeight="1">
      <c r="A402" s="318"/>
      <c r="B402" s="312"/>
      <c r="C402" s="312"/>
      <c r="D402" s="312"/>
      <c r="E402" s="312"/>
      <c r="F402" s="312"/>
      <c r="G402" s="312"/>
      <c r="H402" s="312"/>
      <c r="I402" s="312"/>
      <c r="J402" s="312"/>
      <c r="K402" s="312"/>
      <c r="L402" s="312"/>
      <c r="M402" s="312"/>
      <c r="N402" s="312"/>
      <c r="O402" s="312"/>
      <c r="P402" s="312"/>
      <c r="Q402" s="312"/>
      <c r="R402" s="312"/>
      <c r="S402" s="312"/>
      <c r="T402" s="312"/>
      <c r="U402" s="312"/>
      <c r="V402" s="312"/>
      <c r="W402" s="312"/>
      <c r="X402" s="312"/>
      <c r="Y402" s="312"/>
      <c r="Z402" s="312"/>
      <c r="AA402" s="312"/>
      <c r="AB402" s="312"/>
      <c r="AC402" s="312"/>
      <c r="AD402" s="312"/>
      <c r="AE402" s="312"/>
      <c r="AF402" s="312"/>
      <c r="AG402" s="312"/>
      <c r="AH402" s="312"/>
      <c r="AI402" s="312"/>
      <c r="AJ402" s="312"/>
      <c r="AK402" s="312"/>
      <c r="AL402" s="312"/>
      <c r="AM402" s="312"/>
      <c r="AN402" s="312"/>
      <c r="AO402" s="312"/>
      <c r="AP402" s="312"/>
      <c r="AQ402" s="312"/>
      <c r="AR402" s="312"/>
      <c r="AS402" s="312"/>
      <c r="AT402" s="312"/>
    </row>
    <row r="403" ht="15.75" customHeight="1">
      <c r="A403" s="318"/>
      <c r="B403" s="312"/>
      <c r="C403" s="312"/>
      <c r="D403" s="312"/>
      <c r="E403" s="312"/>
      <c r="F403" s="312"/>
      <c r="G403" s="312"/>
      <c r="H403" s="312"/>
      <c r="I403" s="312"/>
      <c r="J403" s="312"/>
      <c r="K403" s="312"/>
      <c r="L403" s="312"/>
      <c r="M403" s="312"/>
      <c r="N403" s="312"/>
      <c r="O403" s="312"/>
      <c r="P403" s="312"/>
      <c r="Q403" s="312"/>
      <c r="R403" s="312"/>
      <c r="S403" s="312"/>
      <c r="T403" s="312"/>
      <c r="U403" s="312"/>
      <c r="V403" s="312"/>
      <c r="W403" s="312"/>
      <c r="X403" s="312"/>
      <c r="Y403" s="312"/>
      <c r="Z403" s="312"/>
      <c r="AA403" s="312"/>
      <c r="AB403" s="312"/>
      <c r="AC403" s="312"/>
      <c r="AD403" s="312"/>
      <c r="AE403" s="312"/>
      <c r="AF403" s="312"/>
      <c r="AG403" s="312"/>
      <c r="AH403" s="312"/>
      <c r="AI403" s="312"/>
      <c r="AJ403" s="312"/>
      <c r="AK403" s="312"/>
      <c r="AL403" s="312"/>
      <c r="AM403" s="312"/>
      <c r="AN403" s="312"/>
      <c r="AO403" s="312"/>
      <c r="AP403" s="312"/>
      <c r="AQ403" s="312"/>
      <c r="AR403" s="312"/>
      <c r="AS403" s="312"/>
      <c r="AT403" s="312"/>
    </row>
    <row r="404" ht="15.75" customHeight="1">
      <c r="A404" s="318"/>
      <c r="B404" s="312"/>
      <c r="C404" s="312"/>
      <c r="D404" s="312"/>
      <c r="E404" s="312"/>
      <c r="F404" s="312"/>
      <c r="G404" s="312"/>
      <c r="H404" s="312"/>
      <c r="I404" s="312"/>
      <c r="J404" s="312"/>
      <c r="K404" s="312"/>
      <c r="L404" s="312"/>
      <c r="M404" s="312"/>
      <c r="N404" s="312"/>
      <c r="O404" s="312"/>
      <c r="P404" s="312"/>
      <c r="Q404" s="312"/>
      <c r="R404" s="312"/>
      <c r="S404" s="312"/>
      <c r="T404" s="312"/>
      <c r="U404" s="312"/>
      <c r="V404" s="312"/>
      <c r="W404" s="312"/>
      <c r="X404" s="312"/>
      <c r="Y404" s="312"/>
      <c r="Z404" s="312"/>
      <c r="AA404" s="312"/>
      <c r="AB404" s="312"/>
      <c r="AC404" s="312"/>
      <c r="AD404" s="312"/>
      <c r="AE404" s="312"/>
      <c r="AF404" s="312"/>
      <c r="AG404" s="312"/>
      <c r="AH404" s="312"/>
      <c r="AI404" s="312"/>
      <c r="AJ404" s="312"/>
      <c r="AK404" s="312"/>
      <c r="AL404" s="312"/>
      <c r="AM404" s="312"/>
      <c r="AN404" s="312"/>
      <c r="AO404" s="312"/>
      <c r="AP404" s="312"/>
      <c r="AQ404" s="312"/>
      <c r="AR404" s="312"/>
      <c r="AS404" s="312"/>
      <c r="AT404" s="312"/>
    </row>
    <row r="405" ht="15.75" customHeight="1">
      <c r="A405" s="318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12"/>
      <c r="AJ405" s="312"/>
      <c r="AK405" s="312"/>
      <c r="AL405" s="312"/>
      <c r="AM405" s="312"/>
      <c r="AN405" s="312"/>
      <c r="AO405" s="312"/>
      <c r="AP405" s="312"/>
      <c r="AQ405" s="312"/>
      <c r="AR405" s="312"/>
      <c r="AS405" s="312"/>
      <c r="AT405" s="312"/>
    </row>
    <row r="406" ht="15.75" customHeight="1">
      <c r="A406" s="318"/>
      <c r="B406" s="312"/>
      <c r="C406" s="312"/>
      <c r="D406" s="312"/>
      <c r="E406" s="312"/>
      <c r="F406" s="312"/>
      <c r="G406" s="312"/>
      <c r="H406" s="312"/>
      <c r="I406" s="312"/>
      <c r="J406" s="312"/>
      <c r="K406" s="312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2"/>
      <c r="W406" s="312"/>
      <c r="X406" s="312"/>
      <c r="Y406" s="312"/>
      <c r="Z406" s="312"/>
      <c r="AA406" s="312"/>
      <c r="AB406" s="312"/>
      <c r="AC406" s="312"/>
      <c r="AD406" s="312"/>
      <c r="AE406" s="312"/>
      <c r="AF406" s="312"/>
      <c r="AG406" s="312"/>
      <c r="AH406" s="312"/>
      <c r="AI406" s="312"/>
      <c r="AJ406" s="312"/>
      <c r="AK406" s="312"/>
      <c r="AL406" s="312"/>
      <c r="AM406" s="312"/>
      <c r="AN406" s="312"/>
      <c r="AO406" s="312"/>
      <c r="AP406" s="312"/>
      <c r="AQ406" s="312"/>
      <c r="AR406" s="312"/>
      <c r="AS406" s="312"/>
      <c r="AT406" s="312"/>
    </row>
    <row r="407" ht="15.75" customHeight="1">
      <c r="A407" s="318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2"/>
      <c r="W407" s="312"/>
      <c r="X407" s="312"/>
      <c r="Y407" s="312"/>
      <c r="Z407" s="312"/>
      <c r="AA407" s="312"/>
      <c r="AB407" s="312"/>
      <c r="AC407" s="312"/>
      <c r="AD407" s="312"/>
      <c r="AE407" s="312"/>
      <c r="AF407" s="312"/>
      <c r="AG407" s="312"/>
      <c r="AH407" s="312"/>
      <c r="AI407" s="312"/>
      <c r="AJ407" s="312"/>
      <c r="AK407" s="312"/>
      <c r="AL407" s="312"/>
      <c r="AM407" s="312"/>
      <c r="AN407" s="312"/>
      <c r="AO407" s="312"/>
      <c r="AP407" s="312"/>
      <c r="AQ407" s="312"/>
      <c r="AR407" s="312"/>
      <c r="AS407" s="312"/>
      <c r="AT407" s="312"/>
    </row>
    <row r="408" ht="15.75" customHeight="1">
      <c r="A408" s="318"/>
      <c r="B408" s="312"/>
      <c r="C408" s="312"/>
      <c r="D408" s="312"/>
      <c r="E408" s="312"/>
      <c r="F408" s="312"/>
      <c r="G408" s="312"/>
      <c r="H408" s="312"/>
      <c r="I408" s="312"/>
      <c r="J408" s="312"/>
      <c r="K408" s="312"/>
      <c r="L408" s="312"/>
      <c r="M408" s="312"/>
      <c r="N408" s="312"/>
      <c r="O408" s="312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312"/>
      <c r="AH408" s="312"/>
      <c r="AI408" s="312"/>
      <c r="AJ408" s="312"/>
      <c r="AK408" s="312"/>
      <c r="AL408" s="312"/>
      <c r="AM408" s="312"/>
      <c r="AN408" s="312"/>
      <c r="AO408" s="312"/>
      <c r="AP408" s="312"/>
      <c r="AQ408" s="312"/>
      <c r="AR408" s="312"/>
      <c r="AS408" s="312"/>
      <c r="AT408" s="312"/>
    </row>
    <row r="409" ht="15.75" customHeight="1">
      <c r="A409" s="318"/>
      <c r="B409" s="312"/>
      <c r="C409" s="312"/>
      <c r="D409" s="312"/>
      <c r="E409" s="312"/>
      <c r="F409" s="312"/>
      <c r="G409" s="312"/>
      <c r="H409" s="312"/>
      <c r="I409" s="312"/>
      <c r="J409" s="312"/>
      <c r="K409" s="312"/>
      <c r="L409" s="312"/>
      <c r="M409" s="312"/>
      <c r="N409" s="312"/>
      <c r="O409" s="312"/>
      <c r="P409" s="312"/>
      <c r="Q409" s="312"/>
      <c r="R409" s="312"/>
      <c r="S409" s="312"/>
      <c r="T409" s="312"/>
      <c r="U409" s="312"/>
      <c r="V409" s="312"/>
      <c r="W409" s="312"/>
      <c r="X409" s="312"/>
      <c r="Y409" s="312"/>
      <c r="Z409" s="312"/>
      <c r="AA409" s="312"/>
      <c r="AB409" s="312"/>
      <c r="AC409" s="312"/>
      <c r="AD409" s="312"/>
      <c r="AE409" s="312"/>
      <c r="AF409" s="312"/>
      <c r="AG409" s="312"/>
      <c r="AH409" s="312"/>
      <c r="AI409" s="312"/>
      <c r="AJ409" s="312"/>
      <c r="AK409" s="312"/>
      <c r="AL409" s="312"/>
      <c r="AM409" s="312"/>
      <c r="AN409" s="312"/>
      <c r="AO409" s="312"/>
      <c r="AP409" s="312"/>
      <c r="AQ409" s="312"/>
      <c r="AR409" s="312"/>
      <c r="AS409" s="312"/>
      <c r="AT409" s="312"/>
    </row>
    <row r="410" ht="15.75" customHeight="1">
      <c r="A410" s="318"/>
      <c r="B410" s="312"/>
      <c r="C410" s="312"/>
      <c r="D410" s="312"/>
      <c r="E410" s="312"/>
      <c r="F410" s="312"/>
      <c r="G410" s="312"/>
      <c r="H410" s="312"/>
      <c r="I410" s="312"/>
      <c r="J410" s="312"/>
      <c r="K410" s="312"/>
      <c r="L410" s="312"/>
      <c r="M410" s="312"/>
      <c r="N410" s="312"/>
      <c r="O410" s="312"/>
      <c r="P410" s="312"/>
      <c r="Q410" s="312"/>
      <c r="R410" s="312"/>
      <c r="S410" s="312"/>
      <c r="T410" s="312"/>
      <c r="U410" s="312"/>
      <c r="V410" s="312"/>
      <c r="W410" s="312"/>
      <c r="X410" s="312"/>
      <c r="Y410" s="312"/>
      <c r="Z410" s="312"/>
      <c r="AA410" s="312"/>
      <c r="AB410" s="312"/>
      <c r="AC410" s="312"/>
      <c r="AD410" s="312"/>
      <c r="AE410" s="312"/>
      <c r="AF410" s="312"/>
      <c r="AG410" s="312"/>
      <c r="AH410" s="312"/>
      <c r="AI410" s="312"/>
      <c r="AJ410" s="312"/>
      <c r="AK410" s="312"/>
      <c r="AL410" s="312"/>
      <c r="AM410" s="312"/>
      <c r="AN410" s="312"/>
      <c r="AO410" s="312"/>
      <c r="AP410" s="312"/>
      <c r="AQ410" s="312"/>
      <c r="AR410" s="312"/>
      <c r="AS410" s="312"/>
      <c r="AT410" s="312"/>
    </row>
    <row r="411" ht="15.75" customHeight="1">
      <c r="A411" s="318"/>
      <c r="B411" s="312"/>
      <c r="C411" s="312"/>
      <c r="D411" s="312"/>
      <c r="E411" s="312"/>
      <c r="F411" s="312"/>
      <c r="G411" s="312"/>
      <c r="H411" s="312"/>
      <c r="I411" s="312"/>
      <c r="J411" s="312"/>
      <c r="K411" s="312"/>
      <c r="L411" s="312"/>
      <c r="M411" s="312"/>
      <c r="N411" s="312"/>
      <c r="O411" s="312"/>
      <c r="P411" s="312"/>
      <c r="Q411" s="312"/>
      <c r="R411" s="312"/>
      <c r="S411" s="312"/>
      <c r="T411" s="312"/>
      <c r="U411" s="312"/>
      <c r="V411" s="312"/>
      <c r="W411" s="312"/>
      <c r="X411" s="312"/>
      <c r="Y411" s="312"/>
      <c r="Z411" s="312"/>
      <c r="AA411" s="312"/>
      <c r="AB411" s="312"/>
      <c r="AC411" s="312"/>
      <c r="AD411" s="312"/>
      <c r="AE411" s="312"/>
      <c r="AF411" s="312"/>
      <c r="AG411" s="312"/>
      <c r="AH411" s="312"/>
      <c r="AI411" s="312"/>
      <c r="AJ411" s="312"/>
      <c r="AK411" s="312"/>
      <c r="AL411" s="312"/>
      <c r="AM411" s="312"/>
      <c r="AN411" s="312"/>
      <c r="AO411" s="312"/>
      <c r="AP411" s="312"/>
      <c r="AQ411" s="312"/>
      <c r="AR411" s="312"/>
      <c r="AS411" s="312"/>
      <c r="AT411" s="312"/>
    </row>
    <row r="412" ht="15.75" customHeight="1">
      <c r="A412" s="318"/>
      <c r="B412" s="312"/>
      <c r="C412" s="312"/>
      <c r="D412" s="312"/>
      <c r="E412" s="312"/>
      <c r="F412" s="312"/>
      <c r="G412" s="312"/>
      <c r="H412" s="312"/>
      <c r="I412" s="312"/>
      <c r="J412" s="312"/>
      <c r="K412" s="312"/>
      <c r="L412" s="312"/>
      <c r="M412" s="312"/>
      <c r="N412" s="312"/>
      <c r="O412" s="312"/>
      <c r="P412" s="312"/>
      <c r="Q412" s="312"/>
      <c r="R412" s="312"/>
      <c r="S412" s="312"/>
      <c r="T412" s="312"/>
      <c r="U412" s="312"/>
      <c r="V412" s="312"/>
      <c r="W412" s="312"/>
      <c r="X412" s="312"/>
      <c r="Y412" s="312"/>
      <c r="Z412" s="312"/>
      <c r="AA412" s="312"/>
      <c r="AB412" s="312"/>
      <c r="AC412" s="312"/>
      <c r="AD412" s="312"/>
      <c r="AE412" s="312"/>
      <c r="AF412" s="312"/>
      <c r="AG412" s="312"/>
      <c r="AH412" s="312"/>
      <c r="AI412" s="312"/>
      <c r="AJ412" s="312"/>
      <c r="AK412" s="312"/>
      <c r="AL412" s="312"/>
      <c r="AM412" s="312"/>
      <c r="AN412" s="312"/>
      <c r="AO412" s="312"/>
      <c r="AP412" s="312"/>
      <c r="AQ412" s="312"/>
      <c r="AR412" s="312"/>
      <c r="AS412" s="312"/>
      <c r="AT412" s="312"/>
    </row>
    <row r="413" ht="15.75" customHeight="1">
      <c r="A413" s="318"/>
      <c r="B413" s="312"/>
      <c r="C413" s="312"/>
      <c r="D413" s="312"/>
      <c r="E413" s="312"/>
      <c r="F413" s="312"/>
      <c r="G413" s="312"/>
      <c r="H413" s="312"/>
      <c r="I413" s="312"/>
      <c r="J413" s="312"/>
      <c r="K413" s="312"/>
      <c r="L413" s="312"/>
      <c r="M413" s="312"/>
      <c r="N413" s="312"/>
      <c r="O413" s="312"/>
      <c r="P413" s="312"/>
      <c r="Q413" s="312"/>
      <c r="R413" s="312"/>
      <c r="S413" s="312"/>
      <c r="T413" s="312"/>
      <c r="U413" s="312"/>
      <c r="V413" s="312"/>
      <c r="W413" s="312"/>
      <c r="X413" s="312"/>
      <c r="Y413" s="312"/>
      <c r="Z413" s="312"/>
      <c r="AA413" s="312"/>
      <c r="AB413" s="312"/>
      <c r="AC413" s="312"/>
      <c r="AD413" s="312"/>
      <c r="AE413" s="312"/>
      <c r="AF413" s="312"/>
      <c r="AG413" s="312"/>
      <c r="AH413" s="312"/>
      <c r="AI413" s="312"/>
      <c r="AJ413" s="312"/>
      <c r="AK413" s="312"/>
      <c r="AL413" s="312"/>
      <c r="AM413" s="312"/>
      <c r="AN413" s="312"/>
      <c r="AO413" s="312"/>
      <c r="AP413" s="312"/>
      <c r="AQ413" s="312"/>
      <c r="AR413" s="312"/>
      <c r="AS413" s="312"/>
      <c r="AT413" s="312"/>
    </row>
    <row r="414" ht="15.75" customHeight="1">
      <c r="A414" s="318"/>
      <c r="B414" s="312"/>
      <c r="C414" s="312"/>
      <c r="D414" s="312"/>
      <c r="E414" s="312"/>
      <c r="F414" s="312"/>
      <c r="G414" s="312"/>
      <c r="H414" s="312"/>
      <c r="I414" s="312"/>
      <c r="J414" s="312"/>
      <c r="K414" s="312"/>
      <c r="L414" s="312"/>
      <c r="M414" s="312"/>
      <c r="N414" s="312"/>
      <c r="O414" s="312"/>
      <c r="P414" s="312"/>
      <c r="Q414" s="312"/>
      <c r="R414" s="312"/>
      <c r="S414" s="312"/>
      <c r="T414" s="312"/>
      <c r="U414" s="312"/>
      <c r="V414" s="312"/>
      <c r="W414" s="312"/>
      <c r="X414" s="312"/>
      <c r="Y414" s="312"/>
      <c r="Z414" s="312"/>
      <c r="AA414" s="312"/>
      <c r="AB414" s="312"/>
      <c r="AC414" s="312"/>
      <c r="AD414" s="312"/>
      <c r="AE414" s="312"/>
      <c r="AF414" s="312"/>
      <c r="AG414" s="312"/>
      <c r="AH414" s="312"/>
      <c r="AI414" s="312"/>
      <c r="AJ414" s="312"/>
      <c r="AK414" s="312"/>
      <c r="AL414" s="312"/>
      <c r="AM414" s="312"/>
      <c r="AN414" s="312"/>
      <c r="AO414" s="312"/>
      <c r="AP414" s="312"/>
      <c r="AQ414" s="312"/>
      <c r="AR414" s="312"/>
      <c r="AS414" s="312"/>
      <c r="AT414" s="312"/>
    </row>
    <row r="415" ht="15.75" customHeight="1">
      <c r="A415" s="318"/>
      <c r="B415" s="312"/>
      <c r="C415" s="312"/>
      <c r="D415" s="312"/>
      <c r="E415" s="312"/>
      <c r="F415" s="312"/>
      <c r="G415" s="312"/>
      <c r="H415" s="312"/>
      <c r="I415" s="312"/>
      <c r="J415" s="312"/>
      <c r="K415" s="312"/>
      <c r="L415" s="312"/>
      <c r="M415" s="312"/>
      <c r="N415" s="312"/>
      <c r="O415" s="312"/>
      <c r="P415" s="312"/>
      <c r="Q415" s="312"/>
      <c r="R415" s="312"/>
      <c r="S415" s="312"/>
      <c r="T415" s="312"/>
      <c r="U415" s="312"/>
      <c r="V415" s="312"/>
      <c r="W415" s="312"/>
      <c r="X415" s="312"/>
      <c r="Y415" s="312"/>
      <c r="Z415" s="312"/>
      <c r="AA415" s="312"/>
      <c r="AB415" s="312"/>
      <c r="AC415" s="312"/>
      <c r="AD415" s="312"/>
      <c r="AE415" s="312"/>
      <c r="AF415" s="312"/>
      <c r="AG415" s="312"/>
      <c r="AH415" s="312"/>
      <c r="AI415" s="312"/>
      <c r="AJ415" s="312"/>
      <c r="AK415" s="312"/>
      <c r="AL415" s="312"/>
      <c r="AM415" s="312"/>
      <c r="AN415" s="312"/>
      <c r="AO415" s="312"/>
      <c r="AP415" s="312"/>
      <c r="AQ415" s="312"/>
      <c r="AR415" s="312"/>
      <c r="AS415" s="312"/>
      <c r="AT415" s="312"/>
    </row>
    <row r="416" ht="15.75" customHeight="1">
      <c r="A416" s="318"/>
      <c r="B416" s="312"/>
      <c r="C416" s="312"/>
      <c r="D416" s="312"/>
      <c r="E416" s="312"/>
      <c r="F416" s="312"/>
      <c r="G416" s="312"/>
      <c r="H416" s="312"/>
      <c r="I416" s="312"/>
      <c r="J416" s="312"/>
      <c r="K416" s="312"/>
      <c r="L416" s="312"/>
      <c r="M416" s="312"/>
      <c r="N416" s="312"/>
      <c r="O416" s="312"/>
      <c r="P416" s="312"/>
      <c r="Q416" s="312"/>
      <c r="R416" s="312"/>
      <c r="S416" s="312"/>
      <c r="T416" s="312"/>
      <c r="U416" s="312"/>
      <c r="V416" s="312"/>
      <c r="W416" s="312"/>
      <c r="X416" s="312"/>
      <c r="Y416" s="312"/>
      <c r="Z416" s="312"/>
      <c r="AA416" s="312"/>
      <c r="AB416" s="312"/>
      <c r="AC416" s="312"/>
      <c r="AD416" s="312"/>
      <c r="AE416" s="312"/>
      <c r="AF416" s="312"/>
      <c r="AG416" s="312"/>
      <c r="AH416" s="312"/>
      <c r="AI416" s="312"/>
      <c r="AJ416" s="312"/>
      <c r="AK416" s="312"/>
      <c r="AL416" s="312"/>
      <c r="AM416" s="312"/>
      <c r="AN416" s="312"/>
      <c r="AO416" s="312"/>
      <c r="AP416" s="312"/>
      <c r="AQ416" s="312"/>
      <c r="AR416" s="312"/>
      <c r="AS416" s="312"/>
      <c r="AT416" s="312"/>
    </row>
    <row r="417" ht="15.75" customHeight="1">
      <c r="A417" s="318"/>
      <c r="B417" s="312"/>
      <c r="C417" s="312"/>
      <c r="D417" s="312"/>
      <c r="E417" s="312"/>
      <c r="F417" s="312"/>
      <c r="G417" s="312"/>
      <c r="H417" s="312"/>
      <c r="I417" s="312"/>
      <c r="J417" s="312"/>
      <c r="K417" s="312"/>
      <c r="L417" s="312"/>
      <c r="M417" s="312"/>
      <c r="N417" s="312"/>
      <c r="O417" s="312"/>
      <c r="P417" s="312"/>
      <c r="Q417" s="312"/>
      <c r="R417" s="312"/>
      <c r="S417" s="312"/>
      <c r="T417" s="312"/>
      <c r="U417" s="312"/>
      <c r="V417" s="312"/>
      <c r="W417" s="312"/>
      <c r="X417" s="312"/>
      <c r="Y417" s="312"/>
      <c r="Z417" s="312"/>
      <c r="AA417" s="312"/>
      <c r="AB417" s="312"/>
      <c r="AC417" s="312"/>
      <c r="AD417" s="312"/>
      <c r="AE417" s="312"/>
      <c r="AF417" s="312"/>
      <c r="AG417" s="312"/>
      <c r="AH417" s="312"/>
      <c r="AI417" s="312"/>
      <c r="AJ417" s="312"/>
      <c r="AK417" s="312"/>
      <c r="AL417" s="312"/>
      <c r="AM417" s="312"/>
      <c r="AN417" s="312"/>
      <c r="AO417" s="312"/>
      <c r="AP417" s="312"/>
      <c r="AQ417" s="312"/>
      <c r="AR417" s="312"/>
      <c r="AS417" s="312"/>
      <c r="AT417" s="312"/>
    </row>
    <row r="418" ht="15.75" customHeight="1">
      <c r="A418" s="318"/>
      <c r="B418" s="312"/>
      <c r="C418" s="312"/>
      <c r="D418" s="312"/>
      <c r="E418" s="312"/>
      <c r="F418" s="312"/>
      <c r="G418" s="312"/>
      <c r="H418" s="312"/>
      <c r="I418" s="312"/>
      <c r="J418" s="312"/>
      <c r="K418" s="312"/>
      <c r="L418" s="312"/>
      <c r="M418" s="312"/>
      <c r="N418" s="312"/>
      <c r="O418" s="312"/>
      <c r="P418" s="312"/>
      <c r="Q418" s="312"/>
      <c r="R418" s="312"/>
      <c r="S418" s="312"/>
      <c r="T418" s="312"/>
      <c r="U418" s="312"/>
      <c r="V418" s="312"/>
      <c r="W418" s="312"/>
      <c r="X418" s="312"/>
      <c r="Y418" s="312"/>
      <c r="Z418" s="312"/>
      <c r="AA418" s="312"/>
      <c r="AB418" s="312"/>
      <c r="AC418" s="312"/>
      <c r="AD418" s="312"/>
      <c r="AE418" s="312"/>
      <c r="AF418" s="312"/>
      <c r="AG418" s="312"/>
      <c r="AH418" s="312"/>
      <c r="AI418" s="312"/>
      <c r="AJ418" s="312"/>
      <c r="AK418" s="312"/>
      <c r="AL418" s="312"/>
      <c r="AM418" s="312"/>
      <c r="AN418" s="312"/>
      <c r="AO418" s="312"/>
      <c r="AP418" s="312"/>
      <c r="AQ418" s="312"/>
      <c r="AR418" s="312"/>
      <c r="AS418" s="312"/>
      <c r="AT418" s="312"/>
    </row>
    <row r="419" ht="15.75" customHeight="1">
      <c r="A419" s="318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2"/>
      <c r="W419" s="312"/>
      <c r="X419" s="312"/>
      <c r="Y419" s="312"/>
      <c r="Z419" s="312"/>
      <c r="AA419" s="312"/>
      <c r="AB419" s="312"/>
      <c r="AC419" s="312"/>
      <c r="AD419" s="312"/>
      <c r="AE419" s="312"/>
      <c r="AF419" s="312"/>
      <c r="AG419" s="312"/>
      <c r="AH419" s="312"/>
      <c r="AI419" s="312"/>
      <c r="AJ419" s="312"/>
      <c r="AK419" s="312"/>
      <c r="AL419" s="312"/>
      <c r="AM419" s="312"/>
      <c r="AN419" s="312"/>
      <c r="AO419" s="312"/>
      <c r="AP419" s="312"/>
      <c r="AQ419" s="312"/>
      <c r="AR419" s="312"/>
      <c r="AS419" s="312"/>
      <c r="AT419" s="312"/>
    </row>
    <row r="420" ht="15.75" customHeight="1">
      <c r="A420" s="318"/>
      <c r="B420" s="312"/>
      <c r="C420" s="312"/>
      <c r="D420" s="312"/>
      <c r="E420" s="312"/>
      <c r="F420" s="312"/>
      <c r="G420" s="312"/>
      <c r="H420" s="312"/>
      <c r="I420" s="312"/>
      <c r="J420" s="312"/>
      <c r="K420" s="312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2"/>
      <c r="W420" s="312"/>
      <c r="X420" s="312"/>
      <c r="Y420" s="312"/>
      <c r="Z420" s="312"/>
      <c r="AA420" s="312"/>
      <c r="AB420" s="312"/>
      <c r="AC420" s="312"/>
      <c r="AD420" s="312"/>
      <c r="AE420" s="312"/>
      <c r="AF420" s="312"/>
      <c r="AG420" s="312"/>
      <c r="AH420" s="312"/>
      <c r="AI420" s="312"/>
      <c r="AJ420" s="312"/>
      <c r="AK420" s="312"/>
      <c r="AL420" s="312"/>
      <c r="AM420" s="312"/>
      <c r="AN420" s="312"/>
      <c r="AO420" s="312"/>
      <c r="AP420" s="312"/>
      <c r="AQ420" s="312"/>
      <c r="AR420" s="312"/>
      <c r="AS420" s="312"/>
      <c r="AT420" s="312"/>
    </row>
    <row r="421" ht="15.75" customHeight="1">
      <c r="A421" s="318"/>
      <c r="B421" s="312"/>
      <c r="C421" s="312"/>
      <c r="D421" s="312"/>
      <c r="E421" s="312"/>
      <c r="F421" s="312"/>
      <c r="G421" s="312"/>
      <c r="H421" s="312"/>
      <c r="I421" s="312"/>
      <c r="J421" s="312"/>
      <c r="K421" s="312"/>
      <c r="L421" s="312"/>
      <c r="M421" s="312"/>
      <c r="N421" s="312"/>
      <c r="O421" s="312"/>
      <c r="P421" s="312"/>
      <c r="Q421" s="312"/>
      <c r="R421" s="312"/>
      <c r="S421" s="312"/>
      <c r="T421" s="312"/>
      <c r="U421" s="312"/>
      <c r="V421" s="312"/>
      <c r="W421" s="312"/>
      <c r="X421" s="312"/>
      <c r="Y421" s="312"/>
      <c r="Z421" s="312"/>
      <c r="AA421" s="312"/>
      <c r="AB421" s="312"/>
      <c r="AC421" s="312"/>
      <c r="AD421" s="312"/>
      <c r="AE421" s="312"/>
      <c r="AF421" s="312"/>
      <c r="AG421" s="312"/>
      <c r="AH421" s="312"/>
      <c r="AI421" s="312"/>
      <c r="AJ421" s="312"/>
      <c r="AK421" s="312"/>
      <c r="AL421" s="312"/>
      <c r="AM421" s="312"/>
      <c r="AN421" s="312"/>
      <c r="AO421" s="312"/>
      <c r="AP421" s="312"/>
      <c r="AQ421" s="312"/>
      <c r="AR421" s="312"/>
      <c r="AS421" s="312"/>
      <c r="AT421" s="312"/>
    </row>
    <row r="422" ht="15.75" customHeight="1">
      <c r="A422" s="318"/>
      <c r="B422" s="312"/>
      <c r="C422" s="312"/>
      <c r="D422" s="312"/>
      <c r="E422" s="312"/>
      <c r="F422" s="312"/>
      <c r="G422" s="312"/>
      <c r="H422" s="312"/>
      <c r="I422" s="312"/>
      <c r="J422" s="312"/>
      <c r="K422" s="312"/>
      <c r="L422" s="312"/>
      <c r="M422" s="312"/>
      <c r="N422" s="312"/>
      <c r="O422" s="312"/>
      <c r="P422" s="312"/>
      <c r="Q422" s="312"/>
      <c r="R422" s="312"/>
      <c r="S422" s="312"/>
      <c r="T422" s="312"/>
      <c r="U422" s="312"/>
      <c r="V422" s="312"/>
      <c r="W422" s="312"/>
      <c r="X422" s="312"/>
      <c r="Y422" s="312"/>
      <c r="Z422" s="312"/>
      <c r="AA422" s="312"/>
      <c r="AB422" s="312"/>
      <c r="AC422" s="312"/>
      <c r="AD422" s="312"/>
      <c r="AE422" s="312"/>
      <c r="AF422" s="312"/>
      <c r="AG422" s="312"/>
      <c r="AH422" s="312"/>
      <c r="AI422" s="312"/>
      <c r="AJ422" s="312"/>
      <c r="AK422" s="312"/>
      <c r="AL422" s="312"/>
      <c r="AM422" s="312"/>
      <c r="AN422" s="312"/>
      <c r="AO422" s="312"/>
      <c r="AP422" s="312"/>
      <c r="AQ422" s="312"/>
      <c r="AR422" s="312"/>
      <c r="AS422" s="312"/>
      <c r="AT422" s="312"/>
    </row>
    <row r="423" ht="15.75" customHeight="1">
      <c r="A423" s="318"/>
      <c r="B423" s="312"/>
      <c r="C423" s="312"/>
      <c r="D423" s="312"/>
      <c r="E423" s="312"/>
      <c r="F423" s="312"/>
      <c r="G423" s="312"/>
      <c r="H423" s="312"/>
      <c r="I423" s="312"/>
      <c r="J423" s="312"/>
      <c r="K423" s="312"/>
      <c r="L423" s="312"/>
      <c r="M423" s="312"/>
      <c r="N423" s="312"/>
      <c r="O423" s="312"/>
      <c r="P423" s="312"/>
      <c r="Q423" s="312"/>
      <c r="R423" s="312"/>
      <c r="S423" s="312"/>
      <c r="T423" s="312"/>
      <c r="U423" s="312"/>
      <c r="V423" s="312"/>
      <c r="W423" s="312"/>
      <c r="X423" s="312"/>
      <c r="Y423" s="312"/>
      <c r="Z423" s="312"/>
      <c r="AA423" s="312"/>
      <c r="AB423" s="312"/>
      <c r="AC423" s="312"/>
      <c r="AD423" s="312"/>
      <c r="AE423" s="312"/>
      <c r="AF423" s="312"/>
      <c r="AG423" s="312"/>
      <c r="AH423" s="312"/>
      <c r="AI423" s="312"/>
      <c r="AJ423" s="312"/>
      <c r="AK423" s="312"/>
      <c r="AL423" s="312"/>
      <c r="AM423" s="312"/>
      <c r="AN423" s="312"/>
      <c r="AO423" s="312"/>
      <c r="AP423" s="312"/>
      <c r="AQ423" s="312"/>
      <c r="AR423" s="312"/>
      <c r="AS423" s="312"/>
      <c r="AT423" s="312"/>
    </row>
    <row r="424" ht="15.75" customHeight="1">
      <c r="A424" s="318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2"/>
      <c r="S424" s="312"/>
      <c r="T424" s="312"/>
      <c r="U424" s="312"/>
      <c r="V424" s="312"/>
      <c r="W424" s="312"/>
      <c r="X424" s="312"/>
      <c r="Y424" s="312"/>
      <c r="Z424" s="312"/>
      <c r="AA424" s="312"/>
      <c r="AB424" s="312"/>
      <c r="AC424" s="312"/>
      <c r="AD424" s="312"/>
      <c r="AE424" s="312"/>
      <c r="AF424" s="312"/>
      <c r="AG424" s="312"/>
      <c r="AH424" s="312"/>
      <c r="AI424" s="312"/>
      <c r="AJ424" s="312"/>
      <c r="AK424" s="312"/>
      <c r="AL424" s="312"/>
      <c r="AM424" s="312"/>
      <c r="AN424" s="312"/>
      <c r="AO424" s="312"/>
      <c r="AP424" s="312"/>
      <c r="AQ424" s="312"/>
      <c r="AR424" s="312"/>
      <c r="AS424" s="312"/>
      <c r="AT424" s="312"/>
    </row>
    <row r="425" ht="15.75" customHeight="1">
      <c r="A425" s="318"/>
      <c r="B425" s="312"/>
      <c r="C425" s="312"/>
      <c r="D425" s="312"/>
      <c r="E425" s="312"/>
      <c r="F425" s="312"/>
      <c r="G425" s="312"/>
      <c r="H425" s="312"/>
      <c r="I425" s="312"/>
      <c r="J425" s="312"/>
      <c r="K425" s="312"/>
      <c r="L425" s="312"/>
      <c r="M425" s="312"/>
      <c r="N425" s="312"/>
      <c r="O425" s="312"/>
      <c r="P425" s="312"/>
      <c r="Q425" s="312"/>
      <c r="R425" s="312"/>
      <c r="S425" s="312"/>
      <c r="T425" s="312"/>
      <c r="U425" s="312"/>
      <c r="V425" s="312"/>
      <c r="W425" s="312"/>
      <c r="X425" s="312"/>
      <c r="Y425" s="312"/>
      <c r="Z425" s="312"/>
      <c r="AA425" s="312"/>
      <c r="AB425" s="312"/>
      <c r="AC425" s="312"/>
      <c r="AD425" s="312"/>
      <c r="AE425" s="312"/>
      <c r="AF425" s="312"/>
      <c r="AG425" s="312"/>
      <c r="AH425" s="312"/>
      <c r="AI425" s="312"/>
      <c r="AJ425" s="312"/>
      <c r="AK425" s="312"/>
      <c r="AL425" s="312"/>
      <c r="AM425" s="312"/>
      <c r="AN425" s="312"/>
      <c r="AO425" s="312"/>
      <c r="AP425" s="312"/>
      <c r="AQ425" s="312"/>
      <c r="AR425" s="312"/>
      <c r="AS425" s="312"/>
      <c r="AT425" s="312"/>
    </row>
    <row r="426" ht="15.75" customHeight="1">
      <c r="A426" s="318"/>
      <c r="B426" s="312"/>
      <c r="C426" s="312"/>
      <c r="D426" s="312"/>
      <c r="E426" s="312"/>
      <c r="F426" s="312"/>
      <c r="G426" s="312"/>
      <c r="H426" s="312"/>
      <c r="I426" s="312"/>
      <c r="J426" s="312"/>
      <c r="K426" s="312"/>
      <c r="L426" s="312"/>
      <c r="M426" s="312"/>
      <c r="N426" s="312"/>
      <c r="O426" s="312"/>
      <c r="P426" s="312"/>
      <c r="Q426" s="312"/>
      <c r="R426" s="312"/>
      <c r="S426" s="312"/>
      <c r="T426" s="312"/>
      <c r="U426" s="312"/>
      <c r="V426" s="312"/>
      <c r="W426" s="312"/>
      <c r="X426" s="312"/>
      <c r="Y426" s="312"/>
      <c r="Z426" s="312"/>
      <c r="AA426" s="312"/>
      <c r="AB426" s="312"/>
      <c r="AC426" s="312"/>
      <c r="AD426" s="312"/>
      <c r="AE426" s="312"/>
      <c r="AF426" s="312"/>
      <c r="AG426" s="312"/>
      <c r="AH426" s="312"/>
      <c r="AI426" s="312"/>
      <c r="AJ426" s="312"/>
      <c r="AK426" s="312"/>
      <c r="AL426" s="312"/>
      <c r="AM426" s="312"/>
      <c r="AN426" s="312"/>
      <c r="AO426" s="312"/>
      <c r="AP426" s="312"/>
      <c r="AQ426" s="312"/>
      <c r="AR426" s="312"/>
      <c r="AS426" s="312"/>
      <c r="AT426" s="312"/>
    </row>
    <row r="427" ht="15.75" customHeight="1">
      <c r="A427" s="318"/>
      <c r="B427" s="312"/>
      <c r="C427" s="312"/>
      <c r="D427" s="312"/>
      <c r="E427" s="312"/>
      <c r="F427" s="312"/>
      <c r="G427" s="312"/>
      <c r="H427" s="312"/>
      <c r="I427" s="312"/>
      <c r="J427" s="312"/>
      <c r="K427" s="312"/>
      <c r="L427" s="312"/>
      <c r="M427" s="312"/>
      <c r="N427" s="312"/>
      <c r="O427" s="312"/>
      <c r="P427" s="312"/>
      <c r="Q427" s="312"/>
      <c r="R427" s="312"/>
      <c r="S427" s="312"/>
      <c r="T427" s="312"/>
      <c r="U427" s="312"/>
      <c r="V427" s="312"/>
      <c r="W427" s="312"/>
      <c r="X427" s="312"/>
      <c r="Y427" s="312"/>
      <c r="Z427" s="312"/>
      <c r="AA427" s="312"/>
      <c r="AB427" s="312"/>
      <c r="AC427" s="312"/>
      <c r="AD427" s="312"/>
      <c r="AE427" s="312"/>
      <c r="AF427" s="312"/>
      <c r="AG427" s="312"/>
      <c r="AH427" s="312"/>
      <c r="AI427" s="312"/>
      <c r="AJ427" s="312"/>
      <c r="AK427" s="312"/>
      <c r="AL427" s="312"/>
      <c r="AM427" s="312"/>
      <c r="AN427" s="312"/>
      <c r="AO427" s="312"/>
      <c r="AP427" s="312"/>
      <c r="AQ427" s="312"/>
      <c r="AR427" s="312"/>
      <c r="AS427" s="312"/>
      <c r="AT427" s="312"/>
    </row>
    <row r="428" ht="15.75" customHeight="1">
      <c r="A428" s="318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2"/>
      <c r="S428" s="312"/>
      <c r="T428" s="312"/>
      <c r="U428" s="312"/>
      <c r="V428" s="312"/>
      <c r="W428" s="312"/>
      <c r="X428" s="312"/>
      <c r="Y428" s="312"/>
      <c r="Z428" s="312"/>
      <c r="AA428" s="312"/>
      <c r="AB428" s="312"/>
      <c r="AC428" s="312"/>
      <c r="AD428" s="312"/>
      <c r="AE428" s="312"/>
      <c r="AF428" s="312"/>
      <c r="AG428" s="312"/>
      <c r="AH428" s="312"/>
      <c r="AI428" s="312"/>
      <c r="AJ428" s="312"/>
      <c r="AK428" s="312"/>
      <c r="AL428" s="312"/>
      <c r="AM428" s="312"/>
      <c r="AN428" s="312"/>
      <c r="AO428" s="312"/>
      <c r="AP428" s="312"/>
      <c r="AQ428" s="312"/>
      <c r="AR428" s="312"/>
      <c r="AS428" s="312"/>
      <c r="AT428" s="312"/>
    </row>
    <row r="429" ht="15.75" customHeight="1">
      <c r="A429" s="318"/>
      <c r="B429" s="312"/>
      <c r="C429" s="312"/>
      <c r="D429" s="312"/>
      <c r="E429" s="312"/>
      <c r="F429" s="312"/>
      <c r="G429" s="312"/>
      <c r="H429" s="312"/>
      <c r="I429" s="312"/>
      <c r="J429" s="312"/>
      <c r="K429" s="312"/>
      <c r="L429" s="312"/>
      <c r="M429" s="312"/>
      <c r="N429" s="312"/>
      <c r="O429" s="312"/>
      <c r="P429" s="312"/>
      <c r="Q429" s="312"/>
      <c r="R429" s="312"/>
      <c r="S429" s="312"/>
      <c r="T429" s="312"/>
      <c r="U429" s="312"/>
      <c r="V429" s="312"/>
      <c r="W429" s="312"/>
      <c r="X429" s="312"/>
      <c r="Y429" s="312"/>
      <c r="Z429" s="312"/>
      <c r="AA429" s="312"/>
      <c r="AB429" s="312"/>
      <c r="AC429" s="312"/>
      <c r="AD429" s="312"/>
      <c r="AE429" s="312"/>
      <c r="AF429" s="312"/>
      <c r="AG429" s="312"/>
      <c r="AH429" s="312"/>
      <c r="AI429" s="312"/>
      <c r="AJ429" s="312"/>
      <c r="AK429" s="312"/>
      <c r="AL429" s="312"/>
      <c r="AM429" s="312"/>
      <c r="AN429" s="312"/>
      <c r="AO429" s="312"/>
      <c r="AP429" s="312"/>
      <c r="AQ429" s="312"/>
      <c r="AR429" s="312"/>
      <c r="AS429" s="312"/>
      <c r="AT429" s="312"/>
    </row>
    <row r="430" ht="15.75" customHeight="1">
      <c r="A430" s="318"/>
      <c r="B430" s="312"/>
      <c r="C430" s="312"/>
      <c r="D430" s="312"/>
      <c r="E430" s="312"/>
      <c r="F430" s="312"/>
      <c r="G430" s="312"/>
      <c r="H430" s="312"/>
      <c r="I430" s="312"/>
      <c r="J430" s="312"/>
      <c r="K430" s="312"/>
      <c r="L430" s="312"/>
      <c r="M430" s="312"/>
      <c r="N430" s="312"/>
      <c r="O430" s="312"/>
      <c r="P430" s="312"/>
      <c r="Q430" s="312"/>
      <c r="R430" s="312"/>
      <c r="S430" s="312"/>
      <c r="T430" s="312"/>
      <c r="U430" s="312"/>
      <c r="V430" s="312"/>
      <c r="W430" s="312"/>
      <c r="X430" s="312"/>
      <c r="Y430" s="312"/>
      <c r="Z430" s="312"/>
      <c r="AA430" s="312"/>
      <c r="AB430" s="312"/>
      <c r="AC430" s="312"/>
      <c r="AD430" s="312"/>
      <c r="AE430" s="312"/>
      <c r="AF430" s="312"/>
      <c r="AG430" s="312"/>
      <c r="AH430" s="312"/>
      <c r="AI430" s="312"/>
      <c r="AJ430" s="312"/>
      <c r="AK430" s="312"/>
      <c r="AL430" s="312"/>
      <c r="AM430" s="312"/>
      <c r="AN430" s="312"/>
      <c r="AO430" s="312"/>
      <c r="AP430" s="312"/>
      <c r="AQ430" s="312"/>
      <c r="AR430" s="312"/>
      <c r="AS430" s="312"/>
      <c r="AT430" s="312"/>
    </row>
    <row r="431" ht="15.75" customHeight="1">
      <c r="A431" s="318"/>
      <c r="B431" s="312"/>
      <c r="C431" s="312"/>
      <c r="D431" s="312"/>
      <c r="E431" s="312"/>
      <c r="F431" s="312"/>
      <c r="G431" s="312"/>
      <c r="H431" s="312"/>
      <c r="I431" s="312"/>
      <c r="J431" s="312"/>
      <c r="K431" s="312"/>
      <c r="L431" s="312"/>
      <c r="M431" s="312"/>
      <c r="N431" s="312"/>
      <c r="O431" s="312"/>
      <c r="P431" s="312"/>
      <c r="Q431" s="312"/>
      <c r="R431" s="312"/>
      <c r="S431" s="312"/>
      <c r="T431" s="312"/>
      <c r="U431" s="312"/>
      <c r="V431" s="312"/>
      <c r="W431" s="312"/>
      <c r="X431" s="312"/>
      <c r="Y431" s="312"/>
      <c r="Z431" s="312"/>
      <c r="AA431" s="312"/>
      <c r="AB431" s="312"/>
      <c r="AC431" s="312"/>
      <c r="AD431" s="312"/>
      <c r="AE431" s="312"/>
      <c r="AF431" s="312"/>
      <c r="AG431" s="312"/>
      <c r="AH431" s="312"/>
      <c r="AI431" s="312"/>
      <c r="AJ431" s="312"/>
      <c r="AK431" s="312"/>
      <c r="AL431" s="312"/>
      <c r="AM431" s="312"/>
      <c r="AN431" s="312"/>
      <c r="AO431" s="312"/>
      <c r="AP431" s="312"/>
      <c r="AQ431" s="312"/>
      <c r="AR431" s="312"/>
      <c r="AS431" s="312"/>
      <c r="AT431" s="312"/>
    </row>
    <row r="432" ht="15.75" customHeight="1">
      <c r="A432" s="318"/>
      <c r="B432" s="312"/>
      <c r="C432" s="312"/>
      <c r="D432" s="312"/>
      <c r="E432" s="312"/>
      <c r="F432" s="312"/>
      <c r="G432" s="312"/>
      <c r="H432" s="312"/>
      <c r="I432" s="312"/>
      <c r="J432" s="312"/>
      <c r="K432" s="312"/>
      <c r="L432" s="312"/>
      <c r="M432" s="312"/>
      <c r="N432" s="312"/>
      <c r="O432" s="312"/>
      <c r="P432" s="312"/>
      <c r="Q432" s="312"/>
      <c r="R432" s="312"/>
      <c r="S432" s="312"/>
      <c r="T432" s="312"/>
      <c r="U432" s="312"/>
      <c r="V432" s="312"/>
      <c r="W432" s="312"/>
      <c r="X432" s="312"/>
      <c r="Y432" s="312"/>
      <c r="Z432" s="312"/>
      <c r="AA432" s="312"/>
      <c r="AB432" s="312"/>
      <c r="AC432" s="312"/>
      <c r="AD432" s="312"/>
      <c r="AE432" s="312"/>
      <c r="AF432" s="312"/>
      <c r="AG432" s="312"/>
      <c r="AH432" s="312"/>
      <c r="AI432" s="312"/>
      <c r="AJ432" s="312"/>
      <c r="AK432" s="312"/>
      <c r="AL432" s="312"/>
      <c r="AM432" s="312"/>
      <c r="AN432" s="312"/>
      <c r="AO432" s="312"/>
      <c r="AP432" s="312"/>
      <c r="AQ432" s="312"/>
      <c r="AR432" s="312"/>
      <c r="AS432" s="312"/>
      <c r="AT432" s="312"/>
    </row>
    <row r="433" ht="15.75" customHeight="1">
      <c r="A433" s="318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2"/>
      <c r="S433" s="312"/>
      <c r="T433" s="312"/>
      <c r="U433" s="312"/>
      <c r="V433" s="312"/>
      <c r="W433" s="312"/>
      <c r="X433" s="312"/>
      <c r="Y433" s="312"/>
      <c r="Z433" s="312"/>
      <c r="AA433" s="312"/>
      <c r="AB433" s="312"/>
      <c r="AC433" s="312"/>
      <c r="AD433" s="312"/>
      <c r="AE433" s="312"/>
      <c r="AF433" s="312"/>
      <c r="AG433" s="312"/>
      <c r="AH433" s="312"/>
      <c r="AI433" s="312"/>
      <c r="AJ433" s="312"/>
      <c r="AK433" s="312"/>
      <c r="AL433" s="312"/>
      <c r="AM433" s="312"/>
      <c r="AN433" s="312"/>
      <c r="AO433" s="312"/>
      <c r="AP433" s="312"/>
      <c r="AQ433" s="312"/>
      <c r="AR433" s="312"/>
      <c r="AS433" s="312"/>
      <c r="AT433" s="312"/>
    </row>
    <row r="434" ht="15.75" customHeight="1">
      <c r="A434" s="318"/>
      <c r="B434" s="312"/>
      <c r="C434" s="312"/>
      <c r="D434" s="312"/>
      <c r="E434" s="312"/>
      <c r="F434" s="312"/>
      <c r="G434" s="312"/>
      <c r="H434" s="312"/>
      <c r="I434" s="312"/>
      <c r="J434" s="312"/>
      <c r="K434" s="312"/>
      <c r="L434" s="312"/>
      <c r="M434" s="312"/>
      <c r="N434" s="312"/>
      <c r="O434" s="312"/>
      <c r="P434" s="312"/>
      <c r="Q434" s="312"/>
      <c r="R434" s="312"/>
      <c r="S434" s="312"/>
      <c r="T434" s="312"/>
      <c r="U434" s="312"/>
      <c r="V434" s="312"/>
      <c r="W434" s="312"/>
      <c r="X434" s="312"/>
      <c r="Y434" s="312"/>
      <c r="Z434" s="312"/>
      <c r="AA434" s="312"/>
      <c r="AB434" s="312"/>
      <c r="AC434" s="312"/>
      <c r="AD434" s="312"/>
      <c r="AE434" s="312"/>
      <c r="AF434" s="312"/>
      <c r="AG434" s="312"/>
      <c r="AH434" s="312"/>
      <c r="AI434" s="312"/>
      <c r="AJ434" s="312"/>
      <c r="AK434" s="312"/>
      <c r="AL434" s="312"/>
      <c r="AM434" s="312"/>
      <c r="AN434" s="312"/>
      <c r="AO434" s="312"/>
      <c r="AP434" s="312"/>
      <c r="AQ434" s="312"/>
      <c r="AR434" s="312"/>
      <c r="AS434" s="312"/>
      <c r="AT434" s="312"/>
    </row>
    <row r="435" ht="15.75" customHeight="1">
      <c r="A435" s="318"/>
      <c r="B435" s="312"/>
      <c r="C435" s="312"/>
      <c r="D435" s="312"/>
      <c r="E435" s="312"/>
      <c r="F435" s="312"/>
      <c r="G435" s="312"/>
      <c r="H435" s="312"/>
      <c r="I435" s="312"/>
      <c r="J435" s="312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2"/>
      <c r="X435" s="312"/>
      <c r="Y435" s="312"/>
      <c r="Z435" s="312"/>
      <c r="AA435" s="312"/>
      <c r="AB435" s="312"/>
      <c r="AC435" s="312"/>
      <c r="AD435" s="312"/>
      <c r="AE435" s="312"/>
      <c r="AF435" s="312"/>
      <c r="AG435" s="312"/>
      <c r="AH435" s="312"/>
      <c r="AI435" s="312"/>
      <c r="AJ435" s="312"/>
      <c r="AK435" s="312"/>
      <c r="AL435" s="312"/>
      <c r="AM435" s="312"/>
      <c r="AN435" s="312"/>
      <c r="AO435" s="312"/>
      <c r="AP435" s="312"/>
      <c r="AQ435" s="312"/>
      <c r="AR435" s="312"/>
      <c r="AS435" s="312"/>
      <c r="AT435" s="312"/>
    </row>
    <row r="436" ht="15.75" customHeight="1">
      <c r="A436" s="318"/>
      <c r="B436" s="312"/>
      <c r="C436" s="312"/>
      <c r="D436" s="312"/>
      <c r="E436" s="312"/>
      <c r="F436" s="312"/>
      <c r="G436" s="312"/>
      <c r="H436" s="312"/>
      <c r="I436" s="312"/>
      <c r="J436" s="312"/>
      <c r="K436" s="312"/>
      <c r="L436" s="312"/>
      <c r="M436" s="312"/>
      <c r="N436" s="312"/>
      <c r="O436" s="312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312"/>
      <c r="AH436" s="312"/>
      <c r="AI436" s="312"/>
      <c r="AJ436" s="312"/>
      <c r="AK436" s="312"/>
      <c r="AL436" s="312"/>
      <c r="AM436" s="312"/>
      <c r="AN436" s="312"/>
      <c r="AO436" s="312"/>
      <c r="AP436" s="312"/>
      <c r="AQ436" s="312"/>
      <c r="AR436" s="312"/>
      <c r="AS436" s="312"/>
      <c r="AT436" s="312"/>
    </row>
    <row r="437" ht="15.75" customHeight="1">
      <c r="A437" s="318"/>
      <c r="B437" s="312"/>
      <c r="C437" s="312"/>
      <c r="D437" s="312"/>
      <c r="E437" s="312"/>
      <c r="F437" s="312"/>
      <c r="G437" s="312"/>
      <c r="H437" s="312"/>
      <c r="I437" s="312"/>
      <c r="J437" s="312"/>
      <c r="K437" s="312"/>
      <c r="L437" s="312"/>
      <c r="M437" s="312"/>
      <c r="N437" s="312"/>
      <c r="O437" s="312"/>
      <c r="P437" s="312"/>
      <c r="Q437" s="312"/>
      <c r="R437" s="312"/>
      <c r="S437" s="312"/>
      <c r="T437" s="312"/>
      <c r="U437" s="312"/>
      <c r="V437" s="312"/>
      <c r="W437" s="312"/>
      <c r="X437" s="312"/>
      <c r="Y437" s="312"/>
      <c r="Z437" s="312"/>
      <c r="AA437" s="312"/>
      <c r="AB437" s="312"/>
      <c r="AC437" s="312"/>
      <c r="AD437" s="312"/>
      <c r="AE437" s="312"/>
      <c r="AF437" s="312"/>
      <c r="AG437" s="312"/>
      <c r="AH437" s="312"/>
      <c r="AI437" s="312"/>
      <c r="AJ437" s="312"/>
      <c r="AK437" s="312"/>
      <c r="AL437" s="312"/>
      <c r="AM437" s="312"/>
      <c r="AN437" s="312"/>
      <c r="AO437" s="312"/>
      <c r="AP437" s="312"/>
      <c r="AQ437" s="312"/>
      <c r="AR437" s="312"/>
      <c r="AS437" s="312"/>
      <c r="AT437" s="312"/>
    </row>
    <row r="438" ht="15.75" customHeight="1">
      <c r="A438" s="318"/>
      <c r="B438" s="312"/>
      <c r="C438" s="312"/>
      <c r="D438" s="312"/>
      <c r="E438" s="312"/>
      <c r="F438" s="312"/>
      <c r="G438" s="312"/>
      <c r="H438" s="312"/>
      <c r="I438" s="312"/>
      <c r="J438" s="312"/>
      <c r="K438" s="312"/>
      <c r="L438" s="312"/>
      <c r="M438" s="312"/>
      <c r="N438" s="312"/>
      <c r="O438" s="312"/>
      <c r="P438" s="312"/>
      <c r="Q438" s="312"/>
      <c r="R438" s="312"/>
      <c r="S438" s="312"/>
      <c r="T438" s="312"/>
      <c r="U438" s="312"/>
      <c r="V438" s="312"/>
      <c r="W438" s="312"/>
      <c r="X438" s="312"/>
      <c r="Y438" s="312"/>
      <c r="Z438" s="312"/>
      <c r="AA438" s="312"/>
      <c r="AB438" s="312"/>
      <c r="AC438" s="312"/>
      <c r="AD438" s="312"/>
      <c r="AE438" s="312"/>
      <c r="AF438" s="312"/>
      <c r="AG438" s="312"/>
      <c r="AH438" s="312"/>
      <c r="AI438" s="312"/>
      <c r="AJ438" s="312"/>
      <c r="AK438" s="312"/>
      <c r="AL438" s="312"/>
      <c r="AM438" s="312"/>
      <c r="AN438" s="312"/>
      <c r="AO438" s="312"/>
      <c r="AP438" s="312"/>
      <c r="AQ438" s="312"/>
      <c r="AR438" s="312"/>
      <c r="AS438" s="312"/>
      <c r="AT438" s="312"/>
    </row>
    <row r="439" ht="15.75" customHeight="1">
      <c r="A439" s="318"/>
      <c r="B439" s="312"/>
      <c r="C439" s="312"/>
      <c r="D439" s="312"/>
      <c r="E439" s="312"/>
      <c r="F439" s="312"/>
      <c r="G439" s="312"/>
      <c r="H439" s="312"/>
      <c r="I439" s="312"/>
      <c r="J439" s="312"/>
      <c r="K439" s="312"/>
      <c r="L439" s="312"/>
      <c r="M439" s="312"/>
      <c r="N439" s="312"/>
      <c r="O439" s="312"/>
      <c r="P439" s="312"/>
      <c r="Q439" s="312"/>
      <c r="R439" s="312"/>
      <c r="S439" s="312"/>
      <c r="T439" s="312"/>
      <c r="U439" s="312"/>
      <c r="V439" s="312"/>
      <c r="W439" s="312"/>
      <c r="X439" s="312"/>
      <c r="Y439" s="312"/>
      <c r="Z439" s="312"/>
      <c r="AA439" s="312"/>
      <c r="AB439" s="312"/>
      <c r="AC439" s="312"/>
      <c r="AD439" s="312"/>
      <c r="AE439" s="312"/>
      <c r="AF439" s="312"/>
      <c r="AG439" s="312"/>
      <c r="AH439" s="312"/>
      <c r="AI439" s="312"/>
      <c r="AJ439" s="312"/>
      <c r="AK439" s="312"/>
      <c r="AL439" s="312"/>
      <c r="AM439" s="312"/>
      <c r="AN439" s="312"/>
      <c r="AO439" s="312"/>
      <c r="AP439" s="312"/>
      <c r="AQ439" s="312"/>
      <c r="AR439" s="312"/>
      <c r="AS439" s="312"/>
      <c r="AT439" s="312"/>
    </row>
    <row r="440" ht="15.75" customHeight="1">
      <c r="A440" s="318"/>
      <c r="B440" s="312"/>
      <c r="C440" s="312"/>
      <c r="D440" s="312"/>
      <c r="E440" s="312"/>
      <c r="F440" s="312"/>
      <c r="G440" s="312"/>
      <c r="H440" s="312"/>
      <c r="I440" s="312"/>
      <c r="J440" s="312"/>
      <c r="K440" s="312"/>
      <c r="L440" s="312"/>
      <c r="M440" s="312"/>
      <c r="N440" s="312"/>
      <c r="O440" s="312"/>
      <c r="P440" s="312"/>
      <c r="Q440" s="312"/>
      <c r="R440" s="312"/>
      <c r="S440" s="312"/>
      <c r="T440" s="312"/>
      <c r="U440" s="312"/>
      <c r="V440" s="312"/>
      <c r="W440" s="312"/>
      <c r="X440" s="312"/>
      <c r="Y440" s="312"/>
      <c r="Z440" s="312"/>
      <c r="AA440" s="312"/>
      <c r="AB440" s="312"/>
      <c r="AC440" s="312"/>
      <c r="AD440" s="312"/>
      <c r="AE440" s="312"/>
      <c r="AF440" s="312"/>
      <c r="AG440" s="312"/>
      <c r="AH440" s="312"/>
      <c r="AI440" s="312"/>
      <c r="AJ440" s="312"/>
      <c r="AK440" s="312"/>
      <c r="AL440" s="312"/>
      <c r="AM440" s="312"/>
      <c r="AN440" s="312"/>
      <c r="AO440" s="312"/>
      <c r="AP440" s="312"/>
      <c r="AQ440" s="312"/>
      <c r="AR440" s="312"/>
      <c r="AS440" s="312"/>
      <c r="AT440" s="312"/>
    </row>
    <row r="441" ht="15.75" customHeight="1">
      <c r="A441" s="318"/>
      <c r="B441" s="312"/>
      <c r="C441" s="312"/>
      <c r="D441" s="312"/>
      <c r="E441" s="312"/>
      <c r="F441" s="312"/>
      <c r="G441" s="312"/>
      <c r="H441" s="312"/>
      <c r="I441" s="312"/>
      <c r="J441" s="312"/>
      <c r="K441" s="312"/>
      <c r="L441" s="312"/>
      <c r="M441" s="312"/>
      <c r="N441" s="312"/>
      <c r="O441" s="312"/>
      <c r="P441" s="312"/>
      <c r="Q441" s="312"/>
      <c r="R441" s="312"/>
      <c r="S441" s="312"/>
      <c r="T441" s="312"/>
      <c r="U441" s="312"/>
      <c r="V441" s="312"/>
      <c r="W441" s="312"/>
      <c r="X441" s="312"/>
      <c r="Y441" s="312"/>
      <c r="Z441" s="312"/>
      <c r="AA441" s="312"/>
      <c r="AB441" s="312"/>
      <c r="AC441" s="312"/>
      <c r="AD441" s="312"/>
      <c r="AE441" s="312"/>
      <c r="AF441" s="312"/>
      <c r="AG441" s="312"/>
      <c r="AH441" s="312"/>
      <c r="AI441" s="312"/>
      <c r="AJ441" s="312"/>
      <c r="AK441" s="312"/>
      <c r="AL441" s="312"/>
      <c r="AM441" s="312"/>
      <c r="AN441" s="312"/>
      <c r="AO441" s="312"/>
      <c r="AP441" s="312"/>
      <c r="AQ441" s="312"/>
      <c r="AR441" s="312"/>
      <c r="AS441" s="312"/>
      <c r="AT441" s="312"/>
    </row>
    <row r="442" ht="15.75" customHeight="1">
      <c r="A442" s="318"/>
      <c r="B442" s="312"/>
      <c r="C442" s="312"/>
      <c r="D442" s="312"/>
      <c r="E442" s="312"/>
      <c r="F442" s="312"/>
      <c r="G442" s="312"/>
      <c r="H442" s="312"/>
      <c r="I442" s="312"/>
      <c r="J442" s="312"/>
      <c r="K442" s="312"/>
      <c r="L442" s="312"/>
      <c r="M442" s="312"/>
      <c r="N442" s="312"/>
      <c r="O442" s="312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312"/>
      <c r="AH442" s="312"/>
      <c r="AI442" s="312"/>
      <c r="AJ442" s="312"/>
      <c r="AK442" s="312"/>
      <c r="AL442" s="312"/>
      <c r="AM442" s="312"/>
      <c r="AN442" s="312"/>
      <c r="AO442" s="312"/>
      <c r="AP442" s="312"/>
      <c r="AQ442" s="312"/>
      <c r="AR442" s="312"/>
      <c r="AS442" s="312"/>
      <c r="AT442" s="312"/>
    </row>
    <row r="443" ht="15.75" customHeight="1">
      <c r="A443" s="318"/>
      <c r="B443" s="312"/>
      <c r="C443" s="312"/>
      <c r="D443" s="312"/>
      <c r="E443" s="312"/>
      <c r="F443" s="312"/>
      <c r="G443" s="312"/>
      <c r="H443" s="312"/>
      <c r="I443" s="312"/>
      <c r="J443" s="312"/>
      <c r="K443" s="312"/>
      <c r="L443" s="312"/>
      <c r="M443" s="312"/>
      <c r="N443" s="312"/>
      <c r="O443" s="312"/>
      <c r="P443" s="312"/>
      <c r="Q443" s="312"/>
      <c r="R443" s="312"/>
      <c r="S443" s="312"/>
      <c r="T443" s="312"/>
      <c r="U443" s="312"/>
      <c r="V443" s="312"/>
      <c r="W443" s="312"/>
      <c r="X443" s="312"/>
      <c r="Y443" s="312"/>
      <c r="Z443" s="312"/>
      <c r="AA443" s="312"/>
      <c r="AB443" s="312"/>
      <c r="AC443" s="312"/>
      <c r="AD443" s="312"/>
      <c r="AE443" s="312"/>
      <c r="AF443" s="312"/>
      <c r="AG443" s="312"/>
      <c r="AH443" s="312"/>
      <c r="AI443" s="312"/>
      <c r="AJ443" s="312"/>
      <c r="AK443" s="312"/>
      <c r="AL443" s="312"/>
      <c r="AM443" s="312"/>
      <c r="AN443" s="312"/>
      <c r="AO443" s="312"/>
      <c r="AP443" s="312"/>
      <c r="AQ443" s="312"/>
      <c r="AR443" s="312"/>
      <c r="AS443" s="312"/>
      <c r="AT443" s="312"/>
    </row>
    <row r="444" ht="15.75" customHeight="1">
      <c r="A444" s="318"/>
      <c r="B444" s="312"/>
      <c r="C444" s="312"/>
      <c r="D444" s="312"/>
      <c r="E444" s="312"/>
      <c r="F444" s="312"/>
      <c r="G444" s="312"/>
      <c r="H444" s="312"/>
      <c r="I444" s="312"/>
      <c r="J444" s="312"/>
      <c r="K444" s="312"/>
      <c r="L444" s="312"/>
      <c r="M444" s="312"/>
      <c r="N444" s="312"/>
      <c r="O444" s="312"/>
      <c r="P444" s="312"/>
      <c r="Q444" s="312"/>
      <c r="R444" s="312"/>
      <c r="S444" s="312"/>
      <c r="T444" s="312"/>
      <c r="U444" s="312"/>
      <c r="V444" s="312"/>
      <c r="W444" s="312"/>
      <c r="X444" s="312"/>
      <c r="Y444" s="312"/>
      <c r="Z444" s="312"/>
      <c r="AA444" s="312"/>
      <c r="AB444" s="312"/>
      <c r="AC444" s="312"/>
      <c r="AD444" s="312"/>
      <c r="AE444" s="312"/>
      <c r="AF444" s="312"/>
      <c r="AG444" s="312"/>
      <c r="AH444" s="312"/>
      <c r="AI444" s="312"/>
      <c r="AJ444" s="312"/>
      <c r="AK444" s="312"/>
      <c r="AL444" s="312"/>
      <c r="AM444" s="312"/>
      <c r="AN444" s="312"/>
      <c r="AO444" s="312"/>
      <c r="AP444" s="312"/>
      <c r="AQ444" s="312"/>
      <c r="AR444" s="312"/>
      <c r="AS444" s="312"/>
      <c r="AT444" s="312"/>
    </row>
    <row r="445" ht="15.75" customHeight="1">
      <c r="A445" s="318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2"/>
      <c r="S445" s="312"/>
      <c r="T445" s="312"/>
      <c r="U445" s="312"/>
      <c r="V445" s="312"/>
      <c r="W445" s="312"/>
      <c r="X445" s="312"/>
      <c r="Y445" s="312"/>
      <c r="Z445" s="312"/>
      <c r="AA445" s="312"/>
      <c r="AB445" s="312"/>
      <c r="AC445" s="312"/>
      <c r="AD445" s="312"/>
      <c r="AE445" s="312"/>
      <c r="AF445" s="312"/>
      <c r="AG445" s="312"/>
      <c r="AH445" s="312"/>
      <c r="AI445" s="312"/>
      <c r="AJ445" s="312"/>
      <c r="AK445" s="312"/>
      <c r="AL445" s="312"/>
      <c r="AM445" s="312"/>
      <c r="AN445" s="312"/>
      <c r="AO445" s="312"/>
      <c r="AP445" s="312"/>
      <c r="AQ445" s="312"/>
      <c r="AR445" s="312"/>
      <c r="AS445" s="312"/>
      <c r="AT445" s="312"/>
    </row>
    <row r="446" ht="15.75" customHeight="1">
      <c r="A446" s="318"/>
      <c r="B446" s="312"/>
      <c r="C446" s="312"/>
      <c r="D446" s="312"/>
      <c r="E446" s="312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  <c r="AP446" s="312"/>
      <c r="AQ446" s="312"/>
      <c r="AR446" s="312"/>
      <c r="AS446" s="312"/>
      <c r="AT446" s="312"/>
    </row>
    <row r="447" ht="15.75" customHeight="1">
      <c r="A447" s="318"/>
      <c r="B447" s="312"/>
      <c r="C447" s="312"/>
      <c r="D447" s="312"/>
      <c r="E447" s="312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  <c r="AP447" s="312"/>
      <c r="AQ447" s="312"/>
      <c r="AR447" s="312"/>
      <c r="AS447" s="312"/>
      <c r="AT447" s="312"/>
    </row>
    <row r="448" ht="15.75" customHeight="1">
      <c r="A448" s="318"/>
      <c r="B448" s="312"/>
      <c r="C448" s="312"/>
      <c r="D448" s="312"/>
      <c r="E448" s="312"/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  <c r="AP448" s="312"/>
      <c r="AQ448" s="312"/>
      <c r="AR448" s="312"/>
      <c r="AS448" s="312"/>
      <c r="AT448" s="312"/>
    </row>
    <row r="449" ht="15.75" customHeight="1">
      <c r="A449" s="318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  <c r="AP449" s="312"/>
      <c r="AQ449" s="312"/>
      <c r="AR449" s="312"/>
      <c r="AS449" s="312"/>
      <c r="AT449" s="312"/>
    </row>
    <row r="450" ht="15.75" customHeight="1">
      <c r="A450" s="318"/>
      <c r="B450" s="312"/>
      <c r="C450" s="312"/>
      <c r="D450" s="312"/>
      <c r="E450" s="312"/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  <c r="AP450" s="312"/>
      <c r="AQ450" s="312"/>
      <c r="AR450" s="312"/>
      <c r="AS450" s="312"/>
      <c r="AT450" s="312"/>
    </row>
    <row r="451" ht="15.75" customHeight="1">
      <c r="A451" s="318"/>
      <c r="B451" s="312"/>
      <c r="C451" s="312"/>
      <c r="D451" s="312"/>
      <c r="E451" s="312"/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  <c r="AP451" s="312"/>
      <c r="AQ451" s="312"/>
      <c r="AR451" s="312"/>
      <c r="AS451" s="312"/>
      <c r="AT451" s="312"/>
    </row>
    <row r="452" ht="15.75" customHeight="1">
      <c r="A452" s="318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  <c r="AP452" s="312"/>
      <c r="AQ452" s="312"/>
      <c r="AR452" s="312"/>
      <c r="AS452" s="312"/>
      <c r="AT452" s="312"/>
    </row>
    <row r="453" ht="15.75" customHeight="1">
      <c r="A453" s="318"/>
      <c r="B453" s="312"/>
      <c r="C453" s="312"/>
      <c r="D453" s="312"/>
      <c r="E453" s="312"/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  <c r="AP453" s="312"/>
      <c r="AQ453" s="312"/>
      <c r="AR453" s="312"/>
      <c r="AS453" s="312"/>
      <c r="AT453" s="312"/>
    </row>
    <row r="454" ht="15.75" customHeight="1">
      <c r="A454" s="318"/>
      <c r="B454" s="312"/>
      <c r="C454" s="312"/>
      <c r="D454" s="312"/>
      <c r="E454" s="312"/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  <c r="AP454" s="312"/>
      <c r="AQ454" s="312"/>
      <c r="AR454" s="312"/>
      <c r="AS454" s="312"/>
      <c r="AT454" s="312"/>
    </row>
    <row r="455" ht="15.75" customHeight="1">
      <c r="A455" s="318"/>
      <c r="B455" s="312"/>
      <c r="C455" s="312"/>
      <c r="D455" s="312"/>
      <c r="E455" s="312"/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  <c r="AP455" s="312"/>
      <c r="AQ455" s="312"/>
      <c r="AR455" s="312"/>
      <c r="AS455" s="312"/>
      <c r="AT455" s="312"/>
    </row>
    <row r="456" ht="15.75" customHeight="1">
      <c r="A456" s="318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  <c r="AP456" s="312"/>
      <c r="AQ456" s="312"/>
      <c r="AR456" s="312"/>
      <c r="AS456" s="312"/>
      <c r="AT456" s="312"/>
    </row>
    <row r="457" ht="15.75" customHeight="1">
      <c r="A457" s="318"/>
      <c r="B457" s="312"/>
      <c r="C457" s="312"/>
      <c r="D457" s="312"/>
      <c r="E457" s="312"/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  <c r="AP457" s="312"/>
      <c r="AQ457" s="312"/>
      <c r="AR457" s="312"/>
      <c r="AS457" s="312"/>
      <c r="AT457" s="312"/>
    </row>
    <row r="458" ht="15.75" customHeight="1">
      <c r="A458" s="318"/>
      <c r="B458" s="312"/>
      <c r="C458" s="312"/>
      <c r="D458" s="312"/>
      <c r="E458" s="312"/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  <c r="AP458" s="312"/>
      <c r="AQ458" s="312"/>
      <c r="AR458" s="312"/>
      <c r="AS458" s="312"/>
      <c r="AT458" s="312"/>
    </row>
    <row r="459" ht="15.75" customHeight="1">
      <c r="A459" s="318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  <c r="AP459" s="312"/>
      <c r="AQ459" s="312"/>
      <c r="AR459" s="312"/>
      <c r="AS459" s="312"/>
      <c r="AT459" s="312"/>
    </row>
    <row r="460" ht="15.75" customHeight="1">
      <c r="A460" s="318"/>
      <c r="B460" s="312"/>
      <c r="C460" s="312"/>
      <c r="D460" s="312"/>
      <c r="E460" s="312"/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  <c r="AP460" s="312"/>
      <c r="AQ460" s="312"/>
      <c r="AR460" s="312"/>
      <c r="AS460" s="312"/>
      <c r="AT460" s="312"/>
    </row>
    <row r="461" ht="15.75" customHeight="1">
      <c r="A461" s="318"/>
      <c r="B461" s="312"/>
      <c r="C461" s="312"/>
      <c r="D461" s="312"/>
      <c r="E461" s="312"/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  <c r="AP461" s="312"/>
      <c r="AQ461" s="312"/>
      <c r="AR461" s="312"/>
      <c r="AS461" s="312"/>
      <c r="AT461" s="312"/>
    </row>
    <row r="462" ht="15.75" customHeight="1">
      <c r="A462" s="318"/>
      <c r="B462" s="312"/>
      <c r="C462" s="312"/>
      <c r="D462" s="312"/>
      <c r="E462" s="312"/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  <c r="AP462" s="312"/>
      <c r="AQ462" s="312"/>
      <c r="AR462" s="312"/>
      <c r="AS462" s="312"/>
      <c r="AT462" s="312"/>
    </row>
    <row r="463" ht="15.75" customHeight="1">
      <c r="A463" s="318"/>
      <c r="B463" s="312"/>
      <c r="C463" s="312"/>
      <c r="D463" s="312"/>
      <c r="E463" s="312"/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  <c r="AP463" s="312"/>
      <c r="AQ463" s="312"/>
      <c r="AR463" s="312"/>
      <c r="AS463" s="312"/>
      <c r="AT463" s="312"/>
    </row>
    <row r="464" ht="15.75" customHeight="1">
      <c r="A464" s="318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  <c r="AP464" s="312"/>
      <c r="AQ464" s="312"/>
      <c r="AR464" s="312"/>
      <c r="AS464" s="312"/>
      <c r="AT464" s="312"/>
    </row>
    <row r="465" ht="15.75" customHeight="1">
      <c r="A465" s="318"/>
      <c r="B465" s="312"/>
      <c r="C465" s="312"/>
      <c r="D465" s="312"/>
      <c r="E465" s="312"/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  <c r="AP465" s="312"/>
      <c r="AQ465" s="312"/>
      <c r="AR465" s="312"/>
      <c r="AS465" s="312"/>
      <c r="AT465" s="312"/>
    </row>
    <row r="466" ht="15.75" customHeight="1">
      <c r="A466" s="318"/>
      <c r="B466" s="312"/>
      <c r="C466" s="312"/>
      <c r="D466" s="312"/>
      <c r="E466" s="312"/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  <c r="AP466" s="312"/>
      <c r="AQ466" s="312"/>
      <c r="AR466" s="312"/>
      <c r="AS466" s="312"/>
      <c r="AT466" s="312"/>
    </row>
    <row r="467" ht="15.75" customHeight="1">
      <c r="A467" s="318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  <c r="AP467" s="312"/>
      <c r="AQ467" s="312"/>
      <c r="AR467" s="312"/>
      <c r="AS467" s="312"/>
      <c r="AT467" s="312"/>
    </row>
    <row r="468" ht="15.75" customHeight="1">
      <c r="A468" s="318"/>
      <c r="B468" s="312"/>
      <c r="C468" s="312"/>
      <c r="D468" s="312"/>
      <c r="E468" s="312"/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  <c r="AP468" s="312"/>
      <c r="AQ468" s="312"/>
      <c r="AR468" s="312"/>
      <c r="AS468" s="312"/>
      <c r="AT468" s="312"/>
    </row>
    <row r="469" ht="15.75" customHeight="1">
      <c r="A469" s="318"/>
      <c r="B469" s="312"/>
      <c r="C469" s="312"/>
      <c r="D469" s="312"/>
      <c r="E469" s="312"/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  <c r="AP469" s="312"/>
      <c r="AQ469" s="312"/>
      <c r="AR469" s="312"/>
      <c r="AS469" s="312"/>
      <c r="AT469" s="312"/>
    </row>
    <row r="470" ht="15.75" customHeight="1">
      <c r="A470" s="318"/>
      <c r="B470" s="312"/>
      <c r="C470" s="312"/>
      <c r="D470" s="312"/>
      <c r="E470" s="312"/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  <c r="AP470" s="312"/>
      <c r="AQ470" s="312"/>
      <c r="AR470" s="312"/>
      <c r="AS470" s="312"/>
      <c r="AT470" s="312"/>
    </row>
    <row r="471" ht="15.75" customHeight="1">
      <c r="A471" s="318"/>
      <c r="B471" s="312"/>
      <c r="C471" s="312"/>
      <c r="D471" s="312"/>
      <c r="E471" s="312"/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  <c r="AP471" s="312"/>
      <c r="AQ471" s="312"/>
      <c r="AR471" s="312"/>
      <c r="AS471" s="312"/>
      <c r="AT471" s="312"/>
    </row>
    <row r="472" ht="15.75" customHeight="1">
      <c r="A472" s="318"/>
      <c r="B472" s="312"/>
      <c r="C472" s="312"/>
      <c r="D472" s="312"/>
      <c r="E472" s="312"/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  <c r="AP472" s="312"/>
      <c r="AQ472" s="312"/>
      <c r="AR472" s="312"/>
      <c r="AS472" s="312"/>
      <c r="AT472" s="312"/>
    </row>
    <row r="473" ht="15.75" customHeight="1">
      <c r="A473" s="318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  <c r="AP473" s="312"/>
      <c r="AQ473" s="312"/>
      <c r="AR473" s="312"/>
      <c r="AS473" s="312"/>
      <c r="AT473" s="312"/>
    </row>
    <row r="474" ht="15.75" customHeight="1">
      <c r="A474" s="318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  <c r="AP474" s="312"/>
      <c r="AQ474" s="312"/>
      <c r="AR474" s="312"/>
      <c r="AS474" s="312"/>
      <c r="AT474" s="312"/>
    </row>
    <row r="475" ht="15.75" customHeight="1">
      <c r="A475" s="318"/>
      <c r="B475" s="312"/>
      <c r="C475" s="312"/>
      <c r="D475" s="312"/>
      <c r="E475" s="312"/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  <c r="AP475" s="312"/>
      <c r="AQ475" s="312"/>
      <c r="AR475" s="312"/>
      <c r="AS475" s="312"/>
      <c r="AT475" s="312"/>
    </row>
    <row r="476" ht="15.75" customHeight="1">
      <c r="A476" s="318"/>
      <c r="B476" s="312"/>
      <c r="C476" s="312"/>
      <c r="D476" s="312"/>
      <c r="E476" s="312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  <c r="AP476" s="312"/>
      <c r="AQ476" s="312"/>
      <c r="AR476" s="312"/>
      <c r="AS476" s="312"/>
      <c r="AT476" s="312"/>
    </row>
    <row r="477" ht="15.75" customHeight="1">
      <c r="A477" s="318"/>
      <c r="B477" s="312"/>
      <c r="C477" s="312"/>
      <c r="D477" s="312"/>
      <c r="E477" s="312"/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  <c r="AP477" s="312"/>
      <c r="AQ477" s="312"/>
      <c r="AR477" s="312"/>
      <c r="AS477" s="312"/>
      <c r="AT477" s="312"/>
    </row>
    <row r="478" ht="15.75" customHeight="1">
      <c r="A478" s="318"/>
      <c r="B478" s="312"/>
      <c r="C478" s="312"/>
      <c r="D478" s="312"/>
      <c r="E478" s="312"/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  <c r="AP478" s="312"/>
      <c r="AQ478" s="312"/>
      <c r="AR478" s="312"/>
      <c r="AS478" s="312"/>
      <c r="AT478" s="312"/>
    </row>
    <row r="479" ht="15.75" customHeight="1">
      <c r="A479" s="318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  <c r="AP479" s="312"/>
      <c r="AQ479" s="312"/>
      <c r="AR479" s="312"/>
      <c r="AS479" s="312"/>
      <c r="AT479" s="312"/>
    </row>
    <row r="480" ht="15.75" customHeight="1">
      <c r="A480" s="318"/>
      <c r="B480" s="312"/>
      <c r="C480" s="312"/>
      <c r="D480" s="312"/>
      <c r="E480" s="312"/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  <c r="AP480" s="312"/>
      <c r="AQ480" s="312"/>
      <c r="AR480" s="312"/>
      <c r="AS480" s="312"/>
      <c r="AT480" s="312"/>
    </row>
    <row r="481" ht="15.75" customHeight="1">
      <c r="A481" s="318"/>
      <c r="B481" s="312"/>
      <c r="C481" s="312"/>
      <c r="D481" s="312"/>
      <c r="E481" s="312"/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  <c r="AP481" s="312"/>
      <c r="AQ481" s="312"/>
      <c r="AR481" s="312"/>
      <c r="AS481" s="312"/>
      <c r="AT481" s="312"/>
    </row>
    <row r="482" ht="15.75" customHeight="1">
      <c r="A482" s="318"/>
      <c r="B482" s="312"/>
      <c r="C482" s="312"/>
      <c r="D482" s="312"/>
      <c r="E482" s="312"/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  <c r="AP482" s="312"/>
      <c r="AQ482" s="312"/>
      <c r="AR482" s="312"/>
      <c r="AS482" s="312"/>
      <c r="AT482" s="312"/>
    </row>
    <row r="483" ht="15.75" customHeight="1">
      <c r="A483" s="318"/>
      <c r="B483" s="312"/>
      <c r="C483" s="312"/>
      <c r="D483" s="312"/>
      <c r="E483" s="312"/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  <c r="AP483" s="312"/>
      <c r="AQ483" s="312"/>
      <c r="AR483" s="312"/>
      <c r="AS483" s="312"/>
      <c r="AT483" s="312"/>
    </row>
    <row r="484" ht="15.75" customHeight="1">
      <c r="A484" s="318"/>
      <c r="B484" s="312"/>
      <c r="C484" s="312"/>
      <c r="D484" s="312"/>
      <c r="E484" s="312"/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  <c r="AP484" s="312"/>
      <c r="AQ484" s="312"/>
      <c r="AR484" s="312"/>
      <c r="AS484" s="312"/>
      <c r="AT484" s="312"/>
    </row>
    <row r="485" ht="15.75" customHeight="1">
      <c r="A485" s="318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  <c r="AP485" s="312"/>
      <c r="AQ485" s="312"/>
      <c r="AR485" s="312"/>
      <c r="AS485" s="312"/>
      <c r="AT485" s="312"/>
    </row>
    <row r="486" ht="15.75" customHeight="1">
      <c r="A486" s="318"/>
      <c r="B486" s="312"/>
      <c r="C486" s="312"/>
      <c r="D486" s="312"/>
      <c r="E486" s="312"/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  <c r="AP486" s="312"/>
      <c r="AQ486" s="312"/>
      <c r="AR486" s="312"/>
      <c r="AS486" s="312"/>
      <c r="AT486" s="312"/>
    </row>
    <row r="487" ht="15.75" customHeight="1">
      <c r="A487" s="318"/>
      <c r="B487" s="312"/>
      <c r="C487" s="312"/>
      <c r="D487" s="312"/>
      <c r="E487" s="312"/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  <c r="AP487" s="312"/>
      <c r="AQ487" s="312"/>
      <c r="AR487" s="312"/>
      <c r="AS487" s="312"/>
      <c r="AT487" s="312"/>
    </row>
    <row r="488" ht="15.75" customHeight="1">
      <c r="A488" s="318"/>
      <c r="B488" s="312"/>
      <c r="C488" s="312"/>
      <c r="D488" s="312"/>
      <c r="E488" s="312"/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  <c r="AP488" s="312"/>
      <c r="AQ488" s="312"/>
      <c r="AR488" s="312"/>
      <c r="AS488" s="312"/>
      <c r="AT488" s="312"/>
    </row>
    <row r="489" ht="15.75" customHeight="1">
      <c r="A489" s="318"/>
      <c r="B489" s="312"/>
      <c r="C489" s="312"/>
      <c r="D489" s="312"/>
      <c r="E489" s="312"/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  <c r="AP489" s="312"/>
      <c r="AQ489" s="312"/>
      <c r="AR489" s="312"/>
      <c r="AS489" s="312"/>
      <c r="AT489" s="312"/>
    </row>
    <row r="490" ht="15.75" customHeight="1">
      <c r="A490" s="318"/>
      <c r="B490" s="312"/>
      <c r="C490" s="312"/>
      <c r="D490" s="312"/>
      <c r="E490" s="312"/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  <c r="AP490" s="312"/>
      <c r="AQ490" s="312"/>
      <c r="AR490" s="312"/>
      <c r="AS490" s="312"/>
      <c r="AT490" s="312"/>
    </row>
    <row r="491" ht="15.75" customHeight="1">
      <c r="A491" s="318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  <c r="AP491" s="312"/>
      <c r="AQ491" s="312"/>
      <c r="AR491" s="312"/>
      <c r="AS491" s="312"/>
      <c r="AT491" s="312"/>
    </row>
    <row r="492" ht="15.75" customHeight="1">
      <c r="A492" s="318"/>
      <c r="B492" s="312"/>
      <c r="C492" s="312"/>
      <c r="D492" s="312"/>
      <c r="E492" s="312"/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  <c r="AP492" s="312"/>
      <c r="AQ492" s="312"/>
      <c r="AR492" s="312"/>
      <c r="AS492" s="312"/>
      <c r="AT492" s="312"/>
    </row>
    <row r="493" ht="15.75" customHeight="1">
      <c r="A493" s="318"/>
      <c r="B493" s="312"/>
      <c r="C493" s="312"/>
      <c r="D493" s="312"/>
      <c r="E493" s="312"/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  <c r="AP493" s="312"/>
      <c r="AQ493" s="312"/>
      <c r="AR493" s="312"/>
      <c r="AS493" s="312"/>
      <c r="AT493" s="312"/>
    </row>
    <row r="494" ht="15.75" customHeight="1">
      <c r="A494" s="318"/>
      <c r="B494" s="312"/>
      <c r="C494" s="312"/>
      <c r="D494" s="312"/>
      <c r="E494" s="312"/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  <c r="AP494" s="312"/>
      <c r="AQ494" s="312"/>
      <c r="AR494" s="312"/>
      <c r="AS494" s="312"/>
      <c r="AT494" s="312"/>
    </row>
    <row r="495" ht="15.75" customHeight="1">
      <c r="A495" s="318"/>
      <c r="B495" s="312"/>
      <c r="C495" s="312"/>
      <c r="D495" s="312"/>
      <c r="E495" s="312"/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  <c r="AP495" s="312"/>
      <c r="AQ495" s="312"/>
      <c r="AR495" s="312"/>
      <c r="AS495" s="312"/>
      <c r="AT495" s="312"/>
    </row>
    <row r="496" ht="15.75" customHeight="1">
      <c r="A496" s="318"/>
      <c r="B496" s="312"/>
      <c r="C496" s="312"/>
      <c r="D496" s="312"/>
      <c r="E496" s="312"/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  <c r="AP496" s="312"/>
      <c r="AQ496" s="312"/>
      <c r="AR496" s="312"/>
      <c r="AS496" s="312"/>
      <c r="AT496" s="312"/>
    </row>
    <row r="497" ht="15.75" customHeight="1">
      <c r="A497" s="318"/>
      <c r="B497" s="312"/>
      <c r="C497" s="312"/>
      <c r="D497" s="312"/>
      <c r="E497" s="312"/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  <c r="AP497" s="312"/>
      <c r="AQ497" s="312"/>
      <c r="AR497" s="312"/>
      <c r="AS497" s="312"/>
      <c r="AT497" s="312"/>
    </row>
    <row r="498" ht="15.75" customHeight="1">
      <c r="A498" s="318"/>
      <c r="B498" s="312"/>
      <c r="C498" s="312"/>
      <c r="D498" s="312"/>
      <c r="E498" s="312"/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  <c r="AP498" s="312"/>
      <c r="AQ498" s="312"/>
      <c r="AR498" s="312"/>
      <c r="AS498" s="312"/>
      <c r="AT498" s="312"/>
    </row>
    <row r="499" ht="15.75" customHeight="1">
      <c r="A499" s="318"/>
      <c r="B499" s="312"/>
      <c r="C499" s="312"/>
      <c r="D499" s="312"/>
      <c r="E499" s="312"/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  <c r="AP499" s="312"/>
      <c r="AQ499" s="312"/>
      <c r="AR499" s="312"/>
      <c r="AS499" s="312"/>
      <c r="AT499" s="312"/>
    </row>
    <row r="500" ht="15.75" customHeight="1">
      <c r="A500" s="318"/>
      <c r="B500" s="312"/>
      <c r="C500" s="312"/>
      <c r="D500" s="312"/>
      <c r="E500" s="312"/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  <c r="AP500" s="312"/>
      <c r="AQ500" s="312"/>
      <c r="AR500" s="312"/>
      <c r="AS500" s="312"/>
      <c r="AT500" s="312"/>
    </row>
    <row r="501" ht="15.75" customHeight="1">
      <c r="A501" s="318"/>
      <c r="B501" s="312"/>
      <c r="C501" s="312"/>
      <c r="D501" s="312"/>
      <c r="E501" s="312"/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  <c r="AP501" s="312"/>
      <c r="AQ501" s="312"/>
      <c r="AR501" s="312"/>
      <c r="AS501" s="312"/>
      <c r="AT501" s="312"/>
    </row>
    <row r="502" ht="15.75" customHeight="1">
      <c r="A502" s="318"/>
      <c r="B502" s="312"/>
      <c r="C502" s="312"/>
      <c r="D502" s="312"/>
      <c r="E502" s="312"/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  <c r="AP502" s="312"/>
      <c r="AQ502" s="312"/>
      <c r="AR502" s="312"/>
      <c r="AS502" s="312"/>
      <c r="AT502" s="312"/>
    </row>
    <row r="503" ht="15.75" customHeight="1">
      <c r="A503" s="318"/>
      <c r="B503" s="312"/>
      <c r="C503" s="312"/>
      <c r="D503" s="312"/>
      <c r="E503" s="312"/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  <c r="AP503" s="312"/>
      <c r="AQ503" s="312"/>
      <c r="AR503" s="312"/>
      <c r="AS503" s="312"/>
      <c r="AT503" s="312"/>
    </row>
    <row r="504" ht="15.75" customHeight="1">
      <c r="A504" s="318"/>
      <c r="B504" s="312"/>
      <c r="C504" s="312"/>
      <c r="D504" s="312"/>
      <c r="E504" s="312"/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  <c r="AP504" s="312"/>
      <c r="AQ504" s="312"/>
      <c r="AR504" s="312"/>
      <c r="AS504" s="312"/>
      <c r="AT504" s="312"/>
    </row>
    <row r="505" ht="15.75" customHeight="1">
      <c r="A505" s="318"/>
      <c r="B505" s="312"/>
      <c r="C505" s="312"/>
      <c r="D505" s="312"/>
      <c r="E505" s="312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  <c r="AP505" s="312"/>
      <c r="AQ505" s="312"/>
      <c r="AR505" s="312"/>
      <c r="AS505" s="312"/>
      <c r="AT505" s="312"/>
    </row>
    <row r="506" ht="15.75" customHeight="1">
      <c r="A506" s="318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  <c r="AP506" s="312"/>
      <c r="AQ506" s="312"/>
      <c r="AR506" s="312"/>
      <c r="AS506" s="312"/>
      <c r="AT506" s="312"/>
    </row>
    <row r="507" ht="15.75" customHeight="1">
      <c r="A507" s="318"/>
      <c r="B507" s="312"/>
      <c r="C507" s="312"/>
      <c r="D507" s="312"/>
      <c r="E507" s="312"/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  <c r="AP507" s="312"/>
      <c r="AQ507" s="312"/>
      <c r="AR507" s="312"/>
      <c r="AS507" s="312"/>
      <c r="AT507" s="312"/>
    </row>
    <row r="508" ht="15.75" customHeight="1">
      <c r="A508" s="318"/>
      <c r="B508" s="312"/>
      <c r="C508" s="312"/>
      <c r="D508" s="312"/>
      <c r="E508" s="312"/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  <c r="AP508" s="312"/>
      <c r="AQ508" s="312"/>
      <c r="AR508" s="312"/>
      <c r="AS508" s="312"/>
      <c r="AT508" s="312"/>
    </row>
    <row r="509" ht="15.75" customHeight="1">
      <c r="A509" s="318"/>
      <c r="B509" s="312"/>
      <c r="C509" s="312"/>
      <c r="D509" s="312"/>
      <c r="E509" s="312"/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  <c r="AP509" s="312"/>
      <c r="AQ509" s="312"/>
      <c r="AR509" s="312"/>
      <c r="AS509" s="312"/>
      <c r="AT509" s="312"/>
    </row>
    <row r="510" ht="15.75" customHeight="1">
      <c r="A510" s="318"/>
      <c r="B510" s="312"/>
      <c r="C510" s="312"/>
      <c r="D510" s="312"/>
      <c r="E510" s="312"/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  <c r="AP510" s="312"/>
      <c r="AQ510" s="312"/>
      <c r="AR510" s="312"/>
      <c r="AS510" s="312"/>
      <c r="AT510" s="312"/>
    </row>
    <row r="511" ht="15.75" customHeight="1">
      <c r="A511" s="318"/>
      <c r="B511" s="312"/>
      <c r="C511" s="312"/>
      <c r="D511" s="312"/>
      <c r="E511" s="312"/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  <c r="AP511" s="312"/>
      <c r="AQ511" s="312"/>
      <c r="AR511" s="312"/>
      <c r="AS511" s="312"/>
      <c r="AT511" s="312"/>
    </row>
    <row r="512" ht="15.75" customHeight="1">
      <c r="A512" s="318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  <c r="AP512" s="312"/>
      <c r="AQ512" s="312"/>
      <c r="AR512" s="312"/>
      <c r="AS512" s="312"/>
      <c r="AT512" s="312"/>
    </row>
    <row r="513" ht="15.75" customHeight="1">
      <c r="A513" s="318"/>
      <c r="B513" s="312"/>
      <c r="C513" s="312"/>
      <c r="D513" s="312"/>
      <c r="E513" s="312"/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  <c r="AP513" s="312"/>
      <c r="AQ513" s="312"/>
      <c r="AR513" s="312"/>
      <c r="AS513" s="312"/>
      <c r="AT513" s="312"/>
    </row>
    <row r="514" ht="15.75" customHeight="1">
      <c r="A514" s="318"/>
      <c r="B514" s="312"/>
      <c r="C514" s="312"/>
      <c r="D514" s="312"/>
      <c r="E514" s="312"/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  <c r="AP514" s="312"/>
      <c r="AQ514" s="312"/>
      <c r="AR514" s="312"/>
      <c r="AS514" s="312"/>
      <c r="AT514" s="312"/>
    </row>
    <row r="515" ht="15.75" customHeight="1">
      <c r="A515" s="318"/>
      <c r="B515" s="312"/>
      <c r="C515" s="312"/>
      <c r="D515" s="312"/>
      <c r="E515" s="312"/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  <c r="AP515" s="312"/>
      <c r="AQ515" s="312"/>
      <c r="AR515" s="312"/>
      <c r="AS515" s="312"/>
      <c r="AT515" s="312"/>
    </row>
    <row r="516" ht="15.75" customHeight="1">
      <c r="A516" s="318"/>
      <c r="B516" s="312"/>
      <c r="C516" s="312"/>
      <c r="D516" s="312"/>
      <c r="E516" s="312"/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  <c r="AP516" s="312"/>
      <c r="AQ516" s="312"/>
      <c r="AR516" s="312"/>
      <c r="AS516" s="312"/>
      <c r="AT516" s="312"/>
    </row>
    <row r="517" ht="15.75" customHeight="1">
      <c r="A517" s="318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  <c r="AP517" s="312"/>
      <c r="AQ517" s="312"/>
      <c r="AR517" s="312"/>
      <c r="AS517" s="312"/>
      <c r="AT517" s="312"/>
    </row>
    <row r="518" ht="15.75" customHeight="1">
      <c r="A518" s="318"/>
      <c r="B518" s="312"/>
      <c r="C518" s="312"/>
      <c r="D518" s="312"/>
      <c r="E518" s="312"/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  <c r="AP518" s="312"/>
      <c r="AQ518" s="312"/>
      <c r="AR518" s="312"/>
      <c r="AS518" s="312"/>
      <c r="AT518" s="312"/>
    </row>
    <row r="519" ht="15.75" customHeight="1">
      <c r="A519" s="318"/>
      <c r="B519" s="312"/>
      <c r="C519" s="312"/>
      <c r="D519" s="312"/>
      <c r="E519" s="312"/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  <c r="AP519" s="312"/>
      <c r="AQ519" s="312"/>
      <c r="AR519" s="312"/>
      <c r="AS519" s="312"/>
      <c r="AT519" s="312"/>
    </row>
    <row r="520" ht="15.75" customHeight="1">
      <c r="A520" s="318"/>
      <c r="B520" s="312"/>
      <c r="C520" s="312"/>
      <c r="D520" s="312"/>
      <c r="E520" s="312"/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  <c r="AP520" s="312"/>
      <c r="AQ520" s="312"/>
      <c r="AR520" s="312"/>
      <c r="AS520" s="312"/>
      <c r="AT520" s="312"/>
    </row>
    <row r="521" ht="15.75" customHeight="1">
      <c r="A521" s="318"/>
      <c r="B521" s="312"/>
      <c r="C521" s="312"/>
      <c r="D521" s="312"/>
      <c r="E521" s="312"/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  <c r="AP521" s="312"/>
      <c r="AQ521" s="312"/>
      <c r="AR521" s="312"/>
      <c r="AS521" s="312"/>
      <c r="AT521" s="312"/>
    </row>
    <row r="522" ht="15.75" customHeight="1">
      <c r="A522" s="318"/>
      <c r="B522" s="312"/>
      <c r="C522" s="312"/>
      <c r="D522" s="312"/>
      <c r="E522" s="312"/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  <c r="AP522" s="312"/>
      <c r="AQ522" s="312"/>
      <c r="AR522" s="312"/>
      <c r="AS522" s="312"/>
      <c r="AT522" s="312"/>
    </row>
    <row r="523" ht="15.75" customHeight="1">
      <c r="A523" s="318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  <c r="AP523" s="312"/>
      <c r="AQ523" s="312"/>
      <c r="AR523" s="312"/>
      <c r="AS523" s="312"/>
      <c r="AT523" s="312"/>
    </row>
    <row r="524" ht="15.75" customHeight="1">
      <c r="A524" s="318"/>
      <c r="B524" s="312"/>
      <c r="C524" s="312"/>
      <c r="D524" s="312"/>
      <c r="E524" s="312"/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  <c r="AP524" s="312"/>
      <c r="AQ524" s="312"/>
      <c r="AR524" s="312"/>
      <c r="AS524" s="312"/>
      <c r="AT524" s="312"/>
    </row>
    <row r="525" ht="15.75" customHeight="1">
      <c r="A525" s="318"/>
      <c r="B525" s="312"/>
      <c r="C525" s="312"/>
      <c r="D525" s="312"/>
      <c r="E525" s="312"/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  <c r="AP525" s="312"/>
      <c r="AQ525" s="312"/>
      <c r="AR525" s="312"/>
      <c r="AS525" s="312"/>
      <c r="AT525" s="312"/>
    </row>
    <row r="526" ht="15.75" customHeight="1">
      <c r="A526" s="318"/>
      <c r="B526" s="312"/>
      <c r="C526" s="312"/>
      <c r="D526" s="312"/>
      <c r="E526" s="312"/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  <c r="AP526" s="312"/>
      <c r="AQ526" s="312"/>
      <c r="AR526" s="312"/>
      <c r="AS526" s="312"/>
      <c r="AT526" s="312"/>
    </row>
    <row r="527" ht="15.75" customHeight="1">
      <c r="A527" s="318"/>
      <c r="B527" s="312"/>
      <c r="C527" s="312"/>
      <c r="D527" s="312"/>
      <c r="E527" s="312"/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  <c r="AP527" s="312"/>
      <c r="AQ527" s="312"/>
      <c r="AR527" s="312"/>
      <c r="AS527" s="312"/>
      <c r="AT527" s="312"/>
    </row>
    <row r="528" ht="15.75" customHeight="1">
      <c r="A528" s="318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  <c r="AP528" s="312"/>
      <c r="AQ528" s="312"/>
      <c r="AR528" s="312"/>
      <c r="AS528" s="312"/>
      <c r="AT528" s="312"/>
    </row>
    <row r="529" ht="15.75" customHeight="1">
      <c r="A529" s="318"/>
      <c r="B529" s="312"/>
      <c r="C529" s="312"/>
      <c r="D529" s="312"/>
      <c r="E529" s="312"/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  <c r="AP529" s="312"/>
      <c r="AQ529" s="312"/>
      <c r="AR529" s="312"/>
      <c r="AS529" s="312"/>
      <c r="AT529" s="312"/>
    </row>
    <row r="530" ht="15.75" customHeight="1">
      <c r="A530" s="318"/>
      <c r="B530" s="312"/>
      <c r="C530" s="312"/>
      <c r="D530" s="312"/>
      <c r="E530" s="312"/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  <c r="AP530" s="312"/>
      <c r="AQ530" s="312"/>
      <c r="AR530" s="312"/>
      <c r="AS530" s="312"/>
      <c r="AT530" s="312"/>
    </row>
    <row r="531" ht="15.75" customHeight="1">
      <c r="A531" s="318"/>
      <c r="B531" s="312"/>
      <c r="C531" s="312"/>
      <c r="D531" s="312"/>
      <c r="E531" s="312"/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  <c r="AP531" s="312"/>
      <c r="AQ531" s="312"/>
      <c r="AR531" s="312"/>
      <c r="AS531" s="312"/>
      <c r="AT531" s="312"/>
    </row>
    <row r="532" ht="15.75" customHeight="1">
      <c r="A532" s="318"/>
      <c r="B532" s="312"/>
      <c r="C532" s="312"/>
      <c r="D532" s="312"/>
      <c r="E532" s="312"/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  <c r="AP532" s="312"/>
      <c r="AQ532" s="312"/>
      <c r="AR532" s="312"/>
      <c r="AS532" s="312"/>
      <c r="AT532" s="312"/>
    </row>
    <row r="533" ht="15.75" customHeight="1">
      <c r="A533" s="318"/>
      <c r="B533" s="312"/>
      <c r="C533" s="312"/>
      <c r="D533" s="312"/>
      <c r="E533" s="312"/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  <c r="AP533" s="312"/>
      <c r="AQ533" s="312"/>
      <c r="AR533" s="312"/>
      <c r="AS533" s="312"/>
      <c r="AT533" s="312"/>
    </row>
    <row r="534" ht="15.75" customHeight="1">
      <c r="A534" s="318"/>
      <c r="B534" s="312"/>
      <c r="C534" s="312"/>
      <c r="D534" s="312"/>
      <c r="E534" s="312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  <c r="AP534" s="312"/>
      <c r="AQ534" s="312"/>
      <c r="AR534" s="312"/>
      <c r="AS534" s="312"/>
      <c r="AT534" s="312"/>
    </row>
    <row r="535" ht="15.75" customHeight="1">
      <c r="A535" s="318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  <c r="AP535" s="312"/>
      <c r="AQ535" s="312"/>
      <c r="AR535" s="312"/>
      <c r="AS535" s="312"/>
      <c r="AT535" s="312"/>
    </row>
    <row r="536" ht="15.75" customHeight="1">
      <c r="A536" s="318"/>
      <c r="B536" s="312"/>
      <c r="C536" s="312"/>
      <c r="D536" s="312"/>
      <c r="E536" s="312"/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  <c r="AP536" s="312"/>
      <c r="AQ536" s="312"/>
      <c r="AR536" s="312"/>
      <c r="AS536" s="312"/>
      <c r="AT536" s="312"/>
    </row>
    <row r="537" ht="15.75" customHeight="1">
      <c r="A537" s="318"/>
      <c r="B537" s="312"/>
      <c r="C537" s="312"/>
      <c r="D537" s="312"/>
      <c r="E537" s="312"/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  <c r="AP537" s="312"/>
      <c r="AQ537" s="312"/>
      <c r="AR537" s="312"/>
      <c r="AS537" s="312"/>
      <c r="AT537" s="312"/>
    </row>
    <row r="538" ht="15.75" customHeight="1">
      <c r="A538" s="318"/>
      <c r="B538" s="312"/>
      <c r="C538" s="312"/>
      <c r="D538" s="312"/>
      <c r="E538" s="312"/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  <c r="AP538" s="312"/>
      <c r="AQ538" s="312"/>
      <c r="AR538" s="312"/>
      <c r="AS538" s="312"/>
      <c r="AT538" s="312"/>
    </row>
    <row r="539" ht="15.75" customHeight="1">
      <c r="A539" s="318"/>
      <c r="B539" s="312"/>
      <c r="C539" s="312"/>
      <c r="D539" s="312"/>
      <c r="E539" s="312"/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  <c r="AP539" s="312"/>
      <c r="AQ539" s="312"/>
      <c r="AR539" s="312"/>
      <c r="AS539" s="312"/>
      <c r="AT539" s="312"/>
    </row>
    <row r="540" ht="15.75" customHeight="1">
      <c r="A540" s="318"/>
      <c r="B540" s="312"/>
      <c r="C540" s="312"/>
      <c r="D540" s="312"/>
      <c r="E540" s="312"/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  <c r="AP540" s="312"/>
      <c r="AQ540" s="312"/>
      <c r="AR540" s="312"/>
      <c r="AS540" s="312"/>
      <c r="AT540" s="312"/>
    </row>
    <row r="541" ht="15.75" customHeight="1">
      <c r="A541" s="318"/>
      <c r="B541" s="312"/>
      <c r="C541" s="312"/>
      <c r="D541" s="312"/>
      <c r="E541" s="312"/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  <c r="AP541" s="312"/>
      <c r="AQ541" s="312"/>
      <c r="AR541" s="312"/>
      <c r="AS541" s="312"/>
      <c r="AT541" s="312"/>
    </row>
    <row r="542" ht="15.75" customHeight="1">
      <c r="A542" s="318"/>
      <c r="B542" s="312"/>
      <c r="C542" s="312"/>
      <c r="D542" s="312"/>
      <c r="E542" s="312"/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  <c r="AP542" s="312"/>
      <c r="AQ542" s="312"/>
      <c r="AR542" s="312"/>
      <c r="AS542" s="312"/>
      <c r="AT542" s="312"/>
    </row>
    <row r="543" ht="15.75" customHeight="1">
      <c r="A543" s="318"/>
      <c r="B543" s="312"/>
      <c r="C543" s="312"/>
      <c r="D543" s="312"/>
      <c r="E543" s="312"/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  <c r="AP543" s="312"/>
      <c r="AQ543" s="312"/>
      <c r="AR543" s="312"/>
      <c r="AS543" s="312"/>
      <c r="AT543" s="312"/>
    </row>
    <row r="544" ht="15.75" customHeight="1">
      <c r="A544" s="318"/>
      <c r="B544" s="312"/>
      <c r="C544" s="312"/>
      <c r="D544" s="312"/>
      <c r="E544" s="312"/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  <c r="AP544" s="312"/>
      <c r="AQ544" s="312"/>
      <c r="AR544" s="312"/>
      <c r="AS544" s="312"/>
      <c r="AT544" s="312"/>
    </row>
    <row r="545" ht="15.75" customHeight="1">
      <c r="A545" s="318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  <c r="AP545" s="312"/>
      <c r="AQ545" s="312"/>
      <c r="AR545" s="312"/>
      <c r="AS545" s="312"/>
      <c r="AT545" s="312"/>
    </row>
    <row r="546" ht="15.75" customHeight="1">
      <c r="A546" s="318"/>
      <c r="B546" s="312"/>
      <c r="C546" s="312"/>
      <c r="D546" s="312"/>
      <c r="E546" s="312"/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  <c r="AP546" s="312"/>
      <c r="AQ546" s="312"/>
      <c r="AR546" s="312"/>
      <c r="AS546" s="312"/>
      <c r="AT546" s="312"/>
    </row>
    <row r="547" ht="15.75" customHeight="1">
      <c r="A547" s="318"/>
      <c r="B547" s="312"/>
      <c r="C547" s="312"/>
      <c r="D547" s="312"/>
      <c r="E547" s="312"/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  <c r="AP547" s="312"/>
      <c r="AQ547" s="312"/>
      <c r="AR547" s="312"/>
      <c r="AS547" s="312"/>
      <c r="AT547" s="312"/>
    </row>
    <row r="548" ht="15.75" customHeight="1">
      <c r="A548" s="318"/>
      <c r="B548" s="312"/>
      <c r="C548" s="312"/>
      <c r="D548" s="312"/>
      <c r="E548" s="312"/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  <c r="AP548" s="312"/>
      <c r="AQ548" s="312"/>
      <c r="AR548" s="312"/>
      <c r="AS548" s="312"/>
      <c r="AT548" s="312"/>
    </row>
    <row r="549" ht="15.75" customHeight="1">
      <c r="A549" s="318"/>
      <c r="B549" s="312"/>
      <c r="C549" s="312"/>
      <c r="D549" s="312"/>
      <c r="E549" s="312"/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  <c r="AP549" s="312"/>
      <c r="AQ549" s="312"/>
      <c r="AR549" s="312"/>
      <c r="AS549" s="312"/>
      <c r="AT549" s="312"/>
    </row>
    <row r="550" ht="15.75" customHeight="1">
      <c r="A550" s="318"/>
      <c r="B550" s="312"/>
      <c r="C550" s="312"/>
      <c r="D550" s="312"/>
      <c r="E550" s="312"/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  <c r="AP550" s="312"/>
      <c r="AQ550" s="312"/>
      <c r="AR550" s="312"/>
      <c r="AS550" s="312"/>
      <c r="AT550" s="312"/>
    </row>
    <row r="551" ht="15.75" customHeight="1">
      <c r="A551" s="318"/>
      <c r="B551" s="312"/>
      <c r="C551" s="312"/>
      <c r="D551" s="312"/>
      <c r="E551" s="312"/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  <c r="AP551" s="312"/>
      <c r="AQ551" s="312"/>
      <c r="AR551" s="312"/>
      <c r="AS551" s="312"/>
      <c r="AT551" s="312"/>
    </row>
    <row r="552" ht="15.75" customHeight="1">
      <c r="A552" s="318"/>
      <c r="B552" s="312"/>
      <c r="C552" s="312"/>
      <c r="D552" s="312"/>
      <c r="E552" s="312"/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  <c r="AP552" s="312"/>
      <c r="AQ552" s="312"/>
      <c r="AR552" s="312"/>
      <c r="AS552" s="312"/>
      <c r="AT552" s="312"/>
    </row>
    <row r="553" ht="15.75" customHeight="1">
      <c r="A553" s="318"/>
      <c r="B553" s="312"/>
      <c r="C553" s="312"/>
      <c r="D553" s="312"/>
      <c r="E553" s="312"/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  <c r="AP553" s="312"/>
      <c r="AQ553" s="312"/>
      <c r="AR553" s="312"/>
      <c r="AS553" s="312"/>
      <c r="AT553" s="312"/>
    </row>
    <row r="554" ht="15.75" customHeight="1">
      <c r="A554" s="318"/>
      <c r="B554" s="312"/>
      <c r="C554" s="312"/>
      <c r="D554" s="312"/>
      <c r="E554" s="312"/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  <c r="AP554" s="312"/>
      <c r="AQ554" s="312"/>
      <c r="AR554" s="312"/>
      <c r="AS554" s="312"/>
      <c r="AT554" s="312"/>
    </row>
    <row r="555" ht="15.75" customHeight="1">
      <c r="A555" s="318"/>
      <c r="B555" s="312"/>
      <c r="C555" s="312"/>
      <c r="D555" s="312"/>
      <c r="E555" s="312"/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  <c r="AP555" s="312"/>
      <c r="AQ555" s="312"/>
      <c r="AR555" s="312"/>
      <c r="AS555" s="312"/>
      <c r="AT555" s="312"/>
    </row>
    <row r="556" ht="15.75" customHeight="1">
      <c r="A556" s="318"/>
      <c r="B556" s="312"/>
      <c r="C556" s="312"/>
      <c r="D556" s="312"/>
      <c r="E556" s="312"/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  <c r="AP556" s="312"/>
      <c r="AQ556" s="312"/>
      <c r="AR556" s="312"/>
      <c r="AS556" s="312"/>
      <c r="AT556" s="312"/>
    </row>
    <row r="557" ht="15.75" customHeight="1">
      <c r="A557" s="318"/>
      <c r="B557" s="312"/>
      <c r="C557" s="312"/>
      <c r="D557" s="312"/>
      <c r="E557" s="312"/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  <c r="AP557" s="312"/>
      <c r="AQ557" s="312"/>
      <c r="AR557" s="312"/>
      <c r="AS557" s="312"/>
      <c r="AT557" s="312"/>
    </row>
    <row r="558" ht="15.75" customHeight="1">
      <c r="A558" s="318"/>
      <c r="B558" s="312"/>
      <c r="C558" s="312"/>
      <c r="D558" s="312"/>
      <c r="E558" s="312"/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  <c r="AP558" s="312"/>
      <c r="AQ558" s="312"/>
      <c r="AR558" s="312"/>
      <c r="AS558" s="312"/>
      <c r="AT558" s="312"/>
    </row>
    <row r="559" ht="15.75" customHeight="1">
      <c r="A559" s="318"/>
      <c r="B559" s="312"/>
      <c r="C559" s="312"/>
      <c r="D559" s="312"/>
      <c r="E559" s="312"/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  <c r="AP559" s="312"/>
      <c r="AQ559" s="312"/>
      <c r="AR559" s="312"/>
      <c r="AS559" s="312"/>
      <c r="AT559" s="312"/>
    </row>
    <row r="560" ht="15.75" customHeight="1">
      <c r="A560" s="318"/>
      <c r="B560" s="312"/>
      <c r="C560" s="312"/>
      <c r="D560" s="312"/>
      <c r="E560" s="312"/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  <c r="AP560" s="312"/>
      <c r="AQ560" s="312"/>
      <c r="AR560" s="312"/>
      <c r="AS560" s="312"/>
      <c r="AT560" s="312"/>
    </row>
    <row r="561" ht="15.75" customHeight="1">
      <c r="A561" s="318"/>
      <c r="B561" s="312"/>
      <c r="C561" s="312"/>
      <c r="D561" s="312"/>
      <c r="E561" s="312"/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  <c r="AP561" s="312"/>
      <c r="AQ561" s="312"/>
      <c r="AR561" s="312"/>
      <c r="AS561" s="312"/>
      <c r="AT561" s="312"/>
    </row>
    <row r="562" ht="15.75" customHeight="1">
      <c r="A562" s="318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  <c r="AP562" s="312"/>
      <c r="AQ562" s="312"/>
      <c r="AR562" s="312"/>
      <c r="AS562" s="312"/>
      <c r="AT562" s="312"/>
    </row>
    <row r="563" ht="15.75" customHeight="1">
      <c r="A563" s="318"/>
      <c r="B563" s="312"/>
      <c r="C563" s="312"/>
      <c r="D563" s="312"/>
      <c r="E563" s="312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  <c r="AP563" s="312"/>
      <c r="AQ563" s="312"/>
      <c r="AR563" s="312"/>
      <c r="AS563" s="312"/>
      <c r="AT563" s="312"/>
    </row>
    <row r="564" ht="15.75" customHeight="1">
      <c r="A564" s="318"/>
      <c r="B564" s="312"/>
      <c r="C564" s="312"/>
      <c r="D564" s="312"/>
      <c r="E564" s="312"/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  <c r="AP564" s="312"/>
      <c r="AQ564" s="312"/>
      <c r="AR564" s="312"/>
      <c r="AS564" s="312"/>
      <c r="AT564" s="312"/>
    </row>
    <row r="565" ht="15.75" customHeight="1">
      <c r="A565" s="318"/>
      <c r="B565" s="312"/>
      <c r="C565" s="312"/>
      <c r="D565" s="312"/>
      <c r="E565" s="312"/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  <c r="AP565" s="312"/>
      <c r="AQ565" s="312"/>
      <c r="AR565" s="312"/>
      <c r="AS565" s="312"/>
      <c r="AT565" s="312"/>
    </row>
    <row r="566" ht="15.75" customHeight="1">
      <c r="A566" s="318"/>
      <c r="B566" s="312"/>
      <c r="C566" s="312"/>
      <c r="D566" s="312"/>
      <c r="E566" s="312"/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  <c r="AP566" s="312"/>
      <c r="AQ566" s="312"/>
      <c r="AR566" s="312"/>
      <c r="AS566" s="312"/>
      <c r="AT566" s="312"/>
    </row>
    <row r="567" ht="15.75" customHeight="1">
      <c r="A567" s="318"/>
      <c r="B567" s="312"/>
      <c r="C567" s="312"/>
      <c r="D567" s="312"/>
      <c r="E567" s="312"/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  <c r="AP567" s="312"/>
      <c r="AQ567" s="312"/>
      <c r="AR567" s="312"/>
      <c r="AS567" s="312"/>
      <c r="AT567" s="312"/>
    </row>
    <row r="568" ht="15.75" customHeight="1">
      <c r="A568" s="318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  <c r="AP568" s="312"/>
      <c r="AQ568" s="312"/>
      <c r="AR568" s="312"/>
      <c r="AS568" s="312"/>
      <c r="AT568" s="312"/>
    </row>
    <row r="569" ht="15.75" customHeight="1">
      <c r="A569" s="318"/>
      <c r="B569" s="312"/>
      <c r="C569" s="312"/>
      <c r="D569" s="312"/>
      <c r="E569" s="312"/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  <c r="AP569" s="312"/>
      <c r="AQ569" s="312"/>
      <c r="AR569" s="312"/>
      <c r="AS569" s="312"/>
      <c r="AT569" s="312"/>
    </row>
    <row r="570" ht="15.75" customHeight="1">
      <c r="A570" s="318"/>
      <c r="B570" s="312"/>
      <c r="C570" s="312"/>
      <c r="D570" s="312"/>
      <c r="E570" s="312"/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  <c r="AP570" s="312"/>
      <c r="AQ570" s="312"/>
      <c r="AR570" s="312"/>
      <c r="AS570" s="312"/>
      <c r="AT570" s="312"/>
    </row>
    <row r="571" ht="15.75" customHeight="1">
      <c r="A571" s="318"/>
      <c r="B571" s="312"/>
      <c r="C571" s="312"/>
      <c r="D571" s="312"/>
      <c r="E571" s="312"/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  <c r="AP571" s="312"/>
      <c r="AQ571" s="312"/>
      <c r="AR571" s="312"/>
      <c r="AS571" s="312"/>
      <c r="AT571" s="312"/>
    </row>
    <row r="572" ht="15.75" customHeight="1">
      <c r="A572" s="318"/>
      <c r="B572" s="312"/>
      <c r="C572" s="312"/>
      <c r="D572" s="312"/>
      <c r="E572" s="312"/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  <c r="AP572" s="312"/>
      <c r="AQ572" s="312"/>
      <c r="AR572" s="312"/>
      <c r="AS572" s="312"/>
      <c r="AT572" s="312"/>
    </row>
    <row r="573" ht="15.75" customHeight="1">
      <c r="A573" s="318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  <c r="AP573" s="312"/>
      <c r="AQ573" s="312"/>
      <c r="AR573" s="312"/>
      <c r="AS573" s="312"/>
      <c r="AT573" s="312"/>
    </row>
    <row r="574" ht="15.75" customHeight="1">
      <c r="A574" s="318"/>
      <c r="B574" s="312"/>
      <c r="C574" s="312"/>
      <c r="D574" s="312"/>
      <c r="E574" s="312"/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  <c r="AP574" s="312"/>
      <c r="AQ574" s="312"/>
      <c r="AR574" s="312"/>
      <c r="AS574" s="312"/>
      <c r="AT574" s="312"/>
    </row>
    <row r="575" ht="15.75" customHeight="1">
      <c r="A575" s="318"/>
      <c r="B575" s="312"/>
      <c r="C575" s="312"/>
      <c r="D575" s="312"/>
      <c r="E575" s="312"/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  <c r="AP575" s="312"/>
      <c r="AQ575" s="312"/>
      <c r="AR575" s="312"/>
      <c r="AS575" s="312"/>
      <c r="AT575" s="312"/>
    </row>
    <row r="576" ht="15.75" customHeight="1">
      <c r="A576" s="318"/>
      <c r="B576" s="312"/>
      <c r="C576" s="312"/>
      <c r="D576" s="312"/>
      <c r="E576" s="312"/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  <c r="AP576" s="312"/>
      <c r="AQ576" s="312"/>
      <c r="AR576" s="312"/>
      <c r="AS576" s="312"/>
      <c r="AT576" s="312"/>
    </row>
    <row r="577" ht="15.75" customHeight="1">
      <c r="A577" s="318"/>
      <c r="B577" s="312"/>
      <c r="C577" s="312"/>
      <c r="D577" s="312"/>
      <c r="E577" s="312"/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  <c r="AP577" s="312"/>
      <c r="AQ577" s="312"/>
      <c r="AR577" s="312"/>
      <c r="AS577" s="312"/>
      <c r="AT577" s="312"/>
    </row>
    <row r="578" ht="15.75" customHeight="1">
      <c r="A578" s="318"/>
      <c r="B578" s="312"/>
      <c r="C578" s="312"/>
      <c r="D578" s="312"/>
      <c r="E578" s="312"/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  <c r="AP578" s="312"/>
      <c r="AQ578" s="312"/>
      <c r="AR578" s="312"/>
      <c r="AS578" s="312"/>
      <c r="AT578" s="312"/>
    </row>
    <row r="579" ht="15.75" customHeight="1">
      <c r="A579" s="318"/>
      <c r="B579" s="312"/>
      <c r="C579" s="312"/>
      <c r="D579" s="312"/>
      <c r="E579" s="312"/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  <c r="AP579" s="312"/>
      <c r="AQ579" s="312"/>
      <c r="AR579" s="312"/>
      <c r="AS579" s="312"/>
      <c r="AT579" s="312"/>
    </row>
    <row r="580" ht="15.75" customHeight="1">
      <c r="A580" s="318"/>
      <c r="B580" s="312"/>
      <c r="C580" s="312"/>
      <c r="D580" s="312"/>
      <c r="E580" s="312"/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  <c r="AP580" s="312"/>
      <c r="AQ580" s="312"/>
      <c r="AR580" s="312"/>
      <c r="AS580" s="312"/>
      <c r="AT580" s="312"/>
    </row>
    <row r="581" ht="15.75" customHeight="1">
      <c r="A581" s="318"/>
      <c r="B581" s="312"/>
      <c r="C581" s="312"/>
      <c r="D581" s="312"/>
      <c r="E581" s="312"/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  <c r="AP581" s="312"/>
      <c r="AQ581" s="312"/>
      <c r="AR581" s="312"/>
      <c r="AS581" s="312"/>
      <c r="AT581" s="312"/>
    </row>
    <row r="582" ht="15.75" customHeight="1">
      <c r="A582" s="318"/>
      <c r="B582" s="312"/>
      <c r="C582" s="312"/>
      <c r="D582" s="312"/>
      <c r="E582" s="312"/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  <c r="AP582" s="312"/>
      <c r="AQ582" s="312"/>
      <c r="AR582" s="312"/>
      <c r="AS582" s="312"/>
      <c r="AT582" s="312"/>
    </row>
    <row r="583" ht="15.75" customHeight="1">
      <c r="A583" s="318"/>
      <c r="B583" s="312"/>
      <c r="C583" s="312"/>
      <c r="D583" s="312"/>
      <c r="E583" s="312"/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  <c r="AP583" s="312"/>
      <c r="AQ583" s="312"/>
      <c r="AR583" s="312"/>
      <c r="AS583" s="312"/>
      <c r="AT583" s="312"/>
    </row>
    <row r="584" ht="15.75" customHeight="1">
      <c r="A584" s="318"/>
      <c r="B584" s="312"/>
      <c r="C584" s="312"/>
      <c r="D584" s="312"/>
      <c r="E584" s="312"/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  <c r="AP584" s="312"/>
      <c r="AQ584" s="312"/>
      <c r="AR584" s="312"/>
      <c r="AS584" s="312"/>
      <c r="AT584" s="312"/>
    </row>
    <row r="585" ht="15.75" customHeight="1">
      <c r="A585" s="318"/>
      <c r="B585" s="312"/>
      <c r="C585" s="312"/>
      <c r="D585" s="312"/>
      <c r="E585" s="312"/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  <c r="AP585" s="312"/>
      <c r="AQ585" s="312"/>
      <c r="AR585" s="312"/>
      <c r="AS585" s="312"/>
      <c r="AT585" s="312"/>
    </row>
    <row r="586" ht="15.75" customHeight="1">
      <c r="A586" s="318"/>
      <c r="B586" s="312"/>
      <c r="C586" s="312"/>
      <c r="D586" s="312"/>
      <c r="E586" s="312"/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  <c r="AP586" s="312"/>
      <c r="AQ586" s="312"/>
      <c r="AR586" s="312"/>
      <c r="AS586" s="312"/>
      <c r="AT586" s="312"/>
    </row>
    <row r="587" ht="15.75" customHeight="1">
      <c r="A587" s="318"/>
      <c r="B587" s="312"/>
      <c r="C587" s="312"/>
      <c r="D587" s="312"/>
      <c r="E587" s="312"/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  <c r="AP587" s="312"/>
      <c r="AQ587" s="312"/>
      <c r="AR587" s="312"/>
      <c r="AS587" s="312"/>
      <c r="AT587" s="312"/>
    </row>
    <row r="588" ht="15.75" customHeight="1">
      <c r="A588" s="318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  <c r="AP588" s="312"/>
      <c r="AQ588" s="312"/>
      <c r="AR588" s="312"/>
      <c r="AS588" s="312"/>
      <c r="AT588" s="312"/>
    </row>
    <row r="589" ht="15.75" customHeight="1">
      <c r="A589" s="318"/>
      <c r="B589" s="312"/>
      <c r="C589" s="312"/>
      <c r="D589" s="312"/>
      <c r="E589" s="312"/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  <c r="AP589" s="312"/>
      <c r="AQ589" s="312"/>
      <c r="AR589" s="312"/>
      <c r="AS589" s="312"/>
      <c r="AT589" s="312"/>
    </row>
    <row r="590" ht="15.75" customHeight="1">
      <c r="A590" s="318"/>
      <c r="B590" s="312"/>
      <c r="C590" s="312"/>
      <c r="D590" s="312"/>
      <c r="E590" s="312"/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  <c r="AP590" s="312"/>
      <c r="AQ590" s="312"/>
      <c r="AR590" s="312"/>
      <c r="AS590" s="312"/>
      <c r="AT590" s="312"/>
    </row>
    <row r="591" ht="15.75" customHeight="1">
      <c r="A591" s="318"/>
      <c r="B591" s="312"/>
      <c r="C591" s="312"/>
      <c r="D591" s="312"/>
      <c r="E591" s="312"/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  <c r="AP591" s="312"/>
      <c r="AQ591" s="312"/>
      <c r="AR591" s="312"/>
      <c r="AS591" s="312"/>
      <c r="AT591" s="312"/>
    </row>
    <row r="592" ht="15.75" customHeight="1">
      <c r="A592" s="318"/>
      <c r="B592" s="312"/>
      <c r="C592" s="312"/>
      <c r="D592" s="312"/>
      <c r="E592" s="312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  <c r="AP592" s="312"/>
      <c r="AQ592" s="312"/>
      <c r="AR592" s="312"/>
      <c r="AS592" s="312"/>
      <c r="AT592" s="312"/>
    </row>
    <row r="593" ht="15.75" customHeight="1">
      <c r="A593" s="318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  <c r="AP593" s="312"/>
      <c r="AQ593" s="312"/>
      <c r="AR593" s="312"/>
      <c r="AS593" s="312"/>
      <c r="AT593" s="312"/>
    </row>
    <row r="594" ht="15.75" customHeight="1">
      <c r="A594" s="318"/>
      <c r="B594" s="312"/>
      <c r="C594" s="312"/>
      <c r="D594" s="312"/>
      <c r="E594" s="312"/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  <c r="AP594" s="312"/>
      <c r="AQ594" s="312"/>
      <c r="AR594" s="312"/>
      <c r="AS594" s="312"/>
      <c r="AT594" s="312"/>
    </row>
    <row r="595" ht="15.75" customHeight="1">
      <c r="A595" s="318"/>
      <c r="B595" s="312"/>
      <c r="C595" s="312"/>
      <c r="D595" s="312"/>
      <c r="E595" s="312"/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  <c r="AP595" s="312"/>
      <c r="AQ595" s="312"/>
      <c r="AR595" s="312"/>
      <c r="AS595" s="312"/>
      <c r="AT595" s="312"/>
    </row>
    <row r="596" ht="15.75" customHeight="1">
      <c r="A596" s="318"/>
      <c r="B596" s="312"/>
      <c r="C596" s="312"/>
      <c r="D596" s="312"/>
      <c r="E596" s="312"/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  <c r="AP596" s="312"/>
      <c r="AQ596" s="312"/>
      <c r="AR596" s="312"/>
      <c r="AS596" s="312"/>
      <c r="AT596" s="312"/>
    </row>
    <row r="597" ht="15.75" customHeight="1">
      <c r="A597" s="318"/>
      <c r="B597" s="312"/>
      <c r="C597" s="312"/>
      <c r="D597" s="312"/>
      <c r="E597" s="312"/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  <c r="AP597" s="312"/>
      <c r="AQ597" s="312"/>
      <c r="AR597" s="312"/>
      <c r="AS597" s="312"/>
      <c r="AT597" s="312"/>
    </row>
    <row r="598" ht="15.75" customHeight="1">
      <c r="A598" s="318"/>
      <c r="B598" s="312"/>
      <c r="C598" s="312"/>
      <c r="D598" s="312"/>
      <c r="E598" s="312"/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  <c r="AP598" s="312"/>
      <c r="AQ598" s="312"/>
      <c r="AR598" s="312"/>
      <c r="AS598" s="312"/>
      <c r="AT598" s="312"/>
    </row>
    <row r="599" ht="15.75" customHeight="1">
      <c r="A599" s="318"/>
      <c r="B599" s="312"/>
      <c r="C599" s="312"/>
      <c r="D599" s="312"/>
      <c r="E599" s="312"/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  <c r="AP599" s="312"/>
      <c r="AQ599" s="312"/>
      <c r="AR599" s="312"/>
      <c r="AS599" s="312"/>
      <c r="AT599" s="312"/>
    </row>
    <row r="600" ht="15.75" customHeight="1">
      <c r="A600" s="318"/>
      <c r="B600" s="312"/>
      <c r="C600" s="312"/>
      <c r="D600" s="312"/>
      <c r="E600" s="312"/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  <c r="AP600" s="312"/>
      <c r="AQ600" s="312"/>
      <c r="AR600" s="312"/>
      <c r="AS600" s="312"/>
      <c r="AT600" s="312"/>
    </row>
    <row r="601" ht="15.75" customHeight="1">
      <c r="A601" s="318"/>
      <c r="B601" s="312"/>
      <c r="C601" s="312"/>
      <c r="D601" s="312"/>
      <c r="E601" s="312"/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  <c r="AP601" s="312"/>
      <c r="AQ601" s="312"/>
      <c r="AR601" s="312"/>
      <c r="AS601" s="312"/>
      <c r="AT601" s="312"/>
    </row>
    <row r="602" ht="15.75" customHeight="1">
      <c r="A602" s="318"/>
      <c r="B602" s="312"/>
      <c r="C602" s="312"/>
      <c r="D602" s="312"/>
      <c r="E602" s="312"/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  <c r="AP602" s="312"/>
      <c r="AQ602" s="312"/>
      <c r="AR602" s="312"/>
      <c r="AS602" s="312"/>
      <c r="AT602" s="312"/>
    </row>
    <row r="603" ht="15.75" customHeight="1">
      <c r="A603" s="318"/>
      <c r="B603" s="312"/>
      <c r="C603" s="312"/>
      <c r="D603" s="312"/>
      <c r="E603" s="312"/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  <c r="AP603" s="312"/>
      <c r="AQ603" s="312"/>
      <c r="AR603" s="312"/>
      <c r="AS603" s="312"/>
      <c r="AT603" s="312"/>
    </row>
    <row r="604" ht="15.75" customHeight="1">
      <c r="A604" s="318"/>
      <c r="B604" s="312"/>
      <c r="C604" s="312"/>
      <c r="D604" s="312"/>
      <c r="E604" s="312"/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  <c r="AP604" s="312"/>
      <c r="AQ604" s="312"/>
      <c r="AR604" s="312"/>
      <c r="AS604" s="312"/>
      <c r="AT604" s="312"/>
    </row>
    <row r="605" ht="15.75" customHeight="1">
      <c r="A605" s="318"/>
      <c r="B605" s="312"/>
      <c r="C605" s="312"/>
      <c r="D605" s="312"/>
      <c r="E605" s="312"/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  <c r="AP605" s="312"/>
      <c r="AQ605" s="312"/>
      <c r="AR605" s="312"/>
      <c r="AS605" s="312"/>
      <c r="AT605" s="312"/>
    </row>
    <row r="606" ht="15.75" customHeight="1">
      <c r="A606" s="318"/>
      <c r="B606" s="312"/>
      <c r="C606" s="312"/>
      <c r="D606" s="312"/>
      <c r="E606" s="312"/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  <c r="AP606" s="312"/>
      <c r="AQ606" s="312"/>
      <c r="AR606" s="312"/>
      <c r="AS606" s="312"/>
      <c r="AT606" s="312"/>
    </row>
    <row r="607" ht="15.75" customHeight="1">
      <c r="A607" s="318"/>
      <c r="B607" s="312"/>
      <c r="C607" s="312"/>
      <c r="D607" s="312"/>
      <c r="E607" s="312"/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  <c r="AP607" s="312"/>
      <c r="AQ607" s="312"/>
      <c r="AR607" s="312"/>
      <c r="AS607" s="312"/>
      <c r="AT607" s="312"/>
    </row>
    <row r="608" ht="15.75" customHeight="1">
      <c r="A608" s="318"/>
      <c r="B608" s="312"/>
      <c r="C608" s="312"/>
      <c r="D608" s="312"/>
      <c r="E608" s="312"/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  <c r="AP608" s="312"/>
      <c r="AQ608" s="312"/>
      <c r="AR608" s="312"/>
      <c r="AS608" s="312"/>
      <c r="AT608" s="312"/>
    </row>
    <row r="609" ht="15.75" customHeight="1">
      <c r="A609" s="318"/>
      <c r="B609" s="312"/>
      <c r="C609" s="312"/>
      <c r="D609" s="312"/>
      <c r="E609" s="312"/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  <c r="AP609" s="312"/>
      <c r="AQ609" s="312"/>
      <c r="AR609" s="312"/>
      <c r="AS609" s="312"/>
      <c r="AT609" s="312"/>
    </row>
    <row r="610" ht="15.75" customHeight="1">
      <c r="A610" s="318"/>
      <c r="B610" s="312"/>
      <c r="C610" s="312"/>
      <c r="D610" s="312"/>
      <c r="E610" s="312"/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  <c r="AP610" s="312"/>
      <c r="AQ610" s="312"/>
      <c r="AR610" s="312"/>
      <c r="AS610" s="312"/>
      <c r="AT610" s="312"/>
    </row>
    <row r="611" ht="15.75" customHeight="1">
      <c r="A611" s="318"/>
      <c r="B611" s="312"/>
      <c r="C611" s="312"/>
      <c r="D611" s="312"/>
      <c r="E611" s="312"/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  <c r="AP611" s="312"/>
      <c r="AQ611" s="312"/>
      <c r="AR611" s="312"/>
      <c r="AS611" s="312"/>
      <c r="AT611" s="312"/>
    </row>
    <row r="612" ht="15.75" customHeight="1">
      <c r="A612" s="318"/>
      <c r="B612" s="312"/>
      <c r="C612" s="312"/>
      <c r="D612" s="312"/>
      <c r="E612" s="312"/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  <c r="AP612" s="312"/>
      <c r="AQ612" s="312"/>
      <c r="AR612" s="312"/>
      <c r="AS612" s="312"/>
      <c r="AT612" s="312"/>
    </row>
    <row r="613" ht="15.75" customHeight="1">
      <c r="A613" s="318"/>
      <c r="B613" s="312"/>
      <c r="C613" s="312"/>
      <c r="D613" s="312"/>
      <c r="E613" s="312"/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  <c r="AP613" s="312"/>
      <c r="AQ613" s="312"/>
      <c r="AR613" s="312"/>
      <c r="AS613" s="312"/>
      <c r="AT613" s="312"/>
    </row>
    <row r="614" ht="15.75" customHeight="1">
      <c r="A614" s="318"/>
      <c r="B614" s="312"/>
      <c r="C614" s="312"/>
      <c r="D614" s="312"/>
      <c r="E614" s="312"/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  <c r="AP614" s="312"/>
      <c r="AQ614" s="312"/>
      <c r="AR614" s="312"/>
      <c r="AS614" s="312"/>
      <c r="AT614" s="312"/>
    </row>
    <row r="615" ht="15.75" customHeight="1">
      <c r="A615" s="318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  <c r="AP615" s="312"/>
      <c r="AQ615" s="312"/>
      <c r="AR615" s="312"/>
      <c r="AS615" s="312"/>
      <c r="AT615" s="312"/>
    </row>
    <row r="616" ht="15.75" customHeight="1">
      <c r="A616" s="318"/>
      <c r="B616" s="312"/>
      <c r="C616" s="312"/>
      <c r="D616" s="312"/>
      <c r="E616" s="312"/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  <c r="AP616" s="312"/>
      <c r="AQ616" s="312"/>
      <c r="AR616" s="312"/>
      <c r="AS616" s="312"/>
      <c r="AT616" s="312"/>
    </row>
    <row r="617" ht="15.75" customHeight="1">
      <c r="A617" s="318"/>
      <c r="B617" s="312"/>
      <c r="C617" s="312"/>
      <c r="D617" s="312"/>
      <c r="E617" s="312"/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  <c r="AP617" s="312"/>
      <c r="AQ617" s="312"/>
      <c r="AR617" s="312"/>
      <c r="AS617" s="312"/>
      <c r="AT617" s="312"/>
    </row>
    <row r="618" ht="15.75" customHeight="1">
      <c r="A618" s="318"/>
      <c r="B618" s="312"/>
      <c r="C618" s="312"/>
      <c r="D618" s="312"/>
      <c r="E618" s="312"/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  <c r="AP618" s="312"/>
      <c r="AQ618" s="312"/>
      <c r="AR618" s="312"/>
      <c r="AS618" s="312"/>
      <c r="AT618" s="312"/>
    </row>
    <row r="619" ht="15.75" customHeight="1">
      <c r="A619" s="318"/>
      <c r="B619" s="312"/>
      <c r="C619" s="312"/>
      <c r="D619" s="312"/>
      <c r="E619" s="312"/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  <c r="AP619" s="312"/>
      <c r="AQ619" s="312"/>
      <c r="AR619" s="312"/>
      <c r="AS619" s="312"/>
      <c r="AT619" s="312"/>
    </row>
    <row r="620" ht="15.75" customHeight="1">
      <c r="A620" s="318"/>
      <c r="B620" s="312"/>
      <c r="C620" s="312"/>
      <c r="D620" s="312"/>
      <c r="E620" s="312"/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  <c r="AP620" s="312"/>
      <c r="AQ620" s="312"/>
      <c r="AR620" s="312"/>
      <c r="AS620" s="312"/>
      <c r="AT620" s="312"/>
    </row>
    <row r="621" ht="15.75" customHeight="1">
      <c r="A621" s="318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  <c r="AP621" s="312"/>
      <c r="AQ621" s="312"/>
      <c r="AR621" s="312"/>
      <c r="AS621" s="312"/>
      <c r="AT621" s="312"/>
    </row>
    <row r="622" ht="15.75" customHeight="1">
      <c r="A622" s="318"/>
      <c r="B622" s="312"/>
      <c r="C622" s="312"/>
      <c r="D622" s="312"/>
      <c r="E622" s="312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  <c r="AP622" s="312"/>
      <c r="AQ622" s="312"/>
      <c r="AR622" s="312"/>
      <c r="AS622" s="312"/>
      <c r="AT622" s="312"/>
    </row>
    <row r="623" ht="15.75" customHeight="1">
      <c r="A623" s="318"/>
      <c r="B623" s="312"/>
      <c r="C623" s="312"/>
      <c r="D623" s="312"/>
      <c r="E623" s="312"/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  <c r="AP623" s="312"/>
      <c r="AQ623" s="312"/>
      <c r="AR623" s="312"/>
      <c r="AS623" s="312"/>
      <c r="AT623" s="312"/>
    </row>
    <row r="624" ht="15.75" customHeight="1">
      <c r="A624" s="318"/>
      <c r="B624" s="312"/>
      <c r="C624" s="312"/>
      <c r="D624" s="312"/>
      <c r="E624" s="312"/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  <c r="AP624" s="312"/>
      <c r="AQ624" s="312"/>
      <c r="AR624" s="312"/>
      <c r="AS624" s="312"/>
      <c r="AT624" s="312"/>
    </row>
    <row r="625" ht="15.75" customHeight="1">
      <c r="A625" s="318"/>
      <c r="B625" s="312"/>
      <c r="C625" s="312"/>
      <c r="D625" s="312"/>
      <c r="E625" s="312"/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  <c r="AP625" s="312"/>
      <c r="AQ625" s="312"/>
      <c r="AR625" s="312"/>
      <c r="AS625" s="312"/>
      <c r="AT625" s="312"/>
    </row>
    <row r="626" ht="15.75" customHeight="1">
      <c r="A626" s="318"/>
      <c r="B626" s="312"/>
      <c r="C626" s="312"/>
      <c r="D626" s="312"/>
      <c r="E626" s="312"/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  <c r="AP626" s="312"/>
      <c r="AQ626" s="312"/>
      <c r="AR626" s="312"/>
      <c r="AS626" s="312"/>
      <c r="AT626" s="312"/>
    </row>
    <row r="627" ht="15.75" customHeight="1">
      <c r="A627" s="318"/>
      <c r="B627" s="312"/>
      <c r="C627" s="312"/>
      <c r="D627" s="312"/>
      <c r="E627" s="312"/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  <c r="AP627" s="312"/>
      <c r="AQ627" s="312"/>
      <c r="AR627" s="312"/>
      <c r="AS627" s="312"/>
      <c r="AT627" s="312"/>
    </row>
    <row r="628" ht="15.75" customHeight="1">
      <c r="A628" s="318"/>
      <c r="B628" s="312"/>
      <c r="C628" s="312"/>
      <c r="D628" s="312"/>
      <c r="E628" s="312"/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  <c r="AP628" s="312"/>
      <c r="AQ628" s="312"/>
      <c r="AR628" s="312"/>
      <c r="AS628" s="312"/>
      <c r="AT628" s="312"/>
    </row>
    <row r="629" ht="15.75" customHeight="1">
      <c r="A629" s="318"/>
      <c r="B629" s="312"/>
      <c r="C629" s="312"/>
      <c r="D629" s="312"/>
      <c r="E629" s="312"/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  <c r="AP629" s="312"/>
      <c r="AQ629" s="312"/>
      <c r="AR629" s="312"/>
      <c r="AS629" s="312"/>
      <c r="AT629" s="312"/>
    </row>
    <row r="630" ht="15.75" customHeight="1">
      <c r="A630" s="318"/>
      <c r="B630" s="312"/>
      <c r="C630" s="312"/>
      <c r="D630" s="312"/>
      <c r="E630" s="312"/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  <c r="AP630" s="312"/>
      <c r="AQ630" s="312"/>
      <c r="AR630" s="312"/>
      <c r="AS630" s="312"/>
      <c r="AT630" s="312"/>
    </row>
    <row r="631" ht="15.75" customHeight="1">
      <c r="A631" s="318"/>
      <c r="B631" s="312"/>
      <c r="C631" s="312"/>
      <c r="D631" s="312"/>
      <c r="E631" s="312"/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  <c r="AP631" s="312"/>
      <c r="AQ631" s="312"/>
      <c r="AR631" s="312"/>
      <c r="AS631" s="312"/>
      <c r="AT631" s="312"/>
    </row>
    <row r="632" ht="15.75" customHeight="1">
      <c r="A632" s="318"/>
      <c r="B632" s="312"/>
      <c r="C632" s="312"/>
      <c r="D632" s="312"/>
      <c r="E632" s="312"/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  <c r="AP632" s="312"/>
      <c r="AQ632" s="312"/>
      <c r="AR632" s="312"/>
      <c r="AS632" s="312"/>
      <c r="AT632" s="312"/>
    </row>
    <row r="633" ht="15.75" customHeight="1">
      <c r="A633" s="318"/>
      <c r="B633" s="312"/>
      <c r="C633" s="312"/>
      <c r="D633" s="312"/>
      <c r="E633" s="312"/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  <c r="AP633" s="312"/>
      <c r="AQ633" s="312"/>
      <c r="AR633" s="312"/>
      <c r="AS633" s="312"/>
      <c r="AT633" s="312"/>
    </row>
    <row r="634" ht="15.75" customHeight="1">
      <c r="A634" s="318"/>
      <c r="B634" s="312"/>
      <c r="C634" s="312"/>
      <c r="D634" s="312"/>
      <c r="E634" s="312"/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  <c r="AP634" s="312"/>
      <c r="AQ634" s="312"/>
      <c r="AR634" s="312"/>
      <c r="AS634" s="312"/>
      <c r="AT634" s="312"/>
    </row>
    <row r="635" ht="15.75" customHeight="1">
      <c r="A635" s="318"/>
      <c r="B635" s="312"/>
      <c r="C635" s="312"/>
      <c r="D635" s="312"/>
      <c r="E635" s="312"/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  <c r="AP635" s="312"/>
      <c r="AQ635" s="312"/>
      <c r="AR635" s="312"/>
      <c r="AS635" s="312"/>
      <c r="AT635" s="312"/>
    </row>
    <row r="636" ht="15.75" customHeight="1">
      <c r="A636" s="318"/>
      <c r="B636" s="312"/>
      <c r="C636" s="312"/>
      <c r="D636" s="312"/>
      <c r="E636" s="312"/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  <c r="AP636" s="312"/>
      <c r="AQ636" s="312"/>
      <c r="AR636" s="312"/>
      <c r="AS636" s="312"/>
      <c r="AT636" s="312"/>
    </row>
    <row r="637" ht="15.75" customHeight="1">
      <c r="A637" s="318"/>
      <c r="B637" s="312"/>
      <c r="C637" s="312"/>
      <c r="D637" s="312"/>
      <c r="E637" s="312"/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  <c r="AP637" s="312"/>
      <c r="AQ637" s="312"/>
      <c r="AR637" s="312"/>
      <c r="AS637" s="312"/>
      <c r="AT637" s="312"/>
    </row>
    <row r="638" ht="15.75" customHeight="1">
      <c r="A638" s="318"/>
      <c r="B638" s="312"/>
      <c r="C638" s="312"/>
      <c r="D638" s="312"/>
      <c r="E638" s="312"/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  <c r="AP638" s="312"/>
      <c r="AQ638" s="312"/>
      <c r="AR638" s="312"/>
      <c r="AS638" s="312"/>
      <c r="AT638" s="312"/>
    </row>
    <row r="639" ht="15.75" customHeight="1">
      <c r="A639" s="318"/>
      <c r="B639" s="312"/>
      <c r="C639" s="312"/>
      <c r="D639" s="312"/>
      <c r="E639" s="312"/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  <c r="AP639" s="312"/>
      <c r="AQ639" s="312"/>
      <c r="AR639" s="312"/>
      <c r="AS639" s="312"/>
      <c r="AT639" s="312"/>
    </row>
    <row r="640" ht="15.75" customHeight="1">
      <c r="A640" s="318"/>
      <c r="B640" s="312"/>
      <c r="C640" s="312"/>
      <c r="D640" s="312"/>
      <c r="E640" s="312"/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  <c r="AP640" s="312"/>
      <c r="AQ640" s="312"/>
      <c r="AR640" s="312"/>
      <c r="AS640" s="312"/>
      <c r="AT640" s="312"/>
    </row>
    <row r="641" ht="15.75" customHeight="1">
      <c r="A641" s="318"/>
      <c r="B641" s="312"/>
      <c r="C641" s="312"/>
      <c r="D641" s="312"/>
      <c r="E641" s="312"/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  <c r="AP641" s="312"/>
      <c r="AQ641" s="312"/>
      <c r="AR641" s="312"/>
      <c r="AS641" s="312"/>
      <c r="AT641" s="312"/>
    </row>
    <row r="642" ht="15.75" customHeight="1">
      <c r="A642" s="318"/>
      <c r="B642" s="312"/>
      <c r="C642" s="312"/>
      <c r="D642" s="312"/>
      <c r="E642" s="312"/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  <c r="AP642" s="312"/>
      <c r="AQ642" s="312"/>
      <c r="AR642" s="312"/>
      <c r="AS642" s="312"/>
      <c r="AT642" s="312"/>
    </row>
    <row r="643" ht="15.75" customHeight="1">
      <c r="A643" s="318"/>
      <c r="B643" s="312"/>
      <c r="C643" s="312"/>
      <c r="D643" s="312"/>
      <c r="E643" s="312"/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  <c r="AP643" s="312"/>
      <c r="AQ643" s="312"/>
      <c r="AR643" s="312"/>
      <c r="AS643" s="312"/>
      <c r="AT643" s="312"/>
    </row>
    <row r="644" ht="15.75" customHeight="1">
      <c r="A644" s="318"/>
      <c r="B644" s="312"/>
      <c r="C644" s="312"/>
      <c r="D644" s="312"/>
      <c r="E644" s="312"/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  <c r="AP644" s="312"/>
      <c r="AQ644" s="312"/>
      <c r="AR644" s="312"/>
      <c r="AS644" s="312"/>
      <c r="AT644" s="312"/>
    </row>
    <row r="645" ht="15.75" customHeight="1">
      <c r="A645" s="318"/>
      <c r="B645" s="312"/>
      <c r="C645" s="312"/>
      <c r="D645" s="312"/>
      <c r="E645" s="312"/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  <c r="AP645" s="312"/>
      <c r="AQ645" s="312"/>
      <c r="AR645" s="312"/>
      <c r="AS645" s="312"/>
      <c r="AT645" s="312"/>
    </row>
    <row r="646" ht="15.75" customHeight="1">
      <c r="A646" s="318"/>
      <c r="B646" s="312"/>
      <c r="C646" s="312"/>
      <c r="D646" s="312"/>
      <c r="E646" s="312"/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  <c r="AP646" s="312"/>
      <c r="AQ646" s="312"/>
      <c r="AR646" s="312"/>
      <c r="AS646" s="312"/>
      <c r="AT646" s="312"/>
    </row>
    <row r="647" ht="15.75" customHeight="1">
      <c r="A647" s="318"/>
      <c r="B647" s="312"/>
      <c r="C647" s="312"/>
      <c r="D647" s="312"/>
      <c r="E647" s="312"/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  <c r="AP647" s="312"/>
      <c r="AQ647" s="312"/>
      <c r="AR647" s="312"/>
      <c r="AS647" s="312"/>
      <c r="AT647" s="312"/>
    </row>
    <row r="648" ht="15.75" customHeight="1">
      <c r="A648" s="318"/>
      <c r="B648" s="312"/>
      <c r="C648" s="312"/>
      <c r="D648" s="312"/>
      <c r="E648" s="312"/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  <c r="AP648" s="312"/>
      <c r="AQ648" s="312"/>
      <c r="AR648" s="312"/>
      <c r="AS648" s="312"/>
      <c r="AT648" s="312"/>
    </row>
    <row r="649" ht="15.75" customHeight="1">
      <c r="A649" s="318"/>
      <c r="B649" s="312"/>
      <c r="C649" s="312"/>
      <c r="D649" s="312"/>
      <c r="E649" s="312"/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  <c r="AP649" s="312"/>
      <c r="AQ649" s="312"/>
      <c r="AR649" s="312"/>
      <c r="AS649" s="312"/>
      <c r="AT649" s="312"/>
    </row>
    <row r="650" ht="15.75" customHeight="1">
      <c r="A650" s="318"/>
      <c r="B650" s="312"/>
      <c r="C650" s="312"/>
      <c r="D650" s="312"/>
      <c r="E650" s="312"/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  <c r="AP650" s="312"/>
      <c r="AQ650" s="312"/>
      <c r="AR650" s="312"/>
      <c r="AS650" s="312"/>
      <c r="AT650" s="312"/>
    </row>
    <row r="651" ht="15.75" customHeight="1">
      <c r="A651" s="318"/>
      <c r="B651" s="312"/>
      <c r="C651" s="312"/>
      <c r="D651" s="312"/>
      <c r="E651" s="312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  <c r="AP651" s="312"/>
      <c r="AQ651" s="312"/>
      <c r="AR651" s="312"/>
      <c r="AS651" s="312"/>
      <c r="AT651" s="312"/>
    </row>
    <row r="652" ht="15.75" customHeight="1">
      <c r="A652" s="318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  <c r="AP652" s="312"/>
      <c r="AQ652" s="312"/>
      <c r="AR652" s="312"/>
      <c r="AS652" s="312"/>
      <c r="AT652" s="312"/>
    </row>
    <row r="653" ht="15.75" customHeight="1">
      <c r="A653" s="318"/>
      <c r="B653" s="312"/>
      <c r="C653" s="312"/>
      <c r="D653" s="312"/>
      <c r="E653" s="312"/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  <c r="AP653" s="312"/>
      <c r="AQ653" s="312"/>
      <c r="AR653" s="312"/>
      <c r="AS653" s="312"/>
      <c r="AT653" s="312"/>
    </row>
    <row r="654" ht="15.75" customHeight="1">
      <c r="A654" s="318"/>
      <c r="B654" s="312"/>
      <c r="C654" s="312"/>
      <c r="D654" s="312"/>
      <c r="E654" s="312"/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  <c r="AP654" s="312"/>
      <c r="AQ654" s="312"/>
      <c r="AR654" s="312"/>
      <c r="AS654" s="312"/>
      <c r="AT654" s="312"/>
    </row>
    <row r="655" ht="15.75" customHeight="1">
      <c r="A655" s="318"/>
      <c r="B655" s="312"/>
      <c r="C655" s="312"/>
      <c r="D655" s="312"/>
      <c r="E655" s="312"/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  <c r="AP655" s="312"/>
      <c r="AQ655" s="312"/>
      <c r="AR655" s="312"/>
      <c r="AS655" s="312"/>
      <c r="AT655" s="312"/>
    </row>
    <row r="656" ht="15.75" customHeight="1">
      <c r="A656" s="318"/>
      <c r="B656" s="312"/>
      <c r="C656" s="312"/>
      <c r="D656" s="312"/>
      <c r="E656" s="312"/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  <c r="AP656" s="312"/>
      <c r="AQ656" s="312"/>
      <c r="AR656" s="312"/>
      <c r="AS656" s="312"/>
      <c r="AT656" s="312"/>
    </row>
    <row r="657" ht="15.75" customHeight="1">
      <c r="A657" s="318"/>
      <c r="B657" s="312"/>
      <c r="C657" s="312"/>
      <c r="D657" s="312"/>
      <c r="E657" s="312"/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  <c r="AP657" s="312"/>
      <c r="AQ657" s="312"/>
      <c r="AR657" s="312"/>
      <c r="AS657" s="312"/>
      <c r="AT657" s="312"/>
    </row>
    <row r="658" ht="15.75" customHeight="1">
      <c r="A658" s="318"/>
      <c r="B658" s="312"/>
      <c r="C658" s="312"/>
      <c r="D658" s="312"/>
      <c r="E658" s="312"/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  <c r="AP658" s="312"/>
      <c r="AQ658" s="312"/>
      <c r="AR658" s="312"/>
      <c r="AS658" s="312"/>
      <c r="AT658" s="312"/>
    </row>
    <row r="659" ht="15.75" customHeight="1">
      <c r="A659" s="318"/>
      <c r="B659" s="312"/>
      <c r="C659" s="312"/>
      <c r="D659" s="312"/>
      <c r="E659" s="312"/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  <c r="AP659" s="312"/>
      <c r="AQ659" s="312"/>
      <c r="AR659" s="312"/>
      <c r="AS659" s="312"/>
      <c r="AT659" s="312"/>
    </row>
    <row r="660" ht="15.75" customHeight="1">
      <c r="A660" s="318"/>
      <c r="B660" s="312"/>
      <c r="C660" s="312"/>
      <c r="D660" s="312"/>
      <c r="E660" s="312"/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  <c r="AP660" s="312"/>
      <c r="AQ660" s="312"/>
      <c r="AR660" s="312"/>
      <c r="AS660" s="312"/>
      <c r="AT660" s="312"/>
    </row>
    <row r="661" ht="15.75" customHeight="1">
      <c r="A661" s="318"/>
      <c r="B661" s="312"/>
      <c r="C661" s="312"/>
      <c r="D661" s="312"/>
      <c r="E661" s="312"/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  <c r="AP661" s="312"/>
      <c r="AQ661" s="312"/>
      <c r="AR661" s="312"/>
      <c r="AS661" s="312"/>
      <c r="AT661" s="312"/>
    </row>
    <row r="662" ht="15.75" customHeight="1">
      <c r="A662" s="318"/>
      <c r="B662" s="312"/>
      <c r="C662" s="312"/>
      <c r="D662" s="312"/>
      <c r="E662" s="312"/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  <c r="AP662" s="312"/>
      <c r="AQ662" s="312"/>
      <c r="AR662" s="312"/>
      <c r="AS662" s="312"/>
      <c r="AT662" s="312"/>
    </row>
    <row r="663" ht="15.75" customHeight="1">
      <c r="A663" s="318"/>
      <c r="B663" s="312"/>
      <c r="C663" s="312"/>
      <c r="D663" s="312"/>
      <c r="E663" s="312"/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  <c r="AP663" s="312"/>
      <c r="AQ663" s="312"/>
      <c r="AR663" s="312"/>
      <c r="AS663" s="312"/>
      <c r="AT663" s="312"/>
    </row>
    <row r="664" ht="15.75" customHeight="1">
      <c r="A664" s="318"/>
      <c r="B664" s="312"/>
      <c r="C664" s="312"/>
      <c r="D664" s="312"/>
      <c r="E664" s="312"/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  <c r="AP664" s="312"/>
      <c r="AQ664" s="312"/>
      <c r="AR664" s="312"/>
      <c r="AS664" s="312"/>
      <c r="AT664" s="312"/>
    </row>
    <row r="665" ht="15.75" customHeight="1">
      <c r="A665" s="318"/>
      <c r="B665" s="312"/>
      <c r="C665" s="312"/>
      <c r="D665" s="312"/>
      <c r="E665" s="312"/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  <c r="AP665" s="312"/>
      <c r="AQ665" s="312"/>
      <c r="AR665" s="312"/>
      <c r="AS665" s="312"/>
      <c r="AT665" s="312"/>
    </row>
    <row r="666" ht="15.75" customHeight="1">
      <c r="A666" s="318"/>
      <c r="B666" s="312"/>
      <c r="C666" s="312"/>
      <c r="D666" s="312"/>
      <c r="E666" s="312"/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  <c r="AP666" s="312"/>
      <c r="AQ666" s="312"/>
      <c r="AR666" s="312"/>
      <c r="AS666" s="312"/>
      <c r="AT666" s="312"/>
    </row>
    <row r="667" ht="15.75" customHeight="1">
      <c r="A667" s="318"/>
      <c r="B667" s="312"/>
      <c r="C667" s="312"/>
      <c r="D667" s="312"/>
      <c r="E667" s="312"/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  <c r="AP667" s="312"/>
      <c r="AQ667" s="312"/>
      <c r="AR667" s="312"/>
      <c r="AS667" s="312"/>
      <c r="AT667" s="312"/>
    </row>
    <row r="668" ht="15.75" customHeight="1">
      <c r="A668" s="318"/>
      <c r="B668" s="312"/>
      <c r="C668" s="312"/>
      <c r="D668" s="312"/>
      <c r="E668" s="312"/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  <c r="AP668" s="312"/>
      <c r="AQ668" s="312"/>
      <c r="AR668" s="312"/>
      <c r="AS668" s="312"/>
      <c r="AT668" s="312"/>
    </row>
    <row r="669" ht="15.75" customHeight="1">
      <c r="A669" s="318"/>
      <c r="B669" s="312"/>
      <c r="C669" s="312"/>
      <c r="D669" s="312"/>
      <c r="E669" s="312"/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  <c r="AP669" s="312"/>
      <c r="AQ669" s="312"/>
      <c r="AR669" s="312"/>
      <c r="AS669" s="312"/>
      <c r="AT669" s="312"/>
    </row>
    <row r="670" ht="15.75" customHeight="1">
      <c r="A670" s="318"/>
      <c r="B670" s="312"/>
      <c r="C670" s="312"/>
      <c r="D670" s="312"/>
      <c r="E670" s="312"/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  <c r="AP670" s="312"/>
      <c r="AQ670" s="312"/>
      <c r="AR670" s="312"/>
      <c r="AS670" s="312"/>
      <c r="AT670" s="312"/>
    </row>
    <row r="671" ht="15.75" customHeight="1">
      <c r="A671" s="318"/>
      <c r="B671" s="312"/>
      <c r="C671" s="312"/>
      <c r="D671" s="312"/>
      <c r="E671" s="312"/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  <c r="AP671" s="312"/>
      <c r="AQ671" s="312"/>
      <c r="AR671" s="312"/>
      <c r="AS671" s="312"/>
      <c r="AT671" s="312"/>
    </row>
    <row r="672" ht="15.75" customHeight="1">
      <c r="A672" s="318"/>
      <c r="B672" s="312"/>
      <c r="C672" s="312"/>
      <c r="D672" s="312"/>
      <c r="E672" s="312"/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  <c r="AP672" s="312"/>
      <c r="AQ672" s="312"/>
      <c r="AR672" s="312"/>
      <c r="AS672" s="312"/>
      <c r="AT672" s="312"/>
    </row>
    <row r="673" ht="15.75" customHeight="1">
      <c r="A673" s="318"/>
      <c r="B673" s="312"/>
      <c r="C673" s="312"/>
      <c r="D673" s="312"/>
      <c r="E673" s="312"/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  <c r="AP673" s="312"/>
      <c r="AQ673" s="312"/>
      <c r="AR673" s="312"/>
      <c r="AS673" s="312"/>
      <c r="AT673" s="312"/>
    </row>
    <row r="674" ht="15.75" customHeight="1">
      <c r="A674" s="318"/>
      <c r="B674" s="312"/>
      <c r="C674" s="312"/>
      <c r="D674" s="312"/>
      <c r="E674" s="312"/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  <c r="AP674" s="312"/>
      <c r="AQ674" s="312"/>
      <c r="AR674" s="312"/>
      <c r="AS674" s="312"/>
      <c r="AT674" s="312"/>
    </row>
    <row r="675" ht="15.75" customHeight="1">
      <c r="A675" s="318"/>
      <c r="B675" s="312"/>
      <c r="C675" s="312"/>
      <c r="D675" s="312"/>
      <c r="E675" s="312"/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  <c r="AP675" s="312"/>
      <c r="AQ675" s="312"/>
      <c r="AR675" s="312"/>
      <c r="AS675" s="312"/>
      <c r="AT675" s="312"/>
    </row>
    <row r="676" ht="15.75" customHeight="1">
      <c r="A676" s="318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  <c r="AP676" s="312"/>
      <c r="AQ676" s="312"/>
      <c r="AR676" s="312"/>
      <c r="AS676" s="312"/>
      <c r="AT676" s="312"/>
    </row>
    <row r="677" ht="15.75" customHeight="1">
      <c r="A677" s="318"/>
      <c r="B677" s="312"/>
      <c r="C677" s="312"/>
      <c r="D677" s="312"/>
      <c r="E677" s="312"/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  <c r="AP677" s="312"/>
      <c r="AQ677" s="312"/>
      <c r="AR677" s="312"/>
      <c r="AS677" s="312"/>
      <c r="AT677" s="312"/>
    </row>
    <row r="678" ht="15.75" customHeight="1">
      <c r="A678" s="318"/>
      <c r="B678" s="312"/>
      <c r="C678" s="312"/>
      <c r="D678" s="312"/>
      <c r="E678" s="312"/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  <c r="AP678" s="312"/>
      <c r="AQ678" s="312"/>
      <c r="AR678" s="312"/>
      <c r="AS678" s="312"/>
      <c r="AT678" s="312"/>
    </row>
    <row r="679" ht="15.75" customHeight="1">
      <c r="A679" s="318"/>
      <c r="B679" s="312"/>
      <c r="C679" s="312"/>
      <c r="D679" s="312"/>
      <c r="E679" s="312"/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  <c r="AP679" s="312"/>
      <c r="AQ679" s="312"/>
      <c r="AR679" s="312"/>
      <c r="AS679" s="312"/>
      <c r="AT679" s="312"/>
    </row>
    <row r="680" ht="15.75" customHeight="1">
      <c r="A680" s="318"/>
      <c r="B680" s="312"/>
      <c r="C680" s="312"/>
      <c r="D680" s="312"/>
      <c r="E680" s="312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  <c r="AP680" s="312"/>
      <c r="AQ680" s="312"/>
      <c r="AR680" s="312"/>
      <c r="AS680" s="312"/>
      <c r="AT680" s="312"/>
    </row>
    <row r="681" ht="15.75" customHeight="1">
      <c r="A681" s="318"/>
      <c r="B681" s="312"/>
      <c r="C681" s="312"/>
      <c r="D681" s="312"/>
      <c r="E681" s="312"/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  <c r="AP681" s="312"/>
      <c r="AQ681" s="312"/>
      <c r="AR681" s="312"/>
      <c r="AS681" s="312"/>
      <c r="AT681" s="312"/>
    </row>
    <row r="682" ht="15.75" customHeight="1">
      <c r="A682" s="318"/>
      <c r="B682" s="312"/>
      <c r="C682" s="312"/>
      <c r="D682" s="312"/>
      <c r="E682" s="312"/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  <c r="AP682" s="312"/>
      <c r="AQ682" s="312"/>
      <c r="AR682" s="312"/>
      <c r="AS682" s="312"/>
      <c r="AT682" s="312"/>
    </row>
    <row r="683" ht="15.75" customHeight="1">
      <c r="A683" s="318"/>
      <c r="B683" s="312"/>
      <c r="C683" s="312"/>
      <c r="D683" s="312"/>
      <c r="E683" s="312"/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  <c r="AP683" s="312"/>
      <c r="AQ683" s="312"/>
      <c r="AR683" s="312"/>
      <c r="AS683" s="312"/>
      <c r="AT683" s="312"/>
    </row>
    <row r="684" ht="15.75" customHeight="1">
      <c r="A684" s="318"/>
      <c r="B684" s="312"/>
      <c r="C684" s="312"/>
      <c r="D684" s="312"/>
      <c r="E684" s="312"/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  <c r="AP684" s="312"/>
      <c r="AQ684" s="312"/>
      <c r="AR684" s="312"/>
      <c r="AS684" s="312"/>
      <c r="AT684" s="312"/>
    </row>
    <row r="685" ht="15.75" customHeight="1">
      <c r="A685" s="318"/>
      <c r="B685" s="312"/>
      <c r="C685" s="312"/>
      <c r="D685" s="312"/>
      <c r="E685" s="312"/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  <c r="AP685" s="312"/>
      <c r="AQ685" s="312"/>
      <c r="AR685" s="312"/>
      <c r="AS685" s="312"/>
      <c r="AT685" s="312"/>
    </row>
    <row r="686" ht="15.75" customHeight="1">
      <c r="A686" s="318"/>
      <c r="B686" s="312"/>
      <c r="C686" s="312"/>
      <c r="D686" s="312"/>
      <c r="E686" s="312"/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  <c r="AP686" s="312"/>
      <c r="AQ686" s="312"/>
      <c r="AR686" s="312"/>
      <c r="AS686" s="312"/>
      <c r="AT686" s="312"/>
    </row>
    <row r="687" ht="15.75" customHeight="1">
      <c r="A687" s="318"/>
      <c r="B687" s="312"/>
      <c r="C687" s="312"/>
      <c r="D687" s="312"/>
      <c r="E687" s="312"/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  <c r="AP687" s="312"/>
      <c r="AQ687" s="312"/>
      <c r="AR687" s="312"/>
      <c r="AS687" s="312"/>
      <c r="AT687" s="312"/>
    </row>
    <row r="688" ht="15.75" customHeight="1">
      <c r="A688" s="318"/>
      <c r="B688" s="312"/>
      <c r="C688" s="312"/>
      <c r="D688" s="312"/>
      <c r="E688" s="312"/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  <c r="AP688" s="312"/>
      <c r="AQ688" s="312"/>
      <c r="AR688" s="312"/>
      <c r="AS688" s="312"/>
      <c r="AT688" s="312"/>
    </row>
    <row r="689" ht="15.75" customHeight="1">
      <c r="A689" s="318"/>
      <c r="B689" s="312"/>
      <c r="C689" s="312"/>
      <c r="D689" s="312"/>
      <c r="E689" s="312"/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  <c r="AP689" s="312"/>
      <c r="AQ689" s="312"/>
      <c r="AR689" s="312"/>
      <c r="AS689" s="312"/>
      <c r="AT689" s="312"/>
    </row>
    <row r="690" ht="15.75" customHeight="1">
      <c r="A690" s="318"/>
      <c r="B690" s="312"/>
      <c r="C690" s="312"/>
      <c r="D690" s="312"/>
      <c r="E690" s="312"/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  <c r="AP690" s="312"/>
      <c r="AQ690" s="312"/>
      <c r="AR690" s="312"/>
      <c r="AS690" s="312"/>
      <c r="AT690" s="312"/>
    </row>
    <row r="691" ht="15.75" customHeight="1">
      <c r="A691" s="318"/>
      <c r="B691" s="312"/>
      <c r="C691" s="312"/>
      <c r="D691" s="312"/>
      <c r="E691" s="312"/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  <c r="AP691" s="312"/>
      <c r="AQ691" s="312"/>
      <c r="AR691" s="312"/>
      <c r="AS691" s="312"/>
      <c r="AT691" s="312"/>
    </row>
    <row r="692" ht="15.75" customHeight="1">
      <c r="A692" s="318"/>
      <c r="B692" s="312"/>
      <c r="C692" s="312"/>
      <c r="D692" s="312"/>
      <c r="E692" s="312"/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  <c r="AP692" s="312"/>
      <c r="AQ692" s="312"/>
      <c r="AR692" s="312"/>
      <c r="AS692" s="312"/>
      <c r="AT692" s="312"/>
    </row>
    <row r="693" ht="15.75" customHeight="1">
      <c r="A693" s="318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  <c r="AP693" s="312"/>
      <c r="AQ693" s="312"/>
      <c r="AR693" s="312"/>
      <c r="AS693" s="312"/>
      <c r="AT693" s="312"/>
    </row>
    <row r="694" ht="15.75" customHeight="1">
      <c r="A694" s="318"/>
      <c r="B694" s="312"/>
      <c r="C694" s="312"/>
      <c r="D694" s="312"/>
      <c r="E694" s="312"/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  <c r="AP694" s="312"/>
      <c r="AQ694" s="312"/>
      <c r="AR694" s="312"/>
      <c r="AS694" s="312"/>
      <c r="AT694" s="312"/>
    </row>
    <row r="695" ht="15.75" customHeight="1">
      <c r="A695" s="318"/>
      <c r="B695" s="312"/>
      <c r="C695" s="312"/>
      <c r="D695" s="312"/>
      <c r="E695" s="312"/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  <c r="AP695" s="312"/>
      <c r="AQ695" s="312"/>
      <c r="AR695" s="312"/>
      <c r="AS695" s="312"/>
      <c r="AT695" s="312"/>
    </row>
    <row r="696" ht="15.75" customHeight="1">
      <c r="A696" s="318"/>
      <c r="B696" s="312"/>
      <c r="C696" s="312"/>
      <c r="D696" s="312"/>
      <c r="E696" s="312"/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  <c r="AP696" s="312"/>
      <c r="AQ696" s="312"/>
      <c r="AR696" s="312"/>
      <c r="AS696" s="312"/>
      <c r="AT696" s="312"/>
    </row>
    <row r="697" ht="15.75" customHeight="1">
      <c r="A697" s="318"/>
      <c r="B697" s="312"/>
      <c r="C697" s="312"/>
      <c r="D697" s="312"/>
      <c r="E697" s="312"/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  <c r="AP697" s="312"/>
      <c r="AQ697" s="312"/>
      <c r="AR697" s="312"/>
      <c r="AS697" s="312"/>
      <c r="AT697" s="312"/>
    </row>
    <row r="698" ht="15.75" customHeight="1">
      <c r="A698" s="318"/>
      <c r="B698" s="312"/>
      <c r="C698" s="312"/>
      <c r="D698" s="312"/>
      <c r="E698" s="312"/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  <c r="AP698" s="312"/>
      <c r="AQ698" s="312"/>
      <c r="AR698" s="312"/>
      <c r="AS698" s="312"/>
      <c r="AT698" s="312"/>
    </row>
    <row r="699" ht="15.75" customHeight="1">
      <c r="A699" s="318"/>
      <c r="B699" s="312"/>
      <c r="C699" s="312"/>
      <c r="D699" s="312"/>
      <c r="E699" s="312"/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  <c r="AP699" s="312"/>
      <c r="AQ699" s="312"/>
      <c r="AR699" s="312"/>
      <c r="AS699" s="312"/>
      <c r="AT699" s="312"/>
    </row>
    <row r="700" ht="15.75" customHeight="1">
      <c r="A700" s="318"/>
      <c r="B700" s="312"/>
      <c r="C700" s="312"/>
      <c r="D700" s="312"/>
      <c r="E700" s="312"/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  <c r="AP700" s="312"/>
      <c r="AQ700" s="312"/>
      <c r="AR700" s="312"/>
      <c r="AS700" s="312"/>
      <c r="AT700" s="312"/>
    </row>
    <row r="701" ht="15.75" customHeight="1">
      <c r="A701" s="318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  <c r="AP701" s="312"/>
      <c r="AQ701" s="312"/>
      <c r="AR701" s="312"/>
      <c r="AS701" s="312"/>
      <c r="AT701" s="312"/>
    </row>
    <row r="702" ht="15.75" customHeight="1">
      <c r="A702" s="318"/>
      <c r="B702" s="312"/>
      <c r="C702" s="312"/>
      <c r="D702" s="312"/>
      <c r="E702" s="312"/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  <c r="AP702" s="312"/>
      <c r="AQ702" s="312"/>
      <c r="AR702" s="312"/>
      <c r="AS702" s="312"/>
      <c r="AT702" s="312"/>
    </row>
    <row r="703" ht="15.75" customHeight="1">
      <c r="A703" s="318"/>
      <c r="B703" s="312"/>
      <c r="C703" s="312"/>
      <c r="D703" s="312"/>
      <c r="E703" s="312"/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  <c r="AP703" s="312"/>
      <c r="AQ703" s="312"/>
      <c r="AR703" s="312"/>
      <c r="AS703" s="312"/>
      <c r="AT703" s="312"/>
    </row>
    <row r="704" ht="15.75" customHeight="1">
      <c r="A704" s="318"/>
      <c r="B704" s="312"/>
      <c r="C704" s="312"/>
      <c r="D704" s="312"/>
      <c r="E704" s="312"/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  <c r="AP704" s="312"/>
      <c r="AQ704" s="312"/>
      <c r="AR704" s="312"/>
      <c r="AS704" s="312"/>
      <c r="AT704" s="312"/>
    </row>
    <row r="705" ht="15.75" customHeight="1">
      <c r="A705" s="318"/>
      <c r="B705" s="312"/>
      <c r="C705" s="312"/>
      <c r="D705" s="312"/>
      <c r="E705" s="312"/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  <c r="AP705" s="312"/>
      <c r="AQ705" s="312"/>
      <c r="AR705" s="312"/>
      <c r="AS705" s="312"/>
      <c r="AT705" s="312"/>
    </row>
    <row r="706" ht="15.75" customHeight="1">
      <c r="A706" s="318"/>
      <c r="B706" s="312"/>
      <c r="C706" s="312"/>
      <c r="D706" s="312"/>
      <c r="E706" s="312"/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  <c r="AP706" s="312"/>
      <c r="AQ706" s="312"/>
      <c r="AR706" s="312"/>
      <c r="AS706" s="312"/>
      <c r="AT706" s="312"/>
    </row>
    <row r="707" ht="15.75" customHeight="1">
      <c r="A707" s="318"/>
      <c r="B707" s="312"/>
      <c r="C707" s="312"/>
      <c r="D707" s="312"/>
      <c r="E707" s="312"/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  <c r="AP707" s="312"/>
      <c r="AQ707" s="312"/>
      <c r="AR707" s="312"/>
      <c r="AS707" s="312"/>
      <c r="AT707" s="312"/>
    </row>
    <row r="708" ht="15.75" customHeight="1">
      <c r="A708" s="318"/>
      <c r="B708" s="312"/>
      <c r="C708" s="312"/>
      <c r="D708" s="312"/>
      <c r="E708" s="312"/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  <c r="AP708" s="312"/>
      <c r="AQ708" s="312"/>
      <c r="AR708" s="312"/>
      <c r="AS708" s="312"/>
      <c r="AT708" s="312"/>
    </row>
    <row r="709" ht="15.75" customHeight="1">
      <c r="A709" s="318"/>
      <c r="B709" s="312"/>
      <c r="C709" s="312"/>
      <c r="D709" s="312"/>
      <c r="E709" s="312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  <c r="AP709" s="312"/>
      <c r="AQ709" s="312"/>
      <c r="AR709" s="312"/>
      <c r="AS709" s="312"/>
      <c r="AT709" s="312"/>
    </row>
    <row r="710" ht="15.75" customHeight="1">
      <c r="A710" s="318"/>
      <c r="B710" s="312"/>
      <c r="C710" s="312"/>
      <c r="D710" s="312"/>
      <c r="E710" s="312"/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  <c r="AP710" s="312"/>
      <c r="AQ710" s="312"/>
      <c r="AR710" s="312"/>
      <c r="AS710" s="312"/>
      <c r="AT710" s="312"/>
    </row>
    <row r="711" ht="15.75" customHeight="1">
      <c r="A711" s="318"/>
      <c r="B711" s="312"/>
      <c r="C711" s="312"/>
      <c r="D711" s="312"/>
      <c r="E711" s="312"/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  <c r="AP711" s="312"/>
      <c r="AQ711" s="312"/>
      <c r="AR711" s="312"/>
      <c r="AS711" s="312"/>
      <c r="AT711" s="312"/>
    </row>
    <row r="712" ht="15.75" customHeight="1">
      <c r="A712" s="318"/>
      <c r="B712" s="312"/>
      <c r="C712" s="312"/>
      <c r="D712" s="312"/>
      <c r="E712" s="312"/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  <c r="AP712" s="312"/>
      <c r="AQ712" s="312"/>
      <c r="AR712" s="312"/>
      <c r="AS712" s="312"/>
      <c r="AT712" s="312"/>
    </row>
    <row r="713" ht="15.75" customHeight="1">
      <c r="A713" s="318"/>
      <c r="B713" s="312"/>
      <c r="C713" s="312"/>
      <c r="D713" s="312"/>
      <c r="E713" s="312"/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  <c r="AP713" s="312"/>
      <c r="AQ713" s="312"/>
      <c r="AR713" s="312"/>
      <c r="AS713" s="312"/>
      <c r="AT713" s="312"/>
    </row>
    <row r="714" ht="15.75" customHeight="1">
      <c r="A714" s="318"/>
      <c r="B714" s="312"/>
      <c r="C714" s="312"/>
      <c r="D714" s="312"/>
      <c r="E714" s="312"/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  <c r="AP714" s="312"/>
      <c r="AQ714" s="312"/>
      <c r="AR714" s="312"/>
      <c r="AS714" s="312"/>
      <c r="AT714" s="312"/>
    </row>
    <row r="715" ht="15.75" customHeight="1">
      <c r="A715" s="318"/>
      <c r="B715" s="312"/>
      <c r="C715" s="312"/>
      <c r="D715" s="312"/>
      <c r="E715" s="312"/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  <c r="AP715" s="312"/>
      <c r="AQ715" s="312"/>
      <c r="AR715" s="312"/>
      <c r="AS715" s="312"/>
      <c r="AT715" s="312"/>
    </row>
    <row r="716" ht="15.75" customHeight="1">
      <c r="A716" s="318"/>
      <c r="B716" s="312"/>
      <c r="C716" s="312"/>
      <c r="D716" s="312"/>
      <c r="E716" s="312"/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  <c r="AP716" s="312"/>
      <c r="AQ716" s="312"/>
      <c r="AR716" s="312"/>
      <c r="AS716" s="312"/>
      <c r="AT716" s="312"/>
    </row>
    <row r="717" ht="15.75" customHeight="1">
      <c r="A717" s="318"/>
      <c r="B717" s="312"/>
      <c r="C717" s="312"/>
      <c r="D717" s="312"/>
      <c r="E717" s="312"/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  <c r="AP717" s="312"/>
      <c r="AQ717" s="312"/>
      <c r="AR717" s="312"/>
      <c r="AS717" s="312"/>
      <c r="AT717" s="312"/>
    </row>
    <row r="718" ht="15.75" customHeight="1">
      <c r="A718" s="318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  <c r="AP718" s="312"/>
      <c r="AQ718" s="312"/>
      <c r="AR718" s="312"/>
      <c r="AS718" s="312"/>
      <c r="AT718" s="312"/>
    </row>
    <row r="719" ht="15.75" customHeight="1">
      <c r="A719" s="318"/>
      <c r="B719" s="312"/>
      <c r="C719" s="312"/>
      <c r="D719" s="312"/>
      <c r="E719" s="312"/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  <c r="AP719" s="312"/>
      <c r="AQ719" s="312"/>
      <c r="AR719" s="312"/>
      <c r="AS719" s="312"/>
      <c r="AT719" s="312"/>
    </row>
    <row r="720" ht="15.75" customHeight="1">
      <c r="A720" s="318"/>
      <c r="B720" s="312"/>
      <c r="C720" s="312"/>
      <c r="D720" s="312"/>
      <c r="E720" s="312"/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  <c r="AP720" s="312"/>
      <c r="AQ720" s="312"/>
      <c r="AR720" s="312"/>
      <c r="AS720" s="312"/>
      <c r="AT720" s="312"/>
    </row>
    <row r="721" ht="15.75" customHeight="1">
      <c r="A721" s="318"/>
      <c r="B721" s="312"/>
      <c r="C721" s="312"/>
      <c r="D721" s="312"/>
      <c r="E721" s="312"/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  <c r="AP721" s="312"/>
      <c r="AQ721" s="312"/>
      <c r="AR721" s="312"/>
      <c r="AS721" s="312"/>
      <c r="AT721" s="312"/>
    </row>
    <row r="722" ht="15.75" customHeight="1">
      <c r="A722" s="318"/>
      <c r="B722" s="312"/>
      <c r="C722" s="312"/>
      <c r="D722" s="312"/>
      <c r="E722" s="312"/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  <c r="AP722" s="312"/>
      <c r="AQ722" s="312"/>
      <c r="AR722" s="312"/>
      <c r="AS722" s="312"/>
      <c r="AT722" s="312"/>
    </row>
    <row r="723" ht="15.75" customHeight="1">
      <c r="A723" s="318"/>
      <c r="B723" s="312"/>
      <c r="C723" s="312"/>
      <c r="D723" s="312"/>
      <c r="E723" s="312"/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  <c r="AP723" s="312"/>
      <c r="AQ723" s="312"/>
      <c r="AR723" s="312"/>
      <c r="AS723" s="312"/>
      <c r="AT723" s="312"/>
    </row>
    <row r="724" ht="15.75" customHeight="1">
      <c r="A724" s="318"/>
      <c r="B724" s="312"/>
      <c r="C724" s="312"/>
      <c r="D724" s="312"/>
      <c r="E724" s="312"/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  <c r="AP724" s="312"/>
      <c r="AQ724" s="312"/>
      <c r="AR724" s="312"/>
      <c r="AS724" s="312"/>
      <c r="AT724" s="312"/>
    </row>
    <row r="725" ht="15.75" customHeight="1">
      <c r="A725" s="318"/>
      <c r="B725" s="312"/>
      <c r="C725" s="312"/>
      <c r="D725" s="312"/>
      <c r="E725" s="312"/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  <c r="AP725" s="312"/>
      <c r="AQ725" s="312"/>
      <c r="AR725" s="312"/>
      <c r="AS725" s="312"/>
      <c r="AT725" s="312"/>
    </row>
    <row r="726" ht="15.75" customHeight="1">
      <c r="A726" s="318"/>
      <c r="B726" s="312"/>
      <c r="C726" s="312"/>
      <c r="D726" s="312"/>
      <c r="E726" s="312"/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  <c r="AP726" s="312"/>
      <c r="AQ726" s="312"/>
      <c r="AR726" s="312"/>
      <c r="AS726" s="312"/>
      <c r="AT726" s="312"/>
    </row>
    <row r="727" ht="15.75" customHeight="1">
      <c r="A727" s="318"/>
      <c r="B727" s="312"/>
      <c r="C727" s="312"/>
      <c r="D727" s="312"/>
      <c r="E727" s="312"/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  <c r="AP727" s="312"/>
      <c r="AQ727" s="312"/>
      <c r="AR727" s="312"/>
      <c r="AS727" s="312"/>
      <c r="AT727" s="312"/>
    </row>
    <row r="728" ht="15.75" customHeight="1">
      <c r="A728" s="318"/>
      <c r="B728" s="312"/>
      <c r="C728" s="312"/>
      <c r="D728" s="312"/>
      <c r="E728" s="312"/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  <c r="AP728" s="312"/>
      <c r="AQ728" s="312"/>
      <c r="AR728" s="312"/>
      <c r="AS728" s="312"/>
      <c r="AT728" s="312"/>
    </row>
    <row r="729" ht="15.75" customHeight="1">
      <c r="A729" s="318"/>
      <c r="B729" s="312"/>
      <c r="C729" s="312"/>
      <c r="D729" s="312"/>
      <c r="E729" s="312"/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  <c r="AP729" s="312"/>
      <c r="AQ729" s="312"/>
      <c r="AR729" s="312"/>
      <c r="AS729" s="312"/>
      <c r="AT729" s="312"/>
    </row>
    <row r="730" ht="15.75" customHeight="1">
      <c r="A730" s="318"/>
      <c r="B730" s="312"/>
      <c r="C730" s="312"/>
      <c r="D730" s="312"/>
      <c r="E730" s="312"/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  <c r="AP730" s="312"/>
      <c r="AQ730" s="312"/>
      <c r="AR730" s="312"/>
      <c r="AS730" s="312"/>
      <c r="AT730" s="312"/>
    </row>
    <row r="731" ht="15.75" customHeight="1">
      <c r="A731" s="318"/>
      <c r="B731" s="312"/>
      <c r="C731" s="312"/>
      <c r="D731" s="312"/>
      <c r="E731" s="312"/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  <c r="AP731" s="312"/>
      <c r="AQ731" s="312"/>
      <c r="AR731" s="312"/>
      <c r="AS731" s="312"/>
      <c r="AT731" s="312"/>
    </row>
    <row r="732" ht="15.75" customHeight="1">
      <c r="A732" s="318"/>
      <c r="B732" s="312"/>
      <c r="C732" s="312"/>
      <c r="D732" s="312"/>
      <c r="E732" s="312"/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  <c r="AP732" s="312"/>
      <c r="AQ732" s="312"/>
      <c r="AR732" s="312"/>
      <c r="AS732" s="312"/>
      <c r="AT732" s="312"/>
    </row>
    <row r="733" ht="15.75" customHeight="1">
      <c r="A733" s="318"/>
      <c r="B733" s="312"/>
      <c r="C733" s="312"/>
      <c r="D733" s="312"/>
      <c r="E733" s="312"/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  <c r="AP733" s="312"/>
      <c r="AQ733" s="312"/>
      <c r="AR733" s="312"/>
      <c r="AS733" s="312"/>
      <c r="AT733" s="312"/>
    </row>
    <row r="734" ht="15.75" customHeight="1">
      <c r="A734" s="318"/>
      <c r="B734" s="312"/>
      <c r="C734" s="312"/>
      <c r="D734" s="312"/>
      <c r="E734" s="312"/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  <c r="AP734" s="312"/>
      <c r="AQ734" s="312"/>
      <c r="AR734" s="312"/>
      <c r="AS734" s="312"/>
      <c r="AT734" s="312"/>
    </row>
    <row r="735" ht="15.75" customHeight="1">
      <c r="A735" s="318"/>
      <c r="B735" s="312"/>
      <c r="C735" s="312"/>
      <c r="D735" s="312"/>
      <c r="E735" s="312"/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  <c r="AP735" s="312"/>
      <c r="AQ735" s="312"/>
      <c r="AR735" s="312"/>
      <c r="AS735" s="312"/>
      <c r="AT735" s="312"/>
    </row>
    <row r="736" ht="15.75" customHeight="1">
      <c r="A736" s="318"/>
      <c r="B736" s="312"/>
      <c r="C736" s="312"/>
      <c r="D736" s="312"/>
      <c r="E736" s="312"/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  <c r="AP736" s="312"/>
      <c r="AQ736" s="312"/>
      <c r="AR736" s="312"/>
      <c r="AS736" s="312"/>
      <c r="AT736" s="312"/>
    </row>
    <row r="737" ht="15.75" customHeight="1">
      <c r="A737" s="318"/>
      <c r="B737" s="312"/>
      <c r="C737" s="312"/>
      <c r="D737" s="312"/>
      <c r="E737" s="312"/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  <c r="AP737" s="312"/>
      <c r="AQ737" s="312"/>
      <c r="AR737" s="312"/>
      <c r="AS737" s="312"/>
      <c r="AT737" s="312"/>
    </row>
    <row r="738" ht="15.75" customHeight="1">
      <c r="A738" s="318"/>
      <c r="B738" s="312"/>
      <c r="C738" s="312"/>
      <c r="D738" s="312"/>
      <c r="E738" s="312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  <c r="AP738" s="312"/>
      <c r="AQ738" s="312"/>
      <c r="AR738" s="312"/>
      <c r="AS738" s="312"/>
      <c r="AT738" s="312"/>
    </row>
    <row r="739" ht="15.75" customHeight="1">
      <c r="A739" s="318"/>
      <c r="B739" s="312"/>
      <c r="C739" s="312"/>
      <c r="D739" s="312"/>
      <c r="E739" s="312"/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  <c r="AP739" s="312"/>
      <c r="AQ739" s="312"/>
      <c r="AR739" s="312"/>
      <c r="AS739" s="312"/>
      <c r="AT739" s="312"/>
    </row>
    <row r="740" ht="15.75" customHeight="1">
      <c r="A740" s="318"/>
      <c r="B740" s="312"/>
      <c r="C740" s="312"/>
      <c r="D740" s="312"/>
      <c r="E740" s="312"/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  <c r="AP740" s="312"/>
      <c r="AQ740" s="312"/>
      <c r="AR740" s="312"/>
      <c r="AS740" s="312"/>
      <c r="AT740" s="312"/>
    </row>
    <row r="741" ht="15.75" customHeight="1">
      <c r="A741" s="318"/>
      <c r="B741" s="312"/>
      <c r="C741" s="312"/>
      <c r="D741" s="312"/>
      <c r="E741" s="312"/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  <c r="AP741" s="312"/>
      <c r="AQ741" s="312"/>
      <c r="AR741" s="312"/>
      <c r="AS741" s="312"/>
      <c r="AT741" s="312"/>
    </row>
    <row r="742" ht="15.75" customHeight="1">
      <c r="A742" s="318"/>
      <c r="B742" s="312"/>
      <c r="C742" s="312"/>
      <c r="D742" s="312"/>
      <c r="E742" s="312"/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  <c r="AP742" s="312"/>
      <c r="AQ742" s="312"/>
      <c r="AR742" s="312"/>
      <c r="AS742" s="312"/>
      <c r="AT742" s="312"/>
    </row>
    <row r="743" ht="15.75" customHeight="1">
      <c r="A743" s="318"/>
      <c r="B743" s="312"/>
      <c r="C743" s="312"/>
      <c r="D743" s="312"/>
      <c r="E743" s="312"/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  <c r="AP743" s="312"/>
      <c r="AQ743" s="312"/>
      <c r="AR743" s="312"/>
      <c r="AS743" s="312"/>
      <c r="AT743" s="312"/>
    </row>
    <row r="744" ht="15.75" customHeight="1">
      <c r="A744" s="318"/>
      <c r="B744" s="312"/>
      <c r="C744" s="312"/>
      <c r="D744" s="312"/>
      <c r="E744" s="312"/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  <c r="AP744" s="312"/>
      <c r="AQ744" s="312"/>
      <c r="AR744" s="312"/>
      <c r="AS744" s="312"/>
      <c r="AT744" s="312"/>
    </row>
    <row r="745" ht="15.75" customHeight="1">
      <c r="A745" s="318"/>
      <c r="B745" s="312"/>
      <c r="C745" s="312"/>
      <c r="D745" s="312"/>
      <c r="E745" s="312"/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  <c r="AP745" s="312"/>
      <c r="AQ745" s="312"/>
      <c r="AR745" s="312"/>
      <c r="AS745" s="312"/>
      <c r="AT745" s="312"/>
    </row>
    <row r="746" ht="15.75" customHeight="1">
      <c r="A746" s="318"/>
      <c r="B746" s="312"/>
      <c r="C746" s="312"/>
      <c r="D746" s="312"/>
      <c r="E746" s="312"/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  <c r="AP746" s="312"/>
      <c r="AQ746" s="312"/>
      <c r="AR746" s="312"/>
      <c r="AS746" s="312"/>
      <c r="AT746" s="312"/>
    </row>
    <row r="747" ht="15.75" customHeight="1">
      <c r="A747" s="318"/>
      <c r="B747" s="312"/>
      <c r="C747" s="312"/>
      <c r="D747" s="312"/>
      <c r="E747" s="312"/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  <c r="AP747" s="312"/>
      <c r="AQ747" s="312"/>
      <c r="AR747" s="312"/>
      <c r="AS747" s="312"/>
      <c r="AT747" s="312"/>
    </row>
    <row r="748" ht="15.75" customHeight="1">
      <c r="A748" s="318"/>
      <c r="B748" s="312"/>
      <c r="C748" s="312"/>
      <c r="D748" s="312"/>
      <c r="E748" s="312"/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  <c r="AP748" s="312"/>
      <c r="AQ748" s="312"/>
      <c r="AR748" s="312"/>
      <c r="AS748" s="312"/>
      <c r="AT748" s="312"/>
    </row>
    <row r="749" ht="15.75" customHeight="1">
      <c r="A749" s="318"/>
      <c r="B749" s="312"/>
      <c r="C749" s="312"/>
      <c r="D749" s="312"/>
      <c r="E749" s="312"/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  <c r="AP749" s="312"/>
      <c r="AQ749" s="312"/>
      <c r="AR749" s="312"/>
      <c r="AS749" s="312"/>
      <c r="AT749" s="312"/>
    </row>
    <row r="750" ht="15.75" customHeight="1">
      <c r="A750" s="318"/>
      <c r="B750" s="312"/>
      <c r="C750" s="312"/>
      <c r="D750" s="312"/>
      <c r="E750" s="312"/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  <c r="AP750" s="312"/>
      <c r="AQ750" s="312"/>
      <c r="AR750" s="312"/>
      <c r="AS750" s="312"/>
      <c r="AT750" s="312"/>
    </row>
    <row r="751" ht="15.75" customHeight="1">
      <c r="A751" s="318"/>
      <c r="B751" s="312"/>
      <c r="C751" s="312"/>
      <c r="D751" s="312"/>
      <c r="E751" s="312"/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  <c r="AP751" s="312"/>
      <c r="AQ751" s="312"/>
      <c r="AR751" s="312"/>
      <c r="AS751" s="312"/>
      <c r="AT751" s="312"/>
    </row>
    <row r="752" ht="15.75" customHeight="1">
      <c r="A752" s="318"/>
      <c r="B752" s="312"/>
      <c r="C752" s="312"/>
      <c r="D752" s="312"/>
      <c r="E752" s="312"/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  <c r="AP752" s="312"/>
      <c r="AQ752" s="312"/>
      <c r="AR752" s="312"/>
      <c r="AS752" s="312"/>
      <c r="AT752" s="312"/>
    </row>
    <row r="753" ht="15.75" customHeight="1">
      <c r="A753" s="318"/>
      <c r="B753" s="312"/>
      <c r="C753" s="312"/>
      <c r="D753" s="312"/>
      <c r="E753" s="312"/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  <c r="AP753" s="312"/>
      <c r="AQ753" s="312"/>
      <c r="AR753" s="312"/>
      <c r="AS753" s="312"/>
      <c r="AT753" s="312"/>
    </row>
    <row r="754" ht="15.75" customHeight="1">
      <c r="A754" s="318"/>
      <c r="B754" s="312"/>
      <c r="C754" s="312"/>
      <c r="D754" s="312"/>
      <c r="E754" s="312"/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  <c r="AP754" s="312"/>
      <c r="AQ754" s="312"/>
      <c r="AR754" s="312"/>
      <c r="AS754" s="312"/>
      <c r="AT754" s="312"/>
    </row>
    <row r="755" ht="15.75" customHeight="1">
      <c r="A755" s="318"/>
      <c r="B755" s="312"/>
      <c r="C755" s="312"/>
      <c r="D755" s="312"/>
      <c r="E755" s="312"/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  <c r="AP755" s="312"/>
      <c r="AQ755" s="312"/>
      <c r="AR755" s="312"/>
      <c r="AS755" s="312"/>
      <c r="AT755" s="312"/>
    </row>
    <row r="756" ht="15.75" customHeight="1">
      <c r="A756" s="318"/>
      <c r="B756" s="312"/>
      <c r="C756" s="312"/>
      <c r="D756" s="312"/>
      <c r="E756" s="312"/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  <c r="AP756" s="312"/>
      <c r="AQ756" s="312"/>
      <c r="AR756" s="312"/>
      <c r="AS756" s="312"/>
      <c r="AT756" s="312"/>
    </row>
    <row r="757" ht="15.75" customHeight="1">
      <c r="A757" s="318"/>
      <c r="B757" s="312"/>
      <c r="C757" s="312"/>
      <c r="D757" s="312"/>
      <c r="E757" s="312"/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  <c r="AP757" s="312"/>
      <c r="AQ757" s="312"/>
      <c r="AR757" s="312"/>
      <c r="AS757" s="312"/>
      <c r="AT757" s="312"/>
    </row>
    <row r="758" ht="15.75" customHeight="1">
      <c r="A758" s="318"/>
      <c r="B758" s="312"/>
      <c r="C758" s="312"/>
      <c r="D758" s="312"/>
      <c r="E758" s="312"/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  <c r="AP758" s="312"/>
      <c r="AQ758" s="312"/>
      <c r="AR758" s="312"/>
      <c r="AS758" s="312"/>
      <c r="AT758" s="312"/>
    </row>
    <row r="759" ht="15.75" customHeight="1">
      <c r="A759" s="318"/>
      <c r="B759" s="312"/>
      <c r="C759" s="312"/>
      <c r="D759" s="312"/>
      <c r="E759" s="312"/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  <c r="AP759" s="312"/>
      <c r="AQ759" s="312"/>
      <c r="AR759" s="312"/>
      <c r="AS759" s="312"/>
      <c r="AT759" s="312"/>
    </row>
    <row r="760" ht="15.75" customHeight="1">
      <c r="A760" s="318"/>
      <c r="B760" s="312"/>
      <c r="C760" s="312"/>
      <c r="D760" s="312"/>
      <c r="E760" s="312"/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  <c r="AP760" s="312"/>
      <c r="AQ760" s="312"/>
      <c r="AR760" s="312"/>
      <c r="AS760" s="312"/>
      <c r="AT760" s="312"/>
    </row>
    <row r="761" ht="15.75" customHeight="1">
      <c r="A761" s="318"/>
      <c r="B761" s="312"/>
      <c r="C761" s="312"/>
      <c r="D761" s="312"/>
      <c r="E761" s="312"/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  <c r="AP761" s="312"/>
      <c r="AQ761" s="312"/>
      <c r="AR761" s="312"/>
      <c r="AS761" s="312"/>
      <c r="AT761" s="312"/>
    </row>
    <row r="762" ht="15.75" customHeight="1">
      <c r="A762" s="318"/>
      <c r="B762" s="312"/>
      <c r="C762" s="312"/>
      <c r="D762" s="312"/>
      <c r="E762" s="312"/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  <c r="AP762" s="312"/>
      <c r="AQ762" s="312"/>
      <c r="AR762" s="312"/>
      <c r="AS762" s="312"/>
      <c r="AT762" s="312"/>
    </row>
    <row r="763" ht="15.75" customHeight="1">
      <c r="A763" s="318"/>
      <c r="B763" s="312"/>
      <c r="C763" s="312"/>
      <c r="D763" s="312"/>
      <c r="E763" s="312"/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  <c r="AP763" s="312"/>
      <c r="AQ763" s="312"/>
      <c r="AR763" s="312"/>
      <c r="AS763" s="312"/>
      <c r="AT763" s="312"/>
    </row>
    <row r="764" ht="15.75" customHeight="1">
      <c r="A764" s="318"/>
      <c r="B764" s="312"/>
      <c r="C764" s="312"/>
      <c r="D764" s="312"/>
      <c r="E764" s="312"/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  <c r="AP764" s="312"/>
      <c r="AQ764" s="312"/>
      <c r="AR764" s="312"/>
      <c r="AS764" s="312"/>
      <c r="AT764" s="312"/>
    </row>
    <row r="765" ht="15.75" customHeight="1">
      <c r="A765" s="318"/>
      <c r="B765" s="312"/>
      <c r="C765" s="312"/>
      <c r="D765" s="312"/>
      <c r="E765" s="312"/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  <c r="AP765" s="312"/>
      <c r="AQ765" s="312"/>
      <c r="AR765" s="312"/>
      <c r="AS765" s="312"/>
      <c r="AT765" s="312"/>
    </row>
    <row r="766" ht="15.75" customHeight="1">
      <c r="A766" s="318"/>
      <c r="B766" s="312"/>
      <c r="C766" s="312"/>
      <c r="D766" s="312"/>
      <c r="E766" s="312"/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  <c r="AP766" s="312"/>
      <c r="AQ766" s="312"/>
      <c r="AR766" s="312"/>
      <c r="AS766" s="312"/>
      <c r="AT766" s="312"/>
    </row>
    <row r="767" ht="15.75" customHeight="1">
      <c r="A767" s="318"/>
      <c r="B767" s="312"/>
      <c r="C767" s="312"/>
      <c r="D767" s="312"/>
      <c r="E767" s="312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  <c r="AP767" s="312"/>
      <c r="AQ767" s="312"/>
      <c r="AR767" s="312"/>
      <c r="AS767" s="312"/>
      <c r="AT767" s="312"/>
    </row>
    <row r="768" ht="15.75" customHeight="1">
      <c r="A768" s="318"/>
      <c r="B768" s="312"/>
      <c r="C768" s="312"/>
      <c r="D768" s="312"/>
      <c r="E768" s="312"/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  <c r="AP768" s="312"/>
      <c r="AQ768" s="312"/>
      <c r="AR768" s="312"/>
      <c r="AS768" s="312"/>
      <c r="AT768" s="312"/>
    </row>
    <row r="769" ht="15.75" customHeight="1">
      <c r="A769" s="318"/>
      <c r="B769" s="312"/>
      <c r="C769" s="312"/>
      <c r="D769" s="312"/>
      <c r="E769" s="312"/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  <c r="AP769" s="312"/>
      <c r="AQ769" s="312"/>
      <c r="AR769" s="312"/>
      <c r="AS769" s="312"/>
      <c r="AT769" s="312"/>
    </row>
    <row r="770" ht="15.75" customHeight="1">
      <c r="A770" s="318"/>
      <c r="B770" s="312"/>
      <c r="C770" s="312"/>
      <c r="D770" s="312"/>
      <c r="E770" s="312"/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  <c r="AP770" s="312"/>
      <c r="AQ770" s="312"/>
      <c r="AR770" s="312"/>
      <c r="AS770" s="312"/>
      <c r="AT770" s="312"/>
    </row>
    <row r="771" ht="15.75" customHeight="1">
      <c r="A771" s="318"/>
      <c r="B771" s="312"/>
      <c r="C771" s="312"/>
      <c r="D771" s="312"/>
      <c r="E771" s="312"/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  <c r="AP771" s="312"/>
      <c r="AQ771" s="312"/>
      <c r="AR771" s="312"/>
      <c r="AS771" s="312"/>
      <c r="AT771" s="312"/>
    </row>
    <row r="772" ht="15.75" customHeight="1">
      <c r="A772" s="318"/>
      <c r="B772" s="312"/>
      <c r="C772" s="312"/>
      <c r="D772" s="312"/>
      <c r="E772" s="312"/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  <c r="AP772" s="312"/>
      <c r="AQ772" s="312"/>
      <c r="AR772" s="312"/>
      <c r="AS772" s="312"/>
      <c r="AT772" s="312"/>
    </row>
    <row r="773" ht="15.75" customHeight="1">
      <c r="A773" s="318"/>
      <c r="B773" s="312"/>
      <c r="C773" s="312"/>
      <c r="D773" s="312"/>
      <c r="E773" s="312"/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  <c r="AP773" s="312"/>
      <c r="AQ773" s="312"/>
      <c r="AR773" s="312"/>
      <c r="AS773" s="312"/>
      <c r="AT773" s="312"/>
    </row>
    <row r="774" ht="15.75" customHeight="1">
      <c r="A774" s="318"/>
      <c r="B774" s="312"/>
      <c r="C774" s="312"/>
      <c r="D774" s="312"/>
      <c r="E774" s="312"/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  <c r="AP774" s="312"/>
      <c r="AQ774" s="312"/>
      <c r="AR774" s="312"/>
      <c r="AS774" s="312"/>
      <c r="AT774" s="312"/>
    </row>
    <row r="775" ht="15.75" customHeight="1">
      <c r="A775" s="318"/>
      <c r="B775" s="312"/>
      <c r="C775" s="312"/>
      <c r="D775" s="312"/>
      <c r="E775" s="312"/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  <c r="AP775" s="312"/>
      <c r="AQ775" s="312"/>
      <c r="AR775" s="312"/>
      <c r="AS775" s="312"/>
      <c r="AT775" s="312"/>
    </row>
    <row r="776" ht="15.75" customHeight="1">
      <c r="A776" s="318"/>
      <c r="B776" s="312"/>
      <c r="C776" s="312"/>
      <c r="D776" s="312"/>
      <c r="E776" s="312"/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  <c r="AP776" s="312"/>
      <c r="AQ776" s="312"/>
      <c r="AR776" s="312"/>
      <c r="AS776" s="312"/>
      <c r="AT776" s="312"/>
    </row>
    <row r="777" ht="15.75" customHeight="1">
      <c r="A777" s="318"/>
      <c r="B777" s="312"/>
      <c r="C777" s="312"/>
      <c r="D777" s="312"/>
      <c r="E777" s="312"/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  <c r="AP777" s="312"/>
      <c r="AQ777" s="312"/>
      <c r="AR777" s="312"/>
      <c r="AS777" s="312"/>
      <c r="AT777" s="312"/>
    </row>
    <row r="778" ht="15.75" customHeight="1">
      <c r="A778" s="318"/>
      <c r="B778" s="312"/>
      <c r="C778" s="312"/>
      <c r="D778" s="312"/>
      <c r="E778" s="312"/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  <c r="AP778" s="312"/>
      <c r="AQ778" s="312"/>
      <c r="AR778" s="312"/>
      <c r="AS778" s="312"/>
      <c r="AT778" s="312"/>
    </row>
    <row r="779" ht="15.75" customHeight="1">
      <c r="A779" s="318"/>
      <c r="B779" s="312"/>
      <c r="C779" s="312"/>
      <c r="D779" s="312"/>
      <c r="E779" s="312"/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  <c r="AP779" s="312"/>
      <c r="AQ779" s="312"/>
      <c r="AR779" s="312"/>
      <c r="AS779" s="312"/>
      <c r="AT779" s="312"/>
    </row>
    <row r="780" ht="15.75" customHeight="1">
      <c r="A780" s="318"/>
      <c r="B780" s="312"/>
      <c r="C780" s="312"/>
      <c r="D780" s="312"/>
      <c r="E780" s="312"/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  <c r="AP780" s="312"/>
      <c r="AQ780" s="312"/>
      <c r="AR780" s="312"/>
      <c r="AS780" s="312"/>
      <c r="AT780" s="312"/>
    </row>
    <row r="781" ht="15.75" customHeight="1">
      <c r="A781" s="318"/>
      <c r="B781" s="312"/>
      <c r="C781" s="312"/>
      <c r="D781" s="312"/>
      <c r="E781" s="312"/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  <c r="AP781" s="312"/>
      <c r="AQ781" s="312"/>
      <c r="AR781" s="312"/>
      <c r="AS781" s="312"/>
      <c r="AT781" s="312"/>
    </row>
    <row r="782" ht="15.75" customHeight="1">
      <c r="A782" s="318"/>
      <c r="B782" s="312"/>
      <c r="C782" s="312"/>
      <c r="D782" s="312"/>
      <c r="E782" s="312"/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  <c r="AP782" s="312"/>
      <c r="AQ782" s="312"/>
      <c r="AR782" s="312"/>
      <c r="AS782" s="312"/>
      <c r="AT782" s="312"/>
    </row>
    <row r="783" ht="15.75" customHeight="1">
      <c r="A783" s="318"/>
      <c r="B783" s="312"/>
      <c r="C783" s="312"/>
      <c r="D783" s="312"/>
      <c r="E783" s="312"/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  <c r="AP783" s="312"/>
      <c r="AQ783" s="312"/>
      <c r="AR783" s="312"/>
      <c r="AS783" s="312"/>
      <c r="AT783" s="312"/>
    </row>
    <row r="784" ht="15.75" customHeight="1">
      <c r="A784" s="318"/>
      <c r="B784" s="312"/>
      <c r="C784" s="312"/>
      <c r="D784" s="312"/>
      <c r="E784" s="312"/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  <c r="AP784" s="312"/>
      <c r="AQ784" s="312"/>
      <c r="AR784" s="312"/>
      <c r="AS784" s="312"/>
      <c r="AT784" s="312"/>
    </row>
    <row r="785" ht="15.75" customHeight="1">
      <c r="A785" s="318"/>
      <c r="B785" s="312"/>
      <c r="C785" s="312"/>
      <c r="D785" s="312"/>
      <c r="E785" s="312"/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  <c r="AP785" s="312"/>
      <c r="AQ785" s="312"/>
      <c r="AR785" s="312"/>
      <c r="AS785" s="312"/>
      <c r="AT785" s="312"/>
    </row>
    <row r="786" ht="15.75" customHeight="1">
      <c r="A786" s="318"/>
      <c r="B786" s="312"/>
      <c r="C786" s="312"/>
      <c r="D786" s="312"/>
      <c r="E786" s="312"/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  <c r="AP786" s="312"/>
      <c r="AQ786" s="312"/>
      <c r="AR786" s="312"/>
      <c r="AS786" s="312"/>
      <c r="AT786" s="312"/>
    </row>
    <row r="787" ht="15.75" customHeight="1">
      <c r="A787" s="318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  <c r="AP787" s="312"/>
      <c r="AQ787" s="312"/>
      <c r="AR787" s="312"/>
      <c r="AS787" s="312"/>
      <c r="AT787" s="312"/>
    </row>
    <row r="788" ht="15.75" customHeight="1">
      <c r="A788" s="318"/>
      <c r="B788" s="312"/>
      <c r="C788" s="312"/>
      <c r="D788" s="312"/>
      <c r="E788" s="312"/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  <c r="AP788" s="312"/>
      <c r="AQ788" s="312"/>
      <c r="AR788" s="312"/>
      <c r="AS788" s="312"/>
      <c r="AT788" s="312"/>
    </row>
    <row r="789" ht="15.75" customHeight="1">
      <c r="A789" s="318"/>
      <c r="B789" s="312"/>
      <c r="C789" s="312"/>
      <c r="D789" s="312"/>
      <c r="E789" s="312"/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  <c r="AP789" s="312"/>
      <c r="AQ789" s="312"/>
      <c r="AR789" s="312"/>
      <c r="AS789" s="312"/>
      <c r="AT789" s="312"/>
    </row>
    <row r="790" ht="15.75" customHeight="1">
      <c r="A790" s="318"/>
      <c r="B790" s="312"/>
      <c r="C790" s="312"/>
      <c r="D790" s="312"/>
      <c r="E790" s="312"/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  <c r="AP790" s="312"/>
      <c r="AQ790" s="312"/>
      <c r="AR790" s="312"/>
      <c r="AS790" s="312"/>
      <c r="AT790" s="312"/>
    </row>
    <row r="791" ht="15.75" customHeight="1">
      <c r="A791" s="318"/>
      <c r="B791" s="312"/>
      <c r="C791" s="312"/>
      <c r="D791" s="312"/>
      <c r="E791" s="312"/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  <c r="AP791" s="312"/>
      <c r="AQ791" s="312"/>
      <c r="AR791" s="312"/>
      <c r="AS791" s="312"/>
      <c r="AT791" s="312"/>
    </row>
    <row r="792" ht="15.75" customHeight="1">
      <c r="A792" s="318"/>
      <c r="B792" s="312"/>
      <c r="C792" s="312"/>
      <c r="D792" s="312"/>
      <c r="E792" s="312"/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  <c r="AP792" s="312"/>
      <c r="AQ792" s="312"/>
      <c r="AR792" s="312"/>
      <c r="AS792" s="312"/>
      <c r="AT792" s="312"/>
    </row>
    <row r="793" ht="15.75" customHeight="1">
      <c r="A793" s="318"/>
      <c r="B793" s="312"/>
      <c r="C793" s="312"/>
      <c r="D793" s="312"/>
      <c r="E793" s="312"/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  <c r="AP793" s="312"/>
      <c r="AQ793" s="312"/>
      <c r="AR793" s="312"/>
      <c r="AS793" s="312"/>
      <c r="AT793" s="312"/>
    </row>
    <row r="794" ht="15.75" customHeight="1">
      <c r="A794" s="318"/>
      <c r="B794" s="312"/>
      <c r="C794" s="312"/>
      <c r="D794" s="312"/>
      <c r="E794" s="312"/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  <c r="AP794" s="312"/>
      <c r="AQ794" s="312"/>
      <c r="AR794" s="312"/>
      <c r="AS794" s="312"/>
      <c r="AT794" s="312"/>
    </row>
    <row r="795" ht="15.75" customHeight="1">
      <c r="A795" s="318"/>
      <c r="B795" s="312"/>
      <c r="C795" s="312"/>
      <c r="D795" s="312"/>
      <c r="E795" s="312"/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  <c r="AP795" s="312"/>
      <c r="AQ795" s="312"/>
      <c r="AR795" s="312"/>
      <c r="AS795" s="312"/>
      <c r="AT795" s="312"/>
    </row>
    <row r="796" ht="15.75" customHeight="1">
      <c r="A796" s="318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2"/>
      <c r="S796" s="312"/>
      <c r="T796" s="312"/>
      <c r="U796" s="312"/>
      <c r="V796" s="312"/>
      <c r="W796" s="312"/>
      <c r="X796" s="312"/>
      <c r="Y796" s="312"/>
      <c r="Z796" s="312"/>
      <c r="AA796" s="312"/>
      <c r="AB796" s="312"/>
      <c r="AC796" s="312"/>
      <c r="AD796" s="312"/>
      <c r="AE796" s="312"/>
      <c r="AF796" s="312"/>
      <c r="AG796" s="312"/>
      <c r="AH796" s="312"/>
      <c r="AI796" s="312"/>
      <c r="AJ796" s="312"/>
      <c r="AK796" s="312"/>
      <c r="AL796" s="312"/>
      <c r="AM796" s="312"/>
      <c r="AN796" s="312"/>
      <c r="AO796" s="312"/>
      <c r="AP796" s="312"/>
      <c r="AQ796" s="312"/>
      <c r="AR796" s="312"/>
      <c r="AS796" s="312"/>
      <c r="AT796" s="312"/>
    </row>
    <row r="797" ht="15.75" customHeight="1">
      <c r="A797" s="318"/>
      <c r="B797" s="312"/>
      <c r="C797" s="312"/>
      <c r="D797" s="312"/>
      <c r="E797" s="312"/>
      <c r="F797" s="312"/>
      <c r="G797" s="312"/>
      <c r="H797" s="312"/>
      <c r="I797" s="312"/>
      <c r="J797" s="312"/>
      <c r="K797" s="312"/>
      <c r="L797" s="312"/>
      <c r="M797" s="312"/>
      <c r="N797" s="312"/>
      <c r="O797" s="312"/>
      <c r="P797" s="312"/>
      <c r="Q797" s="312"/>
      <c r="R797" s="312"/>
      <c r="S797" s="312"/>
      <c r="T797" s="312"/>
      <c r="U797" s="312"/>
      <c r="V797" s="312"/>
      <c r="W797" s="312"/>
      <c r="X797" s="312"/>
      <c r="Y797" s="312"/>
      <c r="Z797" s="312"/>
      <c r="AA797" s="312"/>
      <c r="AB797" s="312"/>
      <c r="AC797" s="312"/>
      <c r="AD797" s="312"/>
      <c r="AE797" s="312"/>
      <c r="AF797" s="312"/>
      <c r="AG797" s="312"/>
      <c r="AH797" s="312"/>
      <c r="AI797" s="312"/>
      <c r="AJ797" s="312"/>
      <c r="AK797" s="312"/>
      <c r="AL797" s="312"/>
      <c r="AM797" s="312"/>
      <c r="AN797" s="312"/>
      <c r="AO797" s="312"/>
      <c r="AP797" s="312"/>
      <c r="AQ797" s="312"/>
      <c r="AR797" s="312"/>
      <c r="AS797" s="312"/>
      <c r="AT797" s="312"/>
    </row>
    <row r="798" ht="15.75" customHeight="1">
      <c r="A798" s="318"/>
      <c r="B798" s="312"/>
      <c r="C798" s="312"/>
      <c r="D798" s="312"/>
      <c r="E798" s="312"/>
      <c r="F798" s="312"/>
      <c r="G798" s="312"/>
      <c r="H798" s="312"/>
      <c r="I798" s="312"/>
      <c r="J798" s="312"/>
      <c r="K798" s="312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  <c r="AJ798" s="312"/>
      <c r="AK798" s="312"/>
      <c r="AL798" s="312"/>
      <c r="AM798" s="312"/>
      <c r="AN798" s="312"/>
      <c r="AO798" s="312"/>
      <c r="AP798" s="312"/>
      <c r="AQ798" s="312"/>
      <c r="AR798" s="312"/>
      <c r="AS798" s="312"/>
      <c r="AT798" s="312"/>
    </row>
    <row r="799" ht="15.75" customHeight="1">
      <c r="A799" s="318"/>
      <c r="B799" s="312"/>
      <c r="C799" s="312"/>
      <c r="D799" s="312"/>
      <c r="E799" s="312"/>
      <c r="F799" s="312"/>
      <c r="G799" s="312"/>
      <c r="H799" s="312"/>
      <c r="I799" s="312"/>
      <c r="J799" s="312"/>
      <c r="K799" s="312"/>
      <c r="L799" s="312"/>
      <c r="M799" s="312"/>
      <c r="N799" s="312"/>
      <c r="O799" s="312"/>
      <c r="P799" s="312"/>
      <c r="Q799" s="312"/>
      <c r="R799" s="312"/>
      <c r="S799" s="312"/>
      <c r="T799" s="312"/>
      <c r="U799" s="312"/>
      <c r="V799" s="312"/>
      <c r="W799" s="312"/>
      <c r="X799" s="312"/>
      <c r="Y799" s="312"/>
      <c r="Z799" s="312"/>
      <c r="AA799" s="312"/>
      <c r="AB799" s="312"/>
      <c r="AC799" s="312"/>
      <c r="AD799" s="312"/>
      <c r="AE799" s="312"/>
      <c r="AF799" s="312"/>
      <c r="AG799" s="312"/>
      <c r="AH799" s="312"/>
      <c r="AI799" s="312"/>
      <c r="AJ799" s="312"/>
      <c r="AK799" s="312"/>
      <c r="AL799" s="312"/>
      <c r="AM799" s="312"/>
      <c r="AN799" s="312"/>
      <c r="AO799" s="312"/>
      <c r="AP799" s="312"/>
      <c r="AQ799" s="312"/>
      <c r="AR799" s="312"/>
      <c r="AS799" s="312"/>
      <c r="AT799" s="312"/>
    </row>
    <row r="800" ht="15.75" customHeight="1">
      <c r="A800" s="318"/>
      <c r="B800" s="312"/>
      <c r="C800" s="312"/>
      <c r="D800" s="312"/>
      <c r="E800" s="312"/>
      <c r="F800" s="312"/>
      <c r="G800" s="312"/>
      <c r="H800" s="312"/>
      <c r="I800" s="312"/>
      <c r="J800" s="312"/>
      <c r="K800" s="312"/>
      <c r="L800" s="312"/>
      <c r="M800" s="312"/>
      <c r="N800" s="312"/>
      <c r="O800" s="312"/>
      <c r="P800" s="312"/>
      <c r="Q800" s="312"/>
      <c r="R800" s="312"/>
      <c r="S800" s="312"/>
      <c r="T800" s="312"/>
      <c r="U800" s="312"/>
      <c r="V800" s="312"/>
      <c r="W800" s="312"/>
      <c r="X800" s="312"/>
      <c r="Y800" s="312"/>
      <c r="Z800" s="312"/>
      <c r="AA800" s="312"/>
      <c r="AB800" s="312"/>
      <c r="AC800" s="312"/>
      <c r="AD800" s="312"/>
      <c r="AE800" s="312"/>
      <c r="AF800" s="312"/>
      <c r="AG800" s="312"/>
      <c r="AH800" s="312"/>
      <c r="AI800" s="312"/>
      <c r="AJ800" s="312"/>
      <c r="AK800" s="312"/>
      <c r="AL800" s="312"/>
      <c r="AM800" s="312"/>
      <c r="AN800" s="312"/>
      <c r="AO800" s="312"/>
      <c r="AP800" s="312"/>
      <c r="AQ800" s="312"/>
      <c r="AR800" s="312"/>
      <c r="AS800" s="312"/>
      <c r="AT800" s="312"/>
    </row>
    <row r="801" ht="15.75" customHeight="1">
      <c r="A801" s="318"/>
      <c r="B801" s="312"/>
      <c r="C801" s="312"/>
      <c r="D801" s="312"/>
      <c r="E801" s="312"/>
      <c r="F801" s="312"/>
      <c r="G801" s="312"/>
      <c r="H801" s="312"/>
      <c r="I801" s="312"/>
      <c r="J801" s="312"/>
      <c r="K801" s="312"/>
      <c r="L801" s="312"/>
      <c r="M801" s="312"/>
      <c r="N801" s="312"/>
      <c r="O801" s="312"/>
      <c r="P801" s="312"/>
      <c r="Q801" s="312"/>
      <c r="R801" s="312"/>
      <c r="S801" s="312"/>
      <c r="T801" s="312"/>
      <c r="U801" s="312"/>
      <c r="V801" s="312"/>
      <c r="W801" s="312"/>
      <c r="X801" s="312"/>
      <c r="Y801" s="312"/>
      <c r="Z801" s="312"/>
      <c r="AA801" s="312"/>
      <c r="AB801" s="312"/>
      <c r="AC801" s="312"/>
      <c r="AD801" s="312"/>
      <c r="AE801" s="312"/>
      <c r="AF801" s="312"/>
      <c r="AG801" s="312"/>
      <c r="AH801" s="312"/>
      <c r="AI801" s="312"/>
      <c r="AJ801" s="312"/>
      <c r="AK801" s="312"/>
      <c r="AL801" s="312"/>
      <c r="AM801" s="312"/>
      <c r="AN801" s="312"/>
      <c r="AO801" s="312"/>
      <c r="AP801" s="312"/>
      <c r="AQ801" s="312"/>
      <c r="AR801" s="312"/>
      <c r="AS801" s="312"/>
      <c r="AT801" s="312"/>
    </row>
    <row r="802" ht="15.75" customHeight="1">
      <c r="A802" s="318"/>
      <c r="B802" s="312"/>
      <c r="C802" s="312"/>
      <c r="D802" s="312"/>
      <c r="E802" s="312"/>
      <c r="F802" s="312"/>
      <c r="G802" s="312"/>
      <c r="H802" s="312"/>
      <c r="I802" s="312"/>
      <c r="J802" s="312"/>
      <c r="K802" s="312"/>
      <c r="L802" s="312"/>
      <c r="M802" s="312"/>
      <c r="N802" s="312"/>
      <c r="O802" s="312"/>
      <c r="P802" s="312"/>
      <c r="Q802" s="312"/>
      <c r="R802" s="312"/>
      <c r="S802" s="312"/>
      <c r="T802" s="312"/>
      <c r="U802" s="312"/>
      <c r="V802" s="312"/>
      <c r="W802" s="312"/>
      <c r="X802" s="312"/>
      <c r="Y802" s="312"/>
      <c r="Z802" s="312"/>
      <c r="AA802" s="312"/>
      <c r="AB802" s="312"/>
      <c r="AC802" s="312"/>
      <c r="AD802" s="312"/>
      <c r="AE802" s="312"/>
      <c r="AF802" s="312"/>
      <c r="AG802" s="312"/>
      <c r="AH802" s="312"/>
      <c r="AI802" s="312"/>
      <c r="AJ802" s="312"/>
      <c r="AK802" s="312"/>
      <c r="AL802" s="312"/>
      <c r="AM802" s="312"/>
      <c r="AN802" s="312"/>
      <c r="AO802" s="312"/>
      <c r="AP802" s="312"/>
      <c r="AQ802" s="312"/>
      <c r="AR802" s="312"/>
      <c r="AS802" s="312"/>
      <c r="AT802" s="312"/>
    </row>
    <row r="803" ht="15.75" customHeight="1">
      <c r="A803" s="318"/>
      <c r="B803" s="312"/>
      <c r="C803" s="312"/>
      <c r="D803" s="312"/>
      <c r="E803" s="312"/>
      <c r="F803" s="312"/>
      <c r="G803" s="312"/>
      <c r="H803" s="312"/>
      <c r="I803" s="312"/>
      <c r="J803" s="312"/>
      <c r="K803" s="312"/>
      <c r="L803" s="312"/>
      <c r="M803" s="312"/>
      <c r="N803" s="312"/>
      <c r="O803" s="312"/>
      <c r="P803" s="312"/>
      <c r="Q803" s="312"/>
      <c r="R803" s="312"/>
      <c r="S803" s="312"/>
      <c r="T803" s="312"/>
      <c r="U803" s="312"/>
      <c r="V803" s="312"/>
      <c r="W803" s="312"/>
      <c r="X803" s="312"/>
      <c r="Y803" s="312"/>
      <c r="Z803" s="312"/>
      <c r="AA803" s="312"/>
      <c r="AB803" s="312"/>
      <c r="AC803" s="312"/>
      <c r="AD803" s="312"/>
      <c r="AE803" s="312"/>
      <c r="AF803" s="312"/>
      <c r="AG803" s="312"/>
      <c r="AH803" s="312"/>
      <c r="AI803" s="312"/>
      <c r="AJ803" s="312"/>
      <c r="AK803" s="312"/>
      <c r="AL803" s="312"/>
      <c r="AM803" s="312"/>
      <c r="AN803" s="312"/>
      <c r="AO803" s="312"/>
      <c r="AP803" s="312"/>
      <c r="AQ803" s="312"/>
      <c r="AR803" s="312"/>
      <c r="AS803" s="312"/>
      <c r="AT803" s="312"/>
    </row>
    <row r="804" ht="15.75" customHeight="1">
      <c r="A804" s="318"/>
      <c r="B804" s="312"/>
      <c r="C804" s="312"/>
      <c r="D804" s="312"/>
      <c r="E804" s="312"/>
      <c r="F804" s="312"/>
      <c r="G804" s="312"/>
      <c r="H804" s="312"/>
      <c r="I804" s="312"/>
      <c r="J804" s="312"/>
      <c r="K804" s="312"/>
      <c r="L804" s="312"/>
      <c r="M804" s="312"/>
      <c r="N804" s="312"/>
      <c r="O804" s="312"/>
      <c r="P804" s="312"/>
      <c r="Q804" s="312"/>
      <c r="R804" s="312"/>
      <c r="S804" s="312"/>
      <c r="T804" s="312"/>
      <c r="U804" s="312"/>
      <c r="V804" s="312"/>
      <c r="W804" s="312"/>
      <c r="X804" s="312"/>
      <c r="Y804" s="312"/>
      <c r="Z804" s="312"/>
      <c r="AA804" s="312"/>
      <c r="AB804" s="312"/>
      <c r="AC804" s="312"/>
      <c r="AD804" s="312"/>
      <c r="AE804" s="312"/>
      <c r="AF804" s="312"/>
      <c r="AG804" s="312"/>
      <c r="AH804" s="312"/>
      <c r="AI804" s="312"/>
      <c r="AJ804" s="312"/>
      <c r="AK804" s="312"/>
      <c r="AL804" s="312"/>
      <c r="AM804" s="312"/>
      <c r="AN804" s="312"/>
      <c r="AO804" s="312"/>
      <c r="AP804" s="312"/>
      <c r="AQ804" s="312"/>
      <c r="AR804" s="312"/>
      <c r="AS804" s="312"/>
      <c r="AT804" s="312"/>
    </row>
    <row r="805" ht="15.75" customHeight="1">
      <c r="A805" s="318"/>
      <c r="B805" s="312"/>
      <c r="C805" s="312"/>
      <c r="D805" s="312"/>
      <c r="E805" s="312"/>
      <c r="F805" s="312"/>
      <c r="G805" s="312"/>
      <c r="H805" s="312"/>
      <c r="I805" s="312"/>
      <c r="J805" s="312"/>
      <c r="K805" s="312"/>
      <c r="L805" s="312"/>
      <c r="M805" s="312"/>
      <c r="N805" s="312"/>
      <c r="O805" s="312"/>
      <c r="P805" s="312"/>
      <c r="Q805" s="312"/>
      <c r="R805" s="312"/>
      <c r="S805" s="312"/>
      <c r="T805" s="312"/>
      <c r="U805" s="312"/>
      <c r="V805" s="312"/>
      <c r="W805" s="312"/>
      <c r="X805" s="312"/>
      <c r="Y805" s="312"/>
      <c r="Z805" s="312"/>
      <c r="AA805" s="312"/>
      <c r="AB805" s="312"/>
      <c r="AC805" s="312"/>
      <c r="AD805" s="312"/>
      <c r="AE805" s="312"/>
      <c r="AF805" s="312"/>
      <c r="AG805" s="312"/>
      <c r="AH805" s="312"/>
      <c r="AI805" s="312"/>
      <c r="AJ805" s="312"/>
      <c r="AK805" s="312"/>
      <c r="AL805" s="312"/>
      <c r="AM805" s="312"/>
      <c r="AN805" s="312"/>
      <c r="AO805" s="312"/>
      <c r="AP805" s="312"/>
      <c r="AQ805" s="312"/>
      <c r="AR805" s="312"/>
      <c r="AS805" s="312"/>
      <c r="AT805" s="312"/>
    </row>
    <row r="806" ht="15.75" customHeight="1">
      <c r="A806" s="318"/>
      <c r="B806" s="312"/>
      <c r="C806" s="312"/>
      <c r="D806" s="312"/>
      <c r="E806" s="312"/>
      <c r="F806" s="312"/>
      <c r="G806" s="312"/>
      <c r="H806" s="312"/>
      <c r="I806" s="312"/>
      <c r="J806" s="312"/>
      <c r="K806" s="312"/>
      <c r="L806" s="312"/>
      <c r="M806" s="312"/>
      <c r="N806" s="312"/>
      <c r="O806" s="312"/>
      <c r="P806" s="312"/>
      <c r="Q806" s="312"/>
      <c r="R806" s="312"/>
      <c r="S806" s="312"/>
      <c r="T806" s="312"/>
      <c r="U806" s="312"/>
      <c r="V806" s="312"/>
      <c r="W806" s="312"/>
      <c r="X806" s="312"/>
      <c r="Y806" s="312"/>
      <c r="Z806" s="312"/>
      <c r="AA806" s="312"/>
      <c r="AB806" s="312"/>
      <c r="AC806" s="312"/>
      <c r="AD806" s="312"/>
      <c r="AE806" s="312"/>
      <c r="AF806" s="312"/>
      <c r="AG806" s="312"/>
      <c r="AH806" s="312"/>
      <c r="AI806" s="312"/>
      <c r="AJ806" s="312"/>
      <c r="AK806" s="312"/>
      <c r="AL806" s="312"/>
      <c r="AM806" s="312"/>
      <c r="AN806" s="312"/>
      <c r="AO806" s="312"/>
      <c r="AP806" s="312"/>
      <c r="AQ806" s="312"/>
      <c r="AR806" s="312"/>
      <c r="AS806" s="312"/>
      <c r="AT806" s="312"/>
    </row>
    <row r="807" ht="15.75" customHeight="1">
      <c r="A807" s="318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2"/>
      <c r="S807" s="312"/>
      <c r="T807" s="312"/>
      <c r="U807" s="312"/>
      <c r="V807" s="312"/>
      <c r="W807" s="312"/>
      <c r="X807" s="312"/>
      <c r="Y807" s="312"/>
      <c r="Z807" s="312"/>
      <c r="AA807" s="312"/>
      <c r="AB807" s="312"/>
      <c r="AC807" s="312"/>
      <c r="AD807" s="312"/>
      <c r="AE807" s="312"/>
      <c r="AF807" s="312"/>
      <c r="AG807" s="312"/>
      <c r="AH807" s="312"/>
      <c r="AI807" s="312"/>
      <c r="AJ807" s="312"/>
      <c r="AK807" s="312"/>
      <c r="AL807" s="312"/>
      <c r="AM807" s="312"/>
      <c r="AN807" s="312"/>
      <c r="AO807" s="312"/>
      <c r="AP807" s="312"/>
      <c r="AQ807" s="312"/>
      <c r="AR807" s="312"/>
      <c r="AS807" s="312"/>
      <c r="AT807" s="312"/>
    </row>
    <row r="808" ht="15.75" customHeight="1">
      <c r="A808" s="318"/>
      <c r="B808" s="312"/>
      <c r="C808" s="312"/>
      <c r="D808" s="312"/>
      <c r="E808" s="312"/>
      <c r="F808" s="312"/>
      <c r="G808" s="312"/>
      <c r="H808" s="312"/>
      <c r="I808" s="312"/>
      <c r="J808" s="312"/>
      <c r="K808" s="312"/>
      <c r="L808" s="312"/>
      <c r="M808" s="312"/>
      <c r="N808" s="312"/>
      <c r="O808" s="312"/>
      <c r="P808" s="312"/>
      <c r="Q808" s="312"/>
      <c r="R808" s="312"/>
      <c r="S808" s="312"/>
      <c r="T808" s="312"/>
      <c r="U808" s="312"/>
      <c r="V808" s="312"/>
      <c r="W808" s="312"/>
      <c r="X808" s="312"/>
      <c r="Y808" s="312"/>
      <c r="Z808" s="312"/>
      <c r="AA808" s="312"/>
      <c r="AB808" s="312"/>
      <c r="AC808" s="312"/>
      <c r="AD808" s="312"/>
      <c r="AE808" s="312"/>
      <c r="AF808" s="312"/>
      <c r="AG808" s="312"/>
      <c r="AH808" s="312"/>
      <c r="AI808" s="312"/>
      <c r="AJ808" s="312"/>
      <c r="AK808" s="312"/>
      <c r="AL808" s="312"/>
      <c r="AM808" s="312"/>
      <c r="AN808" s="312"/>
      <c r="AO808" s="312"/>
      <c r="AP808" s="312"/>
      <c r="AQ808" s="312"/>
      <c r="AR808" s="312"/>
      <c r="AS808" s="312"/>
      <c r="AT808" s="312"/>
    </row>
    <row r="809" ht="15.75" customHeight="1">
      <c r="A809" s="318"/>
      <c r="B809" s="312"/>
      <c r="C809" s="312"/>
      <c r="D809" s="312"/>
      <c r="E809" s="312"/>
      <c r="F809" s="312"/>
      <c r="G809" s="312"/>
      <c r="H809" s="312"/>
      <c r="I809" s="312"/>
      <c r="J809" s="312"/>
      <c r="K809" s="312"/>
      <c r="L809" s="312"/>
      <c r="M809" s="312"/>
      <c r="N809" s="312"/>
      <c r="O809" s="312"/>
      <c r="P809" s="312"/>
      <c r="Q809" s="312"/>
      <c r="R809" s="312"/>
      <c r="S809" s="312"/>
      <c r="T809" s="312"/>
      <c r="U809" s="312"/>
      <c r="V809" s="312"/>
      <c r="W809" s="312"/>
      <c r="X809" s="312"/>
      <c r="Y809" s="312"/>
      <c r="Z809" s="312"/>
      <c r="AA809" s="312"/>
      <c r="AB809" s="312"/>
      <c r="AC809" s="312"/>
      <c r="AD809" s="312"/>
      <c r="AE809" s="312"/>
      <c r="AF809" s="312"/>
      <c r="AG809" s="312"/>
      <c r="AH809" s="312"/>
      <c r="AI809" s="312"/>
      <c r="AJ809" s="312"/>
      <c r="AK809" s="312"/>
      <c r="AL809" s="312"/>
      <c r="AM809" s="312"/>
      <c r="AN809" s="312"/>
      <c r="AO809" s="312"/>
      <c r="AP809" s="312"/>
      <c r="AQ809" s="312"/>
      <c r="AR809" s="312"/>
      <c r="AS809" s="312"/>
      <c r="AT809" s="312"/>
    </row>
    <row r="810" ht="15.75" customHeight="1">
      <c r="A810" s="318"/>
      <c r="B810" s="312"/>
      <c r="C810" s="312"/>
      <c r="D810" s="312"/>
      <c r="E810" s="312"/>
      <c r="F810" s="312"/>
      <c r="G810" s="312"/>
      <c r="H810" s="312"/>
      <c r="I810" s="312"/>
      <c r="J810" s="312"/>
      <c r="K810" s="312"/>
      <c r="L810" s="312"/>
      <c r="M810" s="312"/>
      <c r="N810" s="312"/>
      <c r="O810" s="312"/>
      <c r="P810" s="312"/>
      <c r="Q810" s="312"/>
      <c r="R810" s="312"/>
      <c r="S810" s="312"/>
      <c r="T810" s="312"/>
      <c r="U810" s="312"/>
      <c r="V810" s="312"/>
      <c r="W810" s="312"/>
      <c r="X810" s="312"/>
      <c r="Y810" s="312"/>
      <c r="Z810" s="312"/>
      <c r="AA810" s="312"/>
      <c r="AB810" s="312"/>
      <c r="AC810" s="312"/>
      <c r="AD810" s="312"/>
      <c r="AE810" s="312"/>
      <c r="AF810" s="312"/>
      <c r="AG810" s="312"/>
      <c r="AH810" s="312"/>
      <c r="AI810" s="312"/>
      <c r="AJ810" s="312"/>
      <c r="AK810" s="312"/>
      <c r="AL810" s="312"/>
      <c r="AM810" s="312"/>
      <c r="AN810" s="312"/>
      <c r="AO810" s="312"/>
      <c r="AP810" s="312"/>
      <c r="AQ810" s="312"/>
      <c r="AR810" s="312"/>
      <c r="AS810" s="312"/>
      <c r="AT810" s="312"/>
    </row>
    <row r="811" ht="15.75" customHeight="1">
      <c r="A811" s="318"/>
      <c r="B811" s="312"/>
      <c r="C811" s="312"/>
      <c r="D811" s="312"/>
      <c r="E811" s="312"/>
      <c r="F811" s="312"/>
      <c r="G811" s="312"/>
      <c r="H811" s="312"/>
      <c r="I811" s="312"/>
      <c r="J811" s="312"/>
      <c r="K811" s="312"/>
      <c r="L811" s="312"/>
      <c r="M811" s="312"/>
      <c r="N811" s="312"/>
      <c r="O811" s="312"/>
      <c r="P811" s="312"/>
      <c r="Q811" s="312"/>
      <c r="R811" s="312"/>
      <c r="S811" s="312"/>
      <c r="T811" s="312"/>
      <c r="U811" s="312"/>
      <c r="V811" s="312"/>
      <c r="W811" s="312"/>
      <c r="X811" s="312"/>
      <c r="Y811" s="312"/>
      <c r="Z811" s="312"/>
      <c r="AA811" s="312"/>
      <c r="AB811" s="312"/>
      <c r="AC811" s="312"/>
      <c r="AD811" s="312"/>
      <c r="AE811" s="312"/>
      <c r="AF811" s="312"/>
      <c r="AG811" s="312"/>
      <c r="AH811" s="312"/>
      <c r="AI811" s="312"/>
      <c r="AJ811" s="312"/>
      <c r="AK811" s="312"/>
      <c r="AL811" s="312"/>
      <c r="AM811" s="312"/>
      <c r="AN811" s="312"/>
      <c r="AO811" s="312"/>
      <c r="AP811" s="312"/>
      <c r="AQ811" s="312"/>
      <c r="AR811" s="312"/>
      <c r="AS811" s="312"/>
      <c r="AT811" s="312"/>
    </row>
    <row r="812" ht="15.75" customHeight="1">
      <c r="A812" s="318"/>
      <c r="B812" s="312"/>
      <c r="C812" s="312"/>
      <c r="D812" s="312"/>
      <c r="E812" s="312"/>
      <c r="F812" s="312"/>
      <c r="G812" s="312"/>
      <c r="H812" s="312"/>
      <c r="I812" s="312"/>
      <c r="J812" s="312"/>
      <c r="K812" s="312"/>
      <c r="L812" s="312"/>
      <c r="M812" s="312"/>
      <c r="N812" s="312"/>
      <c r="O812" s="312"/>
      <c r="P812" s="312"/>
      <c r="Q812" s="312"/>
      <c r="R812" s="312"/>
      <c r="S812" s="312"/>
      <c r="T812" s="312"/>
      <c r="U812" s="312"/>
      <c r="V812" s="312"/>
      <c r="W812" s="312"/>
      <c r="X812" s="312"/>
      <c r="Y812" s="312"/>
      <c r="Z812" s="312"/>
      <c r="AA812" s="312"/>
      <c r="AB812" s="312"/>
      <c r="AC812" s="312"/>
      <c r="AD812" s="312"/>
      <c r="AE812" s="312"/>
      <c r="AF812" s="312"/>
      <c r="AG812" s="312"/>
      <c r="AH812" s="312"/>
      <c r="AI812" s="312"/>
      <c r="AJ812" s="312"/>
      <c r="AK812" s="312"/>
      <c r="AL812" s="312"/>
      <c r="AM812" s="312"/>
      <c r="AN812" s="312"/>
      <c r="AO812" s="312"/>
      <c r="AP812" s="312"/>
      <c r="AQ812" s="312"/>
      <c r="AR812" s="312"/>
      <c r="AS812" s="312"/>
      <c r="AT812" s="312"/>
    </row>
    <row r="813" ht="15.75" customHeight="1">
      <c r="A813" s="318"/>
      <c r="B813" s="312"/>
      <c r="C813" s="312"/>
      <c r="D813" s="312"/>
      <c r="E813" s="312"/>
      <c r="F813" s="312"/>
      <c r="G813" s="312"/>
      <c r="H813" s="312"/>
      <c r="I813" s="312"/>
      <c r="J813" s="312"/>
      <c r="K813" s="312"/>
      <c r="L813" s="312"/>
      <c r="M813" s="312"/>
      <c r="N813" s="312"/>
      <c r="O813" s="312"/>
      <c r="P813" s="312"/>
      <c r="Q813" s="312"/>
      <c r="R813" s="312"/>
      <c r="S813" s="312"/>
      <c r="T813" s="312"/>
      <c r="U813" s="312"/>
      <c r="V813" s="312"/>
      <c r="W813" s="312"/>
      <c r="X813" s="312"/>
      <c r="Y813" s="312"/>
      <c r="Z813" s="312"/>
      <c r="AA813" s="312"/>
      <c r="AB813" s="312"/>
      <c r="AC813" s="312"/>
      <c r="AD813" s="312"/>
      <c r="AE813" s="312"/>
      <c r="AF813" s="312"/>
      <c r="AG813" s="312"/>
      <c r="AH813" s="312"/>
      <c r="AI813" s="312"/>
      <c r="AJ813" s="312"/>
      <c r="AK813" s="312"/>
      <c r="AL813" s="312"/>
      <c r="AM813" s="312"/>
      <c r="AN813" s="312"/>
      <c r="AO813" s="312"/>
      <c r="AP813" s="312"/>
      <c r="AQ813" s="312"/>
      <c r="AR813" s="312"/>
      <c r="AS813" s="312"/>
      <c r="AT813" s="312"/>
    </row>
    <row r="814" ht="15.75" customHeight="1">
      <c r="A814" s="318"/>
      <c r="B814" s="312"/>
      <c r="C814" s="312"/>
      <c r="D814" s="312"/>
      <c r="E814" s="312"/>
      <c r="F814" s="312"/>
      <c r="G814" s="312"/>
      <c r="H814" s="312"/>
      <c r="I814" s="312"/>
      <c r="J814" s="312"/>
      <c r="K814" s="312"/>
      <c r="L814" s="312"/>
      <c r="M814" s="312"/>
      <c r="N814" s="312"/>
      <c r="O814" s="312"/>
      <c r="P814" s="312"/>
      <c r="Q814" s="312"/>
      <c r="R814" s="312"/>
      <c r="S814" s="312"/>
      <c r="T814" s="312"/>
      <c r="U814" s="312"/>
      <c r="V814" s="312"/>
      <c r="W814" s="312"/>
      <c r="X814" s="312"/>
      <c r="Y814" s="312"/>
      <c r="Z814" s="312"/>
      <c r="AA814" s="312"/>
      <c r="AB814" s="312"/>
      <c r="AC814" s="312"/>
      <c r="AD814" s="312"/>
      <c r="AE814" s="312"/>
      <c r="AF814" s="312"/>
      <c r="AG814" s="312"/>
      <c r="AH814" s="312"/>
      <c r="AI814" s="312"/>
      <c r="AJ814" s="312"/>
      <c r="AK814" s="312"/>
      <c r="AL814" s="312"/>
      <c r="AM814" s="312"/>
      <c r="AN814" s="312"/>
      <c r="AO814" s="312"/>
      <c r="AP814" s="312"/>
      <c r="AQ814" s="312"/>
      <c r="AR814" s="312"/>
      <c r="AS814" s="312"/>
      <c r="AT814" s="312"/>
    </row>
    <row r="815" ht="15.75" customHeight="1">
      <c r="A815" s="318"/>
      <c r="B815" s="312"/>
      <c r="C815" s="312"/>
      <c r="D815" s="312"/>
      <c r="E815" s="312"/>
      <c r="F815" s="312"/>
      <c r="G815" s="312"/>
      <c r="H815" s="312"/>
      <c r="I815" s="312"/>
      <c r="J815" s="312"/>
      <c r="K815" s="312"/>
      <c r="L815" s="312"/>
      <c r="M815" s="312"/>
      <c r="N815" s="312"/>
      <c r="O815" s="312"/>
      <c r="P815" s="312"/>
      <c r="Q815" s="312"/>
      <c r="R815" s="312"/>
      <c r="S815" s="312"/>
      <c r="T815" s="312"/>
      <c r="U815" s="312"/>
      <c r="V815" s="312"/>
      <c r="W815" s="312"/>
      <c r="X815" s="312"/>
      <c r="Y815" s="312"/>
      <c r="Z815" s="312"/>
      <c r="AA815" s="312"/>
      <c r="AB815" s="312"/>
      <c r="AC815" s="312"/>
      <c r="AD815" s="312"/>
      <c r="AE815" s="312"/>
      <c r="AF815" s="312"/>
      <c r="AG815" s="312"/>
      <c r="AH815" s="312"/>
      <c r="AI815" s="312"/>
      <c r="AJ815" s="312"/>
      <c r="AK815" s="312"/>
      <c r="AL815" s="312"/>
      <c r="AM815" s="312"/>
      <c r="AN815" s="312"/>
      <c r="AO815" s="312"/>
      <c r="AP815" s="312"/>
      <c r="AQ815" s="312"/>
      <c r="AR815" s="312"/>
      <c r="AS815" s="312"/>
      <c r="AT815" s="312"/>
    </row>
    <row r="816" ht="15.75" customHeight="1">
      <c r="A816" s="318"/>
      <c r="B816" s="312"/>
      <c r="C816" s="312"/>
      <c r="D816" s="312"/>
      <c r="E816" s="312"/>
      <c r="F816" s="312"/>
      <c r="G816" s="312"/>
      <c r="H816" s="312"/>
      <c r="I816" s="312"/>
      <c r="J816" s="312"/>
      <c r="K816" s="312"/>
      <c r="L816" s="312"/>
      <c r="M816" s="312"/>
      <c r="N816" s="312"/>
      <c r="O816" s="312"/>
      <c r="P816" s="312"/>
      <c r="Q816" s="312"/>
      <c r="R816" s="312"/>
      <c r="S816" s="312"/>
      <c r="T816" s="312"/>
      <c r="U816" s="312"/>
      <c r="V816" s="312"/>
      <c r="W816" s="312"/>
      <c r="X816" s="312"/>
      <c r="Y816" s="312"/>
      <c r="Z816" s="312"/>
      <c r="AA816" s="312"/>
      <c r="AB816" s="312"/>
      <c r="AC816" s="312"/>
      <c r="AD816" s="312"/>
      <c r="AE816" s="312"/>
      <c r="AF816" s="312"/>
      <c r="AG816" s="312"/>
      <c r="AH816" s="312"/>
      <c r="AI816" s="312"/>
      <c r="AJ816" s="312"/>
      <c r="AK816" s="312"/>
      <c r="AL816" s="312"/>
      <c r="AM816" s="312"/>
      <c r="AN816" s="312"/>
      <c r="AO816" s="312"/>
      <c r="AP816" s="312"/>
      <c r="AQ816" s="312"/>
      <c r="AR816" s="312"/>
      <c r="AS816" s="312"/>
      <c r="AT816" s="312"/>
    </row>
    <row r="817" ht="15.75" customHeight="1">
      <c r="A817" s="318"/>
      <c r="B817" s="312"/>
      <c r="C817" s="312"/>
      <c r="D817" s="312"/>
      <c r="E817" s="312"/>
      <c r="F817" s="312"/>
      <c r="G817" s="312"/>
      <c r="H817" s="312"/>
      <c r="I817" s="312"/>
      <c r="J817" s="312"/>
      <c r="K817" s="312"/>
      <c r="L817" s="312"/>
      <c r="M817" s="312"/>
      <c r="N817" s="312"/>
      <c r="O817" s="312"/>
      <c r="P817" s="312"/>
      <c r="Q817" s="312"/>
      <c r="R817" s="312"/>
      <c r="S817" s="312"/>
      <c r="T817" s="312"/>
      <c r="U817" s="312"/>
      <c r="V817" s="312"/>
      <c r="W817" s="312"/>
      <c r="X817" s="312"/>
      <c r="Y817" s="312"/>
      <c r="Z817" s="312"/>
      <c r="AA817" s="312"/>
      <c r="AB817" s="312"/>
      <c r="AC817" s="312"/>
      <c r="AD817" s="312"/>
      <c r="AE817" s="312"/>
      <c r="AF817" s="312"/>
      <c r="AG817" s="312"/>
      <c r="AH817" s="312"/>
      <c r="AI817" s="312"/>
      <c r="AJ817" s="312"/>
      <c r="AK817" s="312"/>
      <c r="AL817" s="312"/>
      <c r="AM817" s="312"/>
      <c r="AN817" s="312"/>
      <c r="AO817" s="312"/>
      <c r="AP817" s="312"/>
      <c r="AQ817" s="312"/>
      <c r="AR817" s="312"/>
      <c r="AS817" s="312"/>
      <c r="AT817" s="312"/>
    </row>
    <row r="818" ht="15.75" customHeight="1">
      <c r="A818" s="318"/>
      <c r="B818" s="312"/>
      <c r="C818" s="312"/>
      <c r="D818" s="312"/>
      <c r="E818" s="312"/>
      <c r="F818" s="312"/>
      <c r="G818" s="312"/>
      <c r="H818" s="312"/>
      <c r="I818" s="312"/>
      <c r="J818" s="312"/>
      <c r="K818" s="312"/>
      <c r="L818" s="312"/>
      <c r="M818" s="312"/>
      <c r="N818" s="312"/>
      <c r="O818" s="312"/>
      <c r="P818" s="312"/>
      <c r="Q818" s="312"/>
      <c r="R818" s="312"/>
      <c r="S818" s="312"/>
      <c r="T818" s="312"/>
      <c r="U818" s="312"/>
      <c r="V818" s="312"/>
      <c r="W818" s="312"/>
      <c r="X818" s="312"/>
      <c r="Y818" s="312"/>
      <c r="Z818" s="312"/>
      <c r="AA818" s="312"/>
      <c r="AB818" s="312"/>
      <c r="AC818" s="312"/>
      <c r="AD818" s="312"/>
      <c r="AE818" s="312"/>
      <c r="AF818" s="312"/>
      <c r="AG818" s="312"/>
      <c r="AH818" s="312"/>
      <c r="AI818" s="312"/>
      <c r="AJ818" s="312"/>
      <c r="AK818" s="312"/>
      <c r="AL818" s="312"/>
      <c r="AM818" s="312"/>
      <c r="AN818" s="312"/>
      <c r="AO818" s="312"/>
      <c r="AP818" s="312"/>
      <c r="AQ818" s="312"/>
      <c r="AR818" s="312"/>
      <c r="AS818" s="312"/>
      <c r="AT818" s="312"/>
    </row>
    <row r="819" ht="15.75" customHeight="1">
      <c r="A819" s="318"/>
      <c r="B819" s="312"/>
      <c r="C819" s="312"/>
      <c r="D819" s="312"/>
      <c r="E819" s="312"/>
      <c r="F819" s="312"/>
      <c r="G819" s="312"/>
      <c r="H819" s="312"/>
      <c r="I819" s="312"/>
      <c r="J819" s="312"/>
      <c r="K819" s="312"/>
      <c r="L819" s="312"/>
      <c r="M819" s="312"/>
      <c r="N819" s="312"/>
      <c r="O819" s="312"/>
      <c r="P819" s="312"/>
      <c r="Q819" s="312"/>
      <c r="R819" s="312"/>
      <c r="S819" s="312"/>
      <c r="T819" s="312"/>
      <c r="U819" s="312"/>
      <c r="V819" s="312"/>
      <c r="W819" s="312"/>
      <c r="X819" s="312"/>
      <c r="Y819" s="312"/>
      <c r="Z819" s="312"/>
      <c r="AA819" s="312"/>
      <c r="AB819" s="312"/>
      <c r="AC819" s="312"/>
      <c r="AD819" s="312"/>
      <c r="AE819" s="312"/>
      <c r="AF819" s="312"/>
      <c r="AG819" s="312"/>
      <c r="AH819" s="312"/>
      <c r="AI819" s="312"/>
      <c r="AJ819" s="312"/>
      <c r="AK819" s="312"/>
      <c r="AL819" s="312"/>
      <c r="AM819" s="312"/>
      <c r="AN819" s="312"/>
      <c r="AO819" s="312"/>
      <c r="AP819" s="312"/>
      <c r="AQ819" s="312"/>
      <c r="AR819" s="312"/>
      <c r="AS819" s="312"/>
      <c r="AT819" s="312"/>
    </row>
    <row r="820" ht="15.75" customHeight="1">
      <c r="A820" s="318"/>
      <c r="B820" s="312"/>
      <c r="C820" s="312"/>
      <c r="D820" s="312"/>
      <c r="E820" s="312"/>
      <c r="F820" s="312"/>
      <c r="G820" s="312"/>
      <c r="H820" s="312"/>
      <c r="I820" s="312"/>
      <c r="J820" s="312"/>
      <c r="K820" s="312"/>
      <c r="L820" s="312"/>
      <c r="M820" s="312"/>
      <c r="N820" s="312"/>
      <c r="O820" s="312"/>
      <c r="P820" s="312"/>
      <c r="Q820" s="312"/>
      <c r="R820" s="312"/>
      <c r="S820" s="312"/>
      <c r="T820" s="312"/>
      <c r="U820" s="312"/>
      <c r="V820" s="312"/>
      <c r="W820" s="312"/>
      <c r="X820" s="312"/>
      <c r="Y820" s="312"/>
      <c r="Z820" s="312"/>
      <c r="AA820" s="312"/>
      <c r="AB820" s="312"/>
      <c r="AC820" s="312"/>
      <c r="AD820" s="312"/>
      <c r="AE820" s="312"/>
      <c r="AF820" s="312"/>
      <c r="AG820" s="312"/>
      <c r="AH820" s="312"/>
      <c r="AI820" s="312"/>
      <c r="AJ820" s="312"/>
      <c r="AK820" s="312"/>
      <c r="AL820" s="312"/>
      <c r="AM820" s="312"/>
      <c r="AN820" s="312"/>
      <c r="AO820" s="312"/>
      <c r="AP820" s="312"/>
      <c r="AQ820" s="312"/>
      <c r="AR820" s="312"/>
      <c r="AS820" s="312"/>
      <c r="AT820" s="312"/>
    </row>
    <row r="821" ht="15.75" customHeight="1">
      <c r="A821" s="318"/>
      <c r="B821" s="312"/>
      <c r="C821" s="312"/>
      <c r="D821" s="312"/>
      <c r="E821" s="312"/>
      <c r="F821" s="312"/>
      <c r="G821" s="312"/>
      <c r="H821" s="312"/>
      <c r="I821" s="312"/>
      <c r="J821" s="312"/>
      <c r="K821" s="312"/>
      <c r="L821" s="312"/>
      <c r="M821" s="312"/>
      <c r="N821" s="312"/>
      <c r="O821" s="312"/>
      <c r="P821" s="312"/>
      <c r="Q821" s="312"/>
      <c r="R821" s="312"/>
      <c r="S821" s="312"/>
      <c r="T821" s="312"/>
      <c r="U821" s="312"/>
      <c r="V821" s="312"/>
      <c r="W821" s="312"/>
      <c r="X821" s="312"/>
      <c r="Y821" s="312"/>
      <c r="Z821" s="312"/>
      <c r="AA821" s="312"/>
      <c r="AB821" s="312"/>
      <c r="AC821" s="312"/>
      <c r="AD821" s="312"/>
      <c r="AE821" s="312"/>
      <c r="AF821" s="312"/>
      <c r="AG821" s="312"/>
      <c r="AH821" s="312"/>
      <c r="AI821" s="312"/>
      <c r="AJ821" s="312"/>
      <c r="AK821" s="312"/>
      <c r="AL821" s="312"/>
      <c r="AM821" s="312"/>
      <c r="AN821" s="312"/>
      <c r="AO821" s="312"/>
      <c r="AP821" s="312"/>
      <c r="AQ821" s="312"/>
      <c r="AR821" s="312"/>
      <c r="AS821" s="312"/>
      <c r="AT821" s="312"/>
    </row>
    <row r="822" ht="15.75" customHeight="1">
      <c r="A822" s="318"/>
      <c r="B822" s="312"/>
      <c r="C822" s="312"/>
      <c r="D822" s="312"/>
      <c r="E822" s="312"/>
      <c r="F822" s="312"/>
      <c r="G822" s="312"/>
      <c r="H822" s="312"/>
      <c r="I822" s="312"/>
      <c r="J822" s="312"/>
      <c r="K822" s="312"/>
      <c r="L822" s="312"/>
      <c r="M822" s="312"/>
      <c r="N822" s="312"/>
      <c r="O822" s="312"/>
      <c r="P822" s="312"/>
      <c r="Q822" s="312"/>
      <c r="R822" s="312"/>
      <c r="S822" s="312"/>
      <c r="T822" s="312"/>
      <c r="U822" s="312"/>
      <c r="V822" s="312"/>
      <c r="W822" s="312"/>
      <c r="X822" s="312"/>
      <c r="Y822" s="312"/>
      <c r="Z822" s="312"/>
      <c r="AA822" s="312"/>
      <c r="AB822" s="312"/>
      <c r="AC822" s="312"/>
      <c r="AD822" s="312"/>
      <c r="AE822" s="312"/>
      <c r="AF822" s="312"/>
      <c r="AG822" s="312"/>
      <c r="AH822" s="312"/>
      <c r="AI822" s="312"/>
      <c r="AJ822" s="312"/>
      <c r="AK822" s="312"/>
      <c r="AL822" s="312"/>
      <c r="AM822" s="312"/>
      <c r="AN822" s="312"/>
      <c r="AO822" s="312"/>
      <c r="AP822" s="312"/>
      <c r="AQ822" s="312"/>
      <c r="AR822" s="312"/>
      <c r="AS822" s="312"/>
      <c r="AT822" s="312"/>
    </row>
    <row r="823" ht="15.75" customHeight="1">
      <c r="A823" s="318"/>
      <c r="B823" s="312"/>
      <c r="C823" s="312"/>
      <c r="D823" s="312"/>
      <c r="E823" s="312"/>
      <c r="F823" s="312"/>
      <c r="G823" s="312"/>
      <c r="H823" s="312"/>
      <c r="I823" s="312"/>
      <c r="J823" s="312"/>
      <c r="K823" s="312"/>
      <c r="L823" s="312"/>
      <c r="M823" s="312"/>
      <c r="N823" s="312"/>
      <c r="O823" s="312"/>
      <c r="P823" s="312"/>
      <c r="Q823" s="312"/>
      <c r="R823" s="312"/>
      <c r="S823" s="312"/>
      <c r="T823" s="312"/>
      <c r="U823" s="312"/>
      <c r="V823" s="312"/>
      <c r="W823" s="312"/>
      <c r="X823" s="312"/>
      <c r="Y823" s="312"/>
      <c r="Z823" s="312"/>
      <c r="AA823" s="312"/>
      <c r="AB823" s="312"/>
      <c r="AC823" s="312"/>
      <c r="AD823" s="312"/>
      <c r="AE823" s="312"/>
      <c r="AF823" s="312"/>
      <c r="AG823" s="312"/>
      <c r="AH823" s="312"/>
      <c r="AI823" s="312"/>
      <c r="AJ823" s="312"/>
      <c r="AK823" s="312"/>
      <c r="AL823" s="312"/>
      <c r="AM823" s="312"/>
      <c r="AN823" s="312"/>
      <c r="AO823" s="312"/>
      <c r="AP823" s="312"/>
      <c r="AQ823" s="312"/>
      <c r="AR823" s="312"/>
      <c r="AS823" s="312"/>
      <c r="AT823" s="312"/>
    </row>
    <row r="824" ht="15.75" customHeight="1">
      <c r="A824" s="318"/>
      <c r="B824" s="312"/>
      <c r="C824" s="312"/>
      <c r="D824" s="312"/>
      <c r="E824" s="312"/>
      <c r="F824" s="312"/>
      <c r="G824" s="312"/>
      <c r="H824" s="312"/>
      <c r="I824" s="312"/>
      <c r="J824" s="312"/>
      <c r="K824" s="312"/>
      <c r="L824" s="312"/>
      <c r="M824" s="312"/>
      <c r="N824" s="312"/>
      <c r="O824" s="312"/>
      <c r="P824" s="312"/>
      <c r="Q824" s="312"/>
      <c r="R824" s="312"/>
      <c r="S824" s="312"/>
      <c r="T824" s="312"/>
      <c r="U824" s="312"/>
      <c r="V824" s="312"/>
      <c r="W824" s="312"/>
      <c r="X824" s="312"/>
      <c r="Y824" s="312"/>
      <c r="Z824" s="312"/>
      <c r="AA824" s="312"/>
      <c r="AB824" s="312"/>
      <c r="AC824" s="312"/>
      <c r="AD824" s="312"/>
      <c r="AE824" s="312"/>
      <c r="AF824" s="312"/>
      <c r="AG824" s="312"/>
      <c r="AH824" s="312"/>
      <c r="AI824" s="312"/>
      <c r="AJ824" s="312"/>
      <c r="AK824" s="312"/>
      <c r="AL824" s="312"/>
      <c r="AM824" s="312"/>
      <c r="AN824" s="312"/>
      <c r="AO824" s="312"/>
      <c r="AP824" s="312"/>
      <c r="AQ824" s="312"/>
      <c r="AR824" s="312"/>
      <c r="AS824" s="312"/>
      <c r="AT824" s="312"/>
    </row>
    <row r="825" ht="15.75" customHeight="1">
      <c r="A825" s="318"/>
      <c r="B825" s="312"/>
      <c r="C825" s="312"/>
      <c r="D825" s="312"/>
      <c r="E825" s="312"/>
      <c r="F825" s="312"/>
      <c r="G825" s="312"/>
      <c r="H825" s="312"/>
      <c r="I825" s="312"/>
      <c r="J825" s="312"/>
      <c r="K825" s="312"/>
      <c r="L825" s="312"/>
      <c r="M825" s="312"/>
      <c r="N825" s="312"/>
      <c r="O825" s="312"/>
      <c r="P825" s="312"/>
      <c r="Q825" s="312"/>
      <c r="R825" s="312"/>
      <c r="S825" s="312"/>
      <c r="T825" s="312"/>
      <c r="U825" s="312"/>
      <c r="V825" s="312"/>
      <c r="W825" s="312"/>
      <c r="X825" s="312"/>
      <c r="Y825" s="312"/>
      <c r="Z825" s="312"/>
      <c r="AA825" s="312"/>
      <c r="AB825" s="312"/>
      <c r="AC825" s="312"/>
      <c r="AD825" s="312"/>
      <c r="AE825" s="312"/>
      <c r="AF825" s="312"/>
      <c r="AG825" s="312"/>
      <c r="AH825" s="312"/>
      <c r="AI825" s="312"/>
      <c r="AJ825" s="312"/>
      <c r="AK825" s="312"/>
      <c r="AL825" s="312"/>
      <c r="AM825" s="312"/>
      <c r="AN825" s="312"/>
      <c r="AO825" s="312"/>
      <c r="AP825" s="312"/>
      <c r="AQ825" s="312"/>
      <c r="AR825" s="312"/>
      <c r="AS825" s="312"/>
      <c r="AT825" s="312"/>
    </row>
    <row r="826" ht="15.75" customHeight="1">
      <c r="A826" s="318"/>
      <c r="B826" s="312"/>
      <c r="C826" s="312"/>
      <c r="D826" s="312"/>
      <c r="E826" s="312"/>
      <c r="F826" s="312"/>
      <c r="G826" s="312"/>
      <c r="H826" s="312"/>
      <c r="I826" s="312"/>
      <c r="J826" s="312"/>
      <c r="K826" s="312"/>
      <c r="L826" s="312"/>
      <c r="M826" s="312"/>
      <c r="N826" s="312"/>
      <c r="O826" s="312"/>
      <c r="P826" s="312"/>
      <c r="Q826" s="312"/>
      <c r="R826" s="312"/>
      <c r="S826" s="312"/>
      <c r="T826" s="312"/>
      <c r="U826" s="312"/>
      <c r="V826" s="312"/>
      <c r="W826" s="312"/>
      <c r="X826" s="312"/>
      <c r="Y826" s="312"/>
      <c r="Z826" s="312"/>
      <c r="AA826" s="312"/>
      <c r="AB826" s="312"/>
      <c r="AC826" s="312"/>
      <c r="AD826" s="312"/>
      <c r="AE826" s="312"/>
      <c r="AF826" s="312"/>
      <c r="AG826" s="312"/>
      <c r="AH826" s="312"/>
      <c r="AI826" s="312"/>
      <c r="AJ826" s="312"/>
      <c r="AK826" s="312"/>
      <c r="AL826" s="312"/>
      <c r="AM826" s="312"/>
      <c r="AN826" s="312"/>
      <c r="AO826" s="312"/>
      <c r="AP826" s="312"/>
      <c r="AQ826" s="312"/>
      <c r="AR826" s="312"/>
      <c r="AS826" s="312"/>
      <c r="AT826" s="312"/>
    </row>
    <row r="827" ht="15.75" customHeight="1">
      <c r="A827" s="318"/>
      <c r="B827" s="312"/>
      <c r="C827" s="312"/>
      <c r="D827" s="312"/>
      <c r="E827" s="312"/>
      <c r="F827" s="312"/>
      <c r="G827" s="312"/>
      <c r="H827" s="312"/>
      <c r="I827" s="312"/>
      <c r="J827" s="312"/>
      <c r="K827" s="312"/>
      <c r="L827" s="312"/>
      <c r="M827" s="312"/>
      <c r="N827" s="312"/>
      <c r="O827" s="312"/>
      <c r="P827" s="312"/>
      <c r="Q827" s="312"/>
      <c r="R827" s="312"/>
      <c r="S827" s="312"/>
      <c r="T827" s="312"/>
      <c r="U827" s="312"/>
      <c r="V827" s="312"/>
      <c r="W827" s="312"/>
      <c r="X827" s="312"/>
      <c r="Y827" s="312"/>
      <c r="Z827" s="312"/>
      <c r="AA827" s="312"/>
      <c r="AB827" s="312"/>
      <c r="AC827" s="312"/>
      <c r="AD827" s="312"/>
      <c r="AE827" s="312"/>
      <c r="AF827" s="312"/>
      <c r="AG827" s="312"/>
      <c r="AH827" s="312"/>
      <c r="AI827" s="312"/>
      <c r="AJ827" s="312"/>
      <c r="AK827" s="312"/>
      <c r="AL827" s="312"/>
      <c r="AM827" s="312"/>
      <c r="AN827" s="312"/>
      <c r="AO827" s="312"/>
      <c r="AP827" s="312"/>
      <c r="AQ827" s="312"/>
      <c r="AR827" s="312"/>
      <c r="AS827" s="312"/>
      <c r="AT827" s="312"/>
    </row>
    <row r="828" ht="15.75" customHeight="1">
      <c r="A828" s="318"/>
      <c r="B828" s="312"/>
      <c r="C828" s="312"/>
      <c r="D828" s="312"/>
      <c r="E828" s="312"/>
      <c r="F828" s="312"/>
      <c r="G828" s="312"/>
      <c r="H828" s="312"/>
      <c r="I828" s="312"/>
      <c r="J828" s="312"/>
      <c r="K828" s="312"/>
      <c r="L828" s="312"/>
      <c r="M828" s="312"/>
      <c r="N828" s="312"/>
      <c r="O828" s="312"/>
      <c r="P828" s="312"/>
      <c r="Q828" s="312"/>
      <c r="R828" s="312"/>
      <c r="S828" s="312"/>
      <c r="T828" s="312"/>
      <c r="U828" s="312"/>
      <c r="V828" s="312"/>
      <c r="W828" s="312"/>
      <c r="X828" s="312"/>
      <c r="Y828" s="312"/>
      <c r="Z828" s="312"/>
      <c r="AA828" s="312"/>
      <c r="AB828" s="312"/>
      <c r="AC828" s="312"/>
      <c r="AD828" s="312"/>
      <c r="AE828" s="312"/>
      <c r="AF828" s="312"/>
      <c r="AG828" s="312"/>
      <c r="AH828" s="312"/>
      <c r="AI828" s="312"/>
      <c r="AJ828" s="312"/>
      <c r="AK828" s="312"/>
      <c r="AL828" s="312"/>
      <c r="AM828" s="312"/>
      <c r="AN828" s="312"/>
      <c r="AO828" s="312"/>
      <c r="AP828" s="312"/>
      <c r="AQ828" s="312"/>
      <c r="AR828" s="312"/>
      <c r="AS828" s="312"/>
      <c r="AT828" s="312"/>
    </row>
    <row r="829" ht="15.75" customHeight="1">
      <c r="A829" s="318"/>
      <c r="B829" s="312"/>
      <c r="C829" s="312"/>
      <c r="D829" s="312"/>
      <c r="E829" s="312"/>
      <c r="F829" s="312"/>
      <c r="G829" s="312"/>
      <c r="H829" s="312"/>
      <c r="I829" s="312"/>
      <c r="J829" s="312"/>
      <c r="K829" s="312"/>
      <c r="L829" s="312"/>
      <c r="M829" s="312"/>
      <c r="N829" s="312"/>
      <c r="O829" s="312"/>
      <c r="P829" s="312"/>
      <c r="Q829" s="312"/>
      <c r="R829" s="312"/>
      <c r="S829" s="312"/>
      <c r="T829" s="312"/>
      <c r="U829" s="312"/>
      <c r="V829" s="312"/>
      <c r="W829" s="312"/>
      <c r="X829" s="312"/>
      <c r="Y829" s="312"/>
      <c r="Z829" s="312"/>
      <c r="AA829" s="312"/>
      <c r="AB829" s="312"/>
      <c r="AC829" s="312"/>
      <c r="AD829" s="312"/>
      <c r="AE829" s="312"/>
      <c r="AF829" s="312"/>
      <c r="AG829" s="312"/>
      <c r="AH829" s="312"/>
      <c r="AI829" s="312"/>
      <c r="AJ829" s="312"/>
      <c r="AK829" s="312"/>
      <c r="AL829" s="312"/>
      <c r="AM829" s="312"/>
      <c r="AN829" s="312"/>
      <c r="AO829" s="312"/>
      <c r="AP829" s="312"/>
      <c r="AQ829" s="312"/>
      <c r="AR829" s="312"/>
      <c r="AS829" s="312"/>
      <c r="AT829" s="312"/>
    </row>
    <row r="830" ht="15.75" customHeight="1">
      <c r="A830" s="318"/>
      <c r="B830" s="312"/>
      <c r="C830" s="312"/>
      <c r="D830" s="312"/>
      <c r="E830" s="312"/>
      <c r="F830" s="312"/>
      <c r="G830" s="312"/>
      <c r="H830" s="312"/>
      <c r="I830" s="312"/>
      <c r="J830" s="312"/>
      <c r="K830" s="312"/>
      <c r="L830" s="312"/>
      <c r="M830" s="312"/>
      <c r="N830" s="312"/>
      <c r="O830" s="312"/>
      <c r="P830" s="312"/>
      <c r="Q830" s="312"/>
      <c r="R830" s="312"/>
      <c r="S830" s="312"/>
      <c r="T830" s="312"/>
      <c r="U830" s="312"/>
      <c r="V830" s="312"/>
      <c r="W830" s="312"/>
      <c r="X830" s="312"/>
      <c r="Y830" s="312"/>
      <c r="Z830" s="312"/>
      <c r="AA830" s="312"/>
      <c r="AB830" s="312"/>
      <c r="AC830" s="312"/>
      <c r="AD830" s="312"/>
      <c r="AE830" s="312"/>
      <c r="AF830" s="312"/>
      <c r="AG830" s="312"/>
      <c r="AH830" s="312"/>
      <c r="AI830" s="312"/>
      <c r="AJ830" s="312"/>
      <c r="AK830" s="312"/>
      <c r="AL830" s="312"/>
      <c r="AM830" s="312"/>
      <c r="AN830" s="312"/>
      <c r="AO830" s="312"/>
      <c r="AP830" s="312"/>
      <c r="AQ830" s="312"/>
      <c r="AR830" s="312"/>
      <c r="AS830" s="312"/>
      <c r="AT830" s="312"/>
    </row>
    <row r="831" ht="15.75" customHeight="1">
      <c r="A831" s="318"/>
      <c r="B831" s="312"/>
      <c r="C831" s="312"/>
      <c r="D831" s="312"/>
      <c r="E831" s="312"/>
      <c r="F831" s="312"/>
      <c r="G831" s="312"/>
      <c r="H831" s="312"/>
      <c r="I831" s="312"/>
      <c r="J831" s="312"/>
      <c r="K831" s="312"/>
      <c r="L831" s="312"/>
      <c r="M831" s="312"/>
      <c r="N831" s="312"/>
      <c r="O831" s="312"/>
      <c r="P831" s="312"/>
      <c r="Q831" s="312"/>
      <c r="R831" s="312"/>
      <c r="S831" s="312"/>
      <c r="T831" s="312"/>
      <c r="U831" s="312"/>
      <c r="V831" s="312"/>
      <c r="W831" s="312"/>
      <c r="X831" s="312"/>
      <c r="Y831" s="312"/>
      <c r="Z831" s="312"/>
      <c r="AA831" s="312"/>
      <c r="AB831" s="312"/>
      <c r="AC831" s="312"/>
      <c r="AD831" s="312"/>
      <c r="AE831" s="312"/>
      <c r="AF831" s="312"/>
      <c r="AG831" s="312"/>
      <c r="AH831" s="312"/>
      <c r="AI831" s="312"/>
      <c r="AJ831" s="312"/>
      <c r="AK831" s="312"/>
      <c r="AL831" s="312"/>
      <c r="AM831" s="312"/>
      <c r="AN831" s="312"/>
      <c r="AO831" s="312"/>
      <c r="AP831" s="312"/>
      <c r="AQ831" s="312"/>
      <c r="AR831" s="312"/>
      <c r="AS831" s="312"/>
      <c r="AT831" s="312"/>
    </row>
    <row r="832" ht="15.75" customHeight="1">
      <c r="A832" s="318"/>
      <c r="B832" s="312"/>
      <c r="C832" s="312"/>
      <c r="D832" s="312"/>
      <c r="E832" s="312"/>
      <c r="F832" s="312"/>
      <c r="G832" s="312"/>
      <c r="H832" s="312"/>
      <c r="I832" s="312"/>
      <c r="J832" s="312"/>
      <c r="K832" s="312"/>
      <c r="L832" s="312"/>
      <c r="M832" s="312"/>
      <c r="N832" s="312"/>
      <c r="O832" s="312"/>
      <c r="P832" s="312"/>
      <c r="Q832" s="312"/>
      <c r="R832" s="312"/>
      <c r="S832" s="312"/>
      <c r="T832" s="312"/>
      <c r="U832" s="312"/>
      <c r="V832" s="312"/>
      <c r="W832" s="312"/>
      <c r="X832" s="312"/>
      <c r="Y832" s="312"/>
      <c r="Z832" s="312"/>
      <c r="AA832" s="312"/>
      <c r="AB832" s="312"/>
      <c r="AC832" s="312"/>
      <c r="AD832" s="312"/>
      <c r="AE832" s="312"/>
      <c r="AF832" s="312"/>
      <c r="AG832" s="312"/>
      <c r="AH832" s="312"/>
      <c r="AI832" s="312"/>
      <c r="AJ832" s="312"/>
      <c r="AK832" s="312"/>
      <c r="AL832" s="312"/>
      <c r="AM832" s="312"/>
      <c r="AN832" s="312"/>
      <c r="AO832" s="312"/>
      <c r="AP832" s="312"/>
      <c r="AQ832" s="312"/>
      <c r="AR832" s="312"/>
      <c r="AS832" s="312"/>
      <c r="AT832" s="312"/>
    </row>
    <row r="833" ht="15.75" customHeight="1">
      <c r="A833" s="318"/>
      <c r="B833" s="312"/>
      <c r="C833" s="312"/>
      <c r="D833" s="312"/>
      <c r="E833" s="312"/>
      <c r="F833" s="312"/>
      <c r="G833" s="312"/>
      <c r="H833" s="312"/>
      <c r="I833" s="312"/>
      <c r="J833" s="312"/>
      <c r="K833" s="312"/>
      <c r="L833" s="312"/>
      <c r="M833" s="312"/>
      <c r="N833" s="312"/>
      <c r="O833" s="312"/>
      <c r="P833" s="312"/>
      <c r="Q833" s="312"/>
      <c r="R833" s="312"/>
      <c r="S833" s="312"/>
      <c r="T833" s="312"/>
      <c r="U833" s="312"/>
      <c r="V833" s="312"/>
      <c r="W833" s="312"/>
      <c r="X833" s="312"/>
      <c r="Y833" s="312"/>
      <c r="Z833" s="312"/>
      <c r="AA833" s="312"/>
      <c r="AB833" s="312"/>
      <c r="AC833" s="312"/>
      <c r="AD833" s="312"/>
      <c r="AE833" s="312"/>
      <c r="AF833" s="312"/>
      <c r="AG833" s="312"/>
      <c r="AH833" s="312"/>
      <c r="AI833" s="312"/>
      <c r="AJ833" s="312"/>
      <c r="AK833" s="312"/>
      <c r="AL833" s="312"/>
      <c r="AM833" s="312"/>
      <c r="AN833" s="312"/>
      <c r="AO833" s="312"/>
      <c r="AP833" s="312"/>
      <c r="AQ833" s="312"/>
      <c r="AR833" s="312"/>
      <c r="AS833" s="312"/>
      <c r="AT833" s="312"/>
    </row>
    <row r="834" ht="15.75" customHeight="1">
      <c r="A834" s="318"/>
      <c r="B834" s="312"/>
      <c r="C834" s="312"/>
      <c r="D834" s="312"/>
      <c r="E834" s="312"/>
      <c r="F834" s="312"/>
      <c r="G834" s="312"/>
      <c r="H834" s="312"/>
      <c r="I834" s="312"/>
      <c r="J834" s="312"/>
      <c r="K834" s="312"/>
      <c r="L834" s="312"/>
      <c r="M834" s="312"/>
      <c r="N834" s="312"/>
      <c r="O834" s="312"/>
      <c r="P834" s="312"/>
      <c r="Q834" s="312"/>
      <c r="R834" s="312"/>
      <c r="S834" s="312"/>
      <c r="T834" s="312"/>
      <c r="U834" s="312"/>
      <c r="V834" s="312"/>
      <c r="W834" s="312"/>
      <c r="X834" s="312"/>
      <c r="Y834" s="312"/>
      <c r="Z834" s="312"/>
      <c r="AA834" s="312"/>
      <c r="AB834" s="312"/>
      <c r="AC834" s="312"/>
      <c r="AD834" s="312"/>
      <c r="AE834" s="312"/>
      <c r="AF834" s="312"/>
      <c r="AG834" s="312"/>
      <c r="AH834" s="312"/>
      <c r="AI834" s="312"/>
      <c r="AJ834" s="312"/>
      <c r="AK834" s="312"/>
      <c r="AL834" s="312"/>
      <c r="AM834" s="312"/>
      <c r="AN834" s="312"/>
      <c r="AO834" s="312"/>
      <c r="AP834" s="312"/>
      <c r="AQ834" s="312"/>
      <c r="AR834" s="312"/>
      <c r="AS834" s="312"/>
      <c r="AT834" s="312"/>
    </row>
    <row r="835" ht="15.75" customHeight="1">
      <c r="A835" s="318"/>
      <c r="B835" s="312"/>
      <c r="C835" s="312"/>
      <c r="D835" s="312"/>
      <c r="E835" s="312"/>
      <c r="F835" s="312"/>
      <c r="G835" s="312"/>
      <c r="H835" s="312"/>
      <c r="I835" s="312"/>
      <c r="J835" s="312"/>
      <c r="K835" s="312"/>
      <c r="L835" s="312"/>
      <c r="M835" s="312"/>
      <c r="N835" s="312"/>
      <c r="O835" s="312"/>
      <c r="P835" s="312"/>
      <c r="Q835" s="312"/>
      <c r="R835" s="312"/>
      <c r="S835" s="312"/>
      <c r="T835" s="312"/>
      <c r="U835" s="312"/>
      <c r="V835" s="312"/>
      <c r="W835" s="312"/>
      <c r="X835" s="312"/>
      <c r="Y835" s="312"/>
      <c r="Z835" s="312"/>
      <c r="AA835" s="312"/>
      <c r="AB835" s="312"/>
      <c r="AC835" s="312"/>
      <c r="AD835" s="312"/>
      <c r="AE835" s="312"/>
      <c r="AF835" s="312"/>
      <c r="AG835" s="312"/>
      <c r="AH835" s="312"/>
      <c r="AI835" s="312"/>
      <c r="AJ835" s="312"/>
      <c r="AK835" s="312"/>
      <c r="AL835" s="312"/>
      <c r="AM835" s="312"/>
      <c r="AN835" s="312"/>
      <c r="AO835" s="312"/>
      <c r="AP835" s="312"/>
      <c r="AQ835" s="312"/>
      <c r="AR835" s="312"/>
      <c r="AS835" s="312"/>
      <c r="AT835" s="312"/>
    </row>
    <row r="836" ht="15.75" customHeight="1">
      <c r="A836" s="318"/>
      <c r="B836" s="312"/>
      <c r="C836" s="312"/>
      <c r="D836" s="312"/>
      <c r="E836" s="312"/>
      <c r="F836" s="312"/>
      <c r="G836" s="312"/>
      <c r="H836" s="312"/>
      <c r="I836" s="312"/>
      <c r="J836" s="312"/>
      <c r="K836" s="312"/>
      <c r="L836" s="312"/>
      <c r="M836" s="312"/>
      <c r="N836" s="312"/>
      <c r="O836" s="312"/>
      <c r="P836" s="312"/>
      <c r="Q836" s="312"/>
      <c r="R836" s="312"/>
      <c r="S836" s="312"/>
      <c r="T836" s="312"/>
      <c r="U836" s="312"/>
      <c r="V836" s="312"/>
      <c r="W836" s="312"/>
      <c r="X836" s="312"/>
      <c r="Y836" s="312"/>
      <c r="Z836" s="312"/>
      <c r="AA836" s="312"/>
      <c r="AB836" s="312"/>
      <c r="AC836" s="312"/>
      <c r="AD836" s="312"/>
      <c r="AE836" s="312"/>
      <c r="AF836" s="312"/>
      <c r="AG836" s="312"/>
      <c r="AH836" s="312"/>
      <c r="AI836" s="312"/>
      <c r="AJ836" s="312"/>
      <c r="AK836" s="312"/>
      <c r="AL836" s="312"/>
      <c r="AM836" s="312"/>
      <c r="AN836" s="312"/>
      <c r="AO836" s="312"/>
      <c r="AP836" s="312"/>
      <c r="AQ836" s="312"/>
      <c r="AR836" s="312"/>
      <c r="AS836" s="312"/>
      <c r="AT836" s="312"/>
    </row>
    <row r="837" ht="15.75" customHeight="1">
      <c r="A837" s="318"/>
      <c r="B837" s="312"/>
      <c r="C837" s="312"/>
      <c r="D837" s="312"/>
      <c r="E837" s="312"/>
      <c r="F837" s="312"/>
      <c r="G837" s="312"/>
      <c r="H837" s="312"/>
      <c r="I837" s="312"/>
      <c r="J837" s="312"/>
      <c r="K837" s="312"/>
      <c r="L837" s="312"/>
      <c r="M837" s="312"/>
      <c r="N837" s="312"/>
      <c r="O837" s="312"/>
      <c r="P837" s="312"/>
      <c r="Q837" s="312"/>
      <c r="R837" s="312"/>
      <c r="S837" s="312"/>
      <c r="T837" s="312"/>
      <c r="U837" s="312"/>
      <c r="V837" s="312"/>
      <c r="W837" s="312"/>
      <c r="X837" s="312"/>
      <c r="Y837" s="312"/>
      <c r="Z837" s="312"/>
      <c r="AA837" s="312"/>
      <c r="AB837" s="312"/>
      <c r="AC837" s="312"/>
      <c r="AD837" s="312"/>
      <c r="AE837" s="312"/>
      <c r="AF837" s="312"/>
      <c r="AG837" s="312"/>
      <c r="AH837" s="312"/>
      <c r="AI837" s="312"/>
      <c r="AJ837" s="312"/>
      <c r="AK837" s="312"/>
      <c r="AL837" s="312"/>
      <c r="AM837" s="312"/>
      <c r="AN837" s="312"/>
      <c r="AO837" s="312"/>
      <c r="AP837" s="312"/>
      <c r="AQ837" s="312"/>
      <c r="AR837" s="312"/>
      <c r="AS837" s="312"/>
      <c r="AT837" s="312"/>
    </row>
    <row r="838" ht="15.75" customHeight="1">
      <c r="A838" s="318"/>
      <c r="B838" s="312"/>
      <c r="C838" s="312"/>
      <c r="D838" s="312"/>
      <c r="E838" s="312"/>
      <c r="F838" s="312"/>
      <c r="G838" s="312"/>
      <c r="H838" s="312"/>
      <c r="I838" s="312"/>
      <c r="J838" s="312"/>
      <c r="K838" s="312"/>
      <c r="L838" s="312"/>
      <c r="M838" s="312"/>
      <c r="N838" s="312"/>
      <c r="O838" s="312"/>
      <c r="P838" s="312"/>
      <c r="Q838" s="312"/>
      <c r="R838" s="312"/>
      <c r="S838" s="312"/>
      <c r="T838" s="312"/>
      <c r="U838" s="312"/>
      <c r="V838" s="312"/>
      <c r="W838" s="312"/>
      <c r="X838" s="312"/>
      <c r="Y838" s="312"/>
      <c r="Z838" s="312"/>
      <c r="AA838" s="312"/>
      <c r="AB838" s="312"/>
      <c r="AC838" s="312"/>
      <c r="AD838" s="312"/>
      <c r="AE838" s="312"/>
      <c r="AF838" s="312"/>
      <c r="AG838" s="312"/>
      <c r="AH838" s="312"/>
      <c r="AI838" s="312"/>
      <c r="AJ838" s="312"/>
      <c r="AK838" s="312"/>
      <c r="AL838" s="312"/>
      <c r="AM838" s="312"/>
      <c r="AN838" s="312"/>
      <c r="AO838" s="312"/>
      <c r="AP838" s="312"/>
      <c r="AQ838" s="312"/>
      <c r="AR838" s="312"/>
      <c r="AS838" s="312"/>
      <c r="AT838" s="312"/>
    </row>
    <row r="839" ht="15.75" customHeight="1">
      <c r="A839" s="318"/>
      <c r="B839" s="312"/>
      <c r="C839" s="312"/>
      <c r="D839" s="312"/>
      <c r="E839" s="312"/>
      <c r="F839" s="312"/>
      <c r="G839" s="312"/>
      <c r="H839" s="312"/>
      <c r="I839" s="312"/>
      <c r="J839" s="312"/>
      <c r="K839" s="312"/>
      <c r="L839" s="312"/>
      <c r="M839" s="312"/>
      <c r="N839" s="312"/>
      <c r="O839" s="312"/>
      <c r="P839" s="312"/>
      <c r="Q839" s="312"/>
      <c r="R839" s="312"/>
      <c r="S839" s="312"/>
      <c r="T839" s="312"/>
      <c r="U839" s="312"/>
      <c r="V839" s="312"/>
      <c r="W839" s="312"/>
      <c r="X839" s="312"/>
      <c r="Y839" s="312"/>
      <c r="Z839" s="312"/>
      <c r="AA839" s="312"/>
      <c r="AB839" s="312"/>
      <c r="AC839" s="312"/>
      <c r="AD839" s="312"/>
      <c r="AE839" s="312"/>
      <c r="AF839" s="312"/>
      <c r="AG839" s="312"/>
      <c r="AH839" s="312"/>
      <c r="AI839" s="312"/>
      <c r="AJ839" s="312"/>
      <c r="AK839" s="312"/>
      <c r="AL839" s="312"/>
      <c r="AM839" s="312"/>
      <c r="AN839" s="312"/>
      <c r="AO839" s="312"/>
      <c r="AP839" s="312"/>
      <c r="AQ839" s="312"/>
      <c r="AR839" s="312"/>
      <c r="AS839" s="312"/>
      <c r="AT839" s="312"/>
    </row>
    <row r="840" ht="15.75" customHeight="1">
      <c r="A840" s="318"/>
      <c r="B840" s="312"/>
      <c r="C840" s="312"/>
      <c r="D840" s="312"/>
      <c r="E840" s="312"/>
      <c r="F840" s="312"/>
      <c r="G840" s="312"/>
      <c r="H840" s="312"/>
      <c r="I840" s="312"/>
      <c r="J840" s="312"/>
      <c r="K840" s="312"/>
      <c r="L840" s="312"/>
      <c r="M840" s="312"/>
      <c r="N840" s="312"/>
      <c r="O840" s="312"/>
      <c r="P840" s="312"/>
      <c r="Q840" s="312"/>
      <c r="R840" s="312"/>
      <c r="S840" s="312"/>
      <c r="T840" s="312"/>
      <c r="U840" s="312"/>
      <c r="V840" s="312"/>
      <c r="W840" s="312"/>
      <c r="X840" s="312"/>
      <c r="Y840" s="312"/>
      <c r="Z840" s="312"/>
      <c r="AA840" s="312"/>
      <c r="AB840" s="312"/>
      <c r="AC840" s="312"/>
      <c r="AD840" s="312"/>
      <c r="AE840" s="312"/>
      <c r="AF840" s="312"/>
      <c r="AG840" s="312"/>
      <c r="AH840" s="312"/>
      <c r="AI840" s="312"/>
      <c r="AJ840" s="312"/>
      <c r="AK840" s="312"/>
      <c r="AL840" s="312"/>
      <c r="AM840" s="312"/>
      <c r="AN840" s="312"/>
      <c r="AO840" s="312"/>
      <c r="AP840" s="312"/>
      <c r="AQ840" s="312"/>
      <c r="AR840" s="312"/>
      <c r="AS840" s="312"/>
      <c r="AT840" s="312"/>
    </row>
    <row r="841" ht="15.75" customHeight="1">
      <c r="A841" s="318"/>
      <c r="B841" s="312"/>
      <c r="C841" s="312"/>
      <c r="D841" s="312"/>
      <c r="E841" s="312"/>
      <c r="F841" s="312"/>
      <c r="G841" s="312"/>
      <c r="H841" s="312"/>
      <c r="I841" s="312"/>
      <c r="J841" s="312"/>
      <c r="K841" s="312"/>
      <c r="L841" s="312"/>
      <c r="M841" s="312"/>
      <c r="N841" s="312"/>
      <c r="O841" s="312"/>
      <c r="P841" s="312"/>
      <c r="Q841" s="312"/>
      <c r="R841" s="312"/>
      <c r="S841" s="312"/>
      <c r="T841" s="312"/>
      <c r="U841" s="312"/>
      <c r="V841" s="312"/>
      <c r="W841" s="312"/>
      <c r="X841" s="312"/>
      <c r="Y841" s="312"/>
      <c r="Z841" s="312"/>
      <c r="AA841" s="312"/>
      <c r="AB841" s="312"/>
      <c r="AC841" s="312"/>
      <c r="AD841" s="312"/>
      <c r="AE841" s="312"/>
      <c r="AF841" s="312"/>
      <c r="AG841" s="312"/>
      <c r="AH841" s="312"/>
      <c r="AI841" s="312"/>
      <c r="AJ841" s="312"/>
      <c r="AK841" s="312"/>
      <c r="AL841" s="312"/>
      <c r="AM841" s="312"/>
      <c r="AN841" s="312"/>
      <c r="AO841" s="312"/>
      <c r="AP841" s="312"/>
      <c r="AQ841" s="312"/>
      <c r="AR841" s="312"/>
      <c r="AS841" s="312"/>
      <c r="AT841" s="312"/>
    </row>
    <row r="842" ht="15.75" customHeight="1">
      <c r="A842" s="318"/>
      <c r="B842" s="312"/>
      <c r="C842" s="312"/>
      <c r="D842" s="312"/>
      <c r="E842" s="312"/>
      <c r="F842" s="312"/>
      <c r="G842" s="312"/>
      <c r="H842" s="312"/>
      <c r="I842" s="312"/>
      <c r="J842" s="312"/>
      <c r="K842" s="312"/>
      <c r="L842" s="312"/>
      <c r="M842" s="312"/>
      <c r="N842" s="312"/>
      <c r="O842" s="312"/>
      <c r="P842" s="312"/>
      <c r="Q842" s="312"/>
      <c r="R842" s="312"/>
      <c r="S842" s="312"/>
      <c r="T842" s="312"/>
      <c r="U842" s="312"/>
      <c r="V842" s="312"/>
      <c r="W842" s="312"/>
      <c r="X842" s="312"/>
      <c r="Y842" s="312"/>
      <c r="Z842" s="312"/>
      <c r="AA842" s="312"/>
      <c r="AB842" s="312"/>
      <c r="AC842" s="312"/>
      <c r="AD842" s="312"/>
      <c r="AE842" s="312"/>
      <c r="AF842" s="312"/>
      <c r="AG842" s="312"/>
      <c r="AH842" s="312"/>
      <c r="AI842" s="312"/>
      <c r="AJ842" s="312"/>
      <c r="AK842" s="312"/>
      <c r="AL842" s="312"/>
      <c r="AM842" s="312"/>
      <c r="AN842" s="312"/>
      <c r="AO842" s="312"/>
      <c r="AP842" s="312"/>
      <c r="AQ842" s="312"/>
      <c r="AR842" s="312"/>
      <c r="AS842" s="312"/>
      <c r="AT842" s="312"/>
    </row>
    <row r="843" ht="15.75" customHeight="1">
      <c r="A843" s="318"/>
      <c r="B843" s="312"/>
      <c r="C843" s="312"/>
      <c r="D843" s="312"/>
      <c r="E843" s="312"/>
      <c r="F843" s="312"/>
      <c r="G843" s="312"/>
      <c r="H843" s="312"/>
      <c r="I843" s="312"/>
      <c r="J843" s="312"/>
      <c r="K843" s="312"/>
      <c r="L843" s="312"/>
      <c r="M843" s="312"/>
      <c r="N843" s="312"/>
      <c r="O843" s="312"/>
      <c r="P843" s="312"/>
      <c r="Q843" s="312"/>
      <c r="R843" s="312"/>
      <c r="S843" s="312"/>
      <c r="T843" s="312"/>
      <c r="U843" s="312"/>
      <c r="V843" s="312"/>
      <c r="W843" s="312"/>
      <c r="X843" s="312"/>
      <c r="Y843" s="312"/>
      <c r="Z843" s="312"/>
      <c r="AA843" s="312"/>
      <c r="AB843" s="312"/>
      <c r="AC843" s="312"/>
      <c r="AD843" s="312"/>
      <c r="AE843" s="312"/>
      <c r="AF843" s="312"/>
      <c r="AG843" s="312"/>
      <c r="AH843" s="312"/>
      <c r="AI843" s="312"/>
      <c r="AJ843" s="312"/>
      <c r="AK843" s="312"/>
      <c r="AL843" s="312"/>
      <c r="AM843" s="312"/>
      <c r="AN843" s="312"/>
      <c r="AO843" s="312"/>
      <c r="AP843" s="312"/>
      <c r="AQ843" s="312"/>
      <c r="AR843" s="312"/>
      <c r="AS843" s="312"/>
      <c r="AT843" s="312"/>
    </row>
    <row r="844" ht="15.75" customHeight="1">
      <c r="A844" s="318"/>
      <c r="B844" s="312"/>
      <c r="C844" s="312"/>
      <c r="D844" s="312"/>
      <c r="E844" s="312"/>
      <c r="F844" s="312"/>
      <c r="G844" s="312"/>
      <c r="H844" s="312"/>
      <c r="I844" s="312"/>
      <c r="J844" s="312"/>
      <c r="K844" s="312"/>
      <c r="L844" s="312"/>
      <c r="M844" s="312"/>
      <c r="N844" s="312"/>
      <c r="O844" s="312"/>
      <c r="P844" s="312"/>
      <c r="Q844" s="312"/>
      <c r="R844" s="312"/>
      <c r="S844" s="312"/>
      <c r="T844" s="312"/>
      <c r="U844" s="312"/>
      <c r="V844" s="312"/>
      <c r="W844" s="312"/>
      <c r="X844" s="312"/>
      <c r="Y844" s="312"/>
      <c r="Z844" s="312"/>
      <c r="AA844" s="312"/>
      <c r="AB844" s="312"/>
      <c r="AC844" s="312"/>
      <c r="AD844" s="312"/>
      <c r="AE844" s="312"/>
      <c r="AF844" s="312"/>
      <c r="AG844" s="312"/>
      <c r="AH844" s="312"/>
      <c r="AI844" s="312"/>
      <c r="AJ844" s="312"/>
      <c r="AK844" s="312"/>
      <c r="AL844" s="312"/>
      <c r="AM844" s="312"/>
      <c r="AN844" s="312"/>
      <c r="AO844" s="312"/>
      <c r="AP844" s="312"/>
      <c r="AQ844" s="312"/>
      <c r="AR844" s="312"/>
      <c r="AS844" s="312"/>
      <c r="AT844" s="312"/>
    </row>
    <row r="845" ht="15.75" customHeight="1">
      <c r="A845" s="318"/>
      <c r="B845" s="312"/>
      <c r="C845" s="312"/>
      <c r="D845" s="312"/>
      <c r="E845" s="312"/>
      <c r="F845" s="312"/>
      <c r="G845" s="312"/>
      <c r="H845" s="312"/>
      <c r="I845" s="312"/>
      <c r="J845" s="312"/>
      <c r="K845" s="312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2"/>
      <c r="AE845" s="312"/>
      <c r="AF845" s="312"/>
      <c r="AG845" s="312"/>
      <c r="AH845" s="312"/>
      <c r="AI845" s="312"/>
      <c r="AJ845" s="312"/>
      <c r="AK845" s="312"/>
      <c r="AL845" s="312"/>
      <c r="AM845" s="312"/>
      <c r="AN845" s="312"/>
      <c r="AO845" s="312"/>
      <c r="AP845" s="312"/>
      <c r="AQ845" s="312"/>
      <c r="AR845" s="312"/>
      <c r="AS845" s="312"/>
      <c r="AT845" s="312"/>
    </row>
    <row r="846" ht="15.75" customHeight="1">
      <c r="A846" s="318"/>
      <c r="B846" s="312"/>
      <c r="C846" s="312"/>
      <c r="D846" s="312"/>
      <c r="E846" s="312"/>
      <c r="F846" s="312"/>
      <c r="G846" s="312"/>
      <c r="H846" s="312"/>
      <c r="I846" s="312"/>
      <c r="J846" s="312"/>
      <c r="K846" s="312"/>
      <c r="L846" s="312"/>
      <c r="M846" s="312"/>
      <c r="N846" s="312"/>
      <c r="O846" s="312"/>
      <c r="P846" s="312"/>
      <c r="Q846" s="312"/>
      <c r="R846" s="312"/>
      <c r="S846" s="312"/>
      <c r="T846" s="312"/>
      <c r="U846" s="312"/>
      <c r="V846" s="312"/>
      <c r="W846" s="312"/>
      <c r="X846" s="312"/>
      <c r="Y846" s="312"/>
      <c r="Z846" s="312"/>
      <c r="AA846" s="312"/>
      <c r="AB846" s="312"/>
      <c r="AC846" s="312"/>
      <c r="AD846" s="312"/>
      <c r="AE846" s="312"/>
      <c r="AF846" s="312"/>
      <c r="AG846" s="312"/>
      <c r="AH846" s="312"/>
      <c r="AI846" s="312"/>
      <c r="AJ846" s="312"/>
      <c r="AK846" s="312"/>
      <c r="AL846" s="312"/>
      <c r="AM846" s="312"/>
      <c r="AN846" s="312"/>
      <c r="AO846" s="312"/>
      <c r="AP846" s="312"/>
      <c r="AQ846" s="312"/>
      <c r="AR846" s="312"/>
      <c r="AS846" s="312"/>
      <c r="AT846" s="312"/>
    </row>
    <row r="847" ht="15.75" customHeight="1">
      <c r="A847" s="318"/>
      <c r="B847" s="312"/>
      <c r="C847" s="312"/>
      <c r="D847" s="312"/>
      <c r="E847" s="312"/>
      <c r="F847" s="312"/>
      <c r="G847" s="312"/>
      <c r="H847" s="312"/>
      <c r="I847" s="312"/>
      <c r="J847" s="312"/>
      <c r="K847" s="312"/>
      <c r="L847" s="312"/>
      <c r="M847" s="312"/>
      <c r="N847" s="312"/>
      <c r="O847" s="312"/>
      <c r="P847" s="312"/>
      <c r="Q847" s="312"/>
      <c r="R847" s="312"/>
      <c r="S847" s="312"/>
      <c r="T847" s="312"/>
      <c r="U847" s="312"/>
      <c r="V847" s="312"/>
      <c r="W847" s="312"/>
      <c r="X847" s="312"/>
      <c r="Y847" s="312"/>
      <c r="Z847" s="312"/>
      <c r="AA847" s="312"/>
      <c r="AB847" s="312"/>
      <c r="AC847" s="312"/>
      <c r="AD847" s="312"/>
      <c r="AE847" s="312"/>
      <c r="AF847" s="312"/>
      <c r="AG847" s="312"/>
      <c r="AH847" s="312"/>
      <c r="AI847" s="312"/>
      <c r="AJ847" s="312"/>
      <c r="AK847" s="312"/>
      <c r="AL847" s="312"/>
      <c r="AM847" s="312"/>
      <c r="AN847" s="312"/>
      <c r="AO847" s="312"/>
      <c r="AP847" s="312"/>
      <c r="AQ847" s="312"/>
      <c r="AR847" s="312"/>
      <c r="AS847" s="312"/>
      <c r="AT847" s="312"/>
    </row>
    <row r="848" ht="15.75" customHeight="1">
      <c r="A848" s="318"/>
      <c r="B848" s="312"/>
      <c r="C848" s="312"/>
      <c r="D848" s="312"/>
      <c r="E848" s="312"/>
      <c r="F848" s="312"/>
      <c r="G848" s="312"/>
      <c r="H848" s="312"/>
      <c r="I848" s="312"/>
      <c r="J848" s="312"/>
      <c r="K848" s="312"/>
      <c r="L848" s="312"/>
      <c r="M848" s="312"/>
      <c r="N848" s="312"/>
      <c r="O848" s="312"/>
      <c r="P848" s="312"/>
      <c r="Q848" s="312"/>
      <c r="R848" s="312"/>
      <c r="S848" s="312"/>
      <c r="T848" s="312"/>
      <c r="U848" s="312"/>
      <c r="V848" s="312"/>
      <c r="W848" s="312"/>
      <c r="X848" s="312"/>
      <c r="Y848" s="312"/>
      <c r="Z848" s="312"/>
      <c r="AA848" s="312"/>
      <c r="AB848" s="312"/>
      <c r="AC848" s="312"/>
      <c r="AD848" s="312"/>
      <c r="AE848" s="312"/>
      <c r="AF848" s="312"/>
      <c r="AG848" s="312"/>
      <c r="AH848" s="312"/>
      <c r="AI848" s="312"/>
      <c r="AJ848" s="312"/>
      <c r="AK848" s="312"/>
      <c r="AL848" s="312"/>
      <c r="AM848" s="312"/>
      <c r="AN848" s="312"/>
      <c r="AO848" s="312"/>
      <c r="AP848" s="312"/>
      <c r="AQ848" s="312"/>
      <c r="AR848" s="312"/>
      <c r="AS848" s="312"/>
      <c r="AT848" s="312"/>
    </row>
    <row r="849" ht="15.75" customHeight="1">
      <c r="A849" s="318"/>
      <c r="B849" s="312"/>
      <c r="C849" s="312"/>
      <c r="D849" s="312"/>
      <c r="E849" s="312"/>
      <c r="F849" s="312"/>
      <c r="G849" s="312"/>
      <c r="H849" s="312"/>
      <c r="I849" s="312"/>
      <c r="J849" s="312"/>
      <c r="K849" s="312"/>
      <c r="L849" s="312"/>
      <c r="M849" s="312"/>
      <c r="N849" s="312"/>
      <c r="O849" s="312"/>
      <c r="P849" s="312"/>
      <c r="Q849" s="312"/>
      <c r="R849" s="312"/>
      <c r="S849" s="312"/>
      <c r="T849" s="312"/>
      <c r="U849" s="312"/>
      <c r="V849" s="312"/>
      <c r="W849" s="312"/>
      <c r="X849" s="312"/>
      <c r="Y849" s="312"/>
      <c r="Z849" s="312"/>
      <c r="AA849" s="312"/>
      <c r="AB849" s="312"/>
      <c r="AC849" s="312"/>
      <c r="AD849" s="312"/>
      <c r="AE849" s="312"/>
      <c r="AF849" s="312"/>
      <c r="AG849" s="312"/>
      <c r="AH849" s="312"/>
      <c r="AI849" s="312"/>
      <c r="AJ849" s="312"/>
      <c r="AK849" s="312"/>
      <c r="AL849" s="312"/>
      <c r="AM849" s="312"/>
      <c r="AN849" s="312"/>
      <c r="AO849" s="312"/>
      <c r="AP849" s="312"/>
      <c r="AQ849" s="312"/>
      <c r="AR849" s="312"/>
      <c r="AS849" s="312"/>
      <c r="AT849" s="312"/>
    </row>
    <row r="850" ht="15.75" customHeight="1">
      <c r="A850" s="318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2"/>
      <c r="S850" s="312"/>
      <c r="T850" s="312"/>
      <c r="U850" s="312"/>
      <c r="V850" s="312"/>
      <c r="W850" s="312"/>
      <c r="X850" s="312"/>
      <c r="Y850" s="312"/>
      <c r="Z850" s="312"/>
      <c r="AA850" s="312"/>
      <c r="AB850" s="312"/>
      <c r="AC850" s="312"/>
      <c r="AD850" s="312"/>
      <c r="AE850" s="312"/>
      <c r="AF850" s="312"/>
      <c r="AG850" s="312"/>
      <c r="AH850" s="312"/>
      <c r="AI850" s="312"/>
      <c r="AJ850" s="312"/>
      <c r="AK850" s="312"/>
      <c r="AL850" s="312"/>
      <c r="AM850" s="312"/>
      <c r="AN850" s="312"/>
      <c r="AO850" s="312"/>
      <c r="AP850" s="312"/>
      <c r="AQ850" s="312"/>
      <c r="AR850" s="312"/>
      <c r="AS850" s="312"/>
      <c r="AT850" s="312"/>
    </row>
    <row r="851" ht="15.75" customHeight="1">
      <c r="A851" s="318"/>
      <c r="B851" s="312"/>
      <c r="C851" s="312"/>
      <c r="D851" s="312"/>
      <c r="E851" s="312"/>
      <c r="F851" s="312"/>
      <c r="G851" s="312"/>
      <c r="H851" s="312"/>
      <c r="I851" s="312"/>
      <c r="J851" s="312"/>
      <c r="K851" s="312"/>
      <c r="L851" s="312"/>
      <c r="M851" s="312"/>
      <c r="N851" s="312"/>
      <c r="O851" s="312"/>
      <c r="P851" s="312"/>
      <c r="Q851" s="312"/>
      <c r="R851" s="312"/>
      <c r="S851" s="312"/>
      <c r="T851" s="312"/>
      <c r="U851" s="312"/>
      <c r="V851" s="312"/>
      <c r="W851" s="312"/>
      <c r="X851" s="312"/>
      <c r="Y851" s="312"/>
      <c r="Z851" s="312"/>
      <c r="AA851" s="312"/>
      <c r="AB851" s="312"/>
      <c r="AC851" s="312"/>
      <c r="AD851" s="312"/>
      <c r="AE851" s="312"/>
      <c r="AF851" s="312"/>
      <c r="AG851" s="312"/>
      <c r="AH851" s="312"/>
      <c r="AI851" s="312"/>
      <c r="AJ851" s="312"/>
      <c r="AK851" s="312"/>
      <c r="AL851" s="312"/>
      <c r="AM851" s="312"/>
      <c r="AN851" s="312"/>
      <c r="AO851" s="312"/>
      <c r="AP851" s="312"/>
      <c r="AQ851" s="312"/>
      <c r="AR851" s="312"/>
      <c r="AS851" s="312"/>
      <c r="AT851" s="312"/>
    </row>
    <row r="852" ht="15.75" customHeight="1">
      <c r="A852" s="318"/>
      <c r="B852" s="312"/>
      <c r="C852" s="312"/>
      <c r="D852" s="312"/>
      <c r="E852" s="312"/>
      <c r="F852" s="312"/>
      <c r="G852" s="312"/>
      <c r="H852" s="312"/>
      <c r="I852" s="312"/>
      <c r="J852" s="312"/>
      <c r="K852" s="312"/>
      <c r="L852" s="312"/>
      <c r="M852" s="312"/>
      <c r="N852" s="312"/>
      <c r="O852" s="312"/>
      <c r="P852" s="312"/>
      <c r="Q852" s="312"/>
      <c r="R852" s="312"/>
      <c r="S852" s="312"/>
      <c r="T852" s="312"/>
      <c r="U852" s="312"/>
      <c r="V852" s="312"/>
      <c r="W852" s="312"/>
      <c r="X852" s="312"/>
      <c r="Y852" s="312"/>
      <c r="Z852" s="312"/>
      <c r="AA852" s="312"/>
      <c r="AB852" s="312"/>
      <c r="AC852" s="312"/>
      <c r="AD852" s="312"/>
      <c r="AE852" s="312"/>
      <c r="AF852" s="312"/>
      <c r="AG852" s="312"/>
      <c r="AH852" s="312"/>
      <c r="AI852" s="312"/>
      <c r="AJ852" s="312"/>
      <c r="AK852" s="312"/>
      <c r="AL852" s="312"/>
      <c r="AM852" s="312"/>
      <c r="AN852" s="312"/>
      <c r="AO852" s="312"/>
      <c r="AP852" s="312"/>
      <c r="AQ852" s="312"/>
      <c r="AR852" s="312"/>
      <c r="AS852" s="312"/>
      <c r="AT852" s="312"/>
    </row>
    <row r="853" ht="15.75" customHeight="1">
      <c r="A853" s="318"/>
      <c r="B853" s="312"/>
      <c r="C853" s="312"/>
      <c r="D853" s="312"/>
      <c r="E853" s="312"/>
      <c r="F853" s="312"/>
      <c r="G853" s="312"/>
      <c r="H853" s="312"/>
      <c r="I853" s="312"/>
      <c r="J853" s="312"/>
      <c r="K853" s="312"/>
      <c r="L853" s="312"/>
      <c r="M853" s="312"/>
      <c r="N853" s="312"/>
      <c r="O853" s="312"/>
      <c r="P853" s="312"/>
      <c r="Q853" s="312"/>
      <c r="R853" s="312"/>
      <c r="S853" s="312"/>
      <c r="T853" s="312"/>
      <c r="U853" s="312"/>
      <c r="V853" s="312"/>
      <c r="W853" s="312"/>
      <c r="X853" s="312"/>
      <c r="Y853" s="312"/>
      <c r="Z853" s="312"/>
      <c r="AA853" s="312"/>
      <c r="AB853" s="312"/>
      <c r="AC853" s="312"/>
      <c r="AD853" s="312"/>
      <c r="AE853" s="312"/>
      <c r="AF853" s="312"/>
      <c r="AG853" s="312"/>
      <c r="AH853" s="312"/>
      <c r="AI853" s="312"/>
      <c r="AJ853" s="312"/>
      <c r="AK853" s="312"/>
      <c r="AL853" s="312"/>
      <c r="AM853" s="312"/>
      <c r="AN853" s="312"/>
      <c r="AO853" s="312"/>
      <c r="AP853" s="312"/>
      <c r="AQ853" s="312"/>
      <c r="AR853" s="312"/>
      <c r="AS853" s="312"/>
      <c r="AT853" s="312"/>
    </row>
    <row r="854" ht="15.75" customHeight="1">
      <c r="A854" s="318"/>
      <c r="B854" s="312"/>
      <c r="C854" s="312"/>
      <c r="D854" s="312"/>
      <c r="E854" s="312"/>
      <c r="F854" s="312"/>
      <c r="G854" s="312"/>
      <c r="H854" s="312"/>
      <c r="I854" s="312"/>
      <c r="J854" s="312"/>
      <c r="K854" s="312"/>
      <c r="L854" s="312"/>
      <c r="M854" s="312"/>
      <c r="N854" s="312"/>
      <c r="O854" s="312"/>
      <c r="P854" s="312"/>
      <c r="Q854" s="312"/>
      <c r="R854" s="312"/>
      <c r="S854" s="312"/>
      <c r="T854" s="312"/>
      <c r="U854" s="312"/>
      <c r="V854" s="312"/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312"/>
      <c r="AJ854" s="312"/>
      <c r="AK854" s="312"/>
      <c r="AL854" s="312"/>
      <c r="AM854" s="312"/>
      <c r="AN854" s="312"/>
      <c r="AO854" s="312"/>
      <c r="AP854" s="312"/>
      <c r="AQ854" s="312"/>
      <c r="AR854" s="312"/>
      <c r="AS854" s="312"/>
      <c r="AT854" s="312"/>
    </row>
    <row r="855" ht="15.75" customHeight="1">
      <c r="A855" s="318"/>
      <c r="B855" s="312"/>
      <c r="C855" s="312"/>
      <c r="D855" s="312"/>
      <c r="E855" s="312"/>
      <c r="F855" s="312"/>
      <c r="G855" s="312"/>
      <c r="H855" s="312"/>
      <c r="I855" s="312"/>
      <c r="J855" s="312"/>
      <c r="K855" s="312"/>
      <c r="L855" s="312"/>
      <c r="M855" s="312"/>
      <c r="N855" s="312"/>
      <c r="O855" s="312"/>
      <c r="P855" s="312"/>
      <c r="Q855" s="312"/>
      <c r="R855" s="312"/>
      <c r="S855" s="312"/>
      <c r="T855" s="312"/>
      <c r="U855" s="312"/>
      <c r="V855" s="312"/>
      <c r="W855" s="312"/>
      <c r="X855" s="312"/>
      <c r="Y855" s="312"/>
      <c r="Z855" s="312"/>
      <c r="AA855" s="312"/>
      <c r="AB855" s="312"/>
      <c r="AC855" s="312"/>
      <c r="AD855" s="312"/>
      <c r="AE855" s="312"/>
      <c r="AF855" s="312"/>
      <c r="AG855" s="312"/>
      <c r="AH855" s="312"/>
      <c r="AI855" s="312"/>
      <c r="AJ855" s="312"/>
      <c r="AK855" s="312"/>
      <c r="AL855" s="312"/>
      <c r="AM855" s="312"/>
      <c r="AN855" s="312"/>
      <c r="AO855" s="312"/>
      <c r="AP855" s="312"/>
      <c r="AQ855" s="312"/>
      <c r="AR855" s="312"/>
      <c r="AS855" s="312"/>
      <c r="AT855" s="312"/>
    </row>
    <row r="856" ht="15.75" customHeight="1">
      <c r="A856" s="318"/>
      <c r="B856" s="312"/>
      <c r="C856" s="312"/>
      <c r="D856" s="312"/>
      <c r="E856" s="312"/>
      <c r="F856" s="312"/>
      <c r="G856" s="312"/>
      <c r="H856" s="312"/>
      <c r="I856" s="312"/>
      <c r="J856" s="312"/>
      <c r="K856" s="312"/>
      <c r="L856" s="312"/>
      <c r="M856" s="312"/>
      <c r="N856" s="312"/>
      <c r="O856" s="312"/>
      <c r="P856" s="312"/>
      <c r="Q856" s="312"/>
      <c r="R856" s="312"/>
      <c r="S856" s="312"/>
      <c r="T856" s="312"/>
      <c r="U856" s="312"/>
      <c r="V856" s="312"/>
      <c r="W856" s="312"/>
      <c r="X856" s="312"/>
      <c r="Y856" s="312"/>
      <c r="Z856" s="312"/>
      <c r="AA856" s="312"/>
      <c r="AB856" s="312"/>
      <c r="AC856" s="312"/>
      <c r="AD856" s="312"/>
      <c r="AE856" s="312"/>
      <c r="AF856" s="312"/>
      <c r="AG856" s="312"/>
      <c r="AH856" s="312"/>
      <c r="AI856" s="312"/>
      <c r="AJ856" s="312"/>
      <c r="AK856" s="312"/>
      <c r="AL856" s="312"/>
      <c r="AM856" s="312"/>
      <c r="AN856" s="312"/>
      <c r="AO856" s="312"/>
      <c r="AP856" s="312"/>
      <c r="AQ856" s="312"/>
      <c r="AR856" s="312"/>
      <c r="AS856" s="312"/>
      <c r="AT856" s="312"/>
    </row>
    <row r="857" ht="15.75" customHeight="1">
      <c r="A857" s="318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2"/>
      <c r="S857" s="312"/>
      <c r="T857" s="312"/>
      <c r="U857" s="312"/>
      <c r="V857" s="312"/>
      <c r="W857" s="312"/>
      <c r="X857" s="312"/>
      <c r="Y857" s="312"/>
      <c r="Z857" s="312"/>
      <c r="AA857" s="312"/>
      <c r="AB857" s="312"/>
      <c r="AC857" s="312"/>
      <c r="AD857" s="312"/>
      <c r="AE857" s="312"/>
      <c r="AF857" s="312"/>
      <c r="AG857" s="312"/>
      <c r="AH857" s="312"/>
      <c r="AI857" s="312"/>
      <c r="AJ857" s="312"/>
      <c r="AK857" s="312"/>
      <c r="AL857" s="312"/>
      <c r="AM857" s="312"/>
      <c r="AN857" s="312"/>
      <c r="AO857" s="312"/>
      <c r="AP857" s="312"/>
      <c r="AQ857" s="312"/>
      <c r="AR857" s="312"/>
      <c r="AS857" s="312"/>
      <c r="AT857" s="312"/>
    </row>
    <row r="858" ht="15.75" customHeight="1">
      <c r="A858" s="318"/>
      <c r="B858" s="312"/>
      <c r="C858" s="312"/>
      <c r="D858" s="312"/>
      <c r="E858" s="312"/>
      <c r="F858" s="312"/>
      <c r="G858" s="312"/>
      <c r="H858" s="312"/>
      <c r="I858" s="312"/>
      <c r="J858" s="312"/>
      <c r="K858" s="312"/>
      <c r="L858" s="312"/>
      <c r="M858" s="312"/>
      <c r="N858" s="312"/>
      <c r="O858" s="312"/>
      <c r="P858" s="312"/>
      <c r="Q858" s="312"/>
      <c r="R858" s="312"/>
      <c r="S858" s="312"/>
      <c r="T858" s="312"/>
      <c r="U858" s="312"/>
      <c r="V858" s="312"/>
      <c r="W858" s="312"/>
      <c r="X858" s="312"/>
      <c r="Y858" s="312"/>
      <c r="Z858" s="312"/>
      <c r="AA858" s="312"/>
      <c r="AB858" s="312"/>
      <c r="AC858" s="312"/>
      <c r="AD858" s="312"/>
      <c r="AE858" s="312"/>
      <c r="AF858" s="312"/>
      <c r="AG858" s="312"/>
      <c r="AH858" s="312"/>
      <c r="AI858" s="312"/>
      <c r="AJ858" s="312"/>
      <c r="AK858" s="312"/>
      <c r="AL858" s="312"/>
      <c r="AM858" s="312"/>
      <c r="AN858" s="312"/>
      <c r="AO858" s="312"/>
      <c r="AP858" s="312"/>
      <c r="AQ858" s="312"/>
      <c r="AR858" s="312"/>
      <c r="AS858" s="312"/>
      <c r="AT858" s="312"/>
    </row>
    <row r="859" ht="15.75" customHeight="1">
      <c r="A859" s="318"/>
      <c r="B859" s="312"/>
      <c r="C859" s="312"/>
      <c r="D859" s="312"/>
      <c r="E859" s="312"/>
      <c r="F859" s="312"/>
      <c r="G859" s="312"/>
      <c r="H859" s="312"/>
      <c r="I859" s="312"/>
      <c r="J859" s="312"/>
      <c r="K859" s="312"/>
      <c r="L859" s="312"/>
      <c r="M859" s="312"/>
      <c r="N859" s="312"/>
      <c r="O859" s="312"/>
      <c r="P859" s="312"/>
      <c r="Q859" s="312"/>
      <c r="R859" s="312"/>
      <c r="S859" s="312"/>
      <c r="T859" s="312"/>
      <c r="U859" s="312"/>
      <c r="V859" s="312"/>
      <c r="W859" s="312"/>
      <c r="X859" s="312"/>
      <c r="Y859" s="312"/>
      <c r="Z859" s="312"/>
      <c r="AA859" s="312"/>
      <c r="AB859" s="312"/>
      <c r="AC859" s="312"/>
      <c r="AD859" s="312"/>
      <c r="AE859" s="312"/>
      <c r="AF859" s="312"/>
      <c r="AG859" s="312"/>
      <c r="AH859" s="312"/>
      <c r="AI859" s="312"/>
      <c r="AJ859" s="312"/>
      <c r="AK859" s="312"/>
      <c r="AL859" s="312"/>
      <c r="AM859" s="312"/>
      <c r="AN859" s="312"/>
      <c r="AO859" s="312"/>
      <c r="AP859" s="312"/>
      <c r="AQ859" s="312"/>
      <c r="AR859" s="312"/>
      <c r="AS859" s="312"/>
      <c r="AT859" s="312"/>
    </row>
    <row r="860" ht="15.75" customHeight="1">
      <c r="A860" s="318"/>
      <c r="B860" s="312"/>
      <c r="C860" s="312"/>
      <c r="D860" s="312"/>
      <c r="E860" s="312"/>
      <c r="F860" s="312"/>
      <c r="G860" s="312"/>
      <c r="H860" s="312"/>
      <c r="I860" s="312"/>
      <c r="J860" s="312"/>
      <c r="K860" s="312"/>
      <c r="L860" s="312"/>
      <c r="M860" s="312"/>
      <c r="N860" s="312"/>
      <c r="O860" s="312"/>
      <c r="P860" s="312"/>
      <c r="Q860" s="312"/>
      <c r="R860" s="312"/>
      <c r="S860" s="312"/>
      <c r="T860" s="312"/>
      <c r="U860" s="312"/>
      <c r="V860" s="312"/>
      <c r="W860" s="312"/>
      <c r="X860" s="312"/>
      <c r="Y860" s="312"/>
      <c r="Z860" s="312"/>
      <c r="AA860" s="312"/>
      <c r="AB860" s="312"/>
      <c r="AC860" s="312"/>
      <c r="AD860" s="312"/>
      <c r="AE860" s="312"/>
      <c r="AF860" s="312"/>
      <c r="AG860" s="312"/>
      <c r="AH860" s="312"/>
      <c r="AI860" s="312"/>
      <c r="AJ860" s="312"/>
      <c r="AK860" s="312"/>
      <c r="AL860" s="312"/>
      <c r="AM860" s="312"/>
      <c r="AN860" s="312"/>
      <c r="AO860" s="312"/>
      <c r="AP860" s="312"/>
      <c r="AQ860" s="312"/>
      <c r="AR860" s="312"/>
      <c r="AS860" s="312"/>
      <c r="AT860" s="312"/>
    </row>
    <row r="861" ht="15.75" customHeight="1">
      <c r="A861" s="318"/>
      <c r="B861" s="312"/>
      <c r="C861" s="312"/>
      <c r="D861" s="312"/>
      <c r="E861" s="312"/>
      <c r="F861" s="312"/>
      <c r="G861" s="312"/>
      <c r="H861" s="312"/>
      <c r="I861" s="312"/>
      <c r="J861" s="312"/>
      <c r="K861" s="312"/>
      <c r="L861" s="312"/>
      <c r="M861" s="312"/>
      <c r="N861" s="312"/>
      <c r="O861" s="312"/>
      <c r="P861" s="312"/>
      <c r="Q861" s="312"/>
      <c r="R861" s="312"/>
      <c r="S861" s="312"/>
      <c r="T861" s="312"/>
      <c r="U861" s="312"/>
      <c r="V861" s="312"/>
      <c r="W861" s="312"/>
      <c r="X861" s="312"/>
      <c r="Y861" s="312"/>
      <c r="Z861" s="312"/>
      <c r="AA861" s="312"/>
      <c r="AB861" s="312"/>
      <c r="AC861" s="312"/>
      <c r="AD861" s="312"/>
      <c r="AE861" s="312"/>
      <c r="AF861" s="312"/>
      <c r="AG861" s="312"/>
      <c r="AH861" s="312"/>
      <c r="AI861" s="312"/>
      <c r="AJ861" s="312"/>
      <c r="AK861" s="312"/>
      <c r="AL861" s="312"/>
      <c r="AM861" s="312"/>
      <c r="AN861" s="312"/>
      <c r="AO861" s="312"/>
      <c r="AP861" s="312"/>
      <c r="AQ861" s="312"/>
      <c r="AR861" s="312"/>
      <c r="AS861" s="312"/>
      <c r="AT861" s="312"/>
    </row>
    <row r="862" ht="15.75" customHeight="1">
      <c r="A862" s="318"/>
      <c r="B862" s="312"/>
      <c r="C862" s="312"/>
      <c r="D862" s="312"/>
      <c r="E862" s="312"/>
      <c r="F862" s="312"/>
      <c r="G862" s="312"/>
      <c r="H862" s="312"/>
      <c r="I862" s="312"/>
      <c r="J862" s="312"/>
      <c r="K862" s="312"/>
      <c r="L862" s="312"/>
      <c r="M862" s="312"/>
      <c r="N862" s="312"/>
      <c r="O862" s="312"/>
      <c r="P862" s="312"/>
      <c r="Q862" s="312"/>
      <c r="R862" s="312"/>
      <c r="S862" s="312"/>
      <c r="T862" s="312"/>
      <c r="U862" s="312"/>
      <c r="V862" s="312"/>
      <c r="W862" s="312"/>
      <c r="X862" s="312"/>
      <c r="Y862" s="312"/>
      <c r="Z862" s="312"/>
      <c r="AA862" s="312"/>
      <c r="AB862" s="312"/>
      <c r="AC862" s="312"/>
      <c r="AD862" s="312"/>
      <c r="AE862" s="312"/>
      <c r="AF862" s="312"/>
      <c r="AG862" s="312"/>
      <c r="AH862" s="312"/>
      <c r="AI862" s="312"/>
      <c r="AJ862" s="312"/>
      <c r="AK862" s="312"/>
      <c r="AL862" s="312"/>
      <c r="AM862" s="312"/>
      <c r="AN862" s="312"/>
      <c r="AO862" s="312"/>
      <c r="AP862" s="312"/>
      <c r="AQ862" s="312"/>
      <c r="AR862" s="312"/>
      <c r="AS862" s="312"/>
      <c r="AT862" s="312"/>
    </row>
    <row r="863" ht="15.75" customHeight="1">
      <c r="A863" s="318"/>
      <c r="B863" s="312"/>
      <c r="C863" s="312"/>
      <c r="D863" s="312"/>
      <c r="E863" s="312"/>
      <c r="F863" s="312"/>
      <c r="G863" s="312"/>
      <c r="H863" s="312"/>
      <c r="I863" s="312"/>
      <c r="J863" s="312"/>
      <c r="K863" s="312"/>
      <c r="L863" s="312"/>
      <c r="M863" s="312"/>
      <c r="N863" s="312"/>
      <c r="O863" s="312"/>
      <c r="P863" s="312"/>
      <c r="Q863" s="312"/>
      <c r="R863" s="312"/>
      <c r="S863" s="312"/>
      <c r="T863" s="312"/>
      <c r="U863" s="312"/>
      <c r="V863" s="312"/>
      <c r="W863" s="312"/>
      <c r="X863" s="312"/>
      <c r="Y863" s="312"/>
      <c r="Z863" s="312"/>
      <c r="AA863" s="312"/>
      <c r="AB863" s="312"/>
      <c r="AC863" s="312"/>
      <c r="AD863" s="312"/>
      <c r="AE863" s="312"/>
      <c r="AF863" s="312"/>
      <c r="AG863" s="312"/>
      <c r="AH863" s="312"/>
      <c r="AI863" s="312"/>
      <c r="AJ863" s="312"/>
      <c r="AK863" s="312"/>
      <c r="AL863" s="312"/>
      <c r="AM863" s="312"/>
      <c r="AN863" s="312"/>
      <c r="AO863" s="312"/>
      <c r="AP863" s="312"/>
      <c r="AQ863" s="312"/>
      <c r="AR863" s="312"/>
      <c r="AS863" s="312"/>
      <c r="AT863" s="312"/>
    </row>
    <row r="864" ht="15.75" customHeight="1">
      <c r="A864" s="318"/>
      <c r="B864" s="312"/>
      <c r="C864" s="312"/>
      <c r="D864" s="312"/>
      <c r="E864" s="312"/>
      <c r="F864" s="312"/>
      <c r="G864" s="312"/>
      <c r="H864" s="312"/>
      <c r="I864" s="312"/>
      <c r="J864" s="312"/>
      <c r="K864" s="312"/>
      <c r="L864" s="312"/>
      <c r="M864" s="312"/>
      <c r="N864" s="312"/>
      <c r="O864" s="312"/>
      <c r="P864" s="312"/>
      <c r="Q864" s="312"/>
      <c r="R864" s="312"/>
      <c r="S864" s="312"/>
      <c r="T864" s="312"/>
      <c r="U864" s="312"/>
      <c r="V864" s="312"/>
      <c r="W864" s="312"/>
      <c r="X864" s="312"/>
      <c r="Y864" s="312"/>
      <c r="Z864" s="312"/>
      <c r="AA864" s="312"/>
      <c r="AB864" s="312"/>
      <c r="AC864" s="312"/>
      <c r="AD864" s="312"/>
      <c r="AE864" s="312"/>
      <c r="AF864" s="312"/>
      <c r="AG864" s="312"/>
      <c r="AH864" s="312"/>
      <c r="AI864" s="312"/>
      <c r="AJ864" s="312"/>
      <c r="AK864" s="312"/>
      <c r="AL864" s="312"/>
      <c r="AM864" s="312"/>
      <c r="AN864" s="312"/>
      <c r="AO864" s="312"/>
      <c r="AP864" s="312"/>
      <c r="AQ864" s="312"/>
      <c r="AR864" s="312"/>
      <c r="AS864" s="312"/>
      <c r="AT864" s="312"/>
    </row>
    <row r="865" ht="15.75" customHeight="1">
      <c r="A865" s="318"/>
      <c r="B865" s="312"/>
      <c r="C865" s="312"/>
      <c r="D865" s="312"/>
      <c r="E865" s="312"/>
      <c r="F865" s="312"/>
      <c r="G865" s="312"/>
      <c r="H865" s="312"/>
      <c r="I865" s="312"/>
      <c r="J865" s="312"/>
      <c r="K865" s="312"/>
      <c r="L865" s="312"/>
      <c r="M865" s="312"/>
      <c r="N865" s="312"/>
      <c r="O865" s="312"/>
      <c r="P865" s="312"/>
      <c r="Q865" s="312"/>
      <c r="R865" s="312"/>
      <c r="S865" s="312"/>
      <c r="T865" s="312"/>
      <c r="U865" s="312"/>
      <c r="V865" s="312"/>
      <c r="W865" s="312"/>
      <c r="X865" s="312"/>
      <c r="Y865" s="312"/>
      <c r="Z865" s="312"/>
      <c r="AA865" s="312"/>
      <c r="AB865" s="312"/>
      <c r="AC865" s="312"/>
      <c r="AD865" s="312"/>
      <c r="AE865" s="312"/>
      <c r="AF865" s="312"/>
      <c r="AG865" s="312"/>
      <c r="AH865" s="312"/>
      <c r="AI865" s="312"/>
      <c r="AJ865" s="312"/>
      <c r="AK865" s="312"/>
      <c r="AL865" s="312"/>
      <c r="AM865" s="312"/>
      <c r="AN865" s="312"/>
      <c r="AO865" s="312"/>
      <c r="AP865" s="312"/>
      <c r="AQ865" s="312"/>
      <c r="AR865" s="312"/>
      <c r="AS865" s="312"/>
      <c r="AT865" s="312"/>
    </row>
    <row r="866" ht="15.75" customHeight="1">
      <c r="A866" s="318"/>
      <c r="B866" s="312"/>
      <c r="C866" s="312"/>
      <c r="D866" s="312"/>
      <c r="E866" s="312"/>
      <c r="F866" s="312"/>
      <c r="G866" s="312"/>
      <c r="H866" s="312"/>
      <c r="I866" s="312"/>
      <c r="J866" s="312"/>
      <c r="K866" s="312"/>
      <c r="L866" s="312"/>
      <c r="M866" s="312"/>
      <c r="N866" s="312"/>
      <c r="O866" s="312"/>
      <c r="P866" s="312"/>
      <c r="Q866" s="312"/>
      <c r="R866" s="312"/>
      <c r="S866" s="312"/>
      <c r="T866" s="312"/>
      <c r="U866" s="312"/>
      <c r="V866" s="312"/>
      <c r="W866" s="312"/>
      <c r="X866" s="312"/>
      <c r="Y866" s="312"/>
      <c r="Z866" s="312"/>
      <c r="AA866" s="312"/>
      <c r="AB866" s="312"/>
      <c r="AC866" s="312"/>
      <c r="AD866" s="312"/>
      <c r="AE866" s="312"/>
      <c r="AF866" s="312"/>
      <c r="AG866" s="312"/>
      <c r="AH866" s="312"/>
      <c r="AI866" s="312"/>
      <c r="AJ866" s="312"/>
      <c r="AK866" s="312"/>
      <c r="AL866" s="312"/>
      <c r="AM866" s="312"/>
      <c r="AN866" s="312"/>
      <c r="AO866" s="312"/>
      <c r="AP866" s="312"/>
      <c r="AQ866" s="312"/>
      <c r="AR866" s="312"/>
      <c r="AS866" s="312"/>
      <c r="AT866" s="312"/>
    </row>
    <row r="867" ht="15.75" customHeight="1">
      <c r="A867" s="318"/>
      <c r="B867" s="312"/>
      <c r="C867" s="312"/>
      <c r="D867" s="312"/>
      <c r="E867" s="312"/>
      <c r="F867" s="312"/>
      <c r="G867" s="312"/>
      <c r="H867" s="312"/>
      <c r="I867" s="312"/>
      <c r="J867" s="312"/>
      <c r="K867" s="312"/>
      <c r="L867" s="312"/>
      <c r="M867" s="312"/>
      <c r="N867" s="312"/>
      <c r="O867" s="312"/>
      <c r="P867" s="312"/>
      <c r="Q867" s="312"/>
      <c r="R867" s="312"/>
      <c r="S867" s="312"/>
      <c r="T867" s="312"/>
      <c r="U867" s="312"/>
      <c r="V867" s="312"/>
      <c r="W867" s="312"/>
      <c r="X867" s="312"/>
      <c r="Y867" s="312"/>
      <c r="Z867" s="312"/>
      <c r="AA867" s="312"/>
      <c r="AB867" s="312"/>
      <c r="AC867" s="312"/>
      <c r="AD867" s="312"/>
      <c r="AE867" s="312"/>
      <c r="AF867" s="312"/>
      <c r="AG867" s="312"/>
      <c r="AH867" s="312"/>
      <c r="AI867" s="312"/>
      <c r="AJ867" s="312"/>
      <c r="AK867" s="312"/>
      <c r="AL867" s="312"/>
      <c r="AM867" s="312"/>
      <c r="AN867" s="312"/>
      <c r="AO867" s="312"/>
      <c r="AP867" s="312"/>
      <c r="AQ867" s="312"/>
      <c r="AR867" s="312"/>
      <c r="AS867" s="312"/>
      <c r="AT867" s="312"/>
    </row>
    <row r="868" ht="15.75" customHeight="1">
      <c r="A868" s="318"/>
      <c r="B868" s="312"/>
      <c r="C868" s="312"/>
      <c r="D868" s="312"/>
      <c r="E868" s="312"/>
      <c r="F868" s="312"/>
      <c r="G868" s="312"/>
      <c r="H868" s="312"/>
      <c r="I868" s="312"/>
      <c r="J868" s="312"/>
      <c r="K868" s="312"/>
      <c r="L868" s="312"/>
      <c r="M868" s="312"/>
      <c r="N868" s="312"/>
      <c r="O868" s="312"/>
      <c r="P868" s="312"/>
      <c r="Q868" s="312"/>
      <c r="R868" s="312"/>
      <c r="S868" s="312"/>
      <c r="T868" s="312"/>
      <c r="U868" s="312"/>
      <c r="V868" s="312"/>
      <c r="W868" s="312"/>
      <c r="X868" s="312"/>
      <c r="Y868" s="312"/>
      <c r="Z868" s="312"/>
      <c r="AA868" s="312"/>
      <c r="AB868" s="312"/>
      <c r="AC868" s="312"/>
      <c r="AD868" s="312"/>
      <c r="AE868" s="312"/>
      <c r="AF868" s="312"/>
      <c r="AG868" s="312"/>
      <c r="AH868" s="312"/>
      <c r="AI868" s="312"/>
      <c r="AJ868" s="312"/>
      <c r="AK868" s="312"/>
      <c r="AL868" s="312"/>
      <c r="AM868" s="312"/>
      <c r="AN868" s="312"/>
      <c r="AO868" s="312"/>
      <c r="AP868" s="312"/>
      <c r="AQ868" s="312"/>
      <c r="AR868" s="312"/>
      <c r="AS868" s="312"/>
      <c r="AT868" s="312"/>
    </row>
    <row r="869" ht="15.75" customHeight="1">
      <c r="A869" s="318"/>
      <c r="B869" s="312"/>
      <c r="C869" s="312"/>
      <c r="D869" s="312"/>
      <c r="E869" s="312"/>
      <c r="F869" s="312"/>
      <c r="G869" s="312"/>
      <c r="H869" s="312"/>
      <c r="I869" s="312"/>
      <c r="J869" s="312"/>
      <c r="K869" s="312"/>
      <c r="L869" s="312"/>
      <c r="M869" s="312"/>
      <c r="N869" s="312"/>
      <c r="O869" s="312"/>
      <c r="P869" s="312"/>
      <c r="Q869" s="312"/>
      <c r="R869" s="312"/>
      <c r="S869" s="312"/>
      <c r="T869" s="312"/>
      <c r="U869" s="312"/>
      <c r="V869" s="312"/>
      <c r="W869" s="312"/>
      <c r="X869" s="312"/>
      <c r="Y869" s="312"/>
      <c r="Z869" s="312"/>
      <c r="AA869" s="312"/>
      <c r="AB869" s="312"/>
      <c r="AC869" s="312"/>
      <c r="AD869" s="312"/>
      <c r="AE869" s="312"/>
      <c r="AF869" s="312"/>
      <c r="AG869" s="312"/>
      <c r="AH869" s="312"/>
      <c r="AI869" s="312"/>
      <c r="AJ869" s="312"/>
      <c r="AK869" s="312"/>
      <c r="AL869" s="312"/>
      <c r="AM869" s="312"/>
      <c r="AN869" s="312"/>
      <c r="AO869" s="312"/>
      <c r="AP869" s="312"/>
      <c r="AQ869" s="312"/>
      <c r="AR869" s="312"/>
      <c r="AS869" s="312"/>
      <c r="AT869" s="312"/>
    </row>
    <row r="870" ht="15.75" customHeight="1">
      <c r="A870" s="318"/>
      <c r="B870" s="312"/>
      <c r="C870" s="312"/>
      <c r="D870" s="312"/>
      <c r="E870" s="312"/>
      <c r="F870" s="312"/>
      <c r="G870" s="312"/>
      <c r="H870" s="312"/>
      <c r="I870" s="312"/>
      <c r="J870" s="312"/>
      <c r="K870" s="312"/>
      <c r="L870" s="312"/>
      <c r="M870" s="312"/>
      <c r="N870" s="312"/>
      <c r="O870" s="312"/>
      <c r="P870" s="312"/>
      <c r="Q870" s="312"/>
      <c r="R870" s="312"/>
      <c r="S870" s="312"/>
      <c r="T870" s="312"/>
      <c r="U870" s="312"/>
      <c r="V870" s="312"/>
      <c r="W870" s="312"/>
      <c r="X870" s="312"/>
      <c r="Y870" s="312"/>
      <c r="Z870" s="312"/>
      <c r="AA870" s="312"/>
      <c r="AB870" s="312"/>
      <c r="AC870" s="312"/>
      <c r="AD870" s="312"/>
      <c r="AE870" s="312"/>
      <c r="AF870" s="312"/>
      <c r="AG870" s="312"/>
      <c r="AH870" s="312"/>
      <c r="AI870" s="312"/>
      <c r="AJ870" s="312"/>
      <c r="AK870" s="312"/>
      <c r="AL870" s="312"/>
      <c r="AM870" s="312"/>
      <c r="AN870" s="312"/>
      <c r="AO870" s="312"/>
      <c r="AP870" s="312"/>
      <c r="AQ870" s="312"/>
      <c r="AR870" s="312"/>
      <c r="AS870" s="312"/>
      <c r="AT870" s="312"/>
    </row>
    <row r="871" ht="15.75" customHeight="1">
      <c r="A871" s="318"/>
      <c r="B871" s="312"/>
      <c r="C871" s="312"/>
      <c r="D871" s="312"/>
      <c r="E871" s="312"/>
      <c r="F871" s="312"/>
      <c r="G871" s="312"/>
      <c r="H871" s="312"/>
      <c r="I871" s="312"/>
      <c r="J871" s="312"/>
      <c r="K871" s="312"/>
      <c r="L871" s="312"/>
      <c r="M871" s="312"/>
      <c r="N871" s="312"/>
      <c r="O871" s="312"/>
      <c r="P871" s="312"/>
      <c r="Q871" s="312"/>
      <c r="R871" s="312"/>
      <c r="S871" s="312"/>
      <c r="T871" s="312"/>
      <c r="U871" s="312"/>
      <c r="V871" s="312"/>
      <c r="W871" s="312"/>
      <c r="X871" s="312"/>
      <c r="Y871" s="312"/>
      <c r="Z871" s="312"/>
      <c r="AA871" s="312"/>
      <c r="AB871" s="312"/>
      <c r="AC871" s="312"/>
      <c r="AD871" s="312"/>
      <c r="AE871" s="312"/>
      <c r="AF871" s="312"/>
      <c r="AG871" s="312"/>
      <c r="AH871" s="312"/>
      <c r="AI871" s="312"/>
      <c r="AJ871" s="312"/>
      <c r="AK871" s="312"/>
      <c r="AL871" s="312"/>
      <c r="AM871" s="312"/>
      <c r="AN871" s="312"/>
      <c r="AO871" s="312"/>
      <c r="AP871" s="312"/>
      <c r="AQ871" s="312"/>
      <c r="AR871" s="312"/>
      <c r="AS871" s="312"/>
      <c r="AT871" s="312"/>
    </row>
    <row r="872" ht="15.75" customHeight="1">
      <c r="A872" s="318"/>
      <c r="B872" s="312"/>
      <c r="C872" s="312"/>
      <c r="D872" s="312"/>
      <c r="E872" s="312"/>
      <c r="F872" s="312"/>
      <c r="G872" s="312"/>
      <c r="H872" s="312"/>
      <c r="I872" s="312"/>
      <c r="J872" s="312"/>
      <c r="K872" s="312"/>
      <c r="L872" s="312"/>
      <c r="M872" s="312"/>
      <c r="N872" s="312"/>
      <c r="O872" s="312"/>
      <c r="P872" s="312"/>
      <c r="Q872" s="312"/>
      <c r="R872" s="312"/>
      <c r="S872" s="312"/>
      <c r="T872" s="312"/>
      <c r="U872" s="312"/>
      <c r="V872" s="312"/>
      <c r="W872" s="312"/>
      <c r="X872" s="312"/>
      <c r="Y872" s="312"/>
      <c r="Z872" s="312"/>
      <c r="AA872" s="312"/>
      <c r="AB872" s="312"/>
      <c r="AC872" s="312"/>
      <c r="AD872" s="312"/>
      <c r="AE872" s="312"/>
      <c r="AF872" s="312"/>
      <c r="AG872" s="312"/>
      <c r="AH872" s="312"/>
      <c r="AI872" s="312"/>
      <c r="AJ872" s="312"/>
      <c r="AK872" s="312"/>
      <c r="AL872" s="312"/>
      <c r="AM872" s="312"/>
      <c r="AN872" s="312"/>
      <c r="AO872" s="312"/>
      <c r="AP872" s="312"/>
      <c r="AQ872" s="312"/>
      <c r="AR872" s="312"/>
      <c r="AS872" s="312"/>
      <c r="AT872" s="312"/>
    </row>
    <row r="873" ht="15.75" customHeight="1">
      <c r="A873" s="318"/>
      <c r="B873" s="312"/>
      <c r="C873" s="312"/>
      <c r="D873" s="312"/>
      <c r="E873" s="312"/>
      <c r="F873" s="312"/>
      <c r="G873" s="312"/>
      <c r="H873" s="312"/>
      <c r="I873" s="312"/>
      <c r="J873" s="312"/>
      <c r="K873" s="312"/>
      <c r="L873" s="312"/>
      <c r="M873" s="312"/>
      <c r="N873" s="312"/>
      <c r="O873" s="312"/>
      <c r="P873" s="312"/>
      <c r="Q873" s="312"/>
      <c r="R873" s="312"/>
      <c r="S873" s="312"/>
      <c r="T873" s="312"/>
      <c r="U873" s="312"/>
      <c r="V873" s="312"/>
      <c r="W873" s="312"/>
      <c r="X873" s="312"/>
      <c r="Y873" s="312"/>
      <c r="Z873" s="312"/>
      <c r="AA873" s="312"/>
      <c r="AB873" s="312"/>
      <c r="AC873" s="312"/>
      <c r="AD873" s="312"/>
      <c r="AE873" s="312"/>
      <c r="AF873" s="312"/>
      <c r="AG873" s="312"/>
      <c r="AH873" s="312"/>
      <c r="AI873" s="312"/>
      <c r="AJ873" s="312"/>
      <c r="AK873" s="312"/>
      <c r="AL873" s="312"/>
      <c r="AM873" s="312"/>
      <c r="AN873" s="312"/>
      <c r="AO873" s="312"/>
      <c r="AP873" s="312"/>
      <c r="AQ873" s="312"/>
      <c r="AR873" s="312"/>
      <c r="AS873" s="312"/>
      <c r="AT873" s="312"/>
    </row>
    <row r="874" ht="15.75" customHeight="1">
      <c r="A874" s="318"/>
      <c r="B874" s="312"/>
      <c r="C874" s="312"/>
      <c r="D874" s="312"/>
      <c r="E874" s="312"/>
      <c r="F874" s="312"/>
      <c r="G874" s="312"/>
      <c r="H874" s="312"/>
      <c r="I874" s="312"/>
      <c r="J874" s="312"/>
      <c r="K874" s="312"/>
      <c r="L874" s="312"/>
      <c r="M874" s="312"/>
      <c r="N874" s="312"/>
      <c r="O874" s="312"/>
      <c r="P874" s="312"/>
      <c r="Q874" s="312"/>
      <c r="R874" s="312"/>
      <c r="S874" s="312"/>
      <c r="T874" s="312"/>
      <c r="U874" s="312"/>
      <c r="V874" s="312"/>
      <c r="W874" s="312"/>
      <c r="X874" s="312"/>
      <c r="Y874" s="312"/>
      <c r="Z874" s="312"/>
      <c r="AA874" s="312"/>
      <c r="AB874" s="312"/>
      <c r="AC874" s="312"/>
      <c r="AD874" s="312"/>
      <c r="AE874" s="312"/>
      <c r="AF874" s="312"/>
      <c r="AG874" s="312"/>
      <c r="AH874" s="312"/>
      <c r="AI874" s="312"/>
      <c r="AJ874" s="312"/>
      <c r="AK874" s="312"/>
      <c r="AL874" s="312"/>
      <c r="AM874" s="312"/>
      <c r="AN874" s="312"/>
      <c r="AO874" s="312"/>
      <c r="AP874" s="312"/>
      <c r="AQ874" s="312"/>
      <c r="AR874" s="312"/>
      <c r="AS874" s="312"/>
      <c r="AT874" s="312"/>
    </row>
    <row r="875" ht="15.75" customHeight="1">
      <c r="A875" s="318"/>
      <c r="B875" s="312"/>
      <c r="C875" s="312"/>
      <c r="D875" s="312"/>
      <c r="E875" s="312"/>
      <c r="F875" s="312"/>
      <c r="G875" s="312"/>
      <c r="H875" s="312"/>
      <c r="I875" s="312"/>
      <c r="J875" s="312"/>
      <c r="K875" s="312"/>
      <c r="L875" s="312"/>
      <c r="M875" s="312"/>
      <c r="N875" s="312"/>
      <c r="O875" s="312"/>
      <c r="P875" s="312"/>
      <c r="Q875" s="312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  <c r="AB875" s="312"/>
      <c r="AC875" s="312"/>
      <c r="AD875" s="312"/>
      <c r="AE875" s="312"/>
      <c r="AF875" s="312"/>
      <c r="AG875" s="312"/>
      <c r="AH875" s="312"/>
      <c r="AI875" s="312"/>
      <c r="AJ875" s="312"/>
      <c r="AK875" s="312"/>
      <c r="AL875" s="312"/>
      <c r="AM875" s="312"/>
      <c r="AN875" s="312"/>
      <c r="AO875" s="312"/>
      <c r="AP875" s="312"/>
      <c r="AQ875" s="312"/>
      <c r="AR875" s="312"/>
      <c r="AS875" s="312"/>
      <c r="AT875" s="312"/>
    </row>
    <row r="876" ht="15.75" customHeight="1">
      <c r="A876" s="318"/>
      <c r="B876" s="312"/>
      <c r="C876" s="312"/>
      <c r="D876" s="312"/>
      <c r="E876" s="312"/>
      <c r="F876" s="312"/>
      <c r="G876" s="312"/>
      <c r="H876" s="312"/>
      <c r="I876" s="312"/>
      <c r="J876" s="312"/>
      <c r="K876" s="312"/>
      <c r="L876" s="312"/>
      <c r="M876" s="312"/>
      <c r="N876" s="312"/>
      <c r="O876" s="312"/>
      <c r="P876" s="312"/>
      <c r="Q876" s="312"/>
      <c r="R876" s="312"/>
      <c r="S876" s="312"/>
      <c r="T876" s="312"/>
      <c r="U876" s="312"/>
      <c r="V876" s="312"/>
      <c r="W876" s="312"/>
      <c r="X876" s="312"/>
      <c r="Y876" s="312"/>
      <c r="Z876" s="312"/>
      <c r="AA876" s="312"/>
      <c r="AB876" s="312"/>
      <c r="AC876" s="312"/>
      <c r="AD876" s="312"/>
      <c r="AE876" s="312"/>
      <c r="AF876" s="312"/>
      <c r="AG876" s="312"/>
      <c r="AH876" s="312"/>
      <c r="AI876" s="312"/>
      <c r="AJ876" s="312"/>
      <c r="AK876" s="312"/>
      <c r="AL876" s="312"/>
      <c r="AM876" s="312"/>
      <c r="AN876" s="312"/>
      <c r="AO876" s="312"/>
      <c r="AP876" s="312"/>
      <c r="AQ876" s="312"/>
      <c r="AR876" s="312"/>
      <c r="AS876" s="312"/>
      <c r="AT876" s="312"/>
    </row>
    <row r="877" ht="15.75" customHeight="1">
      <c r="A877" s="318"/>
      <c r="B877" s="312"/>
      <c r="C877" s="312"/>
      <c r="D877" s="312"/>
      <c r="E877" s="312"/>
      <c r="F877" s="312"/>
      <c r="G877" s="312"/>
      <c r="H877" s="312"/>
      <c r="I877" s="312"/>
      <c r="J877" s="312"/>
      <c r="K877" s="312"/>
      <c r="L877" s="312"/>
      <c r="M877" s="312"/>
      <c r="N877" s="312"/>
      <c r="O877" s="312"/>
      <c r="P877" s="312"/>
      <c r="Q877" s="312"/>
      <c r="R877" s="312"/>
      <c r="S877" s="312"/>
      <c r="T877" s="312"/>
      <c r="U877" s="312"/>
      <c r="V877" s="312"/>
      <c r="W877" s="312"/>
      <c r="X877" s="312"/>
      <c r="Y877" s="312"/>
      <c r="Z877" s="312"/>
      <c r="AA877" s="312"/>
      <c r="AB877" s="312"/>
      <c r="AC877" s="312"/>
      <c r="AD877" s="312"/>
      <c r="AE877" s="312"/>
      <c r="AF877" s="312"/>
      <c r="AG877" s="312"/>
      <c r="AH877" s="312"/>
      <c r="AI877" s="312"/>
      <c r="AJ877" s="312"/>
      <c r="AK877" s="312"/>
      <c r="AL877" s="312"/>
      <c r="AM877" s="312"/>
      <c r="AN877" s="312"/>
      <c r="AO877" s="312"/>
      <c r="AP877" s="312"/>
      <c r="AQ877" s="312"/>
      <c r="AR877" s="312"/>
      <c r="AS877" s="312"/>
      <c r="AT877" s="312"/>
    </row>
    <row r="878" ht="15.75" customHeight="1">
      <c r="A878" s="318"/>
      <c r="B878" s="312"/>
      <c r="C878" s="312"/>
      <c r="D878" s="312"/>
      <c r="E878" s="312"/>
      <c r="F878" s="312"/>
      <c r="G878" s="312"/>
      <c r="H878" s="312"/>
      <c r="I878" s="312"/>
      <c r="J878" s="312"/>
      <c r="K878" s="312"/>
      <c r="L878" s="312"/>
      <c r="M878" s="312"/>
      <c r="N878" s="312"/>
      <c r="O878" s="312"/>
      <c r="P878" s="312"/>
      <c r="Q878" s="312"/>
      <c r="R878" s="312"/>
      <c r="S878" s="312"/>
      <c r="T878" s="312"/>
      <c r="U878" s="312"/>
      <c r="V878" s="312"/>
      <c r="W878" s="312"/>
      <c r="X878" s="312"/>
      <c r="Y878" s="312"/>
      <c r="Z878" s="312"/>
      <c r="AA878" s="312"/>
      <c r="AB878" s="312"/>
      <c r="AC878" s="312"/>
      <c r="AD878" s="312"/>
      <c r="AE878" s="312"/>
      <c r="AF878" s="312"/>
      <c r="AG878" s="312"/>
      <c r="AH878" s="312"/>
      <c r="AI878" s="312"/>
      <c r="AJ878" s="312"/>
      <c r="AK878" s="312"/>
      <c r="AL878" s="312"/>
      <c r="AM878" s="312"/>
      <c r="AN878" s="312"/>
      <c r="AO878" s="312"/>
      <c r="AP878" s="312"/>
      <c r="AQ878" s="312"/>
      <c r="AR878" s="312"/>
      <c r="AS878" s="312"/>
      <c r="AT878" s="312"/>
    </row>
    <row r="879" ht="15.75" customHeight="1">
      <c r="A879" s="318"/>
      <c r="B879" s="312"/>
      <c r="C879" s="312"/>
      <c r="D879" s="312"/>
      <c r="E879" s="312"/>
      <c r="F879" s="312"/>
      <c r="G879" s="312"/>
      <c r="H879" s="312"/>
      <c r="I879" s="312"/>
      <c r="J879" s="312"/>
      <c r="K879" s="312"/>
      <c r="L879" s="312"/>
      <c r="M879" s="312"/>
      <c r="N879" s="312"/>
      <c r="O879" s="312"/>
      <c r="P879" s="312"/>
      <c r="Q879" s="312"/>
      <c r="R879" s="312"/>
      <c r="S879" s="312"/>
      <c r="T879" s="312"/>
      <c r="U879" s="312"/>
      <c r="V879" s="312"/>
      <c r="W879" s="312"/>
      <c r="X879" s="312"/>
      <c r="Y879" s="312"/>
      <c r="Z879" s="312"/>
      <c r="AA879" s="312"/>
      <c r="AB879" s="312"/>
      <c r="AC879" s="312"/>
      <c r="AD879" s="312"/>
      <c r="AE879" s="312"/>
      <c r="AF879" s="312"/>
      <c r="AG879" s="312"/>
      <c r="AH879" s="312"/>
      <c r="AI879" s="312"/>
      <c r="AJ879" s="312"/>
      <c r="AK879" s="312"/>
      <c r="AL879" s="312"/>
      <c r="AM879" s="312"/>
      <c r="AN879" s="312"/>
      <c r="AO879" s="312"/>
      <c r="AP879" s="312"/>
      <c r="AQ879" s="312"/>
      <c r="AR879" s="312"/>
      <c r="AS879" s="312"/>
      <c r="AT879" s="312"/>
    </row>
    <row r="880" ht="15.75" customHeight="1">
      <c r="A880" s="318"/>
      <c r="B880" s="312"/>
      <c r="C880" s="312"/>
      <c r="D880" s="312"/>
      <c r="E880" s="312"/>
      <c r="F880" s="312"/>
      <c r="G880" s="312"/>
      <c r="H880" s="312"/>
      <c r="I880" s="312"/>
      <c r="J880" s="312"/>
      <c r="K880" s="312"/>
      <c r="L880" s="312"/>
      <c r="M880" s="312"/>
      <c r="N880" s="312"/>
      <c r="O880" s="312"/>
      <c r="P880" s="312"/>
      <c r="Q880" s="312"/>
      <c r="R880" s="312"/>
      <c r="S880" s="312"/>
      <c r="T880" s="312"/>
      <c r="U880" s="312"/>
      <c r="V880" s="312"/>
      <c r="W880" s="312"/>
      <c r="X880" s="312"/>
      <c r="Y880" s="312"/>
      <c r="Z880" s="312"/>
      <c r="AA880" s="312"/>
      <c r="AB880" s="312"/>
      <c r="AC880" s="312"/>
      <c r="AD880" s="312"/>
      <c r="AE880" s="312"/>
      <c r="AF880" s="312"/>
      <c r="AG880" s="312"/>
      <c r="AH880" s="312"/>
      <c r="AI880" s="312"/>
      <c r="AJ880" s="312"/>
      <c r="AK880" s="312"/>
      <c r="AL880" s="312"/>
      <c r="AM880" s="312"/>
      <c r="AN880" s="312"/>
      <c r="AO880" s="312"/>
      <c r="AP880" s="312"/>
      <c r="AQ880" s="312"/>
      <c r="AR880" s="312"/>
      <c r="AS880" s="312"/>
      <c r="AT880" s="312"/>
    </row>
    <row r="881" ht="15.75" customHeight="1">
      <c r="A881" s="318"/>
      <c r="B881" s="312"/>
      <c r="C881" s="312"/>
      <c r="D881" s="312"/>
      <c r="E881" s="312"/>
      <c r="F881" s="312"/>
      <c r="G881" s="312"/>
      <c r="H881" s="312"/>
      <c r="I881" s="312"/>
      <c r="J881" s="312"/>
      <c r="K881" s="312"/>
      <c r="L881" s="312"/>
      <c r="M881" s="312"/>
      <c r="N881" s="312"/>
      <c r="O881" s="312"/>
      <c r="P881" s="312"/>
      <c r="Q881" s="312"/>
      <c r="R881" s="312"/>
      <c r="S881" s="312"/>
      <c r="T881" s="312"/>
      <c r="U881" s="312"/>
      <c r="V881" s="312"/>
      <c r="W881" s="312"/>
      <c r="X881" s="312"/>
      <c r="Y881" s="312"/>
      <c r="Z881" s="312"/>
      <c r="AA881" s="312"/>
      <c r="AB881" s="312"/>
      <c r="AC881" s="312"/>
      <c r="AD881" s="312"/>
      <c r="AE881" s="312"/>
      <c r="AF881" s="312"/>
      <c r="AG881" s="312"/>
      <c r="AH881" s="312"/>
      <c r="AI881" s="312"/>
      <c r="AJ881" s="312"/>
      <c r="AK881" s="312"/>
      <c r="AL881" s="312"/>
      <c r="AM881" s="312"/>
      <c r="AN881" s="312"/>
      <c r="AO881" s="312"/>
      <c r="AP881" s="312"/>
      <c r="AQ881" s="312"/>
      <c r="AR881" s="312"/>
      <c r="AS881" s="312"/>
      <c r="AT881" s="312"/>
    </row>
    <row r="882" ht="15.75" customHeight="1">
      <c r="A882" s="318"/>
      <c r="B882" s="312"/>
      <c r="C882" s="312"/>
      <c r="D882" s="312"/>
      <c r="E882" s="312"/>
      <c r="F882" s="312"/>
      <c r="G882" s="312"/>
      <c r="H882" s="312"/>
      <c r="I882" s="312"/>
      <c r="J882" s="312"/>
      <c r="K882" s="312"/>
      <c r="L882" s="312"/>
      <c r="M882" s="312"/>
      <c r="N882" s="312"/>
      <c r="O882" s="312"/>
      <c r="P882" s="312"/>
      <c r="Q882" s="312"/>
      <c r="R882" s="312"/>
      <c r="S882" s="312"/>
      <c r="T882" s="312"/>
      <c r="U882" s="312"/>
      <c r="V882" s="312"/>
      <c r="W882" s="312"/>
      <c r="X882" s="312"/>
      <c r="Y882" s="312"/>
      <c r="Z882" s="312"/>
      <c r="AA882" s="312"/>
      <c r="AB882" s="312"/>
      <c r="AC882" s="312"/>
      <c r="AD882" s="312"/>
      <c r="AE882" s="312"/>
      <c r="AF882" s="312"/>
      <c r="AG882" s="312"/>
      <c r="AH882" s="312"/>
      <c r="AI882" s="312"/>
      <c r="AJ882" s="312"/>
      <c r="AK882" s="312"/>
      <c r="AL882" s="312"/>
      <c r="AM882" s="312"/>
      <c r="AN882" s="312"/>
      <c r="AO882" s="312"/>
      <c r="AP882" s="312"/>
      <c r="AQ882" s="312"/>
      <c r="AR882" s="312"/>
      <c r="AS882" s="312"/>
      <c r="AT882" s="312"/>
    </row>
    <row r="883" ht="15.75" customHeight="1">
      <c r="A883" s="318"/>
      <c r="B883" s="312"/>
      <c r="C883" s="312"/>
      <c r="D883" s="312"/>
      <c r="E883" s="312"/>
      <c r="F883" s="312"/>
      <c r="G883" s="312"/>
      <c r="H883" s="312"/>
      <c r="I883" s="312"/>
      <c r="J883" s="312"/>
      <c r="K883" s="312"/>
      <c r="L883" s="312"/>
      <c r="M883" s="312"/>
      <c r="N883" s="312"/>
      <c r="O883" s="312"/>
      <c r="P883" s="312"/>
      <c r="Q883" s="312"/>
      <c r="R883" s="312"/>
      <c r="S883" s="312"/>
      <c r="T883" s="312"/>
      <c r="U883" s="312"/>
      <c r="V883" s="312"/>
      <c r="W883" s="312"/>
      <c r="X883" s="312"/>
      <c r="Y883" s="312"/>
      <c r="Z883" s="312"/>
      <c r="AA883" s="312"/>
      <c r="AB883" s="312"/>
      <c r="AC883" s="312"/>
      <c r="AD883" s="312"/>
      <c r="AE883" s="312"/>
      <c r="AF883" s="312"/>
      <c r="AG883" s="312"/>
      <c r="AH883" s="312"/>
      <c r="AI883" s="312"/>
      <c r="AJ883" s="312"/>
      <c r="AK883" s="312"/>
      <c r="AL883" s="312"/>
      <c r="AM883" s="312"/>
      <c r="AN883" s="312"/>
      <c r="AO883" s="312"/>
      <c r="AP883" s="312"/>
      <c r="AQ883" s="312"/>
      <c r="AR883" s="312"/>
      <c r="AS883" s="312"/>
      <c r="AT883" s="312"/>
    </row>
    <row r="884" ht="15.75" customHeight="1">
      <c r="A884" s="318"/>
      <c r="B884" s="312"/>
      <c r="C884" s="312"/>
      <c r="D884" s="312"/>
      <c r="E884" s="312"/>
      <c r="F884" s="312"/>
      <c r="G884" s="312"/>
      <c r="H884" s="312"/>
      <c r="I884" s="312"/>
      <c r="J884" s="312"/>
      <c r="K884" s="312"/>
      <c r="L884" s="312"/>
      <c r="M884" s="312"/>
      <c r="N884" s="312"/>
      <c r="O884" s="312"/>
      <c r="P884" s="312"/>
      <c r="Q884" s="312"/>
      <c r="R884" s="312"/>
      <c r="S884" s="312"/>
      <c r="T884" s="312"/>
      <c r="U884" s="312"/>
      <c r="V884" s="312"/>
      <c r="W884" s="312"/>
      <c r="X884" s="312"/>
      <c r="Y884" s="312"/>
      <c r="Z884" s="312"/>
      <c r="AA884" s="312"/>
      <c r="AB884" s="312"/>
      <c r="AC884" s="312"/>
      <c r="AD884" s="312"/>
      <c r="AE884" s="312"/>
      <c r="AF884" s="312"/>
      <c r="AG884" s="312"/>
      <c r="AH884" s="312"/>
      <c r="AI884" s="312"/>
      <c r="AJ884" s="312"/>
      <c r="AK884" s="312"/>
      <c r="AL884" s="312"/>
      <c r="AM884" s="312"/>
      <c r="AN884" s="312"/>
      <c r="AO884" s="312"/>
      <c r="AP884" s="312"/>
      <c r="AQ884" s="312"/>
      <c r="AR884" s="312"/>
      <c r="AS884" s="312"/>
      <c r="AT884" s="312"/>
    </row>
    <row r="885" ht="15.75" customHeight="1">
      <c r="A885" s="318"/>
      <c r="B885" s="312"/>
      <c r="C885" s="312"/>
      <c r="D885" s="312"/>
      <c r="E885" s="312"/>
      <c r="F885" s="312"/>
      <c r="G885" s="312"/>
      <c r="H885" s="312"/>
      <c r="I885" s="312"/>
      <c r="J885" s="312"/>
      <c r="K885" s="312"/>
      <c r="L885" s="312"/>
      <c r="M885" s="312"/>
      <c r="N885" s="312"/>
      <c r="O885" s="312"/>
      <c r="P885" s="312"/>
      <c r="Q885" s="312"/>
      <c r="R885" s="312"/>
      <c r="S885" s="312"/>
      <c r="T885" s="312"/>
      <c r="U885" s="312"/>
      <c r="V885" s="312"/>
      <c r="W885" s="312"/>
      <c r="X885" s="312"/>
      <c r="Y885" s="312"/>
      <c r="Z885" s="312"/>
      <c r="AA885" s="312"/>
      <c r="AB885" s="312"/>
      <c r="AC885" s="312"/>
      <c r="AD885" s="312"/>
      <c r="AE885" s="312"/>
      <c r="AF885" s="312"/>
      <c r="AG885" s="312"/>
      <c r="AH885" s="312"/>
      <c r="AI885" s="312"/>
      <c r="AJ885" s="312"/>
      <c r="AK885" s="312"/>
      <c r="AL885" s="312"/>
      <c r="AM885" s="312"/>
      <c r="AN885" s="312"/>
      <c r="AO885" s="312"/>
      <c r="AP885" s="312"/>
      <c r="AQ885" s="312"/>
      <c r="AR885" s="312"/>
      <c r="AS885" s="312"/>
      <c r="AT885" s="312"/>
    </row>
    <row r="886" ht="15.75" customHeight="1">
      <c r="A886" s="318"/>
      <c r="B886" s="312"/>
      <c r="C886" s="312"/>
      <c r="D886" s="312"/>
      <c r="E886" s="312"/>
      <c r="F886" s="312"/>
      <c r="G886" s="312"/>
      <c r="H886" s="312"/>
      <c r="I886" s="312"/>
      <c r="J886" s="312"/>
      <c r="K886" s="312"/>
      <c r="L886" s="312"/>
      <c r="M886" s="312"/>
      <c r="N886" s="312"/>
      <c r="O886" s="312"/>
      <c r="P886" s="312"/>
      <c r="Q886" s="312"/>
      <c r="R886" s="312"/>
      <c r="S886" s="312"/>
      <c r="T886" s="312"/>
      <c r="U886" s="312"/>
      <c r="V886" s="312"/>
      <c r="W886" s="312"/>
      <c r="X886" s="312"/>
      <c r="Y886" s="312"/>
      <c r="Z886" s="312"/>
      <c r="AA886" s="312"/>
      <c r="AB886" s="312"/>
      <c r="AC886" s="312"/>
      <c r="AD886" s="312"/>
      <c r="AE886" s="312"/>
      <c r="AF886" s="312"/>
      <c r="AG886" s="312"/>
      <c r="AH886" s="312"/>
      <c r="AI886" s="312"/>
      <c r="AJ886" s="312"/>
      <c r="AK886" s="312"/>
      <c r="AL886" s="312"/>
      <c r="AM886" s="312"/>
      <c r="AN886" s="312"/>
      <c r="AO886" s="312"/>
      <c r="AP886" s="312"/>
      <c r="AQ886" s="312"/>
      <c r="AR886" s="312"/>
      <c r="AS886" s="312"/>
      <c r="AT886" s="312"/>
    </row>
    <row r="887" ht="15.75" customHeight="1">
      <c r="A887" s="318"/>
      <c r="B887" s="312"/>
      <c r="C887" s="312"/>
      <c r="D887" s="312"/>
      <c r="E887" s="312"/>
      <c r="F887" s="312"/>
      <c r="G887" s="312"/>
      <c r="H887" s="312"/>
      <c r="I887" s="312"/>
      <c r="J887" s="312"/>
      <c r="K887" s="312"/>
      <c r="L887" s="312"/>
      <c r="M887" s="312"/>
      <c r="N887" s="312"/>
      <c r="O887" s="312"/>
      <c r="P887" s="312"/>
      <c r="Q887" s="312"/>
      <c r="R887" s="312"/>
      <c r="S887" s="312"/>
      <c r="T887" s="312"/>
      <c r="U887" s="312"/>
      <c r="V887" s="312"/>
      <c r="W887" s="312"/>
      <c r="X887" s="312"/>
      <c r="Y887" s="312"/>
      <c r="Z887" s="312"/>
      <c r="AA887" s="312"/>
      <c r="AB887" s="312"/>
      <c r="AC887" s="312"/>
      <c r="AD887" s="312"/>
      <c r="AE887" s="312"/>
      <c r="AF887" s="312"/>
      <c r="AG887" s="312"/>
      <c r="AH887" s="312"/>
      <c r="AI887" s="312"/>
      <c r="AJ887" s="312"/>
      <c r="AK887" s="312"/>
      <c r="AL887" s="312"/>
      <c r="AM887" s="312"/>
      <c r="AN887" s="312"/>
      <c r="AO887" s="312"/>
      <c r="AP887" s="312"/>
      <c r="AQ887" s="312"/>
      <c r="AR887" s="312"/>
      <c r="AS887" s="312"/>
      <c r="AT887" s="312"/>
    </row>
    <row r="888" ht="15.75" customHeight="1">
      <c r="A888" s="318"/>
      <c r="B888" s="312"/>
      <c r="C888" s="312"/>
      <c r="D888" s="312"/>
      <c r="E888" s="312"/>
      <c r="F888" s="312"/>
      <c r="G888" s="312"/>
      <c r="H888" s="312"/>
      <c r="I888" s="312"/>
      <c r="J888" s="312"/>
      <c r="K888" s="312"/>
      <c r="L888" s="312"/>
      <c r="M888" s="312"/>
      <c r="N888" s="312"/>
      <c r="O888" s="312"/>
      <c r="P888" s="312"/>
      <c r="Q888" s="312"/>
      <c r="R888" s="312"/>
      <c r="S888" s="312"/>
      <c r="T888" s="312"/>
      <c r="U888" s="312"/>
      <c r="V888" s="312"/>
      <c r="W888" s="312"/>
      <c r="X888" s="312"/>
      <c r="Y888" s="312"/>
      <c r="Z888" s="312"/>
      <c r="AA888" s="312"/>
      <c r="AB888" s="312"/>
      <c r="AC888" s="312"/>
      <c r="AD888" s="312"/>
      <c r="AE888" s="312"/>
      <c r="AF888" s="312"/>
      <c r="AG888" s="312"/>
      <c r="AH888" s="312"/>
      <c r="AI888" s="312"/>
      <c r="AJ888" s="312"/>
      <c r="AK888" s="312"/>
      <c r="AL888" s="312"/>
      <c r="AM888" s="312"/>
      <c r="AN888" s="312"/>
      <c r="AO888" s="312"/>
      <c r="AP888" s="312"/>
      <c r="AQ888" s="312"/>
      <c r="AR888" s="312"/>
      <c r="AS888" s="312"/>
      <c r="AT888" s="312"/>
    </row>
    <row r="889" ht="15.75" customHeight="1">
      <c r="A889" s="318"/>
      <c r="B889" s="312"/>
      <c r="C889" s="312"/>
      <c r="D889" s="312"/>
      <c r="E889" s="312"/>
      <c r="F889" s="312"/>
      <c r="G889" s="312"/>
      <c r="H889" s="312"/>
      <c r="I889" s="312"/>
      <c r="J889" s="312"/>
      <c r="K889" s="312"/>
      <c r="L889" s="312"/>
      <c r="M889" s="312"/>
      <c r="N889" s="312"/>
      <c r="O889" s="312"/>
      <c r="P889" s="312"/>
      <c r="Q889" s="312"/>
      <c r="R889" s="312"/>
      <c r="S889" s="312"/>
      <c r="T889" s="312"/>
      <c r="U889" s="312"/>
      <c r="V889" s="312"/>
      <c r="W889" s="312"/>
      <c r="X889" s="312"/>
      <c r="Y889" s="312"/>
      <c r="Z889" s="312"/>
      <c r="AA889" s="312"/>
      <c r="AB889" s="312"/>
      <c r="AC889" s="312"/>
      <c r="AD889" s="312"/>
      <c r="AE889" s="312"/>
      <c r="AF889" s="312"/>
      <c r="AG889" s="312"/>
      <c r="AH889" s="312"/>
      <c r="AI889" s="312"/>
      <c r="AJ889" s="312"/>
      <c r="AK889" s="312"/>
      <c r="AL889" s="312"/>
      <c r="AM889" s="312"/>
      <c r="AN889" s="312"/>
      <c r="AO889" s="312"/>
      <c r="AP889" s="312"/>
      <c r="AQ889" s="312"/>
      <c r="AR889" s="312"/>
      <c r="AS889" s="312"/>
      <c r="AT889" s="312"/>
    </row>
    <row r="890" ht="15.75" customHeight="1">
      <c r="A890" s="318"/>
      <c r="B890" s="312"/>
      <c r="C890" s="312"/>
      <c r="D890" s="312"/>
      <c r="E890" s="312"/>
      <c r="F890" s="312"/>
      <c r="G890" s="312"/>
      <c r="H890" s="312"/>
      <c r="I890" s="312"/>
      <c r="J890" s="312"/>
      <c r="K890" s="312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2"/>
      <c r="AJ890" s="312"/>
      <c r="AK890" s="312"/>
      <c r="AL890" s="312"/>
      <c r="AM890" s="312"/>
      <c r="AN890" s="312"/>
      <c r="AO890" s="312"/>
      <c r="AP890" s="312"/>
      <c r="AQ890" s="312"/>
      <c r="AR890" s="312"/>
      <c r="AS890" s="312"/>
      <c r="AT890" s="312"/>
    </row>
    <row r="891" ht="15.75" customHeight="1">
      <c r="A891" s="318"/>
      <c r="B891" s="312"/>
      <c r="C891" s="312"/>
      <c r="D891" s="312"/>
      <c r="E891" s="312"/>
      <c r="F891" s="312"/>
      <c r="G891" s="312"/>
      <c r="H891" s="312"/>
      <c r="I891" s="312"/>
      <c r="J891" s="312"/>
      <c r="K891" s="312"/>
      <c r="L891" s="312"/>
      <c r="M891" s="312"/>
      <c r="N891" s="312"/>
      <c r="O891" s="312"/>
      <c r="P891" s="312"/>
      <c r="Q891" s="312"/>
      <c r="R891" s="312"/>
      <c r="S891" s="312"/>
      <c r="T891" s="312"/>
      <c r="U891" s="312"/>
      <c r="V891" s="312"/>
      <c r="W891" s="312"/>
      <c r="X891" s="312"/>
      <c r="Y891" s="312"/>
      <c r="Z891" s="312"/>
      <c r="AA891" s="312"/>
      <c r="AB891" s="312"/>
      <c r="AC891" s="312"/>
      <c r="AD891" s="312"/>
      <c r="AE891" s="312"/>
      <c r="AF891" s="312"/>
      <c r="AG891" s="312"/>
      <c r="AH891" s="312"/>
      <c r="AI891" s="312"/>
      <c r="AJ891" s="312"/>
      <c r="AK891" s="312"/>
      <c r="AL891" s="312"/>
      <c r="AM891" s="312"/>
      <c r="AN891" s="312"/>
      <c r="AO891" s="312"/>
      <c r="AP891" s="312"/>
      <c r="AQ891" s="312"/>
      <c r="AR891" s="312"/>
      <c r="AS891" s="312"/>
      <c r="AT891" s="312"/>
    </row>
    <row r="892" ht="15.75" customHeight="1">
      <c r="A892" s="318"/>
      <c r="B892" s="312"/>
      <c r="C892" s="312"/>
      <c r="D892" s="312"/>
      <c r="E892" s="312"/>
      <c r="F892" s="312"/>
      <c r="G892" s="312"/>
      <c r="H892" s="312"/>
      <c r="I892" s="312"/>
      <c r="J892" s="312"/>
      <c r="K892" s="312"/>
      <c r="L892" s="312"/>
      <c r="M892" s="312"/>
      <c r="N892" s="312"/>
      <c r="O892" s="312"/>
      <c r="P892" s="312"/>
      <c r="Q892" s="312"/>
      <c r="R892" s="312"/>
      <c r="S892" s="312"/>
      <c r="T892" s="312"/>
      <c r="U892" s="312"/>
      <c r="V892" s="312"/>
      <c r="W892" s="312"/>
      <c r="X892" s="312"/>
      <c r="Y892" s="312"/>
      <c r="Z892" s="312"/>
      <c r="AA892" s="312"/>
      <c r="AB892" s="312"/>
      <c r="AC892" s="312"/>
      <c r="AD892" s="312"/>
      <c r="AE892" s="312"/>
      <c r="AF892" s="312"/>
      <c r="AG892" s="312"/>
      <c r="AH892" s="312"/>
      <c r="AI892" s="312"/>
      <c r="AJ892" s="312"/>
      <c r="AK892" s="312"/>
      <c r="AL892" s="312"/>
      <c r="AM892" s="312"/>
      <c r="AN892" s="312"/>
      <c r="AO892" s="312"/>
      <c r="AP892" s="312"/>
      <c r="AQ892" s="312"/>
      <c r="AR892" s="312"/>
      <c r="AS892" s="312"/>
      <c r="AT892" s="312"/>
    </row>
    <row r="893" ht="15.75" customHeight="1">
      <c r="A893" s="318"/>
      <c r="B893" s="312"/>
      <c r="C893" s="312"/>
      <c r="D893" s="312"/>
      <c r="E893" s="312"/>
      <c r="F893" s="312"/>
      <c r="G893" s="312"/>
      <c r="H893" s="312"/>
      <c r="I893" s="312"/>
      <c r="J893" s="312"/>
      <c r="K893" s="312"/>
      <c r="L893" s="312"/>
      <c r="M893" s="312"/>
      <c r="N893" s="312"/>
      <c r="O893" s="312"/>
      <c r="P893" s="312"/>
      <c r="Q893" s="312"/>
      <c r="R893" s="312"/>
      <c r="S893" s="312"/>
      <c r="T893" s="312"/>
      <c r="U893" s="312"/>
      <c r="V893" s="312"/>
      <c r="W893" s="312"/>
      <c r="X893" s="312"/>
      <c r="Y893" s="312"/>
      <c r="Z893" s="312"/>
      <c r="AA893" s="312"/>
      <c r="AB893" s="312"/>
      <c r="AC893" s="312"/>
      <c r="AD893" s="312"/>
      <c r="AE893" s="312"/>
      <c r="AF893" s="312"/>
      <c r="AG893" s="312"/>
      <c r="AH893" s="312"/>
      <c r="AI893" s="312"/>
      <c r="AJ893" s="312"/>
      <c r="AK893" s="312"/>
      <c r="AL893" s="312"/>
      <c r="AM893" s="312"/>
      <c r="AN893" s="312"/>
      <c r="AO893" s="312"/>
      <c r="AP893" s="312"/>
      <c r="AQ893" s="312"/>
      <c r="AR893" s="312"/>
      <c r="AS893" s="312"/>
      <c r="AT893" s="312"/>
    </row>
    <row r="894" ht="15.75" customHeight="1">
      <c r="A894" s="318"/>
      <c r="B894" s="312"/>
      <c r="C894" s="312"/>
      <c r="D894" s="312"/>
      <c r="E894" s="312"/>
      <c r="F894" s="312"/>
      <c r="G894" s="312"/>
      <c r="H894" s="312"/>
      <c r="I894" s="312"/>
      <c r="J894" s="312"/>
      <c r="K894" s="312"/>
      <c r="L894" s="312"/>
      <c r="M894" s="312"/>
      <c r="N894" s="312"/>
      <c r="O894" s="312"/>
      <c r="P894" s="312"/>
      <c r="Q894" s="312"/>
      <c r="R894" s="312"/>
      <c r="S894" s="312"/>
      <c r="T894" s="312"/>
      <c r="U894" s="312"/>
      <c r="V894" s="312"/>
      <c r="W894" s="312"/>
      <c r="X894" s="312"/>
      <c r="Y894" s="312"/>
      <c r="Z894" s="312"/>
      <c r="AA894" s="312"/>
      <c r="AB894" s="312"/>
      <c r="AC894" s="312"/>
      <c r="AD894" s="312"/>
      <c r="AE894" s="312"/>
      <c r="AF894" s="312"/>
      <c r="AG894" s="312"/>
      <c r="AH894" s="312"/>
      <c r="AI894" s="312"/>
      <c r="AJ894" s="312"/>
      <c r="AK894" s="312"/>
      <c r="AL894" s="312"/>
      <c r="AM894" s="312"/>
      <c r="AN894" s="312"/>
      <c r="AO894" s="312"/>
      <c r="AP894" s="312"/>
      <c r="AQ894" s="312"/>
      <c r="AR894" s="312"/>
      <c r="AS894" s="312"/>
      <c r="AT894" s="312"/>
    </row>
    <row r="895" ht="15.75" customHeight="1">
      <c r="A895" s="318"/>
      <c r="B895" s="312"/>
      <c r="C895" s="312"/>
      <c r="D895" s="312"/>
      <c r="E895" s="312"/>
      <c r="F895" s="312"/>
      <c r="G895" s="312"/>
      <c r="H895" s="312"/>
      <c r="I895" s="312"/>
      <c r="J895" s="312"/>
      <c r="K895" s="312"/>
      <c r="L895" s="312"/>
      <c r="M895" s="312"/>
      <c r="N895" s="312"/>
      <c r="O895" s="312"/>
      <c r="P895" s="312"/>
      <c r="Q895" s="312"/>
      <c r="R895" s="312"/>
      <c r="S895" s="312"/>
      <c r="T895" s="312"/>
      <c r="U895" s="312"/>
      <c r="V895" s="312"/>
      <c r="W895" s="312"/>
      <c r="X895" s="312"/>
      <c r="Y895" s="312"/>
      <c r="Z895" s="312"/>
      <c r="AA895" s="312"/>
      <c r="AB895" s="312"/>
      <c r="AC895" s="312"/>
      <c r="AD895" s="312"/>
      <c r="AE895" s="312"/>
      <c r="AF895" s="312"/>
      <c r="AG895" s="312"/>
      <c r="AH895" s="312"/>
      <c r="AI895" s="312"/>
      <c r="AJ895" s="312"/>
      <c r="AK895" s="312"/>
      <c r="AL895" s="312"/>
      <c r="AM895" s="312"/>
      <c r="AN895" s="312"/>
      <c r="AO895" s="312"/>
      <c r="AP895" s="312"/>
      <c r="AQ895" s="312"/>
      <c r="AR895" s="312"/>
      <c r="AS895" s="312"/>
      <c r="AT895" s="312"/>
    </row>
    <row r="896" ht="15.75" customHeight="1">
      <c r="A896" s="318"/>
      <c r="B896" s="312"/>
      <c r="C896" s="312"/>
      <c r="D896" s="312"/>
      <c r="E896" s="312"/>
      <c r="F896" s="312"/>
      <c r="G896" s="312"/>
      <c r="H896" s="312"/>
      <c r="I896" s="312"/>
      <c r="J896" s="312"/>
      <c r="K896" s="312"/>
      <c r="L896" s="312"/>
      <c r="M896" s="312"/>
      <c r="N896" s="312"/>
      <c r="O896" s="312"/>
      <c r="P896" s="312"/>
      <c r="Q896" s="312"/>
      <c r="R896" s="312"/>
      <c r="S896" s="312"/>
      <c r="T896" s="312"/>
      <c r="U896" s="312"/>
      <c r="V896" s="312"/>
      <c r="W896" s="312"/>
      <c r="X896" s="312"/>
      <c r="Y896" s="312"/>
      <c r="Z896" s="312"/>
      <c r="AA896" s="312"/>
      <c r="AB896" s="312"/>
      <c r="AC896" s="312"/>
      <c r="AD896" s="312"/>
      <c r="AE896" s="312"/>
      <c r="AF896" s="312"/>
      <c r="AG896" s="312"/>
      <c r="AH896" s="312"/>
      <c r="AI896" s="312"/>
      <c r="AJ896" s="312"/>
      <c r="AK896" s="312"/>
      <c r="AL896" s="312"/>
      <c r="AM896" s="312"/>
      <c r="AN896" s="312"/>
      <c r="AO896" s="312"/>
      <c r="AP896" s="312"/>
      <c r="AQ896" s="312"/>
      <c r="AR896" s="312"/>
      <c r="AS896" s="312"/>
      <c r="AT896" s="312"/>
    </row>
    <row r="897" ht="15.75" customHeight="1">
      <c r="A897" s="318"/>
      <c r="B897" s="312"/>
      <c r="C897" s="312"/>
      <c r="D897" s="312"/>
      <c r="E897" s="312"/>
      <c r="F897" s="312"/>
      <c r="G897" s="312"/>
      <c r="H897" s="312"/>
      <c r="I897" s="312"/>
      <c r="J897" s="312"/>
      <c r="K897" s="312"/>
      <c r="L897" s="312"/>
      <c r="M897" s="312"/>
      <c r="N897" s="312"/>
      <c r="O897" s="312"/>
      <c r="P897" s="312"/>
      <c r="Q897" s="312"/>
      <c r="R897" s="312"/>
      <c r="S897" s="312"/>
      <c r="T897" s="312"/>
      <c r="U897" s="312"/>
      <c r="V897" s="312"/>
      <c r="W897" s="312"/>
      <c r="X897" s="312"/>
      <c r="Y897" s="312"/>
      <c r="Z897" s="312"/>
      <c r="AA897" s="312"/>
      <c r="AB897" s="312"/>
      <c r="AC897" s="312"/>
      <c r="AD897" s="312"/>
      <c r="AE897" s="312"/>
      <c r="AF897" s="312"/>
      <c r="AG897" s="312"/>
      <c r="AH897" s="312"/>
      <c r="AI897" s="312"/>
      <c r="AJ897" s="312"/>
      <c r="AK897" s="312"/>
      <c r="AL897" s="312"/>
      <c r="AM897" s="312"/>
      <c r="AN897" s="312"/>
      <c r="AO897" s="312"/>
      <c r="AP897" s="312"/>
      <c r="AQ897" s="312"/>
      <c r="AR897" s="312"/>
      <c r="AS897" s="312"/>
      <c r="AT897" s="312"/>
    </row>
    <row r="898" ht="15.75" customHeight="1">
      <c r="A898" s="318"/>
      <c r="B898" s="312"/>
      <c r="C898" s="312"/>
      <c r="D898" s="312"/>
      <c r="E898" s="312"/>
      <c r="F898" s="312"/>
      <c r="G898" s="312"/>
      <c r="H898" s="312"/>
      <c r="I898" s="312"/>
      <c r="J898" s="312"/>
      <c r="K898" s="312"/>
      <c r="L898" s="312"/>
      <c r="M898" s="312"/>
      <c r="N898" s="312"/>
      <c r="O898" s="312"/>
      <c r="P898" s="312"/>
      <c r="Q898" s="312"/>
      <c r="R898" s="312"/>
      <c r="S898" s="312"/>
      <c r="T898" s="312"/>
      <c r="U898" s="312"/>
      <c r="V898" s="312"/>
      <c r="W898" s="312"/>
      <c r="X898" s="312"/>
      <c r="Y898" s="312"/>
      <c r="Z898" s="312"/>
      <c r="AA898" s="312"/>
      <c r="AB898" s="312"/>
      <c r="AC898" s="312"/>
      <c r="AD898" s="312"/>
      <c r="AE898" s="312"/>
      <c r="AF898" s="312"/>
      <c r="AG898" s="312"/>
      <c r="AH898" s="312"/>
      <c r="AI898" s="312"/>
      <c r="AJ898" s="312"/>
      <c r="AK898" s="312"/>
      <c r="AL898" s="312"/>
      <c r="AM898" s="312"/>
      <c r="AN898" s="312"/>
      <c r="AO898" s="312"/>
      <c r="AP898" s="312"/>
      <c r="AQ898" s="312"/>
      <c r="AR898" s="312"/>
      <c r="AS898" s="312"/>
      <c r="AT898" s="312"/>
    </row>
    <row r="899" ht="15.75" customHeight="1">
      <c r="A899" s="318"/>
      <c r="B899" s="312"/>
      <c r="C899" s="312"/>
      <c r="D899" s="312"/>
      <c r="E899" s="312"/>
      <c r="F899" s="312"/>
      <c r="G899" s="312"/>
      <c r="H899" s="312"/>
      <c r="I899" s="312"/>
      <c r="J899" s="312"/>
      <c r="K899" s="312"/>
      <c r="L899" s="312"/>
      <c r="M899" s="312"/>
      <c r="N899" s="312"/>
      <c r="O899" s="312"/>
      <c r="P899" s="312"/>
      <c r="Q899" s="312"/>
      <c r="R899" s="312"/>
      <c r="S899" s="312"/>
      <c r="T899" s="312"/>
      <c r="U899" s="312"/>
      <c r="V899" s="312"/>
      <c r="W899" s="312"/>
      <c r="X899" s="312"/>
      <c r="Y899" s="312"/>
      <c r="Z899" s="312"/>
      <c r="AA899" s="312"/>
      <c r="AB899" s="312"/>
      <c r="AC899" s="312"/>
      <c r="AD899" s="312"/>
      <c r="AE899" s="312"/>
      <c r="AF899" s="312"/>
      <c r="AG899" s="312"/>
      <c r="AH899" s="312"/>
      <c r="AI899" s="312"/>
      <c r="AJ899" s="312"/>
      <c r="AK899" s="312"/>
      <c r="AL899" s="312"/>
      <c r="AM899" s="312"/>
      <c r="AN899" s="312"/>
      <c r="AO899" s="312"/>
      <c r="AP899" s="312"/>
      <c r="AQ899" s="312"/>
      <c r="AR899" s="312"/>
      <c r="AS899" s="312"/>
      <c r="AT899" s="312"/>
    </row>
    <row r="900" ht="15.75" customHeight="1">
      <c r="A900" s="318"/>
      <c r="B900" s="312"/>
      <c r="C900" s="312"/>
      <c r="D900" s="312"/>
      <c r="E900" s="312"/>
      <c r="F900" s="312"/>
      <c r="G900" s="312"/>
      <c r="H900" s="312"/>
      <c r="I900" s="312"/>
      <c r="J900" s="312"/>
      <c r="K900" s="312"/>
      <c r="L900" s="312"/>
      <c r="M900" s="312"/>
      <c r="N900" s="312"/>
      <c r="O900" s="312"/>
      <c r="P900" s="312"/>
      <c r="Q900" s="312"/>
      <c r="R900" s="312"/>
      <c r="S900" s="312"/>
      <c r="T900" s="312"/>
      <c r="U900" s="312"/>
      <c r="V900" s="312"/>
      <c r="W900" s="312"/>
      <c r="X900" s="312"/>
      <c r="Y900" s="312"/>
      <c r="Z900" s="312"/>
      <c r="AA900" s="312"/>
      <c r="AB900" s="312"/>
      <c r="AC900" s="312"/>
      <c r="AD900" s="312"/>
      <c r="AE900" s="312"/>
      <c r="AF900" s="312"/>
      <c r="AG900" s="312"/>
      <c r="AH900" s="312"/>
      <c r="AI900" s="312"/>
      <c r="AJ900" s="312"/>
      <c r="AK900" s="312"/>
      <c r="AL900" s="312"/>
      <c r="AM900" s="312"/>
      <c r="AN900" s="312"/>
      <c r="AO900" s="312"/>
      <c r="AP900" s="312"/>
      <c r="AQ900" s="312"/>
      <c r="AR900" s="312"/>
      <c r="AS900" s="312"/>
      <c r="AT900" s="312"/>
    </row>
    <row r="901" ht="15.75" customHeight="1">
      <c r="A901" s="318"/>
      <c r="B901" s="312"/>
      <c r="C901" s="312"/>
      <c r="D901" s="312"/>
      <c r="E901" s="312"/>
      <c r="F901" s="312"/>
      <c r="G901" s="312"/>
      <c r="H901" s="312"/>
      <c r="I901" s="312"/>
      <c r="J901" s="312"/>
      <c r="K901" s="312"/>
      <c r="L901" s="312"/>
      <c r="M901" s="312"/>
      <c r="N901" s="312"/>
      <c r="O901" s="312"/>
      <c r="P901" s="312"/>
      <c r="Q901" s="312"/>
      <c r="R901" s="312"/>
      <c r="S901" s="312"/>
      <c r="T901" s="312"/>
      <c r="U901" s="312"/>
      <c r="V901" s="312"/>
      <c r="W901" s="312"/>
      <c r="X901" s="312"/>
      <c r="Y901" s="312"/>
      <c r="Z901" s="312"/>
      <c r="AA901" s="312"/>
      <c r="AB901" s="312"/>
      <c r="AC901" s="312"/>
      <c r="AD901" s="312"/>
      <c r="AE901" s="312"/>
      <c r="AF901" s="312"/>
      <c r="AG901" s="312"/>
      <c r="AH901" s="312"/>
      <c r="AI901" s="312"/>
      <c r="AJ901" s="312"/>
      <c r="AK901" s="312"/>
      <c r="AL901" s="312"/>
      <c r="AM901" s="312"/>
      <c r="AN901" s="312"/>
      <c r="AO901" s="312"/>
      <c r="AP901" s="312"/>
      <c r="AQ901" s="312"/>
      <c r="AR901" s="312"/>
      <c r="AS901" s="312"/>
      <c r="AT901" s="312"/>
    </row>
    <row r="902" ht="15.75" customHeight="1">
      <c r="A902" s="318"/>
      <c r="B902" s="312"/>
      <c r="C902" s="312"/>
      <c r="D902" s="312"/>
      <c r="E902" s="312"/>
      <c r="F902" s="312"/>
      <c r="G902" s="312"/>
      <c r="H902" s="312"/>
      <c r="I902" s="312"/>
      <c r="J902" s="312"/>
      <c r="K902" s="312"/>
      <c r="L902" s="312"/>
      <c r="M902" s="312"/>
      <c r="N902" s="312"/>
      <c r="O902" s="312"/>
      <c r="P902" s="312"/>
      <c r="Q902" s="312"/>
      <c r="R902" s="312"/>
      <c r="S902" s="312"/>
      <c r="T902" s="312"/>
      <c r="U902" s="312"/>
      <c r="V902" s="312"/>
      <c r="W902" s="312"/>
      <c r="X902" s="312"/>
      <c r="Y902" s="312"/>
      <c r="Z902" s="312"/>
      <c r="AA902" s="312"/>
      <c r="AB902" s="312"/>
      <c r="AC902" s="312"/>
      <c r="AD902" s="312"/>
      <c r="AE902" s="312"/>
      <c r="AF902" s="312"/>
      <c r="AG902" s="312"/>
      <c r="AH902" s="312"/>
      <c r="AI902" s="312"/>
      <c r="AJ902" s="312"/>
      <c r="AK902" s="312"/>
      <c r="AL902" s="312"/>
      <c r="AM902" s="312"/>
      <c r="AN902" s="312"/>
      <c r="AO902" s="312"/>
      <c r="AP902" s="312"/>
      <c r="AQ902" s="312"/>
      <c r="AR902" s="312"/>
      <c r="AS902" s="312"/>
      <c r="AT902" s="312"/>
    </row>
    <row r="903" ht="15.75" customHeight="1">
      <c r="A903" s="318"/>
      <c r="B903" s="312"/>
      <c r="C903" s="312"/>
      <c r="D903" s="312"/>
      <c r="E903" s="312"/>
      <c r="F903" s="312"/>
      <c r="G903" s="312"/>
      <c r="H903" s="312"/>
      <c r="I903" s="312"/>
      <c r="J903" s="312"/>
      <c r="K903" s="312"/>
      <c r="L903" s="312"/>
      <c r="M903" s="312"/>
      <c r="N903" s="312"/>
      <c r="O903" s="312"/>
      <c r="P903" s="312"/>
      <c r="Q903" s="312"/>
      <c r="R903" s="312"/>
      <c r="S903" s="312"/>
      <c r="T903" s="312"/>
      <c r="U903" s="312"/>
      <c r="V903" s="312"/>
      <c r="W903" s="312"/>
      <c r="X903" s="312"/>
      <c r="Y903" s="312"/>
      <c r="Z903" s="312"/>
      <c r="AA903" s="312"/>
      <c r="AB903" s="312"/>
      <c r="AC903" s="312"/>
      <c r="AD903" s="312"/>
      <c r="AE903" s="312"/>
      <c r="AF903" s="312"/>
      <c r="AG903" s="312"/>
      <c r="AH903" s="312"/>
      <c r="AI903" s="312"/>
      <c r="AJ903" s="312"/>
      <c r="AK903" s="312"/>
      <c r="AL903" s="312"/>
      <c r="AM903" s="312"/>
      <c r="AN903" s="312"/>
      <c r="AO903" s="312"/>
      <c r="AP903" s="312"/>
      <c r="AQ903" s="312"/>
      <c r="AR903" s="312"/>
      <c r="AS903" s="312"/>
      <c r="AT903" s="312"/>
    </row>
    <row r="904" ht="15.75" customHeight="1">
      <c r="A904" s="318"/>
      <c r="B904" s="312"/>
      <c r="C904" s="312"/>
      <c r="D904" s="312"/>
      <c r="E904" s="312"/>
      <c r="F904" s="312"/>
      <c r="G904" s="312"/>
      <c r="H904" s="312"/>
      <c r="I904" s="312"/>
      <c r="J904" s="312"/>
      <c r="K904" s="312"/>
      <c r="L904" s="312"/>
      <c r="M904" s="312"/>
      <c r="N904" s="312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2"/>
      <c r="AB904" s="312"/>
      <c r="AC904" s="312"/>
      <c r="AD904" s="312"/>
      <c r="AE904" s="312"/>
      <c r="AF904" s="312"/>
      <c r="AG904" s="312"/>
      <c r="AH904" s="312"/>
      <c r="AI904" s="312"/>
      <c r="AJ904" s="312"/>
      <c r="AK904" s="312"/>
      <c r="AL904" s="312"/>
      <c r="AM904" s="312"/>
      <c r="AN904" s="312"/>
      <c r="AO904" s="312"/>
      <c r="AP904" s="312"/>
      <c r="AQ904" s="312"/>
      <c r="AR904" s="312"/>
      <c r="AS904" s="312"/>
      <c r="AT904" s="312"/>
    </row>
    <row r="905" ht="15.75" customHeight="1">
      <c r="A905" s="318"/>
      <c r="B905" s="312"/>
      <c r="C905" s="312"/>
      <c r="D905" s="312"/>
      <c r="E905" s="312"/>
      <c r="F905" s="312"/>
      <c r="G905" s="312"/>
      <c r="H905" s="312"/>
      <c r="I905" s="312"/>
      <c r="J905" s="312"/>
      <c r="K905" s="312"/>
      <c r="L905" s="312"/>
      <c r="M905" s="312"/>
      <c r="N905" s="312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2"/>
      <c r="AB905" s="312"/>
      <c r="AC905" s="312"/>
      <c r="AD905" s="312"/>
      <c r="AE905" s="312"/>
      <c r="AF905" s="312"/>
      <c r="AG905" s="312"/>
      <c r="AH905" s="312"/>
      <c r="AI905" s="312"/>
      <c r="AJ905" s="312"/>
      <c r="AK905" s="312"/>
      <c r="AL905" s="312"/>
      <c r="AM905" s="312"/>
      <c r="AN905" s="312"/>
      <c r="AO905" s="312"/>
      <c r="AP905" s="312"/>
      <c r="AQ905" s="312"/>
      <c r="AR905" s="312"/>
      <c r="AS905" s="312"/>
      <c r="AT905" s="312"/>
    </row>
    <row r="906" ht="15.75" customHeight="1">
      <c r="A906" s="318"/>
      <c r="B906" s="312"/>
      <c r="C906" s="312"/>
      <c r="D906" s="312"/>
      <c r="E906" s="312"/>
      <c r="F906" s="312"/>
      <c r="G906" s="312"/>
      <c r="H906" s="312"/>
      <c r="I906" s="312"/>
      <c r="J906" s="312"/>
      <c r="K906" s="312"/>
      <c r="L906" s="312"/>
      <c r="M906" s="312"/>
      <c r="N906" s="312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2"/>
      <c r="AB906" s="312"/>
      <c r="AC906" s="312"/>
      <c r="AD906" s="312"/>
      <c r="AE906" s="312"/>
      <c r="AF906" s="312"/>
      <c r="AG906" s="312"/>
      <c r="AH906" s="312"/>
      <c r="AI906" s="312"/>
      <c r="AJ906" s="312"/>
      <c r="AK906" s="312"/>
      <c r="AL906" s="312"/>
      <c r="AM906" s="312"/>
      <c r="AN906" s="312"/>
      <c r="AO906" s="312"/>
      <c r="AP906" s="312"/>
      <c r="AQ906" s="312"/>
      <c r="AR906" s="312"/>
      <c r="AS906" s="312"/>
      <c r="AT906" s="312"/>
    </row>
    <row r="907" ht="15.75" customHeight="1">
      <c r="A907" s="318"/>
      <c r="B907" s="312"/>
      <c r="C907" s="312"/>
      <c r="D907" s="312"/>
      <c r="E907" s="312"/>
      <c r="F907" s="312"/>
      <c r="G907" s="312"/>
      <c r="H907" s="312"/>
      <c r="I907" s="312"/>
      <c r="J907" s="312"/>
      <c r="K907" s="312"/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2"/>
      <c r="AB907" s="312"/>
      <c r="AC907" s="312"/>
      <c r="AD907" s="312"/>
      <c r="AE907" s="312"/>
      <c r="AF907" s="312"/>
      <c r="AG907" s="312"/>
      <c r="AH907" s="312"/>
      <c r="AI907" s="312"/>
      <c r="AJ907" s="312"/>
      <c r="AK907" s="312"/>
      <c r="AL907" s="312"/>
      <c r="AM907" s="312"/>
      <c r="AN907" s="312"/>
      <c r="AO907" s="312"/>
      <c r="AP907" s="312"/>
      <c r="AQ907" s="312"/>
      <c r="AR907" s="312"/>
      <c r="AS907" s="312"/>
      <c r="AT907" s="312"/>
    </row>
    <row r="908" ht="15.75" customHeight="1">
      <c r="A908" s="318"/>
      <c r="B908" s="312"/>
      <c r="C908" s="312"/>
      <c r="D908" s="312"/>
      <c r="E908" s="312"/>
      <c r="F908" s="312"/>
      <c r="G908" s="312"/>
      <c r="H908" s="312"/>
      <c r="I908" s="312"/>
      <c r="J908" s="312"/>
      <c r="K908" s="312"/>
      <c r="L908" s="312"/>
      <c r="M908" s="312"/>
      <c r="N908" s="312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2"/>
      <c r="AB908" s="312"/>
      <c r="AC908" s="312"/>
      <c r="AD908" s="312"/>
      <c r="AE908" s="312"/>
      <c r="AF908" s="312"/>
      <c r="AG908" s="312"/>
      <c r="AH908" s="312"/>
      <c r="AI908" s="312"/>
      <c r="AJ908" s="312"/>
      <c r="AK908" s="312"/>
      <c r="AL908" s="312"/>
      <c r="AM908" s="312"/>
      <c r="AN908" s="312"/>
      <c r="AO908" s="312"/>
      <c r="AP908" s="312"/>
      <c r="AQ908" s="312"/>
      <c r="AR908" s="312"/>
      <c r="AS908" s="312"/>
      <c r="AT908" s="312"/>
    </row>
    <row r="909" ht="15.75" customHeight="1">
      <c r="A909" s="318"/>
      <c r="B909" s="312"/>
      <c r="C909" s="312"/>
      <c r="D909" s="312"/>
      <c r="E909" s="312"/>
      <c r="F909" s="312"/>
      <c r="G909" s="312"/>
      <c r="H909" s="312"/>
      <c r="I909" s="312"/>
      <c r="J909" s="312"/>
      <c r="K909" s="312"/>
      <c r="L909" s="312"/>
      <c r="M909" s="312"/>
      <c r="N909" s="312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2"/>
      <c r="AB909" s="312"/>
      <c r="AC909" s="312"/>
      <c r="AD909" s="312"/>
      <c r="AE909" s="312"/>
      <c r="AF909" s="312"/>
      <c r="AG909" s="312"/>
      <c r="AH909" s="312"/>
      <c r="AI909" s="312"/>
      <c r="AJ909" s="312"/>
      <c r="AK909" s="312"/>
      <c r="AL909" s="312"/>
      <c r="AM909" s="312"/>
      <c r="AN909" s="312"/>
      <c r="AO909" s="312"/>
      <c r="AP909" s="312"/>
      <c r="AQ909" s="312"/>
      <c r="AR909" s="312"/>
      <c r="AS909" s="312"/>
      <c r="AT909" s="312"/>
    </row>
    <row r="910" ht="15.75" customHeight="1">
      <c r="A910" s="318"/>
      <c r="B910" s="312"/>
      <c r="C910" s="312"/>
      <c r="D910" s="312"/>
      <c r="E910" s="312"/>
      <c r="F910" s="312"/>
      <c r="G910" s="312"/>
      <c r="H910" s="312"/>
      <c r="I910" s="312"/>
      <c r="J910" s="312"/>
      <c r="K910" s="312"/>
      <c r="L910" s="312"/>
      <c r="M910" s="312"/>
      <c r="N910" s="312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2"/>
      <c r="AB910" s="312"/>
      <c r="AC910" s="312"/>
      <c r="AD910" s="312"/>
      <c r="AE910" s="312"/>
      <c r="AF910" s="312"/>
      <c r="AG910" s="312"/>
      <c r="AH910" s="312"/>
      <c r="AI910" s="312"/>
      <c r="AJ910" s="312"/>
      <c r="AK910" s="312"/>
      <c r="AL910" s="312"/>
      <c r="AM910" s="312"/>
      <c r="AN910" s="312"/>
      <c r="AO910" s="312"/>
      <c r="AP910" s="312"/>
      <c r="AQ910" s="312"/>
      <c r="AR910" s="312"/>
      <c r="AS910" s="312"/>
      <c r="AT910" s="312"/>
    </row>
    <row r="911" ht="15.75" customHeight="1">
      <c r="A911" s="318"/>
      <c r="B911" s="312"/>
      <c r="C911" s="312"/>
      <c r="D911" s="312"/>
      <c r="E911" s="312"/>
      <c r="F911" s="312"/>
      <c r="G911" s="312"/>
      <c r="H911" s="312"/>
      <c r="I911" s="312"/>
      <c r="J911" s="312"/>
      <c r="K911" s="312"/>
      <c r="L911" s="312"/>
      <c r="M911" s="312"/>
      <c r="N911" s="312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2"/>
      <c r="AB911" s="312"/>
      <c r="AC911" s="312"/>
      <c r="AD911" s="312"/>
      <c r="AE911" s="312"/>
      <c r="AF911" s="312"/>
      <c r="AG911" s="312"/>
      <c r="AH911" s="312"/>
      <c r="AI911" s="312"/>
      <c r="AJ911" s="312"/>
      <c r="AK911" s="312"/>
      <c r="AL911" s="312"/>
      <c r="AM911" s="312"/>
      <c r="AN911" s="312"/>
      <c r="AO911" s="312"/>
      <c r="AP911" s="312"/>
      <c r="AQ911" s="312"/>
      <c r="AR911" s="312"/>
      <c r="AS911" s="312"/>
      <c r="AT911" s="312"/>
    </row>
    <row r="912" ht="15.75" customHeight="1">
      <c r="A912" s="318"/>
      <c r="B912" s="312"/>
      <c r="C912" s="312"/>
      <c r="D912" s="312"/>
      <c r="E912" s="312"/>
      <c r="F912" s="312"/>
      <c r="G912" s="312"/>
      <c r="H912" s="312"/>
      <c r="I912" s="312"/>
      <c r="J912" s="312"/>
      <c r="K912" s="312"/>
      <c r="L912" s="312"/>
      <c r="M912" s="312"/>
      <c r="N912" s="312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2"/>
      <c r="AB912" s="312"/>
      <c r="AC912" s="312"/>
      <c r="AD912" s="312"/>
      <c r="AE912" s="312"/>
      <c r="AF912" s="312"/>
      <c r="AG912" s="312"/>
      <c r="AH912" s="312"/>
      <c r="AI912" s="312"/>
      <c r="AJ912" s="312"/>
      <c r="AK912" s="312"/>
      <c r="AL912" s="312"/>
      <c r="AM912" s="312"/>
      <c r="AN912" s="312"/>
      <c r="AO912" s="312"/>
      <c r="AP912" s="312"/>
      <c r="AQ912" s="312"/>
      <c r="AR912" s="312"/>
      <c r="AS912" s="312"/>
      <c r="AT912" s="312"/>
    </row>
    <row r="913" ht="15.75" customHeight="1">
      <c r="A913" s="318"/>
      <c r="B913" s="312"/>
      <c r="C913" s="312"/>
      <c r="D913" s="312"/>
      <c r="E913" s="312"/>
      <c r="F913" s="312"/>
      <c r="G913" s="312"/>
      <c r="H913" s="312"/>
      <c r="I913" s="312"/>
      <c r="J913" s="312"/>
      <c r="K913" s="312"/>
      <c r="L913" s="312"/>
      <c r="M913" s="312"/>
      <c r="N913" s="312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2"/>
      <c r="AB913" s="312"/>
      <c r="AC913" s="312"/>
      <c r="AD913" s="312"/>
      <c r="AE913" s="312"/>
      <c r="AF913" s="312"/>
      <c r="AG913" s="312"/>
      <c r="AH913" s="312"/>
      <c r="AI913" s="312"/>
      <c r="AJ913" s="312"/>
      <c r="AK913" s="312"/>
      <c r="AL913" s="312"/>
      <c r="AM913" s="312"/>
      <c r="AN913" s="312"/>
      <c r="AO913" s="312"/>
      <c r="AP913" s="312"/>
      <c r="AQ913" s="312"/>
      <c r="AR913" s="312"/>
      <c r="AS913" s="312"/>
      <c r="AT913" s="312"/>
    </row>
    <row r="914" ht="15.75" customHeight="1">
      <c r="A914" s="318"/>
      <c r="B914" s="312"/>
      <c r="C914" s="312"/>
      <c r="D914" s="312"/>
      <c r="E914" s="312"/>
      <c r="F914" s="312"/>
      <c r="G914" s="312"/>
      <c r="H914" s="312"/>
      <c r="I914" s="312"/>
      <c r="J914" s="312"/>
      <c r="K914" s="312"/>
      <c r="L914" s="312"/>
      <c r="M914" s="312"/>
      <c r="N914" s="312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2"/>
      <c r="AB914" s="312"/>
      <c r="AC914" s="312"/>
      <c r="AD914" s="312"/>
      <c r="AE914" s="312"/>
      <c r="AF914" s="312"/>
      <c r="AG914" s="312"/>
      <c r="AH914" s="312"/>
      <c r="AI914" s="312"/>
      <c r="AJ914" s="312"/>
      <c r="AK914" s="312"/>
      <c r="AL914" s="312"/>
      <c r="AM914" s="312"/>
      <c r="AN914" s="312"/>
      <c r="AO914" s="312"/>
      <c r="AP914" s="312"/>
      <c r="AQ914" s="312"/>
      <c r="AR914" s="312"/>
      <c r="AS914" s="312"/>
      <c r="AT914" s="312"/>
    </row>
    <row r="915" ht="15.75" customHeight="1">
      <c r="A915" s="318"/>
      <c r="B915" s="312"/>
      <c r="C915" s="312"/>
      <c r="D915" s="312"/>
      <c r="E915" s="312"/>
      <c r="F915" s="312"/>
      <c r="G915" s="312"/>
      <c r="H915" s="312"/>
      <c r="I915" s="312"/>
      <c r="J915" s="312"/>
      <c r="K915" s="312"/>
      <c r="L915" s="312"/>
      <c r="M915" s="312"/>
      <c r="N915" s="312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2"/>
      <c r="AB915" s="312"/>
      <c r="AC915" s="312"/>
      <c r="AD915" s="312"/>
      <c r="AE915" s="312"/>
      <c r="AF915" s="312"/>
      <c r="AG915" s="312"/>
      <c r="AH915" s="312"/>
      <c r="AI915" s="312"/>
      <c r="AJ915" s="312"/>
      <c r="AK915" s="312"/>
      <c r="AL915" s="312"/>
      <c r="AM915" s="312"/>
      <c r="AN915" s="312"/>
      <c r="AO915" s="312"/>
      <c r="AP915" s="312"/>
      <c r="AQ915" s="312"/>
      <c r="AR915" s="312"/>
      <c r="AS915" s="312"/>
      <c r="AT915" s="312"/>
    </row>
    <row r="916" ht="15.75" customHeight="1">
      <c r="A916" s="318"/>
      <c r="B916" s="312"/>
      <c r="C916" s="312"/>
      <c r="D916" s="312"/>
      <c r="E916" s="312"/>
      <c r="F916" s="312"/>
      <c r="G916" s="312"/>
      <c r="H916" s="312"/>
      <c r="I916" s="312"/>
      <c r="J916" s="312"/>
      <c r="K916" s="312"/>
      <c r="L916" s="312"/>
      <c r="M916" s="312"/>
      <c r="N916" s="312"/>
      <c r="O916" s="312"/>
      <c r="P916" s="312"/>
      <c r="Q916" s="312"/>
      <c r="R916" s="312"/>
      <c r="S916" s="312"/>
      <c r="T916" s="312"/>
      <c r="U916" s="312"/>
      <c r="V916" s="312"/>
      <c r="W916" s="312"/>
      <c r="X916" s="312"/>
      <c r="Y916" s="312"/>
      <c r="Z916" s="312"/>
      <c r="AA916" s="312"/>
      <c r="AB916" s="312"/>
      <c r="AC916" s="312"/>
      <c r="AD916" s="312"/>
      <c r="AE916" s="312"/>
      <c r="AF916" s="312"/>
      <c r="AG916" s="312"/>
      <c r="AH916" s="312"/>
      <c r="AI916" s="312"/>
      <c r="AJ916" s="312"/>
      <c r="AK916" s="312"/>
      <c r="AL916" s="312"/>
      <c r="AM916" s="312"/>
      <c r="AN916" s="312"/>
      <c r="AO916" s="312"/>
      <c r="AP916" s="312"/>
      <c r="AQ916" s="312"/>
      <c r="AR916" s="312"/>
      <c r="AS916" s="312"/>
      <c r="AT916" s="312"/>
    </row>
    <row r="917" ht="15.75" customHeight="1">
      <c r="A917" s="318"/>
      <c r="B917" s="312"/>
      <c r="C917" s="312"/>
      <c r="D917" s="312"/>
      <c r="E917" s="312"/>
      <c r="F917" s="312"/>
      <c r="G917" s="312"/>
      <c r="H917" s="312"/>
      <c r="I917" s="312"/>
      <c r="J917" s="312"/>
      <c r="K917" s="312"/>
      <c r="L917" s="312"/>
      <c r="M917" s="312"/>
      <c r="N917" s="312"/>
      <c r="O917" s="312"/>
      <c r="P917" s="312"/>
      <c r="Q917" s="312"/>
      <c r="R917" s="312"/>
      <c r="S917" s="312"/>
      <c r="T917" s="312"/>
      <c r="U917" s="312"/>
      <c r="V917" s="312"/>
      <c r="W917" s="312"/>
      <c r="X917" s="312"/>
      <c r="Y917" s="312"/>
      <c r="Z917" s="312"/>
      <c r="AA917" s="312"/>
      <c r="AB917" s="312"/>
      <c r="AC917" s="312"/>
      <c r="AD917" s="312"/>
      <c r="AE917" s="312"/>
      <c r="AF917" s="312"/>
      <c r="AG917" s="312"/>
      <c r="AH917" s="312"/>
      <c r="AI917" s="312"/>
      <c r="AJ917" s="312"/>
      <c r="AK917" s="312"/>
      <c r="AL917" s="312"/>
      <c r="AM917" s="312"/>
      <c r="AN917" s="312"/>
      <c r="AO917" s="312"/>
      <c r="AP917" s="312"/>
      <c r="AQ917" s="312"/>
      <c r="AR917" s="312"/>
      <c r="AS917" s="312"/>
      <c r="AT917" s="312"/>
    </row>
    <row r="918" ht="15.75" customHeight="1">
      <c r="A918" s="318"/>
      <c r="B918" s="312"/>
      <c r="C918" s="312"/>
      <c r="D918" s="312"/>
      <c r="E918" s="312"/>
      <c r="F918" s="312"/>
      <c r="G918" s="312"/>
      <c r="H918" s="312"/>
      <c r="I918" s="312"/>
      <c r="J918" s="312"/>
      <c r="K918" s="312"/>
      <c r="L918" s="312"/>
      <c r="M918" s="312"/>
      <c r="N918" s="312"/>
      <c r="O918" s="312"/>
      <c r="P918" s="312"/>
      <c r="Q918" s="312"/>
      <c r="R918" s="312"/>
      <c r="S918" s="312"/>
      <c r="T918" s="312"/>
      <c r="U918" s="312"/>
      <c r="V918" s="312"/>
      <c r="W918" s="312"/>
      <c r="X918" s="312"/>
      <c r="Y918" s="312"/>
      <c r="Z918" s="312"/>
      <c r="AA918" s="312"/>
      <c r="AB918" s="312"/>
      <c r="AC918" s="312"/>
      <c r="AD918" s="312"/>
      <c r="AE918" s="312"/>
      <c r="AF918" s="312"/>
      <c r="AG918" s="312"/>
      <c r="AH918" s="312"/>
      <c r="AI918" s="312"/>
      <c r="AJ918" s="312"/>
      <c r="AK918" s="312"/>
      <c r="AL918" s="312"/>
      <c r="AM918" s="312"/>
      <c r="AN918" s="312"/>
      <c r="AO918" s="312"/>
      <c r="AP918" s="312"/>
      <c r="AQ918" s="312"/>
      <c r="AR918" s="312"/>
      <c r="AS918" s="312"/>
      <c r="AT918" s="312"/>
    </row>
    <row r="919" ht="15.75" customHeight="1">
      <c r="A919" s="318"/>
      <c r="B919" s="312"/>
      <c r="C919" s="312"/>
      <c r="D919" s="312"/>
      <c r="E919" s="312"/>
      <c r="F919" s="312"/>
      <c r="G919" s="312"/>
      <c r="H919" s="312"/>
      <c r="I919" s="312"/>
      <c r="J919" s="312"/>
      <c r="K919" s="312"/>
      <c r="L919" s="312"/>
      <c r="M919" s="312"/>
      <c r="N919" s="312"/>
      <c r="O919" s="312"/>
      <c r="P919" s="312"/>
      <c r="Q919" s="312"/>
      <c r="R919" s="312"/>
      <c r="S919" s="312"/>
      <c r="T919" s="312"/>
      <c r="U919" s="312"/>
      <c r="V919" s="312"/>
      <c r="W919" s="312"/>
      <c r="X919" s="312"/>
      <c r="Y919" s="312"/>
      <c r="Z919" s="312"/>
      <c r="AA919" s="312"/>
      <c r="AB919" s="312"/>
      <c r="AC919" s="312"/>
      <c r="AD919" s="312"/>
      <c r="AE919" s="312"/>
      <c r="AF919" s="312"/>
      <c r="AG919" s="312"/>
      <c r="AH919" s="312"/>
      <c r="AI919" s="312"/>
      <c r="AJ919" s="312"/>
      <c r="AK919" s="312"/>
      <c r="AL919" s="312"/>
      <c r="AM919" s="312"/>
      <c r="AN919" s="312"/>
      <c r="AO919" s="312"/>
      <c r="AP919" s="312"/>
      <c r="AQ919" s="312"/>
      <c r="AR919" s="312"/>
      <c r="AS919" s="312"/>
      <c r="AT919" s="312"/>
    </row>
    <row r="920" ht="15.75" customHeight="1">
      <c r="A920" s="318"/>
      <c r="B920" s="312"/>
      <c r="C920" s="312"/>
      <c r="D920" s="312"/>
      <c r="E920" s="312"/>
      <c r="F920" s="312"/>
      <c r="G920" s="312"/>
      <c r="H920" s="312"/>
      <c r="I920" s="312"/>
      <c r="J920" s="312"/>
      <c r="K920" s="312"/>
      <c r="L920" s="312"/>
      <c r="M920" s="312"/>
      <c r="N920" s="312"/>
      <c r="O920" s="312"/>
      <c r="P920" s="312"/>
      <c r="Q920" s="312"/>
      <c r="R920" s="312"/>
      <c r="S920" s="312"/>
      <c r="T920" s="312"/>
      <c r="U920" s="312"/>
      <c r="V920" s="312"/>
      <c r="W920" s="312"/>
      <c r="X920" s="312"/>
      <c r="Y920" s="312"/>
      <c r="Z920" s="312"/>
      <c r="AA920" s="312"/>
      <c r="AB920" s="312"/>
      <c r="AC920" s="312"/>
      <c r="AD920" s="312"/>
      <c r="AE920" s="312"/>
      <c r="AF920" s="312"/>
      <c r="AG920" s="312"/>
      <c r="AH920" s="312"/>
      <c r="AI920" s="312"/>
      <c r="AJ920" s="312"/>
      <c r="AK920" s="312"/>
      <c r="AL920" s="312"/>
      <c r="AM920" s="312"/>
      <c r="AN920" s="312"/>
      <c r="AO920" s="312"/>
      <c r="AP920" s="312"/>
      <c r="AQ920" s="312"/>
      <c r="AR920" s="312"/>
      <c r="AS920" s="312"/>
      <c r="AT920" s="312"/>
    </row>
    <row r="921" ht="15.75" customHeight="1">
      <c r="A921" s="318"/>
      <c r="B921" s="312"/>
      <c r="C921" s="312"/>
      <c r="D921" s="312"/>
      <c r="E921" s="312"/>
      <c r="F921" s="312"/>
      <c r="G921" s="312"/>
      <c r="H921" s="312"/>
      <c r="I921" s="312"/>
      <c r="J921" s="312"/>
      <c r="K921" s="312"/>
      <c r="L921" s="312"/>
      <c r="M921" s="312"/>
      <c r="N921" s="312"/>
      <c r="O921" s="312"/>
      <c r="P921" s="312"/>
      <c r="Q921" s="312"/>
      <c r="R921" s="312"/>
      <c r="S921" s="312"/>
      <c r="T921" s="312"/>
      <c r="U921" s="312"/>
      <c r="V921" s="312"/>
      <c r="W921" s="312"/>
      <c r="X921" s="312"/>
      <c r="Y921" s="312"/>
      <c r="Z921" s="312"/>
      <c r="AA921" s="312"/>
      <c r="AB921" s="312"/>
      <c r="AC921" s="312"/>
      <c r="AD921" s="312"/>
      <c r="AE921" s="312"/>
      <c r="AF921" s="312"/>
      <c r="AG921" s="312"/>
      <c r="AH921" s="312"/>
      <c r="AI921" s="312"/>
      <c r="AJ921" s="312"/>
      <c r="AK921" s="312"/>
      <c r="AL921" s="312"/>
      <c r="AM921" s="312"/>
      <c r="AN921" s="312"/>
      <c r="AO921" s="312"/>
      <c r="AP921" s="312"/>
      <c r="AQ921" s="312"/>
      <c r="AR921" s="312"/>
      <c r="AS921" s="312"/>
      <c r="AT921" s="312"/>
    </row>
    <row r="922" ht="15.75" customHeight="1">
      <c r="A922" s="318"/>
      <c r="B922" s="312"/>
      <c r="C922" s="312"/>
      <c r="D922" s="312"/>
      <c r="E922" s="312"/>
      <c r="F922" s="312"/>
      <c r="G922" s="312"/>
      <c r="H922" s="312"/>
      <c r="I922" s="312"/>
      <c r="J922" s="312"/>
      <c r="K922" s="312"/>
      <c r="L922" s="312"/>
      <c r="M922" s="312"/>
      <c r="N922" s="312"/>
      <c r="O922" s="312"/>
      <c r="P922" s="312"/>
      <c r="Q922" s="312"/>
      <c r="R922" s="312"/>
      <c r="S922" s="312"/>
      <c r="T922" s="312"/>
      <c r="U922" s="312"/>
      <c r="V922" s="312"/>
      <c r="W922" s="312"/>
      <c r="X922" s="312"/>
      <c r="Y922" s="312"/>
      <c r="Z922" s="312"/>
      <c r="AA922" s="312"/>
      <c r="AB922" s="312"/>
      <c r="AC922" s="312"/>
      <c r="AD922" s="312"/>
      <c r="AE922" s="312"/>
      <c r="AF922" s="312"/>
      <c r="AG922" s="312"/>
      <c r="AH922" s="312"/>
      <c r="AI922" s="312"/>
      <c r="AJ922" s="312"/>
      <c r="AK922" s="312"/>
      <c r="AL922" s="312"/>
      <c r="AM922" s="312"/>
      <c r="AN922" s="312"/>
      <c r="AO922" s="312"/>
      <c r="AP922" s="312"/>
      <c r="AQ922" s="312"/>
      <c r="AR922" s="312"/>
      <c r="AS922" s="312"/>
      <c r="AT922" s="312"/>
    </row>
    <row r="923" ht="15.75" customHeight="1">
      <c r="A923" s="318"/>
      <c r="B923" s="312"/>
      <c r="C923" s="312"/>
      <c r="D923" s="312"/>
      <c r="E923" s="312"/>
      <c r="F923" s="312"/>
      <c r="G923" s="312"/>
      <c r="H923" s="312"/>
      <c r="I923" s="312"/>
      <c r="J923" s="312"/>
      <c r="K923" s="312"/>
      <c r="L923" s="312"/>
      <c r="M923" s="312"/>
      <c r="N923" s="312"/>
      <c r="O923" s="312"/>
      <c r="P923" s="312"/>
      <c r="Q923" s="312"/>
      <c r="R923" s="312"/>
      <c r="S923" s="312"/>
      <c r="T923" s="312"/>
      <c r="U923" s="312"/>
      <c r="V923" s="312"/>
      <c r="W923" s="312"/>
      <c r="X923" s="312"/>
      <c r="Y923" s="312"/>
      <c r="Z923" s="312"/>
      <c r="AA923" s="312"/>
      <c r="AB923" s="312"/>
      <c r="AC923" s="312"/>
      <c r="AD923" s="312"/>
      <c r="AE923" s="312"/>
      <c r="AF923" s="312"/>
      <c r="AG923" s="312"/>
      <c r="AH923" s="312"/>
      <c r="AI923" s="312"/>
      <c r="AJ923" s="312"/>
      <c r="AK923" s="312"/>
      <c r="AL923" s="312"/>
      <c r="AM923" s="312"/>
      <c r="AN923" s="312"/>
      <c r="AO923" s="312"/>
      <c r="AP923" s="312"/>
      <c r="AQ923" s="312"/>
      <c r="AR923" s="312"/>
      <c r="AS923" s="312"/>
      <c r="AT923" s="312"/>
    </row>
    <row r="924" ht="15.75" customHeight="1">
      <c r="A924" s="318"/>
      <c r="B924" s="312"/>
      <c r="C924" s="312"/>
      <c r="D924" s="312"/>
      <c r="E924" s="312"/>
      <c r="F924" s="312"/>
      <c r="G924" s="312"/>
      <c r="H924" s="312"/>
      <c r="I924" s="312"/>
      <c r="J924" s="312"/>
      <c r="K924" s="312"/>
      <c r="L924" s="312"/>
      <c r="M924" s="312"/>
      <c r="N924" s="312"/>
      <c r="O924" s="312"/>
      <c r="P924" s="312"/>
      <c r="Q924" s="312"/>
      <c r="R924" s="312"/>
      <c r="S924" s="312"/>
      <c r="T924" s="312"/>
      <c r="U924" s="312"/>
      <c r="V924" s="312"/>
      <c r="W924" s="312"/>
      <c r="X924" s="312"/>
      <c r="Y924" s="312"/>
      <c r="Z924" s="312"/>
      <c r="AA924" s="312"/>
      <c r="AB924" s="312"/>
      <c r="AC924" s="312"/>
      <c r="AD924" s="312"/>
      <c r="AE924" s="312"/>
      <c r="AF924" s="312"/>
      <c r="AG924" s="312"/>
      <c r="AH924" s="312"/>
      <c r="AI924" s="312"/>
      <c r="AJ924" s="312"/>
      <c r="AK924" s="312"/>
      <c r="AL924" s="312"/>
      <c r="AM924" s="312"/>
      <c r="AN924" s="312"/>
      <c r="AO924" s="312"/>
      <c r="AP924" s="312"/>
      <c r="AQ924" s="312"/>
      <c r="AR924" s="312"/>
      <c r="AS924" s="312"/>
      <c r="AT924" s="312"/>
    </row>
    <row r="925" ht="15.75" customHeight="1">
      <c r="A925" s="318"/>
      <c r="B925" s="312"/>
      <c r="C925" s="312"/>
      <c r="D925" s="312"/>
      <c r="E925" s="312"/>
      <c r="F925" s="312"/>
      <c r="G925" s="312"/>
      <c r="H925" s="312"/>
      <c r="I925" s="312"/>
      <c r="J925" s="312"/>
      <c r="K925" s="312"/>
      <c r="L925" s="312"/>
      <c r="M925" s="312"/>
      <c r="N925" s="312"/>
      <c r="O925" s="312"/>
      <c r="P925" s="312"/>
      <c r="Q925" s="312"/>
      <c r="R925" s="312"/>
      <c r="S925" s="312"/>
      <c r="T925" s="312"/>
      <c r="U925" s="312"/>
      <c r="V925" s="312"/>
      <c r="W925" s="312"/>
      <c r="X925" s="312"/>
      <c r="Y925" s="312"/>
      <c r="Z925" s="312"/>
      <c r="AA925" s="312"/>
      <c r="AB925" s="312"/>
      <c r="AC925" s="312"/>
      <c r="AD925" s="312"/>
      <c r="AE925" s="312"/>
      <c r="AF925" s="312"/>
      <c r="AG925" s="312"/>
      <c r="AH925" s="312"/>
      <c r="AI925" s="312"/>
      <c r="AJ925" s="312"/>
      <c r="AK925" s="312"/>
      <c r="AL925" s="312"/>
      <c r="AM925" s="312"/>
      <c r="AN925" s="312"/>
      <c r="AO925" s="312"/>
      <c r="AP925" s="312"/>
      <c r="AQ925" s="312"/>
      <c r="AR925" s="312"/>
      <c r="AS925" s="312"/>
      <c r="AT925" s="312"/>
    </row>
    <row r="926" ht="15.75" customHeight="1">
      <c r="A926" s="318"/>
      <c r="B926" s="312"/>
      <c r="C926" s="312"/>
      <c r="D926" s="312"/>
      <c r="E926" s="312"/>
      <c r="F926" s="312"/>
      <c r="G926" s="312"/>
      <c r="H926" s="312"/>
      <c r="I926" s="312"/>
      <c r="J926" s="312"/>
      <c r="K926" s="312"/>
      <c r="L926" s="312"/>
      <c r="M926" s="312"/>
      <c r="N926" s="312"/>
      <c r="O926" s="312"/>
      <c r="P926" s="312"/>
      <c r="Q926" s="312"/>
      <c r="R926" s="312"/>
      <c r="S926" s="312"/>
      <c r="T926" s="312"/>
      <c r="U926" s="312"/>
      <c r="V926" s="312"/>
      <c r="W926" s="312"/>
      <c r="X926" s="312"/>
      <c r="Y926" s="312"/>
      <c r="Z926" s="312"/>
      <c r="AA926" s="312"/>
      <c r="AB926" s="312"/>
      <c r="AC926" s="312"/>
      <c r="AD926" s="312"/>
      <c r="AE926" s="312"/>
      <c r="AF926" s="312"/>
      <c r="AG926" s="312"/>
      <c r="AH926" s="312"/>
      <c r="AI926" s="312"/>
      <c r="AJ926" s="312"/>
      <c r="AK926" s="312"/>
      <c r="AL926" s="312"/>
      <c r="AM926" s="312"/>
      <c r="AN926" s="312"/>
      <c r="AO926" s="312"/>
      <c r="AP926" s="312"/>
      <c r="AQ926" s="312"/>
      <c r="AR926" s="312"/>
      <c r="AS926" s="312"/>
      <c r="AT926" s="312"/>
    </row>
    <row r="927" ht="15.75" customHeight="1">
      <c r="A927" s="318"/>
      <c r="B927" s="312"/>
      <c r="C927" s="312"/>
      <c r="D927" s="312"/>
      <c r="E927" s="312"/>
      <c r="F927" s="312"/>
      <c r="G927" s="312"/>
      <c r="H927" s="312"/>
      <c r="I927" s="312"/>
      <c r="J927" s="312"/>
      <c r="K927" s="312"/>
      <c r="L927" s="312"/>
      <c r="M927" s="312"/>
      <c r="N927" s="312"/>
      <c r="O927" s="312"/>
      <c r="P927" s="312"/>
      <c r="Q927" s="312"/>
      <c r="R927" s="312"/>
      <c r="S927" s="312"/>
      <c r="T927" s="312"/>
      <c r="U927" s="312"/>
      <c r="V927" s="312"/>
      <c r="W927" s="312"/>
      <c r="X927" s="312"/>
      <c r="Y927" s="312"/>
      <c r="Z927" s="312"/>
      <c r="AA927" s="312"/>
      <c r="AB927" s="312"/>
      <c r="AC927" s="312"/>
      <c r="AD927" s="312"/>
      <c r="AE927" s="312"/>
      <c r="AF927" s="312"/>
      <c r="AG927" s="312"/>
      <c r="AH927" s="312"/>
      <c r="AI927" s="312"/>
      <c r="AJ927" s="312"/>
      <c r="AK927" s="312"/>
      <c r="AL927" s="312"/>
      <c r="AM927" s="312"/>
      <c r="AN927" s="312"/>
      <c r="AO927" s="312"/>
      <c r="AP927" s="312"/>
      <c r="AQ927" s="312"/>
      <c r="AR927" s="312"/>
      <c r="AS927" s="312"/>
      <c r="AT927" s="312"/>
    </row>
    <row r="928" ht="15.75" customHeight="1">
      <c r="A928" s="318"/>
      <c r="B928" s="312"/>
      <c r="C928" s="312"/>
      <c r="D928" s="312"/>
      <c r="E928" s="312"/>
      <c r="F928" s="312"/>
      <c r="G928" s="312"/>
      <c r="H928" s="312"/>
      <c r="I928" s="312"/>
      <c r="J928" s="312"/>
      <c r="K928" s="312"/>
      <c r="L928" s="312"/>
      <c r="M928" s="312"/>
      <c r="N928" s="312"/>
      <c r="O928" s="312"/>
      <c r="P928" s="312"/>
      <c r="Q928" s="312"/>
      <c r="R928" s="312"/>
      <c r="S928" s="312"/>
      <c r="T928" s="312"/>
      <c r="U928" s="312"/>
      <c r="V928" s="312"/>
      <c r="W928" s="312"/>
      <c r="X928" s="312"/>
      <c r="Y928" s="312"/>
      <c r="Z928" s="312"/>
      <c r="AA928" s="312"/>
      <c r="AB928" s="312"/>
      <c r="AC928" s="312"/>
      <c r="AD928" s="312"/>
      <c r="AE928" s="312"/>
      <c r="AF928" s="312"/>
      <c r="AG928" s="312"/>
      <c r="AH928" s="312"/>
      <c r="AI928" s="312"/>
      <c r="AJ928" s="312"/>
      <c r="AK928" s="312"/>
      <c r="AL928" s="312"/>
      <c r="AM928" s="312"/>
      <c r="AN928" s="312"/>
      <c r="AO928" s="312"/>
      <c r="AP928" s="312"/>
      <c r="AQ928" s="312"/>
      <c r="AR928" s="312"/>
      <c r="AS928" s="312"/>
      <c r="AT928" s="312"/>
    </row>
    <row r="929" ht="15.75" customHeight="1">
      <c r="A929" s="318"/>
      <c r="B929" s="312"/>
      <c r="C929" s="312"/>
      <c r="D929" s="312"/>
      <c r="E929" s="312"/>
      <c r="F929" s="312"/>
      <c r="G929" s="312"/>
      <c r="H929" s="312"/>
      <c r="I929" s="312"/>
      <c r="J929" s="312"/>
      <c r="K929" s="312"/>
      <c r="L929" s="312"/>
      <c r="M929" s="312"/>
      <c r="N929" s="312"/>
      <c r="O929" s="312"/>
      <c r="P929" s="312"/>
      <c r="Q929" s="312"/>
      <c r="R929" s="312"/>
      <c r="S929" s="312"/>
      <c r="T929" s="312"/>
      <c r="U929" s="312"/>
      <c r="V929" s="312"/>
      <c r="W929" s="312"/>
      <c r="X929" s="312"/>
      <c r="Y929" s="312"/>
      <c r="Z929" s="312"/>
      <c r="AA929" s="312"/>
      <c r="AB929" s="312"/>
      <c r="AC929" s="312"/>
      <c r="AD929" s="312"/>
      <c r="AE929" s="312"/>
      <c r="AF929" s="312"/>
      <c r="AG929" s="312"/>
      <c r="AH929" s="312"/>
      <c r="AI929" s="312"/>
      <c r="AJ929" s="312"/>
      <c r="AK929" s="312"/>
      <c r="AL929" s="312"/>
      <c r="AM929" s="312"/>
      <c r="AN929" s="312"/>
      <c r="AO929" s="312"/>
      <c r="AP929" s="312"/>
      <c r="AQ929" s="312"/>
      <c r="AR929" s="312"/>
      <c r="AS929" s="312"/>
      <c r="AT929" s="312"/>
    </row>
    <row r="930" ht="15.75" customHeight="1">
      <c r="A930" s="318"/>
      <c r="B930" s="312"/>
      <c r="C930" s="312"/>
      <c r="D930" s="312"/>
      <c r="E930" s="312"/>
      <c r="F930" s="312"/>
      <c r="G930" s="312"/>
      <c r="H930" s="312"/>
      <c r="I930" s="312"/>
      <c r="J930" s="312"/>
      <c r="K930" s="312"/>
      <c r="L930" s="312"/>
      <c r="M930" s="312"/>
      <c r="N930" s="312"/>
      <c r="O930" s="312"/>
      <c r="P930" s="312"/>
      <c r="Q930" s="312"/>
      <c r="R930" s="312"/>
      <c r="S930" s="312"/>
      <c r="T930" s="312"/>
      <c r="U930" s="312"/>
      <c r="V930" s="312"/>
      <c r="W930" s="312"/>
      <c r="X930" s="312"/>
      <c r="Y930" s="312"/>
      <c r="Z930" s="312"/>
      <c r="AA930" s="312"/>
      <c r="AB930" s="312"/>
      <c r="AC930" s="312"/>
      <c r="AD930" s="312"/>
      <c r="AE930" s="312"/>
      <c r="AF930" s="312"/>
      <c r="AG930" s="312"/>
      <c r="AH930" s="312"/>
      <c r="AI930" s="312"/>
      <c r="AJ930" s="312"/>
      <c r="AK930" s="312"/>
      <c r="AL930" s="312"/>
      <c r="AM930" s="312"/>
      <c r="AN930" s="312"/>
      <c r="AO930" s="312"/>
      <c r="AP930" s="312"/>
      <c r="AQ930" s="312"/>
      <c r="AR930" s="312"/>
      <c r="AS930" s="312"/>
      <c r="AT930" s="312"/>
    </row>
    <row r="931" ht="15.75" customHeight="1">
      <c r="A931" s="318"/>
      <c r="B931" s="312"/>
      <c r="C931" s="312"/>
      <c r="D931" s="312"/>
      <c r="E931" s="312"/>
      <c r="F931" s="312"/>
      <c r="G931" s="312"/>
      <c r="H931" s="312"/>
      <c r="I931" s="312"/>
      <c r="J931" s="312"/>
      <c r="K931" s="312"/>
      <c r="L931" s="312"/>
      <c r="M931" s="312"/>
      <c r="N931" s="312"/>
      <c r="O931" s="312"/>
      <c r="P931" s="312"/>
      <c r="Q931" s="312"/>
      <c r="R931" s="312"/>
      <c r="S931" s="312"/>
      <c r="T931" s="312"/>
      <c r="U931" s="312"/>
      <c r="V931" s="312"/>
      <c r="W931" s="312"/>
      <c r="X931" s="312"/>
      <c r="Y931" s="312"/>
      <c r="Z931" s="312"/>
      <c r="AA931" s="312"/>
      <c r="AB931" s="312"/>
      <c r="AC931" s="312"/>
      <c r="AD931" s="312"/>
      <c r="AE931" s="312"/>
      <c r="AF931" s="312"/>
      <c r="AG931" s="312"/>
      <c r="AH931" s="312"/>
      <c r="AI931" s="312"/>
      <c r="AJ931" s="312"/>
      <c r="AK931" s="312"/>
      <c r="AL931" s="312"/>
      <c r="AM931" s="312"/>
      <c r="AN931" s="312"/>
      <c r="AO931" s="312"/>
      <c r="AP931" s="312"/>
      <c r="AQ931" s="312"/>
      <c r="AR931" s="312"/>
      <c r="AS931" s="312"/>
      <c r="AT931" s="312"/>
    </row>
    <row r="932" ht="15.75" customHeight="1">
      <c r="A932" s="318"/>
      <c r="B932" s="312"/>
      <c r="C932" s="312"/>
      <c r="D932" s="312"/>
      <c r="E932" s="312"/>
      <c r="F932" s="312"/>
      <c r="G932" s="312"/>
      <c r="H932" s="312"/>
      <c r="I932" s="312"/>
      <c r="J932" s="312"/>
      <c r="K932" s="312"/>
      <c r="L932" s="312"/>
      <c r="M932" s="312"/>
      <c r="N932" s="312"/>
      <c r="O932" s="312"/>
      <c r="P932" s="312"/>
      <c r="Q932" s="312"/>
      <c r="R932" s="312"/>
      <c r="S932" s="312"/>
      <c r="T932" s="312"/>
      <c r="U932" s="312"/>
      <c r="V932" s="312"/>
      <c r="W932" s="312"/>
      <c r="X932" s="312"/>
      <c r="Y932" s="312"/>
      <c r="Z932" s="312"/>
      <c r="AA932" s="312"/>
      <c r="AB932" s="312"/>
      <c r="AC932" s="312"/>
      <c r="AD932" s="312"/>
      <c r="AE932" s="312"/>
      <c r="AF932" s="312"/>
      <c r="AG932" s="312"/>
      <c r="AH932" s="312"/>
      <c r="AI932" s="312"/>
      <c r="AJ932" s="312"/>
      <c r="AK932" s="312"/>
      <c r="AL932" s="312"/>
      <c r="AM932" s="312"/>
      <c r="AN932" s="312"/>
      <c r="AO932" s="312"/>
      <c r="AP932" s="312"/>
      <c r="AQ932" s="312"/>
      <c r="AR932" s="312"/>
      <c r="AS932" s="312"/>
      <c r="AT932" s="312"/>
    </row>
    <row r="933" ht="15.75" customHeight="1">
      <c r="A933" s="318"/>
      <c r="B933" s="312"/>
      <c r="C933" s="312"/>
      <c r="D933" s="312"/>
      <c r="E933" s="312"/>
      <c r="F933" s="312"/>
      <c r="G933" s="312"/>
      <c r="H933" s="312"/>
      <c r="I933" s="312"/>
      <c r="J933" s="312"/>
      <c r="K933" s="312"/>
      <c r="L933" s="312"/>
      <c r="M933" s="312"/>
      <c r="N933" s="312"/>
      <c r="O933" s="312"/>
      <c r="P933" s="312"/>
      <c r="Q933" s="312"/>
      <c r="R933" s="312"/>
      <c r="S933" s="312"/>
      <c r="T933" s="312"/>
      <c r="U933" s="312"/>
      <c r="V933" s="312"/>
      <c r="W933" s="312"/>
      <c r="X933" s="312"/>
      <c r="Y933" s="312"/>
      <c r="Z933" s="312"/>
      <c r="AA933" s="312"/>
      <c r="AB933" s="312"/>
      <c r="AC933" s="312"/>
      <c r="AD933" s="312"/>
      <c r="AE933" s="312"/>
      <c r="AF933" s="312"/>
      <c r="AG933" s="312"/>
      <c r="AH933" s="312"/>
      <c r="AI933" s="312"/>
      <c r="AJ933" s="312"/>
      <c r="AK933" s="312"/>
      <c r="AL933" s="312"/>
      <c r="AM933" s="312"/>
      <c r="AN933" s="312"/>
      <c r="AO933" s="312"/>
      <c r="AP933" s="312"/>
      <c r="AQ933" s="312"/>
      <c r="AR933" s="312"/>
      <c r="AS933" s="312"/>
      <c r="AT933" s="312"/>
    </row>
    <row r="934" ht="15.75" customHeight="1">
      <c r="A934" s="318"/>
      <c r="B934" s="312"/>
      <c r="C934" s="312"/>
      <c r="D934" s="312"/>
      <c r="E934" s="312"/>
      <c r="F934" s="312"/>
      <c r="G934" s="312"/>
      <c r="H934" s="312"/>
      <c r="I934" s="312"/>
      <c r="J934" s="312"/>
      <c r="K934" s="312"/>
      <c r="L934" s="312"/>
      <c r="M934" s="312"/>
      <c r="N934" s="312"/>
      <c r="O934" s="312"/>
      <c r="P934" s="312"/>
      <c r="Q934" s="312"/>
      <c r="R934" s="312"/>
      <c r="S934" s="312"/>
      <c r="T934" s="312"/>
      <c r="U934" s="312"/>
      <c r="V934" s="312"/>
      <c r="W934" s="312"/>
      <c r="X934" s="312"/>
      <c r="Y934" s="312"/>
      <c r="Z934" s="312"/>
      <c r="AA934" s="312"/>
      <c r="AB934" s="312"/>
      <c r="AC934" s="312"/>
      <c r="AD934" s="312"/>
      <c r="AE934" s="312"/>
      <c r="AF934" s="312"/>
      <c r="AG934" s="312"/>
      <c r="AH934" s="312"/>
      <c r="AI934" s="312"/>
      <c r="AJ934" s="312"/>
      <c r="AK934" s="312"/>
      <c r="AL934" s="312"/>
      <c r="AM934" s="312"/>
      <c r="AN934" s="312"/>
      <c r="AO934" s="312"/>
      <c r="AP934" s="312"/>
      <c r="AQ934" s="312"/>
      <c r="AR934" s="312"/>
      <c r="AS934" s="312"/>
      <c r="AT934" s="312"/>
    </row>
    <row r="935" ht="15.75" customHeight="1">
      <c r="A935" s="318"/>
      <c r="B935" s="312"/>
      <c r="C935" s="312"/>
      <c r="D935" s="312"/>
      <c r="E935" s="312"/>
      <c r="F935" s="312"/>
      <c r="G935" s="312"/>
      <c r="H935" s="312"/>
      <c r="I935" s="312"/>
      <c r="J935" s="312"/>
      <c r="K935" s="312"/>
      <c r="L935" s="312"/>
      <c r="M935" s="312"/>
      <c r="N935" s="312"/>
      <c r="O935" s="312"/>
      <c r="P935" s="312"/>
      <c r="Q935" s="312"/>
      <c r="R935" s="312"/>
      <c r="S935" s="312"/>
      <c r="T935" s="312"/>
      <c r="U935" s="312"/>
      <c r="V935" s="312"/>
      <c r="W935" s="312"/>
      <c r="X935" s="312"/>
      <c r="Y935" s="312"/>
      <c r="Z935" s="312"/>
      <c r="AA935" s="312"/>
      <c r="AB935" s="312"/>
      <c r="AC935" s="312"/>
      <c r="AD935" s="312"/>
      <c r="AE935" s="312"/>
      <c r="AF935" s="312"/>
      <c r="AG935" s="312"/>
      <c r="AH935" s="312"/>
      <c r="AI935" s="312"/>
      <c r="AJ935" s="312"/>
      <c r="AK935" s="312"/>
      <c r="AL935" s="312"/>
      <c r="AM935" s="312"/>
      <c r="AN935" s="312"/>
      <c r="AO935" s="312"/>
      <c r="AP935" s="312"/>
      <c r="AQ935" s="312"/>
      <c r="AR935" s="312"/>
      <c r="AS935" s="312"/>
      <c r="AT935" s="312"/>
    </row>
    <row r="936" ht="15.75" customHeight="1">
      <c r="A936" s="318"/>
      <c r="B936" s="312"/>
      <c r="C936" s="312"/>
      <c r="D936" s="312"/>
      <c r="E936" s="312"/>
      <c r="F936" s="312"/>
      <c r="G936" s="312"/>
      <c r="H936" s="312"/>
      <c r="I936" s="312"/>
      <c r="J936" s="312"/>
      <c r="K936" s="312"/>
      <c r="L936" s="312"/>
      <c r="M936" s="312"/>
      <c r="N936" s="312"/>
      <c r="O936" s="312"/>
      <c r="P936" s="312"/>
      <c r="Q936" s="312"/>
      <c r="R936" s="312"/>
      <c r="S936" s="312"/>
      <c r="T936" s="312"/>
      <c r="U936" s="312"/>
      <c r="V936" s="312"/>
      <c r="W936" s="312"/>
      <c r="X936" s="312"/>
      <c r="Y936" s="312"/>
      <c r="Z936" s="312"/>
      <c r="AA936" s="312"/>
      <c r="AB936" s="312"/>
      <c r="AC936" s="312"/>
      <c r="AD936" s="312"/>
      <c r="AE936" s="312"/>
      <c r="AF936" s="312"/>
      <c r="AG936" s="312"/>
      <c r="AH936" s="312"/>
      <c r="AI936" s="312"/>
      <c r="AJ936" s="312"/>
      <c r="AK936" s="312"/>
      <c r="AL936" s="312"/>
      <c r="AM936" s="312"/>
      <c r="AN936" s="312"/>
      <c r="AO936" s="312"/>
      <c r="AP936" s="312"/>
      <c r="AQ936" s="312"/>
      <c r="AR936" s="312"/>
      <c r="AS936" s="312"/>
      <c r="AT936" s="312"/>
    </row>
    <row r="937" ht="15.75" customHeight="1">
      <c r="A937" s="318"/>
      <c r="B937" s="312"/>
      <c r="C937" s="312"/>
      <c r="D937" s="312"/>
      <c r="E937" s="312"/>
      <c r="F937" s="312"/>
      <c r="G937" s="312"/>
      <c r="H937" s="312"/>
      <c r="I937" s="312"/>
      <c r="J937" s="312"/>
      <c r="K937" s="312"/>
      <c r="L937" s="312"/>
      <c r="M937" s="312"/>
      <c r="N937" s="312"/>
      <c r="O937" s="312"/>
      <c r="P937" s="312"/>
      <c r="Q937" s="312"/>
      <c r="R937" s="312"/>
      <c r="S937" s="312"/>
      <c r="T937" s="312"/>
      <c r="U937" s="312"/>
      <c r="V937" s="312"/>
      <c r="W937" s="312"/>
      <c r="X937" s="312"/>
      <c r="Y937" s="312"/>
      <c r="Z937" s="312"/>
      <c r="AA937" s="312"/>
      <c r="AB937" s="312"/>
      <c r="AC937" s="312"/>
      <c r="AD937" s="312"/>
      <c r="AE937" s="312"/>
      <c r="AF937" s="312"/>
      <c r="AG937" s="312"/>
      <c r="AH937" s="312"/>
      <c r="AI937" s="312"/>
      <c r="AJ937" s="312"/>
      <c r="AK937" s="312"/>
      <c r="AL937" s="312"/>
      <c r="AM937" s="312"/>
      <c r="AN937" s="312"/>
      <c r="AO937" s="312"/>
      <c r="AP937" s="312"/>
      <c r="AQ937" s="312"/>
      <c r="AR937" s="312"/>
      <c r="AS937" s="312"/>
      <c r="AT937" s="312"/>
    </row>
    <row r="938" ht="15.75" customHeight="1">
      <c r="A938" s="318"/>
      <c r="B938" s="312"/>
      <c r="C938" s="312"/>
      <c r="D938" s="312"/>
      <c r="E938" s="312"/>
      <c r="F938" s="312"/>
      <c r="G938" s="312"/>
      <c r="H938" s="312"/>
      <c r="I938" s="312"/>
      <c r="J938" s="312"/>
      <c r="K938" s="312"/>
      <c r="L938" s="312"/>
      <c r="M938" s="312"/>
      <c r="N938" s="312"/>
      <c r="O938" s="312"/>
      <c r="P938" s="312"/>
      <c r="Q938" s="312"/>
      <c r="R938" s="312"/>
      <c r="S938" s="312"/>
      <c r="T938" s="312"/>
      <c r="U938" s="312"/>
      <c r="V938" s="312"/>
      <c r="W938" s="312"/>
      <c r="X938" s="312"/>
      <c r="Y938" s="312"/>
      <c r="Z938" s="312"/>
      <c r="AA938" s="312"/>
      <c r="AB938" s="312"/>
      <c r="AC938" s="312"/>
      <c r="AD938" s="312"/>
      <c r="AE938" s="312"/>
      <c r="AF938" s="312"/>
      <c r="AG938" s="312"/>
      <c r="AH938" s="312"/>
      <c r="AI938" s="312"/>
      <c r="AJ938" s="312"/>
      <c r="AK938" s="312"/>
      <c r="AL938" s="312"/>
      <c r="AM938" s="312"/>
      <c r="AN938" s="312"/>
      <c r="AO938" s="312"/>
      <c r="AP938" s="312"/>
      <c r="AQ938" s="312"/>
      <c r="AR938" s="312"/>
      <c r="AS938" s="312"/>
      <c r="AT938" s="312"/>
    </row>
    <row r="939" ht="15.75" customHeight="1">
      <c r="A939" s="318"/>
      <c r="B939" s="312"/>
      <c r="C939" s="312"/>
      <c r="D939" s="312"/>
      <c r="E939" s="312"/>
      <c r="F939" s="312"/>
      <c r="G939" s="312"/>
      <c r="H939" s="312"/>
      <c r="I939" s="312"/>
      <c r="J939" s="312"/>
      <c r="K939" s="312"/>
      <c r="L939" s="312"/>
      <c r="M939" s="312"/>
      <c r="N939" s="312"/>
      <c r="O939" s="312"/>
      <c r="P939" s="312"/>
      <c r="Q939" s="312"/>
      <c r="R939" s="312"/>
      <c r="S939" s="312"/>
      <c r="T939" s="312"/>
      <c r="U939" s="312"/>
      <c r="V939" s="312"/>
      <c r="W939" s="312"/>
      <c r="X939" s="312"/>
      <c r="Y939" s="312"/>
      <c r="Z939" s="312"/>
      <c r="AA939" s="312"/>
      <c r="AB939" s="312"/>
      <c r="AC939" s="312"/>
      <c r="AD939" s="312"/>
      <c r="AE939" s="312"/>
      <c r="AF939" s="312"/>
      <c r="AG939" s="312"/>
      <c r="AH939" s="312"/>
      <c r="AI939" s="312"/>
      <c r="AJ939" s="312"/>
      <c r="AK939" s="312"/>
      <c r="AL939" s="312"/>
      <c r="AM939" s="312"/>
      <c r="AN939" s="312"/>
      <c r="AO939" s="312"/>
      <c r="AP939" s="312"/>
      <c r="AQ939" s="312"/>
      <c r="AR939" s="312"/>
      <c r="AS939" s="312"/>
      <c r="AT939" s="312"/>
    </row>
    <row r="940" ht="15.75" customHeight="1">
      <c r="A940" s="318"/>
      <c r="B940" s="312"/>
      <c r="C940" s="312"/>
      <c r="D940" s="312"/>
      <c r="E940" s="312"/>
      <c r="F940" s="312"/>
      <c r="G940" s="312"/>
      <c r="H940" s="312"/>
      <c r="I940" s="312"/>
      <c r="J940" s="312"/>
      <c r="K940" s="312"/>
      <c r="L940" s="312"/>
      <c r="M940" s="312"/>
      <c r="N940" s="312"/>
      <c r="O940" s="312"/>
      <c r="P940" s="312"/>
      <c r="Q940" s="312"/>
      <c r="R940" s="312"/>
      <c r="S940" s="312"/>
      <c r="T940" s="312"/>
      <c r="U940" s="312"/>
      <c r="V940" s="312"/>
      <c r="W940" s="312"/>
      <c r="X940" s="312"/>
      <c r="Y940" s="312"/>
      <c r="Z940" s="312"/>
      <c r="AA940" s="312"/>
      <c r="AB940" s="312"/>
      <c r="AC940" s="312"/>
      <c r="AD940" s="312"/>
      <c r="AE940" s="312"/>
      <c r="AF940" s="312"/>
      <c r="AG940" s="312"/>
      <c r="AH940" s="312"/>
      <c r="AI940" s="312"/>
      <c r="AJ940" s="312"/>
      <c r="AK940" s="312"/>
      <c r="AL940" s="312"/>
      <c r="AM940" s="312"/>
      <c r="AN940" s="312"/>
      <c r="AO940" s="312"/>
      <c r="AP940" s="312"/>
      <c r="AQ940" s="312"/>
      <c r="AR940" s="312"/>
      <c r="AS940" s="312"/>
      <c r="AT940" s="312"/>
    </row>
    <row r="941" ht="15.75" customHeight="1">
      <c r="A941" s="318"/>
      <c r="B941" s="312"/>
      <c r="C941" s="312"/>
      <c r="D941" s="312"/>
      <c r="E941" s="312"/>
      <c r="F941" s="312"/>
      <c r="G941" s="312"/>
      <c r="H941" s="312"/>
      <c r="I941" s="312"/>
      <c r="J941" s="312"/>
      <c r="K941" s="312"/>
      <c r="L941" s="312"/>
      <c r="M941" s="312"/>
      <c r="N941" s="312"/>
      <c r="O941" s="312"/>
      <c r="P941" s="312"/>
      <c r="Q941" s="312"/>
      <c r="R941" s="312"/>
      <c r="S941" s="312"/>
      <c r="T941" s="312"/>
      <c r="U941" s="312"/>
      <c r="V941" s="312"/>
      <c r="W941" s="312"/>
      <c r="X941" s="312"/>
      <c r="Y941" s="312"/>
      <c r="Z941" s="312"/>
      <c r="AA941" s="312"/>
      <c r="AB941" s="312"/>
      <c r="AC941" s="312"/>
      <c r="AD941" s="312"/>
      <c r="AE941" s="312"/>
      <c r="AF941" s="312"/>
      <c r="AG941" s="312"/>
      <c r="AH941" s="312"/>
      <c r="AI941" s="312"/>
      <c r="AJ941" s="312"/>
      <c r="AK941" s="312"/>
      <c r="AL941" s="312"/>
      <c r="AM941" s="312"/>
      <c r="AN941" s="312"/>
      <c r="AO941" s="312"/>
      <c r="AP941" s="312"/>
      <c r="AQ941" s="312"/>
      <c r="AR941" s="312"/>
      <c r="AS941" s="312"/>
      <c r="AT941" s="312"/>
    </row>
    <row r="942" ht="15.75" customHeight="1">
      <c r="A942" s="318"/>
      <c r="B942" s="312"/>
      <c r="C942" s="312"/>
      <c r="D942" s="312"/>
      <c r="E942" s="312"/>
      <c r="F942" s="312"/>
      <c r="G942" s="312"/>
      <c r="H942" s="312"/>
      <c r="I942" s="312"/>
      <c r="J942" s="312"/>
      <c r="K942" s="312"/>
      <c r="L942" s="312"/>
      <c r="M942" s="312"/>
      <c r="N942" s="312"/>
      <c r="O942" s="312"/>
      <c r="P942" s="312"/>
      <c r="Q942" s="312"/>
      <c r="R942" s="312"/>
      <c r="S942" s="312"/>
      <c r="T942" s="312"/>
      <c r="U942" s="312"/>
      <c r="V942" s="312"/>
      <c r="W942" s="312"/>
      <c r="X942" s="312"/>
      <c r="Y942" s="312"/>
      <c r="Z942" s="312"/>
      <c r="AA942" s="312"/>
      <c r="AB942" s="312"/>
      <c r="AC942" s="312"/>
      <c r="AD942" s="312"/>
      <c r="AE942" s="312"/>
      <c r="AF942" s="312"/>
      <c r="AG942" s="312"/>
      <c r="AH942" s="312"/>
      <c r="AI942" s="312"/>
      <c r="AJ942" s="312"/>
      <c r="AK942" s="312"/>
      <c r="AL942" s="312"/>
      <c r="AM942" s="312"/>
      <c r="AN942" s="312"/>
      <c r="AO942" s="312"/>
      <c r="AP942" s="312"/>
      <c r="AQ942" s="312"/>
      <c r="AR942" s="312"/>
      <c r="AS942" s="312"/>
      <c r="AT942" s="312"/>
    </row>
    <row r="943" ht="15.75" customHeight="1">
      <c r="A943" s="318"/>
      <c r="B943" s="312"/>
      <c r="C943" s="312"/>
      <c r="D943" s="312"/>
      <c r="E943" s="312"/>
      <c r="F943" s="312"/>
      <c r="G943" s="312"/>
      <c r="H943" s="312"/>
      <c r="I943" s="312"/>
      <c r="J943" s="312"/>
      <c r="K943" s="312"/>
      <c r="L943" s="312"/>
      <c r="M943" s="312"/>
      <c r="N943" s="312"/>
      <c r="O943" s="312"/>
      <c r="P943" s="312"/>
      <c r="Q943" s="312"/>
      <c r="R943" s="312"/>
      <c r="S943" s="312"/>
      <c r="T943" s="312"/>
      <c r="U943" s="312"/>
      <c r="V943" s="312"/>
      <c r="W943" s="312"/>
      <c r="X943" s="312"/>
      <c r="Y943" s="312"/>
      <c r="Z943" s="312"/>
      <c r="AA943" s="312"/>
      <c r="AB943" s="312"/>
      <c r="AC943" s="312"/>
      <c r="AD943" s="312"/>
      <c r="AE943" s="312"/>
      <c r="AF943" s="312"/>
      <c r="AG943" s="312"/>
      <c r="AH943" s="312"/>
      <c r="AI943" s="312"/>
      <c r="AJ943" s="312"/>
      <c r="AK943" s="312"/>
      <c r="AL943" s="312"/>
      <c r="AM943" s="312"/>
      <c r="AN943" s="312"/>
      <c r="AO943" s="312"/>
      <c r="AP943" s="312"/>
      <c r="AQ943" s="312"/>
      <c r="AR943" s="312"/>
      <c r="AS943" s="312"/>
      <c r="AT943" s="312"/>
    </row>
    <row r="944" ht="15.75" customHeight="1">
      <c r="A944" s="318"/>
      <c r="B944" s="312"/>
      <c r="C944" s="312"/>
      <c r="D944" s="312"/>
      <c r="E944" s="312"/>
      <c r="F944" s="312"/>
      <c r="G944" s="312"/>
      <c r="H944" s="312"/>
      <c r="I944" s="312"/>
      <c r="J944" s="312"/>
      <c r="K944" s="312"/>
      <c r="L944" s="312"/>
      <c r="M944" s="312"/>
      <c r="N944" s="312"/>
      <c r="O944" s="312"/>
      <c r="P944" s="312"/>
      <c r="Q944" s="312"/>
      <c r="R944" s="312"/>
      <c r="S944" s="312"/>
      <c r="T944" s="312"/>
      <c r="U944" s="312"/>
      <c r="V944" s="312"/>
      <c r="W944" s="312"/>
      <c r="X944" s="312"/>
      <c r="Y944" s="312"/>
      <c r="Z944" s="312"/>
      <c r="AA944" s="312"/>
      <c r="AB944" s="312"/>
      <c r="AC944" s="312"/>
      <c r="AD944" s="312"/>
      <c r="AE944" s="312"/>
      <c r="AF944" s="312"/>
      <c r="AG944" s="312"/>
      <c r="AH944" s="312"/>
      <c r="AI944" s="312"/>
      <c r="AJ944" s="312"/>
      <c r="AK944" s="312"/>
      <c r="AL944" s="312"/>
      <c r="AM944" s="312"/>
      <c r="AN944" s="312"/>
      <c r="AO944" s="312"/>
      <c r="AP944" s="312"/>
      <c r="AQ944" s="312"/>
      <c r="AR944" s="312"/>
      <c r="AS944" s="312"/>
      <c r="AT944" s="312"/>
    </row>
    <row r="945" ht="15.75" customHeight="1">
      <c r="A945" s="318"/>
      <c r="B945" s="312"/>
      <c r="C945" s="312"/>
      <c r="D945" s="312"/>
      <c r="E945" s="312"/>
      <c r="F945" s="312"/>
      <c r="G945" s="312"/>
      <c r="H945" s="312"/>
      <c r="I945" s="312"/>
      <c r="J945" s="312"/>
      <c r="K945" s="312"/>
      <c r="L945" s="312"/>
      <c r="M945" s="312"/>
      <c r="N945" s="312"/>
      <c r="O945" s="312"/>
      <c r="P945" s="312"/>
      <c r="Q945" s="312"/>
      <c r="R945" s="312"/>
      <c r="S945" s="312"/>
      <c r="T945" s="312"/>
      <c r="U945" s="312"/>
      <c r="V945" s="312"/>
      <c r="W945" s="312"/>
      <c r="X945" s="312"/>
      <c r="Y945" s="312"/>
      <c r="Z945" s="312"/>
      <c r="AA945" s="312"/>
      <c r="AB945" s="312"/>
      <c r="AC945" s="312"/>
      <c r="AD945" s="312"/>
      <c r="AE945" s="312"/>
      <c r="AF945" s="312"/>
      <c r="AG945" s="312"/>
      <c r="AH945" s="312"/>
      <c r="AI945" s="312"/>
      <c r="AJ945" s="312"/>
      <c r="AK945" s="312"/>
      <c r="AL945" s="312"/>
      <c r="AM945" s="312"/>
      <c r="AN945" s="312"/>
      <c r="AO945" s="312"/>
      <c r="AP945" s="312"/>
      <c r="AQ945" s="312"/>
      <c r="AR945" s="312"/>
      <c r="AS945" s="312"/>
      <c r="AT945" s="312"/>
    </row>
    <row r="946" ht="15.75" customHeight="1">
      <c r="A946" s="318"/>
      <c r="B946" s="312"/>
      <c r="C946" s="312"/>
      <c r="D946" s="312"/>
      <c r="E946" s="312"/>
      <c r="F946" s="312"/>
      <c r="G946" s="312"/>
      <c r="H946" s="312"/>
      <c r="I946" s="312"/>
      <c r="J946" s="312"/>
      <c r="K946" s="312"/>
      <c r="L946" s="312"/>
      <c r="M946" s="312"/>
      <c r="N946" s="312"/>
      <c r="O946" s="312"/>
      <c r="P946" s="312"/>
      <c r="Q946" s="312"/>
      <c r="R946" s="312"/>
      <c r="S946" s="312"/>
      <c r="T946" s="312"/>
      <c r="U946" s="312"/>
      <c r="V946" s="312"/>
      <c r="W946" s="312"/>
      <c r="X946" s="312"/>
      <c r="Y946" s="312"/>
      <c r="Z946" s="312"/>
      <c r="AA946" s="312"/>
      <c r="AB946" s="312"/>
      <c r="AC946" s="312"/>
      <c r="AD946" s="312"/>
      <c r="AE946" s="312"/>
      <c r="AF946" s="312"/>
      <c r="AG946" s="312"/>
      <c r="AH946" s="312"/>
      <c r="AI946" s="312"/>
      <c r="AJ946" s="312"/>
      <c r="AK946" s="312"/>
      <c r="AL946" s="312"/>
      <c r="AM946" s="312"/>
      <c r="AN946" s="312"/>
      <c r="AO946" s="312"/>
      <c r="AP946" s="312"/>
      <c r="AQ946" s="312"/>
      <c r="AR946" s="312"/>
      <c r="AS946" s="312"/>
      <c r="AT946" s="312"/>
    </row>
    <row r="947" ht="15.75" customHeight="1">
      <c r="A947" s="318"/>
      <c r="B947" s="312"/>
      <c r="C947" s="312"/>
      <c r="D947" s="312"/>
      <c r="E947" s="312"/>
      <c r="F947" s="312"/>
      <c r="G947" s="312"/>
      <c r="H947" s="312"/>
      <c r="I947" s="312"/>
      <c r="J947" s="312"/>
      <c r="K947" s="312"/>
      <c r="L947" s="312"/>
      <c r="M947" s="312"/>
      <c r="N947" s="312"/>
      <c r="O947" s="312"/>
      <c r="P947" s="312"/>
      <c r="Q947" s="312"/>
      <c r="R947" s="312"/>
      <c r="S947" s="312"/>
      <c r="T947" s="312"/>
      <c r="U947" s="312"/>
      <c r="V947" s="312"/>
      <c r="W947" s="312"/>
      <c r="X947" s="312"/>
      <c r="Y947" s="312"/>
      <c r="Z947" s="312"/>
      <c r="AA947" s="312"/>
      <c r="AB947" s="312"/>
      <c r="AC947" s="312"/>
      <c r="AD947" s="312"/>
      <c r="AE947" s="312"/>
      <c r="AF947" s="312"/>
      <c r="AG947" s="312"/>
      <c r="AH947" s="312"/>
      <c r="AI947" s="312"/>
      <c r="AJ947" s="312"/>
      <c r="AK947" s="312"/>
      <c r="AL947" s="312"/>
      <c r="AM947" s="312"/>
      <c r="AN947" s="312"/>
      <c r="AO947" s="312"/>
      <c r="AP947" s="312"/>
      <c r="AQ947" s="312"/>
      <c r="AR947" s="312"/>
      <c r="AS947" s="312"/>
      <c r="AT947" s="312"/>
    </row>
    <row r="948" ht="15.75" customHeight="1">
      <c r="A948" s="318"/>
      <c r="B948" s="312"/>
      <c r="C948" s="312"/>
      <c r="D948" s="312"/>
      <c r="E948" s="312"/>
      <c r="F948" s="312"/>
      <c r="G948" s="312"/>
      <c r="H948" s="312"/>
      <c r="I948" s="312"/>
      <c r="J948" s="312"/>
      <c r="K948" s="312"/>
      <c r="L948" s="312"/>
      <c r="M948" s="312"/>
      <c r="N948" s="312"/>
      <c r="O948" s="312"/>
      <c r="P948" s="312"/>
      <c r="Q948" s="312"/>
      <c r="R948" s="312"/>
      <c r="S948" s="312"/>
      <c r="T948" s="312"/>
      <c r="U948" s="312"/>
      <c r="V948" s="312"/>
      <c r="W948" s="312"/>
      <c r="X948" s="312"/>
      <c r="Y948" s="312"/>
      <c r="Z948" s="312"/>
      <c r="AA948" s="312"/>
      <c r="AB948" s="312"/>
      <c r="AC948" s="312"/>
      <c r="AD948" s="312"/>
      <c r="AE948" s="312"/>
      <c r="AF948" s="312"/>
      <c r="AG948" s="312"/>
      <c r="AH948" s="312"/>
      <c r="AI948" s="312"/>
      <c r="AJ948" s="312"/>
      <c r="AK948" s="312"/>
      <c r="AL948" s="312"/>
      <c r="AM948" s="312"/>
      <c r="AN948" s="312"/>
      <c r="AO948" s="312"/>
      <c r="AP948" s="312"/>
      <c r="AQ948" s="312"/>
      <c r="AR948" s="312"/>
      <c r="AS948" s="312"/>
      <c r="AT948" s="312"/>
    </row>
    <row r="949" ht="15.75" customHeight="1">
      <c r="A949" s="318"/>
      <c r="B949" s="312"/>
      <c r="C949" s="312"/>
      <c r="D949" s="312"/>
      <c r="E949" s="312"/>
      <c r="F949" s="312"/>
      <c r="G949" s="312"/>
      <c r="H949" s="312"/>
      <c r="I949" s="312"/>
      <c r="J949" s="312"/>
      <c r="K949" s="312"/>
      <c r="L949" s="312"/>
      <c r="M949" s="312"/>
      <c r="N949" s="312"/>
      <c r="O949" s="312"/>
      <c r="P949" s="312"/>
      <c r="Q949" s="312"/>
      <c r="R949" s="312"/>
      <c r="S949" s="312"/>
      <c r="T949" s="312"/>
      <c r="U949" s="312"/>
      <c r="V949" s="312"/>
      <c r="W949" s="312"/>
      <c r="X949" s="312"/>
      <c r="Y949" s="312"/>
      <c r="Z949" s="312"/>
      <c r="AA949" s="312"/>
      <c r="AB949" s="312"/>
      <c r="AC949" s="312"/>
      <c r="AD949" s="312"/>
      <c r="AE949" s="312"/>
      <c r="AF949" s="312"/>
      <c r="AG949" s="312"/>
      <c r="AH949" s="312"/>
      <c r="AI949" s="312"/>
      <c r="AJ949" s="312"/>
      <c r="AK949" s="312"/>
      <c r="AL949" s="312"/>
      <c r="AM949" s="312"/>
      <c r="AN949" s="312"/>
      <c r="AO949" s="312"/>
      <c r="AP949" s="312"/>
      <c r="AQ949" s="312"/>
      <c r="AR949" s="312"/>
      <c r="AS949" s="312"/>
      <c r="AT949" s="312"/>
    </row>
    <row r="950" ht="15.75" customHeight="1">
      <c r="A950" s="318"/>
      <c r="B950" s="312"/>
      <c r="C950" s="312"/>
      <c r="D950" s="312"/>
      <c r="E950" s="312"/>
      <c r="F950" s="312"/>
      <c r="G950" s="312"/>
      <c r="H950" s="312"/>
      <c r="I950" s="312"/>
      <c r="J950" s="312"/>
      <c r="K950" s="312"/>
      <c r="L950" s="312"/>
      <c r="M950" s="312"/>
      <c r="N950" s="312"/>
      <c r="O950" s="312"/>
      <c r="P950" s="312"/>
      <c r="Q950" s="312"/>
      <c r="R950" s="312"/>
      <c r="S950" s="312"/>
      <c r="T950" s="312"/>
      <c r="U950" s="312"/>
      <c r="V950" s="312"/>
      <c r="W950" s="312"/>
      <c r="X950" s="312"/>
      <c r="Y950" s="312"/>
      <c r="Z950" s="312"/>
      <c r="AA950" s="312"/>
      <c r="AB950" s="312"/>
      <c r="AC950" s="312"/>
      <c r="AD950" s="312"/>
      <c r="AE950" s="312"/>
      <c r="AF950" s="312"/>
      <c r="AG950" s="312"/>
      <c r="AH950" s="312"/>
      <c r="AI950" s="312"/>
      <c r="AJ950" s="312"/>
      <c r="AK950" s="312"/>
      <c r="AL950" s="312"/>
      <c r="AM950" s="312"/>
      <c r="AN950" s="312"/>
      <c r="AO950" s="312"/>
      <c r="AP950" s="312"/>
      <c r="AQ950" s="312"/>
      <c r="AR950" s="312"/>
      <c r="AS950" s="312"/>
      <c r="AT950" s="312"/>
    </row>
    <row r="951" ht="15.75" customHeight="1">
      <c r="A951" s="318"/>
      <c r="B951" s="312"/>
      <c r="C951" s="312"/>
      <c r="D951" s="312"/>
      <c r="E951" s="312"/>
      <c r="F951" s="312"/>
      <c r="G951" s="312"/>
      <c r="H951" s="312"/>
      <c r="I951" s="312"/>
      <c r="J951" s="312"/>
      <c r="K951" s="312"/>
      <c r="L951" s="312"/>
      <c r="M951" s="312"/>
      <c r="N951" s="312"/>
      <c r="O951" s="312"/>
      <c r="P951" s="312"/>
      <c r="Q951" s="312"/>
      <c r="R951" s="312"/>
      <c r="S951" s="312"/>
      <c r="T951" s="312"/>
      <c r="U951" s="312"/>
      <c r="V951" s="312"/>
      <c r="W951" s="312"/>
      <c r="X951" s="312"/>
      <c r="Y951" s="312"/>
      <c r="Z951" s="312"/>
      <c r="AA951" s="312"/>
      <c r="AB951" s="312"/>
      <c r="AC951" s="312"/>
      <c r="AD951" s="312"/>
      <c r="AE951" s="312"/>
      <c r="AF951" s="312"/>
      <c r="AG951" s="312"/>
      <c r="AH951" s="312"/>
      <c r="AI951" s="312"/>
      <c r="AJ951" s="312"/>
      <c r="AK951" s="312"/>
      <c r="AL951" s="312"/>
      <c r="AM951" s="312"/>
      <c r="AN951" s="312"/>
      <c r="AO951" s="312"/>
      <c r="AP951" s="312"/>
      <c r="AQ951" s="312"/>
      <c r="AR951" s="312"/>
      <c r="AS951" s="312"/>
      <c r="AT951" s="312"/>
    </row>
    <row r="952" ht="15.75" customHeight="1">
      <c r="A952" s="318"/>
      <c r="B952" s="312"/>
      <c r="C952" s="312"/>
      <c r="D952" s="312"/>
      <c r="E952" s="312"/>
      <c r="F952" s="312"/>
      <c r="G952" s="312"/>
      <c r="H952" s="312"/>
      <c r="I952" s="312"/>
      <c r="J952" s="312"/>
      <c r="K952" s="312"/>
      <c r="L952" s="312"/>
      <c r="M952" s="312"/>
      <c r="N952" s="312"/>
      <c r="O952" s="312"/>
      <c r="P952" s="312"/>
      <c r="Q952" s="312"/>
      <c r="R952" s="312"/>
      <c r="S952" s="312"/>
      <c r="T952" s="312"/>
      <c r="U952" s="312"/>
      <c r="V952" s="312"/>
      <c r="W952" s="312"/>
      <c r="X952" s="312"/>
      <c r="Y952" s="312"/>
      <c r="Z952" s="312"/>
      <c r="AA952" s="312"/>
      <c r="AB952" s="312"/>
      <c r="AC952" s="312"/>
      <c r="AD952" s="312"/>
      <c r="AE952" s="312"/>
      <c r="AF952" s="312"/>
      <c r="AG952" s="312"/>
      <c r="AH952" s="312"/>
      <c r="AI952" s="312"/>
      <c r="AJ952" s="312"/>
      <c r="AK952" s="312"/>
      <c r="AL952" s="312"/>
      <c r="AM952" s="312"/>
      <c r="AN952" s="312"/>
      <c r="AO952" s="312"/>
      <c r="AP952" s="312"/>
      <c r="AQ952" s="312"/>
      <c r="AR952" s="312"/>
      <c r="AS952" s="312"/>
      <c r="AT952" s="312"/>
    </row>
    <row r="953" ht="15.75" customHeight="1">
      <c r="A953" s="318"/>
      <c r="B953" s="312"/>
      <c r="C953" s="312"/>
      <c r="D953" s="312"/>
      <c r="E953" s="312"/>
      <c r="F953" s="312"/>
      <c r="G953" s="312"/>
      <c r="H953" s="312"/>
      <c r="I953" s="312"/>
      <c r="J953" s="312"/>
      <c r="K953" s="312"/>
      <c r="L953" s="312"/>
      <c r="M953" s="312"/>
      <c r="N953" s="312"/>
      <c r="O953" s="312"/>
      <c r="P953" s="312"/>
      <c r="Q953" s="312"/>
      <c r="R953" s="312"/>
      <c r="S953" s="312"/>
      <c r="T953" s="312"/>
      <c r="U953" s="312"/>
      <c r="V953" s="312"/>
      <c r="W953" s="312"/>
      <c r="X953" s="312"/>
      <c r="Y953" s="312"/>
      <c r="Z953" s="312"/>
      <c r="AA953" s="312"/>
      <c r="AB953" s="312"/>
      <c r="AC953" s="312"/>
      <c r="AD953" s="312"/>
      <c r="AE953" s="312"/>
      <c r="AF953" s="312"/>
      <c r="AG953" s="312"/>
      <c r="AH953" s="312"/>
      <c r="AI953" s="312"/>
      <c r="AJ953" s="312"/>
      <c r="AK953" s="312"/>
      <c r="AL953" s="312"/>
      <c r="AM953" s="312"/>
      <c r="AN953" s="312"/>
      <c r="AO953" s="312"/>
      <c r="AP953" s="312"/>
      <c r="AQ953" s="312"/>
      <c r="AR953" s="312"/>
      <c r="AS953" s="312"/>
      <c r="AT953" s="312"/>
    </row>
    <row r="954" ht="15.75" customHeight="1">
      <c r="A954" s="318"/>
      <c r="B954" s="312"/>
      <c r="C954" s="312"/>
      <c r="D954" s="312"/>
      <c r="E954" s="312"/>
      <c r="F954" s="312"/>
      <c r="G954" s="312"/>
      <c r="H954" s="312"/>
      <c r="I954" s="312"/>
      <c r="J954" s="312"/>
      <c r="K954" s="312"/>
      <c r="L954" s="312"/>
      <c r="M954" s="312"/>
      <c r="N954" s="312"/>
      <c r="O954" s="312"/>
      <c r="P954" s="312"/>
      <c r="Q954" s="312"/>
      <c r="R954" s="312"/>
      <c r="S954" s="312"/>
      <c r="T954" s="312"/>
      <c r="U954" s="312"/>
      <c r="V954" s="312"/>
      <c r="W954" s="312"/>
      <c r="X954" s="312"/>
      <c r="Y954" s="312"/>
      <c r="Z954" s="312"/>
      <c r="AA954" s="312"/>
      <c r="AB954" s="312"/>
      <c r="AC954" s="312"/>
      <c r="AD954" s="312"/>
      <c r="AE954" s="312"/>
      <c r="AF954" s="312"/>
      <c r="AG954" s="312"/>
      <c r="AH954" s="312"/>
      <c r="AI954" s="312"/>
      <c r="AJ954" s="312"/>
      <c r="AK954" s="312"/>
      <c r="AL954" s="312"/>
      <c r="AM954" s="312"/>
      <c r="AN954" s="312"/>
      <c r="AO954" s="312"/>
      <c r="AP954" s="312"/>
      <c r="AQ954" s="312"/>
      <c r="AR954" s="312"/>
      <c r="AS954" s="312"/>
      <c r="AT954" s="312"/>
    </row>
    <row r="955" ht="15.75" customHeight="1">
      <c r="A955" s="318"/>
      <c r="B955" s="312"/>
      <c r="C955" s="312"/>
      <c r="D955" s="312"/>
      <c r="E955" s="312"/>
      <c r="F955" s="312"/>
      <c r="G955" s="312"/>
      <c r="H955" s="312"/>
      <c r="I955" s="312"/>
      <c r="J955" s="312"/>
      <c r="K955" s="312"/>
      <c r="L955" s="312"/>
      <c r="M955" s="312"/>
      <c r="N955" s="312"/>
      <c r="O955" s="312"/>
      <c r="P955" s="312"/>
      <c r="Q955" s="312"/>
      <c r="R955" s="312"/>
      <c r="S955" s="312"/>
      <c r="T955" s="312"/>
      <c r="U955" s="312"/>
      <c r="V955" s="312"/>
      <c r="W955" s="312"/>
      <c r="X955" s="312"/>
      <c r="Y955" s="312"/>
      <c r="Z955" s="312"/>
      <c r="AA955" s="312"/>
      <c r="AB955" s="312"/>
      <c r="AC955" s="312"/>
      <c r="AD955" s="312"/>
      <c r="AE955" s="312"/>
      <c r="AF955" s="312"/>
      <c r="AG955" s="312"/>
      <c r="AH955" s="312"/>
      <c r="AI955" s="312"/>
      <c r="AJ955" s="312"/>
      <c r="AK955" s="312"/>
      <c r="AL955" s="312"/>
      <c r="AM955" s="312"/>
      <c r="AN955" s="312"/>
      <c r="AO955" s="312"/>
      <c r="AP955" s="312"/>
      <c r="AQ955" s="312"/>
      <c r="AR955" s="312"/>
      <c r="AS955" s="312"/>
      <c r="AT955" s="312"/>
    </row>
    <row r="956" ht="15.75" customHeight="1">
      <c r="A956" s="318"/>
      <c r="B956" s="312"/>
      <c r="C956" s="312"/>
      <c r="D956" s="312"/>
      <c r="E956" s="312"/>
      <c r="F956" s="312"/>
      <c r="G956" s="312"/>
      <c r="H956" s="312"/>
      <c r="I956" s="312"/>
      <c r="J956" s="312"/>
      <c r="K956" s="312"/>
      <c r="L956" s="312"/>
      <c r="M956" s="312"/>
      <c r="N956" s="312"/>
      <c r="O956" s="312"/>
      <c r="P956" s="312"/>
      <c r="Q956" s="312"/>
      <c r="R956" s="312"/>
      <c r="S956" s="312"/>
      <c r="T956" s="312"/>
      <c r="U956" s="312"/>
      <c r="V956" s="312"/>
      <c r="W956" s="312"/>
      <c r="X956" s="312"/>
      <c r="Y956" s="312"/>
      <c r="Z956" s="312"/>
      <c r="AA956" s="312"/>
      <c r="AB956" s="312"/>
      <c r="AC956" s="312"/>
      <c r="AD956" s="312"/>
      <c r="AE956" s="312"/>
      <c r="AF956" s="312"/>
      <c r="AG956" s="312"/>
      <c r="AH956" s="312"/>
      <c r="AI956" s="312"/>
      <c r="AJ956" s="312"/>
      <c r="AK956" s="312"/>
      <c r="AL956" s="312"/>
      <c r="AM956" s="312"/>
      <c r="AN956" s="312"/>
      <c r="AO956" s="312"/>
      <c r="AP956" s="312"/>
      <c r="AQ956" s="312"/>
      <c r="AR956" s="312"/>
      <c r="AS956" s="312"/>
      <c r="AT956" s="312"/>
    </row>
    <row r="957" ht="15.75" customHeight="1">
      <c r="A957" s="318"/>
      <c r="B957" s="312"/>
      <c r="C957" s="312"/>
      <c r="D957" s="312"/>
      <c r="E957" s="312"/>
      <c r="F957" s="312"/>
      <c r="G957" s="312"/>
      <c r="H957" s="312"/>
      <c r="I957" s="312"/>
      <c r="J957" s="312"/>
      <c r="K957" s="312"/>
      <c r="L957" s="312"/>
      <c r="M957" s="312"/>
      <c r="N957" s="312"/>
      <c r="O957" s="312"/>
      <c r="P957" s="312"/>
      <c r="Q957" s="312"/>
      <c r="R957" s="312"/>
      <c r="S957" s="312"/>
      <c r="T957" s="312"/>
      <c r="U957" s="312"/>
      <c r="V957" s="312"/>
      <c r="W957" s="312"/>
      <c r="X957" s="312"/>
      <c r="Y957" s="312"/>
      <c r="Z957" s="312"/>
      <c r="AA957" s="312"/>
      <c r="AB957" s="312"/>
      <c r="AC957" s="312"/>
      <c r="AD957" s="312"/>
      <c r="AE957" s="312"/>
      <c r="AF957" s="312"/>
      <c r="AG957" s="312"/>
      <c r="AH957" s="312"/>
      <c r="AI957" s="312"/>
      <c r="AJ957" s="312"/>
      <c r="AK957" s="312"/>
      <c r="AL957" s="312"/>
      <c r="AM957" s="312"/>
      <c r="AN957" s="312"/>
      <c r="AO957" s="312"/>
      <c r="AP957" s="312"/>
      <c r="AQ957" s="312"/>
      <c r="AR957" s="312"/>
      <c r="AS957" s="312"/>
      <c r="AT957" s="312"/>
    </row>
    <row r="958" ht="15.75" customHeight="1">
      <c r="A958" s="318"/>
      <c r="B958" s="312"/>
      <c r="C958" s="312"/>
      <c r="D958" s="312"/>
      <c r="E958" s="312"/>
      <c r="F958" s="312"/>
      <c r="G958" s="312"/>
      <c r="H958" s="312"/>
      <c r="I958" s="312"/>
      <c r="J958" s="312"/>
      <c r="K958" s="312"/>
      <c r="L958" s="312"/>
      <c r="M958" s="312"/>
      <c r="N958" s="312"/>
      <c r="O958" s="312"/>
      <c r="P958" s="312"/>
      <c r="Q958" s="312"/>
      <c r="R958" s="312"/>
      <c r="S958" s="312"/>
      <c r="T958" s="312"/>
      <c r="U958" s="312"/>
      <c r="V958" s="312"/>
      <c r="W958" s="312"/>
      <c r="X958" s="312"/>
      <c r="Y958" s="312"/>
      <c r="Z958" s="312"/>
      <c r="AA958" s="312"/>
      <c r="AB958" s="312"/>
      <c r="AC958" s="312"/>
      <c r="AD958" s="312"/>
      <c r="AE958" s="312"/>
      <c r="AF958" s="312"/>
      <c r="AG958" s="312"/>
      <c r="AH958" s="312"/>
      <c r="AI958" s="312"/>
      <c r="AJ958" s="312"/>
      <c r="AK958" s="312"/>
      <c r="AL958" s="312"/>
      <c r="AM958" s="312"/>
      <c r="AN958" s="312"/>
      <c r="AO958" s="312"/>
      <c r="AP958" s="312"/>
      <c r="AQ958" s="312"/>
      <c r="AR958" s="312"/>
      <c r="AS958" s="312"/>
      <c r="AT958" s="312"/>
    </row>
    <row r="959" ht="15.75" customHeight="1">
      <c r="A959" s="318"/>
      <c r="B959" s="312"/>
      <c r="C959" s="312"/>
      <c r="D959" s="312"/>
      <c r="E959" s="312"/>
      <c r="F959" s="312"/>
      <c r="G959" s="312"/>
      <c r="H959" s="312"/>
      <c r="I959" s="312"/>
      <c r="J959" s="312"/>
      <c r="K959" s="312"/>
      <c r="L959" s="312"/>
      <c r="M959" s="312"/>
      <c r="N959" s="312"/>
      <c r="O959" s="312"/>
      <c r="P959" s="312"/>
      <c r="Q959" s="312"/>
      <c r="R959" s="312"/>
      <c r="S959" s="312"/>
      <c r="T959" s="312"/>
      <c r="U959" s="312"/>
      <c r="V959" s="312"/>
      <c r="W959" s="312"/>
      <c r="X959" s="312"/>
      <c r="Y959" s="312"/>
      <c r="Z959" s="312"/>
      <c r="AA959" s="312"/>
      <c r="AB959" s="312"/>
      <c r="AC959" s="312"/>
      <c r="AD959" s="312"/>
      <c r="AE959" s="312"/>
      <c r="AF959" s="312"/>
      <c r="AG959" s="312"/>
      <c r="AH959" s="312"/>
      <c r="AI959" s="312"/>
      <c r="AJ959" s="312"/>
      <c r="AK959" s="312"/>
      <c r="AL959" s="312"/>
      <c r="AM959" s="312"/>
      <c r="AN959" s="312"/>
      <c r="AO959" s="312"/>
      <c r="AP959" s="312"/>
      <c r="AQ959" s="312"/>
      <c r="AR959" s="312"/>
      <c r="AS959" s="312"/>
      <c r="AT959" s="312"/>
    </row>
    <row r="960" ht="15.75" customHeight="1">
      <c r="A960" s="318"/>
      <c r="B960" s="312"/>
      <c r="C960" s="312"/>
      <c r="D960" s="312"/>
      <c r="E960" s="312"/>
      <c r="F960" s="312"/>
      <c r="G960" s="312"/>
      <c r="H960" s="312"/>
      <c r="I960" s="312"/>
      <c r="J960" s="312"/>
      <c r="K960" s="312"/>
      <c r="L960" s="312"/>
      <c r="M960" s="312"/>
      <c r="N960" s="312"/>
      <c r="O960" s="312"/>
      <c r="P960" s="312"/>
      <c r="Q960" s="312"/>
      <c r="R960" s="312"/>
      <c r="S960" s="312"/>
      <c r="T960" s="312"/>
      <c r="U960" s="312"/>
      <c r="V960" s="312"/>
      <c r="W960" s="312"/>
      <c r="X960" s="312"/>
      <c r="Y960" s="312"/>
      <c r="Z960" s="312"/>
      <c r="AA960" s="312"/>
      <c r="AB960" s="312"/>
      <c r="AC960" s="312"/>
      <c r="AD960" s="312"/>
      <c r="AE960" s="312"/>
      <c r="AF960" s="312"/>
      <c r="AG960" s="312"/>
      <c r="AH960" s="312"/>
      <c r="AI960" s="312"/>
      <c r="AJ960" s="312"/>
      <c r="AK960" s="312"/>
      <c r="AL960" s="312"/>
      <c r="AM960" s="312"/>
      <c r="AN960" s="312"/>
      <c r="AO960" s="312"/>
      <c r="AP960" s="312"/>
      <c r="AQ960" s="312"/>
      <c r="AR960" s="312"/>
      <c r="AS960" s="312"/>
      <c r="AT960" s="312"/>
    </row>
    <row r="961" ht="15.75" customHeight="1">
      <c r="A961" s="318"/>
      <c r="B961" s="312"/>
      <c r="C961" s="312"/>
      <c r="D961" s="312"/>
      <c r="E961" s="312"/>
      <c r="F961" s="312"/>
      <c r="G961" s="312"/>
      <c r="H961" s="312"/>
      <c r="I961" s="312"/>
      <c r="J961" s="312"/>
      <c r="K961" s="312"/>
      <c r="L961" s="312"/>
      <c r="M961" s="312"/>
      <c r="N961" s="312"/>
      <c r="O961" s="312"/>
      <c r="P961" s="312"/>
      <c r="Q961" s="312"/>
      <c r="R961" s="312"/>
      <c r="S961" s="312"/>
      <c r="T961" s="312"/>
      <c r="U961" s="312"/>
      <c r="V961" s="312"/>
      <c r="W961" s="312"/>
      <c r="X961" s="312"/>
      <c r="Y961" s="312"/>
      <c r="Z961" s="312"/>
      <c r="AA961" s="312"/>
      <c r="AB961" s="312"/>
      <c r="AC961" s="312"/>
      <c r="AD961" s="312"/>
      <c r="AE961" s="312"/>
      <c r="AF961" s="312"/>
      <c r="AG961" s="312"/>
      <c r="AH961" s="312"/>
      <c r="AI961" s="312"/>
      <c r="AJ961" s="312"/>
      <c r="AK961" s="312"/>
      <c r="AL961" s="312"/>
      <c r="AM961" s="312"/>
      <c r="AN961" s="312"/>
      <c r="AO961" s="312"/>
      <c r="AP961" s="312"/>
      <c r="AQ961" s="312"/>
      <c r="AR961" s="312"/>
      <c r="AS961" s="312"/>
      <c r="AT961" s="312"/>
    </row>
    <row r="962" ht="15.75" customHeight="1">
      <c r="A962" s="318"/>
      <c r="B962" s="312"/>
      <c r="C962" s="312"/>
      <c r="D962" s="312"/>
      <c r="E962" s="312"/>
      <c r="F962" s="312"/>
      <c r="G962" s="312"/>
      <c r="H962" s="312"/>
      <c r="I962" s="312"/>
      <c r="J962" s="312"/>
      <c r="K962" s="312"/>
      <c r="L962" s="312"/>
      <c r="M962" s="312"/>
      <c r="N962" s="312"/>
      <c r="O962" s="312"/>
      <c r="P962" s="312"/>
      <c r="Q962" s="312"/>
      <c r="R962" s="312"/>
      <c r="S962" s="312"/>
      <c r="T962" s="312"/>
      <c r="U962" s="312"/>
      <c r="V962" s="312"/>
      <c r="W962" s="312"/>
      <c r="X962" s="312"/>
      <c r="Y962" s="312"/>
      <c r="Z962" s="312"/>
      <c r="AA962" s="312"/>
      <c r="AB962" s="312"/>
      <c r="AC962" s="312"/>
      <c r="AD962" s="312"/>
      <c r="AE962" s="312"/>
      <c r="AF962" s="312"/>
      <c r="AG962" s="312"/>
      <c r="AH962" s="312"/>
      <c r="AI962" s="312"/>
      <c r="AJ962" s="312"/>
      <c r="AK962" s="312"/>
      <c r="AL962" s="312"/>
      <c r="AM962" s="312"/>
      <c r="AN962" s="312"/>
      <c r="AO962" s="312"/>
      <c r="AP962" s="312"/>
      <c r="AQ962" s="312"/>
      <c r="AR962" s="312"/>
      <c r="AS962" s="312"/>
      <c r="AT962" s="312"/>
    </row>
    <row r="963" ht="15.75" customHeight="1">
      <c r="A963" s="318"/>
      <c r="B963" s="312"/>
      <c r="C963" s="312"/>
      <c r="D963" s="312"/>
      <c r="E963" s="312"/>
      <c r="F963" s="312"/>
      <c r="G963" s="312"/>
      <c r="H963" s="312"/>
      <c r="I963" s="312"/>
      <c r="J963" s="312"/>
      <c r="K963" s="312"/>
      <c r="L963" s="312"/>
      <c r="M963" s="312"/>
      <c r="N963" s="312"/>
      <c r="O963" s="312"/>
      <c r="P963" s="312"/>
      <c r="Q963" s="312"/>
      <c r="R963" s="312"/>
      <c r="S963" s="312"/>
      <c r="T963" s="312"/>
      <c r="U963" s="312"/>
      <c r="V963" s="312"/>
      <c r="W963" s="312"/>
      <c r="X963" s="312"/>
      <c r="Y963" s="312"/>
      <c r="Z963" s="312"/>
      <c r="AA963" s="312"/>
      <c r="AB963" s="312"/>
      <c r="AC963" s="312"/>
      <c r="AD963" s="312"/>
      <c r="AE963" s="312"/>
      <c r="AF963" s="312"/>
      <c r="AG963" s="312"/>
      <c r="AH963" s="312"/>
      <c r="AI963" s="312"/>
      <c r="AJ963" s="312"/>
      <c r="AK963" s="312"/>
      <c r="AL963" s="312"/>
      <c r="AM963" s="312"/>
      <c r="AN963" s="312"/>
      <c r="AO963" s="312"/>
      <c r="AP963" s="312"/>
      <c r="AQ963" s="312"/>
      <c r="AR963" s="312"/>
      <c r="AS963" s="312"/>
      <c r="AT963" s="312"/>
    </row>
    <row r="964" ht="15.75" customHeight="1">
      <c r="A964" s="318"/>
      <c r="B964" s="312"/>
      <c r="C964" s="312"/>
      <c r="D964" s="312"/>
      <c r="E964" s="312"/>
      <c r="F964" s="312"/>
      <c r="G964" s="312"/>
      <c r="H964" s="312"/>
      <c r="I964" s="312"/>
      <c r="J964" s="312"/>
      <c r="K964" s="312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12"/>
      <c r="AD964" s="312"/>
      <c r="AE964" s="312"/>
      <c r="AF964" s="312"/>
      <c r="AG964" s="312"/>
      <c r="AH964" s="312"/>
      <c r="AI964" s="312"/>
      <c r="AJ964" s="312"/>
      <c r="AK964" s="312"/>
      <c r="AL964" s="312"/>
      <c r="AM964" s="312"/>
      <c r="AN964" s="312"/>
      <c r="AO964" s="312"/>
      <c r="AP964" s="312"/>
      <c r="AQ964" s="312"/>
      <c r="AR964" s="312"/>
      <c r="AS964" s="312"/>
      <c r="AT964" s="312"/>
    </row>
    <row r="965" ht="15.75" customHeight="1">
      <c r="A965" s="318"/>
      <c r="B965" s="312"/>
      <c r="C965" s="312"/>
      <c r="D965" s="312"/>
      <c r="E965" s="312"/>
      <c r="F965" s="312"/>
      <c r="G965" s="312"/>
      <c r="H965" s="312"/>
      <c r="I965" s="312"/>
      <c r="J965" s="312"/>
      <c r="K965" s="312"/>
      <c r="L965" s="312"/>
      <c r="M965" s="312"/>
      <c r="N965" s="312"/>
      <c r="O965" s="312"/>
      <c r="P965" s="312"/>
      <c r="Q965" s="312"/>
      <c r="R965" s="312"/>
      <c r="S965" s="312"/>
      <c r="T965" s="312"/>
      <c r="U965" s="312"/>
      <c r="V965" s="312"/>
      <c r="W965" s="312"/>
      <c r="X965" s="312"/>
      <c r="Y965" s="312"/>
      <c r="Z965" s="312"/>
      <c r="AA965" s="312"/>
      <c r="AB965" s="312"/>
      <c r="AC965" s="312"/>
      <c r="AD965" s="312"/>
      <c r="AE965" s="312"/>
      <c r="AF965" s="312"/>
      <c r="AG965" s="312"/>
      <c r="AH965" s="312"/>
      <c r="AI965" s="312"/>
      <c r="AJ965" s="312"/>
      <c r="AK965" s="312"/>
      <c r="AL965" s="312"/>
      <c r="AM965" s="312"/>
      <c r="AN965" s="312"/>
      <c r="AO965" s="312"/>
      <c r="AP965" s="312"/>
      <c r="AQ965" s="312"/>
      <c r="AR965" s="312"/>
      <c r="AS965" s="312"/>
      <c r="AT965" s="312"/>
    </row>
    <row r="966" ht="15.75" customHeight="1">
      <c r="A966" s="318"/>
      <c r="B966" s="312"/>
      <c r="C966" s="312"/>
      <c r="D966" s="312"/>
      <c r="E966" s="312"/>
      <c r="F966" s="312"/>
      <c r="G966" s="312"/>
      <c r="H966" s="312"/>
      <c r="I966" s="312"/>
      <c r="J966" s="312"/>
      <c r="K966" s="312"/>
      <c r="L966" s="312"/>
      <c r="M966" s="312"/>
      <c r="N966" s="312"/>
      <c r="O966" s="312"/>
      <c r="P966" s="312"/>
      <c r="Q966" s="312"/>
      <c r="R966" s="312"/>
      <c r="S966" s="312"/>
      <c r="T966" s="312"/>
      <c r="U966" s="312"/>
      <c r="V966" s="312"/>
      <c r="W966" s="312"/>
      <c r="X966" s="312"/>
      <c r="Y966" s="312"/>
      <c r="Z966" s="312"/>
      <c r="AA966" s="312"/>
      <c r="AB966" s="312"/>
      <c r="AC966" s="312"/>
      <c r="AD966" s="312"/>
      <c r="AE966" s="312"/>
      <c r="AF966" s="312"/>
      <c r="AG966" s="312"/>
      <c r="AH966" s="312"/>
      <c r="AI966" s="312"/>
      <c r="AJ966" s="312"/>
      <c r="AK966" s="312"/>
      <c r="AL966" s="312"/>
      <c r="AM966" s="312"/>
      <c r="AN966" s="312"/>
      <c r="AO966" s="312"/>
      <c r="AP966" s="312"/>
      <c r="AQ966" s="312"/>
      <c r="AR966" s="312"/>
      <c r="AS966" s="312"/>
      <c r="AT966" s="312"/>
    </row>
    <row r="967" ht="15.75" customHeight="1">
      <c r="A967" s="318"/>
      <c r="B967" s="312"/>
      <c r="C967" s="312"/>
      <c r="D967" s="312"/>
      <c r="E967" s="312"/>
      <c r="F967" s="312"/>
      <c r="G967" s="312"/>
      <c r="H967" s="312"/>
      <c r="I967" s="312"/>
      <c r="J967" s="312"/>
      <c r="K967" s="312"/>
      <c r="L967" s="312"/>
      <c r="M967" s="312"/>
      <c r="N967" s="312"/>
      <c r="O967" s="312"/>
      <c r="P967" s="312"/>
      <c r="Q967" s="312"/>
      <c r="R967" s="312"/>
      <c r="S967" s="312"/>
      <c r="T967" s="312"/>
      <c r="U967" s="312"/>
      <c r="V967" s="312"/>
      <c r="W967" s="312"/>
      <c r="X967" s="312"/>
      <c r="Y967" s="312"/>
      <c r="Z967" s="312"/>
      <c r="AA967" s="312"/>
      <c r="AB967" s="312"/>
      <c r="AC967" s="312"/>
      <c r="AD967" s="312"/>
      <c r="AE967" s="312"/>
      <c r="AF967" s="312"/>
      <c r="AG967" s="312"/>
      <c r="AH967" s="312"/>
      <c r="AI967" s="312"/>
      <c r="AJ967" s="312"/>
      <c r="AK967" s="312"/>
      <c r="AL967" s="312"/>
      <c r="AM967" s="312"/>
      <c r="AN967" s="312"/>
      <c r="AO967" s="312"/>
      <c r="AP967" s="312"/>
      <c r="AQ967" s="312"/>
      <c r="AR967" s="312"/>
      <c r="AS967" s="312"/>
      <c r="AT967" s="312"/>
    </row>
    <row r="968" ht="15.75" customHeight="1">
      <c r="A968" s="318"/>
      <c r="B968" s="312"/>
      <c r="C968" s="312"/>
      <c r="D968" s="312"/>
      <c r="E968" s="312"/>
      <c r="F968" s="312"/>
      <c r="G968" s="312"/>
      <c r="H968" s="312"/>
      <c r="I968" s="312"/>
      <c r="J968" s="312"/>
      <c r="K968" s="312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12"/>
      <c r="AD968" s="312"/>
      <c r="AE968" s="312"/>
      <c r="AF968" s="312"/>
      <c r="AG968" s="312"/>
      <c r="AH968" s="312"/>
      <c r="AI968" s="312"/>
      <c r="AJ968" s="312"/>
      <c r="AK968" s="312"/>
      <c r="AL968" s="312"/>
      <c r="AM968" s="312"/>
      <c r="AN968" s="312"/>
      <c r="AO968" s="312"/>
      <c r="AP968" s="312"/>
      <c r="AQ968" s="312"/>
      <c r="AR968" s="312"/>
      <c r="AS968" s="312"/>
      <c r="AT968" s="312"/>
    </row>
    <row r="969" ht="15.75" customHeight="1">
      <c r="A969" s="318"/>
      <c r="B969" s="312"/>
      <c r="C969" s="312"/>
      <c r="D969" s="312"/>
      <c r="E969" s="312"/>
      <c r="F969" s="312"/>
      <c r="G969" s="312"/>
      <c r="H969" s="312"/>
      <c r="I969" s="312"/>
      <c r="J969" s="312"/>
      <c r="K969" s="312"/>
      <c r="L969" s="312"/>
      <c r="M969" s="312"/>
      <c r="N969" s="312"/>
      <c r="O969" s="312"/>
      <c r="P969" s="312"/>
      <c r="Q969" s="312"/>
      <c r="R969" s="312"/>
      <c r="S969" s="312"/>
      <c r="T969" s="312"/>
      <c r="U969" s="312"/>
      <c r="V969" s="312"/>
      <c r="W969" s="312"/>
      <c r="X969" s="312"/>
      <c r="Y969" s="312"/>
      <c r="Z969" s="312"/>
      <c r="AA969" s="312"/>
      <c r="AB969" s="312"/>
      <c r="AC969" s="312"/>
      <c r="AD969" s="312"/>
      <c r="AE969" s="312"/>
      <c r="AF969" s="312"/>
      <c r="AG969" s="312"/>
      <c r="AH969" s="312"/>
      <c r="AI969" s="312"/>
      <c r="AJ969" s="312"/>
      <c r="AK969" s="312"/>
      <c r="AL969" s="312"/>
      <c r="AM969" s="312"/>
      <c r="AN969" s="312"/>
      <c r="AO969" s="312"/>
      <c r="AP969" s="312"/>
      <c r="AQ969" s="312"/>
      <c r="AR969" s="312"/>
      <c r="AS969" s="312"/>
      <c r="AT969" s="312"/>
    </row>
    <row r="970" ht="15.75" customHeight="1">
      <c r="A970" s="318"/>
      <c r="B970" s="312"/>
      <c r="C970" s="312"/>
      <c r="D970" s="312"/>
      <c r="E970" s="312"/>
      <c r="F970" s="312"/>
      <c r="G970" s="312"/>
      <c r="H970" s="312"/>
      <c r="I970" s="312"/>
      <c r="J970" s="312"/>
      <c r="K970" s="312"/>
      <c r="L970" s="312"/>
      <c r="M970" s="312"/>
      <c r="N970" s="312"/>
      <c r="O970" s="312"/>
      <c r="P970" s="312"/>
      <c r="Q970" s="312"/>
      <c r="R970" s="312"/>
      <c r="S970" s="312"/>
      <c r="T970" s="312"/>
      <c r="U970" s="312"/>
      <c r="V970" s="312"/>
      <c r="W970" s="312"/>
      <c r="X970" s="312"/>
      <c r="Y970" s="312"/>
      <c r="Z970" s="312"/>
      <c r="AA970" s="312"/>
      <c r="AB970" s="312"/>
      <c r="AC970" s="312"/>
      <c r="AD970" s="312"/>
      <c r="AE970" s="312"/>
      <c r="AF970" s="312"/>
      <c r="AG970" s="312"/>
      <c r="AH970" s="312"/>
      <c r="AI970" s="312"/>
      <c r="AJ970" s="312"/>
      <c r="AK970" s="312"/>
      <c r="AL970" s="312"/>
      <c r="AM970" s="312"/>
      <c r="AN970" s="312"/>
      <c r="AO970" s="312"/>
      <c r="AP970" s="312"/>
      <c r="AQ970" s="312"/>
      <c r="AR970" s="312"/>
      <c r="AS970" s="312"/>
      <c r="AT970" s="312"/>
    </row>
    <row r="971" ht="15.75" customHeight="1">
      <c r="A971" s="318"/>
      <c r="B971" s="312"/>
      <c r="C971" s="312"/>
      <c r="D971" s="312"/>
      <c r="E971" s="312"/>
      <c r="F971" s="312"/>
      <c r="G971" s="312"/>
      <c r="H971" s="312"/>
      <c r="I971" s="312"/>
      <c r="J971" s="312"/>
      <c r="K971" s="312"/>
      <c r="L971" s="312"/>
      <c r="M971" s="312"/>
      <c r="N971" s="312"/>
      <c r="O971" s="312"/>
      <c r="P971" s="312"/>
      <c r="Q971" s="312"/>
      <c r="R971" s="312"/>
      <c r="S971" s="312"/>
      <c r="T971" s="312"/>
      <c r="U971" s="312"/>
      <c r="V971" s="312"/>
      <c r="W971" s="312"/>
      <c r="X971" s="312"/>
      <c r="Y971" s="312"/>
      <c r="Z971" s="312"/>
      <c r="AA971" s="312"/>
      <c r="AB971" s="312"/>
      <c r="AC971" s="312"/>
      <c r="AD971" s="312"/>
      <c r="AE971" s="312"/>
      <c r="AF971" s="312"/>
      <c r="AG971" s="312"/>
      <c r="AH971" s="312"/>
      <c r="AI971" s="312"/>
      <c r="AJ971" s="312"/>
      <c r="AK971" s="312"/>
      <c r="AL971" s="312"/>
      <c r="AM971" s="312"/>
      <c r="AN971" s="312"/>
      <c r="AO971" s="312"/>
      <c r="AP971" s="312"/>
      <c r="AQ971" s="312"/>
      <c r="AR971" s="312"/>
      <c r="AS971" s="312"/>
      <c r="AT971" s="312"/>
    </row>
    <row r="972" ht="15.75" customHeight="1">
      <c r="A972" s="318"/>
      <c r="B972" s="312"/>
      <c r="C972" s="312"/>
      <c r="D972" s="312"/>
      <c r="E972" s="312"/>
      <c r="F972" s="312"/>
      <c r="G972" s="312"/>
      <c r="H972" s="312"/>
      <c r="I972" s="312"/>
      <c r="J972" s="312"/>
      <c r="K972" s="312"/>
      <c r="L972" s="312"/>
      <c r="M972" s="312"/>
      <c r="N972" s="312"/>
      <c r="O972" s="312"/>
      <c r="P972" s="312"/>
      <c r="Q972" s="312"/>
      <c r="R972" s="312"/>
      <c r="S972" s="312"/>
      <c r="T972" s="312"/>
      <c r="U972" s="312"/>
      <c r="V972" s="312"/>
      <c r="W972" s="312"/>
      <c r="X972" s="312"/>
      <c r="Y972" s="312"/>
      <c r="Z972" s="312"/>
      <c r="AA972" s="312"/>
      <c r="AB972" s="312"/>
      <c r="AC972" s="312"/>
      <c r="AD972" s="312"/>
      <c r="AE972" s="312"/>
      <c r="AF972" s="312"/>
      <c r="AG972" s="312"/>
      <c r="AH972" s="312"/>
      <c r="AI972" s="312"/>
      <c r="AJ972" s="312"/>
      <c r="AK972" s="312"/>
      <c r="AL972" s="312"/>
      <c r="AM972" s="312"/>
      <c r="AN972" s="312"/>
      <c r="AO972" s="312"/>
      <c r="AP972" s="312"/>
      <c r="AQ972" s="312"/>
      <c r="AR972" s="312"/>
      <c r="AS972" s="312"/>
      <c r="AT972" s="312"/>
    </row>
    <row r="973" ht="15.75" customHeight="1">
      <c r="A973" s="318"/>
      <c r="B973" s="312"/>
      <c r="C973" s="312"/>
      <c r="D973" s="312"/>
      <c r="E973" s="312"/>
      <c r="F973" s="312"/>
      <c r="G973" s="312"/>
      <c r="H973" s="312"/>
      <c r="I973" s="312"/>
      <c r="J973" s="312"/>
      <c r="K973" s="312"/>
      <c r="L973" s="312"/>
      <c r="M973" s="312"/>
      <c r="N973" s="312"/>
      <c r="O973" s="312"/>
      <c r="P973" s="312"/>
      <c r="Q973" s="312"/>
      <c r="R973" s="312"/>
      <c r="S973" s="312"/>
      <c r="T973" s="312"/>
      <c r="U973" s="312"/>
      <c r="V973" s="312"/>
      <c r="W973" s="312"/>
      <c r="X973" s="312"/>
      <c r="Y973" s="312"/>
      <c r="Z973" s="312"/>
      <c r="AA973" s="312"/>
      <c r="AB973" s="312"/>
      <c r="AC973" s="312"/>
      <c r="AD973" s="312"/>
      <c r="AE973" s="312"/>
      <c r="AF973" s="312"/>
      <c r="AG973" s="312"/>
      <c r="AH973" s="312"/>
      <c r="AI973" s="312"/>
      <c r="AJ973" s="312"/>
      <c r="AK973" s="312"/>
      <c r="AL973" s="312"/>
      <c r="AM973" s="312"/>
      <c r="AN973" s="312"/>
      <c r="AO973" s="312"/>
      <c r="AP973" s="312"/>
      <c r="AQ973" s="312"/>
      <c r="AR973" s="312"/>
      <c r="AS973" s="312"/>
      <c r="AT973" s="312"/>
    </row>
    <row r="974" ht="15.75" customHeight="1">
      <c r="A974" s="318"/>
      <c r="B974" s="312"/>
      <c r="C974" s="312"/>
      <c r="D974" s="312"/>
      <c r="E974" s="312"/>
      <c r="F974" s="312"/>
      <c r="G974" s="312"/>
      <c r="H974" s="312"/>
      <c r="I974" s="312"/>
      <c r="J974" s="312"/>
      <c r="K974" s="312"/>
      <c r="L974" s="312"/>
      <c r="M974" s="312"/>
      <c r="N974" s="312"/>
      <c r="O974" s="312"/>
      <c r="P974" s="312"/>
      <c r="Q974" s="312"/>
      <c r="R974" s="312"/>
      <c r="S974" s="312"/>
      <c r="T974" s="312"/>
      <c r="U974" s="312"/>
      <c r="V974" s="312"/>
      <c r="W974" s="312"/>
      <c r="X974" s="312"/>
      <c r="Y974" s="312"/>
      <c r="Z974" s="312"/>
      <c r="AA974" s="312"/>
      <c r="AB974" s="312"/>
      <c r="AC974" s="312"/>
      <c r="AD974" s="312"/>
      <c r="AE974" s="312"/>
      <c r="AF974" s="312"/>
      <c r="AG974" s="312"/>
      <c r="AH974" s="312"/>
      <c r="AI974" s="312"/>
      <c r="AJ974" s="312"/>
      <c r="AK974" s="312"/>
      <c r="AL974" s="312"/>
      <c r="AM974" s="312"/>
      <c r="AN974" s="312"/>
      <c r="AO974" s="312"/>
      <c r="AP974" s="312"/>
      <c r="AQ974" s="312"/>
      <c r="AR974" s="312"/>
      <c r="AS974" s="312"/>
      <c r="AT974" s="312"/>
    </row>
    <row r="975" ht="15.75" customHeight="1">
      <c r="A975" s="318"/>
      <c r="B975" s="312"/>
      <c r="C975" s="312"/>
      <c r="D975" s="312"/>
      <c r="E975" s="312"/>
      <c r="F975" s="312"/>
      <c r="G975" s="312"/>
      <c r="H975" s="312"/>
      <c r="I975" s="312"/>
      <c r="J975" s="312"/>
      <c r="K975" s="312"/>
      <c r="L975" s="312"/>
      <c r="M975" s="312"/>
      <c r="N975" s="312"/>
      <c r="O975" s="312"/>
      <c r="P975" s="312"/>
      <c r="Q975" s="312"/>
      <c r="R975" s="312"/>
      <c r="S975" s="312"/>
      <c r="T975" s="312"/>
      <c r="U975" s="312"/>
      <c r="V975" s="312"/>
      <c r="W975" s="312"/>
      <c r="X975" s="312"/>
      <c r="Y975" s="312"/>
      <c r="Z975" s="312"/>
      <c r="AA975" s="312"/>
      <c r="AB975" s="312"/>
      <c r="AC975" s="312"/>
      <c r="AD975" s="312"/>
      <c r="AE975" s="312"/>
      <c r="AF975" s="312"/>
      <c r="AG975" s="312"/>
      <c r="AH975" s="312"/>
      <c r="AI975" s="312"/>
      <c r="AJ975" s="312"/>
      <c r="AK975" s="312"/>
      <c r="AL975" s="312"/>
      <c r="AM975" s="312"/>
      <c r="AN975" s="312"/>
      <c r="AO975" s="312"/>
      <c r="AP975" s="312"/>
      <c r="AQ975" s="312"/>
      <c r="AR975" s="312"/>
      <c r="AS975" s="312"/>
      <c r="AT975" s="312"/>
    </row>
    <row r="976" ht="15.75" customHeight="1">
      <c r="A976" s="318"/>
      <c r="B976" s="312"/>
      <c r="C976" s="312"/>
      <c r="D976" s="312"/>
      <c r="E976" s="312"/>
      <c r="F976" s="312"/>
      <c r="G976" s="312"/>
      <c r="H976" s="312"/>
      <c r="I976" s="312"/>
      <c r="J976" s="312"/>
      <c r="K976" s="312"/>
      <c r="L976" s="312"/>
      <c r="M976" s="312"/>
      <c r="N976" s="312"/>
      <c r="O976" s="312"/>
      <c r="P976" s="312"/>
      <c r="Q976" s="312"/>
      <c r="R976" s="312"/>
      <c r="S976" s="312"/>
      <c r="T976" s="312"/>
      <c r="U976" s="312"/>
      <c r="V976" s="312"/>
      <c r="W976" s="312"/>
      <c r="X976" s="312"/>
      <c r="Y976" s="312"/>
      <c r="Z976" s="312"/>
      <c r="AA976" s="312"/>
      <c r="AB976" s="312"/>
      <c r="AC976" s="312"/>
      <c r="AD976" s="312"/>
      <c r="AE976" s="312"/>
      <c r="AF976" s="312"/>
      <c r="AG976" s="312"/>
      <c r="AH976" s="312"/>
      <c r="AI976" s="312"/>
      <c r="AJ976" s="312"/>
      <c r="AK976" s="312"/>
      <c r="AL976" s="312"/>
      <c r="AM976" s="312"/>
      <c r="AN976" s="312"/>
      <c r="AO976" s="312"/>
      <c r="AP976" s="312"/>
      <c r="AQ976" s="312"/>
      <c r="AR976" s="312"/>
      <c r="AS976" s="312"/>
      <c r="AT976" s="312"/>
    </row>
    <row r="977" ht="15.75" customHeight="1">
      <c r="A977" s="318"/>
      <c r="B977" s="312"/>
      <c r="C977" s="312"/>
      <c r="D977" s="312"/>
      <c r="E977" s="312"/>
      <c r="F977" s="312"/>
      <c r="G977" s="312"/>
      <c r="H977" s="312"/>
      <c r="I977" s="312"/>
      <c r="J977" s="312"/>
      <c r="K977" s="312"/>
      <c r="L977" s="312"/>
      <c r="M977" s="312"/>
      <c r="N977" s="312"/>
      <c r="O977" s="312"/>
      <c r="P977" s="312"/>
      <c r="Q977" s="312"/>
      <c r="R977" s="312"/>
      <c r="S977" s="312"/>
      <c r="T977" s="312"/>
      <c r="U977" s="312"/>
      <c r="V977" s="312"/>
      <c r="W977" s="312"/>
      <c r="X977" s="312"/>
      <c r="Y977" s="312"/>
      <c r="Z977" s="312"/>
      <c r="AA977" s="312"/>
      <c r="AB977" s="312"/>
      <c r="AC977" s="312"/>
      <c r="AD977" s="312"/>
      <c r="AE977" s="312"/>
      <c r="AF977" s="312"/>
      <c r="AG977" s="312"/>
      <c r="AH977" s="312"/>
      <c r="AI977" s="312"/>
      <c r="AJ977" s="312"/>
      <c r="AK977" s="312"/>
      <c r="AL977" s="312"/>
      <c r="AM977" s="312"/>
      <c r="AN977" s="312"/>
      <c r="AO977" s="312"/>
      <c r="AP977" s="312"/>
      <c r="AQ977" s="312"/>
      <c r="AR977" s="312"/>
      <c r="AS977" s="312"/>
      <c r="AT977" s="312"/>
    </row>
    <row r="978" ht="15.75" customHeight="1">
      <c r="A978" s="318"/>
      <c r="B978" s="312"/>
      <c r="C978" s="312"/>
      <c r="D978" s="312"/>
      <c r="E978" s="312"/>
      <c r="F978" s="312"/>
      <c r="G978" s="312"/>
      <c r="H978" s="312"/>
      <c r="I978" s="312"/>
      <c r="J978" s="312"/>
      <c r="K978" s="312"/>
      <c r="L978" s="312"/>
      <c r="M978" s="312"/>
      <c r="N978" s="312"/>
      <c r="O978" s="312"/>
      <c r="P978" s="312"/>
      <c r="Q978" s="312"/>
      <c r="R978" s="312"/>
      <c r="S978" s="312"/>
      <c r="T978" s="312"/>
      <c r="U978" s="312"/>
      <c r="V978" s="312"/>
      <c r="W978" s="312"/>
      <c r="X978" s="312"/>
      <c r="Y978" s="312"/>
      <c r="Z978" s="312"/>
      <c r="AA978" s="312"/>
      <c r="AB978" s="312"/>
      <c r="AC978" s="312"/>
      <c r="AD978" s="312"/>
      <c r="AE978" s="312"/>
      <c r="AF978" s="312"/>
      <c r="AG978" s="312"/>
      <c r="AH978" s="312"/>
      <c r="AI978" s="312"/>
      <c r="AJ978" s="312"/>
      <c r="AK978" s="312"/>
      <c r="AL978" s="312"/>
      <c r="AM978" s="312"/>
      <c r="AN978" s="312"/>
      <c r="AO978" s="312"/>
      <c r="AP978" s="312"/>
      <c r="AQ978" s="312"/>
      <c r="AR978" s="312"/>
      <c r="AS978" s="312"/>
      <c r="AT978" s="312"/>
    </row>
    <row r="979" ht="15.75" customHeight="1">
      <c r="A979" s="318"/>
      <c r="B979" s="312"/>
      <c r="C979" s="312"/>
      <c r="D979" s="312"/>
      <c r="E979" s="312"/>
      <c r="F979" s="312"/>
      <c r="G979" s="312"/>
      <c r="H979" s="312"/>
      <c r="I979" s="312"/>
      <c r="J979" s="312"/>
      <c r="K979" s="312"/>
      <c r="L979" s="312"/>
      <c r="M979" s="312"/>
      <c r="N979" s="312"/>
      <c r="O979" s="312"/>
      <c r="P979" s="312"/>
      <c r="Q979" s="312"/>
      <c r="R979" s="312"/>
      <c r="S979" s="312"/>
      <c r="T979" s="312"/>
      <c r="U979" s="312"/>
      <c r="V979" s="312"/>
      <c r="W979" s="312"/>
      <c r="X979" s="312"/>
      <c r="Y979" s="312"/>
      <c r="Z979" s="312"/>
      <c r="AA979" s="312"/>
      <c r="AB979" s="312"/>
      <c r="AC979" s="312"/>
      <c r="AD979" s="312"/>
      <c r="AE979" s="312"/>
      <c r="AF979" s="312"/>
      <c r="AG979" s="312"/>
      <c r="AH979" s="312"/>
      <c r="AI979" s="312"/>
      <c r="AJ979" s="312"/>
      <c r="AK979" s="312"/>
      <c r="AL979" s="312"/>
      <c r="AM979" s="312"/>
      <c r="AN979" s="312"/>
      <c r="AO979" s="312"/>
      <c r="AP979" s="312"/>
      <c r="AQ979" s="312"/>
      <c r="AR979" s="312"/>
      <c r="AS979" s="312"/>
      <c r="AT979" s="312"/>
    </row>
    <row r="980" ht="15.75" customHeight="1">
      <c r="A980" s="318"/>
      <c r="B980" s="312"/>
      <c r="C980" s="312"/>
      <c r="D980" s="312"/>
      <c r="E980" s="312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  <c r="AP980" s="312"/>
      <c r="AQ980" s="312"/>
      <c r="AR980" s="312"/>
      <c r="AS980" s="312"/>
      <c r="AT980" s="312"/>
    </row>
    <row r="981" ht="15.75" customHeight="1">
      <c r="A981" s="318"/>
      <c r="B981" s="312"/>
      <c r="C981" s="312"/>
      <c r="D981" s="312"/>
      <c r="E981" s="312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  <c r="AP981" s="312"/>
      <c r="AQ981" s="312"/>
      <c r="AR981" s="312"/>
      <c r="AS981" s="312"/>
      <c r="AT981" s="312"/>
    </row>
    <row r="982" ht="15.75" customHeight="1">
      <c r="A982" s="318"/>
      <c r="B982" s="312"/>
      <c r="C982" s="312"/>
      <c r="D982" s="312"/>
      <c r="E982" s="312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  <c r="AP982" s="312"/>
      <c r="AQ982" s="312"/>
      <c r="AR982" s="312"/>
      <c r="AS982" s="312"/>
      <c r="AT982" s="312"/>
    </row>
    <row r="983" ht="15.75" customHeight="1">
      <c r="A983" s="318"/>
      <c r="B983" s="312"/>
      <c r="C983" s="312"/>
      <c r="D983" s="312"/>
      <c r="E983" s="312"/>
      <c r="F983" s="312"/>
      <c r="G983" s="312"/>
      <c r="H983" s="312"/>
      <c r="I983" s="312"/>
      <c r="J983" s="312"/>
      <c r="K983" s="312"/>
      <c r="L983" s="312"/>
      <c r="M983" s="312"/>
      <c r="N983" s="312"/>
      <c r="O983" s="312"/>
      <c r="P983" s="312"/>
      <c r="Q983" s="312"/>
      <c r="R983" s="312"/>
      <c r="S983" s="312"/>
      <c r="T983" s="312"/>
      <c r="U983" s="312"/>
      <c r="V983" s="312"/>
      <c r="W983" s="312"/>
      <c r="X983" s="312"/>
      <c r="Y983" s="312"/>
      <c r="Z983" s="312"/>
      <c r="AA983" s="312"/>
      <c r="AB983" s="312"/>
      <c r="AC983" s="312"/>
      <c r="AD983" s="312"/>
      <c r="AE983" s="312"/>
      <c r="AF983" s="312"/>
      <c r="AG983" s="312"/>
      <c r="AH983" s="312"/>
      <c r="AI983" s="312"/>
      <c r="AJ983" s="312"/>
      <c r="AK983" s="312"/>
      <c r="AL983" s="312"/>
      <c r="AM983" s="312"/>
      <c r="AN983" s="312"/>
      <c r="AO983" s="312"/>
      <c r="AP983" s="312"/>
      <c r="AQ983" s="312"/>
      <c r="AR983" s="312"/>
      <c r="AS983" s="312"/>
      <c r="AT983" s="312"/>
    </row>
    <row r="984" ht="15.75" customHeight="1">
      <c r="A984" s="318"/>
      <c r="B984" s="312"/>
      <c r="C984" s="312"/>
      <c r="D984" s="312"/>
      <c r="E984" s="312"/>
      <c r="F984" s="312"/>
      <c r="G984" s="312"/>
      <c r="H984" s="312"/>
      <c r="I984" s="312"/>
      <c r="J984" s="312"/>
      <c r="K984" s="312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12"/>
      <c r="AJ984" s="312"/>
      <c r="AK984" s="312"/>
      <c r="AL984" s="312"/>
      <c r="AM984" s="312"/>
      <c r="AN984" s="312"/>
      <c r="AO984" s="312"/>
      <c r="AP984" s="312"/>
      <c r="AQ984" s="312"/>
      <c r="AR984" s="312"/>
      <c r="AS984" s="312"/>
      <c r="AT984" s="312"/>
    </row>
    <row r="985" ht="15.75" customHeight="1">
      <c r="A985" s="318"/>
      <c r="B985" s="312"/>
      <c r="C985" s="312"/>
      <c r="D985" s="312"/>
      <c r="E985" s="312"/>
      <c r="F985" s="312"/>
      <c r="G985" s="312"/>
      <c r="H985" s="312"/>
      <c r="I985" s="312"/>
      <c r="J985" s="312"/>
      <c r="K985" s="312"/>
      <c r="L985" s="312"/>
      <c r="M985" s="312"/>
      <c r="N985" s="312"/>
      <c r="O985" s="312"/>
      <c r="P985" s="312"/>
      <c r="Q985" s="312"/>
      <c r="R985" s="312"/>
      <c r="S985" s="312"/>
      <c r="T985" s="312"/>
      <c r="U985" s="312"/>
      <c r="V985" s="312"/>
      <c r="W985" s="312"/>
      <c r="X985" s="312"/>
      <c r="Y985" s="312"/>
      <c r="Z985" s="312"/>
      <c r="AA985" s="312"/>
      <c r="AB985" s="312"/>
      <c r="AC985" s="312"/>
      <c r="AD985" s="312"/>
      <c r="AE985" s="312"/>
      <c r="AF985" s="312"/>
      <c r="AG985" s="312"/>
      <c r="AH985" s="312"/>
      <c r="AI985" s="312"/>
      <c r="AJ985" s="312"/>
      <c r="AK985" s="312"/>
      <c r="AL985" s="312"/>
      <c r="AM985" s="312"/>
      <c r="AN985" s="312"/>
      <c r="AO985" s="312"/>
      <c r="AP985" s="312"/>
      <c r="AQ985" s="312"/>
      <c r="AR985" s="312"/>
      <c r="AS985" s="312"/>
      <c r="AT985" s="312"/>
    </row>
    <row r="986" ht="15.75" customHeight="1">
      <c r="A986" s="318"/>
      <c r="B986" s="312"/>
      <c r="C986" s="312"/>
      <c r="D986" s="312"/>
      <c r="E986" s="312"/>
      <c r="F986" s="312"/>
      <c r="G986" s="312"/>
      <c r="H986" s="312"/>
      <c r="I986" s="312"/>
      <c r="J986" s="312"/>
      <c r="K986" s="312"/>
      <c r="L986" s="312"/>
      <c r="M986" s="312"/>
      <c r="N986" s="312"/>
      <c r="O986" s="312"/>
      <c r="P986" s="312"/>
      <c r="Q986" s="312"/>
      <c r="R986" s="312"/>
      <c r="S986" s="312"/>
      <c r="T986" s="312"/>
      <c r="U986" s="312"/>
      <c r="V986" s="312"/>
      <c r="W986" s="312"/>
      <c r="X986" s="312"/>
      <c r="Y986" s="312"/>
      <c r="Z986" s="312"/>
      <c r="AA986" s="312"/>
      <c r="AB986" s="312"/>
      <c r="AC986" s="312"/>
      <c r="AD986" s="312"/>
      <c r="AE986" s="312"/>
      <c r="AF986" s="312"/>
      <c r="AG986" s="312"/>
      <c r="AH986" s="312"/>
      <c r="AI986" s="312"/>
      <c r="AJ986" s="312"/>
      <c r="AK986" s="312"/>
      <c r="AL986" s="312"/>
      <c r="AM986" s="312"/>
      <c r="AN986" s="312"/>
      <c r="AO986" s="312"/>
      <c r="AP986" s="312"/>
      <c r="AQ986" s="312"/>
      <c r="AR986" s="312"/>
      <c r="AS986" s="312"/>
      <c r="AT986" s="312"/>
    </row>
    <row r="987" ht="15.75" customHeight="1">
      <c r="A987" s="318"/>
      <c r="B987" s="312"/>
      <c r="C987" s="312"/>
      <c r="D987" s="312"/>
      <c r="E987" s="312"/>
      <c r="F987" s="312"/>
      <c r="G987" s="312"/>
      <c r="H987" s="312"/>
      <c r="I987" s="312"/>
      <c r="J987" s="312"/>
      <c r="K987" s="312"/>
      <c r="L987" s="312"/>
      <c r="M987" s="312"/>
      <c r="N987" s="312"/>
      <c r="O987" s="312"/>
      <c r="P987" s="312"/>
      <c r="Q987" s="312"/>
      <c r="R987" s="312"/>
      <c r="S987" s="312"/>
      <c r="T987" s="312"/>
      <c r="U987" s="312"/>
      <c r="V987" s="312"/>
      <c r="W987" s="312"/>
      <c r="X987" s="312"/>
      <c r="Y987" s="312"/>
      <c r="Z987" s="312"/>
      <c r="AA987" s="312"/>
      <c r="AB987" s="312"/>
      <c r="AC987" s="312"/>
      <c r="AD987" s="312"/>
      <c r="AE987" s="312"/>
      <c r="AF987" s="312"/>
      <c r="AG987" s="312"/>
      <c r="AH987" s="312"/>
      <c r="AI987" s="312"/>
      <c r="AJ987" s="312"/>
      <c r="AK987" s="312"/>
      <c r="AL987" s="312"/>
      <c r="AM987" s="312"/>
      <c r="AN987" s="312"/>
      <c r="AO987" s="312"/>
      <c r="AP987" s="312"/>
      <c r="AQ987" s="312"/>
      <c r="AR987" s="312"/>
      <c r="AS987" s="312"/>
      <c r="AT987" s="312"/>
    </row>
    <row r="988" ht="15.75" customHeight="1">
      <c r="A988" s="318"/>
      <c r="B988" s="312"/>
      <c r="C988" s="312"/>
      <c r="D988" s="312"/>
      <c r="E988" s="312"/>
      <c r="F988" s="312"/>
      <c r="G988" s="312"/>
      <c r="H988" s="312"/>
      <c r="I988" s="312"/>
      <c r="J988" s="312"/>
      <c r="K988" s="312"/>
      <c r="L988" s="312"/>
      <c r="M988" s="312"/>
      <c r="N988" s="312"/>
      <c r="O988" s="312"/>
      <c r="P988" s="312"/>
      <c r="Q988" s="312"/>
      <c r="R988" s="312"/>
      <c r="S988" s="312"/>
      <c r="T988" s="312"/>
      <c r="U988" s="312"/>
      <c r="V988" s="312"/>
      <c r="W988" s="312"/>
      <c r="X988" s="312"/>
      <c r="Y988" s="312"/>
      <c r="Z988" s="312"/>
      <c r="AA988" s="312"/>
      <c r="AB988" s="312"/>
      <c r="AC988" s="312"/>
      <c r="AD988" s="312"/>
      <c r="AE988" s="312"/>
      <c r="AF988" s="312"/>
      <c r="AG988" s="312"/>
      <c r="AH988" s="312"/>
      <c r="AI988" s="312"/>
      <c r="AJ988" s="312"/>
      <c r="AK988" s="312"/>
      <c r="AL988" s="312"/>
      <c r="AM988" s="312"/>
      <c r="AN988" s="312"/>
      <c r="AO988" s="312"/>
      <c r="AP988" s="312"/>
      <c r="AQ988" s="312"/>
      <c r="AR988" s="312"/>
      <c r="AS988" s="312"/>
      <c r="AT988" s="312"/>
    </row>
    <row r="989" ht="15.75" customHeight="1">
      <c r="A989" s="318"/>
      <c r="B989" s="312"/>
      <c r="C989" s="312"/>
      <c r="D989" s="312"/>
      <c r="E989" s="312"/>
      <c r="F989" s="312"/>
      <c r="G989" s="312"/>
      <c r="H989" s="312"/>
      <c r="I989" s="312"/>
      <c r="J989" s="312"/>
      <c r="K989" s="312"/>
      <c r="L989" s="312"/>
      <c r="M989" s="312"/>
      <c r="N989" s="312"/>
      <c r="O989" s="312"/>
      <c r="P989" s="312"/>
      <c r="Q989" s="312"/>
      <c r="R989" s="312"/>
      <c r="S989" s="312"/>
      <c r="T989" s="312"/>
      <c r="U989" s="312"/>
      <c r="V989" s="312"/>
      <c r="W989" s="312"/>
      <c r="X989" s="312"/>
      <c r="Y989" s="312"/>
      <c r="Z989" s="312"/>
      <c r="AA989" s="312"/>
      <c r="AB989" s="312"/>
      <c r="AC989" s="312"/>
      <c r="AD989" s="312"/>
      <c r="AE989" s="312"/>
      <c r="AF989" s="312"/>
      <c r="AG989" s="312"/>
      <c r="AH989" s="312"/>
      <c r="AI989" s="312"/>
      <c r="AJ989" s="312"/>
      <c r="AK989" s="312"/>
      <c r="AL989" s="312"/>
      <c r="AM989" s="312"/>
      <c r="AN989" s="312"/>
      <c r="AO989" s="312"/>
      <c r="AP989" s="312"/>
      <c r="AQ989" s="312"/>
      <c r="AR989" s="312"/>
      <c r="AS989" s="312"/>
      <c r="AT989" s="312"/>
    </row>
  </sheetData>
  <mergeCells count="6431">
    <mergeCell ref="AL3:AM3"/>
    <mergeCell ref="AN3:AO3"/>
    <mergeCell ref="A1:E1"/>
    <mergeCell ref="F1:M1"/>
    <mergeCell ref="N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41" width="3.67"/>
    <col customWidth="1" min="42" max="42" width="10.78"/>
    <col customWidth="1" min="43" max="43" width="12.33"/>
    <col customWidth="1" min="44" max="44" width="8.0"/>
    <col customWidth="1" min="45" max="45" width="11.44"/>
    <col customWidth="1" min="46" max="46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3"/>
      <c r="N1" s="5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1"/>
      <c r="AQ1" s="8"/>
      <c r="AR1" s="8"/>
      <c r="AS1" s="8"/>
      <c r="AT1" s="9"/>
    </row>
    <row r="2" ht="120.75" customHeight="1">
      <c r="A2" s="42" t="s">
        <v>5</v>
      </c>
      <c r="B2" s="43" t="s">
        <v>6</v>
      </c>
      <c r="C2" s="43" t="s">
        <v>7</v>
      </c>
      <c r="D2" s="43" t="s">
        <v>8</v>
      </c>
      <c r="E2" s="43" t="s">
        <v>9</v>
      </c>
      <c r="F2" s="12" t="s">
        <v>10</v>
      </c>
      <c r="G2" s="44">
        <f>31.86</f>
        <v>31.86</v>
      </c>
      <c r="H2" s="45" t="s">
        <v>11</v>
      </c>
      <c r="I2" s="44">
        <f>35.3</f>
        <v>35.3</v>
      </c>
      <c r="J2" s="45" t="s">
        <v>12</v>
      </c>
      <c r="K2" s="44">
        <f>35.3</f>
        <v>35.3</v>
      </c>
      <c r="L2" s="48" t="s">
        <v>29</v>
      </c>
      <c r="M2" s="44">
        <f>31.86</f>
        <v>31.86</v>
      </c>
      <c r="N2" s="51" t="s">
        <v>10</v>
      </c>
      <c r="O2" s="54">
        <f>15.3/0.75</f>
        <v>20.4</v>
      </c>
      <c r="P2" s="51" t="s">
        <v>11</v>
      </c>
      <c r="Q2" s="54">
        <f>18.74/0.75</f>
        <v>24.98666667</v>
      </c>
      <c r="R2" s="51" t="s">
        <v>12</v>
      </c>
      <c r="S2" s="54">
        <f>18.74/0.75</f>
        <v>24.98666667</v>
      </c>
      <c r="T2" s="60" t="s">
        <v>14</v>
      </c>
      <c r="U2" s="54">
        <f>18.74/0.75</f>
        <v>24.98666667</v>
      </c>
      <c r="V2" s="63" t="s">
        <v>30</v>
      </c>
      <c r="W2" s="54">
        <f>18.74/0.75</f>
        <v>24.98666667</v>
      </c>
      <c r="X2" s="60" t="s">
        <v>31</v>
      </c>
      <c r="Y2" s="54">
        <v>19.74</v>
      </c>
      <c r="Z2" s="60" t="s">
        <v>32</v>
      </c>
      <c r="AA2" s="54">
        <v>80.0</v>
      </c>
      <c r="AB2" s="60" t="s">
        <v>33</v>
      </c>
      <c r="AC2" s="54">
        <v>125.0</v>
      </c>
      <c r="AD2" s="69" t="s">
        <v>15</v>
      </c>
      <c r="AE2" s="69">
        <v>0.0</v>
      </c>
      <c r="AF2" s="69" t="s">
        <v>15</v>
      </c>
      <c r="AG2" s="69">
        <v>0.0</v>
      </c>
      <c r="AH2" s="69" t="s">
        <v>15</v>
      </c>
      <c r="AI2" s="69">
        <v>0.0</v>
      </c>
      <c r="AJ2" s="69" t="s">
        <v>15</v>
      </c>
      <c r="AK2" s="69">
        <v>0.0</v>
      </c>
      <c r="AL2" s="69" t="s">
        <v>15</v>
      </c>
      <c r="AM2" s="69">
        <v>0.0</v>
      </c>
      <c r="AN2" s="69" t="s">
        <v>15</v>
      </c>
      <c r="AO2" s="69">
        <v>0.0</v>
      </c>
      <c r="AP2" s="74">
        <f>SUM(AP1:AT1)</f>
        <v>0</v>
      </c>
      <c r="AQ2" s="74" t="s">
        <v>17</v>
      </c>
      <c r="AR2" s="74" t="s">
        <v>18</v>
      </c>
      <c r="AS2" s="74" t="s">
        <v>19</v>
      </c>
      <c r="AT2" s="74" t="s">
        <v>20</v>
      </c>
    </row>
    <row r="3" ht="15.75" customHeight="1">
      <c r="A3" s="75" t="s">
        <v>21</v>
      </c>
      <c r="B3" s="76">
        <v>44928.0</v>
      </c>
      <c r="C3" s="77">
        <v>1.0</v>
      </c>
      <c r="D3" s="78" t="s">
        <v>22</v>
      </c>
      <c r="E3" s="79"/>
      <c r="F3" s="80"/>
      <c r="G3" s="58"/>
      <c r="H3" s="80"/>
      <c r="I3" s="58"/>
      <c r="J3" s="80"/>
      <c r="K3" s="58"/>
      <c r="L3" s="80"/>
      <c r="M3" s="58"/>
      <c r="N3" s="83"/>
      <c r="O3" s="84"/>
      <c r="P3" s="83"/>
      <c r="Q3" s="84"/>
      <c r="R3" s="83"/>
      <c r="S3" s="84"/>
      <c r="T3" s="83"/>
      <c r="U3" s="84"/>
      <c r="V3" s="85"/>
      <c r="W3" s="84"/>
      <c r="X3" s="83"/>
      <c r="Y3" s="84"/>
      <c r="Z3" s="85"/>
      <c r="AA3" s="84"/>
      <c r="AB3" s="85"/>
      <c r="AC3" s="84"/>
      <c r="AD3" s="85"/>
      <c r="AE3" s="84"/>
      <c r="AF3" s="85"/>
      <c r="AG3" s="84"/>
      <c r="AH3" s="85"/>
      <c r="AI3" s="84"/>
      <c r="AJ3" s="83"/>
      <c r="AK3" s="84"/>
      <c r="AL3" s="85"/>
      <c r="AM3" s="84"/>
      <c r="AN3" s="85"/>
      <c r="AO3" s="84"/>
      <c r="AP3" s="87">
        <f t="shared" ref="AP3:AP93" si="1">(F3*G$2)+(H3*I$2)+(J3*K$2)+(N3*O$2)+(P3*Q$2)+(R3*S$2)+(T3*U$2)+(V3*W$2)+(AB3*AC$2)+(AD3*AE$2)+(AF3*AG$2)+(AH3*AI$2)+(AJ3*AK$2)+(AL3*AM$2)+(AN3*AO$2)+(L3*M$2)+(Z3*AA$2)+(X3*Y$2)</f>
        <v>0</v>
      </c>
      <c r="AQ3" s="79">
        <f t="shared" ref="AQ3:AQ79" si="2">sum(F3,H3,J3,L3,N3,P3,R3,T3,V3,Z3,AB3)</f>
        <v>0</v>
      </c>
      <c r="AR3" s="79">
        <f t="shared" ref="AR3:AR359" si="3">0</f>
        <v>0</v>
      </c>
      <c r="AS3" s="79">
        <f t="shared" ref="AS3:AS359" si="4">sum(F3:AO3)</f>
        <v>0</v>
      </c>
      <c r="AT3" s="88" t="str">
        <f t="shared" ref="AT3:AT359" si="5">iferror(AP3/AS3,"")</f>
        <v/>
      </c>
    </row>
    <row r="4" ht="15.75" customHeight="1">
      <c r="A4" s="89" t="s">
        <v>23</v>
      </c>
      <c r="B4" s="90">
        <f t="shared" ref="B4:B359" si="6">B3+1</f>
        <v>44929</v>
      </c>
      <c r="C4" s="91">
        <v>1.0</v>
      </c>
      <c r="D4" s="92" t="s">
        <v>22</v>
      </c>
      <c r="E4" s="93"/>
      <c r="F4" s="94"/>
      <c r="G4" s="3"/>
      <c r="H4" s="94"/>
      <c r="I4" s="3"/>
      <c r="J4" s="94"/>
      <c r="K4" s="3"/>
      <c r="L4" s="94"/>
      <c r="M4" s="3"/>
      <c r="N4" s="94"/>
      <c r="O4" s="3"/>
      <c r="P4" s="94"/>
      <c r="Q4" s="3"/>
      <c r="R4" s="94"/>
      <c r="S4" s="3"/>
      <c r="T4" s="94"/>
      <c r="U4" s="3"/>
      <c r="V4" s="95"/>
      <c r="W4" s="3"/>
      <c r="X4" s="95"/>
      <c r="Y4" s="3"/>
      <c r="Z4" s="95"/>
      <c r="AA4" s="3"/>
      <c r="AB4" s="95"/>
      <c r="AC4" s="3"/>
      <c r="AD4" s="95"/>
      <c r="AE4" s="3"/>
      <c r="AF4" s="95"/>
      <c r="AG4" s="3"/>
      <c r="AH4" s="95"/>
      <c r="AI4" s="3"/>
      <c r="AJ4" s="95"/>
      <c r="AK4" s="3"/>
      <c r="AL4" s="95"/>
      <c r="AM4" s="3"/>
      <c r="AN4" s="95"/>
      <c r="AO4" s="3"/>
      <c r="AP4" s="96">
        <f t="shared" si="1"/>
        <v>0</v>
      </c>
      <c r="AQ4" s="93">
        <f t="shared" si="2"/>
        <v>0</v>
      </c>
      <c r="AR4" s="93">
        <f t="shared" si="3"/>
        <v>0</v>
      </c>
      <c r="AS4" s="93">
        <f t="shared" si="4"/>
        <v>0</v>
      </c>
      <c r="AT4" s="97" t="str">
        <f t="shared" si="5"/>
        <v/>
      </c>
    </row>
    <row r="5" ht="15.75" customHeight="1">
      <c r="A5" s="89" t="s">
        <v>24</v>
      </c>
      <c r="B5" s="90">
        <f t="shared" si="6"/>
        <v>44930</v>
      </c>
      <c r="C5" s="91">
        <v>1.0</v>
      </c>
      <c r="D5" s="92" t="s">
        <v>22</v>
      </c>
      <c r="E5" s="93"/>
      <c r="F5" s="94"/>
      <c r="G5" s="3"/>
      <c r="H5" s="94"/>
      <c r="I5" s="3"/>
      <c r="J5" s="94"/>
      <c r="K5" s="3"/>
      <c r="L5" s="94"/>
      <c r="M5" s="3"/>
      <c r="N5" s="94"/>
      <c r="O5" s="3"/>
      <c r="P5" s="94"/>
      <c r="Q5" s="3"/>
      <c r="R5" s="94"/>
      <c r="S5" s="3"/>
      <c r="T5" s="94"/>
      <c r="U5" s="3"/>
      <c r="V5" s="95"/>
      <c r="W5" s="3"/>
      <c r="X5" s="95"/>
      <c r="Y5" s="3"/>
      <c r="Z5" s="95"/>
      <c r="AA5" s="3"/>
      <c r="AB5" s="95"/>
      <c r="AC5" s="3"/>
      <c r="AD5" s="95"/>
      <c r="AE5" s="3"/>
      <c r="AF5" s="95"/>
      <c r="AG5" s="3"/>
      <c r="AH5" s="95"/>
      <c r="AI5" s="3"/>
      <c r="AJ5" s="95"/>
      <c r="AK5" s="3"/>
      <c r="AL5" s="95"/>
      <c r="AM5" s="3"/>
      <c r="AN5" s="95"/>
      <c r="AO5" s="3"/>
      <c r="AP5" s="96">
        <f t="shared" si="1"/>
        <v>0</v>
      </c>
      <c r="AQ5" s="93">
        <f t="shared" si="2"/>
        <v>0</v>
      </c>
      <c r="AR5" s="93">
        <f t="shared" si="3"/>
        <v>0</v>
      </c>
      <c r="AS5" s="93">
        <f t="shared" si="4"/>
        <v>0</v>
      </c>
      <c r="AT5" s="97" t="str">
        <f t="shared" si="5"/>
        <v/>
      </c>
    </row>
    <row r="6" ht="15.75" customHeight="1">
      <c r="A6" s="89" t="s">
        <v>25</v>
      </c>
      <c r="B6" s="90">
        <f t="shared" si="6"/>
        <v>44931</v>
      </c>
      <c r="C6" s="91">
        <v>1.0</v>
      </c>
      <c r="D6" s="92" t="s">
        <v>22</v>
      </c>
      <c r="E6" s="93"/>
      <c r="F6" s="94"/>
      <c r="G6" s="3"/>
      <c r="H6" s="94"/>
      <c r="I6" s="3"/>
      <c r="J6" s="94"/>
      <c r="K6" s="3"/>
      <c r="L6" s="94"/>
      <c r="M6" s="3"/>
      <c r="N6" s="94"/>
      <c r="O6" s="3"/>
      <c r="P6" s="94"/>
      <c r="Q6" s="3"/>
      <c r="R6" s="94"/>
      <c r="S6" s="3"/>
      <c r="T6" s="94"/>
      <c r="U6" s="3"/>
      <c r="V6" s="95"/>
      <c r="W6" s="3"/>
      <c r="X6" s="95"/>
      <c r="Y6" s="3"/>
      <c r="Z6" s="95"/>
      <c r="AA6" s="3"/>
      <c r="AB6" s="95"/>
      <c r="AC6" s="3"/>
      <c r="AD6" s="95"/>
      <c r="AE6" s="3"/>
      <c r="AF6" s="95"/>
      <c r="AG6" s="3"/>
      <c r="AH6" s="95"/>
      <c r="AI6" s="3"/>
      <c r="AJ6" s="95"/>
      <c r="AK6" s="3"/>
      <c r="AL6" s="95"/>
      <c r="AM6" s="3"/>
      <c r="AN6" s="95"/>
      <c r="AO6" s="3"/>
      <c r="AP6" s="96">
        <f t="shared" si="1"/>
        <v>0</v>
      </c>
      <c r="AQ6" s="93">
        <f t="shared" si="2"/>
        <v>0</v>
      </c>
      <c r="AR6" s="93">
        <f t="shared" si="3"/>
        <v>0</v>
      </c>
      <c r="AS6" s="93">
        <f t="shared" si="4"/>
        <v>0</v>
      </c>
      <c r="AT6" s="97" t="str">
        <f t="shared" si="5"/>
        <v/>
      </c>
    </row>
    <row r="7" ht="15.75" customHeight="1">
      <c r="A7" s="89" t="s">
        <v>26</v>
      </c>
      <c r="B7" s="90">
        <f t="shared" si="6"/>
        <v>44932</v>
      </c>
      <c r="C7" s="91">
        <v>1.0</v>
      </c>
      <c r="D7" s="92" t="s">
        <v>22</v>
      </c>
      <c r="E7" s="93"/>
      <c r="F7" s="94"/>
      <c r="G7" s="3"/>
      <c r="H7" s="94"/>
      <c r="I7" s="3"/>
      <c r="J7" s="94"/>
      <c r="K7" s="3"/>
      <c r="L7" s="94"/>
      <c r="M7" s="3"/>
      <c r="N7" s="94"/>
      <c r="O7" s="3"/>
      <c r="P7" s="94"/>
      <c r="Q7" s="3"/>
      <c r="R7" s="94"/>
      <c r="S7" s="3"/>
      <c r="T7" s="94"/>
      <c r="U7" s="3"/>
      <c r="V7" s="95"/>
      <c r="W7" s="3"/>
      <c r="X7" s="95"/>
      <c r="Y7" s="3"/>
      <c r="Z7" s="95"/>
      <c r="AA7" s="3"/>
      <c r="AB7" s="95"/>
      <c r="AC7" s="3"/>
      <c r="AD7" s="95"/>
      <c r="AE7" s="3"/>
      <c r="AF7" s="95"/>
      <c r="AG7" s="3"/>
      <c r="AH7" s="95"/>
      <c r="AI7" s="3"/>
      <c r="AJ7" s="95"/>
      <c r="AK7" s="3"/>
      <c r="AL7" s="95"/>
      <c r="AM7" s="3"/>
      <c r="AN7" s="95"/>
      <c r="AO7" s="3"/>
      <c r="AP7" s="96">
        <f t="shared" si="1"/>
        <v>0</v>
      </c>
      <c r="AQ7" s="93">
        <f t="shared" si="2"/>
        <v>0</v>
      </c>
      <c r="AR7" s="93">
        <f t="shared" si="3"/>
        <v>0</v>
      </c>
      <c r="AS7" s="93">
        <f t="shared" si="4"/>
        <v>0</v>
      </c>
      <c r="AT7" s="97" t="str">
        <f t="shared" si="5"/>
        <v/>
      </c>
    </row>
    <row r="8" ht="15.75" customHeight="1">
      <c r="A8" s="89" t="s">
        <v>27</v>
      </c>
      <c r="B8" s="90">
        <f t="shared" si="6"/>
        <v>44933</v>
      </c>
      <c r="C8" s="91">
        <v>1.0</v>
      </c>
      <c r="D8" s="92" t="s">
        <v>22</v>
      </c>
      <c r="E8" s="93"/>
      <c r="F8" s="94"/>
      <c r="G8" s="3"/>
      <c r="H8" s="94"/>
      <c r="I8" s="3"/>
      <c r="J8" s="94"/>
      <c r="K8" s="3"/>
      <c r="L8" s="94"/>
      <c r="M8" s="3"/>
      <c r="N8" s="94"/>
      <c r="O8" s="3"/>
      <c r="P8" s="94"/>
      <c r="Q8" s="3"/>
      <c r="R8" s="94"/>
      <c r="S8" s="3"/>
      <c r="T8" s="94"/>
      <c r="U8" s="3"/>
      <c r="V8" s="95"/>
      <c r="W8" s="3"/>
      <c r="X8" s="95"/>
      <c r="Y8" s="3"/>
      <c r="Z8" s="95"/>
      <c r="AA8" s="3"/>
      <c r="AB8" s="95"/>
      <c r="AC8" s="3"/>
      <c r="AD8" s="95"/>
      <c r="AE8" s="3"/>
      <c r="AF8" s="95"/>
      <c r="AG8" s="3"/>
      <c r="AH8" s="95"/>
      <c r="AI8" s="3"/>
      <c r="AJ8" s="95"/>
      <c r="AK8" s="3"/>
      <c r="AL8" s="95"/>
      <c r="AM8" s="3"/>
      <c r="AN8" s="95"/>
      <c r="AO8" s="3"/>
      <c r="AP8" s="96">
        <f t="shared" si="1"/>
        <v>0</v>
      </c>
      <c r="AQ8" s="93">
        <f t="shared" si="2"/>
        <v>0</v>
      </c>
      <c r="AR8" s="93">
        <f t="shared" si="3"/>
        <v>0</v>
      </c>
      <c r="AS8" s="93">
        <f t="shared" si="4"/>
        <v>0</v>
      </c>
      <c r="AT8" s="97" t="str">
        <f t="shared" si="5"/>
        <v/>
      </c>
    </row>
    <row r="9" ht="15.75" customHeight="1">
      <c r="A9" s="98" t="s">
        <v>28</v>
      </c>
      <c r="B9" s="99">
        <f t="shared" si="6"/>
        <v>44934</v>
      </c>
      <c r="C9" s="100">
        <v>1.0</v>
      </c>
      <c r="D9" s="101" t="s">
        <v>22</v>
      </c>
      <c r="E9" s="102"/>
      <c r="F9" s="103"/>
      <c r="G9" s="104"/>
      <c r="H9" s="103"/>
      <c r="I9" s="104"/>
      <c r="J9" s="103"/>
      <c r="K9" s="104"/>
      <c r="L9" s="103"/>
      <c r="M9" s="104"/>
      <c r="N9" s="103"/>
      <c r="O9" s="104"/>
      <c r="P9" s="103"/>
      <c r="Q9" s="104"/>
      <c r="R9" s="103"/>
      <c r="S9" s="104"/>
      <c r="T9" s="103"/>
      <c r="U9" s="104"/>
      <c r="V9" s="105"/>
      <c r="W9" s="104"/>
      <c r="X9" s="105"/>
      <c r="Y9" s="104"/>
      <c r="Z9" s="105"/>
      <c r="AA9" s="104"/>
      <c r="AB9" s="105"/>
      <c r="AC9" s="104"/>
      <c r="AD9" s="105"/>
      <c r="AE9" s="104"/>
      <c r="AF9" s="105"/>
      <c r="AG9" s="104"/>
      <c r="AH9" s="105"/>
      <c r="AI9" s="104"/>
      <c r="AJ9" s="105"/>
      <c r="AK9" s="104"/>
      <c r="AL9" s="105"/>
      <c r="AM9" s="104"/>
      <c r="AN9" s="105"/>
      <c r="AO9" s="104"/>
      <c r="AP9" s="106">
        <f t="shared" si="1"/>
        <v>0</v>
      </c>
      <c r="AQ9" s="102">
        <f t="shared" si="2"/>
        <v>0</v>
      </c>
      <c r="AR9" s="102">
        <f t="shared" si="3"/>
        <v>0</v>
      </c>
      <c r="AS9" s="102">
        <f t="shared" si="4"/>
        <v>0</v>
      </c>
      <c r="AT9" s="107" t="str">
        <f t="shared" si="5"/>
        <v/>
      </c>
    </row>
    <row r="10" ht="15.75" customHeight="1">
      <c r="A10" s="108" t="s">
        <v>21</v>
      </c>
      <c r="B10" s="109">
        <f t="shared" si="6"/>
        <v>44935</v>
      </c>
      <c r="C10" s="110">
        <v>1.0</v>
      </c>
      <c r="D10" s="110" t="s">
        <v>34</v>
      </c>
      <c r="E10" s="111" t="s">
        <v>38</v>
      </c>
      <c r="F10" s="112"/>
      <c r="G10" s="84"/>
      <c r="H10" s="112"/>
      <c r="I10" s="84"/>
      <c r="J10" s="112"/>
      <c r="K10" s="84"/>
      <c r="L10" s="112"/>
      <c r="M10" s="84"/>
      <c r="N10" s="112">
        <v>65.0</v>
      </c>
      <c r="O10" s="84"/>
      <c r="P10" s="112">
        <v>65.0</v>
      </c>
      <c r="Q10" s="84"/>
      <c r="R10" s="112"/>
      <c r="S10" s="84"/>
      <c r="T10" s="112"/>
      <c r="U10" s="84"/>
      <c r="V10" s="113"/>
      <c r="W10" s="84"/>
      <c r="X10" s="113"/>
      <c r="Y10" s="84"/>
      <c r="Z10" s="113"/>
      <c r="AA10" s="84"/>
      <c r="AB10" s="113"/>
      <c r="AC10" s="84"/>
      <c r="AD10" s="113"/>
      <c r="AE10" s="84"/>
      <c r="AF10" s="113"/>
      <c r="AG10" s="84"/>
      <c r="AH10" s="113"/>
      <c r="AI10" s="84"/>
      <c r="AJ10" s="113"/>
      <c r="AK10" s="84"/>
      <c r="AL10" s="113"/>
      <c r="AM10" s="84"/>
      <c r="AN10" s="113"/>
      <c r="AO10" s="84"/>
      <c r="AP10" s="114">
        <f t="shared" si="1"/>
        <v>2950.133333</v>
      </c>
      <c r="AQ10" s="115">
        <f t="shared" si="2"/>
        <v>130</v>
      </c>
      <c r="AR10" s="115">
        <f t="shared" si="3"/>
        <v>0</v>
      </c>
      <c r="AS10" s="115">
        <f t="shared" si="4"/>
        <v>130</v>
      </c>
      <c r="AT10" s="116">
        <f t="shared" si="5"/>
        <v>22.69333333</v>
      </c>
    </row>
    <row r="11" ht="15.75" customHeight="1">
      <c r="A11" s="117" t="s">
        <v>23</v>
      </c>
      <c r="B11" s="118">
        <f t="shared" si="6"/>
        <v>44936</v>
      </c>
      <c r="C11" s="119">
        <v>1.0</v>
      </c>
      <c r="D11" s="119" t="s">
        <v>34</v>
      </c>
      <c r="E11" s="120" t="s">
        <v>38</v>
      </c>
      <c r="F11" s="121"/>
      <c r="G11" s="3"/>
      <c r="H11" s="121"/>
      <c r="I11" s="3"/>
      <c r="J11" s="121"/>
      <c r="K11" s="3"/>
      <c r="L11" s="121"/>
      <c r="M11" s="3"/>
      <c r="N11" s="121">
        <v>65.0</v>
      </c>
      <c r="O11" s="3"/>
      <c r="P11" s="121">
        <v>65.0</v>
      </c>
      <c r="Q11" s="3"/>
      <c r="R11" s="121"/>
      <c r="S11" s="3"/>
      <c r="T11" s="121"/>
      <c r="U11" s="3"/>
      <c r="V11" s="122"/>
      <c r="W11" s="3"/>
      <c r="X11" s="122"/>
      <c r="Y11" s="3"/>
      <c r="Z11" s="122"/>
      <c r="AA11" s="3"/>
      <c r="AB11" s="122"/>
      <c r="AC11" s="3"/>
      <c r="AD11" s="122"/>
      <c r="AE11" s="3"/>
      <c r="AF11" s="122"/>
      <c r="AG11" s="3"/>
      <c r="AH11" s="122"/>
      <c r="AI11" s="3"/>
      <c r="AJ11" s="122"/>
      <c r="AK11" s="3"/>
      <c r="AL11" s="122"/>
      <c r="AM11" s="3"/>
      <c r="AN11" s="122"/>
      <c r="AO11" s="3"/>
      <c r="AP11" s="123">
        <f t="shared" si="1"/>
        <v>2950.133333</v>
      </c>
      <c r="AQ11" s="124">
        <f t="shared" si="2"/>
        <v>130</v>
      </c>
      <c r="AR11" s="124">
        <f t="shared" si="3"/>
        <v>0</v>
      </c>
      <c r="AS11" s="124">
        <f t="shared" si="4"/>
        <v>130</v>
      </c>
      <c r="AT11" s="125">
        <f t="shared" si="5"/>
        <v>22.69333333</v>
      </c>
    </row>
    <row r="12" ht="15.75" customHeight="1">
      <c r="A12" s="117" t="s">
        <v>24</v>
      </c>
      <c r="B12" s="118">
        <f t="shared" si="6"/>
        <v>44937</v>
      </c>
      <c r="C12" s="119">
        <v>1.0</v>
      </c>
      <c r="D12" s="119" t="s">
        <v>34</v>
      </c>
      <c r="E12" s="120" t="s">
        <v>38</v>
      </c>
      <c r="F12" s="121"/>
      <c r="G12" s="3"/>
      <c r="H12" s="121"/>
      <c r="I12" s="3"/>
      <c r="J12" s="121"/>
      <c r="K12" s="3"/>
      <c r="L12" s="121"/>
      <c r="M12" s="3"/>
      <c r="N12" s="121">
        <v>65.0</v>
      </c>
      <c r="O12" s="3"/>
      <c r="P12" s="121">
        <v>65.0</v>
      </c>
      <c r="Q12" s="3"/>
      <c r="R12" s="121"/>
      <c r="S12" s="3"/>
      <c r="T12" s="121"/>
      <c r="U12" s="3"/>
      <c r="V12" s="122"/>
      <c r="W12" s="3"/>
      <c r="X12" s="122"/>
      <c r="Y12" s="3"/>
      <c r="Z12" s="122"/>
      <c r="AA12" s="3"/>
      <c r="AB12" s="122"/>
      <c r="AC12" s="3"/>
      <c r="AD12" s="122"/>
      <c r="AE12" s="3"/>
      <c r="AF12" s="122"/>
      <c r="AG12" s="3"/>
      <c r="AH12" s="122"/>
      <c r="AI12" s="3"/>
      <c r="AJ12" s="122"/>
      <c r="AK12" s="3"/>
      <c r="AL12" s="122"/>
      <c r="AM12" s="3"/>
      <c r="AN12" s="122"/>
      <c r="AO12" s="3"/>
      <c r="AP12" s="123">
        <f t="shared" si="1"/>
        <v>2950.133333</v>
      </c>
      <c r="AQ12" s="124">
        <f t="shared" si="2"/>
        <v>130</v>
      </c>
      <c r="AR12" s="124">
        <f t="shared" si="3"/>
        <v>0</v>
      </c>
      <c r="AS12" s="124">
        <f t="shared" si="4"/>
        <v>130</v>
      </c>
      <c r="AT12" s="125">
        <f t="shared" si="5"/>
        <v>22.69333333</v>
      </c>
    </row>
    <row r="13" ht="15.75" customHeight="1">
      <c r="A13" s="117" t="s">
        <v>25</v>
      </c>
      <c r="B13" s="118">
        <f t="shared" si="6"/>
        <v>44938</v>
      </c>
      <c r="C13" s="119">
        <v>1.0</v>
      </c>
      <c r="D13" s="119" t="s">
        <v>34</v>
      </c>
      <c r="E13" s="120" t="s">
        <v>38</v>
      </c>
      <c r="F13" s="121"/>
      <c r="G13" s="3"/>
      <c r="H13" s="121"/>
      <c r="I13" s="3"/>
      <c r="J13" s="121"/>
      <c r="K13" s="3"/>
      <c r="L13" s="121"/>
      <c r="M13" s="3"/>
      <c r="N13" s="121">
        <v>65.0</v>
      </c>
      <c r="O13" s="3"/>
      <c r="P13" s="121">
        <v>65.0</v>
      </c>
      <c r="Q13" s="3"/>
      <c r="R13" s="121"/>
      <c r="S13" s="3"/>
      <c r="T13" s="121"/>
      <c r="U13" s="3"/>
      <c r="V13" s="122"/>
      <c r="W13" s="3"/>
      <c r="X13" s="122"/>
      <c r="Y13" s="3"/>
      <c r="Z13" s="122"/>
      <c r="AA13" s="3"/>
      <c r="AB13" s="122"/>
      <c r="AC13" s="3"/>
      <c r="AD13" s="122"/>
      <c r="AE13" s="3"/>
      <c r="AF13" s="122"/>
      <c r="AG13" s="3"/>
      <c r="AH13" s="122"/>
      <c r="AI13" s="3"/>
      <c r="AJ13" s="122"/>
      <c r="AK13" s="3"/>
      <c r="AL13" s="122"/>
      <c r="AM13" s="3"/>
      <c r="AN13" s="122"/>
      <c r="AO13" s="3"/>
      <c r="AP13" s="123">
        <f t="shared" si="1"/>
        <v>2950.133333</v>
      </c>
      <c r="AQ13" s="124">
        <f t="shared" si="2"/>
        <v>130</v>
      </c>
      <c r="AR13" s="124">
        <f t="shared" si="3"/>
        <v>0</v>
      </c>
      <c r="AS13" s="124">
        <f t="shared" si="4"/>
        <v>130</v>
      </c>
      <c r="AT13" s="125">
        <f t="shared" si="5"/>
        <v>22.69333333</v>
      </c>
    </row>
    <row r="14" ht="15.75" customHeight="1">
      <c r="A14" s="117" t="s">
        <v>26</v>
      </c>
      <c r="B14" s="118">
        <f t="shared" si="6"/>
        <v>44939</v>
      </c>
      <c r="C14" s="119">
        <v>1.0</v>
      </c>
      <c r="D14" s="119" t="s">
        <v>34</v>
      </c>
      <c r="E14" s="120" t="s">
        <v>38</v>
      </c>
      <c r="F14" s="121"/>
      <c r="G14" s="3"/>
      <c r="H14" s="121"/>
      <c r="I14" s="3"/>
      <c r="J14" s="121"/>
      <c r="K14" s="3"/>
      <c r="L14" s="121"/>
      <c r="M14" s="3"/>
      <c r="N14" s="121">
        <v>65.0</v>
      </c>
      <c r="O14" s="3"/>
      <c r="P14" s="121">
        <v>65.0</v>
      </c>
      <c r="Q14" s="3"/>
      <c r="R14" s="121"/>
      <c r="S14" s="3"/>
      <c r="T14" s="121"/>
      <c r="U14" s="3"/>
      <c r="V14" s="122"/>
      <c r="W14" s="3"/>
      <c r="X14" s="122"/>
      <c r="Y14" s="3"/>
      <c r="Z14" s="122"/>
      <c r="AA14" s="3"/>
      <c r="AB14" s="122"/>
      <c r="AC14" s="3"/>
      <c r="AD14" s="122"/>
      <c r="AE14" s="3"/>
      <c r="AF14" s="122"/>
      <c r="AG14" s="3"/>
      <c r="AH14" s="122"/>
      <c r="AI14" s="3"/>
      <c r="AJ14" s="122"/>
      <c r="AK14" s="3"/>
      <c r="AL14" s="122"/>
      <c r="AM14" s="3"/>
      <c r="AN14" s="122"/>
      <c r="AO14" s="3"/>
      <c r="AP14" s="123">
        <f t="shared" si="1"/>
        <v>2950.133333</v>
      </c>
      <c r="AQ14" s="124">
        <f t="shared" si="2"/>
        <v>130</v>
      </c>
      <c r="AR14" s="124">
        <f t="shared" si="3"/>
        <v>0</v>
      </c>
      <c r="AS14" s="124">
        <f t="shared" si="4"/>
        <v>130</v>
      </c>
      <c r="AT14" s="125">
        <f t="shared" si="5"/>
        <v>22.69333333</v>
      </c>
    </row>
    <row r="15" ht="15.75" customHeight="1">
      <c r="A15" s="117" t="s">
        <v>27</v>
      </c>
      <c r="B15" s="118">
        <f t="shared" si="6"/>
        <v>44940</v>
      </c>
      <c r="C15" s="119">
        <v>1.0</v>
      </c>
      <c r="D15" s="119" t="s">
        <v>34</v>
      </c>
      <c r="E15" s="124"/>
      <c r="F15" s="121"/>
      <c r="G15" s="3"/>
      <c r="H15" s="121"/>
      <c r="I15" s="3"/>
      <c r="J15" s="121"/>
      <c r="K15" s="3"/>
      <c r="L15" s="121"/>
      <c r="M15" s="3"/>
      <c r="N15" s="121">
        <v>0.0</v>
      </c>
      <c r="O15" s="3"/>
      <c r="P15" s="121">
        <v>0.0</v>
      </c>
      <c r="Q15" s="3"/>
      <c r="R15" s="121"/>
      <c r="S15" s="3"/>
      <c r="T15" s="121"/>
      <c r="U15" s="3"/>
      <c r="V15" s="122"/>
      <c r="W15" s="3"/>
      <c r="X15" s="122"/>
      <c r="Y15" s="3"/>
      <c r="Z15" s="122"/>
      <c r="AA15" s="3"/>
      <c r="AB15" s="122"/>
      <c r="AC15" s="3"/>
      <c r="AD15" s="122"/>
      <c r="AE15" s="3"/>
      <c r="AF15" s="122"/>
      <c r="AG15" s="3"/>
      <c r="AH15" s="122"/>
      <c r="AI15" s="3"/>
      <c r="AJ15" s="122"/>
      <c r="AK15" s="3"/>
      <c r="AL15" s="122"/>
      <c r="AM15" s="3"/>
      <c r="AN15" s="122"/>
      <c r="AO15" s="3"/>
      <c r="AP15" s="123">
        <f t="shared" si="1"/>
        <v>0</v>
      </c>
      <c r="AQ15" s="124">
        <f t="shared" si="2"/>
        <v>0</v>
      </c>
      <c r="AR15" s="124">
        <f t="shared" si="3"/>
        <v>0</v>
      </c>
      <c r="AS15" s="124">
        <f t="shared" si="4"/>
        <v>0</v>
      </c>
      <c r="AT15" s="125" t="str">
        <f t="shared" si="5"/>
        <v/>
      </c>
    </row>
    <row r="16" ht="15.75" customHeight="1">
      <c r="A16" s="126" t="s">
        <v>28</v>
      </c>
      <c r="B16" s="127">
        <f t="shared" si="6"/>
        <v>44941</v>
      </c>
      <c r="C16" s="128">
        <v>1.0</v>
      </c>
      <c r="D16" s="128" t="s">
        <v>34</v>
      </c>
      <c r="E16" s="129"/>
      <c r="F16" s="130"/>
      <c r="G16" s="104"/>
      <c r="H16" s="130"/>
      <c r="I16" s="104"/>
      <c r="J16" s="130"/>
      <c r="K16" s="104"/>
      <c r="L16" s="130"/>
      <c r="M16" s="104"/>
      <c r="N16" s="130">
        <v>0.0</v>
      </c>
      <c r="O16" s="104"/>
      <c r="P16" s="130">
        <v>0.0</v>
      </c>
      <c r="Q16" s="104"/>
      <c r="R16" s="130"/>
      <c r="S16" s="104"/>
      <c r="T16" s="130"/>
      <c r="U16" s="104"/>
      <c r="V16" s="131"/>
      <c r="W16" s="104"/>
      <c r="X16" s="131"/>
      <c r="Y16" s="104"/>
      <c r="Z16" s="131"/>
      <c r="AA16" s="104"/>
      <c r="AB16" s="131"/>
      <c r="AC16" s="104"/>
      <c r="AD16" s="131"/>
      <c r="AE16" s="104"/>
      <c r="AF16" s="131"/>
      <c r="AG16" s="104"/>
      <c r="AH16" s="131"/>
      <c r="AI16" s="104"/>
      <c r="AJ16" s="131"/>
      <c r="AK16" s="104"/>
      <c r="AL16" s="131"/>
      <c r="AM16" s="104"/>
      <c r="AN16" s="131"/>
      <c r="AO16" s="104"/>
      <c r="AP16" s="132">
        <f t="shared" si="1"/>
        <v>0</v>
      </c>
      <c r="AQ16" s="129">
        <f t="shared" si="2"/>
        <v>0</v>
      </c>
      <c r="AR16" s="129">
        <f t="shared" si="3"/>
        <v>0</v>
      </c>
      <c r="AS16" s="129">
        <f t="shared" si="4"/>
        <v>0</v>
      </c>
      <c r="AT16" s="133" t="str">
        <f t="shared" si="5"/>
        <v/>
      </c>
    </row>
    <row r="17" ht="15.75" customHeight="1">
      <c r="A17" s="134" t="s">
        <v>21</v>
      </c>
      <c r="B17" s="135">
        <f t="shared" si="6"/>
        <v>44942</v>
      </c>
      <c r="C17" s="136">
        <v>1.0</v>
      </c>
      <c r="D17" s="136" t="s">
        <v>36</v>
      </c>
      <c r="E17" s="137" t="s">
        <v>38</v>
      </c>
      <c r="F17" s="138"/>
      <c r="G17" s="84"/>
      <c r="H17" s="138"/>
      <c r="I17" s="84"/>
      <c r="J17" s="138"/>
      <c r="K17" s="84"/>
      <c r="L17" s="138"/>
      <c r="M17" s="84"/>
      <c r="N17" s="138">
        <v>55.0</v>
      </c>
      <c r="O17" s="84"/>
      <c r="P17" s="138">
        <v>55.0</v>
      </c>
      <c r="Q17" s="84"/>
      <c r="R17" s="138"/>
      <c r="S17" s="84"/>
      <c r="T17" s="138"/>
      <c r="U17" s="84"/>
      <c r="V17" s="139"/>
      <c r="W17" s="84"/>
      <c r="X17" s="139"/>
      <c r="Y17" s="84"/>
      <c r="Z17" s="139"/>
      <c r="AA17" s="84"/>
      <c r="AB17" s="139"/>
      <c r="AC17" s="84"/>
      <c r="AD17" s="139"/>
      <c r="AE17" s="84"/>
      <c r="AF17" s="139"/>
      <c r="AG17" s="84"/>
      <c r="AH17" s="139"/>
      <c r="AI17" s="84"/>
      <c r="AJ17" s="139"/>
      <c r="AK17" s="84"/>
      <c r="AL17" s="139"/>
      <c r="AM17" s="84"/>
      <c r="AN17" s="139"/>
      <c r="AO17" s="84"/>
      <c r="AP17" s="140">
        <f t="shared" si="1"/>
        <v>2496.266667</v>
      </c>
      <c r="AQ17" s="141">
        <f t="shared" si="2"/>
        <v>110</v>
      </c>
      <c r="AR17" s="141">
        <f t="shared" si="3"/>
        <v>0</v>
      </c>
      <c r="AS17" s="141">
        <f t="shared" si="4"/>
        <v>110</v>
      </c>
      <c r="AT17" s="142">
        <f t="shared" si="5"/>
        <v>22.69333333</v>
      </c>
    </row>
    <row r="18" ht="15.75" customHeight="1">
      <c r="A18" s="143" t="s">
        <v>23</v>
      </c>
      <c r="B18" s="144">
        <f t="shared" si="6"/>
        <v>44943</v>
      </c>
      <c r="C18" s="145">
        <v>1.0</v>
      </c>
      <c r="D18" s="145" t="s">
        <v>36</v>
      </c>
      <c r="E18" s="146" t="s">
        <v>38</v>
      </c>
      <c r="F18" s="147"/>
      <c r="G18" s="3"/>
      <c r="H18" s="147"/>
      <c r="I18" s="3"/>
      <c r="J18" s="147"/>
      <c r="K18" s="3"/>
      <c r="L18" s="147"/>
      <c r="M18" s="3"/>
      <c r="N18" s="147">
        <v>55.0</v>
      </c>
      <c r="O18" s="3"/>
      <c r="P18" s="147">
        <v>55.0</v>
      </c>
      <c r="Q18" s="3"/>
      <c r="R18" s="147"/>
      <c r="S18" s="3"/>
      <c r="T18" s="147"/>
      <c r="U18" s="3"/>
      <c r="V18" s="148"/>
      <c r="W18" s="3"/>
      <c r="X18" s="148"/>
      <c r="Y18" s="3"/>
      <c r="Z18" s="148"/>
      <c r="AA18" s="3"/>
      <c r="AB18" s="148"/>
      <c r="AC18" s="3"/>
      <c r="AD18" s="148"/>
      <c r="AE18" s="3"/>
      <c r="AF18" s="148"/>
      <c r="AG18" s="3"/>
      <c r="AH18" s="148"/>
      <c r="AI18" s="3"/>
      <c r="AJ18" s="148"/>
      <c r="AK18" s="3"/>
      <c r="AL18" s="148"/>
      <c r="AM18" s="3"/>
      <c r="AN18" s="148"/>
      <c r="AO18" s="3"/>
      <c r="AP18" s="149">
        <f t="shared" si="1"/>
        <v>2496.266667</v>
      </c>
      <c r="AQ18" s="150">
        <f t="shared" si="2"/>
        <v>110</v>
      </c>
      <c r="AR18" s="150">
        <f t="shared" si="3"/>
        <v>0</v>
      </c>
      <c r="AS18" s="150">
        <f t="shared" si="4"/>
        <v>110</v>
      </c>
      <c r="AT18" s="151">
        <f t="shared" si="5"/>
        <v>22.69333333</v>
      </c>
    </row>
    <row r="19" ht="15.75" customHeight="1">
      <c r="A19" s="143" t="s">
        <v>24</v>
      </c>
      <c r="B19" s="144">
        <f t="shared" si="6"/>
        <v>44944</v>
      </c>
      <c r="C19" s="145">
        <v>1.0</v>
      </c>
      <c r="D19" s="145" t="s">
        <v>36</v>
      </c>
      <c r="E19" s="146" t="s">
        <v>38</v>
      </c>
      <c r="F19" s="147"/>
      <c r="G19" s="3"/>
      <c r="H19" s="147"/>
      <c r="I19" s="3"/>
      <c r="J19" s="147"/>
      <c r="K19" s="3"/>
      <c r="L19" s="147"/>
      <c r="M19" s="3"/>
      <c r="N19" s="147">
        <v>55.0</v>
      </c>
      <c r="O19" s="3"/>
      <c r="P19" s="147">
        <v>55.0</v>
      </c>
      <c r="Q19" s="3"/>
      <c r="R19" s="147"/>
      <c r="S19" s="3"/>
      <c r="T19" s="147"/>
      <c r="U19" s="3"/>
      <c r="V19" s="148"/>
      <c r="W19" s="3"/>
      <c r="X19" s="148"/>
      <c r="Y19" s="3"/>
      <c r="Z19" s="148"/>
      <c r="AA19" s="3"/>
      <c r="AB19" s="148"/>
      <c r="AC19" s="3"/>
      <c r="AD19" s="148"/>
      <c r="AE19" s="3"/>
      <c r="AF19" s="148"/>
      <c r="AG19" s="3"/>
      <c r="AH19" s="148"/>
      <c r="AI19" s="3"/>
      <c r="AJ19" s="148"/>
      <c r="AK19" s="3"/>
      <c r="AL19" s="148"/>
      <c r="AM19" s="3"/>
      <c r="AN19" s="148"/>
      <c r="AO19" s="3"/>
      <c r="AP19" s="149">
        <f t="shared" si="1"/>
        <v>2496.266667</v>
      </c>
      <c r="AQ19" s="150">
        <f t="shared" si="2"/>
        <v>110</v>
      </c>
      <c r="AR19" s="150">
        <f t="shared" si="3"/>
        <v>0</v>
      </c>
      <c r="AS19" s="150">
        <f t="shared" si="4"/>
        <v>110</v>
      </c>
      <c r="AT19" s="151">
        <f t="shared" si="5"/>
        <v>22.69333333</v>
      </c>
    </row>
    <row r="20" ht="15.75" customHeight="1">
      <c r="A20" s="143" t="s">
        <v>25</v>
      </c>
      <c r="B20" s="144">
        <f t="shared" si="6"/>
        <v>44945</v>
      </c>
      <c r="C20" s="145">
        <v>1.0</v>
      </c>
      <c r="D20" s="145" t="s">
        <v>36</v>
      </c>
      <c r="E20" s="146" t="s">
        <v>38</v>
      </c>
      <c r="F20" s="147"/>
      <c r="G20" s="3"/>
      <c r="H20" s="147"/>
      <c r="I20" s="3"/>
      <c r="J20" s="147"/>
      <c r="K20" s="3"/>
      <c r="L20" s="147"/>
      <c r="M20" s="3"/>
      <c r="N20" s="147">
        <v>55.0</v>
      </c>
      <c r="O20" s="3"/>
      <c r="P20" s="147">
        <v>55.0</v>
      </c>
      <c r="Q20" s="3"/>
      <c r="R20" s="147"/>
      <c r="S20" s="3"/>
      <c r="T20" s="147"/>
      <c r="U20" s="3"/>
      <c r="V20" s="148"/>
      <c r="W20" s="3"/>
      <c r="X20" s="148"/>
      <c r="Y20" s="3"/>
      <c r="Z20" s="148"/>
      <c r="AA20" s="3"/>
      <c r="AB20" s="148"/>
      <c r="AC20" s="3"/>
      <c r="AD20" s="148"/>
      <c r="AE20" s="3"/>
      <c r="AF20" s="148"/>
      <c r="AG20" s="3"/>
      <c r="AH20" s="148"/>
      <c r="AI20" s="3"/>
      <c r="AJ20" s="148"/>
      <c r="AK20" s="3"/>
      <c r="AL20" s="148"/>
      <c r="AM20" s="3"/>
      <c r="AN20" s="148"/>
      <c r="AO20" s="3"/>
      <c r="AP20" s="149">
        <f t="shared" si="1"/>
        <v>2496.266667</v>
      </c>
      <c r="AQ20" s="150">
        <f t="shared" si="2"/>
        <v>110</v>
      </c>
      <c r="AR20" s="150">
        <f t="shared" si="3"/>
        <v>0</v>
      </c>
      <c r="AS20" s="150">
        <f t="shared" si="4"/>
        <v>110</v>
      </c>
      <c r="AT20" s="151">
        <f t="shared" si="5"/>
        <v>22.69333333</v>
      </c>
    </row>
    <row r="21" ht="15.75" customHeight="1">
      <c r="A21" s="143" t="s">
        <v>26</v>
      </c>
      <c r="B21" s="144">
        <f t="shared" si="6"/>
        <v>44946</v>
      </c>
      <c r="C21" s="145">
        <v>1.0</v>
      </c>
      <c r="D21" s="145" t="s">
        <v>36</v>
      </c>
      <c r="E21" s="146" t="s">
        <v>38</v>
      </c>
      <c r="F21" s="147"/>
      <c r="G21" s="3"/>
      <c r="H21" s="147"/>
      <c r="I21" s="3"/>
      <c r="J21" s="147"/>
      <c r="K21" s="3"/>
      <c r="L21" s="147"/>
      <c r="M21" s="3"/>
      <c r="N21" s="147">
        <v>0.0</v>
      </c>
      <c r="O21" s="3"/>
      <c r="P21" s="147">
        <v>0.0</v>
      </c>
      <c r="Q21" s="3"/>
      <c r="R21" s="147"/>
      <c r="S21" s="3"/>
      <c r="T21" s="147"/>
      <c r="U21" s="3"/>
      <c r="V21" s="148"/>
      <c r="W21" s="3"/>
      <c r="X21" s="148"/>
      <c r="Y21" s="3"/>
      <c r="Z21" s="148"/>
      <c r="AA21" s="3"/>
      <c r="AB21" s="148"/>
      <c r="AC21" s="3"/>
      <c r="AD21" s="148"/>
      <c r="AE21" s="3"/>
      <c r="AF21" s="148"/>
      <c r="AG21" s="3"/>
      <c r="AH21" s="148"/>
      <c r="AI21" s="3"/>
      <c r="AJ21" s="148"/>
      <c r="AK21" s="3"/>
      <c r="AL21" s="148"/>
      <c r="AM21" s="3"/>
      <c r="AN21" s="148"/>
      <c r="AO21" s="3"/>
      <c r="AP21" s="149">
        <f t="shared" si="1"/>
        <v>0</v>
      </c>
      <c r="AQ21" s="150">
        <f t="shared" si="2"/>
        <v>0</v>
      </c>
      <c r="AR21" s="150">
        <f t="shared" si="3"/>
        <v>0</v>
      </c>
      <c r="AS21" s="150">
        <f t="shared" si="4"/>
        <v>0</v>
      </c>
      <c r="AT21" s="151" t="str">
        <f t="shared" si="5"/>
        <v/>
      </c>
    </row>
    <row r="22" ht="15.75" customHeight="1">
      <c r="A22" s="143" t="s">
        <v>27</v>
      </c>
      <c r="B22" s="144">
        <f t="shared" si="6"/>
        <v>44947</v>
      </c>
      <c r="C22" s="145">
        <v>1.0</v>
      </c>
      <c r="D22" s="145" t="s">
        <v>36</v>
      </c>
      <c r="E22" s="150"/>
      <c r="F22" s="147"/>
      <c r="G22" s="3"/>
      <c r="H22" s="147"/>
      <c r="I22" s="3"/>
      <c r="J22" s="147"/>
      <c r="K22" s="3"/>
      <c r="L22" s="147"/>
      <c r="M22" s="3"/>
      <c r="N22" s="147">
        <v>0.0</v>
      </c>
      <c r="O22" s="3"/>
      <c r="P22" s="147">
        <v>0.0</v>
      </c>
      <c r="Q22" s="3"/>
      <c r="R22" s="147"/>
      <c r="S22" s="3"/>
      <c r="T22" s="147"/>
      <c r="U22" s="3"/>
      <c r="V22" s="148"/>
      <c r="W22" s="3"/>
      <c r="X22" s="148"/>
      <c r="Y22" s="3"/>
      <c r="Z22" s="148"/>
      <c r="AA22" s="3"/>
      <c r="AB22" s="148"/>
      <c r="AC22" s="3"/>
      <c r="AD22" s="148"/>
      <c r="AE22" s="3"/>
      <c r="AF22" s="148"/>
      <c r="AG22" s="3"/>
      <c r="AH22" s="148"/>
      <c r="AI22" s="3"/>
      <c r="AJ22" s="148"/>
      <c r="AK22" s="3"/>
      <c r="AL22" s="148"/>
      <c r="AM22" s="3"/>
      <c r="AN22" s="148"/>
      <c r="AO22" s="3"/>
      <c r="AP22" s="149">
        <f t="shared" si="1"/>
        <v>0</v>
      </c>
      <c r="AQ22" s="150">
        <f t="shared" si="2"/>
        <v>0</v>
      </c>
      <c r="AR22" s="150">
        <f t="shared" si="3"/>
        <v>0</v>
      </c>
      <c r="AS22" s="150">
        <f t="shared" si="4"/>
        <v>0</v>
      </c>
      <c r="AT22" s="151" t="str">
        <f t="shared" si="5"/>
        <v/>
      </c>
    </row>
    <row r="23" ht="15.75" customHeight="1">
      <c r="A23" s="143" t="s">
        <v>28</v>
      </c>
      <c r="B23" s="144">
        <f t="shared" si="6"/>
        <v>44948</v>
      </c>
      <c r="C23" s="145">
        <v>1.0</v>
      </c>
      <c r="D23" s="145" t="s">
        <v>36</v>
      </c>
      <c r="E23" s="157"/>
      <c r="F23" s="159"/>
      <c r="G23" s="73"/>
      <c r="H23" s="159"/>
      <c r="I23" s="73"/>
      <c r="J23" s="159"/>
      <c r="K23" s="73"/>
      <c r="L23" s="159"/>
      <c r="M23" s="73"/>
      <c r="N23" s="159">
        <v>0.0</v>
      </c>
      <c r="O23" s="73"/>
      <c r="P23" s="159">
        <v>0.0</v>
      </c>
      <c r="Q23" s="73"/>
      <c r="R23" s="159"/>
      <c r="S23" s="73"/>
      <c r="T23" s="159"/>
      <c r="U23" s="73"/>
      <c r="V23" s="160"/>
      <c r="W23" s="73"/>
      <c r="X23" s="160"/>
      <c r="Y23" s="73"/>
      <c r="Z23" s="160"/>
      <c r="AA23" s="73"/>
      <c r="AB23" s="160"/>
      <c r="AC23" s="73"/>
      <c r="AD23" s="160"/>
      <c r="AE23" s="73"/>
      <c r="AF23" s="160"/>
      <c r="AG23" s="73"/>
      <c r="AH23" s="160"/>
      <c r="AI23" s="73"/>
      <c r="AJ23" s="160"/>
      <c r="AK23" s="73"/>
      <c r="AL23" s="160"/>
      <c r="AM23" s="73"/>
      <c r="AN23" s="160"/>
      <c r="AO23" s="73"/>
      <c r="AP23" s="161">
        <f t="shared" si="1"/>
        <v>0</v>
      </c>
      <c r="AQ23" s="157">
        <f t="shared" si="2"/>
        <v>0</v>
      </c>
      <c r="AR23" s="157">
        <f t="shared" si="3"/>
        <v>0</v>
      </c>
      <c r="AS23" s="157">
        <f t="shared" si="4"/>
        <v>0</v>
      </c>
      <c r="AT23" s="162" t="str">
        <f t="shared" si="5"/>
        <v/>
      </c>
    </row>
    <row r="24" ht="15.75" customHeight="1">
      <c r="A24" s="108" t="s">
        <v>21</v>
      </c>
      <c r="B24" s="109">
        <f t="shared" si="6"/>
        <v>44949</v>
      </c>
      <c r="C24" s="110">
        <v>1.0</v>
      </c>
      <c r="D24" s="110" t="s">
        <v>37</v>
      </c>
      <c r="E24" s="163" t="s">
        <v>38</v>
      </c>
      <c r="F24" s="112">
        <v>0.0</v>
      </c>
      <c r="G24" s="84"/>
      <c r="H24" s="112">
        <v>0.0</v>
      </c>
      <c r="I24" s="84"/>
      <c r="J24" s="112">
        <v>0.0</v>
      </c>
      <c r="K24" s="84"/>
      <c r="L24" s="112">
        <v>0.0</v>
      </c>
      <c r="M24" s="84"/>
      <c r="N24" s="112">
        <v>55.0</v>
      </c>
      <c r="O24" s="84"/>
      <c r="P24" s="112">
        <v>55.0</v>
      </c>
      <c r="Q24" s="84"/>
      <c r="R24" s="112">
        <v>0.0</v>
      </c>
      <c r="S24" s="84"/>
      <c r="T24" s="112">
        <v>0.0</v>
      </c>
      <c r="U24" s="84"/>
      <c r="V24" s="164">
        <v>0.0</v>
      </c>
      <c r="W24" s="84"/>
      <c r="X24" s="164"/>
      <c r="Y24" s="84"/>
      <c r="Z24" s="164"/>
      <c r="AA24" s="84"/>
      <c r="AB24" s="164">
        <v>0.0</v>
      </c>
      <c r="AC24" s="84"/>
      <c r="AD24" s="164">
        <v>0.0</v>
      </c>
      <c r="AE24" s="84"/>
      <c r="AF24" s="164">
        <v>0.0</v>
      </c>
      <c r="AG24" s="84"/>
      <c r="AH24" s="164">
        <v>0.0</v>
      </c>
      <c r="AI24" s="84"/>
      <c r="AJ24" s="164">
        <v>0.0</v>
      </c>
      <c r="AK24" s="84"/>
      <c r="AL24" s="164">
        <v>0.0</v>
      </c>
      <c r="AM24" s="84"/>
      <c r="AN24" s="164">
        <v>0.0</v>
      </c>
      <c r="AO24" s="84"/>
      <c r="AP24" s="114">
        <f t="shared" si="1"/>
        <v>2496.266667</v>
      </c>
      <c r="AQ24" s="115">
        <f t="shared" si="2"/>
        <v>110</v>
      </c>
      <c r="AR24" s="115">
        <f t="shared" si="3"/>
        <v>0</v>
      </c>
      <c r="AS24" s="115">
        <f t="shared" si="4"/>
        <v>110</v>
      </c>
      <c r="AT24" s="116">
        <f t="shared" si="5"/>
        <v>22.69333333</v>
      </c>
    </row>
    <row r="25" ht="15.75" customHeight="1">
      <c r="A25" s="117" t="s">
        <v>23</v>
      </c>
      <c r="B25" s="118">
        <f t="shared" si="6"/>
        <v>44950</v>
      </c>
      <c r="C25" s="119">
        <v>1.0</v>
      </c>
      <c r="D25" s="119" t="s">
        <v>37</v>
      </c>
      <c r="E25" s="165" t="s">
        <v>38</v>
      </c>
      <c r="F25" s="121">
        <v>0.0</v>
      </c>
      <c r="G25" s="3"/>
      <c r="H25" s="121">
        <v>0.0</v>
      </c>
      <c r="I25" s="3"/>
      <c r="J25" s="121">
        <v>0.0</v>
      </c>
      <c r="K25" s="3"/>
      <c r="L25" s="121">
        <v>0.0</v>
      </c>
      <c r="M25" s="3"/>
      <c r="N25" s="121">
        <v>55.0</v>
      </c>
      <c r="O25" s="3"/>
      <c r="P25" s="121">
        <v>55.0</v>
      </c>
      <c r="Q25" s="3"/>
      <c r="R25" s="121">
        <v>0.0</v>
      </c>
      <c r="S25" s="3"/>
      <c r="T25" s="121">
        <v>0.0</v>
      </c>
      <c r="U25" s="3"/>
      <c r="V25" s="166">
        <v>0.0</v>
      </c>
      <c r="W25" s="3"/>
      <c r="X25" s="166"/>
      <c r="Y25" s="3"/>
      <c r="Z25" s="166"/>
      <c r="AA25" s="3"/>
      <c r="AB25" s="166">
        <v>0.0</v>
      </c>
      <c r="AC25" s="3"/>
      <c r="AD25" s="166">
        <v>0.0</v>
      </c>
      <c r="AE25" s="3"/>
      <c r="AF25" s="166">
        <v>0.0</v>
      </c>
      <c r="AG25" s="3"/>
      <c r="AH25" s="166">
        <v>0.0</v>
      </c>
      <c r="AI25" s="3"/>
      <c r="AJ25" s="166">
        <v>0.0</v>
      </c>
      <c r="AK25" s="3"/>
      <c r="AL25" s="166">
        <v>0.0</v>
      </c>
      <c r="AM25" s="3"/>
      <c r="AN25" s="166">
        <v>0.0</v>
      </c>
      <c r="AO25" s="3"/>
      <c r="AP25" s="123">
        <f t="shared" si="1"/>
        <v>2496.266667</v>
      </c>
      <c r="AQ25" s="124">
        <f t="shared" si="2"/>
        <v>110</v>
      </c>
      <c r="AR25" s="124">
        <f t="shared" si="3"/>
        <v>0</v>
      </c>
      <c r="AS25" s="124">
        <f t="shared" si="4"/>
        <v>110</v>
      </c>
      <c r="AT25" s="125">
        <f t="shared" si="5"/>
        <v>22.69333333</v>
      </c>
    </row>
    <row r="26" ht="15.75" customHeight="1">
      <c r="A26" s="117" t="s">
        <v>24</v>
      </c>
      <c r="B26" s="118">
        <f t="shared" si="6"/>
        <v>44951</v>
      </c>
      <c r="C26" s="119">
        <v>1.0</v>
      </c>
      <c r="D26" s="119" t="s">
        <v>37</v>
      </c>
      <c r="E26" s="165" t="s">
        <v>38</v>
      </c>
      <c r="F26" s="121">
        <v>0.0</v>
      </c>
      <c r="G26" s="3"/>
      <c r="H26" s="121">
        <v>0.0</v>
      </c>
      <c r="I26" s="3"/>
      <c r="J26" s="121">
        <v>0.0</v>
      </c>
      <c r="K26" s="3"/>
      <c r="L26" s="121">
        <v>0.0</v>
      </c>
      <c r="M26" s="3"/>
      <c r="N26" s="121">
        <v>55.0</v>
      </c>
      <c r="O26" s="3"/>
      <c r="P26" s="121">
        <v>55.0</v>
      </c>
      <c r="Q26" s="3"/>
      <c r="R26" s="121">
        <v>0.0</v>
      </c>
      <c r="S26" s="3"/>
      <c r="T26" s="121">
        <v>0.0</v>
      </c>
      <c r="U26" s="3"/>
      <c r="V26" s="166">
        <v>0.0</v>
      </c>
      <c r="W26" s="3"/>
      <c r="X26" s="166"/>
      <c r="Y26" s="3"/>
      <c r="Z26" s="166"/>
      <c r="AA26" s="3"/>
      <c r="AB26" s="166">
        <v>0.0</v>
      </c>
      <c r="AC26" s="3"/>
      <c r="AD26" s="166">
        <v>0.0</v>
      </c>
      <c r="AE26" s="3"/>
      <c r="AF26" s="166">
        <v>0.0</v>
      </c>
      <c r="AG26" s="3"/>
      <c r="AH26" s="166">
        <v>0.0</v>
      </c>
      <c r="AI26" s="3"/>
      <c r="AJ26" s="166">
        <v>0.0</v>
      </c>
      <c r="AK26" s="3"/>
      <c r="AL26" s="166">
        <v>0.0</v>
      </c>
      <c r="AM26" s="3"/>
      <c r="AN26" s="166">
        <v>0.0</v>
      </c>
      <c r="AO26" s="3"/>
      <c r="AP26" s="123">
        <f t="shared" si="1"/>
        <v>2496.266667</v>
      </c>
      <c r="AQ26" s="124">
        <f t="shared" si="2"/>
        <v>110</v>
      </c>
      <c r="AR26" s="124">
        <f t="shared" si="3"/>
        <v>0</v>
      </c>
      <c r="AS26" s="124">
        <f t="shared" si="4"/>
        <v>110</v>
      </c>
      <c r="AT26" s="125">
        <f t="shared" si="5"/>
        <v>22.69333333</v>
      </c>
    </row>
    <row r="27" ht="15.75" customHeight="1">
      <c r="A27" s="117" t="s">
        <v>25</v>
      </c>
      <c r="B27" s="118">
        <f t="shared" si="6"/>
        <v>44952</v>
      </c>
      <c r="C27" s="119">
        <v>1.0</v>
      </c>
      <c r="D27" s="119" t="s">
        <v>37</v>
      </c>
      <c r="E27" s="165" t="s">
        <v>38</v>
      </c>
      <c r="F27" s="121">
        <v>0.0</v>
      </c>
      <c r="G27" s="3"/>
      <c r="H27" s="121">
        <v>0.0</v>
      </c>
      <c r="I27" s="3"/>
      <c r="J27" s="121">
        <v>0.0</v>
      </c>
      <c r="K27" s="3"/>
      <c r="L27" s="121">
        <v>0.0</v>
      </c>
      <c r="M27" s="3"/>
      <c r="N27" s="121">
        <v>55.0</v>
      </c>
      <c r="O27" s="3"/>
      <c r="P27" s="121">
        <v>55.0</v>
      </c>
      <c r="Q27" s="3"/>
      <c r="R27" s="121">
        <v>0.0</v>
      </c>
      <c r="S27" s="3"/>
      <c r="T27" s="121">
        <v>0.0</v>
      </c>
      <c r="U27" s="3"/>
      <c r="V27" s="166">
        <v>0.0</v>
      </c>
      <c r="W27" s="3"/>
      <c r="X27" s="166"/>
      <c r="Y27" s="3"/>
      <c r="Z27" s="166"/>
      <c r="AA27" s="3"/>
      <c r="AB27" s="166">
        <v>0.0</v>
      </c>
      <c r="AC27" s="3"/>
      <c r="AD27" s="166">
        <v>0.0</v>
      </c>
      <c r="AE27" s="3"/>
      <c r="AF27" s="166">
        <v>0.0</v>
      </c>
      <c r="AG27" s="3"/>
      <c r="AH27" s="166">
        <v>0.0</v>
      </c>
      <c r="AI27" s="3"/>
      <c r="AJ27" s="166">
        <v>0.0</v>
      </c>
      <c r="AK27" s="3"/>
      <c r="AL27" s="166">
        <v>0.0</v>
      </c>
      <c r="AM27" s="3"/>
      <c r="AN27" s="166">
        <v>0.0</v>
      </c>
      <c r="AO27" s="3"/>
      <c r="AP27" s="123">
        <f t="shared" si="1"/>
        <v>2496.266667</v>
      </c>
      <c r="AQ27" s="124">
        <f t="shared" si="2"/>
        <v>110</v>
      </c>
      <c r="AR27" s="124">
        <f t="shared" si="3"/>
        <v>0</v>
      </c>
      <c r="AS27" s="124">
        <f t="shared" si="4"/>
        <v>110</v>
      </c>
      <c r="AT27" s="125">
        <f t="shared" si="5"/>
        <v>22.69333333</v>
      </c>
    </row>
    <row r="28" ht="15.75" customHeight="1">
      <c r="A28" s="117" t="s">
        <v>26</v>
      </c>
      <c r="B28" s="118">
        <f t="shared" si="6"/>
        <v>44953</v>
      </c>
      <c r="C28" s="119">
        <v>1.0</v>
      </c>
      <c r="D28" s="119" t="s">
        <v>37</v>
      </c>
      <c r="E28" s="165" t="s">
        <v>38</v>
      </c>
      <c r="F28" s="121">
        <v>0.0</v>
      </c>
      <c r="G28" s="3"/>
      <c r="H28" s="121">
        <v>0.0</v>
      </c>
      <c r="I28" s="3"/>
      <c r="J28" s="121">
        <v>0.0</v>
      </c>
      <c r="K28" s="3"/>
      <c r="L28" s="121">
        <v>0.0</v>
      </c>
      <c r="M28" s="3"/>
      <c r="N28" s="121">
        <v>55.0</v>
      </c>
      <c r="O28" s="3"/>
      <c r="P28" s="121">
        <v>55.0</v>
      </c>
      <c r="Q28" s="3"/>
      <c r="R28" s="121">
        <v>0.0</v>
      </c>
      <c r="S28" s="3"/>
      <c r="T28" s="121">
        <v>0.0</v>
      </c>
      <c r="U28" s="3"/>
      <c r="V28" s="166">
        <v>0.0</v>
      </c>
      <c r="W28" s="3"/>
      <c r="X28" s="166"/>
      <c r="Y28" s="3"/>
      <c r="Z28" s="166"/>
      <c r="AA28" s="3"/>
      <c r="AB28" s="166">
        <v>0.0</v>
      </c>
      <c r="AC28" s="3"/>
      <c r="AD28" s="166">
        <v>0.0</v>
      </c>
      <c r="AE28" s="3"/>
      <c r="AF28" s="166">
        <v>0.0</v>
      </c>
      <c r="AG28" s="3"/>
      <c r="AH28" s="166">
        <v>0.0</v>
      </c>
      <c r="AI28" s="3"/>
      <c r="AJ28" s="166">
        <v>0.0</v>
      </c>
      <c r="AK28" s="3"/>
      <c r="AL28" s="166">
        <v>0.0</v>
      </c>
      <c r="AM28" s="3"/>
      <c r="AN28" s="166">
        <v>0.0</v>
      </c>
      <c r="AO28" s="3"/>
      <c r="AP28" s="123">
        <f t="shared" si="1"/>
        <v>2496.266667</v>
      </c>
      <c r="AQ28" s="124">
        <f t="shared" si="2"/>
        <v>110</v>
      </c>
      <c r="AR28" s="124">
        <f t="shared" si="3"/>
        <v>0</v>
      </c>
      <c r="AS28" s="124">
        <f t="shared" si="4"/>
        <v>110</v>
      </c>
      <c r="AT28" s="125">
        <f t="shared" si="5"/>
        <v>22.69333333</v>
      </c>
    </row>
    <row r="29" ht="15.75" customHeight="1">
      <c r="A29" s="117" t="s">
        <v>27</v>
      </c>
      <c r="B29" s="118">
        <f t="shared" si="6"/>
        <v>44954</v>
      </c>
      <c r="C29" s="119">
        <v>1.0</v>
      </c>
      <c r="D29" s="119" t="s">
        <v>37</v>
      </c>
      <c r="E29" s="124"/>
      <c r="F29" s="121">
        <v>0.0</v>
      </c>
      <c r="G29" s="3"/>
      <c r="H29" s="121">
        <v>0.0</v>
      </c>
      <c r="I29" s="3"/>
      <c r="J29" s="121">
        <v>0.0</v>
      </c>
      <c r="K29" s="3"/>
      <c r="L29" s="121">
        <v>0.0</v>
      </c>
      <c r="M29" s="3"/>
      <c r="N29" s="121">
        <v>0.0</v>
      </c>
      <c r="O29" s="3"/>
      <c r="P29" s="121">
        <v>0.0</v>
      </c>
      <c r="Q29" s="3"/>
      <c r="R29" s="121">
        <v>0.0</v>
      </c>
      <c r="S29" s="3"/>
      <c r="T29" s="121">
        <v>0.0</v>
      </c>
      <c r="U29" s="3"/>
      <c r="V29" s="166">
        <v>0.0</v>
      </c>
      <c r="W29" s="3"/>
      <c r="X29" s="166"/>
      <c r="Y29" s="3"/>
      <c r="Z29" s="166"/>
      <c r="AA29" s="3"/>
      <c r="AB29" s="166">
        <v>0.0</v>
      </c>
      <c r="AC29" s="3"/>
      <c r="AD29" s="166">
        <v>0.0</v>
      </c>
      <c r="AE29" s="3"/>
      <c r="AF29" s="166">
        <v>0.0</v>
      </c>
      <c r="AG29" s="3"/>
      <c r="AH29" s="166">
        <v>0.0</v>
      </c>
      <c r="AI29" s="3"/>
      <c r="AJ29" s="166">
        <v>0.0</v>
      </c>
      <c r="AK29" s="3"/>
      <c r="AL29" s="166">
        <v>0.0</v>
      </c>
      <c r="AM29" s="3"/>
      <c r="AN29" s="166">
        <v>0.0</v>
      </c>
      <c r="AO29" s="3"/>
      <c r="AP29" s="123">
        <f t="shared" si="1"/>
        <v>0</v>
      </c>
      <c r="AQ29" s="124">
        <f t="shared" si="2"/>
        <v>0</v>
      </c>
      <c r="AR29" s="124">
        <f t="shared" si="3"/>
        <v>0</v>
      </c>
      <c r="AS29" s="124">
        <f t="shared" si="4"/>
        <v>0</v>
      </c>
      <c r="AT29" s="125" t="str">
        <f t="shared" si="5"/>
        <v/>
      </c>
    </row>
    <row r="30" ht="15.75" customHeight="1">
      <c r="A30" s="126" t="s">
        <v>28</v>
      </c>
      <c r="B30" s="127">
        <f t="shared" si="6"/>
        <v>44955</v>
      </c>
      <c r="C30" s="128">
        <v>1.0</v>
      </c>
      <c r="D30" s="128" t="s">
        <v>37</v>
      </c>
      <c r="E30" s="129"/>
      <c r="F30" s="130">
        <v>0.0</v>
      </c>
      <c r="G30" s="104"/>
      <c r="H30" s="130">
        <v>0.0</v>
      </c>
      <c r="I30" s="104"/>
      <c r="J30" s="130">
        <v>0.0</v>
      </c>
      <c r="K30" s="104"/>
      <c r="L30" s="130">
        <v>0.0</v>
      </c>
      <c r="M30" s="104"/>
      <c r="N30" s="130">
        <v>0.0</v>
      </c>
      <c r="O30" s="104"/>
      <c r="P30" s="130">
        <v>0.0</v>
      </c>
      <c r="Q30" s="104"/>
      <c r="R30" s="130">
        <v>0.0</v>
      </c>
      <c r="S30" s="104"/>
      <c r="T30" s="130">
        <v>0.0</v>
      </c>
      <c r="U30" s="104"/>
      <c r="V30" s="171">
        <v>0.0</v>
      </c>
      <c r="W30" s="104"/>
      <c r="X30" s="171"/>
      <c r="Y30" s="104"/>
      <c r="Z30" s="171"/>
      <c r="AA30" s="104"/>
      <c r="AB30" s="171">
        <v>0.0</v>
      </c>
      <c r="AC30" s="104"/>
      <c r="AD30" s="171">
        <v>0.0</v>
      </c>
      <c r="AE30" s="104"/>
      <c r="AF30" s="171">
        <v>0.0</v>
      </c>
      <c r="AG30" s="104"/>
      <c r="AH30" s="171">
        <v>0.0</v>
      </c>
      <c r="AI30" s="104"/>
      <c r="AJ30" s="171">
        <v>0.0</v>
      </c>
      <c r="AK30" s="104"/>
      <c r="AL30" s="171">
        <v>0.0</v>
      </c>
      <c r="AM30" s="104"/>
      <c r="AN30" s="171">
        <v>0.0</v>
      </c>
      <c r="AO30" s="104"/>
      <c r="AP30" s="132">
        <f t="shared" si="1"/>
        <v>0</v>
      </c>
      <c r="AQ30" s="129">
        <f t="shared" si="2"/>
        <v>0</v>
      </c>
      <c r="AR30" s="129">
        <f t="shared" si="3"/>
        <v>0</v>
      </c>
      <c r="AS30" s="129">
        <f t="shared" si="4"/>
        <v>0</v>
      </c>
      <c r="AT30" s="133" t="str">
        <f t="shared" si="5"/>
        <v/>
      </c>
    </row>
    <row r="31" ht="15.75" customHeight="1">
      <c r="A31" s="134" t="s">
        <v>21</v>
      </c>
      <c r="B31" s="135">
        <f t="shared" si="6"/>
        <v>44956</v>
      </c>
      <c r="C31" s="136">
        <v>2.0</v>
      </c>
      <c r="D31" s="136" t="s">
        <v>22</v>
      </c>
      <c r="E31" s="174" t="s">
        <v>39</v>
      </c>
      <c r="F31" s="138">
        <v>0.0</v>
      </c>
      <c r="G31" s="84"/>
      <c r="H31" s="138">
        <v>0.0</v>
      </c>
      <c r="I31" s="84"/>
      <c r="J31" s="138">
        <v>0.0</v>
      </c>
      <c r="K31" s="84"/>
      <c r="L31" s="138">
        <v>0.0</v>
      </c>
      <c r="M31" s="84"/>
      <c r="N31" s="138">
        <v>55.0</v>
      </c>
      <c r="O31" s="84"/>
      <c r="P31" s="138">
        <v>55.0</v>
      </c>
      <c r="Q31" s="84"/>
      <c r="R31" s="138">
        <v>0.0</v>
      </c>
      <c r="S31" s="84"/>
      <c r="T31" s="138">
        <v>0.0</v>
      </c>
      <c r="U31" s="84"/>
      <c r="V31" s="138">
        <v>0.0</v>
      </c>
      <c r="W31" s="84"/>
      <c r="X31" s="138"/>
      <c r="Y31" s="84"/>
      <c r="Z31" s="138"/>
      <c r="AA31" s="84"/>
      <c r="AB31" s="138">
        <v>0.0</v>
      </c>
      <c r="AC31" s="84"/>
      <c r="AD31" s="138">
        <v>0.0</v>
      </c>
      <c r="AE31" s="84"/>
      <c r="AF31" s="138">
        <v>0.0</v>
      </c>
      <c r="AG31" s="84"/>
      <c r="AH31" s="138">
        <v>0.0</v>
      </c>
      <c r="AI31" s="84"/>
      <c r="AJ31" s="138">
        <v>0.0</v>
      </c>
      <c r="AK31" s="84"/>
      <c r="AL31" s="138">
        <v>0.0</v>
      </c>
      <c r="AM31" s="84"/>
      <c r="AN31" s="138">
        <v>0.0</v>
      </c>
      <c r="AO31" s="84"/>
      <c r="AP31" s="140">
        <f t="shared" si="1"/>
        <v>2496.266667</v>
      </c>
      <c r="AQ31" s="141">
        <f t="shared" si="2"/>
        <v>110</v>
      </c>
      <c r="AR31" s="141">
        <f t="shared" si="3"/>
        <v>0</v>
      </c>
      <c r="AS31" s="141">
        <f t="shared" si="4"/>
        <v>110</v>
      </c>
      <c r="AT31" s="142">
        <f t="shared" si="5"/>
        <v>22.69333333</v>
      </c>
    </row>
    <row r="32" ht="15.75" customHeight="1">
      <c r="A32" s="143" t="s">
        <v>23</v>
      </c>
      <c r="B32" s="144">
        <f t="shared" si="6"/>
        <v>44957</v>
      </c>
      <c r="C32" s="145">
        <v>2.0</v>
      </c>
      <c r="D32" s="145" t="s">
        <v>22</v>
      </c>
      <c r="E32" s="175" t="s">
        <v>39</v>
      </c>
      <c r="F32" s="147">
        <v>0.0</v>
      </c>
      <c r="G32" s="3"/>
      <c r="H32" s="147">
        <v>0.0</v>
      </c>
      <c r="I32" s="3"/>
      <c r="J32" s="147">
        <v>0.0</v>
      </c>
      <c r="K32" s="3"/>
      <c r="L32" s="147">
        <v>0.0</v>
      </c>
      <c r="M32" s="3"/>
      <c r="N32" s="147">
        <v>55.0</v>
      </c>
      <c r="O32" s="3"/>
      <c r="P32" s="147">
        <v>55.0</v>
      </c>
      <c r="Q32" s="3"/>
      <c r="R32" s="147">
        <v>0.0</v>
      </c>
      <c r="S32" s="3"/>
      <c r="T32" s="147">
        <v>0.0</v>
      </c>
      <c r="U32" s="3"/>
      <c r="V32" s="147">
        <v>0.0</v>
      </c>
      <c r="W32" s="3"/>
      <c r="X32" s="147"/>
      <c r="Y32" s="3"/>
      <c r="Z32" s="147"/>
      <c r="AA32" s="3"/>
      <c r="AB32" s="147">
        <v>0.0</v>
      </c>
      <c r="AC32" s="3"/>
      <c r="AD32" s="147">
        <v>0.0</v>
      </c>
      <c r="AE32" s="3"/>
      <c r="AF32" s="147">
        <v>0.0</v>
      </c>
      <c r="AG32" s="3"/>
      <c r="AH32" s="147">
        <v>0.0</v>
      </c>
      <c r="AI32" s="3"/>
      <c r="AJ32" s="147">
        <v>0.0</v>
      </c>
      <c r="AK32" s="3"/>
      <c r="AL32" s="147">
        <v>0.0</v>
      </c>
      <c r="AM32" s="3"/>
      <c r="AN32" s="147">
        <v>0.0</v>
      </c>
      <c r="AO32" s="3"/>
      <c r="AP32" s="149">
        <f t="shared" si="1"/>
        <v>2496.266667</v>
      </c>
      <c r="AQ32" s="150">
        <f t="shared" si="2"/>
        <v>110</v>
      </c>
      <c r="AR32" s="150">
        <f t="shared" si="3"/>
        <v>0</v>
      </c>
      <c r="AS32" s="150">
        <f t="shared" si="4"/>
        <v>110</v>
      </c>
      <c r="AT32" s="151">
        <f t="shared" si="5"/>
        <v>22.69333333</v>
      </c>
    </row>
    <row r="33" ht="15.75" customHeight="1">
      <c r="A33" s="143" t="s">
        <v>24</v>
      </c>
      <c r="B33" s="144">
        <f t="shared" si="6"/>
        <v>44958</v>
      </c>
      <c r="C33" s="145">
        <v>2.0</v>
      </c>
      <c r="D33" s="145" t="s">
        <v>22</v>
      </c>
      <c r="E33" s="175" t="s">
        <v>39</v>
      </c>
      <c r="F33" s="147">
        <v>0.0</v>
      </c>
      <c r="G33" s="3"/>
      <c r="H33" s="147">
        <v>0.0</v>
      </c>
      <c r="I33" s="3"/>
      <c r="J33" s="147">
        <v>0.0</v>
      </c>
      <c r="K33" s="3"/>
      <c r="L33" s="147">
        <v>0.0</v>
      </c>
      <c r="M33" s="3"/>
      <c r="N33" s="147">
        <v>55.0</v>
      </c>
      <c r="O33" s="3"/>
      <c r="P33" s="147">
        <v>55.0</v>
      </c>
      <c r="Q33" s="3"/>
      <c r="R33" s="147">
        <v>0.0</v>
      </c>
      <c r="S33" s="3"/>
      <c r="T33" s="147">
        <v>0.0</v>
      </c>
      <c r="U33" s="3"/>
      <c r="V33" s="147">
        <v>0.0</v>
      </c>
      <c r="W33" s="3"/>
      <c r="X33" s="147"/>
      <c r="Y33" s="3"/>
      <c r="Z33" s="147"/>
      <c r="AA33" s="3"/>
      <c r="AB33" s="147">
        <v>0.0</v>
      </c>
      <c r="AC33" s="3"/>
      <c r="AD33" s="147">
        <v>0.0</v>
      </c>
      <c r="AE33" s="3"/>
      <c r="AF33" s="147">
        <v>0.0</v>
      </c>
      <c r="AG33" s="3"/>
      <c r="AH33" s="147">
        <v>0.0</v>
      </c>
      <c r="AI33" s="3"/>
      <c r="AJ33" s="147">
        <v>0.0</v>
      </c>
      <c r="AK33" s="3"/>
      <c r="AL33" s="147">
        <v>0.0</v>
      </c>
      <c r="AM33" s="3"/>
      <c r="AN33" s="147">
        <v>0.0</v>
      </c>
      <c r="AO33" s="3"/>
      <c r="AP33" s="149">
        <f t="shared" si="1"/>
        <v>2496.266667</v>
      </c>
      <c r="AQ33" s="150">
        <f t="shared" si="2"/>
        <v>110</v>
      </c>
      <c r="AR33" s="150">
        <f t="shared" si="3"/>
        <v>0</v>
      </c>
      <c r="AS33" s="150">
        <f t="shared" si="4"/>
        <v>110</v>
      </c>
      <c r="AT33" s="151">
        <f t="shared" si="5"/>
        <v>22.69333333</v>
      </c>
    </row>
    <row r="34" ht="15.75" customHeight="1">
      <c r="A34" s="143" t="s">
        <v>25</v>
      </c>
      <c r="B34" s="144">
        <f t="shared" si="6"/>
        <v>44959</v>
      </c>
      <c r="C34" s="145">
        <v>2.0</v>
      </c>
      <c r="D34" s="145" t="s">
        <v>22</v>
      </c>
      <c r="E34" s="175" t="s">
        <v>39</v>
      </c>
      <c r="F34" s="147">
        <v>0.0</v>
      </c>
      <c r="G34" s="3"/>
      <c r="H34" s="147">
        <v>0.0</v>
      </c>
      <c r="I34" s="3"/>
      <c r="J34" s="147">
        <v>0.0</v>
      </c>
      <c r="K34" s="3"/>
      <c r="L34" s="147">
        <v>0.0</v>
      </c>
      <c r="M34" s="3"/>
      <c r="N34" s="147">
        <v>55.0</v>
      </c>
      <c r="O34" s="3"/>
      <c r="P34" s="147">
        <v>55.0</v>
      </c>
      <c r="Q34" s="3"/>
      <c r="R34" s="147">
        <v>0.0</v>
      </c>
      <c r="S34" s="3"/>
      <c r="T34" s="147">
        <v>0.0</v>
      </c>
      <c r="U34" s="3"/>
      <c r="V34" s="147">
        <v>0.0</v>
      </c>
      <c r="W34" s="3"/>
      <c r="X34" s="147"/>
      <c r="Y34" s="3"/>
      <c r="Z34" s="147"/>
      <c r="AA34" s="3"/>
      <c r="AB34" s="147">
        <v>0.0</v>
      </c>
      <c r="AC34" s="3"/>
      <c r="AD34" s="147">
        <v>0.0</v>
      </c>
      <c r="AE34" s="3"/>
      <c r="AF34" s="147">
        <v>0.0</v>
      </c>
      <c r="AG34" s="3"/>
      <c r="AH34" s="147">
        <v>0.0</v>
      </c>
      <c r="AI34" s="3"/>
      <c r="AJ34" s="147">
        <v>0.0</v>
      </c>
      <c r="AK34" s="3"/>
      <c r="AL34" s="147">
        <v>0.0</v>
      </c>
      <c r="AM34" s="3"/>
      <c r="AN34" s="147">
        <v>0.0</v>
      </c>
      <c r="AO34" s="3"/>
      <c r="AP34" s="149">
        <f t="shared" si="1"/>
        <v>2496.266667</v>
      </c>
      <c r="AQ34" s="150">
        <f t="shared" si="2"/>
        <v>110</v>
      </c>
      <c r="AR34" s="150">
        <f t="shared" si="3"/>
        <v>0</v>
      </c>
      <c r="AS34" s="150">
        <f t="shared" si="4"/>
        <v>110</v>
      </c>
      <c r="AT34" s="151">
        <f t="shared" si="5"/>
        <v>22.69333333</v>
      </c>
    </row>
    <row r="35" ht="15.75" customHeight="1">
      <c r="A35" s="143" t="s">
        <v>26</v>
      </c>
      <c r="B35" s="144">
        <f t="shared" si="6"/>
        <v>44960</v>
      </c>
      <c r="C35" s="145">
        <v>2.0</v>
      </c>
      <c r="D35" s="145" t="s">
        <v>22</v>
      </c>
      <c r="E35" s="175" t="s">
        <v>39</v>
      </c>
      <c r="F35" s="147">
        <v>0.0</v>
      </c>
      <c r="G35" s="3"/>
      <c r="H35" s="147">
        <v>0.0</v>
      </c>
      <c r="I35" s="3"/>
      <c r="J35" s="147">
        <v>0.0</v>
      </c>
      <c r="K35" s="3"/>
      <c r="L35" s="147">
        <v>0.0</v>
      </c>
      <c r="M35" s="3"/>
      <c r="N35" s="147">
        <v>55.0</v>
      </c>
      <c r="O35" s="3"/>
      <c r="P35" s="147">
        <v>55.0</v>
      </c>
      <c r="Q35" s="3"/>
      <c r="R35" s="147">
        <v>0.0</v>
      </c>
      <c r="S35" s="3"/>
      <c r="T35" s="147">
        <v>0.0</v>
      </c>
      <c r="U35" s="3"/>
      <c r="V35" s="147">
        <v>0.0</v>
      </c>
      <c r="W35" s="3"/>
      <c r="X35" s="147"/>
      <c r="Y35" s="3"/>
      <c r="Z35" s="147"/>
      <c r="AA35" s="3"/>
      <c r="AB35" s="147">
        <v>0.0</v>
      </c>
      <c r="AC35" s="3"/>
      <c r="AD35" s="147">
        <v>0.0</v>
      </c>
      <c r="AE35" s="3"/>
      <c r="AF35" s="147">
        <v>0.0</v>
      </c>
      <c r="AG35" s="3"/>
      <c r="AH35" s="147">
        <v>0.0</v>
      </c>
      <c r="AI35" s="3"/>
      <c r="AJ35" s="147">
        <v>0.0</v>
      </c>
      <c r="AK35" s="3"/>
      <c r="AL35" s="147">
        <v>0.0</v>
      </c>
      <c r="AM35" s="3"/>
      <c r="AN35" s="147">
        <v>0.0</v>
      </c>
      <c r="AO35" s="3"/>
      <c r="AP35" s="149">
        <f t="shared" si="1"/>
        <v>2496.266667</v>
      </c>
      <c r="AQ35" s="150">
        <f t="shared" si="2"/>
        <v>110</v>
      </c>
      <c r="AR35" s="150">
        <f t="shared" si="3"/>
        <v>0</v>
      </c>
      <c r="AS35" s="150">
        <f t="shared" si="4"/>
        <v>110</v>
      </c>
      <c r="AT35" s="151">
        <f t="shared" si="5"/>
        <v>22.69333333</v>
      </c>
    </row>
    <row r="36" ht="15.75" customHeight="1">
      <c r="A36" s="143" t="s">
        <v>27</v>
      </c>
      <c r="B36" s="144">
        <f t="shared" si="6"/>
        <v>44961</v>
      </c>
      <c r="C36" s="145">
        <v>2.0</v>
      </c>
      <c r="D36" s="145" t="s">
        <v>22</v>
      </c>
      <c r="E36" s="150"/>
      <c r="F36" s="147">
        <v>0.0</v>
      </c>
      <c r="G36" s="3"/>
      <c r="H36" s="147">
        <v>0.0</v>
      </c>
      <c r="I36" s="3"/>
      <c r="J36" s="147">
        <v>0.0</v>
      </c>
      <c r="K36" s="3"/>
      <c r="L36" s="147">
        <v>0.0</v>
      </c>
      <c r="M36" s="3"/>
      <c r="N36" s="147">
        <v>0.0</v>
      </c>
      <c r="O36" s="3"/>
      <c r="P36" s="147">
        <v>0.0</v>
      </c>
      <c r="Q36" s="3"/>
      <c r="R36" s="147">
        <v>0.0</v>
      </c>
      <c r="S36" s="3"/>
      <c r="T36" s="147">
        <v>0.0</v>
      </c>
      <c r="U36" s="3"/>
      <c r="V36" s="147">
        <v>0.0</v>
      </c>
      <c r="W36" s="3"/>
      <c r="X36" s="147"/>
      <c r="Y36" s="3"/>
      <c r="Z36" s="147"/>
      <c r="AA36" s="3"/>
      <c r="AB36" s="147">
        <v>0.0</v>
      </c>
      <c r="AC36" s="3"/>
      <c r="AD36" s="147">
        <v>0.0</v>
      </c>
      <c r="AE36" s="3"/>
      <c r="AF36" s="147">
        <v>0.0</v>
      </c>
      <c r="AG36" s="3"/>
      <c r="AH36" s="147">
        <v>0.0</v>
      </c>
      <c r="AI36" s="3"/>
      <c r="AJ36" s="147">
        <v>0.0</v>
      </c>
      <c r="AK36" s="3"/>
      <c r="AL36" s="147">
        <v>0.0</v>
      </c>
      <c r="AM36" s="3"/>
      <c r="AN36" s="147">
        <v>0.0</v>
      </c>
      <c r="AO36" s="3"/>
      <c r="AP36" s="149">
        <f t="shared" si="1"/>
        <v>0</v>
      </c>
      <c r="AQ36" s="150">
        <f t="shared" si="2"/>
        <v>0</v>
      </c>
      <c r="AR36" s="150">
        <f t="shared" si="3"/>
        <v>0</v>
      </c>
      <c r="AS36" s="150">
        <f t="shared" si="4"/>
        <v>0</v>
      </c>
      <c r="AT36" s="151" t="str">
        <f t="shared" si="5"/>
        <v/>
      </c>
    </row>
    <row r="37" ht="15.75" customHeight="1">
      <c r="A37" s="176" t="s">
        <v>28</v>
      </c>
      <c r="B37" s="144">
        <f t="shared" si="6"/>
        <v>44962</v>
      </c>
      <c r="C37" s="145">
        <v>2.0</v>
      </c>
      <c r="D37" s="145" t="s">
        <v>22</v>
      </c>
      <c r="E37" s="157"/>
      <c r="F37" s="159">
        <v>0.0</v>
      </c>
      <c r="G37" s="73"/>
      <c r="H37" s="159">
        <v>0.0</v>
      </c>
      <c r="I37" s="73"/>
      <c r="J37" s="159">
        <v>0.0</v>
      </c>
      <c r="K37" s="73"/>
      <c r="L37" s="159">
        <v>0.0</v>
      </c>
      <c r="M37" s="73"/>
      <c r="N37" s="159">
        <v>0.0</v>
      </c>
      <c r="O37" s="73"/>
      <c r="P37" s="159">
        <v>0.0</v>
      </c>
      <c r="Q37" s="73"/>
      <c r="R37" s="159">
        <v>0.0</v>
      </c>
      <c r="S37" s="73"/>
      <c r="T37" s="159">
        <v>0.0</v>
      </c>
      <c r="U37" s="73"/>
      <c r="V37" s="159">
        <v>0.0</v>
      </c>
      <c r="W37" s="73"/>
      <c r="X37" s="159"/>
      <c r="Y37" s="73"/>
      <c r="Z37" s="159"/>
      <c r="AA37" s="73"/>
      <c r="AB37" s="159">
        <v>0.0</v>
      </c>
      <c r="AC37" s="73"/>
      <c r="AD37" s="159">
        <v>0.0</v>
      </c>
      <c r="AE37" s="73"/>
      <c r="AF37" s="159">
        <v>0.0</v>
      </c>
      <c r="AG37" s="73"/>
      <c r="AH37" s="159">
        <v>0.0</v>
      </c>
      <c r="AI37" s="73"/>
      <c r="AJ37" s="159">
        <v>0.0</v>
      </c>
      <c r="AK37" s="73"/>
      <c r="AL37" s="159">
        <v>0.0</v>
      </c>
      <c r="AM37" s="73"/>
      <c r="AN37" s="159">
        <v>0.0</v>
      </c>
      <c r="AO37" s="73"/>
      <c r="AP37" s="177">
        <f t="shared" si="1"/>
        <v>0</v>
      </c>
      <c r="AQ37" s="157">
        <f t="shared" si="2"/>
        <v>0</v>
      </c>
      <c r="AR37" s="157">
        <f t="shared" si="3"/>
        <v>0</v>
      </c>
      <c r="AS37" s="157">
        <f t="shared" si="4"/>
        <v>0</v>
      </c>
      <c r="AT37" s="162" t="str">
        <f t="shared" si="5"/>
        <v/>
      </c>
    </row>
    <row r="38" ht="15.75" customHeight="1">
      <c r="A38" s="178" t="s">
        <v>21</v>
      </c>
      <c r="B38" s="179">
        <f t="shared" si="6"/>
        <v>44963</v>
      </c>
      <c r="C38" s="110">
        <v>2.0</v>
      </c>
      <c r="D38" s="110" t="s">
        <v>34</v>
      </c>
      <c r="E38" s="111" t="s">
        <v>39</v>
      </c>
      <c r="F38" s="112">
        <v>0.0</v>
      </c>
      <c r="G38" s="84"/>
      <c r="H38" s="112">
        <v>0.0</v>
      </c>
      <c r="I38" s="84"/>
      <c r="J38" s="112">
        <v>0.0</v>
      </c>
      <c r="K38" s="84"/>
      <c r="L38" s="112">
        <v>0.0</v>
      </c>
      <c r="M38" s="84"/>
      <c r="N38" s="112">
        <v>55.0</v>
      </c>
      <c r="O38" s="84"/>
      <c r="P38" s="112">
        <v>55.0</v>
      </c>
      <c r="Q38" s="84"/>
      <c r="R38" s="112">
        <v>0.0</v>
      </c>
      <c r="S38" s="84"/>
      <c r="T38" s="112">
        <v>0.0</v>
      </c>
      <c r="U38" s="84"/>
      <c r="V38" s="112">
        <v>0.0</v>
      </c>
      <c r="W38" s="84"/>
      <c r="X38" s="112"/>
      <c r="Y38" s="84"/>
      <c r="Z38" s="112"/>
      <c r="AA38" s="84"/>
      <c r="AB38" s="112">
        <v>0.0</v>
      </c>
      <c r="AC38" s="84"/>
      <c r="AD38" s="112">
        <v>0.0</v>
      </c>
      <c r="AE38" s="84"/>
      <c r="AF38" s="112">
        <v>0.0</v>
      </c>
      <c r="AG38" s="84"/>
      <c r="AH38" s="112">
        <v>0.0</v>
      </c>
      <c r="AI38" s="84"/>
      <c r="AJ38" s="112">
        <v>0.0</v>
      </c>
      <c r="AK38" s="84"/>
      <c r="AL38" s="112">
        <v>0.0</v>
      </c>
      <c r="AM38" s="84"/>
      <c r="AN38" s="112">
        <v>0.0</v>
      </c>
      <c r="AO38" s="84"/>
      <c r="AP38" s="114">
        <f t="shared" si="1"/>
        <v>2496.266667</v>
      </c>
      <c r="AQ38" s="115">
        <f t="shared" si="2"/>
        <v>110</v>
      </c>
      <c r="AR38" s="115">
        <f t="shared" si="3"/>
        <v>0</v>
      </c>
      <c r="AS38" s="115">
        <f t="shared" si="4"/>
        <v>110</v>
      </c>
      <c r="AT38" s="116">
        <f t="shared" si="5"/>
        <v>22.69333333</v>
      </c>
    </row>
    <row r="39" ht="15.75" customHeight="1">
      <c r="A39" s="178" t="s">
        <v>23</v>
      </c>
      <c r="B39" s="180">
        <f t="shared" si="6"/>
        <v>44964</v>
      </c>
      <c r="C39" s="119">
        <v>2.0</v>
      </c>
      <c r="D39" s="119" t="s">
        <v>34</v>
      </c>
      <c r="E39" s="120" t="s">
        <v>39</v>
      </c>
      <c r="F39" s="121">
        <v>0.0</v>
      </c>
      <c r="G39" s="3"/>
      <c r="H39" s="121">
        <v>0.0</v>
      </c>
      <c r="I39" s="3"/>
      <c r="J39" s="121">
        <v>0.0</v>
      </c>
      <c r="K39" s="3"/>
      <c r="L39" s="121">
        <v>0.0</v>
      </c>
      <c r="M39" s="3"/>
      <c r="N39" s="121">
        <v>55.0</v>
      </c>
      <c r="O39" s="3"/>
      <c r="P39" s="121">
        <v>55.0</v>
      </c>
      <c r="Q39" s="3"/>
      <c r="R39" s="121">
        <v>0.0</v>
      </c>
      <c r="S39" s="3"/>
      <c r="T39" s="121">
        <v>0.0</v>
      </c>
      <c r="U39" s="3"/>
      <c r="V39" s="121">
        <v>0.0</v>
      </c>
      <c r="W39" s="3"/>
      <c r="X39" s="121"/>
      <c r="Y39" s="3"/>
      <c r="Z39" s="121"/>
      <c r="AA39" s="3"/>
      <c r="AB39" s="121">
        <v>0.0</v>
      </c>
      <c r="AC39" s="3"/>
      <c r="AD39" s="121">
        <v>0.0</v>
      </c>
      <c r="AE39" s="3"/>
      <c r="AF39" s="121">
        <v>0.0</v>
      </c>
      <c r="AG39" s="3"/>
      <c r="AH39" s="121">
        <v>0.0</v>
      </c>
      <c r="AI39" s="3"/>
      <c r="AJ39" s="121">
        <v>0.0</v>
      </c>
      <c r="AK39" s="3"/>
      <c r="AL39" s="121">
        <v>0.0</v>
      </c>
      <c r="AM39" s="3"/>
      <c r="AN39" s="121">
        <v>0.0</v>
      </c>
      <c r="AO39" s="3"/>
      <c r="AP39" s="123">
        <f t="shared" si="1"/>
        <v>2496.266667</v>
      </c>
      <c r="AQ39" s="124">
        <f t="shared" si="2"/>
        <v>110</v>
      </c>
      <c r="AR39" s="124">
        <f t="shared" si="3"/>
        <v>0</v>
      </c>
      <c r="AS39" s="124">
        <f t="shared" si="4"/>
        <v>110</v>
      </c>
      <c r="AT39" s="125">
        <f t="shared" si="5"/>
        <v>22.69333333</v>
      </c>
    </row>
    <row r="40" ht="15.75" customHeight="1">
      <c r="A40" s="178" t="s">
        <v>24</v>
      </c>
      <c r="B40" s="180">
        <f t="shared" si="6"/>
        <v>44965</v>
      </c>
      <c r="C40" s="119">
        <v>2.0</v>
      </c>
      <c r="D40" s="119" t="s">
        <v>34</v>
      </c>
      <c r="E40" s="120" t="s">
        <v>39</v>
      </c>
      <c r="F40" s="121">
        <v>0.0</v>
      </c>
      <c r="G40" s="3"/>
      <c r="H40" s="121">
        <v>0.0</v>
      </c>
      <c r="I40" s="3"/>
      <c r="J40" s="121">
        <v>0.0</v>
      </c>
      <c r="K40" s="3"/>
      <c r="L40" s="121">
        <v>0.0</v>
      </c>
      <c r="M40" s="3"/>
      <c r="N40" s="121">
        <v>55.0</v>
      </c>
      <c r="O40" s="3"/>
      <c r="P40" s="121">
        <v>55.0</v>
      </c>
      <c r="Q40" s="3"/>
      <c r="R40" s="121">
        <v>0.0</v>
      </c>
      <c r="S40" s="3"/>
      <c r="T40" s="121">
        <v>0.0</v>
      </c>
      <c r="U40" s="3"/>
      <c r="V40" s="121">
        <v>0.0</v>
      </c>
      <c r="W40" s="3"/>
      <c r="X40" s="121"/>
      <c r="Y40" s="3"/>
      <c r="Z40" s="121"/>
      <c r="AA40" s="3"/>
      <c r="AB40" s="121">
        <v>0.0</v>
      </c>
      <c r="AC40" s="3"/>
      <c r="AD40" s="121">
        <v>0.0</v>
      </c>
      <c r="AE40" s="3"/>
      <c r="AF40" s="121">
        <v>0.0</v>
      </c>
      <c r="AG40" s="3"/>
      <c r="AH40" s="121">
        <v>0.0</v>
      </c>
      <c r="AI40" s="3"/>
      <c r="AJ40" s="121">
        <v>0.0</v>
      </c>
      <c r="AK40" s="3"/>
      <c r="AL40" s="121">
        <v>0.0</v>
      </c>
      <c r="AM40" s="3"/>
      <c r="AN40" s="121">
        <v>0.0</v>
      </c>
      <c r="AO40" s="3"/>
      <c r="AP40" s="123">
        <f t="shared" si="1"/>
        <v>2496.266667</v>
      </c>
      <c r="AQ40" s="124">
        <f t="shared" si="2"/>
        <v>110</v>
      </c>
      <c r="AR40" s="124">
        <f t="shared" si="3"/>
        <v>0</v>
      </c>
      <c r="AS40" s="124">
        <f t="shared" si="4"/>
        <v>110</v>
      </c>
      <c r="AT40" s="125">
        <f t="shared" si="5"/>
        <v>22.69333333</v>
      </c>
    </row>
    <row r="41" ht="15.75" customHeight="1">
      <c r="A41" s="178" t="s">
        <v>25</v>
      </c>
      <c r="B41" s="180">
        <f t="shared" si="6"/>
        <v>44966</v>
      </c>
      <c r="C41" s="119">
        <v>2.0</v>
      </c>
      <c r="D41" s="119" t="s">
        <v>34</v>
      </c>
      <c r="E41" s="120" t="s">
        <v>39</v>
      </c>
      <c r="F41" s="121">
        <v>0.0</v>
      </c>
      <c r="G41" s="3"/>
      <c r="H41" s="121">
        <v>0.0</v>
      </c>
      <c r="I41" s="3"/>
      <c r="J41" s="121">
        <v>0.0</v>
      </c>
      <c r="K41" s="3"/>
      <c r="L41" s="121">
        <v>0.0</v>
      </c>
      <c r="M41" s="3"/>
      <c r="N41" s="121">
        <v>55.0</v>
      </c>
      <c r="O41" s="3"/>
      <c r="P41" s="121">
        <v>55.0</v>
      </c>
      <c r="Q41" s="3"/>
      <c r="R41" s="121">
        <v>0.0</v>
      </c>
      <c r="S41" s="3"/>
      <c r="T41" s="121">
        <v>0.0</v>
      </c>
      <c r="U41" s="3"/>
      <c r="V41" s="121">
        <v>0.0</v>
      </c>
      <c r="W41" s="3"/>
      <c r="X41" s="121"/>
      <c r="Y41" s="3"/>
      <c r="Z41" s="121"/>
      <c r="AA41" s="3"/>
      <c r="AB41" s="121">
        <v>0.0</v>
      </c>
      <c r="AC41" s="3"/>
      <c r="AD41" s="121">
        <v>0.0</v>
      </c>
      <c r="AE41" s="3"/>
      <c r="AF41" s="121">
        <v>0.0</v>
      </c>
      <c r="AG41" s="3"/>
      <c r="AH41" s="121">
        <v>0.0</v>
      </c>
      <c r="AI41" s="3"/>
      <c r="AJ41" s="121">
        <v>0.0</v>
      </c>
      <c r="AK41" s="3"/>
      <c r="AL41" s="121">
        <v>0.0</v>
      </c>
      <c r="AM41" s="3"/>
      <c r="AN41" s="121">
        <v>0.0</v>
      </c>
      <c r="AO41" s="3"/>
      <c r="AP41" s="123">
        <f t="shared" si="1"/>
        <v>2496.266667</v>
      </c>
      <c r="AQ41" s="124">
        <f t="shared" si="2"/>
        <v>110</v>
      </c>
      <c r="AR41" s="124">
        <f t="shared" si="3"/>
        <v>0</v>
      </c>
      <c r="AS41" s="124">
        <f t="shared" si="4"/>
        <v>110</v>
      </c>
      <c r="AT41" s="125">
        <f t="shared" si="5"/>
        <v>22.69333333</v>
      </c>
    </row>
    <row r="42" ht="15.75" customHeight="1">
      <c r="A42" s="178" t="s">
        <v>26</v>
      </c>
      <c r="B42" s="180">
        <f t="shared" si="6"/>
        <v>44967</v>
      </c>
      <c r="C42" s="119">
        <v>2.0</v>
      </c>
      <c r="D42" s="119" t="s">
        <v>34</v>
      </c>
      <c r="E42" s="120" t="s">
        <v>39</v>
      </c>
      <c r="F42" s="121">
        <v>0.0</v>
      </c>
      <c r="G42" s="3"/>
      <c r="H42" s="121">
        <v>0.0</v>
      </c>
      <c r="I42" s="3"/>
      <c r="J42" s="121">
        <v>0.0</v>
      </c>
      <c r="K42" s="3"/>
      <c r="L42" s="121">
        <v>0.0</v>
      </c>
      <c r="M42" s="3"/>
      <c r="N42" s="121">
        <v>55.0</v>
      </c>
      <c r="O42" s="3"/>
      <c r="P42" s="121">
        <v>55.0</v>
      </c>
      <c r="Q42" s="3"/>
      <c r="R42" s="121">
        <v>0.0</v>
      </c>
      <c r="S42" s="3"/>
      <c r="T42" s="121">
        <v>0.0</v>
      </c>
      <c r="U42" s="3"/>
      <c r="V42" s="121">
        <v>0.0</v>
      </c>
      <c r="W42" s="3"/>
      <c r="X42" s="121"/>
      <c r="Y42" s="3"/>
      <c r="Z42" s="121"/>
      <c r="AA42" s="3"/>
      <c r="AB42" s="121">
        <v>0.0</v>
      </c>
      <c r="AC42" s="3"/>
      <c r="AD42" s="121">
        <v>0.0</v>
      </c>
      <c r="AE42" s="3"/>
      <c r="AF42" s="121">
        <v>0.0</v>
      </c>
      <c r="AG42" s="3"/>
      <c r="AH42" s="121">
        <v>0.0</v>
      </c>
      <c r="AI42" s="3"/>
      <c r="AJ42" s="121">
        <v>0.0</v>
      </c>
      <c r="AK42" s="3"/>
      <c r="AL42" s="121">
        <v>0.0</v>
      </c>
      <c r="AM42" s="3"/>
      <c r="AN42" s="121">
        <v>0.0</v>
      </c>
      <c r="AO42" s="3"/>
      <c r="AP42" s="123">
        <f t="shared" si="1"/>
        <v>2496.266667</v>
      </c>
      <c r="AQ42" s="124">
        <f t="shared" si="2"/>
        <v>110</v>
      </c>
      <c r="AR42" s="124">
        <f t="shared" si="3"/>
        <v>0</v>
      </c>
      <c r="AS42" s="124">
        <f t="shared" si="4"/>
        <v>110</v>
      </c>
      <c r="AT42" s="125">
        <f t="shared" si="5"/>
        <v>22.69333333</v>
      </c>
    </row>
    <row r="43" ht="15.75" customHeight="1">
      <c r="A43" s="178" t="s">
        <v>27</v>
      </c>
      <c r="B43" s="180">
        <f t="shared" si="6"/>
        <v>44968</v>
      </c>
      <c r="C43" s="119">
        <v>2.0</v>
      </c>
      <c r="D43" s="119" t="s">
        <v>34</v>
      </c>
      <c r="E43" s="124"/>
      <c r="F43" s="121">
        <v>0.0</v>
      </c>
      <c r="G43" s="3"/>
      <c r="H43" s="121">
        <v>0.0</v>
      </c>
      <c r="I43" s="3"/>
      <c r="J43" s="121">
        <v>0.0</v>
      </c>
      <c r="K43" s="3"/>
      <c r="L43" s="121">
        <v>0.0</v>
      </c>
      <c r="M43" s="3"/>
      <c r="N43" s="121">
        <v>0.0</v>
      </c>
      <c r="O43" s="3"/>
      <c r="P43" s="121">
        <v>0.0</v>
      </c>
      <c r="Q43" s="3"/>
      <c r="R43" s="121">
        <v>0.0</v>
      </c>
      <c r="S43" s="3"/>
      <c r="T43" s="121">
        <v>0.0</v>
      </c>
      <c r="U43" s="3"/>
      <c r="V43" s="121">
        <v>0.0</v>
      </c>
      <c r="W43" s="3"/>
      <c r="X43" s="121"/>
      <c r="Y43" s="3"/>
      <c r="Z43" s="121"/>
      <c r="AA43" s="3"/>
      <c r="AB43" s="121">
        <v>0.0</v>
      </c>
      <c r="AC43" s="3"/>
      <c r="AD43" s="121">
        <v>0.0</v>
      </c>
      <c r="AE43" s="3"/>
      <c r="AF43" s="121">
        <v>0.0</v>
      </c>
      <c r="AG43" s="3"/>
      <c r="AH43" s="121">
        <v>0.0</v>
      </c>
      <c r="AI43" s="3"/>
      <c r="AJ43" s="121">
        <v>0.0</v>
      </c>
      <c r="AK43" s="3"/>
      <c r="AL43" s="121">
        <v>0.0</v>
      </c>
      <c r="AM43" s="3"/>
      <c r="AN43" s="121">
        <v>0.0</v>
      </c>
      <c r="AO43" s="3"/>
      <c r="AP43" s="123">
        <f t="shared" si="1"/>
        <v>0</v>
      </c>
      <c r="AQ43" s="124">
        <f t="shared" si="2"/>
        <v>0</v>
      </c>
      <c r="AR43" s="124">
        <f t="shared" si="3"/>
        <v>0</v>
      </c>
      <c r="AS43" s="124">
        <f t="shared" si="4"/>
        <v>0</v>
      </c>
      <c r="AT43" s="125" t="str">
        <f t="shared" si="5"/>
        <v/>
      </c>
    </row>
    <row r="44" ht="15.75" customHeight="1">
      <c r="A44" s="178" t="s">
        <v>28</v>
      </c>
      <c r="B44" s="180">
        <f t="shared" si="6"/>
        <v>44969</v>
      </c>
      <c r="C44" s="119">
        <v>2.0</v>
      </c>
      <c r="D44" s="119" t="s">
        <v>34</v>
      </c>
      <c r="E44" s="181"/>
      <c r="F44" s="182">
        <v>0.0</v>
      </c>
      <c r="G44" s="73"/>
      <c r="H44" s="182">
        <v>0.0</v>
      </c>
      <c r="I44" s="73"/>
      <c r="J44" s="182">
        <v>0.0</v>
      </c>
      <c r="K44" s="73"/>
      <c r="L44" s="182">
        <v>0.0</v>
      </c>
      <c r="M44" s="73"/>
      <c r="N44" s="182">
        <v>0.0</v>
      </c>
      <c r="O44" s="73"/>
      <c r="P44" s="182">
        <v>0.0</v>
      </c>
      <c r="Q44" s="73"/>
      <c r="R44" s="182">
        <v>0.0</v>
      </c>
      <c r="S44" s="73"/>
      <c r="T44" s="182">
        <v>0.0</v>
      </c>
      <c r="U44" s="73"/>
      <c r="V44" s="182">
        <v>0.0</v>
      </c>
      <c r="W44" s="73"/>
      <c r="X44" s="182"/>
      <c r="Y44" s="73"/>
      <c r="Z44" s="182"/>
      <c r="AA44" s="73"/>
      <c r="AB44" s="182">
        <v>0.0</v>
      </c>
      <c r="AC44" s="73"/>
      <c r="AD44" s="182">
        <v>0.0</v>
      </c>
      <c r="AE44" s="73"/>
      <c r="AF44" s="182">
        <v>0.0</v>
      </c>
      <c r="AG44" s="73"/>
      <c r="AH44" s="182">
        <v>0.0</v>
      </c>
      <c r="AI44" s="73"/>
      <c r="AJ44" s="182">
        <v>0.0</v>
      </c>
      <c r="AK44" s="73"/>
      <c r="AL44" s="182">
        <v>0.0</v>
      </c>
      <c r="AM44" s="73"/>
      <c r="AN44" s="182">
        <v>0.0</v>
      </c>
      <c r="AO44" s="73"/>
      <c r="AP44" s="183">
        <f t="shared" si="1"/>
        <v>0</v>
      </c>
      <c r="AQ44" s="181">
        <f t="shared" si="2"/>
        <v>0</v>
      </c>
      <c r="AR44" s="181">
        <f t="shared" si="3"/>
        <v>0</v>
      </c>
      <c r="AS44" s="181">
        <f t="shared" si="4"/>
        <v>0</v>
      </c>
      <c r="AT44" s="184" t="str">
        <f t="shared" si="5"/>
        <v/>
      </c>
    </row>
    <row r="45" ht="15.75" customHeight="1">
      <c r="A45" s="185" t="s">
        <v>21</v>
      </c>
      <c r="B45" s="186">
        <f t="shared" si="6"/>
        <v>44970</v>
      </c>
      <c r="C45" s="187">
        <v>2.0</v>
      </c>
      <c r="D45" s="187" t="s">
        <v>36</v>
      </c>
      <c r="E45" s="188" t="s">
        <v>40</v>
      </c>
      <c r="F45" s="189">
        <v>0.0</v>
      </c>
      <c r="G45" s="190"/>
      <c r="H45" s="189">
        <v>0.0</v>
      </c>
      <c r="I45" s="190"/>
      <c r="J45" s="189">
        <v>0.0</v>
      </c>
      <c r="K45" s="190"/>
      <c r="L45" s="189">
        <v>0.0</v>
      </c>
      <c r="M45" s="190"/>
      <c r="N45" s="189">
        <v>180.0</v>
      </c>
      <c r="O45" s="190"/>
      <c r="P45" s="189">
        <v>180.0</v>
      </c>
      <c r="Q45" s="190"/>
      <c r="R45" s="189">
        <v>0.0</v>
      </c>
      <c r="S45" s="190"/>
      <c r="T45" s="189">
        <v>0.0</v>
      </c>
      <c r="U45" s="190"/>
      <c r="V45" s="189">
        <v>0.0</v>
      </c>
      <c r="W45" s="190"/>
      <c r="X45" s="189"/>
      <c r="Y45" s="190"/>
      <c r="Z45" s="189"/>
      <c r="AA45" s="190"/>
      <c r="AB45" s="189">
        <v>0.0</v>
      </c>
      <c r="AC45" s="190"/>
      <c r="AD45" s="189">
        <v>0.0</v>
      </c>
      <c r="AE45" s="190"/>
      <c r="AF45" s="189">
        <v>0.0</v>
      </c>
      <c r="AG45" s="190"/>
      <c r="AH45" s="189">
        <v>0.0</v>
      </c>
      <c r="AI45" s="190"/>
      <c r="AJ45" s="189">
        <v>0.0</v>
      </c>
      <c r="AK45" s="190"/>
      <c r="AL45" s="189">
        <v>0.0</v>
      </c>
      <c r="AM45" s="190"/>
      <c r="AN45" s="189">
        <v>0.0</v>
      </c>
      <c r="AO45" s="190"/>
      <c r="AP45" s="191">
        <f t="shared" si="1"/>
        <v>8169.6</v>
      </c>
      <c r="AQ45" s="192">
        <f t="shared" si="2"/>
        <v>360</v>
      </c>
      <c r="AR45" s="192">
        <f t="shared" si="3"/>
        <v>0</v>
      </c>
      <c r="AS45" s="192">
        <f t="shared" si="4"/>
        <v>360</v>
      </c>
      <c r="AT45" s="193">
        <f t="shared" si="5"/>
        <v>22.69333333</v>
      </c>
    </row>
    <row r="46" ht="15.75" customHeight="1">
      <c r="A46" s="194" t="s">
        <v>23</v>
      </c>
      <c r="B46" s="195">
        <f t="shared" si="6"/>
        <v>44971</v>
      </c>
      <c r="C46" s="196">
        <v>2.0</v>
      </c>
      <c r="D46" s="196" t="s">
        <v>36</v>
      </c>
      <c r="E46" s="197" t="s">
        <v>40</v>
      </c>
      <c r="F46" s="198">
        <v>170.0</v>
      </c>
      <c r="G46" s="3"/>
      <c r="H46" s="198">
        <v>170.0</v>
      </c>
      <c r="I46" s="3"/>
      <c r="J46" s="198">
        <v>0.0</v>
      </c>
      <c r="K46" s="3"/>
      <c r="L46" s="198">
        <v>0.0</v>
      </c>
      <c r="M46" s="3"/>
      <c r="N46" s="198">
        <v>180.0</v>
      </c>
      <c r="O46" s="3"/>
      <c r="P46" s="198">
        <v>180.0</v>
      </c>
      <c r="Q46" s="3"/>
      <c r="R46" s="198">
        <v>0.0</v>
      </c>
      <c r="S46" s="3"/>
      <c r="T46" s="198">
        <v>0.0</v>
      </c>
      <c r="U46" s="3"/>
      <c r="V46" s="198">
        <v>0.0</v>
      </c>
      <c r="W46" s="3"/>
      <c r="X46" s="198"/>
      <c r="Y46" s="3"/>
      <c r="Z46" s="198"/>
      <c r="AA46" s="3"/>
      <c r="AB46" s="198">
        <v>0.0</v>
      </c>
      <c r="AC46" s="3"/>
      <c r="AD46" s="198">
        <v>0.0</v>
      </c>
      <c r="AE46" s="3"/>
      <c r="AF46" s="198">
        <v>0.0</v>
      </c>
      <c r="AG46" s="3"/>
      <c r="AH46" s="198">
        <v>0.0</v>
      </c>
      <c r="AI46" s="3"/>
      <c r="AJ46" s="198">
        <v>0.0</v>
      </c>
      <c r="AK46" s="3"/>
      <c r="AL46" s="198">
        <v>0.0</v>
      </c>
      <c r="AM46" s="3"/>
      <c r="AN46" s="198">
        <v>0.0</v>
      </c>
      <c r="AO46" s="3"/>
      <c r="AP46" s="199">
        <f t="shared" si="1"/>
        <v>19586.8</v>
      </c>
      <c r="AQ46" s="200">
        <f t="shared" si="2"/>
        <v>700</v>
      </c>
      <c r="AR46" s="200">
        <f t="shared" si="3"/>
        <v>0</v>
      </c>
      <c r="AS46" s="200">
        <f t="shared" si="4"/>
        <v>700</v>
      </c>
      <c r="AT46" s="201">
        <f t="shared" si="5"/>
        <v>27.98114286</v>
      </c>
    </row>
    <row r="47" ht="15.75" customHeight="1">
      <c r="A47" s="194" t="s">
        <v>24</v>
      </c>
      <c r="B47" s="195">
        <f t="shared" si="6"/>
        <v>44972</v>
      </c>
      <c r="C47" s="196">
        <v>2.0</v>
      </c>
      <c r="D47" s="196" t="s">
        <v>36</v>
      </c>
      <c r="E47" s="197" t="s">
        <v>40</v>
      </c>
      <c r="F47" s="198">
        <v>170.0</v>
      </c>
      <c r="G47" s="3"/>
      <c r="H47" s="198">
        <v>170.0</v>
      </c>
      <c r="I47" s="3"/>
      <c r="J47" s="198">
        <v>0.0</v>
      </c>
      <c r="K47" s="3"/>
      <c r="L47" s="198">
        <v>0.0</v>
      </c>
      <c r="M47" s="3"/>
      <c r="N47" s="198">
        <v>180.0</v>
      </c>
      <c r="O47" s="3"/>
      <c r="P47" s="198">
        <v>180.0</v>
      </c>
      <c r="Q47" s="3"/>
      <c r="R47" s="198">
        <v>0.0</v>
      </c>
      <c r="S47" s="3"/>
      <c r="T47" s="198">
        <v>0.0</v>
      </c>
      <c r="U47" s="3"/>
      <c r="V47" s="198">
        <v>0.0</v>
      </c>
      <c r="W47" s="3"/>
      <c r="X47" s="198"/>
      <c r="Y47" s="3"/>
      <c r="Z47" s="198"/>
      <c r="AA47" s="3"/>
      <c r="AB47" s="198">
        <v>0.0</v>
      </c>
      <c r="AC47" s="3"/>
      <c r="AD47" s="198">
        <v>0.0</v>
      </c>
      <c r="AE47" s="3"/>
      <c r="AF47" s="198">
        <v>0.0</v>
      </c>
      <c r="AG47" s="3"/>
      <c r="AH47" s="198">
        <v>0.0</v>
      </c>
      <c r="AI47" s="3"/>
      <c r="AJ47" s="198">
        <v>0.0</v>
      </c>
      <c r="AK47" s="3"/>
      <c r="AL47" s="198">
        <v>0.0</v>
      </c>
      <c r="AM47" s="3"/>
      <c r="AN47" s="198">
        <v>0.0</v>
      </c>
      <c r="AO47" s="3"/>
      <c r="AP47" s="199">
        <f t="shared" si="1"/>
        <v>19586.8</v>
      </c>
      <c r="AQ47" s="200">
        <f t="shared" si="2"/>
        <v>700</v>
      </c>
      <c r="AR47" s="200">
        <f t="shared" si="3"/>
        <v>0</v>
      </c>
      <c r="AS47" s="200">
        <f t="shared" si="4"/>
        <v>700</v>
      </c>
      <c r="AT47" s="201">
        <f t="shared" si="5"/>
        <v>27.98114286</v>
      </c>
    </row>
    <row r="48" ht="15.75" customHeight="1">
      <c r="A48" s="194" t="s">
        <v>25</v>
      </c>
      <c r="B48" s="195">
        <f t="shared" si="6"/>
        <v>44973</v>
      </c>
      <c r="C48" s="196">
        <v>2.0</v>
      </c>
      <c r="D48" s="196" t="s">
        <v>36</v>
      </c>
      <c r="E48" s="197" t="s">
        <v>40</v>
      </c>
      <c r="F48" s="198">
        <v>200.0</v>
      </c>
      <c r="G48" s="3"/>
      <c r="H48" s="198">
        <v>200.0</v>
      </c>
      <c r="I48" s="3"/>
      <c r="J48" s="198">
        <v>0.0</v>
      </c>
      <c r="K48" s="3"/>
      <c r="L48" s="198">
        <v>0.0</v>
      </c>
      <c r="M48" s="3"/>
      <c r="N48" s="198">
        <v>180.0</v>
      </c>
      <c r="O48" s="3"/>
      <c r="P48" s="198">
        <v>180.0</v>
      </c>
      <c r="Q48" s="3"/>
      <c r="R48" s="198">
        <v>0.0</v>
      </c>
      <c r="S48" s="3"/>
      <c r="T48" s="198">
        <v>0.0</v>
      </c>
      <c r="U48" s="3"/>
      <c r="V48" s="198">
        <v>0.0</v>
      </c>
      <c r="W48" s="3"/>
      <c r="X48" s="198"/>
      <c r="Y48" s="3"/>
      <c r="Z48" s="198"/>
      <c r="AA48" s="3"/>
      <c r="AB48" s="198">
        <v>0.0</v>
      </c>
      <c r="AC48" s="3"/>
      <c r="AD48" s="198">
        <v>0.0</v>
      </c>
      <c r="AE48" s="3"/>
      <c r="AF48" s="198">
        <v>0.0</v>
      </c>
      <c r="AG48" s="3"/>
      <c r="AH48" s="198">
        <v>0.0</v>
      </c>
      <c r="AI48" s="3"/>
      <c r="AJ48" s="198">
        <v>0.0</v>
      </c>
      <c r="AK48" s="3"/>
      <c r="AL48" s="198">
        <v>0.0</v>
      </c>
      <c r="AM48" s="3"/>
      <c r="AN48" s="198">
        <v>0.0</v>
      </c>
      <c r="AO48" s="3"/>
      <c r="AP48" s="199">
        <f t="shared" si="1"/>
        <v>21601.6</v>
      </c>
      <c r="AQ48" s="200">
        <f t="shared" si="2"/>
        <v>760</v>
      </c>
      <c r="AR48" s="200">
        <f t="shared" si="3"/>
        <v>0</v>
      </c>
      <c r="AS48" s="200">
        <f t="shared" si="4"/>
        <v>760</v>
      </c>
      <c r="AT48" s="201">
        <f t="shared" si="5"/>
        <v>28.42315789</v>
      </c>
    </row>
    <row r="49" ht="15.75" customHeight="1">
      <c r="A49" s="194" t="s">
        <v>26</v>
      </c>
      <c r="B49" s="195">
        <f t="shared" si="6"/>
        <v>44974</v>
      </c>
      <c r="C49" s="196">
        <v>2.0</v>
      </c>
      <c r="D49" s="196" t="s">
        <v>36</v>
      </c>
      <c r="E49" s="197" t="s">
        <v>40</v>
      </c>
      <c r="F49" s="198">
        <v>200.0</v>
      </c>
      <c r="G49" s="3"/>
      <c r="H49" s="198">
        <v>200.0</v>
      </c>
      <c r="I49" s="3"/>
      <c r="J49" s="198">
        <v>0.0</v>
      </c>
      <c r="K49" s="3"/>
      <c r="L49" s="198">
        <v>0.0</v>
      </c>
      <c r="M49" s="3"/>
      <c r="N49" s="198">
        <v>180.0</v>
      </c>
      <c r="O49" s="3"/>
      <c r="P49" s="198">
        <v>180.0</v>
      </c>
      <c r="Q49" s="3"/>
      <c r="R49" s="198">
        <v>0.0</v>
      </c>
      <c r="S49" s="3"/>
      <c r="T49" s="198">
        <v>0.0</v>
      </c>
      <c r="U49" s="3"/>
      <c r="V49" s="198">
        <v>0.0</v>
      </c>
      <c r="W49" s="3"/>
      <c r="X49" s="198"/>
      <c r="Y49" s="3"/>
      <c r="Z49" s="198"/>
      <c r="AA49" s="3"/>
      <c r="AB49" s="198">
        <v>0.0</v>
      </c>
      <c r="AC49" s="3"/>
      <c r="AD49" s="198">
        <v>0.0</v>
      </c>
      <c r="AE49" s="3"/>
      <c r="AF49" s="198">
        <v>0.0</v>
      </c>
      <c r="AG49" s="3"/>
      <c r="AH49" s="198">
        <v>0.0</v>
      </c>
      <c r="AI49" s="3"/>
      <c r="AJ49" s="198">
        <v>0.0</v>
      </c>
      <c r="AK49" s="3"/>
      <c r="AL49" s="198">
        <v>0.0</v>
      </c>
      <c r="AM49" s="3"/>
      <c r="AN49" s="198">
        <v>0.0</v>
      </c>
      <c r="AO49" s="3"/>
      <c r="AP49" s="199">
        <f t="shared" si="1"/>
        <v>21601.6</v>
      </c>
      <c r="AQ49" s="200">
        <f t="shared" si="2"/>
        <v>760</v>
      </c>
      <c r="AR49" s="200">
        <f t="shared" si="3"/>
        <v>0</v>
      </c>
      <c r="AS49" s="200">
        <f t="shared" si="4"/>
        <v>760</v>
      </c>
      <c r="AT49" s="201">
        <f t="shared" si="5"/>
        <v>28.42315789</v>
      </c>
    </row>
    <row r="50" ht="15.75" customHeight="1">
      <c r="A50" s="194" t="s">
        <v>27</v>
      </c>
      <c r="B50" s="195">
        <f t="shared" si="6"/>
        <v>44975</v>
      </c>
      <c r="C50" s="196">
        <v>2.0</v>
      </c>
      <c r="D50" s="196" t="s">
        <v>36</v>
      </c>
      <c r="E50" s="197" t="s">
        <v>40</v>
      </c>
      <c r="F50" s="198">
        <v>200.0</v>
      </c>
      <c r="G50" s="3"/>
      <c r="H50" s="198">
        <v>200.0</v>
      </c>
      <c r="I50" s="3"/>
      <c r="J50" s="198">
        <v>0.0</v>
      </c>
      <c r="K50" s="3"/>
      <c r="L50" s="198">
        <v>0.0</v>
      </c>
      <c r="M50" s="3"/>
      <c r="N50" s="198">
        <v>180.0</v>
      </c>
      <c r="O50" s="3"/>
      <c r="P50" s="198">
        <v>180.0</v>
      </c>
      <c r="Q50" s="3"/>
      <c r="R50" s="198">
        <v>0.0</v>
      </c>
      <c r="S50" s="3"/>
      <c r="T50" s="198">
        <v>0.0</v>
      </c>
      <c r="U50" s="3"/>
      <c r="V50" s="198">
        <v>0.0</v>
      </c>
      <c r="W50" s="3"/>
      <c r="X50" s="198"/>
      <c r="Y50" s="3"/>
      <c r="Z50" s="198"/>
      <c r="AA50" s="3"/>
      <c r="AB50" s="198">
        <v>0.0</v>
      </c>
      <c r="AC50" s="3"/>
      <c r="AD50" s="198">
        <v>0.0</v>
      </c>
      <c r="AE50" s="3"/>
      <c r="AF50" s="198">
        <v>0.0</v>
      </c>
      <c r="AG50" s="3"/>
      <c r="AH50" s="198">
        <v>0.0</v>
      </c>
      <c r="AI50" s="3"/>
      <c r="AJ50" s="198">
        <v>0.0</v>
      </c>
      <c r="AK50" s="3"/>
      <c r="AL50" s="198">
        <v>0.0</v>
      </c>
      <c r="AM50" s="3"/>
      <c r="AN50" s="198">
        <v>0.0</v>
      </c>
      <c r="AO50" s="3"/>
      <c r="AP50" s="199">
        <f t="shared" si="1"/>
        <v>21601.6</v>
      </c>
      <c r="AQ50" s="200">
        <f t="shared" si="2"/>
        <v>760</v>
      </c>
      <c r="AR50" s="200">
        <f t="shared" si="3"/>
        <v>0</v>
      </c>
      <c r="AS50" s="200">
        <f t="shared" si="4"/>
        <v>760</v>
      </c>
      <c r="AT50" s="201">
        <f t="shared" si="5"/>
        <v>28.42315789</v>
      </c>
    </row>
    <row r="51" ht="15.75" customHeight="1">
      <c r="A51" s="202" t="s">
        <v>28</v>
      </c>
      <c r="B51" s="203">
        <f t="shared" si="6"/>
        <v>44976</v>
      </c>
      <c r="C51" s="204">
        <v>2.0</v>
      </c>
      <c r="D51" s="204" t="s">
        <v>36</v>
      </c>
      <c r="E51" s="205" t="s">
        <v>40</v>
      </c>
      <c r="F51" s="206">
        <v>200.0</v>
      </c>
      <c r="G51" s="207"/>
      <c r="H51" s="206">
        <v>200.0</v>
      </c>
      <c r="I51" s="207"/>
      <c r="J51" s="206">
        <v>0.0</v>
      </c>
      <c r="K51" s="207"/>
      <c r="L51" s="206">
        <v>0.0</v>
      </c>
      <c r="M51" s="207"/>
      <c r="N51" s="206">
        <v>180.0</v>
      </c>
      <c r="O51" s="207"/>
      <c r="P51" s="206">
        <v>180.0</v>
      </c>
      <c r="Q51" s="207"/>
      <c r="R51" s="206">
        <v>0.0</v>
      </c>
      <c r="S51" s="207"/>
      <c r="T51" s="206">
        <v>0.0</v>
      </c>
      <c r="U51" s="207"/>
      <c r="V51" s="206">
        <v>0.0</v>
      </c>
      <c r="W51" s="207"/>
      <c r="X51" s="206"/>
      <c r="Y51" s="207"/>
      <c r="Z51" s="206"/>
      <c r="AA51" s="207"/>
      <c r="AB51" s="206">
        <v>0.0</v>
      </c>
      <c r="AC51" s="207"/>
      <c r="AD51" s="206">
        <v>0.0</v>
      </c>
      <c r="AE51" s="207"/>
      <c r="AF51" s="206">
        <v>0.0</v>
      </c>
      <c r="AG51" s="207"/>
      <c r="AH51" s="206">
        <v>0.0</v>
      </c>
      <c r="AI51" s="207"/>
      <c r="AJ51" s="206">
        <v>0.0</v>
      </c>
      <c r="AK51" s="207"/>
      <c r="AL51" s="206">
        <v>0.0</v>
      </c>
      <c r="AM51" s="207"/>
      <c r="AN51" s="206">
        <v>0.0</v>
      </c>
      <c r="AO51" s="207"/>
      <c r="AP51" s="208">
        <f t="shared" si="1"/>
        <v>21601.6</v>
      </c>
      <c r="AQ51" s="209">
        <f t="shared" si="2"/>
        <v>760</v>
      </c>
      <c r="AR51" s="209">
        <f t="shared" si="3"/>
        <v>0</v>
      </c>
      <c r="AS51" s="209">
        <f t="shared" si="4"/>
        <v>760</v>
      </c>
      <c r="AT51" s="210">
        <f t="shared" si="5"/>
        <v>28.42315789</v>
      </c>
    </row>
    <row r="52" ht="15.75" customHeight="1">
      <c r="A52" s="211" t="s">
        <v>21</v>
      </c>
      <c r="B52" s="195">
        <f t="shared" si="6"/>
        <v>44977</v>
      </c>
      <c r="C52" s="196">
        <v>2.0</v>
      </c>
      <c r="D52" s="196" t="s">
        <v>37</v>
      </c>
      <c r="E52" s="188" t="s">
        <v>40</v>
      </c>
      <c r="F52" s="212">
        <v>200.0</v>
      </c>
      <c r="G52" s="58"/>
      <c r="H52" s="212">
        <v>200.0</v>
      </c>
      <c r="I52" s="58"/>
      <c r="J52" s="212">
        <v>0.0</v>
      </c>
      <c r="K52" s="58"/>
      <c r="L52" s="212">
        <v>0.0</v>
      </c>
      <c r="M52" s="58"/>
      <c r="N52" s="212">
        <v>180.0</v>
      </c>
      <c r="O52" s="58"/>
      <c r="P52" s="212">
        <v>180.0</v>
      </c>
      <c r="Q52" s="58"/>
      <c r="R52" s="212">
        <v>0.0</v>
      </c>
      <c r="S52" s="58"/>
      <c r="T52" s="212">
        <v>0.0</v>
      </c>
      <c r="U52" s="58"/>
      <c r="V52" s="212">
        <v>0.0</v>
      </c>
      <c r="W52" s="58"/>
      <c r="X52" s="212"/>
      <c r="Y52" s="58"/>
      <c r="Z52" s="212"/>
      <c r="AA52" s="58"/>
      <c r="AB52" s="212">
        <v>0.0</v>
      </c>
      <c r="AC52" s="58"/>
      <c r="AD52" s="212">
        <v>0.0</v>
      </c>
      <c r="AE52" s="58"/>
      <c r="AF52" s="212">
        <v>0.0</v>
      </c>
      <c r="AG52" s="58"/>
      <c r="AH52" s="212">
        <v>0.0</v>
      </c>
      <c r="AI52" s="58"/>
      <c r="AJ52" s="212">
        <v>0.0</v>
      </c>
      <c r="AK52" s="58"/>
      <c r="AL52" s="212">
        <v>0.0</v>
      </c>
      <c r="AM52" s="58"/>
      <c r="AN52" s="212">
        <v>0.0</v>
      </c>
      <c r="AO52" s="58"/>
      <c r="AP52" s="213">
        <f t="shared" si="1"/>
        <v>21601.6</v>
      </c>
      <c r="AQ52" s="214">
        <f t="shared" si="2"/>
        <v>760</v>
      </c>
      <c r="AR52" s="214">
        <f t="shared" si="3"/>
        <v>0</v>
      </c>
      <c r="AS52" s="214">
        <f t="shared" si="4"/>
        <v>760</v>
      </c>
      <c r="AT52" s="213">
        <f t="shared" si="5"/>
        <v>28.42315789</v>
      </c>
    </row>
    <row r="53" ht="15.75" customHeight="1">
      <c r="A53" s="211" t="s">
        <v>23</v>
      </c>
      <c r="B53" s="195">
        <f t="shared" si="6"/>
        <v>44978</v>
      </c>
      <c r="C53" s="196">
        <v>2.0</v>
      </c>
      <c r="D53" s="196" t="s">
        <v>37</v>
      </c>
      <c r="E53" s="197" t="s">
        <v>40</v>
      </c>
      <c r="F53" s="198">
        <v>200.0</v>
      </c>
      <c r="G53" s="3"/>
      <c r="H53" s="198">
        <v>100.0</v>
      </c>
      <c r="I53" s="3"/>
      <c r="J53" s="212">
        <v>0.0</v>
      </c>
      <c r="K53" s="58"/>
      <c r="L53" s="212">
        <v>0.0</v>
      </c>
      <c r="M53" s="58"/>
      <c r="N53" s="212">
        <v>180.0</v>
      </c>
      <c r="O53" s="58"/>
      <c r="P53" s="212">
        <v>180.0</v>
      </c>
      <c r="Q53" s="58"/>
      <c r="R53" s="212">
        <v>0.0</v>
      </c>
      <c r="S53" s="58"/>
      <c r="T53" s="212">
        <v>0.0</v>
      </c>
      <c r="U53" s="58"/>
      <c r="V53" s="212">
        <v>0.0</v>
      </c>
      <c r="W53" s="58"/>
      <c r="X53" s="212"/>
      <c r="Y53" s="58"/>
      <c r="Z53" s="212"/>
      <c r="AA53" s="58"/>
      <c r="AB53" s="212">
        <v>0.0</v>
      </c>
      <c r="AC53" s="58"/>
      <c r="AD53" s="212">
        <v>0.0</v>
      </c>
      <c r="AE53" s="58"/>
      <c r="AF53" s="212">
        <v>0.0</v>
      </c>
      <c r="AG53" s="58"/>
      <c r="AH53" s="212">
        <v>0.0</v>
      </c>
      <c r="AI53" s="58"/>
      <c r="AJ53" s="212">
        <v>0.0</v>
      </c>
      <c r="AK53" s="58"/>
      <c r="AL53" s="212">
        <v>0.0</v>
      </c>
      <c r="AM53" s="58"/>
      <c r="AN53" s="212">
        <v>0.0</v>
      </c>
      <c r="AO53" s="58"/>
      <c r="AP53" s="199">
        <f t="shared" si="1"/>
        <v>18071.6</v>
      </c>
      <c r="AQ53" s="200">
        <f t="shared" si="2"/>
        <v>660</v>
      </c>
      <c r="AR53" s="200">
        <f t="shared" si="3"/>
        <v>0</v>
      </c>
      <c r="AS53" s="200">
        <f t="shared" si="4"/>
        <v>660</v>
      </c>
      <c r="AT53" s="199">
        <f t="shared" si="5"/>
        <v>27.38121212</v>
      </c>
    </row>
    <row r="54" ht="15.75" customHeight="1">
      <c r="A54" s="211" t="s">
        <v>24</v>
      </c>
      <c r="B54" s="195">
        <f t="shared" si="6"/>
        <v>44979</v>
      </c>
      <c r="C54" s="196">
        <v>2.0</v>
      </c>
      <c r="D54" s="196" t="s">
        <v>37</v>
      </c>
      <c r="E54" s="197" t="s">
        <v>40</v>
      </c>
      <c r="F54" s="198">
        <v>200.0</v>
      </c>
      <c r="G54" s="3"/>
      <c r="H54" s="198">
        <v>200.0</v>
      </c>
      <c r="I54" s="3"/>
      <c r="J54" s="212">
        <v>0.0</v>
      </c>
      <c r="K54" s="58"/>
      <c r="L54" s="212">
        <v>0.0</v>
      </c>
      <c r="M54" s="58"/>
      <c r="N54" s="212">
        <v>180.0</v>
      </c>
      <c r="O54" s="58"/>
      <c r="P54" s="212">
        <v>180.0</v>
      </c>
      <c r="Q54" s="58"/>
      <c r="R54" s="212">
        <v>0.0</v>
      </c>
      <c r="S54" s="58"/>
      <c r="T54" s="212">
        <v>0.0</v>
      </c>
      <c r="U54" s="58"/>
      <c r="V54" s="212">
        <v>0.0</v>
      </c>
      <c r="W54" s="58"/>
      <c r="X54" s="212"/>
      <c r="Y54" s="58"/>
      <c r="Z54" s="212"/>
      <c r="AA54" s="58"/>
      <c r="AB54" s="212">
        <v>0.0</v>
      </c>
      <c r="AC54" s="58"/>
      <c r="AD54" s="212">
        <v>0.0</v>
      </c>
      <c r="AE54" s="58"/>
      <c r="AF54" s="212">
        <v>0.0</v>
      </c>
      <c r="AG54" s="58"/>
      <c r="AH54" s="212">
        <v>0.0</v>
      </c>
      <c r="AI54" s="58"/>
      <c r="AJ54" s="212">
        <v>0.0</v>
      </c>
      <c r="AK54" s="58"/>
      <c r="AL54" s="212">
        <v>0.0</v>
      </c>
      <c r="AM54" s="58"/>
      <c r="AN54" s="212">
        <v>0.0</v>
      </c>
      <c r="AO54" s="58"/>
      <c r="AP54" s="199">
        <f t="shared" si="1"/>
        <v>21601.6</v>
      </c>
      <c r="AQ54" s="200">
        <f t="shared" si="2"/>
        <v>760</v>
      </c>
      <c r="AR54" s="200">
        <f t="shared" si="3"/>
        <v>0</v>
      </c>
      <c r="AS54" s="200">
        <f t="shared" si="4"/>
        <v>760</v>
      </c>
      <c r="AT54" s="199">
        <f t="shared" si="5"/>
        <v>28.42315789</v>
      </c>
    </row>
    <row r="55" ht="15.75" customHeight="1">
      <c r="A55" s="211" t="s">
        <v>25</v>
      </c>
      <c r="B55" s="195">
        <f t="shared" si="6"/>
        <v>44980</v>
      </c>
      <c r="C55" s="196">
        <v>2.0</v>
      </c>
      <c r="D55" s="196" t="s">
        <v>37</v>
      </c>
      <c r="E55" s="197" t="s">
        <v>40</v>
      </c>
      <c r="F55" s="198">
        <v>200.0</v>
      </c>
      <c r="G55" s="3"/>
      <c r="H55" s="198">
        <v>200.0</v>
      </c>
      <c r="I55" s="3"/>
      <c r="J55" s="212">
        <v>0.0</v>
      </c>
      <c r="K55" s="58"/>
      <c r="L55" s="212">
        <v>0.0</v>
      </c>
      <c r="M55" s="58"/>
      <c r="N55" s="212">
        <v>180.0</v>
      </c>
      <c r="O55" s="58"/>
      <c r="P55" s="212">
        <v>180.0</v>
      </c>
      <c r="Q55" s="58"/>
      <c r="R55" s="212">
        <v>0.0</v>
      </c>
      <c r="S55" s="58"/>
      <c r="T55" s="212">
        <v>0.0</v>
      </c>
      <c r="U55" s="58"/>
      <c r="V55" s="212">
        <v>0.0</v>
      </c>
      <c r="W55" s="58"/>
      <c r="X55" s="212"/>
      <c r="Y55" s="58"/>
      <c r="Z55" s="212"/>
      <c r="AA55" s="58"/>
      <c r="AB55" s="212">
        <v>0.0</v>
      </c>
      <c r="AC55" s="58"/>
      <c r="AD55" s="212">
        <v>0.0</v>
      </c>
      <c r="AE55" s="58"/>
      <c r="AF55" s="212">
        <v>0.0</v>
      </c>
      <c r="AG55" s="58"/>
      <c r="AH55" s="212">
        <v>0.0</v>
      </c>
      <c r="AI55" s="58"/>
      <c r="AJ55" s="212">
        <v>0.0</v>
      </c>
      <c r="AK55" s="58"/>
      <c r="AL55" s="212">
        <v>0.0</v>
      </c>
      <c r="AM55" s="58"/>
      <c r="AN55" s="212">
        <v>0.0</v>
      </c>
      <c r="AO55" s="58"/>
      <c r="AP55" s="199">
        <f t="shared" si="1"/>
        <v>21601.6</v>
      </c>
      <c r="AQ55" s="200">
        <f t="shared" si="2"/>
        <v>760</v>
      </c>
      <c r="AR55" s="200">
        <f t="shared" si="3"/>
        <v>0</v>
      </c>
      <c r="AS55" s="200">
        <f t="shared" si="4"/>
        <v>760</v>
      </c>
      <c r="AT55" s="199">
        <f t="shared" si="5"/>
        <v>28.42315789</v>
      </c>
    </row>
    <row r="56" ht="15.75" customHeight="1">
      <c r="A56" s="211" t="s">
        <v>26</v>
      </c>
      <c r="B56" s="195">
        <f t="shared" si="6"/>
        <v>44981</v>
      </c>
      <c r="C56" s="196">
        <v>2.0</v>
      </c>
      <c r="D56" s="196" t="s">
        <v>37</v>
      </c>
      <c r="E56" s="197" t="s">
        <v>40</v>
      </c>
      <c r="F56" s="198">
        <v>200.0</v>
      </c>
      <c r="G56" s="3"/>
      <c r="H56" s="198">
        <v>200.0</v>
      </c>
      <c r="I56" s="3"/>
      <c r="J56" s="212">
        <v>0.0</v>
      </c>
      <c r="K56" s="58"/>
      <c r="L56" s="212">
        <v>0.0</v>
      </c>
      <c r="M56" s="58"/>
      <c r="N56" s="212">
        <v>180.0</v>
      </c>
      <c r="O56" s="58"/>
      <c r="P56" s="212">
        <v>180.0</v>
      </c>
      <c r="Q56" s="58"/>
      <c r="R56" s="212">
        <v>0.0</v>
      </c>
      <c r="S56" s="58"/>
      <c r="T56" s="212">
        <v>0.0</v>
      </c>
      <c r="U56" s="58"/>
      <c r="V56" s="212">
        <v>0.0</v>
      </c>
      <c r="W56" s="58"/>
      <c r="X56" s="212"/>
      <c r="Y56" s="58"/>
      <c r="Z56" s="212"/>
      <c r="AA56" s="58"/>
      <c r="AB56" s="212">
        <v>0.0</v>
      </c>
      <c r="AC56" s="58"/>
      <c r="AD56" s="212">
        <v>0.0</v>
      </c>
      <c r="AE56" s="58"/>
      <c r="AF56" s="212">
        <v>0.0</v>
      </c>
      <c r="AG56" s="58"/>
      <c r="AH56" s="212">
        <v>0.0</v>
      </c>
      <c r="AI56" s="58"/>
      <c r="AJ56" s="212">
        <v>0.0</v>
      </c>
      <c r="AK56" s="58"/>
      <c r="AL56" s="212">
        <v>0.0</v>
      </c>
      <c r="AM56" s="58"/>
      <c r="AN56" s="212">
        <v>0.0</v>
      </c>
      <c r="AO56" s="58"/>
      <c r="AP56" s="199">
        <f t="shared" si="1"/>
        <v>21601.6</v>
      </c>
      <c r="AQ56" s="200">
        <f t="shared" si="2"/>
        <v>760</v>
      </c>
      <c r="AR56" s="200">
        <f t="shared" si="3"/>
        <v>0</v>
      </c>
      <c r="AS56" s="200">
        <f t="shared" si="4"/>
        <v>760</v>
      </c>
      <c r="AT56" s="199">
        <f t="shared" si="5"/>
        <v>28.42315789</v>
      </c>
    </row>
    <row r="57" ht="15.75" customHeight="1">
      <c r="A57" s="211" t="s">
        <v>27</v>
      </c>
      <c r="B57" s="195">
        <f t="shared" si="6"/>
        <v>44982</v>
      </c>
      <c r="C57" s="196">
        <v>2.0</v>
      </c>
      <c r="D57" s="196" t="s">
        <v>37</v>
      </c>
      <c r="E57" s="197" t="s">
        <v>40</v>
      </c>
      <c r="F57" s="198">
        <v>200.0</v>
      </c>
      <c r="G57" s="3"/>
      <c r="H57" s="198">
        <v>200.0</v>
      </c>
      <c r="I57" s="3"/>
      <c r="J57" s="212">
        <v>0.0</v>
      </c>
      <c r="K57" s="58"/>
      <c r="L57" s="212">
        <v>0.0</v>
      </c>
      <c r="M57" s="58"/>
      <c r="N57" s="212">
        <v>180.0</v>
      </c>
      <c r="O57" s="58"/>
      <c r="P57" s="212">
        <v>180.0</v>
      </c>
      <c r="Q57" s="58"/>
      <c r="R57" s="212">
        <v>0.0</v>
      </c>
      <c r="S57" s="58"/>
      <c r="T57" s="212">
        <v>0.0</v>
      </c>
      <c r="U57" s="58"/>
      <c r="V57" s="212">
        <v>0.0</v>
      </c>
      <c r="W57" s="58"/>
      <c r="X57" s="212"/>
      <c r="Y57" s="58"/>
      <c r="Z57" s="212"/>
      <c r="AA57" s="58"/>
      <c r="AB57" s="212">
        <v>0.0</v>
      </c>
      <c r="AC57" s="58"/>
      <c r="AD57" s="212">
        <v>0.0</v>
      </c>
      <c r="AE57" s="58"/>
      <c r="AF57" s="212">
        <v>0.0</v>
      </c>
      <c r="AG57" s="58"/>
      <c r="AH57" s="212">
        <v>0.0</v>
      </c>
      <c r="AI57" s="58"/>
      <c r="AJ57" s="212">
        <v>0.0</v>
      </c>
      <c r="AK57" s="58"/>
      <c r="AL57" s="212">
        <v>0.0</v>
      </c>
      <c r="AM57" s="58"/>
      <c r="AN57" s="212">
        <v>0.0</v>
      </c>
      <c r="AO57" s="58"/>
      <c r="AP57" s="199">
        <f t="shared" si="1"/>
        <v>21601.6</v>
      </c>
      <c r="AQ57" s="200">
        <f t="shared" si="2"/>
        <v>760</v>
      </c>
      <c r="AR57" s="200">
        <f t="shared" si="3"/>
        <v>0</v>
      </c>
      <c r="AS57" s="200">
        <f t="shared" si="4"/>
        <v>760</v>
      </c>
      <c r="AT57" s="199">
        <f t="shared" si="5"/>
        <v>28.42315789</v>
      </c>
    </row>
    <row r="58" ht="15.75" customHeight="1">
      <c r="A58" s="211" t="s">
        <v>28</v>
      </c>
      <c r="B58" s="195">
        <f t="shared" si="6"/>
        <v>44983</v>
      </c>
      <c r="C58" s="196">
        <v>2.0</v>
      </c>
      <c r="D58" s="196" t="s">
        <v>37</v>
      </c>
      <c r="E58" s="215" t="s">
        <v>40</v>
      </c>
      <c r="F58" s="216">
        <v>150.0</v>
      </c>
      <c r="G58" s="73"/>
      <c r="H58" s="216">
        <v>150.0</v>
      </c>
      <c r="I58" s="73"/>
      <c r="J58" s="217">
        <v>0.0</v>
      </c>
      <c r="K58" s="26"/>
      <c r="L58" s="217">
        <v>30.0</v>
      </c>
      <c r="M58" s="26"/>
      <c r="N58" s="217">
        <v>180.0</v>
      </c>
      <c r="O58" s="26"/>
      <c r="P58" s="217">
        <v>180.0</v>
      </c>
      <c r="Q58" s="26"/>
      <c r="R58" s="217">
        <v>0.0</v>
      </c>
      <c r="S58" s="26"/>
      <c r="T58" s="217">
        <v>0.0</v>
      </c>
      <c r="U58" s="26"/>
      <c r="V58" s="217">
        <v>0.0</v>
      </c>
      <c r="W58" s="26"/>
      <c r="X58" s="217"/>
      <c r="Y58" s="26"/>
      <c r="Z58" s="217"/>
      <c r="AA58" s="26"/>
      <c r="AB58" s="217">
        <v>0.0</v>
      </c>
      <c r="AC58" s="26"/>
      <c r="AD58" s="217">
        <v>0.0</v>
      </c>
      <c r="AE58" s="26"/>
      <c r="AF58" s="217">
        <v>0.0</v>
      </c>
      <c r="AG58" s="26"/>
      <c r="AH58" s="217">
        <v>0.0</v>
      </c>
      <c r="AI58" s="26"/>
      <c r="AJ58" s="217">
        <v>0.0</v>
      </c>
      <c r="AK58" s="26"/>
      <c r="AL58" s="217">
        <v>0.0</v>
      </c>
      <c r="AM58" s="26"/>
      <c r="AN58" s="217">
        <v>0.0</v>
      </c>
      <c r="AO58" s="26"/>
      <c r="AP58" s="218">
        <f t="shared" si="1"/>
        <v>19199.4</v>
      </c>
      <c r="AQ58" s="219">
        <f t="shared" si="2"/>
        <v>690</v>
      </c>
      <c r="AR58" s="219">
        <f t="shared" si="3"/>
        <v>0</v>
      </c>
      <c r="AS58" s="219">
        <f t="shared" si="4"/>
        <v>690</v>
      </c>
      <c r="AT58" s="218">
        <f t="shared" si="5"/>
        <v>27.82521739</v>
      </c>
    </row>
    <row r="59" ht="15.75" customHeight="1">
      <c r="A59" s="220" t="s">
        <v>21</v>
      </c>
      <c r="B59" s="221">
        <f t="shared" si="6"/>
        <v>44984</v>
      </c>
      <c r="C59" s="222">
        <v>3.0</v>
      </c>
      <c r="D59" s="222" t="s">
        <v>22</v>
      </c>
      <c r="E59" s="223" t="s">
        <v>40</v>
      </c>
      <c r="F59" s="224">
        <v>150.0</v>
      </c>
      <c r="G59" s="190"/>
      <c r="H59" s="224">
        <v>150.0</v>
      </c>
      <c r="I59" s="190"/>
      <c r="J59" s="224">
        <v>0.0</v>
      </c>
      <c r="K59" s="190"/>
      <c r="L59" s="224">
        <v>0.0</v>
      </c>
      <c r="M59" s="190"/>
      <c r="N59" s="224">
        <v>180.0</v>
      </c>
      <c r="O59" s="190"/>
      <c r="P59" s="224">
        <v>180.0</v>
      </c>
      <c r="Q59" s="190"/>
      <c r="R59" s="224">
        <v>0.0</v>
      </c>
      <c r="S59" s="190"/>
      <c r="T59" s="224">
        <v>0.0</v>
      </c>
      <c r="U59" s="190"/>
      <c r="V59" s="224">
        <v>0.0</v>
      </c>
      <c r="W59" s="190"/>
      <c r="X59" s="224"/>
      <c r="Y59" s="190"/>
      <c r="Z59" s="224">
        <v>0.0</v>
      </c>
      <c r="AA59" s="190"/>
      <c r="AB59" s="224">
        <v>0.0</v>
      </c>
      <c r="AC59" s="190"/>
      <c r="AD59" s="224">
        <v>0.0</v>
      </c>
      <c r="AE59" s="190"/>
      <c r="AF59" s="224">
        <v>0.0</v>
      </c>
      <c r="AG59" s="190"/>
      <c r="AH59" s="224">
        <v>0.0</v>
      </c>
      <c r="AI59" s="190"/>
      <c r="AJ59" s="224">
        <v>0.0</v>
      </c>
      <c r="AK59" s="190"/>
      <c r="AL59" s="224">
        <v>0.0</v>
      </c>
      <c r="AM59" s="190"/>
      <c r="AN59" s="224">
        <v>0.0</v>
      </c>
      <c r="AO59" s="190"/>
      <c r="AP59" s="225">
        <f t="shared" si="1"/>
        <v>18243.6</v>
      </c>
      <c r="AQ59" s="226">
        <f t="shared" si="2"/>
        <v>660</v>
      </c>
      <c r="AR59" s="226">
        <f t="shared" si="3"/>
        <v>0</v>
      </c>
      <c r="AS59" s="226">
        <f t="shared" si="4"/>
        <v>660</v>
      </c>
      <c r="AT59" s="227">
        <f t="shared" si="5"/>
        <v>27.64181818</v>
      </c>
    </row>
    <row r="60" ht="15.75" customHeight="1">
      <c r="A60" s="228" t="s">
        <v>23</v>
      </c>
      <c r="B60" s="229">
        <f t="shared" si="6"/>
        <v>44985</v>
      </c>
      <c r="C60" s="230">
        <v>3.0</v>
      </c>
      <c r="D60" s="230" t="s">
        <v>22</v>
      </c>
      <c r="E60" s="231" t="s">
        <v>40</v>
      </c>
      <c r="F60" s="232">
        <v>150.0</v>
      </c>
      <c r="G60" s="3"/>
      <c r="H60" s="232">
        <v>150.0</v>
      </c>
      <c r="I60" s="3"/>
      <c r="J60" s="232">
        <v>0.0</v>
      </c>
      <c r="K60" s="3"/>
      <c r="L60" s="232">
        <v>0.0</v>
      </c>
      <c r="M60" s="3"/>
      <c r="N60" s="232">
        <v>180.0</v>
      </c>
      <c r="O60" s="3"/>
      <c r="P60" s="232">
        <v>180.0</v>
      </c>
      <c r="Q60" s="3"/>
      <c r="R60" s="232">
        <v>0.0</v>
      </c>
      <c r="S60" s="3"/>
      <c r="T60" s="232">
        <v>0.0</v>
      </c>
      <c r="U60" s="3"/>
      <c r="V60" s="232">
        <v>4.0</v>
      </c>
      <c r="W60" s="3"/>
      <c r="X60" s="232"/>
      <c r="Y60" s="3"/>
      <c r="Z60" s="232">
        <v>0.0</v>
      </c>
      <c r="AA60" s="3"/>
      <c r="AB60" s="232">
        <v>0.0</v>
      </c>
      <c r="AC60" s="3"/>
      <c r="AD60" s="232">
        <v>0.0</v>
      </c>
      <c r="AE60" s="3"/>
      <c r="AF60" s="232">
        <v>0.0</v>
      </c>
      <c r="AG60" s="3"/>
      <c r="AH60" s="232">
        <v>0.0</v>
      </c>
      <c r="AI60" s="3"/>
      <c r="AJ60" s="232">
        <v>0.0</v>
      </c>
      <c r="AK60" s="3"/>
      <c r="AL60" s="232">
        <v>0.0</v>
      </c>
      <c r="AM60" s="3"/>
      <c r="AN60" s="232">
        <v>0.0</v>
      </c>
      <c r="AO60" s="3"/>
      <c r="AP60" s="233">
        <f t="shared" si="1"/>
        <v>18343.54667</v>
      </c>
      <c r="AQ60" s="234">
        <f t="shared" si="2"/>
        <v>664</v>
      </c>
      <c r="AR60" s="234">
        <f t="shared" si="3"/>
        <v>0</v>
      </c>
      <c r="AS60" s="234">
        <f t="shared" si="4"/>
        <v>664</v>
      </c>
      <c r="AT60" s="235">
        <f t="shared" si="5"/>
        <v>27.62582329</v>
      </c>
    </row>
    <row r="61" ht="15.75" customHeight="1">
      <c r="A61" s="228" t="s">
        <v>24</v>
      </c>
      <c r="B61" s="229">
        <f t="shared" si="6"/>
        <v>44986</v>
      </c>
      <c r="C61" s="230">
        <v>3.0</v>
      </c>
      <c r="D61" s="230" t="s">
        <v>22</v>
      </c>
      <c r="E61" s="231" t="s">
        <v>41</v>
      </c>
      <c r="F61" s="232">
        <v>150.0</v>
      </c>
      <c r="G61" s="3"/>
      <c r="H61" s="232">
        <v>150.0</v>
      </c>
      <c r="I61" s="3"/>
      <c r="J61" s="232">
        <v>0.0</v>
      </c>
      <c r="K61" s="3"/>
      <c r="L61" s="232">
        <v>0.0</v>
      </c>
      <c r="M61" s="3"/>
      <c r="N61" s="232">
        <v>260.0</v>
      </c>
      <c r="O61" s="3"/>
      <c r="P61" s="232">
        <v>260.0</v>
      </c>
      <c r="Q61" s="3"/>
      <c r="R61" s="232">
        <v>0.0</v>
      </c>
      <c r="S61" s="3"/>
      <c r="T61" s="232">
        <v>0.0</v>
      </c>
      <c r="U61" s="3"/>
      <c r="V61" s="232">
        <v>0.0</v>
      </c>
      <c r="W61" s="3"/>
      <c r="X61" s="232"/>
      <c r="Y61" s="3"/>
      <c r="Z61" s="232">
        <v>0.0</v>
      </c>
      <c r="AA61" s="3"/>
      <c r="AB61" s="232">
        <v>0.0</v>
      </c>
      <c r="AC61" s="3"/>
      <c r="AD61" s="232">
        <v>0.0</v>
      </c>
      <c r="AE61" s="3"/>
      <c r="AF61" s="232">
        <v>0.0</v>
      </c>
      <c r="AG61" s="3"/>
      <c r="AH61" s="232">
        <v>0.0</v>
      </c>
      <c r="AI61" s="3"/>
      <c r="AJ61" s="232">
        <v>0.0</v>
      </c>
      <c r="AK61" s="3"/>
      <c r="AL61" s="232">
        <v>0.0</v>
      </c>
      <c r="AM61" s="3"/>
      <c r="AN61" s="232">
        <v>0.0</v>
      </c>
      <c r="AO61" s="3"/>
      <c r="AP61" s="233">
        <f t="shared" si="1"/>
        <v>21874.53333</v>
      </c>
      <c r="AQ61" s="234">
        <f t="shared" si="2"/>
        <v>820</v>
      </c>
      <c r="AR61" s="234">
        <f t="shared" si="3"/>
        <v>0</v>
      </c>
      <c r="AS61" s="234">
        <f t="shared" si="4"/>
        <v>820</v>
      </c>
      <c r="AT61" s="235">
        <f t="shared" si="5"/>
        <v>26.67626016</v>
      </c>
    </row>
    <row r="62" ht="15.75" customHeight="1">
      <c r="A62" s="228" t="s">
        <v>25</v>
      </c>
      <c r="B62" s="229">
        <f t="shared" si="6"/>
        <v>44987</v>
      </c>
      <c r="C62" s="230">
        <v>3.0</v>
      </c>
      <c r="D62" s="230" t="s">
        <v>22</v>
      </c>
      <c r="E62" s="231" t="s">
        <v>41</v>
      </c>
      <c r="F62" s="232">
        <v>150.0</v>
      </c>
      <c r="G62" s="3"/>
      <c r="H62" s="232">
        <v>150.0</v>
      </c>
      <c r="I62" s="3"/>
      <c r="J62" s="232">
        <v>0.0</v>
      </c>
      <c r="K62" s="3"/>
      <c r="L62" s="232">
        <v>0.0</v>
      </c>
      <c r="M62" s="3"/>
      <c r="N62" s="232">
        <v>260.0</v>
      </c>
      <c r="O62" s="3"/>
      <c r="P62" s="232">
        <v>260.0</v>
      </c>
      <c r="Q62" s="3"/>
      <c r="R62" s="232">
        <v>0.0</v>
      </c>
      <c r="S62" s="3"/>
      <c r="T62" s="232">
        <v>0.0</v>
      </c>
      <c r="U62" s="3"/>
      <c r="V62" s="232">
        <v>0.0</v>
      </c>
      <c r="W62" s="3"/>
      <c r="X62" s="232"/>
      <c r="Y62" s="3"/>
      <c r="Z62" s="232">
        <v>3.0</v>
      </c>
      <c r="AA62" s="3"/>
      <c r="AB62" s="232">
        <v>0.0</v>
      </c>
      <c r="AC62" s="3"/>
      <c r="AD62" s="232">
        <v>0.0</v>
      </c>
      <c r="AE62" s="3"/>
      <c r="AF62" s="232">
        <v>0.0</v>
      </c>
      <c r="AG62" s="3"/>
      <c r="AH62" s="232">
        <v>0.0</v>
      </c>
      <c r="AI62" s="3"/>
      <c r="AJ62" s="232">
        <v>0.0</v>
      </c>
      <c r="AK62" s="3"/>
      <c r="AL62" s="232">
        <v>0.0</v>
      </c>
      <c r="AM62" s="3"/>
      <c r="AN62" s="232">
        <v>0.0</v>
      </c>
      <c r="AO62" s="3"/>
      <c r="AP62" s="233">
        <f t="shared" si="1"/>
        <v>22114.53333</v>
      </c>
      <c r="AQ62" s="234">
        <f t="shared" si="2"/>
        <v>823</v>
      </c>
      <c r="AR62" s="234">
        <f t="shared" si="3"/>
        <v>0</v>
      </c>
      <c r="AS62" s="234">
        <f t="shared" si="4"/>
        <v>823</v>
      </c>
      <c r="AT62" s="235">
        <f t="shared" si="5"/>
        <v>26.87063588</v>
      </c>
    </row>
    <row r="63" ht="15.75" customHeight="1">
      <c r="A63" s="228" t="s">
        <v>26</v>
      </c>
      <c r="B63" s="229">
        <f t="shared" si="6"/>
        <v>44988</v>
      </c>
      <c r="C63" s="230">
        <v>3.0</v>
      </c>
      <c r="D63" s="230" t="s">
        <v>22</v>
      </c>
      <c r="E63" s="231" t="s">
        <v>41</v>
      </c>
      <c r="F63" s="232">
        <v>150.0</v>
      </c>
      <c r="G63" s="3"/>
      <c r="H63" s="232">
        <v>150.0</v>
      </c>
      <c r="I63" s="3"/>
      <c r="J63" s="232">
        <v>0.0</v>
      </c>
      <c r="K63" s="3"/>
      <c r="L63" s="232">
        <v>0.0</v>
      </c>
      <c r="M63" s="3"/>
      <c r="N63" s="232">
        <v>260.0</v>
      </c>
      <c r="O63" s="3"/>
      <c r="P63" s="232">
        <v>260.0</v>
      </c>
      <c r="Q63" s="3"/>
      <c r="R63" s="232">
        <v>0.0</v>
      </c>
      <c r="S63" s="3"/>
      <c r="T63" s="232">
        <v>0.0</v>
      </c>
      <c r="U63" s="3"/>
      <c r="V63" s="232">
        <v>0.0</v>
      </c>
      <c r="W63" s="3"/>
      <c r="X63" s="232"/>
      <c r="Y63" s="3"/>
      <c r="Z63" s="232">
        <v>3.0</v>
      </c>
      <c r="AA63" s="3"/>
      <c r="AB63" s="232">
        <v>0.0</v>
      </c>
      <c r="AC63" s="3"/>
      <c r="AD63" s="232">
        <v>0.0</v>
      </c>
      <c r="AE63" s="3"/>
      <c r="AF63" s="232">
        <v>0.0</v>
      </c>
      <c r="AG63" s="3"/>
      <c r="AH63" s="232">
        <v>0.0</v>
      </c>
      <c r="AI63" s="3"/>
      <c r="AJ63" s="232">
        <v>0.0</v>
      </c>
      <c r="AK63" s="3"/>
      <c r="AL63" s="232">
        <v>0.0</v>
      </c>
      <c r="AM63" s="3"/>
      <c r="AN63" s="232">
        <v>0.0</v>
      </c>
      <c r="AO63" s="3"/>
      <c r="AP63" s="233">
        <f t="shared" si="1"/>
        <v>22114.53333</v>
      </c>
      <c r="AQ63" s="234">
        <f t="shared" si="2"/>
        <v>823</v>
      </c>
      <c r="AR63" s="234">
        <f t="shared" si="3"/>
        <v>0</v>
      </c>
      <c r="AS63" s="234">
        <f t="shared" si="4"/>
        <v>823</v>
      </c>
      <c r="AT63" s="235">
        <f t="shared" si="5"/>
        <v>26.87063588</v>
      </c>
    </row>
    <row r="64" ht="15.75" customHeight="1">
      <c r="A64" s="228" t="s">
        <v>27</v>
      </c>
      <c r="B64" s="229">
        <f t="shared" si="6"/>
        <v>44989</v>
      </c>
      <c r="C64" s="230">
        <v>3.0</v>
      </c>
      <c r="D64" s="230" t="s">
        <v>22</v>
      </c>
      <c r="E64" s="231" t="s">
        <v>41</v>
      </c>
      <c r="F64" s="232">
        <v>150.0</v>
      </c>
      <c r="G64" s="3"/>
      <c r="H64" s="232">
        <v>150.0</v>
      </c>
      <c r="I64" s="3"/>
      <c r="J64" s="232">
        <v>0.0</v>
      </c>
      <c r="K64" s="3"/>
      <c r="L64" s="232">
        <v>0.0</v>
      </c>
      <c r="M64" s="3"/>
      <c r="N64" s="232">
        <v>260.0</v>
      </c>
      <c r="O64" s="3"/>
      <c r="P64" s="232">
        <v>260.0</v>
      </c>
      <c r="Q64" s="3"/>
      <c r="R64" s="232">
        <v>0.0</v>
      </c>
      <c r="S64" s="3"/>
      <c r="T64" s="232">
        <v>0.0</v>
      </c>
      <c r="U64" s="3"/>
      <c r="V64" s="232">
        <v>0.0</v>
      </c>
      <c r="W64" s="3"/>
      <c r="X64" s="232"/>
      <c r="Y64" s="3"/>
      <c r="Z64" s="232">
        <v>0.0</v>
      </c>
      <c r="AA64" s="3"/>
      <c r="AB64" s="232">
        <v>3.0</v>
      </c>
      <c r="AC64" s="3"/>
      <c r="AD64" s="232">
        <v>0.0</v>
      </c>
      <c r="AE64" s="3"/>
      <c r="AF64" s="232">
        <v>0.0</v>
      </c>
      <c r="AG64" s="3"/>
      <c r="AH64" s="232">
        <v>0.0</v>
      </c>
      <c r="AI64" s="3"/>
      <c r="AJ64" s="232">
        <v>0.0</v>
      </c>
      <c r="AK64" s="3"/>
      <c r="AL64" s="232">
        <v>0.0</v>
      </c>
      <c r="AM64" s="3"/>
      <c r="AN64" s="232">
        <v>0.0</v>
      </c>
      <c r="AO64" s="3"/>
      <c r="AP64" s="233">
        <f t="shared" si="1"/>
        <v>22249.53333</v>
      </c>
      <c r="AQ64" s="234">
        <f t="shared" si="2"/>
        <v>823</v>
      </c>
      <c r="AR64" s="234">
        <f t="shared" si="3"/>
        <v>0</v>
      </c>
      <c r="AS64" s="234">
        <f t="shared" si="4"/>
        <v>823</v>
      </c>
      <c r="AT64" s="235">
        <f t="shared" si="5"/>
        <v>27.03466991</v>
      </c>
    </row>
    <row r="65" ht="15.75" customHeight="1">
      <c r="A65" s="228" t="s">
        <v>28</v>
      </c>
      <c r="B65" s="229">
        <f t="shared" si="6"/>
        <v>44990</v>
      </c>
      <c r="C65" s="230">
        <v>3.0</v>
      </c>
      <c r="D65" s="230" t="s">
        <v>22</v>
      </c>
      <c r="E65" s="236" t="s">
        <v>41</v>
      </c>
      <c r="F65" s="237">
        <v>150.0</v>
      </c>
      <c r="G65" s="73"/>
      <c r="H65" s="237">
        <v>150.0</v>
      </c>
      <c r="I65" s="73"/>
      <c r="J65" s="237">
        <v>0.0</v>
      </c>
      <c r="K65" s="73"/>
      <c r="L65" s="237">
        <v>0.0</v>
      </c>
      <c r="M65" s="73"/>
      <c r="N65" s="237">
        <v>260.0</v>
      </c>
      <c r="O65" s="73"/>
      <c r="P65" s="237">
        <v>260.0</v>
      </c>
      <c r="Q65" s="73"/>
      <c r="R65" s="237">
        <v>0.0</v>
      </c>
      <c r="S65" s="73"/>
      <c r="T65" s="237">
        <v>0.0</v>
      </c>
      <c r="U65" s="73"/>
      <c r="V65" s="237">
        <v>0.0</v>
      </c>
      <c r="W65" s="73"/>
      <c r="X65" s="237"/>
      <c r="Y65" s="73"/>
      <c r="Z65" s="237">
        <v>3.0</v>
      </c>
      <c r="AA65" s="73"/>
      <c r="AB65" s="237">
        <v>0.0</v>
      </c>
      <c r="AC65" s="73"/>
      <c r="AD65" s="237">
        <v>0.0</v>
      </c>
      <c r="AE65" s="73"/>
      <c r="AF65" s="237">
        <v>0.0</v>
      </c>
      <c r="AG65" s="73"/>
      <c r="AH65" s="237">
        <v>0.0</v>
      </c>
      <c r="AI65" s="73"/>
      <c r="AJ65" s="237">
        <v>0.0</v>
      </c>
      <c r="AK65" s="73"/>
      <c r="AL65" s="237">
        <v>0.0</v>
      </c>
      <c r="AM65" s="73"/>
      <c r="AN65" s="237">
        <v>0.0</v>
      </c>
      <c r="AO65" s="73"/>
      <c r="AP65" s="238">
        <f t="shared" si="1"/>
        <v>22114.53333</v>
      </c>
      <c r="AQ65" s="239">
        <f t="shared" si="2"/>
        <v>823</v>
      </c>
      <c r="AR65" s="239">
        <f t="shared" si="3"/>
        <v>0</v>
      </c>
      <c r="AS65" s="239">
        <f t="shared" si="4"/>
        <v>823</v>
      </c>
      <c r="AT65" s="240">
        <f t="shared" si="5"/>
        <v>26.87063588</v>
      </c>
    </row>
    <row r="66" ht="15.75" customHeight="1">
      <c r="A66" s="220" t="s">
        <v>21</v>
      </c>
      <c r="B66" s="221">
        <f t="shared" si="6"/>
        <v>44991</v>
      </c>
      <c r="C66" s="222">
        <v>3.0</v>
      </c>
      <c r="D66" s="222" t="s">
        <v>34</v>
      </c>
      <c r="E66" s="223" t="s">
        <v>41</v>
      </c>
      <c r="F66" s="224">
        <v>200.0</v>
      </c>
      <c r="G66" s="190"/>
      <c r="H66" s="224">
        <v>200.0</v>
      </c>
      <c r="I66" s="190"/>
      <c r="J66" s="224">
        <v>0.0</v>
      </c>
      <c r="K66" s="190"/>
      <c r="L66" s="224">
        <v>0.0</v>
      </c>
      <c r="M66" s="190"/>
      <c r="N66" s="224">
        <v>260.0</v>
      </c>
      <c r="O66" s="190"/>
      <c r="P66" s="224">
        <v>260.0</v>
      </c>
      <c r="Q66" s="190"/>
      <c r="R66" s="224">
        <v>0.0</v>
      </c>
      <c r="S66" s="190"/>
      <c r="T66" s="224">
        <v>0.0</v>
      </c>
      <c r="U66" s="190"/>
      <c r="V66" s="224">
        <v>0.0</v>
      </c>
      <c r="W66" s="190"/>
      <c r="X66" s="224"/>
      <c r="Y66" s="190"/>
      <c r="Z66" s="224">
        <v>3.0</v>
      </c>
      <c r="AA66" s="190"/>
      <c r="AB66" s="224">
        <v>0.0</v>
      </c>
      <c r="AC66" s="190"/>
      <c r="AD66" s="224">
        <v>0.0</v>
      </c>
      <c r="AE66" s="190"/>
      <c r="AF66" s="224">
        <v>0.0</v>
      </c>
      <c r="AG66" s="190"/>
      <c r="AH66" s="224">
        <v>0.0</v>
      </c>
      <c r="AI66" s="190"/>
      <c r="AJ66" s="224">
        <v>0.0</v>
      </c>
      <c r="AK66" s="190"/>
      <c r="AL66" s="224">
        <v>0.0</v>
      </c>
      <c r="AM66" s="190"/>
      <c r="AN66" s="224">
        <v>0.0</v>
      </c>
      <c r="AO66" s="190"/>
      <c r="AP66" s="225">
        <f t="shared" si="1"/>
        <v>25472.53333</v>
      </c>
      <c r="AQ66" s="226">
        <f t="shared" si="2"/>
        <v>923</v>
      </c>
      <c r="AR66" s="226">
        <f t="shared" si="3"/>
        <v>0</v>
      </c>
      <c r="AS66" s="226">
        <f t="shared" si="4"/>
        <v>923</v>
      </c>
      <c r="AT66" s="227">
        <f t="shared" si="5"/>
        <v>27.59754424</v>
      </c>
    </row>
    <row r="67" ht="15.75" customHeight="1">
      <c r="A67" s="228" t="s">
        <v>23</v>
      </c>
      <c r="B67" s="229">
        <f t="shared" si="6"/>
        <v>44992</v>
      </c>
      <c r="C67" s="230">
        <v>3.0</v>
      </c>
      <c r="D67" s="230" t="s">
        <v>34</v>
      </c>
      <c r="E67" s="231" t="s">
        <v>41</v>
      </c>
      <c r="F67" s="232">
        <v>200.0</v>
      </c>
      <c r="G67" s="3"/>
      <c r="H67" s="232">
        <v>100.0</v>
      </c>
      <c r="I67" s="3"/>
      <c r="J67" s="232">
        <v>0.0</v>
      </c>
      <c r="K67" s="3"/>
      <c r="L67" s="232">
        <v>0.0</v>
      </c>
      <c r="M67" s="3"/>
      <c r="N67" s="232">
        <v>260.0</v>
      </c>
      <c r="O67" s="3"/>
      <c r="P67" s="232">
        <v>260.0</v>
      </c>
      <c r="Q67" s="3"/>
      <c r="R67" s="232">
        <v>0.0</v>
      </c>
      <c r="S67" s="3"/>
      <c r="T67" s="232">
        <v>0.0</v>
      </c>
      <c r="U67" s="3"/>
      <c r="V67" s="232">
        <v>0.0</v>
      </c>
      <c r="W67" s="3"/>
      <c r="X67" s="232"/>
      <c r="Y67" s="3"/>
      <c r="Z67" s="232">
        <v>3.0</v>
      </c>
      <c r="AA67" s="3"/>
      <c r="AB67" s="232">
        <v>0.0</v>
      </c>
      <c r="AC67" s="3"/>
      <c r="AD67" s="232">
        <v>0.0</v>
      </c>
      <c r="AE67" s="3"/>
      <c r="AF67" s="232">
        <v>0.0</v>
      </c>
      <c r="AG67" s="3"/>
      <c r="AH67" s="232">
        <v>0.0</v>
      </c>
      <c r="AI67" s="3"/>
      <c r="AJ67" s="232">
        <v>0.0</v>
      </c>
      <c r="AK67" s="3"/>
      <c r="AL67" s="232">
        <v>0.0</v>
      </c>
      <c r="AM67" s="3"/>
      <c r="AN67" s="232">
        <v>0.0</v>
      </c>
      <c r="AO67" s="3"/>
      <c r="AP67" s="233">
        <f t="shared" si="1"/>
        <v>21942.53333</v>
      </c>
      <c r="AQ67" s="234">
        <f t="shared" si="2"/>
        <v>823</v>
      </c>
      <c r="AR67" s="234">
        <f t="shared" si="3"/>
        <v>0</v>
      </c>
      <c r="AS67" s="234">
        <f t="shared" si="4"/>
        <v>823</v>
      </c>
      <c r="AT67" s="235">
        <f t="shared" si="5"/>
        <v>26.66164439</v>
      </c>
    </row>
    <row r="68" ht="15.75" customHeight="1">
      <c r="A68" s="228" t="s">
        <v>24</v>
      </c>
      <c r="B68" s="229">
        <f t="shared" si="6"/>
        <v>44993</v>
      </c>
      <c r="C68" s="230">
        <v>3.0</v>
      </c>
      <c r="D68" s="230" t="s">
        <v>34</v>
      </c>
      <c r="E68" s="231" t="s">
        <v>41</v>
      </c>
      <c r="F68" s="232">
        <v>200.0</v>
      </c>
      <c r="G68" s="3"/>
      <c r="H68" s="232">
        <v>200.0</v>
      </c>
      <c r="I68" s="3"/>
      <c r="J68" s="232">
        <v>0.0</v>
      </c>
      <c r="K68" s="3"/>
      <c r="L68" s="232">
        <v>0.0</v>
      </c>
      <c r="M68" s="3"/>
      <c r="N68" s="232">
        <v>260.0</v>
      </c>
      <c r="O68" s="3"/>
      <c r="P68" s="232">
        <v>260.0</v>
      </c>
      <c r="Q68" s="3"/>
      <c r="R68" s="232">
        <v>0.0</v>
      </c>
      <c r="S68" s="3"/>
      <c r="T68" s="232">
        <v>0.0</v>
      </c>
      <c r="U68" s="3"/>
      <c r="V68" s="232">
        <v>0.0</v>
      </c>
      <c r="W68" s="3"/>
      <c r="X68" s="232"/>
      <c r="Y68" s="3"/>
      <c r="Z68" s="232">
        <v>4.0</v>
      </c>
      <c r="AA68" s="3"/>
      <c r="AB68" s="232">
        <v>0.0</v>
      </c>
      <c r="AC68" s="3"/>
      <c r="AD68" s="232">
        <v>0.0</v>
      </c>
      <c r="AE68" s="3"/>
      <c r="AF68" s="232">
        <v>0.0</v>
      </c>
      <c r="AG68" s="3"/>
      <c r="AH68" s="232">
        <v>0.0</v>
      </c>
      <c r="AI68" s="3"/>
      <c r="AJ68" s="232">
        <v>0.0</v>
      </c>
      <c r="AK68" s="3"/>
      <c r="AL68" s="232">
        <v>0.0</v>
      </c>
      <c r="AM68" s="3"/>
      <c r="AN68" s="232">
        <v>0.0</v>
      </c>
      <c r="AO68" s="3"/>
      <c r="AP68" s="233">
        <f t="shared" si="1"/>
        <v>25552.53333</v>
      </c>
      <c r="AQ68" s="234">
        <f t="shared" si="2"/>
        <v>924</v>
      </c>
      <c r="AR68" s="234">
        <f t="shared" si="3"/>
        <v>0</v>
      </c>
      <c r="AS68" s="234">
        <f t="shared" si="4"/>
        <v>924</v>
      </c>
      <c r="AT68" s="235">
        <f t="shared" si="5"/>
        <v>27.65425685</v>
      </c>
    </row>
    <row r="69" ht="15.75" customHeight="1">
      <c r="A69" s="228" t="s">
        <v>25</v>
      </c>
      <c r="B69" s="229">
        <f t="shared" si="6"/>
        <v>44994</v>
      </c>
      <c r="C69" s="230">
        <v>3.0</v>
      </c>
      <c r="D69" s="230" t="s">
        <v>34</v>
      </c>
      <c r="E69" s="231" t="s">
        <v>41</v>
      </c>
      <c r="F69" s="232">
        <v>200.0</v>
      </c>
      <c r="G69" s="3"/>
      <c r="H69" s="232">
        <v>200.0</v>
      </c>
      <c r="I69" s="3"/>
      <c r="J69" s="232">
        <v>0.0</v>
      </c>
      <c r="K69" s="3"/>
      <c r="L69" s="232">
        <v>0.0</v>
      </c>
      <c r="M69" s="3"/>
      <c r="N69" s="232">
        <v>260.0</v>
      </c>
      <c r="O69" s="3"/>
      <c r="P69" s="232">
        <v>260.0</v>
      </c>
      <c r="Q69" s="3"/>
      <c r="R69" s="232">
        <v>0.0</v>
      </c>
      <c r="S69" s="3"/>
      <c r="T69" s="232">
        <v>0.0</v>
      </c>
      <c r="U69" s="3"/>
      <c r="V69" s="232">
        <v>0.0</v>
      </c>
      <c r="W69" s="3"/>
      <c r="X69" s="232"/>
      <c r="Y69" s="3"/>
      <c r="Z69" s="232">
        <v>3.0</v>
      </c>
      <c r="AA69" s="3"/>
      <c r="AB69" s="232">
        <v>0.0</v>
      </c>
      <c r="AC69" s="3"/>
      <c r="AD69" s="232">
        <v>0.0</v>
      </c>
      <c r="AE69" s="3"/>
      <c r="AF69" s="232">
        <v>0.0</v>
      </c>
      <c r="AG69" s="3"/>
      <c r="AH69" s="232">
        <v>0.0</v>
      </c>
      <c r="AI69" s="3"/>
      <c r="AJ69" s="232">
        <v>0.0</v>
      </c>
      <c r="AK69" s="3"/>
      <c r="AL69" s="232">
        <v>0.0</v>
      </c>
      <c r="AM69" s="3"/>
      <c r="AN69" s="232">
        <v>0.0</v>
      </c>
      <c r="AO69" s="3"/>
      <c r="AP69" s="233">
        <f t="shared" si="1"/>
        <v>25472.53333</v>
      </c>
      <c r="AQ69" s="234">
        <f t="shared" si="2"/>
        <v>923</v>
      </c>
      <c r="AR69" s="234">
        <f t="shared" si="3"/>
        <v>0</v>
      </c>
      <c r="AS69" s="234">
        <f t="shared" si="4"/>
        <v>923</v>
      </c>
      <c r="AT69" s="235">
        <f t="shared" si="5"/>
        <v>27.59754424</v>
      </c>
    </row>
    <row r="70" ht="15.75" customHeight="1">
      <c r="A70" s="228" t="s">
        <v>26</v>
      </c>
      <c r="B70" s="229">
        <f t="shared" si="6"/>
        <v>44995</v>
      </c>
      <c r="C70" s="230">
        <v>3.0</v>
      </c>
      <c r="D70" s="230" t="s">
        <v>34</v>
      </c>
      <c r="E70" s="231" t="s">
        <v>41</v>
      </c>
      <c r="F70" s="232">
        <v>200.0</v>
      </c>
      <c r="G70" s="3"/>
      <c r="H70" s="232">
        <v>200.0</v>
      </c>
      <c r="I70" s="3"/>
      <c r="J70" s="232">
        <v>0.0</v>
      </c>
      <c r="K70" s="3"/>
      <c r="L70" s="232">
        <v>0.0</v>
      </c>
      <c r="M70" s="3"/>
      <c r="N70" s="232">
        <v>260.0</v>
      </c>
      <c r="O70" s="3"/>
      <c r="P70" s="232">
        <v>260.0</v>
      </c>
      <c r="Q70" s="3"/>
      <c r="R70" s="232">
        <v>0.0</v>
      </c>
      <c r="S70" s="3"/>
      <c r="T70" s="232">
        <v>0.0</v>
      </c>
      <c r="U70" s="3"/>
      <c r="V70" s="232">
        <v>0.0</v>
      </c>
      <c r="W70" s="3"/>
      <c r="X70" s="232"/>
      <c r="Y70" s="3"/>
      <c r="Z70" s="232">
        <v>0.0</v>
      </c>
      <c r="AA70" s="3"/>
      <c r="AB70" s="232">
        <v>4.0</v>
      </c>
      <c r="AC70" s="3"/>
      <c r="AD70" s="232">
        <v>0.0</v>
      </c>
      <c r="AE70" s="3"/>
      <c r="AF70" s="232">
        <v>0.0</v>
      </c>
      <c r="AG70" s="3"/>
      <c r="AH70" s="232">
        <v>0.0</v>
      </c>
      <c r="AI70" s="3"/>
      <c r="AJ70" s="232">
        <v>0.0</v>
      </c>
      <c r="AK70" s="3"/>
      <c r="AL70" s="232">
        <v>0.0</v>
      </c>
      <c r="AM70" s="3"/>
      <c r="AN70" s="232">
        <v>0.0</v>
      </c>
      <c r="AO70" s="3"/>
      <c r="AP70" s="233">
        <f t="shared" si="1"/>
        <v>25732.53333</v>
      </c>
      <c r="AQ70" s="234">
        <f t="shared" si="2"/>
        <v>924</v>
      </c>
      <c r="AR70" s="234">
        <f t="shared" si="3"/>
        <v>0</v>
      </c>
      <c r="AS70" s="234">
        <f t="shared" si="4"/>
        <v>924</v>
      </c>
      <c r="AT70" s="235">
        <f t="shared" si="5"/>
        <v>27.84906205</v>
      </c>
    </row>
    <row r="71" ht="15.75" customHeight="1">
      <c r="A71" s="228" t="s">
        <v>27</v>
      </c>
      <c r="B71" s="229">
        <f t="shared" si="6"/>
        <v>44996</v>
      </c>
      <c r="C71" s="230">
        <v>3.0</v>
      </c>
      <c r="D71" s="230" t="s">
        <v>34</v>
      </c>
      <c r="E71" s="231" t="s">
        <v>41</v>
      </c>
      <c r="F71" s="232">
        <v>200.0</v>
      </c>
      <c r="G71" s="3"/>
      <c r="H71" s="232">
        <v>200.0</v>
      </c>
      <c r="I71" s="3"/>
      <c r="J71" s="232">
        <v>0.0</v>
      </c>
      <c r="K71" s="3"/>
      <c r="L71" s="232">
        <v>0.0</v>
      </c>
      <c r="M71" s="3"/>
      <c r="N71" s="232">
        <v>260.0</v>
      </c>
      <c r="O71" s="3"/>
      <c r="P71" s="232">
        <v>260.0</v>
      </c>
      <c r="Q71" s="3"/>
      <c r="R71" s="232">
        <v>0.0</v>
      </c>
      <c r="S71" s="3"/>
      <c r="T71" s="232">
        <v>0.0</v>
      </c>
      <c r="U71" s="3"/>
      <c r="V71" s="232">
        <v>0.0</v>
      </c>
      <c r="W71" s="3"/>
      <c r="X71" s="232"/>
      <c r="Y71" s="3"/>
      <c r="Z71" s="232">
        <v>3.0</v>
      </c>
      <c r="AA71" s="3"/>
      <c r="AB71" s="232">
        <v>0.0</v>
      </c>
      <c r="AC71" s="3"/>
      <c r="AD71" s="232">
        <v>0.0</v>
      </c>
      <c r="AE71" s="3"/>
      <c r="AF71" s="232">
        <v>0.0</v>
      </c>
      <c r="AG71" s="3"/>
      <c r="AH71" s="232">
        <v>0.0</v>
      </c>
      <c r="AI71" s="3"/>
      <c r="AJ71" s="232">
        <v>0.0</v>
      </c>
      <c r="AK71" s="3"/>
      <c r="AL71" s="232">
        <v>0.0</v>
      </c>
      <c r="AM71" s="3"/>
      <c r="AN71" s="232">
        <v>0.0</v>
      </c>
      <c r="AO71" s="3"/>
      <c r="AP71" s="233">
        <f t="shared" si="1"/>
        <v>25472.53333</v>
      </c>
      <c r="AQ71" s="234">
        <f t="shared" si="2"/>
        <v>923</v>
      </c>
      <c r="AR71" s="234">
        <f t="shared" si="3"/>
        <v>0</v>
      </c>
      <c r="AS71" s="234">
        <f t="shared" si="4"/>
        <v>923</v>
      </c>
      <c r="AT71" s="235">
        <f t="shared" si="5"/>
        <v>27.59754424</v>
      </c>
    </row>
    <row r="72" ht="15.75" customHeight="1">
      <c r="A72" s="241" t="s">
        <v>28</v>
      </c>
      <c r="B72" s="242">
        <f t="shared" si="6"/>
        <v>44997</v>
      </c>
      <c r="C72" s="243">
        <v>3.0</v>
      </c>
      <c r="D72" s="243" t="s">
        <v>34</v>
      </c>
      <c r="E72" s="244" t="s">
        <v>41</v>
      </c>
      <c r="F72" s="245">
        <v>150.0</v>
      </c>
      <c r="G72" s="207"/>
      <c r="H72" s="245">
        <v>150.0</v>
      </c>
      <c r="I72" s="207"/>
      <c r="J72" s="245">
        <v>0.0</v>
      </c>
      <c r="K72" s="207"/>
      <c r="L72" s="245">
        <v>30.0</v>
      </c>
      <c r="M72" s="207"/>
      <c r="N72" s="245">
        <v>260.0</v>
      </c>
      <c r="O72" s="207"/>
      <c r="P72" s="245">
        <v>260.0</v>
      </c>
      <c r="Q72" s="207"/>
      <c r="R72" s="232">
        <v>0.0</v>
      </c>
      <c r="S72" s="3"/>
      <c r="T72" s="232">
        <v>0.0</v>
      </c>
      <c r="U72" s="3"/>
      <c r="V72" s="232">
        <v>0.0</v>
      </c>
      <c r="W72" s="3"/>
      <c r="X72" s="237"/>
      <c r="Y72" s="73"/>
      <c r="Z72" s="245">
        <v>4.0</v>
      </c>
      <c r="AA72" s="207"/>
      <c r="AB72" s="245">
        <v>0.0</v>
      </c>
      <c r="AC72" s="207"/>
      <c r="AD72" s="245">
        <v>0.0</v>
      </c>
      <c r="AE72" s="207"/>
      <c r="AF72" s="245">
        <v>0.0</v>
      </c>
      <c r="AG72" s="207"/>
      <c r="AH72" s="245">
        <v>0.0</v>
      </c>
      <c r="AI72" s="207"/>
      <c r="AJ72" s="245">
        <v>0.0</v>
      </c>
      <c r="AK72" s="207"/>
      <c r="AL72" s="245">
        <v>0.0</v>
      </c>
      <c r="AM72" s="207"/>
      <c r="AN72" s="245">
        <v>0.0</v>
      </c>
      <c r="AO72" s="207"/>
      <c r="AP72" s="246">
        <f t="shared" si="1"/>
        <v>23150.33333</v>
      </c>
      <c r="AQ72" s="247">
        <f t="shared" si="2"/>
        <v>854</v>
      </c>
      <c r="AR72" s="247">
        <f t="shared" si="3"/>
        <v>0</v>
      </c>
      <c r="AS72" s="247">
        <f t="shared" si="4"/>
        <v>854</v>
      </c>
      <c r="AT72" s="248">
        <f t="shared" si="5"/>
        <v>27.10811866</v>
      </c>
    </row>
    <row r="73" ht="15.75" customHeight="1">
      <c r="A73" s="249" t="s">
        <v>21</v>
      </c>
      <c r="B73" s="250">
        <f t="shared" si="6"/>
        <v>44998</v>
      </c>
      <c r="C73" s="251">
        <v>3.0</v>
      </c>
      <c r="D73" s="251" t="s">
        <v>36</v>
      </c>
      <c r="E73" s="252" t="s">
        <v>41</v>
      </c>
      <c r="F73" s="253">
        <v>150.0</v>
      </c>
      <c r="G73" s="190"/>
      <c r="H73" s="253">
        <v>150.0</v>
      </c>
      <c r="I73" s="190"/>
      <c r="J73" s="253">
        <v>0.0</v>
      </c>
      <c r="K73" s="190"/>
      <c r="L73" s="253">
        <v>0.0</v>
      </c>
      <c r="M73" s="190"/>
      <c r="N73" s="253">
        <v>260.0</v>
      </c>
      <c r="O73" s="190"/>
      <c r="P73" s="253">
        <v>260.0</v>
      </c>
      <c r="Q73" s="190"/>
      <c r="R73" s="253">
        <v>0.0</v>
      </c>
      <c r="S73" s="190"/>
      <c r="T73" s="253">
        <v>0.0</v>
      </c>
      <c r="U73" s="190"/>
      <c r="V73" s="253">
        <v>0.0</v>
      </c>
      <c r="W73" s="190"/>
      <c r="X73" s="253">
        <v>0.0</v>
      </c>
      <c r="Y73" s="190"/>
      <c r="Z73" s="253">
        <v>3.0</v>
      </c>
      <c r="AA73" s="190"/>
      <c r="AB73" s="253">
        <v>0.0</v>
      </c>
      <c r="AC73" s="190"/>
      <c r="AD73" s="253">
        <v>0.0</v>
      </c>
      <c r="AE73" s="190"/>
      <c r="AF73" s="253">
        <v>0.0</v>
      </c>
      <c r="AG73" s="190"/>
      <c r="AH73" s="253">
        <v>0.0</v>
      </c>
      <c r="AI73" s="190"/>
      <c r="AJ73" s="253">
        <v>0.0</v>
      </c>
      <c r="AK73" s="190"/>
      <c r="AL73" s="253">
        <v>0.0</v>
      </c>
      <c r="AM73" s="190"/>
      <c r="AN73" s="253">
        <v>0.0</v>
      </c>
      <c r="AO73" s="190"/>
      <c r="AP73" s="254">
        <f t="shared" si="1"/>
        <v>22114.53333</v>
      </c>
      <c r="AQ73" s="255">
        <f t="shared" si="2"/>
        <v>823</v>
      </c>
      <c r="AR73" s="255">
        <f t="shared" si="3"/>
        <v>0</v>
      </c>
      <c r="AS73" s="255">
        <f t="shared" si="4"/>
        <v>823</v>
      </c>
      <c r="AT73" s="256">
        <f t="shared" si="5"/>
        <v>26.87063588</v>
      </c>
    </row>
    <row r="74" ht="15.75" customHeight="1">
      <c r="A74" s="257" t="s">
        <v>23</v>
      </c>
      <c r="B74" s="118">
        <f t="shared" si="6"/>
        <v>44999</v>
      </c>
      <c r="C74" s="119">
        <v>3.0</v>
      </c>
      <c r="D74" s="119" t="s">
        <v>36</v>
      </c>
      <c r="E74" s="120" t="s">
        <v>41</v>
      </c>
      <c r="F74" s="121">
        <v>150.0</v>
      </c>
      <c r="G74" s="3"/>
      <c r="H74" s="121">
        <v>150.0</v>
      </c>
      <c r="I74" s="3"/>
      <c r="J74" s="121">
        <v>0.0</v>
      </c>
      <c r="K74" s="3"/>
      <c r="L74" s="121">
        <v>0.0</v>
      </c>
      <c r="M74" s="3"/>
      <c r="N74" s="121">
        <v>260.0</v>
      </c>
      <c r="O74" s="3"/>
      <c r="P74" s="121">
        <v>275.0</v>
      </c>
      <c r="Q74" s="3"/>
      <c r="R74" s="121">
        <v>0.0</v>
      </c>
      <c r="S74" s="3"/>
      <c r="T74" s="121">
        <v>0.0</v>
      </c>
      <c r="U74" s="3"/>
      <c r="V74" s="121">
        <v>0.0</v>
      </c>
      <c r="W74" s="3"/>
      <c r="X74" s="121">
        <v>0.0</v>
      </c>
      <c r="Y74" s="3"/>
      <c r="Z74" s="121">
        <v>3.0</v>
      </c>
      <c r="AA74" s="3"/>
      <c r="AB74" s="121">
        <v>0.0</v>
      </c>
      <c r="AC74" s="3"/>
      <c r="AD74" s="121">
        <v>0.0</v>
      </c>
      <c r="AE74" s="3"/>
      <c r="AF74" s="121">
        <v>0.0</v>
      </c>
      <c r="AG74" s="3"/>
      <c r="AH74" s="121">
        <v>0.0</v>
      </c>
      <c r="AI74" s="3"/>
      <c r="AJ74" s="121">
        <v>0.0</v>
      </c>
      <c r="AK74" s="3"/>
      <c r="AL74" s="121">
        <v>0.0</v>
      </c>
      <c r="AM74" s="3"/>
      <c r="AN74" s="121">
        <v>0.0</v>
      </c>
      <c r="AO74" s="3"/>
      <c r="AP74" s="123">
        <f t="shared" si="1"/>
        <v>22489.33333</v>
      </c>
      <c r="AQ74" s="124">
        <f t="shared" si="2"/>
        <v>838</v>
      </c>
      <c r="AR74" s="124">
        <f t="shared" si="3"/>
        <v>0</v>
      </c>
      <c r="AS74" s="124">
        <f t="shared" si="4"/>
        <v>838</v>
      </c>
      <c r="AT74" s="258">
        <f t="shared" si="5"/>
        <v>26.83691329</v>
      </c>
    </row>
    <row r="75" ht="15.75" customHeight="1">
      <c r="A75" s="257" t="s">
        <v>24</v>
      </c>
      <c r="B75" s="118">
        <f t="shared" si="6"/>
        <v>45000</v>
      </c>
      <c r="C75" s="119">
        <v>3.0</v>
      </c>
      <c r="D75" s="119" t="s">
        <v>36</v>
      </c>
      <c r="E75" s="120" t="s">
        <v>41</v>
      </c>
      <c r="F75" s="121">
        <v>150.0</v>
      </c>
      <c r="G75" s="3"/>
      <c r="H75" s="121">
        <v>150.0</v>
      </c>
      <c r="I75" s="3"/>
      <c r="J75" s="121">
        <v>0.0</v>
      </c>
      <c r="K75" s="3"/>
      <c r="L75" s="121">
        <v>0.0</v>
      </c>
      <c r="M75" s="3"/>
      <c r="N75" s="121">
        <v>260.0</v>
      </c>
      <c r="O75" s="3"/>
      <c r="P75" s="121">
        <v>275.0</v>
      </c>
      <c r="Q75" s="3"/>
      <c r="R75" s="121">
        <v>0.0</v>
      </c>
      <c r="S75" s="3"/>
      <c r="T75" s="121">
        <v>0.0</v>
      </c>
      <c r="U75" s="3"/>
      <c r="V75" s="121">
        <v>0.0</v>
      </c>
      <c r="W75" s="3"/>
      <c r="X75" s="121">
        <v>0.0</v>
      </c>
      <c r="Y75" s="3"/>
      <c r="Z75" s="121">
        <v>4.0</v>
      </c>
      <c r="AA75" s="3"/>
      <c r="AB75" s="121">
        <v>0.0</v>
      </c>
      <c r="AC75" s="3"/>
      <c r="AD75" s="121">
        <v>0.0</v>
      </c>
      <c r="AE75" s="3"/>
      <c r="AF75" s="121">
        <v>0.0</v>
      </c>
      <c r="AG75" s="3"/>
      <c r="AH75" s="121">
        <v>0.0</v>
      </c>
      <c r="AI75" s="3"/>
      <c r="AJ75" s="121">
        <v>0.0</v>
      </c>
      <c r="AK75" s="3"/>
      <c r="AL75" s="121">
        <v>0.0</v>
      </c>
      <c r="AM75" s="3"/>
      <c r="AN75" s="121">
        <v>0.0</v>
      </c>
      <c r="AO75" s="3"/>
      <c r="AP75" s="123">
        <f t="shared" si="1"/>
        <v>22569.33333</v>
      </c>
      <c r="AQ75" s="124">
        <f t="shared" si="2"/>
        <v>839</v>
      </c>
      <c r="AR75" s="124">
        <f t="shared" si="3"/>
        <v>0</v>
      </c>
      <c r="AS75" s="124">
        <f t="shared" si="4"/>
        <v>839</v>
      </c>
      <c r="AT75" s="258">
        <f t="shared" si="5"/>
        <v>26.90027811</v>
      </c>
    </row>
    <row r="76" ht="15.75" customHeight="1">
      <c r="A76" s="257" t="s">
        <v>25</v>
      </c>
      <c r="B76" s="118">
        <f t="shared" si="6"/>
        <v>45001</v>
      </c>
      <c r="C76" s="119">
        <v>3.0</v>
      </c>
      <c r="D76" s="119" t="s">
        <v>36</v>
      </c>
      <c r="E76" s="120" t="s">
        <v>41</v>
      </c>
      <c r="F76" s="121">
        <v>150.0</v>
      </c>
      <c r="G76" s="3"/>
      <c r="H76" s="121">
        <v>150.0</v>
      </c>
      <c r="I76" s="3"/>
      <c r="J76" s="121">
        <v>0.0</v>
      </c>
      <c r="K76" s="3"/>
      <c r="L76" s="121">
        <v>0.0</v>
      </c>
      <c r="M76" s="3"/>
      <c r="N76" s="121">
        <v>260.0</v>
      </c>
      <c r="O76" s="3"/>
      <c r="P76" s="121">
        <v>275.0</v>
      </c>
      <c r="Q76" s="3"/>
      <c r="R76" s="121">
        <v>0.0</v>
      </c>
      <c r="S76" s="3"/>
      <c r="T76" s="121">
        <v>0.0</v>
      </c>
      <c r="U76" s="3"/>
      <c r="V76" s="121">
        <v>0.0</v>
      </c>
      <c r="W76" s="3"/>
      <c r="X76" s="121">
        <v>0.0</v>
      </c>
      <c r="Y76" s="3"/>
      <c r="Z76" s="121">
        <v>3.0</v>
      </c>
      <c r="AA76" s="3"/>
      <c r="AB76" s="121">
        <v>0.0</v>
      </c>
      <c r="AC76" s="3"/>
      <c r="AD76" s="121">
        <v>0.0</v>
      </c>
      <c r="AE76" s="3"/>
      <c r="AF76" s="121">
        <v>0.0</v>
      </c>
      <c r="AG76" s="3"/>
      <c r="AH76" s="121">
        <v>0.0</v>
      </c>
      <c r="AI76" s="3"/>
      <c r="AJ76" s="121">
        <v>0.0</v>
      </c>
      <c r="AK76" s="3"/>
      <c r="AL76" s="121">
        <v>0.0</v>
      </c>
      <c r="AM76" s="3"/>
      <c r="AN76" s="121">
        <v>0.0</v>
      </c>
      <c r="AO76" s="3"/>
      <c r="AP76" s="123">
        <f t="shared" si="1"/>
        <v>22489.33333</v>
      </c>
      <c r="AQ76" s="124">
        <f t="shared" si="2"/>
        <v>838</v>
      </c>
      <c r="AR76" s="124">
        <f t="shared" si="3"/>
        <v>0</v>
      </c>
      <c r="AS76" s="124">
        <f t="shared" si="4"/>
        <v>838</v>
      </c>
      <c r="AT76" s="258">
        <f t="shared" si="5"/>
        <v>26.83691329</v>
      </c>
    </row>
    <row r="77" ht="15.75" customHeight="1">
      <c r="A77" s="257" t="s">
        <v>26</v>
      </c>
      <c r="B77" s="118">
        <f t="shared" si="6"/>
        <v>45002</v>
      </c>
      <c r="C77" s="119">
        <v>3.0</v>
      </c>
      <c r="D77" s="119" t="s">
        <v>36</v>
      </c>
      <c r="E77" s="120" t="s">
        <v>41</v>
      </c>
      <c r="F77" s="121">
        <v>150.0</v>
      </c>
      <c r="G77" s="3"/>
      <c r="H77" s="121">
        <v>150.0</v>
      </c>
      <c r="I77" s="3"/>
      <c r="J77" s="121">
        <v>0.0</v>
      </c>
      <c r="K77" s="3"/>
      <c r="L77" s="121">
        <v>0.0</v>
      </c>
      <c r="M77" s="3"/>
      <c r="N77" s="121">
        <v>0.0</v>
      </c>
      <c r="O77" s="3"/>
      <c r="P77" s="121">
        <v>0.0</v>
      </c>
      <c r="Q77" s="3"/>
      <c r="R77" s="121">
        <v>0.0</v>
      </c>
      <c r="S77" s="3"/>
      <c r="T77" s="121">
        <v>0.0</v>
      </c>
      <c r="U77" s="3"/>
      <c r="V77" s="121">
        <v>0.0</v>
      </c>
      <c r="W77" s="3"/>
      <c r="X77" s="121">
        <v>0.0</v>
      </c>
      <c r="Y77" s="3"/>
      <c r="Z77" s="121">
        <v>0.0</v>
      </c>
      <c r="AA77" s="3"/>
      <c r="AB77" s="121">
        <v>0.0</v>
      </c>
      <c r="AC77" s="3"/>
      <c r="AD77" s="121">
        <v>0.0</v>
      </c>
      <c r="AE77" s="3"/>
      <c r="AF77" s="121">
        <v>0.0</v>
      </c>
      <c r="AG77" s="3"/>
      <c r="AH77" s="121">
        <v>0.0</v>
      </c>
      <c r="AI77" s="3"/>
      <c r="AJ77" s="121">
        <v>0.0</v>
      </c>
      <c r="AK77" s="3"/>
      <c r="AL77" s="121">
        <v>0.0</v>
      </c>
      <c r="AM77" s="3"/>
      <c r="AN77" s="121">
        <v>0.0</v>
      </c>
      <c r="AO77" s="3"/>
      <c r="AP77" s="123">
        <f t="shared" si="1"/>
        <v>10074</v>
      </c>
      <c r="AQ77" s="124">
        <f t="shared" si="2"/>
        <v>300</v>
      </c>
      <c r="AR77" s="124">
        <f t="shared" si="3"/>
        <v>0</v>
      </c>
      <c r="AS77" s="124">
        <f t="shared" si="4"/>
        <v>300</v>
      </c>
      <c r="AT77" s="258">
        <f t="shared" si="5"/>
        <v>33.58</v>
      </c>
    </row>
    <row r="78" ht="15.75" customHeight="1">
      <c r="A78" s="257" t="s">
        <v>27</v>
      </c>
      <c r="B78" s="118">
        <f t="shared" si="6"/>
        <v>45003</v>
      </c>
      <c r="C78" s="119">
        <v>3.0</v>
      </c>
      <c r="D78" s="119" t="s">
        <v>36</v>
      </c>
      <c r="E78" s="120" t="s">
        <v>41</v>
      </c>
      <c r="F78" s="121">
        <v>150.0</v>
      </c>
      <c r="G78" s="3"/>
      <c r="H78" s="121">
        <v>150.0</v>
      </c>
      <c r="I78" s="3"/>
      <c r="J78" s="121">
        <v>0.0</v>
      </c>
      <c r="K78" s="3"/>
      <c r="L78" s="121">
        <v>0.0</v>
      </c>
      <c r="M78" s="3"/>
      <c r="N78" s="121">
        <v>260.0</v>
      </c>
      <c r="O78" s="3"/>
      <c r="P78" s="121">
        <v>275.0</v>
      </c>
      <c r="Q78" s="3"/>
      <c r="R78" s="121">
        <v>0.0</v>
      </c>
      <c r="S78" s="3"/>
      <c r="T78" s="121">
        <v>0.0</v>
      </c>
      <c r="U78" s="3"/>
      <c r="V78" s="121">
        <v>0.0</v>
      </c>
      <c r="W78" s="3"/>
      <c r="X78" s="121">
        <v>0.0</v>
      </c>
      <c r="Y78" s="3"/>
      <c r="Z78" s="121">
        <v>4.0</v>
      </c>
      <c r="AA78" s="3"/>
      <c r="AB78" s="121">
        <v>0.0</v>
      </c>
      <c r="AC78" s="3"/>
      <c r="AD78" s="121">
        <v>0.0</v>
      </c>
      <c r="AE78" s="3"/>
      <c r="AF78" s="121">
        <v>0.0</v>
      </c>
      <c r="AG78" s="3"/>
      <c r="AH78" s="121">
        <v>0.0</v>
      </c>
      <c r="AI78" s="3"/>
      <c r="AJ78" s="121">
        <v>0.0</v>
      </c>
      <c r="AK78" s="3"/>
      <c r="AL78" s="121">
        <v>0.0</v>
      </c>
      <c r="AM78" s="3"/>
      <c r="AN78" s="121">
        <v>0.0</v>
      </c>
      <c r="AO78" s="3"/>
      <c r="AP78" s="123">
        <f t="shared" si="1"/>
        <v>22569.33333</v>
      </c>
      <c r="AQ78" s="124">
        <f t="shared" si="2"/>
        <v>839</v>
      </c>
      <c r="AR78" s="124">
        <f t="shared" si="3"/>
        <v>0</v>
      </c>
      <c r="AS78" s="124">
        <f t="shared" si="4"/>
        <v>839</v>
      </c>
      <c r="AT78" s="258">
        <f t="shared" si="5"/>
        <v>26.90027811</v>
      </c>
    </row>
    <row r="79" ht="15.75" customHeight="1">
      <c r="A79" s="257" t="s">
        <v>28</v>
      </c>
      <c r="B79" s="118">
        <f t="shared" si="6"/>
        <v>45004</v>
      </c>
      <c r="C79" s="119">
        <v>3.0</v>
      </c>
      <c r="D79" s="119" t="s">
        <v>36</v>
      </c>
      <c r="E79" s="259" t="s">
        <v>41</v>
      </c>
      <c r="F79" s="182">
        <v>150.0</v>
      </c>
      <c r="G79" s="73"/>
      <c r="H79" s="182">
        <v>150.0</v>
      </c>
      <c r="I79" s="73"/>
      <c r="J79" s="182">
        <v>0.0</v>
      </c>
      <c r="K79" s="73"/>
      <c r="L79" s="182">
        <v>0.0</v>
      </c>
      <c r="M79" s="73"/>
      <c r="N79" s="182">
        <v>260.0</v>
      </c>
      <c r="O79" s="73"/>
      <c r="P79" s="182">
        <v>275.0</v>
      </c>
      <c r="Q79" s="73"/>
      <c r="R79" s="182">
        <v>0.0</v>
      </c>
      <c r="S79" s="73"/>
      <c r="T79" s="182">
        <v>0.0</v>
      </c>
      <c r="U79" s="73"/>
      <c r="V79" s="182">
        <v>0.0</v>
      </c>
      <c r="W79" s="73"/>
      <c r="X79" s="260">
        <v>0.0</v>
      </c>
      <c r="Y79" s="207"/>
      <c r="Z79" s="182">
        <v>3.0</v>
      </c>
      <c r="AA79" s="73"/>
      <c r="AB79" s="182">
        <v>0.0</v>
      </c>
      <c r="AC79" s="73"/>
      <c r="AD79" s="182">
        <v>0.0</v>
      </c>
      <c r="AE79" s="73"/>
      <c r="AF79" s="182">
        <v>0.0</v>
      </c>
      <c r="AG79" s="73"/>
      <c r="AH79" s="182">
        <v>0.0</v>
      </c>
      <c r="AI79" s="73"/>
      <c r="AJ79" s="182">
        <v>0.0</v>
      </c>
      <c r="AK79" s="73"/>
      <c r="AL79" s="182">
        <v>0.0</v>
      </c>
      <c r="AM79" s="73"/>
      <c r="AN79" s="182">
        <v>0.0</v>
      </c>
      <c r="AO79" s="73"/>
      <c r="AP79" s="183">
        <f t="shared" si="1"/>
        <v>22489.33333</v>
      </c>
      <c r="AQ79" s="181">
        <f t="shared" si="2"/>
        <v>838</v>
      </c>
      <c r="AR79" s="181">
        <f t="shared" si="3"/>
        <v>0</v>
      </c>
      <c r="AS79" s="181">
        <f t="shared" si="4"/>
        <v>838</v>
      </c>
      <c r="AT79" s="261">
        <f t="shared" si="5"/>
        <v>26.83691329</v>
      </c>
    </row>
    <row r="80" ht="15.75" customHeight="1">
      <c r="A80" s="262" t="s">
        <v>21</v>
      </c>
      <c r="B80" s="263">
        <f t="shared" si="6"/>
        <v>45005</v>
      </c>
      <c r="C80" s="264">
        <v>3.0</v>
      </c>
      <c r="D80" s="264" t="s">
        <v>37</v>
      </c>
      <c r="E80" s="265" t="s">
        <v>41</v>
      </c>
      <c r="F80" s="266">
        <v>150.0</v>
      </c>
      <c r="G80" s="84"/>
      <c r="H80" s="266">
        <v>150.0</v>
      </c>
      <c r="I80" s="84"/>
      <c r="J80" s="266">
        <v>0.0</v>
      </c>
      <c r="K80" s="84"/>
      <c r="L80" s="266">
        <v>0.0</v>
      </c>
      <c r="M80" s="84"/>
      <c r="N80" s="266">
        <v>275.0</v>
      </c>
      <c r="O80" s="84"/>
      <c r="P80" s="267">
        <v>220.0</v>
      </c>
      <c r="Q80" s="84"/>
      <c r="R80" s="266">
        <v>0.0</v>
      </c>
      <c r="S80" s="84"/>
      <c r="T80" s="266">
        <v>0.0</v>
      </c>
      <c r="U80" s="84"/>
      <c r="V80" s="266">
        <v>0.0</v>
      </c>
      <c r="W80" s="84"/>
      <c r="X80" s="268">
        <v>80.0</v>
      </c>
      <c r="Y80" s="58"/>
      <c r="Z80" s="266">
        <v>0.0</v>
      </c>
      <c r="AA80" s="84"/>
      <c r="AB80" s="266">
        <v>4.0</v>
      </c>
      <c r="AC80" s="84"/>
      <c r="AD80" s="266">
        <v>0.0</v>
      </c>
      <c r="AE80" s="84"/>
      <c r="AF80" s="266">
        <v>0.0</v>
      </c>
      <c r="AG80" s="84"/>
      <c r="AH80" s="266">
        <v>0.0</v>
      </c>
      <c r="AI80" s="84"/>
      <c r="AJ80" s="266">
        <v>0.0</v>
      </c>
      <c r="AK80" s="84"/>
      <c r="AL80" s="266">
        <v>0.0</v>
      </c>
      <c r="AM80" s="84"/>
      <c r="AN80" s="266">
        <v>0.0</v>
      </c>
      <c r="AO80" s="84"/>
      <c r="AP80" s="269">
        <f t="shared" si="1"/>
        <v>23260.26667</v>
      </c>
      <c r="AQ80" s="226">
        <f t="shared" ref="AQ80:AQ86" si="7">SUM(N80:Y80)</f>
        <v>575</v>
      </c>
      <c r="AR80" s="270">
        <f t="shared" si="3"/>
        <v>0</v>
      </c>
      <c r="AS80" s="270">
        <f t="shared" si="4"/>
        <v>879</v>
      </c>
      <c r="AT80" s="271">
        <f t="shared" si="5"/>
        <v>26.46219188</v>
      </c>
    </row>
    <row r="81" ht="15.75" customHeight="1">
      <c r="A81" s="272" t="s">
        <v>23</v>
      </c>
      <c r="B81" s="229">
        <f t="shared" si="6"/>
        <v>45006</v>
      </c>
      <c r="C81" s="230">
        <v>3.0</v>
      </c>
      <c r="D81" s="230" t="s">
        <v>37</v>
      </c>
      <c r="E81" s="231" t="s">
        <v>41</v>
      </c>
      <c r="F81" s="232">
        <v>150.0</v>
      </c>
      <c r="G81" s="3"/>
      <c r="H81" s="232">
        <v>150.0</v>
      </c>
      <c r="I81" s="3"/>
      <c r="J81" s="232">
        <v>0.0</v>
      </c>
      <c r="K81" s="3"/>
      <c r="L81" s="232">
        <v>0.0</v>
      </c>
      <c r="M81" s="3"/>
      <c r="N81" s="232">
        <v>275.0</v>
      </c>
      <c r="O81" s="3"/>
      <c r="P81" s="273">
        <v>220.0</v>
      </c>
      <c r="Q81" s="3"/>
      <c r="R81" s="232">
        <v>0.0</v>
      </c>
      <c r="S81" s="3"/>
      <c r="T81" s="232">
        <v>0.0</v>
      </c>
      <c r="U81" s="3"/>
      <c r="V81" s="232">
        <v>0.0</v>
      </c>
      <c r="W81" s="3"/>
      <c r="X81" s="232">
        <v>80.0</v>
      </c>
      <c r="Y81" s="3"/>
      <c r="Z81" s="232">
        <v>3.0</v>
      </c>
      <c r="AA81" s="3"/>
      <c r="AB81" s="232">
        <v>0.0</v>
      </c>
      <c r="AC81" s="3"/>
      <c r="AD81" s="232">
        <v>0.0</v>
      </c>
      <c r="AE81" s="3"/>
      <c r="AF81" s="232">
        <v>0.0</v>
      </c>
      <c r="AG81" s="3"/>
      <c r="AH81" s="232">
        <v>0.0</v>
      </c>
      <c r="AI81" s="3"/>
      <c r="AJ81" s="232">
        <v>0.0</v>
      </c>
      <c r="AK81" s="3"/>
      <c r="AL81" s="232">
        <v>0.0</v>
      </c>
      <c r="AM81" s="3"/>
      <c r="AN81" s="232">
        <v>0.0</v>
      </c>
      <c r="AO81" s="3"/>
      <c r="AP81" s="233">
        <f t="shared" si="1"/>
        <v>23000.26667</v>
      </c>
      <c r="AQ81" s="234">
        <f t="shared" si="7"/>
        <v>575</v>
      </c>
      <c r="AR81" s="234">
        <f t="shared" si="3"/>
        <v>0</v>
      </c>
      <c r="AS81" s="234">
        <f t="shared" si="4"/>
        <v>878</v>
      </c>
      <c r="AT81" s="274">
        <f t="shared" si="5"/>
        <v>26.19620349</v>
      </c>
    </row>
    <row r="82" ht="15.75" customHeight="1">
      <c r="A82" s="272" t="s">
        <v>24</v>
      </c>
      <c r="B82" s="229">
        <f t="shared" si="6"/>
        <v>45007</v>
      </c>
      <c r="C82" s="230">
        <v>3.0</v>
      </c>
      <c r="D82" s="230" t="s">
        <v>37</v>
      </c>
      <c r="E82" s="231" t="s">
        <v>41</v>
      </c>
      <c r="F82" s="232">
        <v>150.0</v>
      </c>
      <c r="G82" s="3"/>
      <c r="H82" s="232">
        <v>150.0</v>
      </c>
      <c r="I82" s="3"/>
      <c r="J82" s="232">
        <v>0.0</v>
      </c>
      <c r="K82" s="3"/>
      <c r="L82" s="232">
        <v>0.0</v>
      </c>
      <c r="M82" s="3"/>
      <c r="N82" s="232">
        <v>275.0</v>
      </c>
      <c r="O82" s="3"/>
      <c r="P82" s="273">
        <v>220.0</v>
      </c>
      <c r="Q82" s="3"/>
      <c r="R82" s="232">
        <v>0.0</v>
      </c>
      <c r="S82" s="3"/>
      <c r="T82" s="232">
        <v>0.0</v>
      </c>
      <c r="U82" s="3"/>
      <c r="V82" s="232">
        <v>0.0</v>
      </c>
      <c r="W82" s="3"/>
      <c r="X82" s="232">
        <v>80.0</v>
      </c>
      <c r="Y82" s="3"/>
      <c r="Z82" s="232">
        <v>4.0</v>
      </c>
      <c r="AA82" s="3"/>
      <c r="AB82" s="232">
        <v>0.0</v>
      </c>
      <c r="AC82" s="3"/>
      <c r="AD82" s="232">
        <v>0.0</v>
      </c>
      <c r="AE82" s="3"/>
      <c r="AF82" s="232">
        <v>0.0</v>
      </c>
      <c r="AG82" s="3"/>
      <c r="AH82" s="232">
        <v>0.0</v>
      </c>
      <c r="AI82" s="3"/>
      <c r="AJ82" s="232">
        <v>0.0</v>
      </c>
      <c r="AK82" s="3"/>
      <c r="AL82" s="232">
        <v>0.0</v>
      </c>
      <c r="AM82" s="3"/>
      <c r="AN82" s="232">
        <v>0.0</v>
      </c>
      <c r="AO82" s="3"/>
      <c r="AP82" s="233">
        <f t="shared" si="1"/>
        <v>23080.26667</v>
      </c>
      <c r="AQ82" s="234">
        <f t="shared" si="7"/>
        <v>575</v>
      </c>
      <c r="AR82" s="234">
        <f t="shared" si="3"/>
        <v>0</v>
      </c>
      <c r="AS82" s="234">
        <f t="shared" si="4"/>
        <v>879</v>
      </c>
      <c r="AT82" s="274">
        <f t="shared" si="5"/>
        <v>26.25741373</v>
      </c>
    </row>
    <row r="83" ht="15.75" customHeight="1">
      <c r="A83" s="272" t="s">
        <v>25</v>
      </c>
      <c r="B83" s="229">
        <f t="shared" si="6"/>
        <v>45008</v>
      </c>
      <c r="C83" s="230">
        <v>3.0</v>
      </c>
      <c r="D83" s="230" t="s">
        <v>37</v>
      </c>
      <c r="E83" s="231" t="s">
        <v>41</v>
      </c>
      <c r="F83" s="232">
        <v>150.0</v>
      </c>
      <c r="G83" s="3"/>
      <c r="H83" s="232">
        <v>150.0</v>
      </c>
      <c r="I83" s="3"/>
      <c r="J83" s="232">
        <v>0.0</v>
      </c>
      <c r="K83" s="3"/>
      <c r="L83" s="232">
        <v>0.0</v>
      </c>
      <c r="M83" s="3"/>
      <c r="N83" s="232">
        <v>275.0</v>
      </c>
      <c r="O83" s="3"/>
      <c r="P83" s="273">
        <v>220.0</v>
      </c>
      <c r="Q83" s="3"/>
      <c r="R83" s="232">
        <v>0.0</v>
      </c>
      <c r="S83" s="3"/>
      <c r="T83" s="232">
        <v>0.0</v>
      </c>
      <c r="U83" s="3"/>
      <c r="V83" s="232">
        <v>0.0</v>
      </c>
      <c r="W83" s="3"/>
      <c r="X83" s="232">
        <v>80.0</v>
      </c>
      <c r="Y83" s="3"/>
      <c r="Z83" s="232">
        <v>3.0</v>
      </c>
      <c r="AA83" s="3"/>
      <c r="AB83" s="232">
        <v>0.0</v>
      </c>
      <c r="AC83" s="3"/>
      <c r="AD83" s="232">
        <v>0.0</v>
      </c>
      <c r="AE83" s="3"/>
      <c r="AF83" s="232">
        <v>0.0</v>
      </c>
      <c r="AG83" s="3"/>
      <c r="AH83" s="232">
        <v>0.0</v>
      </c>
      <c r="AI83" s="3"/>
      <c r="AJ83" s="232">
        <v>0.0</v>
      </c>
      <c r="AK83" s="3"/>
      <c r="AL83" s="232">
        <v>0.0</v>
      </c>
      <c r="AM83" s="3"/>
      <c r="AN83" s="232">
        <v>0.0</v>
      </c>
      <c r="AO83" s="3"/>
      <c r="AP83" s="233">
        <f t="shared" si="1"/>
        <v>23000.26667</v>
      </c>
      <c r="AQ83" s="234">
        <f t="shared" si="7"/>
        <v>575</v>
      </c>
      <c r="AR83" s="234">
        <f t="shared" si="3"/>
        <v>0</v>
      </c>
      <c r="AS83" s="234">
        <f t="shared" si="4"/>
        <v>878</v>
      </c>
      <c r="AT83" s="274">
        <f t="shared" si="5"/>
        <v>26.19620349</v>
      </c>
    </row>
    <row r="84" ht="15.75" customHeight="1">
      <c r="A84" s="272" t="s">
        <v>26</v>
      </c>
      <c r="B84" s="229">
        <f t="shared" si="6"/>
        <v>45009</v>
      </c>
      <c r="C84" s="230">
        <v>3.0</v>
      </c>
      <c r="D84" s="230" t="s">
        <v>37</v>
      </c>
      <c r="E84" s="231" t="s">
        <v>41</v>
      </c>
      <c r="F84" s="232">
        <v>150.0</v>
      </c>
      <c r="G84" s="3"/>
      <c r="H84" s="232">
        <v>150.0</v>
      </c>
      <c r="I84" s="3"/>
      <c r="J84" s="232">
        <v>0.0</v>
      </c>
      <c r="K84" s="3"/>
      <c r="L84" s="232">
        <v>0.0</v>
      </c>
      <c r="M84" s="3"/>
      <c r="N84" s="232">
        <v>275.0</v>
      </c>
      <c r="O84" s="3"/>
      <c r="P84" s="273">
        <v>220.0</v>
      </c>
      <c r="Q84" s="3"/>
      <c r="R84" s="232">
        <v>0.0</v>
      </c>
      <c r="S84" s="3"/>
      <c r="T84" s="232">
        <v>0.0</v>
      </c>
      <c r="U84" s="3"/>
      <c r="V84" s="232">
        <v>0.0</v>
      </c>
      <c r="W84" s="3"/>
      <c r="X84" s="232">
        <v>80.0</v>
      </c>
      <c r="Y84" s="3"/>
      <c r="Z84" s="232">
        <v>3.0</v>
      </c>
      <c r="AA84" s="3"/>
      <c r="AB84" s="232">
        <v>0.0</v>
      </c>
      <c r="AC84" s="3"/>
      <c r="AD84" s="232">
        <v>0.0</v>
      </c>
      <c r="AE84" s="3"/>
      <c r="AF84" s="232">
        <v>0.0</v>
      </c>
      <c r="AG84" s="3"/>
      <c r="AH84" s="232">
        <v>0.0</v>
      </c>
      <c r="AI84" s="3"/>
      <c r="AJ84" s="232">
        <v>0.0</v>
      </c>
      <c r="AK84" s="3"/>
      <c r="AL84" s="232">
        <v>0.0</v>
      </c>
      <c r="AM84" s="3"/>
      <c r="AN84" s="232">
        <v>0.0</v>
      </c>
      <c r="AO84" s="3"/>
      <c r="AP84" s="233">
        <f t="shared" si="1"/>
        <v>23000.26667</v>
      </c>
      <c r="AQ84" s="234">
        <f t="shared" si="7"/>
        <v>575</v>
      </c>
      <c r="AR84" s="234">
        <f t="shared" si="3"/>
        <v>0</v>
      </c>
      <c r="AS84" s="234">
        <f t="shared" si="4"/>
        <v>878</v>
      </c>
      <c r="AT84" s="274">
        <f t="shared" si="5"/>
        <v>26.19620349</v>
      </c>
    </row>
    <row r="85" ht="15.75" customHeight="1">
      <c r="A85" s="272" t="s">
        <v>27</v>
      </c>
      <c r="B85" s="229">
        <f t="shared" si="6"/>
        <v>45010</v>
      </c>
      <c r="C85" s="230">
        <v>3.0</v>
      </c>
      <c r="D85" s="230" t="s">
        <v>37</v>
      </c>
      <c r="E85" s="231" t="s">
        <v>41</v>
      </c>
      <c r="F85" s="232">
        <v>150.0</v>
      </c>
      <c r="G85" s="3"/>
      <c r="H85" s="232">
        <v>150.0</v>
      </c>
      <c r="I85" s="3"/>
      <c r="J85" s="232">
        <v>0.0</v>
      </c>
      <c r="K85" s="3"/>
      <c r="L85" s="232">
        <v>0.0</v>
      </c>
      <c r="M85" s="3"/>
      <c r="N85" s="232">
        <v>275.0</v>
      </c>
      <c r="O85" s="3"/>
      <c r="P85" s="273">
        <v>300.0</v>
      </c>
      <c r="Q85" s="3"/>
      <c r="R85" s="232">
        <v>0.0</v>
      </c>
      <c r="S85" s="3"/>
      <c r="T85" s="232">
        <v>0.0</v>
      </c>
      <c r="U85" s="3"/>
      <c r="V85" s="232">
        <v>0.0</v>
      </c>
      <c r="W85" s="3"/>
      <c r="X85" s="232">
        <v>0.0</v>
      </c>
      <c r="Y85" s="3"/>
      <c r="Z85" s="232">
        <v>3.0</v>
      </c>
      <c r="AA85" s="3"/>
      <c r="AB85" s="232">
        <v>0.0</v>
      </c>
      <c r="AC85" s="3"/>
      <c r="AD85" s="232">
        <v>0.0</v>
      </c>
      <c r="AE85" s="3"/>
      <c r="AF85" s="232">
        <v>0.0</v>
      </c>
      <c r="AG85" s="3"/>
      <c r="AH85" s="232">
        <v>0.0</v>
      </c>
      <c r="AI85" s="3"/>
      <c r="AJ85" s="232">
        <v>0.0</v>
      </c>
      <c r="AK85" s="3"/>
      <c r="AL85" s="232">
        <v>0.0</v>
      </c>
      <c r="AM85" s="3"/>
      <c r="AN85" s="232">
        <v>0.0</v>
      </c>
      <c r="AO85" s="3"/>
      <c r="AP85" s="233">
        <f t="shared" si="1"/>
        <v>23420</v>
      </c>
      <c r="AQ85" s="234">
        <f t="shared" si="7"/>
        <v>575</v>
      </c>
      <c r="AR85" s="234">
        <f t="shared" si="3"/>
        <v>0</v>
      </c>
      <c r="AS85" s="234">
        <f t="shared" si="4"/>
        <v>878</v>
      </c>
      <c r="AT85" s="274">
        <f t="shared" si="5"/>
        <v>26.67425968</v>
      </c>
    </row>
    <row r="86" ht="15.75" customHeight="1">
      <c r="A86" s="272" t="s">
        <v>28</v>
      </c>
      <c r="B86" s="229">
        <f t="shared" si="6"/>
        <v>45011</v>
      </c>
      <c r="C86" s="230">
        <v>3.0</v>
      </c>
      <c r="D86" s="230" t="s">
        <v>37</v>
      </c>
      <c r="E86" s="236" t="s">
        <v>41</v>
      </c>
      <c r="F86" s="237">
        <v>150.0</v>
      </c>
      <c r="G86" s="73"/>
      <c r="H86" s="237">
        <v>150.0</v>
      </c>
      <c r="I86" s="73"/>
      <c r="J86" s="237">
        <v>0.0</v>
      </c>
      <c r="K86" s="73"/>
      <c r="L86" s="237">
        <v>0.0</v>
      </c>
      <c r="M86" s="73"/>
      <c r="N86" s="237">
        <v>275.0</v>
      </c>
      <c r="O86" s="73"/>
      <c r="P86" s="275">
        <v>300.0</v>
      </c>
      <c r="Q86" s="73"/>
      <c r="R86" s="237">
        <v>0.0</v>
      </c>
      <c r="S86" s="73"/>
      <c r="T86" s="237">
        <v>0.0</v>
      </c>
      <c r="U86" s="73"/>
      <c r="V86" s="237">
        <v>0.0</v>
      </c>
      <c r="W86" s="73"/>
      <c r="X86" s="237">
        <v>0.0</v>
      </c>
      <c r="Y86" s="73"/>
      <c r="Z86" s="237">
        <v>3.0</v>
      </c>
      <c r="AA86" s="73"/>
      <c r="AB86" s="237">
        <v>0.0</v>
      </c>
      <c r="AC86" s="73"/>
      <c r="AD86" s="237">
        <v>0.0</v>
      </c>
      <c r="AE86" s="73"/>
      <c r="AF86" s="237">
        <v>0.0</v>
      </c>
      <c r="AG86" s="73"/>
      <c r="AH86" s="237">
        <v>0.0</v>
      </c>
      <c r="AI86" s="73"/>
      <c r="AJ86" s="237">
        <v>0.0</v>
      </c>
      <c r="AK86" s="73"/>
      <c r="AL86" s="237">
        <v>0.0</v>
      </c>
      <c r="AM86" s="73"/>
      <c r="AN86" s="237">
        <v>0.0</v>
      </c>
      <c r="AO86" s="73"/>
      <c r="AP86" s="238">
        <f t="shared" si="1"/>
        <v>23420</v>
      </c>
      <c r="AQ86" s="234">
        <f t="shared" si="7"/>
        <v>575</v>
      </c>
      <c r="AR86" s="239">
        <f t="shared" si="3"/>
        <v>0</v>
      </c>
      <c r="AS86" s="239">
        <f t="shared" si="4"/>
        <v>878</v>
      </c>
      <c r="AT86" s="276">
        <f t="shared" si="5"/>
        <v>26.67425968</v>
      </c>
    </row>
    <row r="87" ht="15.75" customHeight="1">
      <c r="A87" s="249" t="s">
        <v>21</v>
      </c>
      <c r="B87" s="250">
        <f t="shared" si="6"/>
        <v>45012</v>
      </c>
      <c r="C87" s="251">
        <v>4.0</v>
      </c>
      <c r="D87" s="251" t="s">
        <v>22</v>
      </c>
      <c r="E87" s="252" t="s">
        <v>41</v>
      </c>
      <c r="F87" s="253">
        <v>0.0</v>
      </c>
      <c r="G87" s="190"/>
      <c r="H87" s="253">
        <v>0.0</v>
      </c>
      <c r="I87" s="190"/>
      <c r="J87" s="253">
        <v>0.0</v>
      </c>
      <c r="K87" s="190"/>
      <c r="L87" s="253">
        <v>0.0</v>
      </c>
      <c r="M87" s="190"/>
      <c r="N87" s="253">
        <v>240.0</v>
      </c>
      <c r="O87" s="190"/>
      <c r="P87" s="253">
        <v>185.0</v>
      </c>
      <c r="Q87" s="190"/>
      <c r="R87" s="253">
        <v>0.0</v>
      </c>
      <c r="S87" s="190"/>
      <c r="T87" s="253">
        <v>0.0</v>
      </c>
      <c r="U87" s="190"/>
      <c r="V87" s="253">
        <v>0.0</v>
      </c>
      <c r="W87" s="190"/>
      <c r="X87" s="253">
        <v>80.0</v>
      </c>
      <c r="Y87" s="190"/>
      <c r="Z87" s="253">
        <v>3.0</v>
      </c>
      <c r="AA87" s="190"/>
      <c r="AB87" s="253">
        <v>0.0</v>
      </c>
      <c r="AC87" s="190"/>
      <c r="AD87" s="253">
        <v>0.0</v>
      </c>
      <c r="AE87" s="190"/>
      <c r="AF87" s="253">
        <v>0.0</v>
      </c>
      <c r="AG87" s="190"/>
      <c r="AH87" s="253">
        <v>0.0</v>
      </c>
      <c r="AI87" s="190"/>
      <c r="AJ87" s="253">
        <v>0.0</v>
      </c>
      <c r="AK87" s="190"/>
      <c r="AL87" s="253">
        <v>0.0</v>
      </c>
      <c r="AM87" s="190"/>
      <c r="AN87" s="253">
        <v>0.0</v>
      </c>
      <c r="AO87" s="190"/>
      <c r="AP87" s="254">
        <f t="shared" si="1"/>
        <v>11337.73333</v>
      </c>
      <c r="AQ87" s="255">
        <f t="shared" ref="AQ87:AQ88" si="8">SUM(F87:Y87)</f>
        <v>505</v>
      </c>
      <c r="AR87" s="255">
        <f t="shared" si="3"/>
        <v>0</v>
      </c>
      <c r="AS87" s="255">
        <f t="shared" si="4"/>
        <v>508</v>
      </c>
      <c r="AT87" s="256">
        <f t="shared" si="5"/>
        <v>22.3183727</v>
      </c>
    </row>
    <row r="88" ht="15.75" customHeight="1">
      <c r="A88" s="257" t="s">
        <v>23</v>
      </c>
      <c r="B88" s="118">
        <f t="shared" si="6"/>
        <v>45013</v>
      </c>
      <c r="C88" s="119">
        <v>4.0</v>
      </c>
      <c r="D88" s="119" t="s">
        <v>22</v>
      </c>
      <c r="E88" s="120" t="s">
        <v>41</v>
      </c>
      <c r="F88" s="121">
        <v>0.0</v>
      </c>
      <c r="G88" s="3"/>
      <c r="H88" s="121">
        <v>0.0</v>
      </c>
      <c r="I88" s="3"/>
      <c r="J88" s="121">
        <v>0.0</v>
      </c>
      <c r="K88" s="3"/>
      <c r="L88" s="121">
        <v>0.0</v>
      </c>
      <c r="M88" s="3"/>
      <c r="N88" s="121">
        <v>240.0</v>
      </c>
      <c r="O88" s="3"/>
      <c r="P88" s="121">
        <v>225.0</v>
      </c>
      <c r="Q88" s="3"/>
      <c r="R88" s="121">
        <v>0.0</v>
      </c>
      <c r="S88" s="3"/>
      <c r="T88" s="121">
        <v>0.0</v>
      </c>
      <c r="U88" s="3"/>
      <c r="V88" s="121">
        <v>0.0</v>
      </c>
      <c r="W88" s="3"/>
      <c r="X88" s="121">
        <v>40.0</v>
      </c>
      <c r="Y88" s="3"/>
      <c r="Z88" s="121">
        <v>3.0</v>
      </c>
      <c r="AA88" s="3"/>
      <c r="AB88" s="121">
        <v>0.0</v>
      </c>
      <c r="AC88" s="3"/>
      <c r="AD88" s="121">
        <v>0.0</v>
      </c>
      <c r="AE88" s="3"/>
      <c r="AF88" s="121">
        <v>0.0</v>
      </c>
      <c r="AG88" s="3"/>
      <c r="AH88" s="121">
        <v>0.0</v>
      </c>
      <c r="AI88" s="3"/>
      <c r="AJ88" s="121">
        <v>0.0</v>
      </c>
      <c r="AK88" s="3"/>
      <c r="AL88" s="121">
        <v>0.0</v>
      </c>
      <c r="AM88" s="3"/>
      <c r="AN88" s="121">
        <v>0.0</v>
      </c>
      <c r="AO88" s="3"/>
      <c r="AP88" s="123">
        <f t="shared" si="1"/>
        <v>11547.6</v>
      </c>
      <c r="AQ88" s="277">
        <f t="shared" si="8"/>
        <v>505</v>
      </c>
      <c r="AR88" s="124">
        <f t="shared" si="3"/>
        <v>0</v>
      </c>
      <c r="AS88" s="124">
        <f t="shared" si="4"/>
        <v>508</v>
      </c>
      <c r="AT88" s="258">
        <f t="shared" si="5"/>
        <v>22.73149606</v>
      </c>
    </row>
    <row r="89" ht="15.75" customHeight="1">
      <c r="A89" s="257" t="s">
        <v>24</v>
      </c>
      <c r="B89" s="118">
        <f t="shared" si="6"/>
        <v>45014</v>
      </c>
      <c r="C89" s="119">
        <v>4.0</v>
      </c>
      <c r="D89" s="119" t="s">
        <v>22</v>
      </c>
      <c r="E89" s="120" t="s">
        <v>41</v>
      </c>
      <c r="F89" s="121">
        <v>0.0</v>
      </c>
      <c r="G89" s="3"/>
      <c r="H89" s="121">
        <v>0.0</v>
      </c>
      <c r="I89" s="3"/>
      <c r="J89" s="121">
        <v>0.0</v>
      </c>
      <c r="K89" s="3"/>
      <c r="L89" s="121">
        <v>0.0</v>
      </c>
      <c r="M89" s="3"/>
      <c r="N89" s="121">
        <v>240.0</v>
      </c>
      <c r="O89" s="3"/>
      <c r="P89" s="121">
        <v>265.0</v>
      </c>
      <c r="Q89" s="3"/>
      <c r="R89" s="121">
        <v>0.0</v>
      </c>
      <c r="S89" s="3"/>
      <c r="T89" s="121">
        <v>0.0</v>
      </c>
      <c r="U89" s="3"/>
      <c r="V89" s="121">
        <v>0.0</v>
      </c>
      <c r="W89" s="3"/>
      <c r="X89" s="121">
        <v>0.0</v>
      </c>
      <c r="Y89" s="3"/>
      <c r="Z89" s="121">
        <v>4.0</v>
      </c>
      <c r="AA89" s="3"/>
      <c r="AB89" s="121">
        <v>0.0</v>
      </c>
      <c r="AC89" s="3"/>
      <c r="AD89" s="121">
        <v>0.0</v>
      </c>
      <c r="AE89" s="3"/>
      <c r="AF89" s="121">
        <v>0.0</v>
      </c>
      <c r="AG89" s="3"/>
      <c r="AH89" s="121">
        <v>0.0</v>
      </c>
      <c r="AI89" s="3"/>
      <c r="AJ89" s="121">
        <v>0.0</v>
      </c>
      <c r="AK89" s="3"/>
      <c r="AL89" s="121">
        <v>0.0</v>
      </c>
      <c r="AM89" s="3"/>
      <c r="AN89" s="121">
        <v>0.0</v>
      </c>
      <c r="AO89" s="3"/>
      <c r="AP89" s="123">
        <f t="shared" si="1"/>
        <v>11837.46667</v>
      </c>
      <c r="AQ89" s="277">
        <f>sum(F89,H89,J89,L89,N89,P89,R89,T89,V89,AN92)</f>
        <v>505</v>
      </c>
      <c r="AR89" s="124">
        <f t="shared" si="3"/>
        <v>0</v>
      </c>
      <c r="AS89" s="124">
        <f t="shared" si="4"/>
        <v>509</v>
      </c>
      <c r="AT89" s="258">
        <f t="shared" si="5"/>
        <v>23.25631958</v>
      </c>
    </row>
    <row r="90" ht="15.75" customHeight="1">
      <c r="A90" s="257" t="s">
        <v>25</v>
      </c>
      <c r="B90" s="118">
        <f t="shared" si="6"/>
        <v>45015</v>
      </c>
      <c r="C90" s="119">
        <v>4.0</v>
      </c>
      <c r="D90" s="119" t="s">
        <v>22</v>
      </c>
      <c r="E90" s="120" t="s">
        <v>41</v>
      </c>
      <c r="F90" s="121">
        <v>0.0</v>
      </c>
      <c r="G90" s="3"/>
      <c r="H90" s="121">
        <v>0.0</v>
      </c>
      <c r="I90" s="3"/>
      <c r="J90" s="121">
        <v>0.0</v>
      </c>
      <c r="K90" s="3"/>
      <c r="L90" s="121">
        <v>0.0</v>
      </c>
      <c r="M90" s="3"/>
      <c r="N90" s="121">
        <v>240.0</v>
      </c>
      <c r="O90" s="3"/>
      <c r="P90" s="121">
        <v>225.0</v>
      </c>
      <c r="Q90" s="3"/>
      <c r="R90" s="121">
        <v>0.0</v>
      </c>
      <c r="S90" s="3"/>
      <c r="T90" s="121">
        <v>0.0</v>
      </c>
      <c r="U90" s="3"/>
      <c r="V90" s="121">
        <v>0.0</v>
      </c>
      <c r="W90" s="3"/>
      <c r="X90" s="121">
        <v>70.0</v>
      </c>
      <c r="Y90" s="3"/>
      <c r="Z90" s="121">
        <v>0.0</v>
      </c>
      <c r="AA90" s="3"/>
      <c r="AB90" s="121">
        <v>3.0</v>
      </c>
      <c r="AC90" s="3"/>
      <c r="AD90" s="121">
        <v>0.0</v>
      </c>
      <c r="AE90" s="3"/>
      <c r="AF90" s="121">
        <v>0.0</v>
      </c>
      <c r="AG90" s="3"/>
      <c r="AH90" s="121">
        <v>0.0</v>
      </c>
      <c r="AI90" s="3"/>
      <c r="AJ90" s="121">
        <v>0.0</v>
      </c>
      <c r="AK90" s="3"/>
      <c r="AL90" s="121">
        <v>0.0</v>
      </c>
      <c r="AM90" s="3"/>
      <c r="AN90" s="121">
        <v>0.0</v>
      </c>
      <c r="AO90" s="3"/>
      <c r="AP90" s="123">
        <f t="shared" si="1"/>
        <v>12274.8</v>
      </c>
      <c r="AQ90" s="277">
        <f>SUM(N89:Y89)</f>
        <v>505</v>
      </c>
      <c r="AR90" s="124">
        <f t="shared" si="3"/>
        <v>0</v>
      </c>
      <c r="AS90" s="124">
        <f t="shared" si="4"/>
        <v>538</v>
      </c>
      <c r="AT90" s="258">
        <f t="shared" si="5"/>
        <v>22.81561338</v>
      </c>
    </row>
    <row r="91" ht="15.75" customHeight="1">
      <c r="A91" s="257" t="s">
        <v>26</v>
      </c>
      <c r="B91" s="118">
        <f t="shared" si="6"/>
        <v>45016</v>
      </c>
      <c r="C91" s="119">
        <v>4.0</v>
      </c>
      <c r="D91" s="119" t="s">
        <v>22</v>
      </c>
      <c r="E91" s="120" t="s">
        <v>41</v>
      </c>
      <c r="F91" s="121">
        <v>0.0</v>
      </c>
      <c r="G91" s="3"/>
      <c r="H91" s="121">
        <v>0.0</v>
      </c>
      <c r="I91" s="3"/>
      <c r="J91" s="121">
        <v>0.0</v>
      </c>
      <c r="K91" s="3"/>
      <c r="L91" s="121">
        <v>0.0</v>
      </c>
      <c r="M91" s="3"/>
      <c r="N91" s="121">
        <v>240.0</v>
      </c>
      <c r="O91" s="3"/>
      <c r="P91" s="121">
        <v>265.0</v>
      </c>
      <c r="Q91" s="3"/>
      <c r="R91" s="121">
        <v>0.0</v>
      </c>
      <c r="S91" s="3"/>
      <c r="T91" s="121">
        <v>0.0</v>
      </c>
      <c r="U91" s="3"/>
      <c r="V91" s="121">
        <v>0.0</v>
      </c>
      <c r="W91" s="3"/>
      <c r="X91" s="121">
        <v>0.0</v>
      </c>
      <c r="Y91" s="3"/>
      <c r="Z91" s="121">
        <v>3.0</v>
      </c>
      <c r="AA91" s="3"/>
      <c r="AB91" s="121">
        <v>0.0</v>
      </c>
      <c r="AC91" s="3"/>
      <c r="AD91" s="121">
        <v>0.0</v>
      </c>
      <c r="AE91" s="3"/>
      <c r="AF91" s="121">
        <v>0.0</v>
      </c>
      <c r="AG91" s="3"/>
      <c r="AH91" s="121">
        <v>0.0</v>
      </c>
      <c r="AI91" s="3"/>
      <c r="AJ91" s="121">
        <v>0.0</v>
      </c>
      <c r="AK91" s="3"/>
      <c r="AL91" s="121">
        <v>0.0</v>
      </c>
      <c r="AM91" s="3"/>
      <c r="AN91" s="121">
        <v>0.0</v>
      </c>
      <c r="AO91" s="3"/>
      <c r="AP91" s="123">
        <f t="shared" si="1"/>
        <v>11757.46667</v>
      </c>
      <c r="AQ91" s="277">
        <f>sum(F91,H91,J91,L91,N91,P91,R91,T91,V91,AN94)</f>
        <v>505</v>
      </c>
      <c r="AR91" s="124">
        <f t="shared" si="3"/>
        <v>0</v>
      </c>
      <c r="AS91" s="124">
        <f t="shared" si="4"/>
        <v>508</v>
      </c>
      <c r="AT91" s="258">
        <f t="shared" si="5"/>
        <v>23.14461942</v>
      </c>
    </row>
    <row r="92" ht="15.75" customHeight="1">
      <c r="A92" s="36" t="s">
        <v>36</v>
      </c>
      <c r="B92" s="118">
        <f t="shared" si="6"/>
        <v>45017</v>
      </c>
      <c r="C92" s="119">
        <v>4.0</v>
      </c>
      <c r="D92" s="119" t="s">
        <v>22</v>
      </c>
      <c r="E92" s="120" t="s">
        <v>41</v>
      </c>
      <c r="F92" s="121">
        <v>0.0</v>
      </c>
      <c r="G92" s="3"/>
      <c r="H92" s="121">
        <v>0.0</v>
      </c>
      <c r="I92" s="3"/>
      <c r="J92" s="121">
        <v>0.0</v>
      </c>
      <c r="K92" s="3"/>
      <c r="L92" s="121">
        <v>0.0</v>
      </c>
      <c r="M92" s="3"/>
      <c r="N92" s="121">
        <v>225.0</v>
      </c>
      <c r="O92" s="3"/>
      <c r="P92" s="121">
        <v>230.0</v>
      </c>
      <c r="Q92" s="3"/>
      <c r="R92" s="121">
        <v>0.0</v>
      </c>
      <c r="S92" s="3"/>
      <c r="T92" s="121">
        <v>0.0</v>
      </c>
      <c r="U92" s="3"/>
      <c r="V92" s="121">
        <v>0.0</v>
      </c>
      <c r="W92" s="3"/>
      <c r="X92" s="121">
        <v>0.0</v>
      </c>
      <c r="Y92" s="3"/>
      <c r="Z92" s="121">
        <v>3.0</v>
      </c>
      <c r="AA92" s="3"/>
      <c r="AB92" s="121">
        <v>0.0</v>
      </c>
      <c r="AC92" s="3"/>
      <c r="AD92" s="121">
        <v>0.0</v>
      </c>
      <c r="AE92" s="3"/>
      <c r="AF92" s="121">
        <v>0.0</v>
      </c>
      <c r="AG92" s="3"/>
      <c r="AH92" s="121">
        <v>0.0</v>
      </c>
      <c r="AI92" s="3"/>
      <c r="AJ92" s="121">
        <v>0.0</v>
      </c>
      <c r="AK92" s="3"/>
      <c r="AL92" s="121">
        <v>0.0</v>
      </c>
      <c r="AM92" s="3"/>
      <c r="AN92" s="121">
        <v>0.0</v>
      </c>
      <c r="AO92" s="3"/>
      <c r="AP92" s="123">
        <f t="shared" si="1"/>
        <v>10576.93333</v>
      </c>
      <c r="AQ92" s="124">
        <f t="shared" ref="AQ92:AQ93" si="9">sum(F92,H92,J92,L92,N92,P92,R92,T92,V92,AS94)</f>
        <v>455</v>
      </c>
      <c r="AR92" s="124">
        <f t="shared" si="3"/>
        <v>0</v>
      </c>
      <c r="AS92" s="124">
        <f t="shared" si="4"/>
        <v>458</v>
      </c>
      <c r="AT92" s="258">
        <f t="shared" si="5"/>
        <v>23.0937409</v>
      </c>
    </row>
    <row r="93" ht="15.75" customHeight="1">
      <c r="A93" s="257" t="s">
        <v>28</v>
      </c>
      <c r="B93" s="118">
        <f t="shared" si="6"/>
        <v>45018</v>
      </c>
      <c r="C93" s="119">
        <v>4.0</v>
      </c>
      <c r="D93" s="119" t="s">
        <v>22</v>
      </c>
      <c r="E93" s="259" t="s">
        <v>41</v>
      </c>
      <c r="F93" s="182">
        <v>0.0</v>
      </c>
      <c r="G93" s="73"/>
      <c r="H93" s="182">
        <v>0.0</v>
      </c>
      <c r="I93" s="73"/>
      <c r="J93" s="182">
        <v>0.0</v>
      </c>
      <c r="K93" s="73"/>
      <c r="L93" s="182">
        <v>0.0</v>
      </c>
      <c r="M93" s="73"/>
      <c r="N93" s="182">
        <v>100.0</v>
      </c>
      <c r="O93" s="73"/>
      <c r="P93" s="182">
        <v>0.0</v>
      </c>
      <c r="Q93" s="73"/>
      <c r="R93" s="182">
        <v>0.0</v>
      </c>
      <c r="S93" s="73"/>
      <c r="T93" s="182">
        <v>0.0</v>
      </c>
      <c r="U93" s="73"/>
      <c r="V93" s="182">
        <v>0.0</v>
      </c>
      <c r="W93" s="73"/>
      <c r="X93" s="182">
        <v>0.0</v>
      </c>
      <c r="Y93" s="73"/>
      <c r="Z93" s="182">
        <v>0.0</v>
      </c>
      <c r="AA93" s="73"/>
      <c r="AB93" s="182">
        <v>0.0</v>
      </c>
      <c r="AC93" s="73"/>
      <c r="AD93" s="182">
        <v>0.0</v>
      </c>
      <c r="AE93" s="73"/>
      <c r="AF93" s="182">
        <v>0.0</v>
      </c>
      <c r="AG93" s="73"/>
      <c r="AH93" s="182">
        <v>0.0</v>
      </c>
      <c r="AI93" s="73"/>
      <c r="AJ93" s="182">
        <v>0.0</v>
      </c>
      <c r="AK93" s="73"/>
      <c r="AL93" s="182">
        <v>0.0</v>
      </c>
      <c r="AM93" s="73"/>
      <c r="AN93" s="182">
        <v>0.0</v>
      </c>
      <c r="AO93" s="73"/>
      <c r="AP93" s="183">
        <f t="shared" si="1"/>
        <v>2040</v>
      </c>
      <c r="AQ93" s="181">
        <f t="shared" si="9"/>
        <v>100</v>
      </c>
      <c r="AR93" s="181">
        <f t="shared" si="3"/>
        <v>0</v>
      </c>
      <c r="AS93" s="181">
        <f t="shared" si="4"/>
        <v>100</v>
      </c>
      <c r="AT93" s="261">
        <f t="shared" si="5"/>
        <v>20.4</v>
      </c>
    </row>
    <row r="94" ht="14.25" customHeight="1">
      <c r="A94" s="262" t="s">
        <v>21</v>
      </c>
      <c r="B94" s="263">
        <f t="shared" si="6"/>
        <v>45019</v>
      </c>
      <c r="C94" s="264">
        <v>4.0</v>
      </c>
      <c r="D94" s="264" t="s">
        <v>34</v>
      </c>
      <c r="E94" s="270"/>
      <c r="F94" s="266">
        <v>0.0</v>
      </c>
      <c r="G94" s="84"/>
      <c r="H94" s="266">
        <v>0.0</v>
      </c>
      <c r="I94" s="84"/>
      <c r="J94" s="266">
        <v>0.0</v>
      </c>
      <c r="K94" s="84"/>
      <c r="L94" s="266">
        <v>0.0</v>
      </c>
      <c r="M94" s="84"/>
      <c r="N94" s="266">
        <v>0.0</v>
      </c>
      <c r="O94" s="84"/>
      <c r="P94" s="266">
        <v>0.0</v>
      </c>
      <c r="Q94" s="84"/>
      <c r="R94" s="266">
        <v>0.0</v>
      </c>
      <c r="S94" s="84"/>
      <c r="T94" s="266">
        <v>0.0</v>
      </c>
      <c r="U94" s="84"/>
      <c r="V94" s="266">
        <v>0.0</v>
      </c>
      <c r="W94" s="84"/>
      <c r="X94" s="266">
        <v>0.0</v>
      </c>
      <c r="Y94" s="84"/>
      <c r="Z94" s="266">
        <v>0.0</v>
      </c>
      <c r="AA94" s="84"/>
      <c r="AB94" s="266">
        <v>0.0</v>
      </c>
      <c r="AC94" s="84"/>
      <c r="AD94" s="266">
        <v>0.0</v>
      </c>
      <c r="AE94" s="84"/>
      <c r="AF94" s="266">
        <v>0.0</v>
      </c>
      <c r="AG94" s="84"/>
      <c r="AH94" s="266">
        <v>0.0</v>
      </c>
      <c r="AI94" s="84"/>
      <c r="AJ94" s="266">
        <v>0.0</v>
      </c>
      <c r="AK94" s="84"/>
      <c r="AL94" s="266">
        <v>0.0</v>
      </c>
      <c r="AM94" s="84"/>
      <c r="AN94" s="266">
        <v>0.0</v>
      </c>
      <c r="AO94" s="84"/>
      <c r="AP94" s="278">
        <v>0.0</v>
      </c>
      <c r="AQ94" s="270">
        <f t="shared" ref="AQ94:AQ359" si="10">SUM(F94:Y94)</f>
        <v>0</v>
      </c>
      <c r="AR94" s="270">
        <f t="shared" si="3"/>
        <v>0</v>
      </c>
      <c r="AS94" s="270">
        <f t="shared" si="4"/>
        <v>0</v>
      </c>
      <c r="AT94" s="271" t="str">
        <f t="shared" si="5"/>
        <v/>
      </c>
    </row>
    <row r="95" ht="15.75" customHeight="1">
      <c r="A95" s="272" t="s">
        <v>23</v>
      </c>
      <c r="B95" s="229">
        <f t="shared" si="6"/>
        <v>45020</v>
      </c>
      <c r="C95" s="230">
        <v>4.0</v>
      </c>
      <c r="D95" s="230" t="s">
        <v>34</v>
      </c>
      <c r="E95" s="234"/>
      <c r="F95" s="232">
        <v>0.0</v>
      </c>
      <c r="G95" s="3"/>
      <c r="H95" s="232">
        <v>0.0</v>
      </c>
      <c r="I95" s="3"/>
      <c r="J95" s="232">
        <v>0.0</v>
      </c>
      <c r="K95" s="3"/>
      <c r="L95" s="232">
        <v>0.0</v>
      </c>
      <c r="M95" s="3"/>
      <c r="N95" s="232">
        <v>0.0</v>
      </c>
      <c r="O95" s="3"/>
      <c r="P95" s="232">
        <v>0.0</v>
      </c>
      <c r="Q95" s="3"/>
      <c r="R95" s="232">
        <v>0.0</v>
      </c>
      <c r="S95" s="3"/>
      <c r="T95" s="232">
        <v>0.0</v>
      </c>
      <c r="U95" s="3"/>
      <c r="V95" s="232">
        <v>0.0</v>
      </c>
      <c r="W95" s="3"/>
      <c r="X95" s="232">
        <v>0.0</v>
      </c>
      <c r="Y95" s="3"/>
      <c r="Z95" s="232">
        <v>0.0</v>
      </c>
      <c r="AA95" s="3"/>
      <c r="AB95" s="232">
        <v>0.0</v>
      </c>
      <c r="AC95" s="3"/>
      <c r="AD95" s="232">
        <v>0.0</v>
      </c>
      <c r="AE95" s="3"/>
      <c r="AF95" s="232">
        <v>0.0</v>
      </c>
      <c r="AG95" s="3"/>
      <c r="AH95" s="232">
        <v>0.0</v>
      </c>
      <c r="AI95" s="3"/>
      <c r="AJ95" s="232">
        <v>0.0</v>
      </c>
      <c r="AK95" s="3"/>
      <c r="AL95" s="232">
        <v>0.0</v>
      </c>
      <c r="AM95" s="3"/>
      <c r="AN95" s="232">
        <v>0.0</v>
      </c>
      <c r="AO95" s="3"/>
      <c r="AP95" s="233">
        <f t="shared" ref="AP95:AP246" si="11">(F95*G$2)+(H95*I$2)+(J95*K$2)+(N95*O$2)+(P95*Q$2)+(R95*S$2)+(T95*U$2)+(V95*W$2)+(AB95*AC$2)+(AD95*AE$2)+(AF95*AG$2)+(AH95*AI$2)+(AJ95*AK$2)+(AL95*AM$2)+(AN95*AO$2)+(L95*M$2)+(Z95*AA$2)+(X95*Y$2)</f>
        <v>0</v>
      </c>
      <c r="AQ95" s="234">
        <f t="shared" si="10"/>
        <v>0</v>
      </c>
      <c r="AR95" s="234">
        <f t="shared" si="3"/>
        <v>0</v>
      </c>
      <c r="AS95" s="234">
        <f t="shared" si="4"/>
        <v>0</v>
      </c>
      <c r="AT95" s="274" t="str">
        <f t="shared" si="5"/>
        <v/>
      </c>
    </row>
    <row r="96" ht="15.75" customHeight="1">
      <c r="A96" s="230"/>
      <c r="B96" s="229">
        <f t="shared" si="6"/>
        <v>45021</v>
      </c>
      <c r="C96" s="230">
        <v>4.0</v>
      </c>
      <c r="D96" s="230" t="s">
        <v>34</v>
      </c>
      <c r="E96" s="231" t="s">
        <v>42</v>
      </c>
      <c r="F96" s="232">
        <v>0.0</v>
      </c>
      <c r="G96" s="3"/>
      <c r="H96" s="232">
        <v>0.0</v>
      </c>
      <c r="I96" s="3"/>
      <c r="J96" s="232">
        <v>0.0</v>
      </c>
      <c r="K96" s="3"/>
      <c r="L96" s="232">
        <v>0.0</v>
      </c>
      <c r="M96" s="3"/>
      <c r="N96" s="232">
        <v>125.0</v>
      </c>
      <c r="O96" s="3"/>
      <c r="P96" s="232">
        <v>0.0</v>
      </c>
      <c r="Q96" s="3"/>
      <c r="R96" s="232">
        <v>0.0</v>
      </c>
      <c r="S96" s="3"/>
      <c r="T96" s="232">
        <v>0.0</v>
      </c>
      <c r="U96" s="3"/>
      <c r="V96" s="232">
        <v>0.0</v>
      </c>
      <c r="W96" s="3"/>
      <c r="X96" s="232">
        <v>0.0</v>
      </c>
      <c r="Y96" s="3"/>
      <c r="Z96" s="232">
        <v>0.0</v>
      </c>
      <c r="AA96" s="3"/>
      <c r="AB96" s="232">
        <v>0.0</v>
      </c>
      <c r="AC96" s="3"/>
      <c r="AD96" s="232">
        <v>0.0</v>
      </c>
      <c r="AE96" s="3"/>
      <c r="AF96" s="232">
        <v>0.0</v>
      </c>
      <c r="AG96" s="3"/>
      <c r="AH96" s="232">
        <v>0.0</v>
      </c>
      <c r="AI96" s="3"/>
      <c r="AJ96" s="232">
        <v>0.0</v>
      </c>
      <c r="AK96" s="3"/>
      <c r="AL96" s="232">
        <v>0.0</v>
      </c>
      <c r="AM96" s="3"/>
      <c r="AN96" s="232">
        <v>0.0</v>
      </c>
      <c r="AO96" s="3"/>
      <c r="AP96" s="233">
        <f t="shared" si="11"/>
        <v>2550</v>
      </c>
      <c r="AQ96" s="234">
        <f t="shared" si="10"/>
        <v>125</v>
      </c>
      <c r="AR96" s="234">
        <f t="shared" si="3"/>
        <v>0</v>
      </c>
      <c r="AS96" s="234">
        <f t="shared" si="4"/>
        <v>125</v>
      </c>
      <c r="AT96" s="274">
        <f t="shared" si="5"/>
        <v>20.4</v>
      </c>
    </row>
    <row r="97" ht="15.75" customHeight="1">
      <c r="A97" s="272" t="s">
        <v>25</v>
      </c>
      <c r="B97" s="229">
        <f t="shared" si="6"/>
        <v>45022</v>
      </c>
      <c r="C97" s="230">
        <v>4.0</v>
      </c>
      <c r="D97" s="230" t="s">
        <v>34</v>
      </c>
      <c r="E97" s="231" t="s">
        <v>42</v>
      </c>
      <c r="F97" s="232">
        <v>0.0</v>
      </c>
      <c r="G97" s="3"/>
      <c r="H97" s="232">
        <v>0.0</v>
      </c>
      <c r="I97" s="3"/>
      <c r="J97" s="232">
        <v>0.0</v>
      </c>
      <c r="K97" s="3"/>
      <c r="L97" s="232">
        <v>0.0</v>
      </c>
      <c r="M97" s="3"/>
      <c r="N97" s="232">
        <v>125.0</v>
      </c>
      <c r="O97" s="3"/>
      <c r="P97" s="232">
        <v>125.0</v>
      </c>
      <c r="Q97" s="3"/>
      <c r="R97" s="232">
        <v>0.0</v>
      </c>
      <c r="S97" s="3"/>
      <c r="T97" s="232">
        <v>0.0</v>
      </c>
      <c r="U97" s="3"/>
      <c r="V97" s="232">
        <v>0.0</v>
      </c>
      <c r="W97" s="3"/>
      <c r="X97" s="232">
        <v>0.0</v>
      </c>
      <c r="Y97" s="3"/>
      <c r="Z97" s="232">
        <v>3.0</v>
      </c>
      <c r="AA97" s="3"/>
      <c r="AB97" s="232">
        <v>0.0</v>
      </c>
      <c r="AC97" s="3"/>
      <c r="AD97" s="232">
        <v>0.0</v>
      </c>
      <c r="AE97" s="3"/>
      <c r="AF97" s="232">
        <v>0.0</v>
      </c>
      <c r="AG97" s="3"/>
      <c r="AH97" s="232">
        <v>0.0</v>
      </c>
      <c r="AI97" s="3"/>
      <c r="AJ97" s="232">
        <v>0.0</v>
      </c>
      <c r="AK97" s="3"/>
      <c r="AL97" s="232">
        <v>0.0</v>
      </c>
      <c r="AM97" s="3"/>
      <c r="AN97" s="232">
        <v>0.0</v>
      </c>
      <c r="AO97" s="3"/>
      <c r="AP97" s="233">
        <f t="shared" si="11"/>
        <v>5913.333333</v>
      </c>
      <c r="AQ97" s="234">
        <f t="shared" si="10"/>
        <v>250</v>
      </c>
      <c r="AR97" s="234">
        <f t="shared" si="3"/>
        <v>0</v>
      </c>
      <c r="AS97" s="234">
        <f t="shared" si="4"/>
        <v>253</v>
      </c>
      <c r="AT97" s="274">
        <f t="shared" si="5"/>
        <v>23.37285903</v>
      </c>
    </row>
    <row r="98" ht="15.75" customHeight="1">
      <c r="A98" s="272" t="s">
        <v>26</v>
      </c>
      <c r="B98" s="229">
        <f t="shared" si="6"/>
        <v>45023</v>
      </c>
      <c r="C98" s="279"/>
      <c r="D98" s="230" t="s">
        <v>34</v>
      </c>
      <c r="E98" s="231" t="s">
        <v>42</v>
      </c>
      <c r="F98" s="232">
        <v>0.0</v>
      </c>
      <c r="G98" s="3"/>
      <c r="H98" s="232">
        <v>0.0</v>
      </c>
      <c r="I98" s="3"/>
      <c r="J98" s="232">
        <v>0.0</v>
      </c>
      <c r="K98" s="3"/>
      <c r="L98" s="232">
        <v>0.0</v>
      </c>
      <c r="M98" s="3"/>
      <c r="N98" s="232">
        <v>125.0</v>
      </c>
      <c r="O98" s="3"/>
      <c r="P98" s="232">
        <v>125.0</v>
      </c>
      <c r="Q98" s="3"/>
      <c r="R98" s="232">
        <v>0.0</v>
      </c>
      <c r="S98" s="3"/>
      <c r="T98" s="232">
        <v>0.0</v>
      </c>
      <c r="U98" s="3"/>
      <c r="V98" s="232">
        <v>0.0</v>
      </c>
      <c r="W98" s="3"/>
      <c r="X98" s="232">
        <v>0.0</v>
      </c>
      <c r="Y98" s="3"/>
      <c r="Z98" s="232">
        <v>0.0</v>
      </c>
      <c r="AA98" s="3"/>
      <c r="AB98" s="232">
        <v>3.0</v>
      </c>
      <c r="AC98" s="3"/>
      <c r="AD98" s="232">
        <v>0.0</v>
      </c>
      <c r="AE98" s="3"/>
      <c r="AF98" s="232">
        <v>0.0</v>
      </c>
      <c r="AG98" s="3"/>
      <c r="AH98" s="232">
        <v>0.0</v>
      </c>
      <c r="AI98" s="3"/>
      <c r="AJ98" s="232">
        <v>0.0</v>
      </c>
      <c r="AK98" s="3"/>
      <c r="AL98" s="232">
        <v>0.0</v>
      </c>
      <c r="AM98" s="3"/>
      <c r="AN98" s="232">
        <v>0.0</v>
      </c>
      <c r="AO98" s="3"/>
      <c r="AP98" s="233">
        <f t="shared" si="11"/>
        <v>6048.333333</v>
      </c>
      <c r="AQ98" s="234">
        <f t="shared" si="10"/>
        <v>250</v>
      </c>
      <c r="AR98" s="234">
        <f t="shared" si="3"/>
        <v>0</v>
      </c>
      <c r="AS98" s="234">
        <f t="shared" si="4"/>
        <v>253</v>
      </c>
      <c r="AT98" s="274">
        <f t="shared" si="5"/>
        <v>23.90645586</v>
      </c>
    </row>
    <row r="99" ht="15.75" customHeight="1">
      <c r="A99" s="272" t="s">
        <v>27</v>
      </c>
      <c r="B99" s="229">
        <f t="shared" si="6"/>
        <v>45024</v>
      </c>
      <c r="C99" s="230">
        <v>4.0</v>
      </c>
      <c r="D99" s="230" t="s">
        <v>34</v>
      </c>
      <c r="E99" s="231" t="s">
        <v>42</v>
      </c>
      <c r="F99" s="232">
        <v>0.0</v>
      </c>
      <c r="G99" s="3"/>
      <c r="H99" s="232">
        <v>0.0</v>
      </c>
      <c r="I99" s="3"/>
      <c r="J99" s="232">
        <v>0.0</v>
      </c>
      <c r="K99" s="3"/>
      <c r="L99" s="232">
        <v>0.0</v>
      </c>
      <c r="M99" s="3"/>
      <c r="N99" s="232">
        <v>125.0</v>
      </c>
      <c r="O99" s="3"/>
      <c r="P99" s="232">
        <v>125.0</v>
      </c>
      <c r="Q99" s="3"/>
      <c r="R99" s="232">
        <v>0.0</v>
      </c>
      <c r="S99" s="3"/>
      <c r="T99" s="232">
        <v>0.0</v>
      </c>
      <c r="U99" s="3"/>
      <c r="V99" s="232">
        <v>0.0</v>
      </c>
      <c r="W99" s="3"/>
      <c r="X99" s="232">
        <v>0.0</v>
      </c>
      <c r="Y99" s="3"/>
      <c r="Z99" s="232">
        <v>3.0</v>
      </c>
      <c r="AA99" s="3"/>
      <c r="AB99" s="232">
        <v>0.0</v>
      </c>
      <c r="AC99" s="3"/>
      <c r="AD99" s="232">
        <v>0.0</v>
      </c>
      <c r="AE99" s="3"/>
      <c r="AF99" s="232">
        <v>0.0</v>
      </c>
      <c r="AG99" s="3"/>
      <c r="AH99" s="232">
        <v>0.0</v>
      </c>
      <c r="AI99" s="3"/>
      <c r="AJ99" s="232">
        <v>0.0</v>
      </c>
      <c r="AK99" s="3"/>
      <c r="AL99" s="232">
        <v>0.0</v>
      </c>
      <c r="AM99" s="3"/>
      <c r="AN99" s="232">
        <v>0.0</v>
      </c>
      <c r="AO99" s="3"/>
      <c r="AP99" s="233">
        <f t="shared" si="11"/>
        <v>5913.333333</v>
      </c>
      <c r="AQ99" s="234">
        <f t="shared" si="10"/>
        <v>250</v>
      </c>
      <c r="AR99" s="234">
        <f t="shared" si="3"/>
        <v>0</v>
      </c>
      <c r="AS99" s="234">
        <f t="shared" si="4"/>
        <v>253</v>
      </c>
      <c r="AT99" s="274">
        <f t="shared" si="5"/>
        <v>23.37285903</v>
      </c>
    </row>
    <row r="100" ht="15.75" customHeight="1">
      <c r="A100" s="272" t="s">
        <v>28</v>
      </c>
      <c r="B100" s="229">
        <f t="shared" si="6"/>
        <v>45025</v>
      </c>
      <c r="C100" s="230">
        <v>4.0</v>
      </c>
      <c r="D100" s="230" t="s">
        <v>34</v>
      </c>
      <c r="E100" s="236" t="s">
        <v>42</v>
      </c>
      <c r="F100" s="237">
        <v>0.0</v>
      </c>
      <c r="G100" s="73"/>
      <c r="H100" s="237">
        <v>0.0</v>
      </c>
      <c r="I100" s="73"/>
      <c r="J100" s="237">
        <v>0.0</v>
      </c>
      <c r="K100" s="73"/>
      <c r="L100" s="237">
        <v>0.0</v>
      </c>
      <c r="M100" s="73"/>
      <c r="N100" s="237">
        <v>0.0</v>
      </c>
      <c r="O100" s="73"/>
      <c r="P100" s="237">
        <v>0.0</v>
      </c>
      <c r="Q100" s="73"/>
      <c r="R100" s="237">
        <v>0.0</v>
      </c>
      <c r="S100" s="73"/>
      <c r="T100" s="237">
        <v>0.0</v>
      </c>
      <c r="U100" s="73"/>
      <c r="V100" s="237">
        <v>0.0</v>
      </c>
      <c r="W100" s="73"/>
      <c r="X100" s="237">
        <v>0.0</v>
      </c>
      <c r="Y100" s="73"/>
      <c r="Z100" s="237">
        <v>0.0</v>
      </c>
      <c r="AA100" s="73"/>
      <c r="AB100" s="237">
        <v>0.0</v>
      </c>
      <c r="AC100" s="73"/>
      <c r="AD100" s="237">
        <v>0.0</v>
      </c>
      <c r="AE100" s="73"/>
      <c r="AF100" s="237">
        <v>0.0</v>
      </c>
      <c r="AG100" s="73"/>
      <c r="AH100" s="237">
        <v>0.0</v>
      </c>
      <c r="AI100" s="73"/>
      <c r="AJ100" s="237">
        <v>0.0</v>
      </c>
      <c r="AK100" s="73"/>
      <c r="AL100" s="237">
        <v>0.0</v>
      </c>
      <c r="AM100" s="73"/>
      <c r="AN100" s="237">
        <v>0.0</v>
      </c>
      <c r="AO100" s="73"/>
      <c r="AP100" s="238">
        <f t="shared" si="11"/>
        <v>0</v>
      </c>
      <c r="AQ100" s="239">
        <f t="shared" si="10"/>
        <v>0</v>
      </c>
      <c r="AR100" s="239">
        <f t="shared" si="3"/>
        <v>0</v>
      </c>
      <c r="AS100" s="239">
        <f t="shared" si="4"/>
        <v>0</v>
      </c>
      <c r="AT100" s="276" t="str">
        <f t="shared" si="5"/>
        <v/>
      </c>
    </row>
    <row r="101" ht="15.75" customHeight="1">
      <c r="A101" s="134" t="s">
        <v>21</v>
      </c>
      <c r="B101" s="135">
        <f t="shared" si="6"/>
        <v>45026</v>
      </c>
      <c r="C101" s="136">
        <v>4.0</v>
      </c>
      <c r="D101" s="136" t="s">
        <v>36</v>
      </c>
      <c r="E101" s="174" t="s">
        <v>42</v>
      </c>
      <c r="F101" s="138">
        <v>0.0</v>
      </c>
      <c r="G101" s="84"/>
      <c r="H101" s="138">
        <v>0.0</v>
      </c>
      <c r="I101" s="84"/>
      <c r="J101" s="138">
        <v>0.0</v>
      </c>
      <c r="K101" s="84"/>
      <c r="L101" s="138">
        <v>0.0</v>
      </c>
      <c r="M101" s="84"/>
      <c r="N101" s="138">
        <v>125.0</v>
      </c>
      <c r="O101" s="84"/>
      <c r="P101" s="138">
        <v>125.0</v>
      </c>
      <c r="Q101" s="84"/>
      <c r="R101" s="138">
        <v>0.0</v>
      </c>
      <c r="S101" s="84"/>
      <c r="T101" s="138">
        <v>0.0</v>
      </c>
      <c r="U101" s="84"/>
      <c r="V101" s="138">
        <v>0.0</v>
      </c>
      <c r="W101" s="84"/>
      <c r="X101" s="138">
        <v>0.0</v>
      </c>
      <c r="Y101" s="84"/>
      <c r="Z101" s="138">
        <v>2.0</v>
      </c>
      <c r="AA101" s="84"/>
      <c r="AB101" s="138">
        <v>0.0</v>
      </c>
      <c r="AC101" s="84"/>
      <c r="AD101" s="138">
        <v>0.0</v>
      </c>
      <c r="AE101" s="84"/>
      <c r="AF101" s="138">
        <v>0.0</v>
      </c>
      <c r="AG101" s="84"/>
      <c r="AH101" s="138">
        <v>0.0</v>
      </c>
      <c r="AI101" s="84"/>
      <c r="AJ101" s="138">
        <v>0.0</v>
      </c>
      <c r="AK101" s="84"/>
      <c r="AL101" s="138">
        <v>0.0</v>
      </c>
      <c r="AM101" s="84"/>
      <c r="AN101" s="138">
        <v>0.0</v>
      </c>
      <c r="AO101" s="84"/>
      <c r="AP101" s="140">
        <f t="shared" si="11"/>
        <v>5833.333333</v>
      </c>
      <c r="AQ101" s="141">
        <f t="shared" si="10"/>
        <v>250</v>
      </c>
      <c r="AR101" s="141">
        <f t="shared" si="3"/>
        <v>0</v>
      </c>
      <c r="AS101" s="141">
        <f t="shared" si="4"/>
        <v>252</v>
      </c>
      <c r="AT101" s="142">
        <f t="shared" si="5"/>
        <v>23.14814815</v>
      </c>
    </row>
    <row r="102" ht="15.75" customHeight="1">
      <c r="A102" s="143" t="s">
        <v>23</v>
      </c>
      <c r="B102" s="144">
        <f t="shared" si="6"/>
        <v>45027</v>
      </c>
      <c r="C102" s="145">
        <v>4.0</v>
      </c>
      <c r="D102" s="145" t="s">
        <v>36</v>
      </c>
      <c r="E102" s="175" t="s">
        <v>42</v>
      </c>
      <c r="F102" s="147">
        <v>0.0</v>
      </c>
      <c r="G102" s="3"/>
      <c r="H102" s="147">
        <v>0.0</v>
      </c>
      <c r="I102" s="3"/>
      <c r="J102" s="147">
        <v>0.0</v>
      </c>
      <c r="K102" s="3"/>
      <c r="L102" s="147">
        <v>0.0</v>
      </c>
      <c r="M102" s="3"/>
      <c r="N102" s="147">
        <v>125.0</v>
      </c>
      <c r="O102" s="3"/>
      <c r="P102" s="147">
        <v>125.0</v>
      </c>
      <c r="Q102" s="3"/>
      <c r="R102" s="147">
        <v>0.0</v>
      </c>
      <c r="S102" s="3"/>
      <c r="T102" s="147">
        <v>0.0</v>
      </c>
      <c r="U102" s="3"/>
      <c r="V102" s="147">
        <v>0.0</v>
      </c>
      <c r="W102" s="3"/>
      <c r="X102" s="147">
        <v>0.0</v>
      </c>
      <c r="Y102" s="3"/>
      <c r="Z102" s="147">
        <v>2.0</v>
      </c>
      <c r="AA102" s="3"/>
      <c r="AB102" s="147">
        <v>0.0</v>
      </c>
      <c r="AC102" s="3"/>
      <c r="AD102" s="147">
        <v>0.0</v>
      </c>
      <c r="AE102" s="3"/>
      <c r="AF102" s="147">
        <v>0.0</v>
      </c>
      <c r="AG102" s="3"/>
      <c r="AH102" s="147">
        <v>0.0</v>
      </c>
      <c r="AI102" s="3"/>
      <c r="AJ102" s="147">
        <v>0.0</v>
      </c>
      <c r="AK102" s="3"/>
      <c r="AL102" s="147">
        <v>0.0</v>
      </c>
      <c r="AM102" s="3"/>
      <c r="AN102" s="147">
        <v>0.0</v>
      </c>
      <c r="AO102" s="3"/>
      <c r="AP102" s="149">
        <f t="shared" si="11"/>
        <v>5833.333333</v>
      </c>
      <c r="AQ102" s="150">
        <f t="shared" si="10"/>
        <v>250</v>
      </c>
      <c r="AR102" s="150">
        <f t="shared" si="3"/>
        <v>0</v>
      </c>
      <c r="AS102" s="150">
        <f t="shared" si="4"/>
        <v>252</v>
      </c>
      <c r="AT102" s="151">
        <f t="shared" si="5"/>
        <v>23.14814815</v>
      </c>
    </row>
    <row r="103" ht="15.75" customHeight="1">
      <c r="A103" s="143" t="s">
        <v>24</v>
      </c>
      <c r="B103" s="144">
        <f t="shared" si="6"/>
        <v>45028</v>
      </c>
      <c r="C103" s="145">
        <v>4.0</v>
      </c>
      <c r="D103" s="145" t="s">
        <v>36</v>
      </c>
      <c r="E103" s="175" t="s">
        <v>42</v>
      </c>
      <c r="F103" s="147">
        <v>0.0</v>
      </c>
      <c r="G103" s="3"/>
      <c r="H103" s="147">
        <v>0.0</v>
      </c>
      <c r="I103" s="3"/>
      <c r="J103" s="147">
        <v>0.0</v>
      </c>
      <c r="K103" s="3"/>
      <c r="L103" s="147">
        <v>0.0</v>
      </c>
      <c r="M103" s="3"/>
      <c r="N103" s="147">
        <v>125.0</v>
      </c>
      <c r="O103" s="3"/>
      <c r="P103" s="147">
        <v>125.0</v>
      </c>
      <c r="Q103" s="3"/>
      <c r="R103" s="147">
        <v>0.0</v>
      </c>
      <c r="S103" s="3"/>
      <c r="T103" s="147">
        <v>0.0</v>
      </c>
      <c r="U103" s="3"/>
      <c r="V103" s="147">
        <v>0.0</v>
      </c>
      <c r="W103" s="3"/>
      <c r="X103" s="147">
        <v>0.0</v>
      </c>
      <c r="Y103" s="3"/>
      <c r="Z103" s="147">
        <v>4.0</v>
      </c>
      <c r="AA103" s="3"/>
      <c r="AB103" s="147">
        <v>0.0</v>
      </c>
      <c r="AC103" s="3"/>
      <c r="AD103" s="147">
        <v>0.0</v>
      </c>
      <c r="AE103" s="3"/>
      <c r="AF103" s="147">
        <v>0.0</v>
      </c>
      <c r="AG103" s="3"/>
      <c r="AH103" s="147">
        <v>0.0</v>
      </c>
      <c r="AI103" s="3"/>
      <c r="AJ103" s="147">
        <v>0.0</v>
      </c>
      <c r="AK103" s="3"/>
      <c r="AL103" s="147">
        <v>0.0</v>
      </c>
      <c r="AM103" s="3"/>
      <c r="AN103" s="147">
        <v>0.0</v>
      </c>
      <c r="AO103" s="3"/>
      <c r="AP103" s="149">
        <f t="shared" si="11"/>
        <v>5993.333333</v>
      </c>
      <c r="AQ103" s="150">
        <f t="shared" si="10"/>
        <v>250</v>
      </c>
      <c r="AR103" s="150">
        <f t="shared" si="3"/>
        <v>0</v>
      </c>
      <c r="AS103" s="150">
        <f t="shared" si="4"/>
        <v>254</v>
      </c>
      <c r="AT103" s="151">
        <f t="shared" si="5"/>
        <v>23.59580052</v>
      </c>
    </row>
    <row r="104" ht="15.75" customHeight="1">
      <c r="A104" s="143" t="s">
        <v>25</v>
      </c>
      <c r="B104" s="144">
        <f t="shared" si="6"/>
        <v>45029</v>
      </c>
      <c r="C104" s="145">
        <v>4.0</v>
      </c>
      <c r="D104" s="280" t="s">
        <v>36</v>
      </c>
      <c r="E104" s="175" t="s">
        <v>42</v>
      </c>
      <c r="F104" s="147">
        <v>0.0</v>
      </c>
      <c r="G104" s="3"/>
      <c r="H104" s="147">
        <v>0.0</v>
      </c>
      <c r="I104" s="3"/>
      <c r="J104" s="147">
        <v>0.0</v>
      </c>
      <c r="K104" s="3"/>
      <c r="L104" s="147">
        <v>0.0</v>
      </c>
      <c r="M104" s="3"/>
      <c r="N104" s="147">
        <v>125.0</v>
      </c>
      <c r="O104" s="3"/>
      <c r="P104" s="147">
        <v>125.0</v>
      </c>
      <c r="Q104" s="3"/>
      <c r="R104" s="147">
        <v>0.0</v>
      </c>
      <c r="S104" s="3"/>
      <c r="T104" s="147">
        <v>0.0</v>
      </c>
      <c r="U104" s="3"/>
      <c r="V104" s="147">
        <v>0.0</v>
      </c>
      <c r="W104" s="3"/>
      <c r="X104" s="147">
        <v>0.0</v>
      </c>
      <c r="Y104" s="3"/>
      <c r="Z104" s="147">
        <v>3.0</v>
      </c>
      <c r="AA104" s="3"/>
      <c r="AB104" s="147">
        <v>0.0</v>
      </c>
      <c r="AC104" s="3"/>
      <c r="AD104" s="147">
        <v>0.0</v>
      </c>
      <c r="AE104" s="3"/>
      <c r="AF104" s="147">
        <v>0.0</v>
      </c>
      <c r="AG104" s="3"/>
      <c r="AH104" s="147">
        <v>0.0</v>
      </c>
      <c r="AI104" s="3"/>
      <c r="AJ104" s="147">
        <v>0.0</v>
      </c>
      <c r="AK104" s="3"/>
      <c r="AL104" s="147">
        <v>0.0</v>
      </c>
      <c r="AM104" s="3"/>
      <c r="AN104" s="147">
        <v>0.0</v>
      </c>
      <c r="AO104" s="3"/>
      <c r="AP104" s="149">
        <f t="shared" si="11"/>
        <v>5913.333333</v>
      </c>
      <c r="AQ104" s="150">
        <f t="shared" si="10"/>
        <v>250</v>
      </c>
      <c r="AR104" s="150">
        <f t="shared" si="3"/>
        <v>0</v>
      </c>
      <c r="AS104" s="150">
        <f t="shared" si="4"/>
        <v>253</v>
      </c>
      <c r="AT104" s="151">
        <f t="shared" si="5"/>
        <v>23.37285903</v>
      </c>
    </row>
    <row r="105" ht="15.75" customHeight="1">
      <c r="A105" s="143" t="s">
        <v>26</v>
      </c>
      <c r="B105" s="144">
        <f t="shared" si="6"/>
        <v>45030</v>
      </c>
      <c r="C105" s="145">
        <v>4.0</v>
      </c>
      <c r="D105" s="145" t="s">
        <v>36</v>
      </c>
      <c r="E105" s="175" t="s">
        <v>42</v>
      </c>
      <c r="F105" s="147">
        <v>0.0</v>
      </c>
      <c r="G105" s="3"/>
      <c r="H105" s="147">
        <v>0.0</v>
      </c>
      <c r="I105" s="3"/>
      <c r="J105" s="147">
        <v>0.0</v>
      </c>
      <c r="K105" s="3"/>
      <c r="L105" s="147">
        <v>0.0</v>
      </c>
      <c r="M105" s="3"/>
      <c r="N105" s="147">
        <v>125.0</v>
      </c>
      <c r="O105" s="3"/>
      <c r="P105" s="147">
        <v>125.0</v>
      </c>
      <c r="Q105" s="3"/>
      <c r="R105" s="147">
        <v>0.0</v>
      </c>
      <c r="S105" s="3"/>
      <c r="T105" s="147">
        <v>0.0</v>
      </c>
      <c r="U105" s="3"/>
      <c r="V105" s="147">
        <v>0.0</v>
      </c>
      <c r="W105" s="3"/>
      <c r="X105" s="147">
        <v>0.0</v>
      </c>
      <c r="Y105" s="3"/>
      <c r="Z105" s="147">
        <v>3.0</v>
      </c>
      <c r="AA105" s="3"/>
      <c r="AB105" s="147">
        <v>0.0</v>
      </c>
      <c r="AC105" s="3"/>
      <c r="AD105" s="147">
        <v>0.0</v>
      </c>
      <c r="AE105" s="3"/>
      <c r="AF105" s="147">
        <v>0.0</v>
      </c>
      <c r="AG105" s="3"/>
      <c r="AH105" s="147">
        <v>0.0</v>
      </c>
      <c r="AI105" s="3"/>
      <c r="AJ105" s="147">
        <v>0.0</v>
      </c>
      <c r="AK105" s="3"/>
      <c r="AL105" s="147">
        <v>0.0</v>
      </c>
      <c r="AM105" s="3"/>
      <c r="AN105" s="147">
        <v>0.0</v>
      </c>
      <c r="AO105" s="3"/>
      <c r="AP105" s="149">
        <f t="shared" si="11"/>
        <v>5913.333333</v>
      </c>
      <c r="AQ105" s="150">
        <f t="shared" si="10"/>
        <v>250</v>
      </c>
      <c r="AR105" s="150">
        <f t="shared" si="3"/>
        <v>0</v>
      </c>
      <c r="AS105" s="150">
        <f t="shared" si="4"/>
        <v>253</v>
      </c>
      <c r="AT105" s="151">
        <f t="shared" si="5"/>
        <v>23.37285903</v>
      </c>
    </row>
    <row r="106" ht="15.75" customHeight="1">
      <c r="A106" s="143" t="s">
        <v>27</v>
      </c>
      <c r="B106" s="144">
        <f t="shared" si="6"/>
        <v>45031</v>
      </c>
      <c r="C106" s="145">
        <v>4.0</v>
      </c>
      <c r="D106" s="145" t="s">
        <v>36</v>
      </c>
      <c r="E106" s="175" t="s">
        <v>42</v>
      </c>
      <c r="F106" s="147">
        <v>0.0</v>
      </c>
      <c r="G106" s="3"/>
      <c r="H106" s="147">
        <v>0.0</v>
      </c>
      <c r="I106" s="3"/>
      <c r="J106" s="147">
        <v>0.0</v>
      </c>
      <c r="K106" s="3"/>
      <c r="L106" s="147">
        <v>0.0</v>
      </c>
      <c r="M106" s="3"/>
      <c r="N106" s="147">
        <v>125.0</v>
      </c>
      <c r="O106" s="3"/>
      <c r="P106" s="147">
        <v>125.0</v>
      </c>
      <c r="Q106" s="3"/>
      <c r="R106" s="147">
        <v>0.0</v>
      </c>
      <c r="S106" s="3"/>
      <c r="T106" s="147">
        <v>0.0</v>
      </c>
      <c r="U106" s="3"/>
      <c r="V106" s="147">
        <v>0.0</v>
      </c>
      <c r="W106" s="3"/>
      <c r="X106" s="147">
        <v>0.0</v>
      </c>
      <c r="Y106" s="3"/>
      <c r="Z106" s="147">
        <v>0.0</v>
      </c>
      <c r="AA106" s="3"/>
      <c r="AB106" s="147">
        <v>3.0</v>
      </c>
      <c r="AC106" s="3"/>
      <c r="AD106" s="147">
        <v>0.0</v>
      </c>
      <c r="AE106" s="3"/>
      <c r="AF106" s="147">
        <v>0.0</v>
      </c>
      <c r="AG106" s="3"/>
      <c r="AH106" s="147">
        <v>0.0</v>
      </c>
      <c r="AI106" s="3"/>
      <c r="AJ106" s="147">
        <v>0.0</v>
      </c>
      <c r="AK106" s="3"/>
      <c r="AL106" s="147">
        <v>0.0</v>
      </c>
      <c r="AM106" s="3"/>
      <c r="AN106" s="147">
        <v>0.0</v>
      </c>
      <c r="AO106" s="3"/>
      <c r="AP106" s="149">
        <f t="shared" si="11"/>
        <v>6048.333333</v>
      </c>
      <c r="AQ106" s="150">
        <f t="shared" si="10"/>
        <v>250</v>
      </c>
      <c r="AR106" s="150">
        <f t="shared" si="3"/>
        <v>0</v>
      </c>
      <c r="AS106" s="150">
        <f t="shared" si="4"/>
        <v>253</v>
      </c>
      <c r="AT106" s="151">
        <f t="shared" si="5"/>
        <v>23.90645586</v>
      </c>
    </row>
    <row r="107" ht="15.75" customHeight="1">
      <c r="A107" s="176" t="s">
        <v>28</v>
      </c>
      <c r="B107" s="144">
        <f t="shared" si="6"/>
        <v>45032</v>
      </c>
      <c r="C107" s="145">
        <v>4.0</v>
      </c>
      <c r="D107" s="145" t="s">
        <v>36</v>
      </c>
      <c r="E107" s="281" t="s">
        <v>42</v>
      </c>
      <c r="F107" s="159">
        <v>0.0</v>
      </c>
      <c r="G107" s="73"/>
      <c r="H107" s="159">
        <v>0.0</v>
      </c>
      <c r="I107" s="73"/>
      <c r="J107" s="159">
        <v>0.0</v>
      </c>
      <c r="K107" s="73"/>
      <c r="L107" s="159">
        <v>0.0</v>
      </c>
      <c r="M107" s="73"/>
      <c r="N107" s="159">
        <v>0.0</v>
      </c>
      <c r="O107" s="73"/>
      <c r="P107" s="159">
        <v>0.0</v>
      </c>
      <c r="Q107" s="73"/>
      <c r="R107" s="159">
        <v>0.0</v>
      </c>
      <c r="S107" s="73"/>
      <c r="T107" s="159">
        <v>0.0</v>
      </c>
      <c r="U107" s="73"/>
      <c r="V107" s="159">
        <v>0.0</v>
      </c>
      <c r="W107" s="73"/>
      <c r="X107" s="159">
        <v>0.0</v>
      </c>
      <c r="Y107" s="73"/>
      <c r="Z107" s="159">
        <v>0.0</v>
      </c>
      <c r="AA107" s="73"/>
      <c r="AB107" s="159">
        <v>0.0</v>
      </c>
      <c r="AC107" s="73"/>
      <c r="AD107" s="159">
        <v>0.0</v>
      </c>
      <c r="AE107" s="73"/>
      <c r="AF107" s="159">
        <v>0.0</v>
      </c>
      <c r="AG107" s="73"/>
      <c r="AH107" s="159">
        <v>0.0</v>
      </c>
      <c r="AI107" s="73"/>
      <c r="AJ107" s="159">
        <v>0.0</v>
      </c>
      <c r="AK107" s="73"/>
      <c r="AL107" s="159">
        <v>0.0</v>
      </c>
      <c r="AM107" s="73"/>
      <c r="AN107" s="159">
        <v>0.0</v>
      </c>
      <c r="AO107" s="73"/>
      <c r="AP107" s="161">
        <f t="shared" si="11"/>
        <v>0</v>
      </c>
      <c r="AQ107" s="157">
        <f t="shared" si="10"/>
        <v>0</v>
      </c>
      <c r="AR107" s="157">
        <f t="shared" si="3"/>
        <v>0</v>
      </c>
      <c r="AS107" s="157">
        <f t="shared" si="4"/>
        <v>0</v>
      </c>
      <c r="AT107" s="162" t="str">
        <f t="shared" si="5"/>
        <v/>
      </c>
    </row>
    <row r="108" ht="15.75" customHeight="1">
      <c r="A108" s="108" t="s">
        <v>21</v>
      </c>
      <c r="B108" s="109">
        <f t="shared" si="6"/>
        <v>45033</v>
      </c>
      <c r="C108" s="110">
        <v>4.0</v>
      </c>
      <c r="D108" s="110" t="s">
        <v>37</v>
      </c>
      <c r="E108" s="111" t="s">
        <v>42</v>
      </c>
      <c r="F108" s="112">
        <v>0.0</v>
      </c>
      <c r="G108" s="84"/>
      <c r="H108" s="112">
        <v>0.0</v>
      </c>
      <c r="I108" s="84"/>
      <c r="J108" s="112">
        <v>0.0</v>
      </c>
      <c r="K108" s="84"/>
      <c r="L108" s="112">
        <v>0.0</v>
      </c>
      <c r="M108" s="84"/>
      <c r="N108" s="112">
        <v>125.0</v>
      </c>
      <c r="O108" s="84"/>
      <c r="P108" s="112">
        <v>125.0</v>
      </c>
      <c r="Q108" s="84"/>
      <c r="R108" s="112">
        <v>0.0</v>
      </c>
      <c r="S108" s="84"/>
      <c r="T108" s="112">
        <v>0.0</v>
      </c>
      <c r="U108" s="84"/>
      <c r="V108" s="112">
        <v>0.0</v>
      </c>
      <c r="W108" s="84"/>
      <c r="X108" s="112">
        <v>0.0</v>
      </c>
      <c r="Y108" s="84"/>
      <c r="Z108" s="112">
        <v>3.0</v>
      </c>
      <c r="AA108" s="84"/>
      <c r="AB108" s="112">
        <v>0.0</v>
      </c>
      <c r="AC108" s="84"/>
      <c r="AD108" s="112">
        <v>0.0</v>
      </c>
      <c r="AE108" s="84"/>
      <c r="AF108" s="112">
        <v>0.0</v>
      </c>
      <c r="AG108" s="84"/>
      <c r="AH108" s="112">
        <v>0.0</v>
      </c>
      <c r="AI108" s="84"/>
      <c r="AJ108" s="112">
        <v>0.0</v>
      </c>
      <c r="AK108" s="84"/>
      <c r="AL108" s="112">
        <v>0.0</v>
      </c>
      <c r="AM108" s="84"/>
      <c r="AN108" s="112">
        <v>0.0</v>
      </c>
      <c r="AO108" s="84"/>
      <c r="AP108" s="114">
        <f t="shared" si="11"/>
        <v>5913.333333</v>
      </c>
      <c r="AQ108" s="115">
        <f t="shared" si="10"/>
        <v>250</v>
      </c>
      <c r="AR108" s="115">
        <f t="shared" si="3"/>
        <v>0</v>
      </c>
      <c r="AS108" s="115">
        <f t="shared" si="4"/>
        <v>253</v>
      </c>
      <c r="AT108" s="116">
        <f t="shared" si="5"/>
        <v>23.37285903</v>
      </c>
    </row>
    <row r="109" ht="15.75" customHeight="1">
      <c r="A109" s="117" t="s">
        <v>23</v>
      </c>
      <c r="B109" s="118">
        <f t="shared" si="6"/>
        <v>45034</v>
      </c>
      <c r="C109" s="119">
        <v>4.0</v>
      </c>
      <c r="D109" s="119" t="s">
        <v>37</v>
      </c>
      <c r="E109" s="120" t="s">
        <v>42</v>
      </c>
      <c r="F109" s="121">
        <v>0.0</v>
      </c>
      <c r="G109" s="3"/>
      <c r="H109" s="121">
        <v>0.0</v>
      </c>
      <c r="I109" s="3"/>
      <c r="J109" s="121">
        <v>0.0</v>
      </c>
      <c r="K109" s="3"/>
      <c r="L109" s="121">
        <v>0.0</v>
      </c>
      <c r="M109" s="3"/>
      <c r="N109" s="121">
        <v>125.0</v>
      </c>
      <c r="O109" s="3"/>
      <c r="P109" s="121">
        <v>125.0</v>
      </c>
      <c r="Q109" s="3"/>
      <c r="R109" s="121">
        <v>0.0</v>
      </c>
      <c r="S109" s="3"/>
      <c r="T109" s="121">
        <v>0.0</v>
      </c>
      <c r="U109" s="3"/>
      <c r="V109" s="121">
        <v>0.0</v>
      </c>
      <c r="W109" s="3"/>
      <c r="X109" s="121">
        <v>0.0</v>
      </c>
      <c r="Y109" s="3"/>
      <c r="Z109" s="121">
        <v>3.0</v>
      </c>
      <c r="AA109" s="3"/>
      <c r="AB109" s="121">
        <v>0.0</v>
      </c>
      <c r="AC109" s="3"/>
      <c r="AD109" s="121">
        <v>0.0</v>
      </c>
      <c r="AE109" s="3"/>
      <c r="AF109" s="121">
        <v>0.0</v>
      </c>
      <c r="AG109" s="3"/>
      <c r="AH109" s="121">
        <v>0.0</v>
      </c>
      <c r="AI109" s="3"/>
      <c r="AJ109" s="121">
        <v>0.0</v>
      </c>
      <c r="AK109" s="3"/>
      <c r="AL109" s="121">
        <v>0.0</v>
      </c>
      <c r="AM109" s="3"/>
      <c r="AN109" s="121">
        <v>0.0</v>
      </c>
      <c r="AO109" s="3"/>
      <c r="AP109" s="123">
        <f t="shared" si="11"/>
        <v>5913.333333</v>
      </c>
      <c r="AQ109" s="124">
        <f t="shared" si="10"/>
        <v>250</v>
      </c>
      <c r="AR109" s="124">
        <f t="shared" si="3"/>
        <v>0</v>
      </c>
      <c r="AS109" s="124">
        <f t="shared" si="4"/>
        <v>253</v>
      </c>
      <c r="AT109" s="125">
        <f t="shared" si="5"/>
        <v>23.37285903</v>
      </c>
    </row>
    <row r="110" ht="15.75" customHeight="1">
      <c r="A110" s="117" t="s">
        <v>24</v>
      </c>
      <c r="B110" s="118">
        <f t="shared" si="6"/>
        <v>45035</v>
      </c>
      <c r="C110" s="119">
        <v>4.0</v>
      </c>
      <c r="D110" s="119" t="s">
        <v>37</v>
      </c>
      <c r="E110" s="120" t="s">
        <v>42</v>
      </c>
      <c r="F110" s="121">
        <v>0.0</v>
      </c>
      <c r="G110" s="3"/>
      <c r="H110" s="121">
        <v>0.0</v>
      </c>
      <c r="I110" s="3"/>
      <c r="J110" s="121">
        <v>0.0</v>
      </c>
      <c r="K110" s="3"/>
      <c r="L110" s="121">
        <v>0.0</v>
      </c>
      <c r="M110" s="3"/>
      <c r="N110" s="121">
        <v>125.0</v>
      </c>
      <c r="O110" s="3"/>
      <c r="P110" s="121">
        <v>125.0</v>
      </c>
      <c r="Q110" s="3"/>
      <c r="R110" s="121">
        <v>0.0</v>
      </c>
      <c r="S110" s="3"/>
      <c r="T110" s="121">
        <v>0.0</v>
      </c>
      <c r="U110" s="3"/>
      <c r="V110" s="121">
        <v>0.0</v>
      </c>
      <c r="W110" s="3"/>
      <c r="X110" s="121">
        <v>0.0</v>
      </c>
      <c r="Y110" s="3"/>
      <c r="Z110" s="121">
        <v>4.0</v>
      </c>
      <c r="AA110" s="3"/>
      <c r="AB110" s="121">
        <v>0.0</v>
      </c>
      <c r="AC110" s="3"/>
      <c r="AD110" s="121">
        <v>0.0</v>
      </c>
      <c r="AE110" s="3"/>
      <c r="AF110" s="121">
        <v>0.0</v>
      </c>
      <c r="AG110" s="3"/>
      <c r="AH110" s="121">
        <v>0.0</v>
      </c>
      <c r="AI110" s="3"/>
      <c r="AJ110" s="121">
        <v>0.0</v>
      </c>
      <c r="AK110" s="3"/>
      <c r="AL110" s="121">
        <v>0.0</v>
      </c>
      <c r="AM110" s="3"/>
      <c r="AN110" s="121">
        <v>0.0</v>
      </c>
      <c r="AO110" s="3"/>
      <c r="AP110" s="123">
        <f t="shared" si="11"/>
        <v>5993.333333</v>
      </c>
      <c r="AQ110" s="124">
        <f t="shared" si="10"/>
        <v>250</v>
      </c>
      <c r="AR110" s="124">
        <f t="shared" si="3"/>
        <v>0</v>
      </c>
      <c r="AS110" s="124">
        <f t="shared" si="4"/>
        <v>254</v>
      </c>
      <c r="AT110" s="125">
        <f t="shared" si="5"/>
        <v>23.59580052</v>
      </c>
    </row>
    <row r="111" ht="15.75" customHeight="1">
      <c r="A111" s="117" t="s">
        <v>25</v>
      </c>
      <c r="B111" s="118">
        <f t="shared" si="6"/>
        <v>45036</v>
      </c>
      <c r="C111" s="119">
        <v>4.0</v>
      </c>
      <c r="D111" s="119" t="s">
        <v>37</v>
      </c>
      <c r="E111" s="120" t="s">
        <v>42</v>
      </c>
      <c r="F111" s="121">
        <v>0.0</v>
      </c>
      <c r="G111" s="3"/>
      <c r="H111" s="121">
        <v>0.0</v>
      </c>
      <c r="I111" s="3"/>
      <c r="J111" s="121">
        <v>0.0</v>
      </c>
      <c r="K111" s="3"/>
      <c r="L111" s="121">
        <v>0.0</v>
      </c>
      <c r="M111" s="3"/>
      <c r="N111" s="121">
        <v>125.0</v>
      </c>
      <c r="O111" s="3"/>
      <c r="P111" s="121">
        <v>125.0</v>
      </c>
      <c r="Q111" s="3"/>
      <c r="R111" s="121">
        <v>0.0</v>
      </c>
      <c r="S111" s="3"/>
      <c r="T111" s="121">
        <v>0.0</v>
      </c>
      <c r="U111" s="3"/>
      <c r="V111" s="121">
        <v>0.0</v>
      </c>
      <c r="W111" s="3"/>
      <c r="X111" s="121">
        <v>0.0</v>
      </c>
      <c r="Y111" s="3"/>
      <c r="Z111" s="121">
        <v>0.0</v>
      </c>
      <c r="AA111" s="3"/>
      <c r="AB111" s="121">
        <v>3.0</v>
      </c>
      <c r="AC111" s="3"/>
      <c r="AD111" s="121">
        <v>0.0</v>
      </c>
      <c r="AE111" s="3"/>
      <c r="AF111" s="121">
        <v>0.0</v>
      </c>
      <c r="AG111" s="3"/>
      <c r="AH111" s="121">
        <v>0.0</v>
      </c>
      <c r="AI111" s="3"/>
      <c r="AJ111" s="121">
        <v>0.0</v>
      </c>
      <c r="AK111" s="3"/>
      <c r="AL111" s="121">
        <v>0.0</v>
      </c>
      <c r="AM111" s="3"/>
      <c r="AN111" s="121">
        <v>0.0</v>
      </c>
      <c r="AO111" s="3"/>
      <c r="AP111" s="123">
        <f t="shared" si="11"/>
        <v>6048.333333</v>
      </c>
      <c r="AQ111" s="124">
        <f t="shared" si="10"/>
        <v>250</v>
      </c>
      <c r="AR111" s="124">
        <f t="shared" si="3"/>
        <v>0</v>
      </c>
      <c r="AS111" s="124">
        <f t="shared" si="4"/>
        <v>253</v>
      </c>
      <c r="AT111" s="125">
        <f t="shared" si="5"/>
        <v>23.90645586</v>
      </c>
    </row>
    <row r="112" ht="15.75" customHeight="1">
      <c r="A112" s="117" t="s">
        <v>26</v>
      </c>
      <c r="B112" s="118">
        <f t="shared" si="6"/>
        <v>45037</v>
      </c>
      <c r="C112" s="119">
        <v>4.0</v>
      </c>
      <c r="D112" s="119" t="s">
        <v>37</v>
      </c>
      <c r="E112" s="120" t="s">
        <v>42</v>
      </c>
      <c r="F112" s="121">
        <v>0.0</v>
      </c>
      <c r="G112" s="3"/>
      <c r="H112" s="121">
        <v>0.0</v>
      </c>
      <c r="I112" s="3"/>
      <c r="J112" s="121">
        <v>0.0</v>
      </c>
      <c r="K112" s="3"/>
      <c r="L112" s="121">
        <v>0.0</v>
      </c>
      <c r="M112" s="3"/>
      <c r="N112" s="121">
        <v>125.0</v>
      </c>
      <c r="O112" s="3"/>
      <c r="P112" s="121">
        <v>125.0</v>
      </c>
      <c r="Q112" s="3"/>
      <c r="R112" s="121">
        <v>0.0</v>
      </c>
      <c r="S112" s="3"/>
      <c r="T112" s="121">
        <v>0.0</v>
      </c>
      <c r="U112" s="3"/>
      <c r="V112" s="121">
        <v>0.0</v>
      </c>
      <c r="W112" s="3"/>
      <c r="X112" s="121">
        <v>0.0</v>
      </c>
      <c r="Y112" s="3"/>
      <c r="Z112" s="121">
        <v>3.0</v>
      </c>
      <c r="AA112" s="3"/>
      <c r="AB112" s="121">
        <v>0.0</v>
      </c>
      <c r="AC112" s="3"/>
      <c r="AD112" s="121">
        <v>0.0</v>
      </c>
      <c r="AE112" s="3"/>
      <c r="AF112" s="121">
        <v>0.0</v>
      </c>
      <c r="AG112" s="3"/>
      <c r="AH112" s="121">
        <v>0.0</v>
      </c>
      <c r="AI112" s="3"/>
      <c r="AJ112" s="121">
        <v>0.0</v>
      </c>
      <c r="AK112" s="3"/>
      <c r="AL112" s="121">
        <v>0.0</v>
      </c>
      <c r="AM112" s="3"/>
      <c r="AN112" s="121">
        <v>0.0</v>
      </c>
      <c r="AO112" s="3"/>
      <c r="AP112" s="123">
        <f t="shared" si="11"/>
        <v>5913.333333</v>
      </c>
      <c r="AQ112" s="124">
        <f t="shared" si="10"/>
        <v>250</v>
      </c>
      <c r="AR112" s="124">
        <f t="shared" si="3"/>
        <v>0</v>
      </c>
      <c r="AS112" s="124">
        <f t="shared" si="4"/>
        <v>253</v>
      </c>
      <c r="AT112" s="125">
        <f t="shared" si="5"/>
        <v>23.37285903</v>
      </c>
    </row>
    <row r="113" ht="15.75" customHeight="1">
      <c r="A113" s="117" t="s">
        <v>27</v>
      </c>
      <c r="B113" s="118">
        <f t="shared" si="6"/>
        <v>45038</v>
      </c>
      <c r="C113" s="119">
        <v>4.0</v>
      </c>
      <c r="D113" s="119" t="s">
        <v>37</v>
      </c>
      <c r="E113" s="120" t="s">
        <v>42</v>
      </c>
      <c r="F113" s="121">
        <v>0.0</v>
      </c>
      <c r="G113" s="3"/>
      <c r="H113" s="121">
        <v>0.0</v>
      </c>
      <c r="I113" s="3"/>
      <c r="J113" s="121">
        <v>0.0</v>
      </c>
      <c r="K113" s="3"/>
      <c r="L113" s="121">
        <v>0.0</v>
      </c>
      <c r="M113" s="3"/>
      <c r="N113" s="121">
        <v>125.0</v>
      </c>
      <c r="O113" s="3"/>
      <c r="P113" s="121">
        <v>125.0</v>
      </c>
      <c r="Q113" s="3"/>
      <c r="R113" s="121">
        <v>0.0</v>
      </c>
      <c r="S113" s="3"/>
      <c r="T113" s="121">
        <v>0.0</v>
      </c>
      <c r="U113" s="3"/>
      <c r="V113" s="121">
        <v>0.0</v>
      </c>
      <c r="W113" s="3"/>
      <c r="X113" s="121">
        <v>0.0</v>
      </c>
      <c r="Y113" s="3"/>
      <c r="Z113" s="121">
        <v>3.0</v>
      </c>
      <c r="AA113" s="3"/>
      <c r="AB113" s="121">
        <v>0.0</v>
      </c>
      <c r="AC113" s="3"/>
      <c r="AD113" s="121">
        <v>0.0</v>
      </c>
      <c r="AE113" s="3"/>
      <c r="AF113" s="121">
        <v>0.0</v>
      </c>
      <c r="AG113" s="3"/>
      <c r="AH113" s="121">
        <v>0.0</v>
      </c>
      <c r="AI113" s="3"/>
      <c r="AJ113" s="121">
        <v>0.0</v>
      </c>
      <c r="AK113" s="3"/>
      <c r="AL113" s="121">
        <v>0.0</v>
      </c>
      <c r="AM113" s="3"/>
      <c r="AN113" s="121">
        <v>0.0</v>
      </c>
      <c r="AO113" s="3"/>
      <c r="AP113" s="123">
        <f t="shared" si="11"/>
        <v>5913.333333</v>
      </c>
      <c r="AQ113" s="124">
        <f t="shared" si="10"/>
        <v>250</v>
      </c>
      <c r="AR113" s="124">
        <f t="shared" si="3"/>
        <v>0</v>
      </c>
      <c r="AS113" s="124">
        <f t="shared" si="4"/>
        <v>253</v>
      </c>
      <c r="AT113" s="125">
        <f t="shared" si="5"/>
        <v>23.37285903</v>
      </c>
    </row>
    <row r="114" ht="15.75" customHeight="1">
      <c r="A114" s="117" t="s">
        <v>28</v>
      </c>
      <c r="B114" s="118">
        <f t="shared" si="6"/>
        <v>45039</v>
      </c>
      <c r="C114" s="119">
        <v>4.0</v>
      </c>
      <c r="D114" s="119" t="s">
        <v>37</v>
      </c>
      <c r="E114" s="259" t="s">
        <v>42</v>
      </c>
      <c r="F114" s="182">
        <v>0.0</v>
      </c>
      <c r="G114" s="73"/>
      <c r="H114" s="182">
        <v>0.0</v>
      </c>
      <c r="I114" s="73"/>
      <c r="J114" s="182">
        <v>0.0</v>
      </c>
      <c r="K114" s="73"/>
      <c r="L114" s="182">
        <v>0.0</v>
      </c>
      <c r="M114" s="73"/>
      <c r="N114" s="182">
        <v>0.0</v>
      </c>
      <c r="O114" s="73"/>
      <c r="P114" s="182">
        <v>0.0</v>
      </c>
      <c r="Q114" s="73"/>
      <c r="R114" s="182">
        <v>0.0</v>
      </c>
      <c r="S114" s="73"/>
      <c r="T114" s="182">
        <v>0.0</v>
      </c>
      <c r="U114" s="73"/>
      <c r="V114" s="182">
        <v>0.0</v>
      </c>
      <c r="W114" s="73"/>
      <c r="X114" s="182">
        <v>0.0</v>
      </c>
      <c r="Y114" s="73"/>
      <c r="Z114" s="182">
        <v>0.0</v>
      </c>
      <c r="AA114" s="73"/>
      <c r="AB114" s="182">
        <v>0.0</v>
      </c>
      <c r="AC114" s="73"/>
      <c r="AD114" s="182">
        <v>0.0</v>
      </c>
      <c r="AE114" s="73"/>
      <c r="AF114" s="182">
        <v>0.0</v>
      </c>
      <c r="AG114" s="73"/>
      <c r="AH114" s="182">
        <v>0.0</v>
      </c>
      <c r="AI114" s="73"/>
      <c r="AJ114" s="182">
        <v>0.0</v>
      </c>
      <c r="AK114" s="73"/>
      <c r="AL114" s="182">
        <v>0.0</v>
      </c>
      <c r="AM114" s="73"/>
      <c r="AN114" s="182">
        <v>0.0</v>
      </c>
      <c r="AO114" s="73"/>
      <c r="AP114" s="183">
        <f t="shared" si="11"/>
        <v>0</v>
      </c>
      <c r="AQ114" s="181">
        <f t="shared" si="10"/>
        <v>0</v>
      </c>
      <c r="AR114" s="181">
        <f t="shared" si="3"/>
        <v>0</v>
      </c>
      <c r="AS114" s="181">
        <f t="shared" si="4"/>
        <v>0</v>
      </c>
      <c r="AT114" s="184" t="str">
        <f t="shared" si="5"/>
        <v/>
      </c>
    </row>
    <row r="115" ht="15.75" customHeight="1">
      <c r="A115" s="262" t="s">
        <v>21</v>
      </c>
      <c r="B115" s="263">
        <f t="shared" si="6"/>
        <v>45040</v>
      </c>
      <c r="C115" s="264">
        <v>5.0</v>
      </c>
      <c r="D115" s="264" t="s">
        <v>22</v>
      </c>
      <c r="E115" s="265" t="s">
        <v>42</v>
      </c>
      <c r="F115" s="266">
        <v>0.0</v>
      </c>
      <c r="G115" s="84"/>
      <c r="H115" s="266">
        <v>0.0</v>
      </c>
      <c r="I115" s="84"/>
      <c r="J115" s="266">
        <v>0.0</v>
      </c>
      <c r="K115" s="84"/>
      <c r="L115" s="266">
        <v>0.0</v>
      </c>
      <c r="M115" s="84"/>
      <c r="N115" s="266">
        <v>125.0</v>
      </c>
      <c r="O115" s="84"/>
      <c r="P115" s="266">
        <v>125.0</v>
      </c>
      <c r="Q115" s="84"/>
      <c r="R115" s="266">
        <v>0.0</v>
      </c>
      <c r="S115" s="84"/>
      <c r="T115" s="266">
        <v>0.0</v>
      </c>
      <c r="U115" s="84"/>
      <c r="V115" s="266">
        <v>0.0</v>
      </c>
      <c r="W115" s="84"/>
      <c r="X115" s="266">
        <v>0.0</v>
      </c>
      <c r="Y115" s="84"/>
      <c r="Z115" s="266">
        <v>3.0</v>
      </c>
      <c r="AA115" s="84"/>
      <c r="AB115" s="266">
        <v>0.0</v>
      </c>
      <c r="AC115" s="84"/>
      <c r="AD115" s="266">
        <v>0.0</v>
      </c>
      <c r="AE115" s="84"/>
      <c r="AF115" s="266">
        <v>0.0</v>
      </c>
      <c r="AG115" s="84"/>
      <c r="AH115" s="266">
        <v>0.0</v>
      </c>
      <c r="AI115" s="84"/>
      <c r="AJ115" s="266">
        <v>0.0</v>
      </c>
      <c r="AK115" s="84"/>
      <c r="AL115" s="266">
        <v>0.0</v>
      </c>
      <c r="AM115" s="84"/>
      <c r="AN115" s="266">
        <v>0.0</v>
      </c>
      <c r="AO115" s="84"/>
      <c r="AP115" s="269">
        <f t="shared" si="11"/>
        <v>5913.333333</v>
      </c>
      <c r="AQ115" s="270">
        <f t="shared" si="10"/>
        <v>250</v>
      </c>
      <c r="AR115" s="270">
        <f t="shared" si="3"/>
        <v>0</v>
      </c>
      <c r="AS115" s="270">
        <f t="shared" si="4"/>
        <v>253</v>
      </c>
      <c r="AT115" s="271">
        <f t="shared" si="5"/>
        <v>23.37285903</v>
      </c>
    </row>
    <row r="116" ht="15.75" customHeight="1">
      <c r="A116" s="272" t="s">
        <v>23</v>
      </c>
      <c r="B116" s="229">
        <f t="shared" si="6"/>
        <v>45041</v>
      </c>
      <c r="C116" s="230">
        <v>5.0</v>
      </c>
      <c r="D116" s="230" t="s">
        <v>22</v>
      </c>
      <c r="E116" s="231" t="s">
        <v>42</v>
      </c>
      <c r="F116" s="232">
        <v>0.0</v>
      </c>
      <c r="G116" s="3"/>
      <c r="H116" s="232">
        <v>0.0</v>
      </c>
      <c r="I116" s="3"/>
      <c r="J116" s="232">
        <v>0.0</v>
      </c>
      <c r="K116" s="3"/>
      <c r="L116" s="232">
        <v>0.0</v>
      </c>
      <c r="M116" s="3"/>
      <c r="N116" s="232">
        <v>125.0</v>
      </c>
      <c r="O116" s="3"/>
      <c r="P116" s="232">
        <v>90.0</v>
      </c>
      <c r="Q116" s="3"/>
      <c r="R116" s="232">
        <v>0.0</v>
      </c>
      <c r="S116" s="3"/>
      <c r="T116" s="232">
        <v>0.0</v>
      </c>
      <c r="U116" s="3"/>
      <c r="V116" s="232">
        <v>0.0</v>
      </c>
      <c r="W116" s="3"/>
      <c r="X116" s="232">
        <v>40.0</v>
      </c>
      <c r="Y116" s="3"/>
      <c r="Z116" s="232">
        <v>3.0</v>
      </c>
      <c r="AA116" s="3"/>
      <c r="AB116" s="232">
        <v>0.0</v>
      </c>
      <c r="AC116" s="3"/>
      <c r="AD116" s="232">
        <v>0.0</v>
      </c>
      <c r="AE116" s="3"/>
      <c r="AF116" s="232">
        <v>0.0</v>
      </c>
      <c r="AG116" s="3"/>
      <c r="AH116" s="232">
        <v>0.0</v>
      </c>
      <c r="AI116" s="3"/>
      <c r="AJ116" s="232">
        <v>0.0</v>
      </c>
      <c r="AK116" s="3"/>
      <c r="AL116" s="232">
        <v>0.0</v>
      </c>
      <c r="AM116" s="3"/>
      <c r="AN116" s="232">
        <v>0.0</v>
      </c>
      <c r="AO116" s="3"/>
      <c r="AP116" s="233">
        <f t="shared" si="11"/>
        <v>5828.4</v>
      </c>
      <c r="AQ116" s="234">
        <f t="shared" si="10"/>
        <v>255</v>
      </c>
      <c r="AR116" s="234">
        <f t="shared" si="3"/>
        <v>0</v>
      </c>
      <c r="AS116" s="234">
        <f t="shared" si="4"/>
        <v>258</v>
      </c>
      <c r="AT116" s="274">
        <f t="shared" si="5"/>
        <v>22.59069767</v>
      </c>
    </row>
    <row r="117" ht="15.75" customHeight="1">
      <c r="A117" s="272" t="s">
        <v>24</v>
      </c>
      <c r="B117" s="229">
        <f t="shared" si="6"/>
        <v>45042</v>
      </c>
      <c r="C117" s="230">
        <v>5.0</v>
      </c>
      <c r="D117" s="230" t="s">
        <v>22</v>
      </c>
      <c r="E117" s="231" t="s">
        <v>42</v>
      </c>
      <c r="F117" s="232">
        <v>0.0</v>
      </c>
      <c r="G117" s="3"/>
      <c r="H117" s="232">
        <v>0.0</v>
      </c>
      <c r="I117" s="3"/>
      <c r="J117" s="232">
        <v>0.0</v>
      </c>
      <c r="K117" s="3"/>
      <c r="L117" s="232">
        <v>0.0</v>
      </c>
      <c r="M117" s="3"/>
      <c r="N117" s="232">
        <v>125.0</v>
      </c>
      <c r="O117" s="3"/>
      <c r="P117" s="232">
        <v>125.0</v>
      </c>
      <c r="Q117" s="3"/>
      <c r="R117" s="232">
        <v>0.0</v>
      </c>
      <c r="S117" s="3"/>
      <c r="T117" s="232">
        <v>0.0</v>
      </c>
      <c r="U117" s="3"/>
      <c r="V117" s="232">
        <v>0.0</v>
      </c>
      <c r="W117" s="3"/>
      <c r="X117" s="232">
        <v>0.0</v>
      </c>
      <c r="Y117" s="3"/>
      <c r="Z117" s="232">
        <v>4.0</v>
      </c>
      <c r="AA117" s="3"/>
      <c r="AB117" s="232">
        <v>0.0</v>
      </c>
      <c r="AC117" s="3"/>
      <c r="AD117" s="232">
        <v>0.0</v>
      </c>
      <c r="AE117" s="3"/>
      <c r="AF117" s="232">
        <v>0.0</v>
      </c>
      <c r="AG117" s="3"/>
      <c r="AH117" s="232">
        <v>0.0</v>
      </c>
      <c r="AI117" s="3"/>
      <c r="AJ117" s="232">
        <v>0.0</v>
      </c>
      <c r="AK117" s="3"/>
      <c r="AL117" s="232">
        <v>0.0</v>
      </c>
      <c r="AM117" s="3"/>
      <c r="AN117" s="232">
        <v>0.0</v>
      </c>
      <c r="AO117" s="3"/>
      <c r="AP117" s="233">
        <f t="shared" si="11"/>
        <v>5993.333333</v>
      </c>
      <c r="AQ117" s="234">
        <f t="shared" si="10"/>
        <v>250</v>
      </c>
      <c r="AR117" s="234">
        <f t="shared" si="3"/>
        <v>0</v>
      </c>
      <c r="AS117" s="234">
        <f t="shared" si="4"/>
        <v>254</v>
      </c>
      <c r="AT117" s="274">
        <f t="shared" si="5"/>
        <v>23.59580052</v>
      </c>
    </row>
    <row r="118" ht="15.75" customHeight="1">
      <c r="A118" s="272" t="s">
        <v>25</v>
      </c>
      <c r="B118" s="229">
        <f t="shared" si="6"/>
        <v>45043</v>
      </c>
      <c r="C118" s="230">
        <v>5.0</v>
      </c>
      <c r="D118" s="230" t="s">
        <v>22</v>
      </c>
      <c r="E118" s="231" t="s">
        <v>42</v>
      </c>
      <c r="F118" s="232">
        <v>0.0</v>
      </c>
      <c r="G118" s="3"/>
      <c r="H118" s="232">
        <v>0.0</v>
      </c>
      <c r="I118" s="3"/>
      <c r="J118" s="232">
        <v>0.0</v>
      </c>
      <c r="K118" s="3"/>
      <c r="L118" s="232">
        <v>0.0</v>
      </c>
      <c r="M118" s="3"/>
      <c r="N118" s="232">
        <v>125.0</v>
      </c>
      <c r="O118" s="3"/>
      <c r="P118" s="232">
        <v>125.0</v>
      </c>
      <c r="Q118" s="3"/>
      <c r="R118" s="232">
        <v>0.0</v>
      </c>
      <c r="S118" s="3"/>
      <c r="T118" s="232">
        <v>0.0</v>
      </c>
      <c r="U118" s="3"/>
      <c r="V118" s="232">
        <v>0.0</v>
      </c>
      <c r="W118" s="3"/>
      <c r="X118" s="232">
        <v>0.0</v>
      </c>
      <c r="Y118" s="3"/>
      <c r="Z118" s="232">
        <v>3.0</v>
      </c>
      <c r="AA118" s="3"/>
      <c r="AB118" s="232">
        <v>0.0</v>
      </c>
      <c r="AC118" s="3"/>
      <c r="AD118" s="232">
        <v>0.0</v>
      </c>
      <c r="AE118" s="3"/>
      <c r="AF118" s="232">
        <v>0.0</v>
      </c>
      <c r="AG118" s="3"/>
      <c r="AH118" s="232">
        <v>0.0</v>
      </c>
      <c r="AI118" s="3"/>
      <c r="AJ118" s="232">
        <v>0.0</v>
      </c>
      <c r="AK118" s="3"/>
      <c r="AL118" s="232">
        <v>0.0</v>
      </c>
      <c r="AM118" s="3"/>
      <c r="AN118" s="232">
        <v>0.0</v>
      </c>
      <c r="AO118" s="3"/>
      <c r="AP118" s="233">
        <f t="shared" si="11"/>
        <v>5913.333333</v>
      </c>
      <c r="AQ118" s="234">
        <f t="shared" si="10"/>
        <v>250</v>
      </c>
      <c r="AR118" s="234">
        <f t="shared" si="3"/>
        <v>0</v>
      </c>
      <c r="AS118" s="234">
        <f t="shared" si="4"/>
        <v>253</v>
      </c>
      <c r="AT118" s="274">
        <f t="shared" si="5"/>
        <v>23.37285903</v>
      </c>
    </row>
    <row r="119" ht="15.75" customHeight="1">
      <c r="A119" s="272" t="s">
        <v>26</v>
      </c>
      <c r="B119" s="229">
        <f t="shared" si="6"/>
        <v>45044</v>
      </c>
      <c r="C119" s="230">
        <v>5.0</v>
      </c>
      <c r="D119" s="230" t="s">
        <v>22</v>
      </c>
      <c r="E119" s="231" t="s">
        <v>42</v>
      </c>
      <c r="F119" s="232">
        <v>0.0</v>
      </c>
      <c r="G119" s="3"/>
      <c r="H119" s="232">
        <v>0.0</v>
      </c>
      <c r="I119" s="3"/>
      <c r="J119" s="232">
        <v>0.0</v>
      </c>
      <c r="K119" s="3"/>
      <c r="L119" s="232">
        <v>0.0</v>
      </c>
      <c r="M119" s="3"/>
      <c r="N119" s="232">
        <v>125.0</v>
      </c>
      <c r="O119" s="3"/>
      <c r="P119" s="232">
        <v>90.0</v>
      </c>
      <c r="Q119" s="3"/>
      <c r="R119" s="232">
        <v>0.0</v>
      </c>
      <c r="S119" s="3"/>
      <c r="T119" s="232">
        <v>0.0</v>
      </c>
      <c r="U119" s="3"/>
      <c r="V119" s="232">
        <v>0.0</v>
      </c>
      <c r="W119" s="3"/>
      <c r="X119" s="232">
        <v>40.0</v>
      </c>
      <c r="Y119" s="3"/>
      <c r="Z119" s="232">
        <v>0.0</v>
      </c>
      <c r="AA119" s="3"/>
      <c r="AB119" s="232">
        <v>3.0</v>
      </c>
      <c r="AC119" s="3"/>
      <c r="AD119" s="232">
        <v>0.0</v>
      </c>
      <c r="AE119" s="3"/>
      <c r="AF119" s="232">
        <v>0.0</v>
      </c>
      <c r="AG119" s="3"/>
      <c r="AH119" s="232">
        <v>0.0</v>
      </c>
      <c r="AI119" s="3"/>
      <c r="AJ119" s="232">
        <v>0.0</v>
      </c>
      <c r="AK119" s="3"/>
      <c r="AL119" s="232">
        <v>0.0</v>
      </c>
      <c r="AM119" s="3"/>
      <c r="AN119" s="232">
        <v>0.0</v>
      </c>
      <c r="AO119" s="3"/>
      <c r="AP119" s="233">
        <f t="shared" si="11"/>
        <v>5963.4</v>
      </c>
      <c r="AQ119" s="234">
        <f t="shared" si="10"/>
        <v>255</v>
      </c>
      <c r="AR119" s="234">
        <f t="shared" si="3"/>
        <v>0</v>
      </c>
      <c r="AS119" s="234">
        <f t="shared" si="4"/>
        <v>258</v>
      </c>
      <c r="AT119" s="274">
        <f t="shared" si="5"/>
        <v>23.11395349</v>
      </c>
    </row>
    <row r="120" ht="15.75" customHeight="1">
      <c r="A120" s="272" t="s">
        <v>27</v>
      </c>
      <c r="B120" s="229">
        <f t="shared" si="6"/>
        <v>45045</v>
      </c>
      <c r="C120" s="230">
        <v>5.0</v>
      </c>
      <c r="D120" s="230" t="s">
        <v>22</v>
      </c>
      <c r="E120" s="231" t="s">
        <v>42</v>
      </c>
      <c r="F120" s="232">
        <v>0.0</v>
      </c>
      <c r="G120" s="3"/>
      <c r="H120" s="232">
        <v>0.0</v>
      </c>
      <c r="I120" s="3"/>
      <c r="J120" s="232">
        <v>0.0</v>
      </c>
      <c r="K120" s="3"/>
      <c r="L120" s="232">
        <v>0.0</v>
      </c>
      <c r="M120" s="3"/>
      <c r="N120" s="232">
        <v>125.0</v>
      </c>
      <c r="O120" s="3"/>
      <c r="P120" s="232">
        <v>125.0</v>
      </c>
      <c r="Q120" s="3"/>
      <c r="R120" s="232">
        <v>0.0</v>
      </c>
      <c r="S120" s="3"/>
      <c r="T120" s="232">
        <v>0.0</v>
      </c>
      <c r="U120" s="3"/>
      <c r="V120" s="232">
        <v>0.0</v>
      </c>
      <c r="W120" s="3"/>
      <c r="X120" s="232">
        <v>0.0</v>
      </c>
      <c r="Y120" s="3"/>
      <c r="Z120" s="232">
        <v>3.0</v>
      </c>
      <c r="AA120" s="3"/>
      <c r="AB120" s="232">
        <v>0.0</v>
      </c>
      <c r="AC120" s="3"/>
      <c r="AD120" s="232">
        <v>0.0</v>
      </c>
      <c r="AE120" s="3"/>
      <c r="AF120" s="232">
        <v>0.0</v>
      </c>
      <c r="AG120" s="3"/>
      <c r="AH120" s="232">
        <v>0.0</v>
      </c>
      <c r="AI120" s="3"/>
      <c r="AJ120" s="232">
        <v>0.0</v>
      </c>
      <c r="AK120" s="3"/>
      <c r="AL120" s="232">
        <v>0.0</v>
      </c>
      <c r="AM120" s="3"/>
      <c r="AN120" s="232">
        <v>0.0</v>
      </c>
      <c r="AO120" s="3"/>
      <c r="AP120" s="233">
        <f t="shared" si="11"/>
        <v>5913.333333</v>
      </c>
      <c r="AQ120" s="234">
        <f t="shared" si="10"/>
        <v>250</v>
      </c>
      <c r="AR120" s="234">
        <f t="shared" si="3"/>
        <v>0</v>
      </c>
      <c r="AS120" s="234">
        <f t="shared" si="4"/>
        <v>253</v>
      </c>
      <c r="AT120" s="274">
        <f t="shared" si="5"/>
        <v>23.37285903</v>
      </c>
    </row>
    <row r="121" ht="15.75" customHeight="1">
      <c r="A121" s="272" t="s">
        <v>28</v>
      </c>
      <c r="B121" s="229">
        <f t="shared" si="6"/>
        <v>45046</v>
      </c>
      <c r="C121" s="230">
        <v>5.0</v>
      </c>
      <c r="D121" s="230" t="s">
        <v>22</v>
      </c>
      <c r="E121" s="236" t="s">
        <v>42</v>
      </c>
      <c r="F121" s="237">
        <v>0.0</v>
      </c>
      <c r="G121" s="73"/>
      <c r="H121" s="237">
        <v>0.0</v>
      </c>
      <c r="I121" s="73"/>
      <c r="J121" s="237">
        <v>0.0</v>
      </c>
      <c r="K121" s="73"/>
      <c r="L121" s="237">
        <v>0.0</v>
      </c>
      <c r="M121" s="73"/>
      <c r="N121" s="237">
        <v>0.0</v>
      </c>
      <c r="O121" s="73"/>
      <c r="P121" s="237">
        <v>0.0</v>
      </c>
      <c r="Q121" s="73"/>
      <c r="R121" s="237">
        <v>0.0</v>
      </c>
      <c r="S121" s="73"/>
      <c r="T121" s="237">
        <v>0.0</v>
      </c>
      <c r="U121" s="73"/>
      <c r="V121" s="237">
        <v>0.0</v>
      </c>
      <c r="W121" s="73"/>
      <c r="X121" s="237">
        <v>0.0</v>
      </c>
      <c r="Y121" s="73"/>
      <c r="Z121" s="237">
        <v>0.0</v>
      </c>
      <c r="AA121" s="73"/>
      <c r="AB121" s="237">
        <v>0.0</v>
      </c>
      <c r="AC121" s="73"/>
      <c r="AD121" s="237">
        <v>0.0</v>
      </c>
      <c r="AE121" s="73"/>
      <c r="AF121" s="237">
        <v>0.0</v>
      </c>
      <c r="AG121" s="73"/>
      <c r="AH121" s="237">
        <v>0.0</v>
      </c>
      <c r="AI121" s="73"/>
      <c r="AJ121" s="237">
        <v>0.0</v>
      </c>
      <c r="AK121" s="73"/>
      <c r="AL121" s="237">
        <v>0.0</v>
      </c>
      <c r="AM121" s="73"/>
      <c r="AN121" s="237">
        <v>0.0</v>
      </c>
      <c r="AO121" s="73"/>
      <c r="AP121" s="238">
        <f t="shared" si="11"/>
        <v>0</v>
      </c>
      <c r="AQ121" s="239">
        <f t="shared" si="10"/>
        <v>0</v>
      </c>
      <c r="AR121" s="239">
        <f t="shared" si="3"/>
        <v>0</v>
      </c>
      <c r="AS121" s="239">
        <f t="shared" si="4"/>
        <v>0</v>
      </c>
      <c r="AT121" s="276" t="str">
        <f t="shared" si="5"/>
        <v/>
      </c>
    </row>
    <row r="122" ht="15.75" customHeight="1">
      <c r="A122" s="108" t="s">
        <v>21</v>
      </c>
      <c r="B122" s="109">
        <f t="shared" si="6"/>
        <v>45047</v>
      </c>
      <c r="C122" s="110">
        <v>5.0</v>
      </c>
      <c r="D122" s="110" t="s">
        <v>34</v>
      </c>
      <c r="E122" s="111" t="s">
        <v>42</v>
      </c>
      <c r="F122" s="112">
        <v>0.0</v>
      </c>
      <c r="G122" s="84"/>
      <c r="H122" s="112">
        <v>0.0</v>
      </c>
      <c r="I122" s="84"/>
      <c r="J122" s="112">
        <v>0.0</v>
      </c>
      <c r="K122" s="84"/>
      <c r="L122" s="112">
        <v>0.0</v>
      </c>
      <c r="M122" s="84"/>
      <c r="N122" s="112">
        <v>125.0</v>
      </c>
      <c r="O122" s="84"/>
      <c r="P122" s="112">
        <v>90.0</v>
      </c>
      <c r="Q122" s="84"/>
      <c r="R122" s="112">
        <v>0.0</v>
      </c>
      <c r="S122" s="84"/>
      <c r="T122" s="112">
        <v>0.0</v>
      </c>
      <c r="U122" s="84"/>
      <c r="V122" s="112">
        <v>0.0</v>
      </c>
      <c r="W122" s="84"/>
      <c r="X122" s="112">
        <v>40.0</v>
      </c>
      <c r="Y122" s="84"/>
      <c r="Z122" s="112">
        <v>3.0</v>
      </c>
      <c r="AA122" s="84"/>
      <c r="AB122" s="112">
        <v>0.0</v>
      </c>
      <c r="AC122" s="84"/>
      <c r="AD122" s="112">
        <v>0.0</v>
      </c>
      <c r="AE122" s="84"/>
      <c r="AF122" s="112">
        <v>0.0</v>
      </c>
      <c r="AG122" s="84"/>
      <c r="AH122" s="112">
        <v>0.0</v>
      </c>
      <c r="AI122" s="84"/>
      <c r="AJ122" s="112">
        <v>0.0</v>
      </c>
      <c r="AK122" s="84"/>
      <c r="AL122" s="112">
        <v>0.0</v>
      </c>
      <c r="AM122" s="84"/>
      <c r="AN122" s="112">
        <v>0.0</v>
      </c>
      <c r="AO122" s="84"/>
      <c r="AP122" s="114">
        <f t="shared" si="11"/>
        <v>5828.4</v>
      </c>
      <c r="AQ122" s="115">
        <f t="shared" si="10"/>
        <v>255</v>
      </c>
      <c r="AR122" s="115">
        <f t="shared" si="3"/>
        <v>0</v>
      </c>
      <c r="AS122" s="115">
        <f t="shared" si="4"/>
        <v>258</v>
      </c>
      <c r="AT122" s="116">
        <f t="shared" si="5"/>
        <v>22.59069767</v>
      </c>
    </row>
    <row r="123" ht="15.75" customHeight="1">
      <c r="A123" s="117" t="s">
        <v>23</v>
      </c>
      <c r="B123" s="118">
        <f t="shared" si="6"/>
        <v>45048</v>
      </c>
      <c r="C123" s="119">
        <v>5.0</v>
      </c>
      <c r="D123" s="119" t="s">
        <v>34</v>
      </c>
      <c r="E123" s="120" t="s">
        <v>42</v>
      </c>
      <c r="F123" s="121">
        <v>0.0</v>
      </c>
      <c r="G123" s="3"/>
      <c r="H123" s="121">
        <v>0.0</v>
      </c>
      <c r="I123" s="3"/>
      <c r="J123" s="121">
        <v>0.0</v>
      </c>
      <c r="K123" s="3"/>
      <c r="L123" s="121">
        <v>0.0</v>
      </c>
      <c r="M123" s="3"/>
      <c r="N123" s="121">
        <v>125.0</v>
      </c>
      <c r="O123" s="3"/>
      <c r="P123" s="121">
        <v>125.0</v>
      </c>
      <c r="Q123" s="3"/>
      <c r="R123" s="121">
        <v>0.0</v>
      </c>
      <c r="S123" s="3"/>
      <c r="T123" s="121">
        <v>0.0</v>
      </c>
      <c r="U123" s="3"/>
      <c r="V123" s="121">
        <v>0.0</v>
      </c>
      <c r="W123" s="3"/>
      <c r="X123" s="121">
        <v>0.0</v>
      </c>
      <c r="Y123" s="3"/>
      <c r="Z123" s="121">
        <v>3.0</v>
      </c>
      <c r="AA123" s="3"/>
      <c r="AB123" s="121">
        <v>0.0</v>
      </c>
      <c r="AC123" s="3"/>
      <c r="AD123" s="121">
        <v>0.0</v>
      </c>
      <c r="AE123" s="3"/>
      <c r="AF123" s="121">
        <v>0.0</v>
      </c>
      <c r="AG123" s="3"/>
      <c r="AH123" s="121">
        <v>0.0</v>
      </c>
      <c r="AI123" s="3"/>
      <c r="AJ123" s="121">
        <v>0.0</v>
      </c>
      <c r="AK123" s="3"/>
      <c r="AL123" s="121">
        <v>0.0</v>
      </c>
      <c r="AM123" s="3"/>
      <c r="AN123" s="121">
        <v>0.0</v>
      </c>
      <c r="AO123" s="3"/>
      <c r="AP123" s="123">
        <f t="shared" si="11"/>
        <v>5913.333333</v>
      </c>
      <c r="AQ123" s="124">
        <f t="shared" si="10"/>
        <v>250</v>
      </c>
      <c r="AR123" s="124">
        <f t="shared" si="3"/>
        <v>0</v>
      </c>
      <c r="AS123" s="124">
        <f t="shared" si="4"/>
        <v>253</v>
      </c>
      <c r="AT123" s="125">
        <f t="shared" si="5"/>
        <v>23.37285903</v>
      </c>
    </row>
    <row r="124" ht="15.75" customHeight="1">
      <c r="A124" s="117" t="s">
        <v>24</v>
      </c>
      <c r="B124" s="118">
        <f t="shared" si="6"/>
        <v>45049</v>
      </c>
      <c r="C124" s="119">
        <v>5.0</v>
      </c>
      <c r="D124" s="119" t="s">
        <v>34</v>
      </c>
      <c r="E124" s="120" t="s">
        <v>42</v>
      </c>
      <c r="F124" s="121">
        <v>0.0</v>
      </c>
      <c r="G124" s="3"/>
      <c r="H124" s="121">
        <v>0.0</v>
      </c>
      <c r="I124" s="3"/>
      <c r="J124" s="121">
        <v>0.0</v>
      </c>
      <c r="K124" s="3"/>
      <c r="L124" s="121">
        <v>0.0</v>
      </c>
      <c r="M124" s="3"/>
      <c r="N124" s="121">
        <v>125.0</v>
      </c>
      <c r="O124" s="3"/>
      <c r="P124" s="121">
        <v>125.0</v>
      </c>
      <c r="Q124" s="3"/>
      <c r="R124" s="121">
        <v>0.0</v>
      </c>
      <c r="S124" s="3"/>
      <c r="T124" s="121">
        <v>0.0</v>
      </c>
      <c r="U124" s="3"/>
      <c r="V124" s="121">
        <v>0.0</v>
      </c>
      <c r="W124" s="3"/>
      <c r="X124" s="121">
        <v>0.0</v>
      </c>
      <c r="Y124" s="3"/>
      <c r="Z124" s="121">
        <v>4.0</v>
      </c>
      <c r="AA124" s="3"/>
      <c r="AB124" s="121">
        <v>0.0</v>
      </c>
      <c r="AC124" s="3"/>
      <c r="AD124" s="121">
        <v>0.0</v>
      </c>
      <c r="AE124" s="3"/>
      <c r="AF124" s="121">
        <v>0.0</v>
      </c>
      <c r="AG124" s="3"/>
      <c r="AH124" s="121">
        <v>0.0</v>
      </c>
      <c r="AI124" s="3"/>
      <c r="AJ124" s="121">
        <v>0.0</v>
      </c>
      <c r="AK124" s="3"/>
      <c r="AL124" s="121">
        <v>0.0</v>
      </c>
      <c r="AM124" s="3"/>
      <c r="AN124" s="121">
        <v>0.0</v>
      </c>
      <c r="AO124" s="3"/>
      <c r="AP124" s="123">
        <f t="shared" si="11"/>
        <v>5993.333333</v>
      </c>
      <c r="AQ124" s="124">
        <f t="shared" si="10"/>
        <v>250</v>
      </c>
      <c r="AR124" s="124">
        <f t="shared" si="3"/>
        <v>0</v>
      </c>
      <c r="AS124" s="124">
        <f t="shared" si="4"/>
        <v>254</v>
      </c>
      <c r="AT124" s="125">
        <f t="shared" si="5"/>
        <v>23.59580052</v>
      </c>
    </row>
    <row r="125" ht="15.75" customHeight="1">
      <c r="A125" s="117" t="s">
        <v>25</v>
      </c>
      <c r="B125" s="118">
        <f t="shared" si="6"/>
        <v>45050</v>
      </c>
      <c r="C125" s="119">
        <v>5.0</v>
      </c>
      <c r="D125" s="119" t="s">
        <v>34</v>
      </c>
      <c r="E125" s="120" t="s">
        <v>42</v>
      </c>
      <c r="F125" s="121">
        <v>0.0</v>
      </c>
      <c r="G125" s="3"/>
      <c r="H125" s="121">
        <v>0.0</v>
      </c>
      <c r="I125" s="3"/>
      <c r="J125" s="121">
        <v>0.0</v>
      </c>
      <c r="K125" s="3"/>
      <c r="L125" s="121">
        <v>0.0</v>
      </c>
      <c r="M125" s="3"/>
      <c r="N125" s="121">
        <v>125.0</v>
      </c>
      <c r="O125" s="3"/>
      <c r="P125" s="121">
        <v>90.0</v>
      </c>
      <c r="Q125" s="3"/>
      <c r="R125" s="121">
        <v>0.0</v>
      </c>
      <c r="S125" s="3"/>
      <c r="T125" s="121">
        <v>0.0</v>
      </c>
      <c r="U125" s="3"/>
      <c r="V125" s="121">
        <v>0.0</v>
      </c>
      <c r="W125" s="3"/>
      <c r="X125" s="121">
        <v>40.0</v>
      </c>
      <c r="Y125" s="3"/>
      <c r="Z125" s="121">
        <v>0.0</v>
      </c>
      <c r="AA125" s="3"/>
      <c r="AB125" s="121">
        <v>3.0</v>
      </c>
      <c r="AC125" s="3"/>
      <c r="AD125" s="121">
        <v>0.0</v>
      </c>
      <c r="AE125" s="3"/>
      <c r="AF125" s="121">
        <v>0.0</v>
      </c>
      <c r="AG125" s="3"/>
      <c r="AH125" s="121">
        <v>0.0</v>
      </c>
      <c r="AI125" s="3"/>
      <c r="AJ125" s="121">
        <v>0.0</v>
      </c>
      <c r="AK125" s="3"/>
      <c r="AL125" s="121">
        <v>0.0</v>
      </c>
      <c r="AM125" s="3"/>
      <c r="AN125" s="121">
        <v>0.0</v>
      </c>
      <c r="AO125" s="3"/>
      <c r="AP125" s="123">
        <f t="shared" si="11"/>
        <v>5963.4</v>
      </c>
      <c r="AQ125" s="124">
        <f t="shared" si="10"/>
        <v>255</v>
      </c>
      <c r="AR125" s="124">
        <f t="shared" si="3"/>
        <v>0</v>
      </c>
      <c r="AS125" s="124">
        <f t="shared" si="4"/>
        <v>258</v>
      </c>
      <c r="AT125" s="125">
        <f t="shared" si="5"/>
        <v>23.11395349</v>
      </c>
    </row>
    <row r="126" ht="15.75" customHeight="1">
      <c r="A126" s="117" t="s">
        <v>26</v>
      </c>
      <c r="B126" s="118">
        <f t="shared" si="6"/>
        <v>45051</v>
      </c>
      <c r="C126" s="119">
        <v>5.0</v>
      </c>
      <c r="D126" s="119" t="s">
        <v>34</v>
      </c>
      <c r="E126" s="120" t="s">
        <v>42</v>
      </c>
      <c r="F126" s="121">
        <v>0.0</v>
      </c>
      <c r="G126" s="3"/>
      <c r="H126" s="121">
        <v>0.0</v>
      </c>
      <c r="I126" s="3"/>
      <c r="J126" s="121">
        <v>0.0</v>
      </c>
      <c r="K126" s="3"/>
      <c r="L126" s="121">
        <v>0.0</v>
      </c>
      <c r="M126" s="3"/>
      <c r="N126" s="121">
        <v>125.0</v>
      </c>
      <c r="O126" s="3"/>
      <c r="P126" s="121">
        <v>125.0</v>
      </c>
      <c r="Q126" s="3"/>
      <c r="R126" s="121">
        <v>0.0</v>
      </c>
      <c r="S126" s="3"/>
      <c r="T126" s="121">
        <v>0.0</v>
      </c>
      <c r="U126" s="3"/>
      <c r="V126" s="121">
        <v>0.0</v>
      </c>
      <c r="W126" s="3"/>
      <c r="X126" s="121">
        <v>0.0</v>
      </c>
      <c r="Y126" s="3"/>
      <c r="Z126" s="121">
        <v>3.0</v>
      </c>
      <c r="AA126" s="3"/>
      <c r="AB126" s="121">
        <v>0.0</v>
      </c>
      <c r="AC126" s="3"/>
      <c r="AD126" s="121">
        <v>0.0</v>
      </c>
      <c r="AE126" s="3"/>
      <c r="AF126" s="121">
        <v>0.0</v>
      </c>
      <c r="AG126" s="3"/>
      <c r="AH126" s="121">
        <v>0.0</v>
      </c>
      <c r="AI126" s="3"/>
      <c r="AJ126" s="121">
        <v>0.0</v>
      </c>
      <c r="AK126" s="3"/>
      <c r="AL126" s="121">
        <v>0.0</v>
      </c>
      <c r="AM126" s="3"/>
      <c r="AN126" s="121">
        <v>0.0</v>
      </c>
      <c r="AO126" s="3"/>
      <c r="AP126" s="123">
        <f t="shared" si="11"/>
        <v>5913.333333</v>
      </c>
      <c r="AQ126" s="124">
        <f t="shared" si="10"/>
        <v>250</v>
      </c>
      <c r="AR126" s="124">
        <f t="shared" si="3"/>
        <v>0</v>
      </c>
      <c r="AS126" s="124">
        <f t="shared" si="4"/>
        <v>253</v>
      </c>
      <c r="AT126" s="125">
        <f t="shared" si="5"/>
        <v>23.37285903</v>
      </c>
    </row>
    <row r="127" ht="15.75" customHeight="1">
      <c r="A127" s="117" t="s">
        <v>27</v>
      </c>
      <c r="B127" s="118">
        <f t="shared" si="6"/>
        <v>45052</v>
      </c>
      <c r="C127" s="119">
        <v>5.0</v>
      </c>
      <c r="D127" s="119" t="s">
        <v>34</v>
      </c>
      <c r="E127" s="120" t="s">
        <v>42</v>
      </c>
      <c r="F127" s="121">
        <v>0.0</v>
      </c>
      <c r="G127" s="3"/>
      <c r="H127" s="121">
        <v>0.0</v>
      </c>
      <c r="I127" s="3"/>
      <c r="J127" s="121">
        <v>0.0</v>
      </c>
      <c r="K127" s="3"/>
      <c r="L127" s="121">
        <v>0.0</v>
      </c>
      <c r="M127" s="3"/>
      <c r="N127" s="121">
        <v>125.0</v>
      </c>
      <c r="O127" s="3"/>
      <c r="P127" s="121">
        <v>125.0</v>
      </c>
      <c r="Q127" s="3"/>
      <c r="R127" s="121">
        <v>0.0</v>
      </c>
      <c r="S127" s="3"/>
      <c r="T127" s="121">
        <v>0.0</v>
      </c>
      <c r="U127" s="3"/>
      <c r="V127" s="121">
        <v>0.0</v>
      </c>
      <c r="W127" s="3"/>
      <c r="X127" s="121">
        <v>0.0</v>
      </c>
      <c r="Y127" s="3"/>
      <c r="Z127" s="121">
        <v>3.0</v>
      </c>
      <c r="AA127" s="3"/>
      <c r="AB127" s="121">
        <v>0.0</v>
      </c>
      <c r="AC127" s="3"/>
      <c r="AD127" s="121">
        <v>0.0</v>
      </c>
      <c r="AE127" s="3"/>
      <c r="AF127" s="121">
        <v>0.0</v>
      </c>
      <c r="AG127" s="3"/>
      <c r="AH127" s="121">
        <v>0.0</v>
      </c>
      <c r="AI127" s="3"/>
      <c r="AJ127" s="121">
        <v>0.0</v>
      </c>
      <c r="AK127" s="3"/>
      <c r="AL127" s="121">
        <v>0.0</v>
      </c>
      <c r="AM127" s="3"/>
      <c r="AN127" s="121">
        <v>0.0</v>
      </c>
      <c r="AO127" s="3"/>
      <c r="AP127" s="123">
        <f t="shared" si="11"/>
        <v>5913.333333</v>
      </c>
      <c r="AQ127" s="124">
        <f t="shared" si="10"/>
        <v>250</v>
      </c>
      <c r="AR127" s="124">
        <f t="shared" si="3"/>
        <v>0</v>
      </c>
      <c r="AS127" s="124">
        <f t="shared" si="4"/>
        <v>253</v>
      </c>
      <c r="AT127" s="125">
        <f t="shared" si="5"/>
        <v>23.37285903</v>
      </c>
    </row>
    <row r="128" ht="15.75" customHeight="1">
      <c r="A128" s="117" t="s">
        <v>28</v>
      </c>
      <c r="B128" s="118">
        <f t="shared" si="6"/>
        <v>45053</v>
      </c>
      <c r="C128" s="119">
        <v>5.0</v>
      </c>
      <c r="D128" s="119" t="s">
        <v>34</v>
      </c>
      <c r="E128" s="259" t="s">
        <v>42</v>
      </c>
      <c r="F128" s="182">
        <v>0.0</v>
      </c>
      <c r="G128" s="73"/>
      <c r="H128" s="182">
        <v>0.0</v>
      </c>
      <c r="I128" s="73"/>
      <c r="J128" s="182">
        <v>0.0</v>
      </c>
      <c r="K128" s="73"/>
      <c r="L128" s="182">
        <v>0.0</v>
      </c>
      <c r="M128" s="73"/>
      <c r="N128" s="182">
        <v>0.0</v>
      </c>
      <c r="O128" s="73"/>
      <c r="P128" s="182">
        <v>0.0</v>
      </c>
      <c r="Q128" s="73"/>
      <c r="R128" s="182">
        <v>0.0</v>
      </c>
      <c r="S128" s="73"/>
      <c r="T128" s="182">
        <v>0.0</v>
      </c>
      <c r="U128" s="73"/>
      <c r="V128" s="182">
        <v>0.0</v>
      </c>
      <c r="W128" s="73"/>
      <c r="X128" s="182">
        <v>0.0</v>
      </c>
      <c r="Y128" s="73"/>
      <c r="Z128" s="182">
        <v>0.0</v>
      </c>
      <c r="AA128" s="73"/>
      <c r="AB128" s="182">
        <v>0.0</v>
      </c>
      <c r="AC128" s="73"/>
      <c r="AD128" s="182">
        <v>0.0</v>
      </c>
      <c r="AE128" s="73"/>
      <c r="AF128" s="182">
        <v>0.0</v>
      </c>
      <c r="AG128" s="73"/>
      <c r="AH128" s="182">
        <v>0.0</v>
      </c>
      <c r="AI128" s="73"/>
      <c r="AJ128" s="182">
        <v>0.0</v>
      </c>
      <c r="AK128" s="73"/>
      <c r="AL128" s="182">
        <v>0.0</v>
      </c>
      <c r="AM128" s="73"/>
      <c r="AN128" s="182">
        <v>0.0</v>
      </c>
      <c r="AO128" s="73"/>
      <c r="AP128" s="183">
        <f t="shared" si="11"/>
        <v>0</v>
      </c>
      <c r="AQ128" s="181">
        <f t="shared" si="10"/>
        <v>0</v>
      </c>
      <c r="AR128" s="181">
        <f t="shared" si="3"/>
        <v>0</v>
      </c>
      <c r="AS128" s="181">
        <f t="shared" si="4"/>
        <v>0</v>
      </c>
      <c r="AT128" s="184" t="str">
        <f t="shared" si="5"/>
        <v/>
      </c>
    </row>
    <row r="129" ht="15.75" customHeight="1">
      <c r="A129" s="262" t="s">
        <v>21</v>
      </c>
      <c r="B129" s="263">
        <f t="shared" si="6"/>
        <v>45054</v>
      </c>
      <c r="C129" s="264">
        <v>5.0</v>
      </c>
      <c r="D129" s="264" t="s">
        <v>36</v>
      </c>
      <c r="E129" s="265" t="s">
        <v>42</v>
      </c>
      <c r="F129" s="266">
        <v>0.0</v>
      </c>
      <c r="G129" s="84"/>
      <c r="H129" s="266">
        <v>0.0</v>
      </c>
      <c r="I129" s="84"/>
      <c r="J129" s="266">
        <v>0.0</v>
      </c>
      <c r="K129" s="84"/>
      <c r="L129" s="266">
        <v>0.0</v>
      </c>
      <c r="M129" s="84"/>
      <c r="N129" s="266">
        <v>120.0</v>
      </c>
      <c r="O129" s="84"/>
      <c r="P129" s="266">
        <v>90.0</v>
      </c>
      <c r="Q129" s="84"/>
      <c r="R129" s="266">
        <v>0.0</v>
      </c>
      <c r="S129" s="84"/>
      <c r="T129" s="266">
        <v>0.0</v>
      </c>
      <c r="U129" s="84"/>
      <c r="V129" s="266">
        <v>0.0</v>
      </c>
      <c r="W129" s="84"/>
      <c r="X129" s="266">
        <v>35.0</v>
      </c>
      <c r="Y129" s="84"/>
      <c r="Z129" s="266">
        <v>3.0</v>
      </c>
      <c r="AA129" s="84"/>
      <c r="AB129" s="266">
        <v>0.0</v>
      </c>
      <c r="AC129" s="84"/>
      <c r="AD129" s="266">
        <v>0.0</v>
      </c>
      <c r="AE129" s="84"/>
      <c r="AF129" s="266">
        <v>0.0</v>
      </c>
      <c r="AG129" s="84"/>
      <c r="AH129" s="266">
        <v>0.0</v>
      </c>
      <c r="AI129" s="84"/>
      <c r="AJ129" s="266">
        <v>0.0</v>
      </c>
      <c r="AK129" s="84"/>
      <c r="AL129" s="266">
        <v>0.0</v>
      </c>
      <c r="AM129" s="84"/>
      <c r="AN129" s="266">
        <v>0.0</v>
      </c>
      <c r="AO129" s="84"/>
      <c r="AP129" s="269">
        <f t="shared" si="11"/>
        <v>5627.7</v>
      </c>
      <c r="AQ129" s="270">
        <f t="shared" si="10"/>
        <v>245</v>
      </c>
      <c r="AR129" s="270">
        <f t="shared" si="3"/>
        <v>0</v>
      </c>
      <c r="AS129" s="270">
        <f t="shared" si="4"/>
        <v>248</v>
      </c>
      <c r="AT129" s="271">
        <f t="shared" si="5"/>
        <v>22.69233871</v>
      </c>
    </row>
    <row r="130" ht="15.75" customHeight="1">
      <c r="A130" s="272" t="s">
        <v>23</v>
      </c>
      <c r="B130" s="229">
        <f t="shared" si="6"/>
        <v>45055</v>
      </c>
      <c r="C130" s="230">
        <v>5.0</v>
      </c>
      <c r="D130" s="230" t="s">
        <v>36</v>
      </c>
      <c r="E130" s="231" t="s">
        <v>42</v>
      </c>
      <c r="F130" s="232">
        <v>0.0</v>
      </c>
      <c r="G130" s="3"/>
      <c r="H130" s="232">
        <v>0.0</v>
      </c>
      <c r="I130" s="3"/>
      <c r="J130" s="232">
        <v>0.0</v>
      </c>
      <c r="K130" s="3"/>
      <c r="L130" s="232">
        <v>0.0</v>
      </c>
      <c r="M130" s="3"/>
      <c r="N130" s="232">
        <v>120.0</v>
      </c>
      <c r="O130" s="3"/>
      <c r="P130" s="232">
        <v>120.0</v>
      </c>
      <c r="Q130" s="3"/>
      <c r="R130" s="232">
        <v>0.0</v>
      </c>
      <c r="S130" s="3"/>
      <c r="T130" s="232">
        <v>0.0</v>
      </c>
      <c r="U130" s="3"/>
      <c r="V130" s="232">
        <v>0.0</v>
      </c>
      <c r="W130" s="3"/>
      <c r="X130" s="232">
        <v>0.0</v>
      </c>
      <c r="Y130" s="3"/>
      <c r="Z130" s="232">
        <v>3.0</v>
      </c>
      <c r="AA130" s="3"/>
      <c r="AB130" s="232">
        <v>0.0</v>
      </c>
      <c r="AC130" s="3"/>
      <c r="AD130" s="232">
        <v>0.0</v>
      </c>
      <c r="AE130" s="3"/>
      <c r="AF130" s="232">
        <v>0.0</v>
      </c>
      <c r="AG130" s="3"/>
      <c r="AH130" s="232">
        <v>0.0</v>
      </c>
      <c r="AI130" s="3"/>
      <c r="AJ130" s="232">
        <v>0.0</v>
      </c>
      <c r="AK130" s="3"/>
      <c r="AL130" s="232">
        <v>0.0</v>
      </c>
      <c r="AM130" s="3"/>
      <c r="AN130" s="232">
        <v>0.0</v>
      </c>
      <c r="AO130" s="3"/>
      <c r="AP130" s="233">
        <f t="shared" si="11"/>
        <v>5686.4</v>
      </c>
      <c r="AQ130" s="234">
        <f t="shared" si="10"/>
        <v>240</v>
      </c>
      <c r="AR130" s="234">
        <f t="shared" si="3"/>
        <v>0</v>
      </c>
      <c r="AS130" s="234">
        <f t="shared" si="4"/>
        <v>243</v>
      </c>
      <c r="AT130" s="274">
        <f t="shared" si="5"/>
        <v>23.40082305</v>
      </c>
    </row>
    <row r="131" ht="15.75" customHeight="1">
      <c r="A131" s="272" t="s">
        <v>24</v>
      </c>
      <c r="B131" s="229">
        <f t="shared" si="6"/>
        <v>45056</v>
      </c>
      <c r="C131" s="230">
        <v>5.0</v>
      </c>
      <c r="D131" s="230" t="s">
        <v>36</v>
      </c>
      <c r="E131" s="231" t="s">
        <v>42</v>
      </c>
      <c r="F131" s="232">
        <v>0.0</v>
      </c>
      <c r="G131" s="3"/>
      <c r="H131" s="232">
        <v>0.0</v>
      </c>
      <c r="I131" s="3"/>
      <c r="J131" s="232">
        <v>0.0</v>
      </c>
      <c r="K131" s="3"/>
      <c r="L131" s="232">
        <v>0.0</v>
      </c>
      <c r="M131" s="3"/>
      <c r="N131" s="232">
        <v>120.0</v>
      </c>
      <c r="O131" s="3"/>
      <c r="P131" s="232">
        <v>120.0</v>
      </c>
      <c r="Q131" s="3"/>
      <c r="R131" s="232">
        <v>0.0</v>
      </c>
      <c r="S131" s="3"/>
      <c r="T131" s="232">
        <v>0.0</v>
      </c>
      <c r="U131" s="3"/>
      <c r="V131" s="232">
        <v>0.0</v>
      </c>
      <c r="W131" s="3"/>
      <c r="X131" s="232">
        <v>0.0</v>
      </c>
      <c r="Y131" s="3"/>
      <c r="Z131" s="232">
        <v>0.0</v>
      </c>
      <c r="AA131" s="3"/>
      <c r="AB131" s="232">
        <v>3.0</v>
      </c>
      <c r="AC131" s="3"/>
      <c r="AD131" s="232">
        <v>0.0</v>
      </c>
      <c r="AE131" s="3"/>
      <c r="AF131" s="232">
        <v>0.0</v>
      </c>
      <c r="AG131" s="3"/>
      <c r="AH131" s="232">
        <v>0.0</v>
      </c>
      <c r="AI131" s="3"/>
      <c r="AJ131" s="232">
        <v>0.0</v>
      </c>
      <c r="AK131" s="3"/>
      <c r="AL131" s="232">
        <v>0.0</v>
      </c>
      <c r="AM131" s="3"/>
      <c r="AN131" s="232">
        <v>0.0</v>
      </c>
      <c r="AO131" s="3"/>
      <c r="AP131" s="233">
        <f t="shared" si="11"/>
        <v>5821.4</v>
      </c>
      <c r="AQ131" s="234">
        <f t="shared" si="10"/>
        <v>240</v>
      </c>
      <c r="AR131" s="234">
        <f t="shared" si="3"/>
        <v>0</v>
      </c>
      <c r="AS131" s="234">
        <f t="shared" si="4"/>
        <v>243</v>
      </c>
      <c r="AT131" s="274">
        <f t="shared" si="5"/>
        <v>23.9563786</v>
      </c>
    </row>
    <row r="132" ht="15.75" customHeight="1">
      <c r="A132" s="272" t="s">
        <v>25</v>
      </c>
      <c r="B132" s="229">
        <f t="shared" si="6"/>
        <v>45057</v>
      </c>
      <c r="C132" s="230">
        <v>5.0</v>
      </c>
      <c r="D132" s="230" t="s">
        <v>36</v>
      </c>
      <c r="E132" s="231" t="s">
        <v>42</v>
      </c>
      <c r="F132" s="232">
        <v>0.0</v>
      </c>
      <c r="G132" s="3"/>
      <c r="H132" s="232">
        <v>0.0</v>
      </c>
      <c r="I132" s="3"/>
      <c r="J132" s="232">
        <v>0.0</v>
      </c>
      <c r="K132" s="3"/>
      <c r="L132" s="232">
        <v>0.0</v>
      </c>
      <c r="M132" s="3"/>
      <c r="N132" s="232">
        <v>120.0</v>
      </c>
      <c r="O132" s="3"/>
      <c r="P132" s="232">
        <v>120.0</v>
      </c>
      <c r="Q132" s="3"/>
      <c r="R132" s="232">
        <v>0.0</v>
      </c>
      <c r="S132" s="3"/>
      <c r="T132" s="232">
        <v>0.0</v>
      </c>
      <c r="U132" s="3"/>
      <c r="V132" s="232">
        <v>0.0</v>
      </c>
      <c r="W132" s="3"/>
      <c r="X132" s="232">
        <v>0.0</v>
      </c>
      <c r="Y132" s="3"/>
      <c r="Z132" s="232">
        <v>3.0</v>
      </c>
      <c r="AA132" s="3"/>
      <c r="AB132" s="232">
        <v>0.0</v>
      </c>
      <c r="AC132" s="3"/>
      <c r="AD132" s="232">
        <v>0.0</v>
      </c>
      <c r="AE132" s="3"/>
      <c r="AF132" s="232">
        <v>0.0</v>
      </c>
      <c r="AG132" s="3"/>
      <c r="AH132" s="232">
        <v>0.0</v>
      </c>
      <c r="AI132" s="3"/>
      <c r="AJ132" s="232">
        <v>0.0</v>
      </c>
      <c r="AK132" s="3"/>
      <c r="AL132" s="232">
        <v>0.0</v>
      </c>
      <c r="AM132" s="3"/>
      <c r="AN132" s="232">
        <v>0.0</v>
      </c>
      <c r="AO132" s="3"/>
      <c r="AP132" s="233">
        <f t="shared" si="11"/>
        <v>5686.4</v>
      </c>
      <c r="AQ132" s="234">
        <f t="shared" si="10"/>
        <v>240</v>
      </c>
      <c r="AR132" s="234">
        <f t="shared" si="3"/>
        <v>0</v>
      </c>
      <c r="AS132" s="234">
        <f t="shared" si="4"/>
        <v>243</v>
      </c>
      <c r="AT132" s="274">
        <f t="shared" si="5"/>
        <v>23.40082305</v>
      </c>
    </row>
    <row r="133" ht="15.75" customHeight="1">
      <c r="A133" s="272" t="s">
        <v>26</v>
      </c>
      <c r="B133" s="229">
        <f t="shared" si="6"/>
        <v>45058</v>
      </c>
      <c r="C133" s="230">
        <v>5.0</v>
      </c>
      <c r="D133" s="230" t="s">
        <v>36</v>
      </c>
      <c r="E133" s="231" t="s">
        <v>42</v>
      </c>
      <c r="F133" s="232">
        <v>0.0</v>
      </c>
      <c r="G133" s="3"/>
      <c r="H133" s="232">
        <v>0.0</v>
      </c>
      <c r="I133" s="3"/>
      <c r="J133" s="232">
        <v>0.0</v>
      </c>
      <c r="K133" s="3"/>
      <c r="L133" s="232">
        <v>0.0</v>
      </c>
      <c r="M133" s="3"/>
      <c r="N133" s="232">
        <v>120.0</v>
      </c>
      <c r="O133" s="3"/>
      <c r="P133" s="232">
        <v>90.0</v>
      </c>
      <c r="Q133" s="3"/>
      <c r="R133" s="232">
        <v>0.0</v>
      </c>
      <c r="S133" s="3"/>
      <c r="T133" s="232">
        <v>0.0</v>
      </c>
      <c r="U133" s="3"/>
      <c r="V133" s="232">
        <v>0.0</v>
      </c>
      <c r="W133" s="3"/>
      <c r="X133" s="232">
        <v>35.0</v>
      </c>
      <c r="Y133" s="3"/>
      <c r="Z133" s="232">
        <v>3.0</v>
      </c>
      <c r="AA133" s="3"/>
      <c r="AB133" s="232">
        <v>0.0</v>
      </c>
      <c r="AC133" s="3"/>
      <c r="AD133" s="232">
        <v>0.0</v>
      </c>
      <c r="AE133" s="3"/>
      <c r="AF133" s="232">
        <v>0.0</v>
      </c>
      <c r="AG133" s="3"/>
      <c r="AH133" s="232">
        <v>0.0</v>
      </c>
      <c r="AI133" s="3"/>
      <c r="AJ133" s="232">
        <v>0.0</v>
      </c>
      <c r="AK133" s="3"/>
      <c r="AL133" s="232">
        <v>0.0</v>
      </c>
      <c r="AM133" s="3"/>
      <c r="AN133" s="232">
        <v>0.0</v>
      </c>
      <c r="AO133" s="3"/>
      <c r="AP133" s="233">
        <f t="shared" si="11"/>
        <v>5627.7</v>
      </c>
      <c r="AQ133" s="234">
        <f t="shared" si="10"/>
        <v>245</v>
      </c>
      <c r="AR133" s="234">
        <f t="shared" si="3"/>
        <v>0</v>
      </c>
      <c r="AS133" s="234">
        <f t="shared" si="4"/>
        <v>248</v>
      </c>
      <c r="AT133" s="274">
        <f t="shared" si="5"/>
        <v>22.69233871</v>
      </c>
    </row>
    <row r="134" ht="15.75" customHeight="1">
      <c r="A134" s="272" t="s">
        <v>27</v>
      </c>
      <c r="B134" s="229">
        <f t="shared" si="6"/>
        <v>45059</v>
      </c>
      <c r="C134" s="230">
        <v>5.0</v>
      </c>
      <c r="D134" s="230" t="s">
        <v>36</v>
      </c>
      <c r="E134" s="231" t="s">
        <v>42</v>
      </c>
      <c r="F134" s="232">
        <v>0.0</v>
      </c>
      <c r="G134" s="3"/>
      <c r="H134" s="232">
        <v>0.0</v>
      </c>
      <c r="I134" s="3"/>
      <c r="J134" s="232">
        <v>0.0</v>
      </c>
      <c r="K134" s="3"/>
      <c r="L134" s="232">
        <v>0.0</v>
      </c>
      <c r="M134" s="3"/>
      <c r="N134" s="232">
        <v>120.0</v>
      </c>
      <c r="O134" s="3"/>
      <c r="P134" s="232">
        <v>120.0</v>
      </c>
      <c r="Q134" s="3"/>
      <c r="R134" s="232">
        <v>0.0</v>
      </c>
      <c r="S134" s="3"/>
      <c r="T134" s="232">
        <v>0.0</v>
      </c>
      <c r="U134" s="3"/>
      <c r="V134" s="232">
        <v>0.0</v>
      </c>
      <c r="W134" s="3"/>
      <c r="X134" s="232">
        <v>0.0</v>
      </c>
      <c r="Y134" s="3"/>
      <c r="Z134" s="232">
        <v>0.0</v>
      </c>
      <c r="AA134" s="3"/>
      <c r="AB134" s="232">
        <v>4.0</v>
      </c>
      <c r="AC134" s="3"/>
      <c r="AD134" s="232">
        <v>0.0</v>
      </c>
      <c r="AE134" s="3"/>
      <c r="AF134" s="232">
        <v>0.0</v>
      </c>
      <c r="AG134" s="3"/>
      <c r="AH134" s="232">
        <v>0.0</v>
      </c>
      <c r="AI134" s="3"/>
      <c r="AJ134" s="232">
        <v>0.0</v>
      </c>
      <c r="AK134" s="3"/>
      <c r="AL134" s="232">
        <v>0.0</v>
      </c>
      <c r="AM134" s="3"/>
      <c r="AN134" s="232">
        <v>0.0</v>
      </c>
      <c r="AO134" s="3"/>
      <c r="AP134" s="233">
        <f t="shared" si="11"/>
        <v>5946.4</v>
      </c>
      <c r="AQ134" s="234">
        <f t="shared" si="10"/>
        <v>240</v>
      </c>
      <c r="AR134" s="234">
        <f t="shared" si="3"/>
        <v>0</v>
      </c>
      <c r="AS134" s="234">
        <f t="shared" si="4"/>
        <v>244</v>
      </c>
      <c r="AT134" s="274">
        <f t="shared" si="5"/>
        <v>24.3704918</v>
      </c>
    </row>
    <row r="135" ht="15.75" customHeight="1">
      <c r="A135" s="272" t="s">
        <v>28</v>
      </c>
      <c r="B135" s="229">
        <f t="shared" si="6"/>
        <v>45060</v>
      </c>
      <c r="C135" s="230">
        <v>5.0</v>
      </c>
      <c r="D135" s="230" t="s">
        <v>36</v>
      </c>
      <c r="E135" s="236" t="s">
        <v>42</v>
      </c>
      <c r="F135" s="237">
        <v>0.0</v>
      </c>
      <c r="G135" s="73"/>
      <c r="H135" s="237">
        <v>0.0</v>
      </c>
      <c r="I135" s="73"/>
      <c r="J135" s="237">
        <v>0.0</v>
      </c>
      <c r="K135" s="73"/>
      <c r="L135" s="237">
        <v>0.0</v>
      </c>
      <c r="M135" s="73"/>
      <c r="N135" s="237">
        <v>0.0</v>
      </c>
      <c r="O135" s="73"/>
      <c r="P135" s="237">
        <v>0.0</v>
      </c>
      <c r="Q135" s="73"/>
      <c r="R135" s="237">
        <v>0.0</v>
      </c>
      <c r="S135" s="73"/>
      <c r="T135" s="237">
        <v>0.0</v>
      </c>
      <c r="U135" s="73"/>
      <c r="V135" s="237">
        <v>0.0</v>
      </c>
      <c r="W135" s="73"/>
      <c r="X135" s="237">
        <v>0.0</v>
      </c>
      <c r="Y135" s="73"/>
      <c r="Z135" s="237">
        <v>0.0</v>
      </c>
      <c r="AA135" s="73"/>
      <c r="AB135" s="237">
        <v>0.0</v>
      </c>
      <c r="AC135" s="73"/>
      <c r="AD135" s="237">
        <v>0.0</v>
      </c>
      <c r="AE135" s="73"/>
      <c r="AF135" s="237">
        <v>0.0</v>
      </c>
      <c r="AG135" s="73"/>
      <c r="AH135" s="237">
        <v>0.0</v>
      </c>
      <c r="AI135" s="73"/>
      <c r="AJ135" s="237">
        <v>0.0</v>
      </c>
      <c r="AK135" s="73"/>
      <c r="AL135" s="237">
        <v>0.0</v>
      </c>
      <c r="AM135" s="73"/>
      <c r="AN135" s="237">
        <v>0.0</v>
      </c>
      <c r="AO135" s="73"/>
      <c r="AP135" s="238">
        <f t="shared" si="11"/>
        <v>0</v>
      </c>
      <c r="AQ135" s="239">
        <f t="shared" si="10"/>
        <v>0</v>
      </c>
      <c r="AR135" s="239">
        <f t="shared" si="3"/>
        <v>0</v>
      </c>
      <c r="AS135" s="239">
        <f t="shared" si="4"/>
        <v>0</v>
      </c>
      <c r="AT135" s="276" t="str">
        <f t="shared" si="5"/>
        <v/>
      </c>
    </row>
    <row r="136" ht="15.75" customHeight="1">
      <c r="A136" s="134" t="s">
        <v>21</v>
      </c>
      <c r="B136" s="135">
        <f t="shared" si="6"/>
        <v>45061</v>
      </c>
      <c r="C136" s="136">
        <v>5.0</v>
      </c>
      <c r="D136" s="136" t="s">
        <v>37</v>
      </c>
      <c r="E136" s="174" t="s">
        <v>42</v>
      </c>
      <c r="F136" s="138">
        <v>0.0</v>
      </c>
      <c r="G136" s="84"/>
      <c r="H136" s="138">
        <v>0.0</v>
      </c>
      <c r="I136" s="84"/>
      <c r="J136" s="138">
        <v>0.0</v>
      </c>
      <c r="K136" s="84"/>
      <c r="L136" s="138">
        <v>0.0</v>
      </c>
      <c r="M136" s="84"/>
      <c r="N136" s="138">
        <v>120.0</v>
      </c>
      <c r="O136" s="84"/>
      <c r="P136" s="138">
        <v>120.0</v>
      </c>
      <c r="Q136" s="84"/>
      <c r="R136" s="138">
        <v>0.0</v>
      </c>
      <c r="S136" s="84"/>
      <c r="T136" s="138">
        <v>0.0</v>
      </c>
      <c r="U136" s="84"/>
      <c r="V136" s="138">
        <v>0.0</v>
      </c>
      <c r="W136" s="84"/>
      <c r="X136" s="138">
        <v>0.0</v>
      </c>
      <c r="Y136" s="84"/>
      <c r="Z136" s="138">
        <v>3.0</v>
      </c>
      <c r="AA136" s="84"/>
      <c r="AB136" s="138">
        <v>0.0</v>
      </c>
      <c r="AC136" s="84"/>
      <c r="AD136" s="138">
        <v>0.0</v>
      </c>
      <c r="AE136" s="84"/>
      <c r="AF136" s="138">
        <v>0.0</v>
      </c>
      <c r="AG136" s="84"/>
      <c r="AH136" s="138">
        <v>0.0</v>
      </c>
      <c r="AI136" s="84"/>
      <c r="AJ136" s="138">
        <v>0.0</v>
      </c>
      <c r="AK136" s="84"/>
      <c r="AL136" s="138">
        <v>0.0</v>
      </c>
      <c r="AM136" s="84"/>
      <c r="AN136" s="138">
        <v>0.0</v>
      </c>
      <c r="AO136" s="84"/>
      <c r="AP136" s="140">
        <f t="shared" si="11"/>
        <v>5686.4</v>
      </c>
      <c r="AQ136" s="141">
        <f t="shared" si="10"/>
        <v>240</v>
      </c>
      <c r="AR136" s="141">
        <f t="shared" si="3"/>
        <v>0</v>
      </c>
      <c r="AS136" s="141">
        <f t="shared" si="4"/>
        <v>243</v>
      </c>
      <c r="AT136" s="142">
        <f t="shared" si="5"/>
        <v>23.40082305</v>
      </c>
    </row>
    <row r="137" ht="15.75" customHeight="1">
      <c r="A137" s="143" t="s">
        <v>23</v>
      </c>
      <c r="B137" s="144">
        <f t="shared" si="6"/>
        <v>45062</v>
      </c>
      <c r="C137" s="145">
        <v>5.0</v>
      </c>
      <c r="D137" s="145" t="s">
        <v>37</v>
      </c>
      <c r="E137" s="175" t="s">
        <v>42</v>
      </c>
      <c r="F137" s="147">
        <v>0.0</v>
      </c>
      <c r="G137" s="3"/>
      <c r="H137" s="147">
        <v>0.0</v>
      </c>
      <c r="I137" s="3"/>
      <c r="J137" s="147">
        <v>0.0</v>
      </c>
      <c r="K137" s="3"/>
      <c r="L137" s="147">
        <v>0.0</v>
      </c>
      <c r="M137" s="3"/>
      <c r="N137" s="147">
        <v>120.0</v>
      </c>
      <c r="O137" s="3"/>
      <c r="P137" s="147">
        <v>90.0</v>
      </c>
      <c r="Q137" s="3"/>
      <c r="R137" s="147">
        <v>0.0</v>
      </c>
      <c r="S137" s="3"/>
      <c r="T137" s="147">
        <v>0.0</v>
      </c>
      <c r="U137" s="3"/>
      <c r="V137" s="147">
        <v>0.0</v>
      </c>
      <c r="W137" s="3"/>
      <c r="X137" s="147">
        <v>35.0</v>
      </c>
      <c r="Y137" s="3"/>
      <c r="Z137" s="147">
        <v>3.0</v>
      </c>
      <c r="AA137" s="3"/>
      <c r="AB137" s="147">
        <v>0.0</v>
      </c>
      <c r="AC137" s="3"/>
      <c r="AD137" s="147">
        <v>0.0</v>
      </c>
      <c r="AE137" s="3"/>
      <c r="AF137" s="147">
        <v>0.0</v>
      </c>
      <c r="AG137" s="3"/>
      <c r="AH137" s="147">
        <v>0.0</v>
      </c>
      <c r="AI137" s="3"/>
      <c r="AJ137" s="147">
        <v>0.0</v>
      </c>
      <c r="AK137" s="3"/>
      <c r="AL137" s="147">
        <v>0.0</v>
      </c>
      <c r="AM137" s="3"/>
      <c r="AN137" s="147">
        <v>0.0</v>
      </c>
      <c r="AO137" s="3"/>
      <c r="AP137" s="149">
        <f t="shared" si="11"/>
        <v>5627.7</v>
      </c>
      <c r="AQ137" s="150">
        <f t="shared" si="10"/>
        <v>245</v>
      </c>
      <c r="AR137" s="150">
        <f t="shared" si="3"/>
        <v>0</v>
      </c>
      <c r="AS137" s="150">
        <f t="shared" si="4"/>
        <v>248</v>
      </c>
      <c r="AT137" s="151">
        <f t="shared" si="5"/>
        <v>22.69233871</v>
      </c>
    </row>
    <row r="138" ht="15.75" customHeight="1">
      <c r="A138" s="143" t="s">
        <v>24</v>
      </c>
      <c r="B138" s="144">
        <f t="shared" si="6"/>
        <v>45063</v>
      </c>
      <c r="C138" s="145">
        <v>5.0</v>
      </c>
      <c r="D138" s="145" t="s">
        <v>37</v>
      </c>
      <c r="E138" s="175" t="s">
        <v>42</v>
      </c>
      <c r="F138" s="147">
        <v>0.0</v>
      </c>
      <c r="G138" s="3"/>
      <c r="H138" s="147">
        <v>0.0</v>
      </c>
      <c r="I138" s="3"/>
      <c r="J138" s="147">
        <v>0.0</v>
      </c>
      <c r="K138" s="3"/>
      <c r="L138" s="147">
        <v>0.0</v>
      </c>
      <c r="M138" s="3"/>
      <c r="N138" s="147">
        <v>120.0</v>
      </c>
      <c r="O138" s="3"/>
      <c r="P138" s="147">
        <v>120.0</v>
      </c>
      <c r="Q138" s="3"/>
      <c r="R138" s="147">
        <v>0.0</v>
      </c>
      <c r="S138" s="3"/>
      <c r="T138" s="147">
        <v>0.0</v>
      </c>
      <c r="U138" s="3"/>
      <c r="V138" s="147">
        <v>0.0</v>
      </c>
      <c r="W138" s="3"/>
      <c r="X138" s="147">
        <v>0.0</v>
      </c>
      <c r="Y138" s="3"/>
      <c r="Z138" s="147">
        <v>3.0</v>
      </c>
      <c r="AA138" s="3"/>
      <c r="AB138" s="147">
        <v>0.0</v>
      </c>
      <c r="AC138" s="3"/>
      <c r="AD138" s="147">
        <v>0.0</v>
      </c>
      <c r="AE138" s="3"/>
      <c r="AF138" s="147">
        <v>0.0</v>
      </c>
      <c r="AG138" s="3"/>
      <c r="AH138" s="147">
        <v>0.0</v>
      </c>
      <c r="AI138" s="3"/>
      <c r="AJ138" s="147">
        <v>0.0</v>
      </c>
      <c r="AK138" s="3"/>
      <c r="AL138" s="147">
        <v>0.0</v>
      </c>
      <c r="AM138" s="3"/>
      <c r="AN138" s="147">
        <v>0.0</v>
      </c>
      <c r="AO138" s="3"/>
      <c r="AP138" s="149">
        <f t="shared" si="11"/>
        <v>5686.4</v>
      </c>
      <c r="AQ138" s="150">
        <f t="shared" si="10"/>
        <v>240</v>
      </c>
      <c r="AR138" s="150">
        <f t="shared" si="3"/>
        <v>0</v>
      </c>
      <c r="AS138" s="150">
        <f t="shared" si="4"/>
        <v>243</v>
      </c>
      <c r="AT138" s="151">
        <f t="shared" si="5"/>
        <v>23.40082305</v>
      </c>
    </row>
    <row r="139" ht="15.75" customHeight="1">
      <c r="A139" s="143" t="s">
        <v>25</v>
      </c>
      <c r="B139" s="144">
        <f t="shared" si="6"/>
        <v>45064</v>
      </c>
      <c r="C139" s="145">
        <v>5.0</v>
      </c>
      <c r="D139" s="145" t="s">
        <v>37</v>
      </c>
      <c r="E139" s="175" t="s">
        <v>42</v>
      </c>
      <c r="F139" s="147">
        <v>0.0</v>
      </c>
      <c r="G139" s="3"/>
      <c r="H139" s="147">
        <v>0.0</v>
      </c>
      <c r="I139" s="3"/>
      <c r="J139" s="147">
        <v>0.0</v>
      </c>
      <c r="K139" s="3"/>
      <c r="L139" s="147">
        <v>0.0</v>
      </c>
      <c r="M139" s="3"/>
      <c r="N139" s="147">
        <v>120.0</v>
      </c>
      <c r="O139" s="3"/>
      <c r="P139" s="147">
        <v>120.0</v>
      </c>
      <c r="Q139" s="3"/>
      <c r="R139" s="147">
        <v>0.0</v>
      </c>
      <c r="S139" s="3"/>
      <c r="T139" s="147">
        <v>0.0</v>
      </c>
      <c r="U139" s="3"/>
      <c r="V139" s="147">
        <v>0.0</v>
      </c>
      <c r="W139" s="3"/>
      <c r="X139" s="147">
        <v>0.0</v>
      </c>
      <c r="Y139" s="3"/>
      <c r="Z139" s="147">
        <v>0.0</v>
      </c>
      <c r="AA139" s="3"/>
      <c r="AB139" s="147">
        <v>3.0</v>
      </c>
      <c r="AC139" s="3"/>
      <c r="AD139" s="147">
        <v>0.0</v>
      </c>
      <c r="AE139" s="3"/>
      <c r="AF139" s="147">
        <v>0.0</v>
      </c>
      <c r="AG139" s="3"/>
      <c r="AH139" s="147">
        <v>0.0</v>
      </c>
      <c r="AI139" s="3"/>
      <c r="AJ139" s="147">
        <v>0.0</v>
      </c>
      <c r="AK139" s="3"/>
      <c r="AL139" s="147">
        <v>0.0</v>
      </c>
      <c r="AM139" s="3"/>
      <c r="AN139" s="147">
        <v>0.0</v>
      </c>
      <c r="AO139" s="3"/>
      <c r="AP139" s="149">
        <f t="shared" si="11"/>
        <v>5821.4</v>
      </c>
      <c r="AQ139" s="150">
        <f t="shared" si="10"/>
        <v>240</v>
      </c>
      <c r="AR139" s="150">
        <f t="shared" si="3"/>
        <v>0</v>
      </c>
      <c r="AS139" s="150">
        <f t="shared" si="4"/>
        <v>243</v>
      </c>
      <c r="AT139" s="151">
        <f t="shared" si="5"/>
        <v>23.9563786</v>
      </c>
    </row>
    <row r="140" ht="15.75" customHeight="1">
      <c r="A140" s="143" t="s">
        <v>26</v>
      </c>
      <c r="B140" s="144">
        <f t="shared" si="6"/>
        <v>45065</v>
      </c>
      <c r="C140" s="145">
        <v>5.0</v>
      </c>
      <c r="D140" s="145" t="s">
        <v>37</v>
      </c>
      <c r="E140" s="175" t="s">
        <v>42</v>
      </c>
      <c r="F140" s="147">
        <v>0.0</v>
      </c>
      <c r="G140" s="3"/>
      <c r="H140" s="147">
        <v>0.0</v>
      </c>
      <c r="I140" s="3"/>
      <c r="J140" s="147">
        <v>0.0</v>
      </c>
      <c r="K140" s="3"/>
      <c r="L140" s="147">
        <v>0.0</v>
      </c>
      <c r="M140" s="3"/>
      <c r="N140" s="147">
        <v>120.0</v>
      </c>
      <c r="O140" s="3"/>
      <c r="P140" s="147">
        <v>90.0</v>
      </c>
      <c r="Q140" s="3"/>
      <c r="R140" s="147">
        <v>0.0</v>
      </c>
      <c r="S140" s="3"/>
      <c r="T140" s="147">
        <v>0.0</v>
      </c>
      <c r="U140" s="3"/>
      <c r="V140" s="147">
        <v>0.0</v>
      </c>
      <c r="W140" s="3"/>
      <c r="X140" s="147">
        <v>35.0</v>
      </c>
      <c r="Y140" s="3"/>
      <c r="Z140" s="147">
        <v>3.0</v>
      </c>
      <c r="AA140" s="3"/>
      <c r="AB140" s="147">
        <v>0.0</v>
      </c>
      <c r="AC140" s="3"/>
      <c r="AD140" s="147">
        <v>0.0</v>
      </c>
      <c r="AE140" s="3"/>
      <c r="AF140" s="147">
        <v>0.0</v>
      </c>
      <c r="AG140" s="3"/>
      <c r="AH140" s="147">
        <v>0.0</v>
      </c>
      <c r="AI140" s="3"/>
      <c r="AJ140" s="147">
        <v>0.0</v>
      </c>
      <c r="AK140" s="3"/>
      <c r="AL140" s="147">
        <v>0.0</v>
      </c>
      <c r="AM140" s="3"/>
      <c r="AN140" s="147">
        <v>0.0</v>
      </c>
      <c r="AO140" s="3"/>
      <c r="AP140" s="149">
        <f t="shared" si="11"/>
        <v>5627.7</v>
      </c>
      <c r="AQ140" s="150">
        <f t="shared" si="10"/>
        <v>245</v>
      </c>
      <c r="AR140" s="150">
        <f t="shared" si="3"/>
        <v>0</v>
      </c>
      <c r="AS140" s="150">
        <f t="shared" si="4"/>
        <v>248</v>
      </c>
      <c r="AT140" s="151">
        <f t="shared" si="5"/>
        <v>22.69233871</v>
      </c>
    </row>
    <row r="141" ht="15.75" customHeight="1">
      <c r="A141" s="143" t="s">
        <v>27</v>
      </c>
      <c r="B141" s="144">
        <f t="shared" si="6"/>
        <v>45066</v>
      </c>
      <c r="C141" s="145">
        <v>5.0</v>
      </c>
      <c r="D141" s="145" t="s">
        <v>37</v>
      </c>
      <c r="E141" s="175" t="s">
        <v>43</v>
      </c>
      <c r="F141" s="147">
        <v>0.0</v>
      </c>
      <c r="G141" s="3"/>
      <c r="H141" s="147">
        <v>0.0</v>
      </c>
      <c r="I141" s="3"/>
      <c r="J141" s="147">
        <v>0.0</v>
      </c>
      <c r="K141" s="3"/>
      <c r="L141" s="147">
        <v>0.0</v>
      </c>
      <c r="M141" s="3"/>
      <c r="N141" s="147">
        <v>0.0</v>
      </c>
      <c r="O141" s="3"/>
      <c r="P141" s="147">
        <v>0.0</v>
      </c>
      <c r="Q141" s="3"/>
      <c r="R141" s="147">
        <v>0.0</v>
      </c>
      <c r="S141" s="3"/>
      <c r="T141" s="147">
        <v>0.0</v>
      </c>
      <c r="U141" s="3"/>
      <c r="V141" s="147">
        <v>0.0</v>
      </c>
      <c r="W141" s="3"/>
      <c r="X141" s="147">
        <v>0.0</v>
      </c>
      <c r="Y141" s="3"/>
      <c r="Z141" s="147">
        <v>0.0</v>
      </c>
      <c r="AA141" s="3"/>
      <c r="AB141" s="147">
        <v>0.0</v>
      </c>
      <c r="AC141" s="3"/>
      <c r="AD141" s="147">
        <v>0.0</v>
      </c>
      <c r="AE141" s="3"/>
      <c r="AF141" s="147">
        <v>0.0</v>
      </c>
      <c r="AG141" s="3"/>
      <c r="AH141" s="147">
        <v>0.0</v>
      </c>
      <c r="AI141" s="3"/>
      <c r="AJ141" s="147">
        <v>0.0</v>
      </c>
      <c r="AK141" s="3"/>
      <c r="AL141" s="147">
        <v>0.0</v>
      </c>
      <c r="AM141" s="3"/>
      <c r="AN141" s="147">
        <v>0.0</v>
      </c>
      <c r="AO141" s="3"/>
      <c r="AP141" s="149">
        <f t="shared" si="11"/>
        <v>0</v>
      </c>
      <c r="AQ141" s="150">
        <f t="shared" si="10"/>
        <v>0</v>
      </c>
      <c r="AR141" s="150">
        <f t="shared" si="3"/>
        <v>0</v>
      </c>
      <c r="AS141" s="150">
        <f t="shared" si="4"/>
        <v>0</v>
      </c>
      <c r="AT141" s="151" t="str">
        <f t="shared" si="5"/>
        <v/>
      </c>
    </row>
    <row r="142" ht="15.75" customHeight="1">
      <c r="A142" s="176" t="s">
        <v>28</v>
      </c>
      <c r="B142" s="282">
        <f t="shared" si="6"/>
        <v>45067</v>
      </c>
      <c r="C142" s="283">
        <v>5.0</v>
      </c>
      <c r="D142" s="283" t="s">
        <v>37</v>
      </c>
      <c r="E142" s="284" t="s">
        <v>42</v>
      </c>
      <c r="F142" s="285">
        <v>0.0</v>
      </c>
      <c r="G142" s="104"/>
      <c r="H142" s="285">
        <v>0.0</v>
      </c>
      <c r="I142" s="104"/>
      <c r="J142" s="285">
        <v>0.0</v>
      </c>
      <c r="K142" s="104"/>
      <c r="L142" s="285">
        <v>0.0</v>
      </c>
      <c r="M142" s="104"/>
      <c r="N142" s="285">
        <v>0.0</v>
      </c>
      <c r="O142" s="104"/>
      <c r="P142" s="285">
        <v>0.0</v>
      </c>
      <c r="Q142" s="104"/>
      <c r="R142" s="285">
        <v>0.0</v>
      </c>
      <c r="S142" s="104"/>
      <c r="T142" s="285">
        <v>0.0</v>
      </c>
      <c r="U142" s="104"/>
      <c r="V142" s="285">
        <v>0.0</v>
      </c>
      <c r="W142" s="104"/>
      <c r="X142" s="285">
        <v>0.0</v>
      </c>
      <c r="Y142" s="104"/>
      <c r="Z142" s="285">
        <v>0.0</v>
      </c>
      <c r="AA142" s="104"/>
      <c r="AB142" s="285">
        <v>0.0</v>
      </c>
      <c r="AC142" s="104"/>
      <c r="AD142" s="285">
        <v>0.0</v>
      </c>
      <c r="AE142" s="104"/>
      <c r="AF142" s="285">
        <v>0.0</v>
      </c>
      <c r="AG142" s="104"/>
      <c r="AH142" s="285">
        <v>0.0</v>
      </c>
      <c r="AI142" s="104"/>
      <c r="AJ142" s="285">
        <v>0.0</v>
      </c>
      <c r="AK142" s="104"/>
      <c r="AL142" s="285">
        <v>0.0</v>
      </c>
      <c r="AM142" s="104"/>
      <c r="AN142" s="285">
        <v>0.0</v>
      </c>
      <c r="AO142" s="104"/>
      <c r="AP142" s="286">
        <f t="shared" si="11"/>
        <v>0</v>
      </c>
      <c r="AQ142" s="287">
        <f t="shared" si="10"/>
        <v>0</v>
      </c>
      <c r="AR142" s="287">
        <f t="shared" si="3"/>
        <v>0</v>
      </c>
      <c r="AS142" s="287">
        <f t="shared" si="4"/>
        <v>0</v>
      </c>
      <c r="AT142" s="288" t="str">
        <f t="shared" si="5"/>
        <v/>
      </c>
    </row>
    <row r="143" ht="15.75" customHeight="1">
      <c r="A143" s="108" t="s">
        <v>21</v>
      </c>
      <c r="B143" s="109">
        <f t="shared" si="6"/>
        <v>45068</v>
      </c>
      <c r="C143" s="110">
        <v>6.0</v>
      </c>
      <c r="D143" s="110" t="s">
        <v>22</v>
      </c>
      <c r="E143" s="111" t="s">
        <v>42</v>
      </c>
      <c r="F143" s="112">
        <v>0.0</v>
      </c>
      <c r="G143" s="84"/>
      <c r="H143" s="112">
        <v>0.0</v>
      </c>
      <c r="I143" s="84"/>
      <c r="J143" s="112">
        <v>0.0</v>
      </c>
      <c r="K143" s="84"/>
      <c r="L143" s="112">
        <v>0.0</v>
      </c>
      <c r="M143" s="84"/>
      <c r="N143" s="112">
        <v>120.0</v>
      </c>
      <c r="O143" s="84"/>
      <c r="P143" s="112">
        <v>120.0</v>
      </c>
      <c r="Q143" s="84"/>
      <c r="R143" s="112">
        <v>0.0</v>
      </c>
      <c r="S143" s="84"/>
      <c r="T143" s="112">
        <v>0.0</v>
      </c>
      <c r="U143" s="84"/>
      <c r="V143" s="112">
        <v>0.0</v>
      </c>
      <c r="W143" s="84"/>
      <c r="X143" s="112">
        <v>0.0</v>
      </c>
      <c r="Y143" s="84"/>
      <c r="Z143" s="112">
        <v>3.0</v>
      </c>
      <c r="AA143" s="84"/>
      <c r="AB143" s="112">
        <v>0.0</v>
      </c>
      <c r="AC143" s="84"/>
      <c r="AD143" s="112">
        <v>0.0</v>
      </c>
      <c r="AE143" s="84"/>
      <c r="AF143" s="112">
        <v>0.0</v>
      </c>
      <c r="AG143" s="84"/>
      <c r="AH143" s="112">
        <v>0.0</v>
      </c>
      <c r="AI143" s="84"/>
      <c r="AJ143" s="112">
        <v>0.0</v>
      </c>
      <c r="AK143" s="84"/>
      <c r="AL143" s="112">
        <v>0.0</v>
      </c>
      <c r="AM143" s="84"/>
      <c r="AN143" s="112">
        <v>0.0</v>
      </c>
      <c r="AO143" s="84"/>
      <c r="AP143" s="114">
        <f t="shared" si="11"/>
        <v>5686.4</v>
      </c>
      <c r="AQ143" s="115">
        <f t="shared" si="10"/>
        <v>240</v>
      </c>
      <c r="AR143" s="115">
        <f t="shared" si="3"/>
        <v>0</v>
      </c>
      <c r="AS143" s="115">
        <f t="shared" si="4"/>
        <v>243</v>
      </c>
      <c r="AT143" s="116">
        <f t="shared" si="5"/>
        <v>23.40082305</v>
      </c>
    </row>
    <row r="144" ht="15.75" customHeight="1">
      <c r="A144" s="117" t="s">
        <v>23</v>
      </c>
      <c r="B144" s="118">
        <f t="shared" si="6"/>
        <v>45069</v>
      </c>
      <c r="C144" s="119">
        <v>6.0</v>
      </c>
      <c r="D144" s="119" t="s">
        <v>22</v>
      </c>
      <c r="E144" s="120" t="s">
        <v>42</v>
      </c>
      <c r="F144" s="121">
        <v>0.0</v>
      </c>
      <c r="G144" s="3"/>
      <c r="H144" s="121">
        <v>0.0</v>
      </c>
      <c r="I144" s="3"/>
      <c r="J144" s="121">
        <v>0.0</v>
      </c>
      <c r="K144" s="3"/>
      <c r="L144" s="121">
        <v>0.0</v>
      </c>
      <c r="M144" s="3"/>
      <c r="N144" s="121">
        <v>120.0</v>
      </c>
      <c r="O144" s="3"/>
      <c r="P144" s="121">
        <v>90.0</v>
      </c>
      <c r="Q144" s="3"/>
      <c r="R144" s="121">
        <v>0.0</v>
      </c>
      <c r="S144" s="3"/>
      <c r="T144" s="121">
        <v>0.0</v>
      </c>
      <c r="U144" s="3"/>
      <c r="V144" s="121">
        <v>0.0</v>
      </c>
      <c r="W144" s="3"/>
      <c r="X144" s="121">
        <v>35.0</v>
      </c>
      <c r="Y144" s="3"/>
      <c r="Z144" s="121">
        <v>3.0</v>
      </c>
      <c r="AA144" s="3"/>
      <c r="AB144" s="121">
        <v>0.0</v>
      </c>
      <c r="AC144" s="3"/>
      <c r="AD144" s="121">
        <v>0.0</v>
      </c>
      <c r="AE144" s="3"/>
      <c r="AF144" s="121">
        <v>0.0</v>
      </c>
      <c r="AG144" s="3"/>
      <c r="AH144" s="121">
        <v>0.0</v>
      </c>
      <c r="AI144" s="3"/>
      <c r="AJ144" s="121">
        <v>0.0</v>
      </c>
      <c r="AK144" s="3"/>
      <c r="AL144" s="121">
        <v>0.0</v>
      </c>
      <c r="AM144" s="3"/>
      <c r="AN144" s="121">
        <v>0.0</v>
      </c>
      <c r="AO144" s="3"/>
      <c r="AP144" s="123">
        <f t="shared" si="11"/>
        <v>5627.7</v>
      </c>
      <c r="AQ144" s="124">
        <f t="shared" si="10"/>
        <v>245</v>
      </c>
      <c r="AR144" s="124">
        <f t="shared" si="3"/>
        <v>0</v>
      </c>
      <c r="AS144" s="124">
        <f t="shared" si="4"/>
        <v>248</v>
      </c>
      <c r="AT144" s="125">
        <f t="shared" si="5"/>
        <v>22.69233871</v>
      </c>
    </row>
    <row r="145" ht="15.75" customHeight="1">
      <c r="A145" s="117" t="s">
        <v>24</v>
      </c>
      <c r="B145" s="118">
        <f t="shared" si="6"/>
        <v>45070</v>
      </c>
      <c r="C145" s="119">
        <v>6.0</v>
      </c>
      <c r="D145" s="119" t="s">
        <v>22</v>
      </c>
      <c r="E145" s="120" t="s">
        <v>42</v>
      </c>
      <c r="F145" s="121">
        <v>0.0</v>
      </c>
      <c r="G145" s="3"/>
      <c r="H145" s="121">
        <v>0.0</v>
      </c>
      <c r="I145" s="3"/>
      <c r="J145" s="121">
        <v>0.0</v>
      </c>
      <c r="K145" s="3"/>
      <c r="L145" s="121">
        <v>0.0</v>
      </c>
      <c r="M145" s="3"/>
      <c r="N145" s="121">
        <v>120.0</v>
      </c>
      <c r="O145" s="3"/>
      <c r="P145" s="121">
        <v>120.0</v>
      </c>
      <c r="Q145" s="3"/>
      <c r="R145" s="121">
        <v>0.0</v>
      </c>
      <c r="S145" s="3"/>
      <c r="T145" s="121">
        <v>0.0</v>
      </c>
      <c r="U145" s="3"/>
      <c r="V145" s="121">
        <v>0.0</v>
      </c>
      <c r="W145" s="3"/>
      <c r="X145" s="121">
        <v>0.0</v>
      </c>
      <c r="Y145" s="3"/>
      <c r="Z145" s="121">
        <v>3.0</v>
      </c>
      <c r="AA145" s="3"/>
      <c r="AB145" s="121">
        <v>0.0</v>
      </c>
      <c r="AC145" s="3"/>
      <c r="AD145" s="121">
        <v>0.0</v>
      </c>
      <c r="AE145" s="3"/>
      <c r="AF145" s="121">
        <v>0.0</v>
      </c>
      <c r="AG145" s="3"/>
      <c r="AH145" s="121">
        <v>0.0</v>
      </c>
      <c r="AI145" s="3"/>
      <c r="AJ145" s="121">
        <v>0.0</v>
      </c>
      <c r="AK145" s="3"/>
      <c r="AL145" s="121">
        <v>0.0</v>
      </c>
      <c r="AM145" s="3"/>
      <c r="AN145" s="121">
        <v>0.0</v>
      </c>
      <c r="AO145" s="3"/>
      <c r="AP145" s="123">
        <f t="shared" si="11"/>
        <v>5686.4</v>
      </c>
      <c r="AQ145" s="124">
        <f t="shared" si="10"/>
        <v>240</v>
      </c>
      <c r="AR145" s="124">
        <f t="shared" si="3"/>
        <v>0</v>
      </c>
      <c r="AS145" s="124">
        <f t="shared" si="4"/>
        <v>243</v>
      </c>
      <c r="AT145" s="125">
        <f t="shared" si="5"/>
        <v>23.40082305</v>
      </c>
    </row>
    <row r="146" ht="15.75" customHeight="1">
      <c r="A146" s="117" t="s">
        <v>25</v>
      </c>
      <c r="B146" s="118">
        <f t="shared" si="6"/>
        <v>45071</v>
      </c>
      <c r="C146" s="119">
        <v>6.0</v>
      </c>
      <c r="D146" s="119" t="s">
        <v>22</v>
      </c>
      <c r="E146" s="120" t="s">
        <v>42</v>
      </c>
      <c r="F146" s="121">
        <v>0.0</v>
      </c>
      <c r="G146" s="3"/>
      <c r="H146" s="121">
        <v>0.0</v>
      </c>
      <c r="I146" s="3"/>
      <c r="J146" s="121">
        <v>0.0</v>
      </c>
      <c r="K146" s="3"/>
      <c r="L146" s="121">
        <v>0.0</v>
      </c>
      <c r="M146" s="3"/>
      <c r="N146" s="121">
        <v>120.0</v>
      </c>
      <c r="O146" s="3"/>
      <c r="P146" s="121">
        <v>120.0</v>
      </c>
      <c r="Q146" s="3"/>
      <c r="R146" s="121">
        <v>0.0</v>
      </c>
      <c r="S146" s="3"/>
      <c r="T146" s="121">
        <v>0.0</v>
      </c>
      <c r="U146" s="3"/>
      <c r="V146" s="121">
        <v>0.0</v>
      </c>
      <c r="W146" s="3"/>
      <c r="X146" s="121">
        <v>0.0</v>
      </c>
      <c r="Y146" s="3"/>
      <c r="Z146" s="121">
        <v>3.0</v>
      </c>
      <c r="AA146" s="3"/>
      <c r="AB146" s="121">
        <v>0.0</v>
      </c>
      <c r="AC146" s="3"/>
      <c r="AD146" s="121">
        <v>0.0</v>
      </c>
      <c r="AE146" s="3"/>
      <c r="AF146" s="121">
        <v>0.0</v>
      </c>
      <c r="AG146" s="3"/>
      <c r="AH146" s="121">
        <v>0.0</v>
      </c>
      <c r="AI146" s="3"/>
      <c r="AJ146" s="121">
        <v>0.0</v>
      </c>
      <c r="AK146" s="3"/>
      <c r="AL146" s="121">
        <v>0.0</v>
      </c>
      <c r="AM146" s="3"/>
      <c r="AN146" s="121">
        <v>0.0</v>
      </c>
      <c r="AO146" s="3"/>
      <c r="AP146" s="123">
        <f t="shared" si="11"/>
        <v>5686.4</v>
      </c>
      <c r="AQ146" s="124">
        <f t="shared" si="10"/>
        <v>240</v>
      </c>
      <c r="AR146" s="124">
        <f t="shared" si="3"/>
        <v>0</v>
      </c>
      <c r="AS146" s="124">
        <f t="shared" si="4"/>
        <v>243</v>
      </c>
      <c r="AT146" s="125">
        <f t="shared" si="5"/>
        <v>23.40082305</v>
      </c>
    </row>
    <row r="147" ht="15.75" customHeight="1">
      <c r="A147" s="117" t="s">
        <v>26</v>
      </c>
      <c r="B147" s="118">
        <f t="shared" si="6"/>
        <v>45072</v>
      </c>
      <c r="C147" s="119">
        <v>6.0</v>
      </c>
      <c r="D147" s="119" t="s">
        <v>22</v>
      </c>
      <c r="E147" s="120" t="s">
        <v>42</v>
      </c>
      <c r="F147" s="121">
        <v>0.0</v>
      </c>
      <c r="G147" s="3"/>
      <c r="H147" s="121">
        <v>0.0</v>
      </c>
      <c r="I147" s="3"/>
      <c r="J147" s="121">
        <v>0.0</v>
      </c>
      <c r="K147" s="3"/>
      <c r="L147" s="121">
        <v>0.0</v>
      </c>
      <c r="M147" s="3"/>
      <c r="N147" s="121">
        <v>120.0</v>
      </c>
      <c r="O147" s="3"/>
      <c r="P147" s="121">
        <v>90.0</v>
      </c>
      <c r="Q147" s="3"/>
      <c r="R147" s="121">
        <v>0.0</v>
      </c>
      <c r="S147" s="3"/>
      <c r="T147" s="121">
        <v>0.0</v>
      </c>
      <c r="U147" s="3"/>
      <c r="V147" s="121">
        <v>0.0</v>
      </c>
      <c r="W147" s="3"/>
      <c r="X147" s="121">
        <v>35.0</v>
      </c>
      <c r="Y147" s="3"/>
      <c r="Z147" s="121">
        <v>3.0</v>
      </c>
      <c r="AA147" s="3"/>
      <c r="AB147" s="121">
        <v>0.0</v>
      </c>
      <c r="AC147" s="3"/>
      <c r="AD147" s="121">
        <v>0.0</v>
      </c>
      <c r="AE147" s="3"/>
      <c r="AF147" s="121">
        <v>0.0</v>
      </c>
      <c r="AG147" s="3"/>
      <c r="AH147" s="121">
        <v>0.0</v>
      </c>
      <c r="AI147" s="3"/>
      <c r="AJ147" s="121">
        <v>0.0</v>
      </c>
      <c r="AK147" s="3"/>
      <c r="AL147" s="121">
        <v>0.0</v>
      </c>
      <c r="AM147" s="3"/>
      <c r="AN147" s="121">
        <v>0.0</v>
      </c>
      <c r="AO147" s="3"/>
      <c r="AP147" s="123">
        <f t="shared" si="11"/>
        <v>5627.7</v>
      </c>
      <c r="AQ147" s="124">
        <f t="shared" si="10"/>
        <v>245</v>
      </c>
      <c r="AR147" s="124">
        <f t="shared" si="3"/>
        <v>0</v>
      </c>
      <c r="AS147" s="124">
        <f t="shared" si="4"/>
        <v>248</v>
      </c>
      <c r="AT147" s="125">
        <f t="shared" si="5"/>
        <v>22.69233871</v>
      </c>
    </row>
    <row r="148" ht="15.75" customHeight="1">
      <c r="A148" s="117" t="s">
        <v>27</v>
      </c>
      <c r="B148" s="118">
        <f t="shared" si="6"/>
        <v>45073</v>
      </c>
      <c r="C148" s="119">
        <v>6.0</v>
      </c>
      <c r="D148" s="119" t="s">
        <v>22</v>
      </c>
      <c r="E148" s="120" t="s">
        <v>42</v>
      </c>
      <c r="F148" s="121">
        <v>0.0</v>
      </c>
      <c r="G148" s="3"/>
      <c r="H148" s="121">
        <v>0.0</v>
      </c>
      <c r="I148" s="3"/>
      <c r="J148" s="121">
        <v>0.0</v>
      </c>
      <c r="K148" s="3"/>
      <c r="L148" s="121">
        <v>0.0</v>
      </c>
      <c r="M148" s="3"/>
      <c r="N148" s="121">
        <v>120.0</v>
      </c>
      <c r="O148" s="3"/>
      <c r="P148" s="121">
        <v>120.0</v>
      </c>
      <c r="Q148" s="3"/>
      <c r="R148" s="121">
        <v>0.0</v>
      </c>
      <c r="S148" s="3"/>
      <c r="T148" s="121">
        <v>0.0</v>
      </c>
      <c r="U148" s="3"/>
      <c r="V148" s="121">
        <v>0.0</v>
      </c>
      <c r="W148" s="3"/>
      <c r="X148" s="121">
        <v>0.0</v>
      </c>
      <c r="Y148" s="3"/>
      <c r="Z148" s="121">
        <v>0.0</v>
      </c>
      <c r="AA148" s="3"/>
      <c r="AB148" s="121">
        <v>4.0</v>
      </c>
      <c r="AC148" s="3"/>
      <c r="AD148" s="121">
        <v>0.0</v>
      </c>
      <c r="AE148" s="3"/>
      <c r="AF148" s="121">
        <v>0.0</v>
      </c>
      <c r="AG148" s="3"/>
      <c r="AH148" s="121">
        <v>0.0</v>
      </c>
      <c r="AI148" s="3"/>
      <c r="AJ148" s="121">
        <v>0.0</v>
      </c>
      <c r="AK148" s="3"/>
      <c r="AL148" s="121">
        <v>0.0</v>
      </c>
      <c r="AM148" s="3"/>
      <c r="AN148" s="121">
        <v>0.0</v>
      </c>
      <c r="AO148" s="3"/>
      <c r="AP148" s="123">
        <f t="shared" si="11"/>
        <v>5946.4</v>
      </c>
      <c r="AQ148" s="124">
        <f t="shared" si="10"/>
        <v>240</v>
      </c>
      <c r="AR148" s="124">
        <f t="shared" si="3"/>
        <v>0</v>
      </c>
      <c r="AS148" s="124">
        <f t="shared" si="4"/>
        <v>244</v>
      </c>
      <c r="AT148" s="125">
        <f t="shared" si="5"/>
        <v>24.3704918</v>
      </c>
    </row>
    <row r="149" ht="15.75" customHeight="1">
      <c r="A149" s="126" t="s">
        <v>28</v>
      </c>
      <c r="B149" s="127">
        <f t="shared" si="6"/>
        <v>45074</v>
      </c>
      <c r="C149" s="119">
        <v>6.0</v>
      </c>
      <c r="D149" s="119" t="s">
        <v>22</v>
      </c>
      <c r="E149" s="259" t="s">
        <v>42</v>
      </c>
      <c r="F149" s="182">
        <v>0.0</v>
      </c>
      <c r="G149" s="73"/>
      <c r="H149" s="182">
        <v>0.0</v>
      </c>
      <c r="I149" s="73"/>
      <c r="J149" s="182">
        <v>0.0</v>
      </c>
      <c r="K149" s="73"/>
      <c r="L149" s="182">
        <v>0.0</v>
      </c>
      <c r="M149" s="73"/>
      <c r="N149" s="182">
        <v>0.0</v>
      </c>
      <c r="O149" s="73"/>
      <c r="P149" s="182">
        <v>0.0</v>
      </c>
      <c r="Q149" s="73"/>
      <c r="R149" s="182">
        <v>0.0</v>
      </c>
      <c r="S149" s="73"/>
      <c r="T149" s="182">
        <v>0.0</v>
      </c>
      <c r="U149" s="73"/>
      <c r="V149" s="182">
        <v>0.0</v>
      </c>
      <c r="W149" s="73"/>
      <c r="X149" s="182">
        <v>0.0</v>
      </c>
      <c r="Y149" s="73"/>
      <c r="Z149" s="182">
        <v>0.0</v>
      </c>
      <c r="AA149" s="73"/>
      <c r="AB149" s="182">
        <v>0.0</v>
      </c>
      <c r="AC149" s="73"/>
      <c r="AD149" s="182">
        <v>0.0</v>
      </c>
      <c r="AE149" s="73"/>
      <c r="AF149" s="182">
        <v>0.0</v>
      </c>
      <c r="AG149" s="73"/>
      <c r="AH149" s="182">
        <v>0.0</v>
      </c>
      <c r="AI149" s="73"/>
      <c r="AJ149" s="182">
        <v>0.0</v>
      </c>
      <c r="AK149" s="73"/>
      <c r="AL149" s="182">
        <v>0.0</v>
      </c>
      <c r="AM149" s="73"/>
      <c r="AN149" s="182">
        <v>0.0</v>
      </c>
      <c r="AO149" s="73"/>
      <c r="AP149" s="183">
        <f t="shared" si="11"/>
        <v>0</v>
      </c>
      <c r="AQ149" s="181">
        <f t="shared" si="10"/>
        <v>0</v>
      </c>
      <c r="AR149" s="181">
        <f t="shared" si="3"/>
        <v>0</v>
      </c>
      <c r="AS149" s="181">
        <f t="shared" si="4"/>
        <v>0</v>
      </c>
      <c r="AT149" s="184" t="str">
        <f t="shared" si="5"/>
        <v/>
      </c>
    </row>
    <row r="150" ht="15.75" customHeight="1">
      <c r="A150" s="289" t="s">
        <v>21</v>
      </c>
      <c r="B150" s="290">
        <f t="shared" si="6"/>
        <v>45075</v>
      </c>
      <c r="C150" s="291">
        <v>6.0</v>
      </c>
      <c r="D150" s="292" t="s">
        <v>34</v>
      </c>
      <c r="E150" s="293" t="s">
        <v>42</v>
      </c>
      <c r="F150" s="294">
        <v>0.0</v>
      </c>
      <c r="G150" s="190"/>
      <c r="H150" s="294">
        <v>0.0</v>
      </c>
      <c r="I150" s="190"/>
      <c r="J150" s="294">
        <v>0.0</v>
      </c>
      <c r="K150" s="190"/>
      <c r="L150" s="294">
        <v>0.0</v>
      </c>
      <c r="M150" s="190"/>
      <c r="N150" s="294">
        <v>120.0</v>
      </c>
      <c r="O150" s="190"/>
      <c r="P150" s="294">
        <v>120.0</v>
      </c>
      <c r="Q150" s="190"/>
      <c r="R150" s="294">
        <v>0.0</v>
      </c>
      <c r="S150" s="190"/>
      <c r="T150" s="294">
        <v>0.0</v>
      </c>
      <c r="U150" s="190"/>
      <c r="V150" s="294">
        <v>0.0</v>
      </c>
      <c r="W150" s="190"/>
      <c r="X150" s="294">
        <v>35.0</v>
      </c>
      <c r="Y150" s="190"/>
      <c r="Z150" s="294">
        <v>3.0</v>
      </c>
      <c r="AA150" s="190"/>
      <c r="AB150" s="294">
        <v>0.0</v>
      </c>
      <c r="AC150" s="190"/>
      <c r="AD150" s="294">
        <v>0.0</v>
      </c>
      <c r="AE150" s="190"/>
      <c r="AF150" s="294">
        <v>0.0</v>
      </c>
      <c r="AG150" s="190"/>
      <c r="AH150" s="294">
        <v>0.0</v>
      </c>
      <c r="AI150" s="190"/>
      <c r="AJ150" s="294">
        <v>0.0</v>
      </c>
      <c r="AK150" s="190"/>
      <c r="AL150" s="294">
        <v>0.0</v>
      </c>
      <c r="AM150" s="190"/>
      <c r="AN150" s="294">
        <v>0.0</v>
      </c>
      <c r="AO150" s="190"/>
      <c r="AP150" s="295">
        <f t="shared" si="11"/>
        <v>6377.3</v>
      </c>
      <c r="AQ150" s="296">
        <f t="shared" si="10"/>
        <v>275</v>
      </c>
      <c r="AR150" s="296">
        <f t="shared" si="3"/>
        <v>0</v>
      </c>
      <c r="AS150" s="296">
        <f t="shared" si="4"/>
        <v>278</v>
      </c>
      <c r="AT150" s="297">
        <f t="shared" si="5"/>
        <v>22.93992806</v>
      </c>
    </row>
    <row r="151" ht="15.75" customHeight="1">
      <c r="A151" s="289" t="s">
        <v>23</v>
      </c>
      <c r="B151" s="290">
        <f t="shared" si="6"/>
        <v>45076</v>
      </c>
      <c r="C151" s="298">
        <v>6.0</v>
      </c>
      <c r="D151" s="145" t="s">
        <v>34</v>
      </c>
      <c r="E151" s="175" t="s">
        <v>42</v>
      </c>
      <c r="F151" s="147">
        <v>0.0</v>
      </c>
      <c r="G151" s="3"/>
      <c r="H151" s="147">
        <v>0.0</v>
      </c>
      <c r="I151" s="3"/>
      <c r="J151" s="147">
        <v>0.0</v>
      </c>
      <c r="K151" s="3"/>
      <c r="L151" s="147">
        <v>0.0</v>
      </c>
      <c r="M151" s="3"/>
      <c r="N151" s="147">
        <v>120.0</v>
      </c>
      <c r="O151" s="3"/>
      <c r="P151" s="147">
        <v>120.0</v>
      </c>
      <c r="Q151" s="3"/>
      <c r="R151" s="147">
        <v>0.0</v>
      </c>
      <c r="S151" s="3"/>
      <c r="T151" s="147">
        <v>0.0</v>
      </c>
      <c r="U151" s="3"/>
      <c r="V151" s="147">
        <v>0.0</v>
      </c>
      <c r="W151" s="3"/>
      <c r="X151" s="147">
        <v>0.0</v>
      </c>
      <c r="Y151" s="3"/>
      <c r="Z151" s="147">
        <v>3.0</v>
      </c>
      <c r="AA151" s="3"/>
      <c r="AB151" s="147">
        <v>0.0</v>
      </c>
      <c r="AC151" s="3"/>
      <c r="AD151" s="147">
        <v>0.0</v>
      </c>
      <c r="AE151" s="3"/>
      <c r="AF151" s="147">
        <v>0.0</v>
      </c>
      <c r="AG151" s="3"/>
      <c r="AH151" s="147">
        <v>0.0</v>
      </c>
      <c r="AI151" s="3"/>
      <c r="AJ151" s="147">
        <v>0.0</v>
      </c>
      <c r="AK151" s="3"/>
      <c r="AL151" s="147">
        <v>0.0</v>
      </c>
      <c r="AM151" s="3"/>
      <c r="AN151" s="147">
        <v>0.0</v>
      </c>
      <c r="AO151" s="3"/>
      <c r="AP151" s="149">
        <f t="shared" si="11"/>
        <v>5686.4</v>
      </c>
      <c r="AQ151" s="150">
        <f t="shared" si="10"/>
        <v>240</v>
      </c>
      <c r="AR151" s="150">
        <f t="shared" si="3"/>
        <v>0</v>
      </c>
      <c r="AS151" s="150">
        <f t="shared" si="4"/>
        <v>243</v>
      </c>
      <c r="AT151" s="299">
        <f t="shared" si="5"/>
        <v>23.40082305</v>
      </c>
    </row>
    <row r="152" ht="15.75" customHeight="1">
      <c r="A152" s="289" t="s">
        <v>24</v>
      </c>
      <c r="B152" s="290">
        <f t="shared" si="6"/>
        <v>45077</v>
      </c>
      <c r="C152" s="298">
        <v>6.0</v>
      </c>
      <c r="D152" s="145" t="s">
        <v>34</v>
      </c>
      <c r="E152" s="175" t="s">
        <v>42</v>
      </c>
      <c r="F152" s="147">
        <v>0.0</v>
      </c>
      <c r="G152" s="3"/>
      <c r="H152" s="147">
        <v>0.0</v>
      </c>
      <c r="I152" s="3"/>
      <c r="J152" s="147">
        <v>0.0</v>
      </c>
      <c r="K152" s="3"/>
      <c r="L152" s="147">
        <v>0.0</v>
      </c>
      <c r="M152" s="3"/>
      <c r="N152" s="147">
        <v>120.0</v>
      </c>
      <c r="O152" s="3"/>
      <c r="P152" s="147">
        <v>50.0</v>
      </c>
      <c r="Q152" s="3"/>
      <c r="R152" s="147">
        <v>0.0</v>
      </c>
      <c r="S152" s="3"/>
      <c r="T152" s="147">
        <v>0.0</v>
      </c>
      <c r="U152" s="3"/>
      <c r="V152" s="147">
        <v>0.0</v>
      </c>
      <c r="W152" s="3"/>
      <c r="X152" s="147">
        <v>80.0</v>
      </c>
      <c r="Y152" s="3"/>
      <c r="Z152" s="147">
        <v>0.0</v>
      </c>
      <c r="AA152" s="3"/>
      <c r="AB152" s="147">
        <v>0.0</v>
      </c>
      <c r="AC152" s="3"/>
      <c r="AD152" s="147">
        <v>0.0</v>
      </c>
      <c r="AE152" s="3"/>
      <c r="AF152" s="147">
        <v>0.0</v>
      </c>
      <c r="AG152" s="3"/>
      <c r="AH152" s="147">
        <v>0.0</v>
      </c>
      <c r="AI152" s="3"/>
      <c r="AJ152" s="147">
        <v>0.0</v>
      </c>
      <c r="AK152" s="3"/>
      <c r="AL152" s="147">
        <v>0.0</v>
      </c>
      <c r="AM152" s="3"/>
      <c r="AN152" s="147">
        <v>0.0</v>
      </c>
      <c r="AO152" s="3"/>
      <c r="AP152" s="149">
        <f t="shared" si="11"/>
        <v>5276.533333</v>
      </c>
      <c r="AQ152" s="150">
        <f t="shared" si="10"/>
        <v>250</v>
      </c>
      <c r="AR152" s="150">
        <f t="shared" si="3"/>
        <v>0</v>
      </c>
      <c r="AS152" s="150">
        <f t="shared" si="4"/>
        <v>250</v>
      </c>
      <c r="AT152" s="299">
        <f t="shared" si="5"/>
        <v>21.10613333</v>
      </c>
    </row>
    <row r="153" ht="15.75" customHeight="1">
      <c r="A153" s="289" t="s">
        <v>25</v>
      </c>
      <c r="B153" s="290">
        <f t="shared" si="6"/>
        <v>45078</v>
      </c>
      <c r="C153" s="298">
        <v>6.0</v>
      </c>
      <c r="D153" s="145" t="s">
        <v>34</v>
      </c>
      <c r="E153" s="175" t="s">
        <v>42</v>
      </c>
      <c r="F153" s="147">
        <v>0.0</v>
      </c>
      <c r="G153" s="3"/>
      <c r="H153" s="147">
        <v>0.0</v>
      </c>
      <c r="I153" s="3"/>
      <c r="J153" s="147">
        <v>0.0</v>
      </c>
      <c r="K153" s="3"/>
      <c r="L153" s="147">
        <v>0.0</v>
      </c>
      <c r="M153" s="3"/>
      <c r="N153" s="147">
        <v>120.0</v>
      </c>
      <c r="O153" s="3"/>
      <c r="P153" s="147">
        <v>120.0</v>
      </c>
      <c r="Q153" s="3"/>
      <c r="R153" s="147">
        <v>0.0</v>
      </c>
      <c r="S153" s="3"/>
      <c r="T153" s="147">
        <v>0.0</v>
      </c>
      <c r="U153" s="3"/>
      <c r="V153" s="147">
        <v>0.0</v>
      </c>
      <c r="W153" s="3"/>
      <c r="X153" s="147">
        <v>0.0</v>
      </c>
      <c r="Y153" s="3"/>
      <c r="Z153" s="147">
        <v>0.0</v>
      </c>
      <c r="AA153" s="3"/>
      <c r="AB153" s="147">
        <v>3.0</v>
      </c>
      <c r="AC153" s="3"/>
      <c r="AD153" s="147">
        <v>0.0</v>
      </c>
      <c r="AE153" s="3"/>
      <c r="AF153" s="147">
        <v>0.0</v>
      </c>
      <c r="AG153" s="3"/>
      <c r="AH153" s="147">
        <v>0.0</v>
      </c>
      <c r="AI153" s="3"/>
      <c r="AJ153" s="147">
        <v>0.0</v>
      </c>
      <c r="AK153" s="3"/>
      <c r="AL153" s="147">
        <v>0.0</v>
      </c>
      <c r="AM153" s="3"/>
      <c r="AN153" s="147">
        <v>0.0</v>
      </c>
      <c r="AO153" s="3"/>
      <c r="AP153" s="149">
        <f t="shared" si="11"/>
        <v>5821.4</v>
      </c>
      <c r="AQ153" s="150">
        <f t="shared" si="10"/>
        <v>240</v>
      </c>
      <c r="AR153" s="150">
        <f t="shared" si="3"/>
        <v>0</v>
      </c>
      <c r="AS153" s="150">
        <f t="shared" si="4"/>
        <v>243</v>
      </c>
      <c r="AT153" s="299">
        <f t="shared" si="5"/>
        <v>23.9563786</v>
      </c>
    </row>
    <row r="154" ht="15.75" customHeight="1">
      <c r="A154" s="289" t="s">
        <v>26</v>
      </c>
      <c r="B154" s="290">
        <f t="shared" si="6"/>
        <v>45079</v>
      </c>
      <c r="C154" s="298">
        <v>6.0</v>
      </c>
      <c r="D154" s="145" t="s">
        <v>34</v>
      </c>
      <c r="E154" s="175" t="s">
        <v>42</v>
      </c>
      <c r="F154" s="147">
        <v>0.0</v>
      </c>
      <c r="G154" s="3"/>
      <c r="H154" s="147">
        <v>0.0</v>
      </c>
      <c r="I154" s="3"/>
      <c r="J154" s="147">
        <v>0.0</v>
      </c>
      <c r="K154" s="3"/>
      <c r="L154" s="147">
        <v>0.0</v>
      </c>
      <c r="M154" s="3"/>
      <c r="N154" s="147">
        <v>120.0</v>
      </c>
      <c r="O154" s="3"/>
      <c r="P154" s="147">
        <v>120.0</v>
      </c>
      <c r="Q154" s="3"/>
      <c r="R154" s="147">
        <v>0.0</v>
      </c>
      <c r="S154" s="3"/>
      <c r="T154" s="147">
        <v>0.0</v>
      </c>
      <c r="U154" s="3"/>
      <c r="V154" s="147">
        <v>0.0</v>
      </c>
      <c r="W154" s="3"/>
      <c r="X154" s="147">
        <v>0.0</v>
      </c>
      <c r="Y154" s="3"/>
      <c r="Z154" s="147">
        <v>3.0</v>
      </c>
      <c r="AA154" s="3"/>
      <c r="AB154" s="147">
        <v>0.0</v>
      </c>
      <c r="AC154" s="3"/>
      <c r="AD154" s="147">
        <v>0.0</v>
      </c>
      <c r="AE154" s="3"/>
      <c r="AF154" s="147">
        <v>0.0</v>
      </c>
      <c r="AG154" s="3"/>
      <c r="AH154" s="147">
        <v>0.0</v>
      </c>
      <c r="AI154" s="3"/>
      <c r="AJ154" s="147">
        <v>0.0</v>
      </c>
      <c r="AK154" s="3"/>
      <c r="AL154" s="147">
        <v>0.0</v>
      </c>
      <c r="AM154" s="3"/>
      <c r="AN154" s="147">
        <v>0.0</v>
      </c>
      <c r="AO154" s="3"/>
      <c r="AP154" s="149">
        <f t="shared" si="11"/>
        <v>5686.4</v>
      </c>
      <c r="AQ154" s="150">
        <f t="shared" si="10"/>
        <v>240</v>
      </c>
      <c r="AR154" s="150">
        <f t="shared" si="3"/>
        <v>0</v>
      </c>
      <c r="AS154" s="150">
        <f t="shared" si="4"/>
        <v>243</v>
      </c>
      <c r="AT154" s="299">
        <f t="shared" si="5"/>
        <v>23.40082305</v>
      </c>
    </row>
    <row r="155" ht="15.75" customHeight="1">
      <c r="A155" s="289" t="s">
        <v>27</v>
      </c>
      <c r="B155" s="290">
        <f t="shared" si="6"/>
        <v>45080</v>
      </c>
      <c r="C155" s="298">
        <v>6.0</v>
      </c>
      <c r="D155" s="145" t="s">
        <v>34</v>
      </c>
      <c r="E155" s="175" t="s">
        <v>42</v>
      </c>
      <c r="F155" s="147">
        <v>0.0</v>
      </c>
      <c r="G155" s="3"/>
      <c r="H155" s="147">
        <v>0.0</v>
      </c>
      <c r="I155" s="3"/>
      <c r="J155" s="147">
        <v>0.0</v>
      </c>
      <c r="K155" s="3"/>
      <c r="L155" s="147">
        <v>0.0</v>
      </c>
      <c r="M155" s="3"/>
      <c r="N155" s="147">
        <v>120.0</v>
      </c>
      <c r="O155" s="3"/>
      <c r="P155" s="147">
        <v>120.0</v>
      </c>
      <c r="Q155" s="3"/>
      <c r="R155" s="147">
        <v>0.0</v>
      </c>
      <c r="S155" s="3"/>
      <c r="T155" s="147">
        <v>0.0</v>
      </c>
      <c r="U155" s="3"/>
      <c r="V155" s="147">
        <v>0.0</v>
      </c>
      <c r="W155" s="3"/>
      <c r="X155" s="147">
        <v>0.0</v>
      </c>
      <c r="Y155" s="3"/>
      <c r="Z155" s="147">
        <v>3.0</v>
      </c>
      <c r="AA155" s="3"/>
      <c r="AB155" s="147">
        <v>0.0</v>
      </c>
      <c r="AC155" s="3"/>
      <c r="AD155" s="147">
        <v>0.0</v>
      </c>
      <c r="AE155" s="3"/>
      <c r="AF155" s="147">
        <v>0.0</v>
      </c>
      <c r="AG155" s="3"/>
      <c r="AH155" s="147">
        <v>0.0</v>
      </c>
      <c r="AI155" s="3"/>
      <c r="AJ155" s="147">
        <v>0.0</v>
      </c>
      <c r="AK155" s="3"/>
      <c r="AL155" s="147">
        <v>0.0</v>
      </c>
      <c r="AM155" s="3"/>
      <c r="AN155" s="147">
        <v>0.0</v>
      </c>
      <c r="AO155" s="3"/>
      <c r="AP155" s="149">
        <f t="shared" si="11"/>
        <v>5686.4</v>
      </c>
      <c r="AQ155" s="150">
        <f t="shared" si="10"/>
        <v>240</v>
      </c>
      <c r="AR155" s="150">
        <f t="shared" si="3"/>
        <v>0</v>
      </c>
      <c r="AS155" s="150">
        <f t="shared" si="4"/>
        <v>243</v>
      </c>
      <c r="AT155" s="299">
        <f t="shared" si="5"/>
        <v>23.40082305</v>
      </c>
    </row>
    <row r="156" ht="15.75" customHeight="1">
      <c r="A156" s="289" t="s">
        <v>28</v>
      </c>
      <c r="B156" s="290">
        <f t="shared" si="6"/>
        <v>45081</v>
      </c>
      <c r="C156" s="298">
        <v>6.0</v>
      </c>
      <c r="D156" s="145" t="s">
        <v>34</v>
      </c>
      <c r="E156" s="281" t="s">
        <v>42</v>
      </c>
      <c r="F156" s="159">
        <v>0.0</v>
      </c>
      <c r="G156" s="73"/>
      <c r="H156" s="159">
        <v>0.0</v>
      </c>
      <c r="I156" s="73"/>
      <c r="J156" s="159">
        <v>0.0</v>
      </c>
      <c r="K156" s="73"/>
      <c r="L156" s="159">
        <v>0.0</v>
      </c>
      <c r="M156" s="73"/>
      <c r="N156" s="159">
        <v>0.0</v>
      </c>
      <c r="O156" s="73"/>
      <c r="P156" s="159">
        <v>0.0</v>
      </c>
      <c r="Q156" s="73"/>
      <c r="R156" s="159">
        <v>0.0</v>
      </c>
      <c r="S156" s="73"/>
      <c r="T156" s="159">
        <v>0.0</v>
      </c>
      <c r="U156" s="73"/>
      <c r="V156" s="159">
        <v>0.0</v>
      </c>
      <c r="W156" s="73"/>
      <c r="X156" s="159">
        <v>0.0</v>
      </c>
      <c r="Y156" s="73"/>
      <c r="Z156" s="159">
        <v>0.0</v>
      </c>
      <c r="AA156" s="73"/>
      <c r="AB156" s="159">
        <v>0.0</v>
      </c>
      <c r="AC156" s="73"/>
      <c r="AD156" s="159">
        <v>0.0</v>
      </c>
      <c r="AE156" s="73"/>
      <c r="AF156" s="159">
        <v>0.0</v>
      </c>
      <c r="AG156" s="73"/>
      <c r="AH156" s="159">
        <v>0.0</v>
      </c>
      <c r="AI156" s="73"/>
      <c r="AJ156" s="159">
        <v>0.0</v>
      </c>
      <c r="AK156" s="73"/>
      <c r="AL156" s="159">
        <v>0.0</v>
      </c>
      <c r="AM156" s="73"/>
      <c r="AN156" s="159">
        <v>0.0</v>
      </c>
      <c r="AO156" s="73"/>
      <c r="AP156" s="161">
        <f t="shared" si="11"/>
        <v>0</v>
      </c>
      <c r="AQ156" s="157">
        <f t="shared" si="10"/>
        <v>0</v>
      </c>
      <c r="AR156" s="157">
        <f t="shared" si="3"/>
        <v>0</v>
      </c>
      <c r="AS156" s="157">
        <f t="shared" si="4"/>
        <v>0</v>
      </c>
      <c r="AT156" s="300" t="str">
        <f t="shared" si="5"/>
        <v/>
      </c>
    </row>
    <row r="157" ht="15.75" customHeight="1">
      <c r="A157" s="249" t="s">
        <v>21</v>
      </c>
      <c r="B157" s="250">
        <f t="shared" si="6"/>
        <v>45082</v>
      </c>
      <c r="C157" s="251">
        <v>6.0</v>
      </c>
      <c r="D157" s="251" t="s">
        <v>36</v>
      </c>
      <c r="E157" s="252" t="s">
        <v>44</v>
      </c>
      <c r="F157" s="253">
        <v>0.0</v>
      </c>
      <c r="G157" s="190"/>
      <c r="H157" s="253">
        <v>0.0</v>
      </c>
      <c r="I157" s="190"/>
      <c r="J157" s="253">
        <v>0.0</v>
      </c>
      <c r="K157" s="190"/>
      <c r="L157" s="253">
        <v>0.0</v>
      </c>
      <c r="M157" s="190"/>
      <c r="N157" s="253">
        <v>130.0</v>
      </c>
      <c r="O157" s="190"/>
      <c r="P157" s="253">
        <v>130.0</v>
      </c>
      <c r="Q157" s="190"/>
      <c r="R157" s="253">
        <v>30.0</v>
      </c>
      <c r="S157" s="190"/>
      <c r="T157" s="253">
        <v>0.0</v>
      </c>
      <c r="U157" s="190"/>
      <c r="V157" s="253">
        <v>0.0</v>
      </c>
      <c r="W157" s="190"/>
      <c r="X157" s="253">
        <v>30.0</v>
      </c>
      <c r="Y157" s="190"/>
      <c r="Z157" s="253">
        <v>3.0</v>
      </c>
      <c r="AA157" s="190"/>
      <c r="AB157" s="253">
        <v>0.0</v>
      </c>
      <c r="AC157" s="190"/>
      <c r="AD157" s="253">
        <v>0.0</v>
      </c>
      <c r="AE157" s="190"/>
      <c r="AF157" s="253">
        <v>0.0</v>
      </c>
      <c r="AG157" s="190"/>
      <c r="AH157" s="253">
        <v>0.0</v>
      </c>
      <c r="AI157" s="190"/>
      <c r="AJ157" s="253">
        <v>0.0</v>
      </c>
      <c r="AK157" s="190"/>
      <c r="AL157" s="253">
        <v>0.0</v>
      </c>
      <c r="AM157" s="190"/>
      <c r="AN157" s="253">
        <v>0.0</v>
      </c>
      <c r="AO157" s="190"/>
      <c r="AP157" s="254">
        <f t="shared" si="11"/>
        <v>7482.066667</v>
      </c>
      <c r="AQ157" s="255">
        <f t="shared" si="10"/>
        <v>320</v>
      </c>
      <c r="AR157" s="255">
        <f t="shared" si="3"/>
        <v>0</v>
      </c>
      <c r="AS157" s="255">
        <f t="shared" si="4"/>
        <v>323</v>
      </c>
      <c r="AT157" s="256">
        <f t="shared" si="5"/>
        <v>23.16429309</v>
      </c>
    </row>
    <row r="158" ht="15.75" customHeight="1">
      <c r="A158" s="257" t="s">
        <v>23</v>
      </c>
      <c r="B158" s="118">
        <f t="shared" si="6"/>
        <v>45083</v>
      </c>
      <c r="C158" s="119">
        <v>6.0</v>
      </c>
      <c r="D158" s="119" t="s">
        <v>36</v>
      </c>
      <c r="E158" s="301" t="s">
        <v>44</v>
      </c>
      <c r="F158" s="121">
        <v>0.0</v>
      </c>
      <c r="G158" s="3"/>
      <c r="H158" s="121">
        <v>0.0</v>
      </c>
      <c r="I158" s="3"/>
      <c r="J158" s="121">
        <v>0.0</v>
      </c>
      <c r="K158" s="3"/>
      <c r="L158" s="121">
        <v>0.0</v>
      </c>
      <c r="M158" s="3"/>
      <c r="N158" s="121">
        <v>130.0</v>
      </c>
      <c r="O158" s="3"/>
      <c r="P158" s="121">
        <v>130.0</v>
      </c>
      <c r="Q158" s="3"/>
      <c r="R158" s="121">
        <v>30.0</v>
      </c>
      <c r="S158" s="3"/>
      <c r="T158" s="121">
        <v>0.0</v>
      </c>
      <c r="U158" s="3"/>
      <c r="V158" s="121">
        <v>0.0</v>
      </c>
      <c r="W158" s="3"/>
      <c r="X158" s="121">
        <v>0.0</v>
      </c>
      <c r="Y158" s="3"/>
      <c r="Z158" s="121">
        <v>4.0</v>
      </c>
      <c r="AA158" s="3"/>
      <c r="AB158" s="121">
        <v>0.0</v>
      </c>
      <c r="AC158" s="3"/>
      <c r="AD158" s="121">
        <v>0.0</v>
      </c>
      <c r="AE158" s="3"/>
      <c r="AF158" s="121">
        <v>0.0</v>
      </c>
      <c r="AG158" s="3"/>
      <c r="AH158" s="121">
        <v>0.0</v>
      </c>
      <c r="AI158" s="3"/>
      <c r="AJ158" s="121">
        <v>0.0</v>
      </c>
      <c r="AK158" s="3"/>
      <c r="AL158" s="121">
        <v>0.0</v>
      </c>
      <c r="AM158" s="3"/>
      <c r="AN158" s="121">
        <v>0.0</v>
      </c>
      <c r="AO158" s="3"/>
      <c r="AP158" s="123">
        <f t="shared" si="11"/>
        <v>6969.866667</v>
      </c>
      <c r="AQ158" s="124">
        <f t="shared" si="10"/>
        <v>290</v>
      </c>
      <c r="AR158" s="124">
        <f t="shared" si="3"/>
        <v>0</v>
      </c>
      <c r="AS158" s="124">
        <f t="shared" si="4"/>
        <v>294</v>
      </c>
      <c r="AT158" s="258">
        <f t="shared" si="5"/>
        <v>23.70702948</v>
      </c>
    </row>
    <row r="159" ht="15.75" customHeight="1">
      <c r="A159" s="257" t="s">
        <v>24</v>
      </c>
      <c r="B159" s="118">
        <f t="shared" si="6"/>
        <v>45084</v>
      </c>
      <c r="C159" s="119">
        <v>6.0</v>
      </c>
      <c r="D159" s="119" t="s">
        <v>36</v>
      </c>
      <c r="E159" s="301" t="s">
        <v>44</v>
      </c>
      <c r="F159" s="121">
        <v>0.0</v>
      </c>
      <c r="G159" s="3"/>
      <c r="H159" s="121">
        <v>0.0</v>
      </c>
      <c r="I159" s="3"/>
      <c r="J159" s="121">
        <v>0.0</v>
      </c>
      <c r="K159" s="3"/>
      <c r="L159" s="121">
        <v>0.0</v>
      </c>
      <c r="M159" s="3"/>
      <c r="N159" s="121">
        <v>130.0</v>
      </c>
      <c r="O159" s="3"/>
      <c r="P159" s="121">
        <v>130.0</v>
      </c>
      <c r="Q159" s="3"/>
      <c r="R159" s="121">
        <v>30.0</v>
      </c>
      <c r="S159" s="3"/>
      <c r="T159" s="121">
        <v>0.0</v>
      </c>
      <c r="U159" s="3"/>
      <c r="V159" s="121">
        <v>0.0</v>
      </c>
      <c r="W159" s="3"/>
      <c r="X159" s="121">
        <v>0.0</v>
      </c>
      <c r="Y159" s="3"/>
      <c r="Z159" s="121">
        <v>4.0</v>
      </c>
      <c r="AA159" s="3"/>
      <c r="AB159" s="121">
        <v>0.0</v>
      </c>
      <c r="AC159" s="3"/>
      <c r="AD159" s="121">
        <v>0.0</v>
      </c>
      <c r="AE159" s="3"/>
      <c r="AF159" s="121">
        <v>0.0</v>
      </c>
      <c r="AG159" s="3"/>
      <c r="AH159" s="121">
        <v>0.0</v>
      </c>
      <c r="AI159" s="3"/>
      <c r="AJ159" s="121">
        <v>0.0</v>
      </c>
      <c r="AK159" s="3"/>
      <c r="AL159" s="121">
        <v>0.0</v>
      </c>
      <c r="AM159" s="3"/>
      <c r="AN159" s="121">
        <v>0.0</v>
      </c>
      <c r="AO159" s="3"/>
      <c r="AP159" s="123">
        <f t="shared" si="11"/>
        <v>6969.866667</v>
      </c>
      <c r="AQ159" s="124">
        <f t="shared" si="10"/>
        <v>290</v>
      </c>
      <c r="AR159" s="124">
        <f t="shared" si="3"/>
        <v>0</v>
      </c>
      <c r="AS159" s="124">
        <f t="shared" si="4"/>
        <v>294</v>
      </c>
      <c r="AT159" s="258">
        <f t="shared" si="5"/>
        <v>23.70702948</v>
      </c>
    </row>
    <row r="160" ht="15.75" customHeight="1">
      <c r="A160" s="257" t="s">
        <v>25</v>
      </c>
      <c r="B160" s="118">
        <f t="shared" si="6"/>
        <v>45085</v>
      </c>
      <c r="C160" s="119">
        <v>6.0</v>
      </c>
      <c r="D160" s="119" t="s">
        <v>36</v>
      </c>
      <c r="E160" s="301" t="s">
        <v>44</v>
      </c>
      <c r="F160" s="121">
        <v>0.0</v>
      </c>
      <c r="G160" s="3"/>
      <c r="H160" s="121">
        <v>0.0</v>
      </c>
      <c r="I160" s="3"/>
      <c r="J160" s="121">
        <v>0.0</v>
      </c>
      <c r="K160" s="3"/>
      <c r="L160" s="121">
        <v>0.0</v>
      </c>
      <c r="M160" s="3"/>
      <c r="N160" s="121">
        <v>130.0</v>
      </c>
      <c r="O160" s="3"/>
      <c r="P160" s="121">
        <v>130.0</v>
      </c>
      <c r="Q160" s="3"/>
      <c r="R160" s="121">
        <v>30.0</v>
      </c>
      <c r="S160" s="3"/>
      <c r="T160" s="121">
        <v>0.0</v>
      </c>
      <c r="U160" s="3"/>
      <c r="V160" s="121">
        <v>0.0</v>
      </c>
      <c r="W160" s="3"/>
      <c r="X160" s="121">
        <v>30.0</v>
      </c>
      <c r="Y160" s="3"/>
      <c r="Z160" s="121">
        <v>3.0</v>
      </c>
      <c r="AA160" s="3"/>
      <c r="AB160" s="121">
        <v>0.0</v>
      </c>
      <c r="AC160" s="3"/>
      <c r="AD160" s="121">
        <v>0.0</v>
      </c>
      <c r="AE160" s="3"/>
      <c r="AF160" s="121">
        <v>0.0</v>
      </c>
      <c r="AG160" s="3"/>
      <c r="AH160" s="121">
        <v>0.0</v>
      </c>
      <c r="AI160" s="3"/>
      <c r="AJ160" s="121">
        <v>0.0</v>
      </c>
      <c r="AK160" s="3"/>
      <c r="AL160" s="121">
        <v>0.0</v>
      </c>
      <c r="AM160" s="3"/>
      <c r="AN160" s="121">
        <v>0.0</v>
      </c>
      <c r="AO160" s="3"/>
      <c r="AP160" s="123">
        <f t="shared" si="11"/>
        <v>7482.066667</v>
      </c>
      <c r="AQ160" s="124">
        <f t="shared" si="10"/>
        <v>320</v>
      </c>
      <c r="AR160" s="124">
        <f t="shared" si="3"/>
        <v>0</v>
      </c>
      <c r="AS160" s="124">
        <f t="shared" si="4"/>
        <v>323</v>
      </c>
      <c r="AT160" s="258">
        <f t="shared" si="5"/>
        <v>23.16429309</v>
      </c>
    </row>
    <row r="161" ht="15.75" customHeight="1">
      <c r="A161" s="257" t="s">
        <v>26</v>
      </c>
      <c r="B161" s="118">
        <f t="shared" si="6"/>
        <v>45086</v>
      </c>
      <c r="C161" s="119">
        <v>6.0</v>
      </c>
      <c r="D161" s="119" t="s">
        <v>36</v>
      </c>
      <c r="E161" s="301" t="s">
        <v>44</v>
      </c>
      <c r="F161" s="121">
        <v>0.0</v>
      </c>
      <c r="G161" s="3"/>
      <c r="H161" s="121">
        <v>0.0</v>
      </c>
      <c r="I161" s="3"/>
      <c r="J161" s="121">
        <v>0.0</v>
      </c>
      <c r="K161" s="3"/>
      <c r="L161" s="121">
        <v>0.0</v>
      </c>
      <c r="M161" s="3"/>
      <c r="N161" s="121">
        <v>130.0</v>
      </c>
      <c r="O161" s="3"/>
      <c r="P161" s="121">
        <v>130.0</v>
      </c>
      <c r="Q161" s="3"/>
      <c r="R161" s="121">
        <v>30.0</v>
      </c>
      <c r="S161" s="3"/>
      <c r="T161" s="121">
        <v>0.0</v>
      </c>
      <c r="U161" s="3"/>
      <c r="V161" s="121">
        <v>0.0</v>
      </c>
      <c r="W161" s="3"/>
      <c r="X161" s="121">
        <v>0.0</v>
      </c>
      <c r="Y161" s="3"/>
      <c r="Z161" s="121">
        <v>3.0</v>
      </c>
      <c r="AA161" s="3"/>
      <c r="AB161" s="121">
        <v>0.0</v>
      </c>
      <c r="AC161" s="3"/>
      <c r="AD161" s="121">
        <v>0.0</v>
      </c>
      <c r="AE161" s="3"/>
      <c r="AF161" s="121">
        <v>0.0</v>
      </c>
      <c r="AG161" s="3"/>
      <c r="AH161" s="121">
        <v>0.0</v>
      </c>
      <c r="AI161" s="3"/>
      <c r="AJ161" s="121">
        <v>0.0</v>
      </c>
      <c r="AK161" s="3"/>
      <c r="AL161" s="121">
        <v>0.0</v>
      </c>
      <c r="AM161" s="3"/>
      <c r="AN161" s="121">
        <v>0.0</v>
      </c>
      <c r="AO161" s="3"/>
      <c r="AP161" s="123">
        <f t="shared" si="11"/>
        <v>6889.866667</v>
      </c>
      <c r="AQ161" s="124">
        <f t="shared" si="10"/>
        <v>290</v>
      </c>
      <c r="AR161" s="124">
        <f t="shared" si="3"/>
        <v>0</v>
      </c>
      <c r="AS161" s="124">
        <f t="shared" si="4"/>
        <v>293</v>
      </c>
      <c r="AT161" s="258">
        <f t="shared" si="5"/>
        <v>23.5149033</v>
      </c>
    </row>
    <row r="162" ht="15.75" customHeight="1">
      <c r="A162" s="257" t="s">
        <v>27</v>
      </c>
      <c r="B162" s="118">
        <f t="shared" si="6"/>
        <v>45087</v>
      </c>
      <c r="C162" s="119">
        <v>6.0</v>
      </c>
      <c r="D162" s="119" t="s">
        <v>36</v>
      </c>
      <c r="E162" s="301" t="s">
        <v>44</v>
      </c>
      <c r="F162" s="121">
        <v>0.0</v>
      </c>
      <c r="G162" s="3"/>
      <c r="H162" s="121">
        <v>0.0</v>
      </c>
      <c r="I162" s="3"/>
      <c r="J162" s="121">
        <v>0.0</v>
      </c>
      <c r="K162" s="3"/>
      <c r="L162" s="121">
        <v>0.0</v>
      </c>
      <c r="M162" s="3"/>
      <c r="N162" s="121">
        <v>130.0</v>
      </c>
      <c r="O162" s="3"/>
      <c r="P162" s="121">
        <v>130.0</v>
      </c>
      <c r="Q162" s="3"/>
      <c r="R162" s="121">
        <v>0.0</v>
      </c>
      <c r="S162" s="3"/>
      <c r="T162" s="121">
        <v>0.0</v>
      </c>
      <c r="U162" s="3"/>
      <c r="V162" s="121">
        <v>0.0</v>
      </c>
      <c r="W162" s="3"/>
      <c r="X162" s="121">
        <v>0.0</v>
      </c>
      <c r="Y162" s="3"/>
      <c r="Z162" s="121">
        <v>3.0</v>
      </c>
      <c r="AA162" s="3"/>
      <c r="AB162" s="121">
        <v>0.0</v>
      </c>
      <c r="AC162" s="3"/>
      <c r="AD162" s="121">
        <v>0.0</v>
      </c>
      <c r="AE162" s="3"/>
      <c r="AF162" s="121">
        <v>0.0</v>
      </c>
      <c r="AG162" s="3"/>
      <c r="AH162" s="121">
        <v>0.0</v>
      </c>
      <c r="AI162" s="3"/>
      <c r="AJ162" s="121">
        <v>0.0</v>
      </c>
      <c r="AK162" s="3"/>
      <c r="AL162" s="121">
        <v>0.0</v>
      </c>
      <c r="AM162" s="3"/>
      <c r="AN162" s="121">
        <v>0.0</v>
      </c>
      <c r="AO162" s="3"/>
      <c r="AP162" s="123">
        <f t="shared" si="11"/>
        <v>6140.266667</v>
      </c>
      <c r="AQ162" s="124">
        <f t="shared" si="10"/>
        <v>260</v>
      </c>
      <c r="AR162" s="124">
        <f t="shared" si="3"/>
        <v>0</v>
      </c>
      <c r="AS162" s="124">
        <f t="shared" si="4"/>
        <v>263</v>
      </c>
      <c r="AT162" s="258">
        <f t="shared" si="5"/>
        <v>23.34702155</v>
      </c>
    </row>
    <row r="163" ht="15.75" customHeight="1">
      <c r="A163" s="302" t="s">
        <v>28</v>
      </c>
      <c r="B163" s="303">
        <f t="shared" si="6"/>
        <v>45088</v>
      </c>
      <c r="C163" s="304">
        <v>6.0</v>
      </c>
      <c r="D163" s="304" t="s">
        <v>36</v>
      </c>
      <c r="E163" s="305" t="s">
        <v>45</v>
      </c>
      <c r="F163" s="260">
        <v>0.0</v>
      </c>
      <c r="G163" s="207"/>
      <c r="H163" s="260">
        <v>0.0</v>
      </c>
      <c r="I163" s="207"/>
      <c r="J163" s="260">
        <v>0.0</v>
      </c>
      <c r="K163" s="207"/>
      <c r="L163" s="260">
        <v>0.0</v>
      </c>
      <c r="M163" s="207"/>
      <c r="N163" s="260">
        <v>0.0</v>
      </c>
      <c r="O163" s="207"/>
      <c r="P163" s="260">
        <v>0.0</v>
      </c>
      <c r="Q163" s="207"/>
      <c r="R163" s="260">
        <v>0.0</v>
      </c>
      <c r="S163" s="207"/>
      <c r="T163" s="260">
        <v>0.0</v>
      </c>
      <c r="U163" s="207"/>
      <c r="V163" s="260">
        <v>0.0</v>
      </c>
      <c r="W163" s="207"/>
      <c r="X163" s="260">
        <v>0.0</v>
      </c>
      <c r="Y163" s="207"/>
      <c r="Z163" s="260">
        <v>0.0</v>
      </c>
      <c r="AA163" s="207"/>
      <c r="AB163" s="260">
        <v>0.0</v>
      </c>
      <c r="AC163" s="207"/>
      <c r="AD163" s="260">
        <v>0.0</v>
      </c>
      <c r="AE163" s="207"/>
      <c r="AF163" s="260">
        <v>0.0</v>
      </c>
      <c r="AG163" s="207"/>
      <c r="AH163" s="260">
        <v>0.0</v>
      </c>
      <c r="AI163" s="207"/>
      <c r="AJ163" s="260">
        <v>0.0</v>
      </c>
      <c r="AK163" s="207"/>
      <c r="AL163" s="260">
        <v>0.0</v>
      </c>
      <c r="AM163" s="207"/>
      <c r="AN163" s="260">
        <v>0.0</v>
      </c>
      <c r="AO163" s="207"/>
      <c r="AP163" s="306">
        <f t="shared" si="11"/>
        <v>0</v>
      </c>
      <c r="AQ163" s="307">
        <f t="shared" si="10"/>
        <v>0</v>
      </c>
      <c r="AR163" s="307">
        <f t="shared" si="3"/>
        <v>0</v>
      </c>
      <c r="AS163" s="307">
        <f t="shared" si="4"/>
        <v>0</v>
      </c>
      <c r="AT163" s="308" t="str">
        <f t="shared" si="5"/>
        <v/>
      </c>
    </row>
    <row r="164" ht="15.75" customHeight="1">
      <c r="A164" s="211" t="s">
        <v>21</v>
      </c>
      <c r="B164" s="195">
        <f t="shared" si="6"/>
        <v>45089</v>
      </c>
      <c r="C164" s="196">
        <v>6.0</v>
      </c>
      <c r="D164" s="196" t="s">
        <v>37</v>
      </c>
      <c r="E164" s="188" t="s">
        <v>44</v>
      </c>
      <c r="F164" s="189">
        <v>0.0</v>
      </c>
      <c r="G164" s="190"/>
      <c r="H164" s="189">
        <v>0.0</v>
      </c>
      <c r="I164" s="190"/>
      <c r="J164" s="189">
        <v>0.0</v>
      </c>
      <c r="K164" s="190"/>
      <c r="L164" s="189">
        <v>0.0</v>
      </c>
      <c r="M164" s="190"/>
      <c r="N164" s="189">
        <v>130.0</v>
      </c>
      <c r="O164" s="190"/>
      <c r="P164" s="189">
        <v>130.0</v>
      </c>
      <c r="Q164" s="190"/>
      <c r="R164" s="189">
        <v>30.0</v>
      </c>
      <c r="S164" s="190"/>
      <c r="T164" s="189">
        <v>0.0</v>
      </c>
      <c r="U164" s="190"/>
      <c r="V164" s="189">
        <v>0.0</v>
      </c>
      <c r="W164" s="190"/>
      <c r="X164" s="189">
        <v>0.0</v>
      </c>
      <c r="Y164" s="190"/>
      <c r="Z164" s="189">
        <v>3.0</v>
      </c>
      <c r="AA164" s="190"/>
      <c r="AB164" s="189">
        <v>0.0</v>
      </c>
      <c r="AC164" s="190"/>
      <c r="AD164" s="189">
        <v>0.0</v>
      </c>
      <c r="AE164" s="190"/>
      <c r="AF164" s="189">
        <v>0.0</v>
      </c>
      <c r="AG164" s="190"/>
      <c r="AH164" s="189">
        <v>0.0</v>
      </c>
      <c r="AI164" s="190"/>
      <c r="AJ164" s="189">
        <v>0.0</v>
      </c>
      <c r="AK164" s="190"/>
      <c r="AL164" s="189">
        <v>0.0</v>
      </c>
      <c r="AM164" s="190"/>
      <c r="AN164" s="189">
        <v>0.0</v>
      </c>
      <c r="AO164" s="190"/>
      <c r="AP164" s="213">
        <f t="shared" si="11"/>
        <v>6889.866667</v>
      </c>
      <c r="AQ164" s="214">
        <f t="shared" si="10"/>
        <v>290</v>
      </c>
      <c r="AR164" s="214">
        <f t="shared" si="3"/>
        <v>0</v>
      </c>
      <c r="AS164" s="214">
        <f t="shared" si="4"/>
        <v>293</v>
      </c>
      <c r="AT164" s="213">
        <f t="shared" si="5"/>
        <v>23.5149033</v>
      </c>
    </row>
    <row r="165" ht="15.75" customHeight="1">
      <c r="A165" s="211" t="s">
        <v>23</v>
      </c>
      <c r="B165" s="195">
        <f t="shared" si="6"/>
        <v>45090</v>
      </c>
      <c r="C165" s="196">
        <v>6.0</v>
      </c>
      <c r="D165" s="196" t="s">
        <v>37</v>
      </c>
      <c r="E165" s="309" t="s">
        <v>44</v>
      </c>
      <c r="F165" s="198">
        <v>0.0</v>
      </c>
      <c r="G165" s="3"/>
      <c r="H165" s="198">
        <v>0.0</v>
      </c>
      <c r="I165" s="3"/>
      <c r="J165" s="198">
        <v>0.0</v>
      </c>
      <c r="K165" s="3"/>
      <c r="L165" s="198">
        <v>0.0</v>
      </c>
      <c r="M165" s="3"/>
      <c r="N165" s="198">
        <v>130.0</v>
      </c>
      <c r="O165" s="3"/>
      <c r="P165" s="198">
        <v>80.0</v>
      </c>
      <c r="Q165" s="3"/>
      <c r="R165" s="198">
        <v>40.0</v>
      </c>
      <c r="S165" s="3"/>
      <c r="T165" s="198">
        <v>0.0</v>
      </c>
      <c r="U165" s="3"/>
      <c r="V165" s="198">
        <v>0.0</v>
      </c>
      <c r="W165" s="3"/>
      <c r="X165" s="198">
        <v>40.0</v>
      </c>
      <c r="Y165" s="3"/>
      <c r="Z165" s="198">
        <v>0.0</v>
      </c>
      <c r="AA165" s="3"/>
      <c r="AB165" s="198">
        <v>0.0</v>
      </c>
      <c r="AC165" s="3"/>
      <c r="AD165" s="198">
        <v>0.0</v>
      </c>
      <c r="AE165" s="3"/>
      <c r="AF165" s="198">
        <v>0.0</v>
      </c>
      <c r="AG165" s="3"/>
      <c r="AH165" s="198">
        <v>0.0</v>
      </c>
      <c r="AI165" s="3"/>
      <c r="AJ165" s="198">
        <v>0.0</v>
      </c>
      <c r="AK165" s="3"/>
      <c r="AL165" s="198">
        <v>0.0</v>
      </c>
      <c r="AM165" s="3"/>
      <c r="AN165" s="198">
        <v>0.0</v>
      </c>
      <c r="AO165" s="3"/>
      <c r="AP165" s="199">
        <f t="shared" si="11"/>
        <v>6440</v>
      </c>
      <c r="AQ165" s="200">
        <f t="shared" si="10"/>
        <v>290</v>
      </c>
      <c r="AR165" s="200">
        <f t="shared" si="3"/>
        <v>0</v>
      </c>
      <c r="AS165" s="200">
        <f t="shared" si="4"/>
        <v>290</v>
      </c>
      <c r="AT165" s="199">
        <f t="shared" si="5"/>
        <v>22.20689655</v>
      </c>
    </row>
    <row r="166" ht="15.75" customHeight="1">
      <c r="A166" s="211" t="s">
        <v>24</v>
      </c>
      <c r="B166" s="195">
        <f t="shared" si="6"/>
        <v>45091</v>
      </c>
      <c r="C166" s="196">
        <v>6.0</v>
      </c>
      <c r="D166" s="196" t="s">
        <v>37</v>
      </c>
      <c r="E166" s="309" t="s">
        <v>44</v>
      </c>
      <c r="F166" s="198">
        <v>0.0</v>
      </c>
      <c r="G166" s="3"/>
      <c r="H166" s="198">
        <v>0.0</v>
      </c>
      <c r="I166" s="3"/>
      <c r="J166" s="198">
        <v>0.0</v>
      </c>
      <c r="K166" s="3"/>
      <c r="L166" s="198">
        <v>0.0</v>
      </c>
      <c r="M166" s="3"/>
      <c r="N166" s="198">
        <v>130.0</v>
      </c>
      <c r="O166" s="3"/>
      <c r="P166" s="198">
        <v>130.0</v>
      </c>
      <c r="Q166" s="3"/>
      <c r="R166" s="198">
        <v>0.0</v>
      </c>
      <c r="S166" s="3"/>
      <c r="T166" s="198">
        <v>0.0</v>
      </c>
      <c r="U166" s="3"/>
      <c r="V166" s="198">
        <v>0.0</v>
      </c>
      <c r="W166" s="3"/>
      <c r="X166" s="198">
        <v>0.0</v>
      </c>
      <c r="Y166" s="3"/>
      <c r="Z166" s="198">
        <v>4.0</v>
      </c>
      <c r="AA166" s="3"/>
      <c r="AB166" s="198">
        <v>0.0</v>
      </c>
      <c r="AC166" s="3"/>
      <c r="AD166" s="198">
        <v>0.0</v>
      </c>
      <c r="AE166" s="3"/>
      <c r="AF166" s="198">
        <v>0.0</v>
      </c>
      <c r="AG166" s="3"/>
      <c r="AH166" s="198">
        <v>0.0</v>
      </c>
      <c r="AI166" s="3"/>
      <c r="AJ166" s="198">
        <v>0.0</v>
      </c>
      <c r="AK166" s="3"/>
      <c r="AL166" s="198">
        <v>0.0</v>
      </c>
      <c r="AM166" s="3"/>
      <c r="AN166" s="198">
        <v>0.0</v>
      </c>
      <c r="AO166" s="3"/>
      <c r="AP166" s="199">
        <f t="shared" si="11"/>
        <v>6220.266667</v>
      </c>
      <c r="AQ166" s="200">
        <f t="shared" si="10"/>
        <v>260</v>
      </c>
      <c r="AR166" s="200">
        <f t="shared" si="3"/>
        <v>0</v>
      </c>
      <c r="AS166" s="200">
        <f t="shared" si="4"/>
        <v>264</v>
      </c>
      <c r="AT166" s="199">
        <f t="shared" si="5"/>
        <v>23.56161616</v>
      </c>
    </row>
    <row r="167" ht="15.75" customHeight="1">
      <c r="A167" s="211" t="s">
        <v>25</v>
      </c>
      <c r="B167" s="195">
        <f t="shared" si="6"/>
        <v>45092</v>
      </c>
      <c r="C167" s="196">
        <v>6.0</v>
      </c>
      <c r="D167" s="196" t="s">
        <v>37</v>
      </c>
      <c r="E167" s="309" t="s">
        <v>44</v>
      </c>
      <c r="F167" s="198">
        <v>0.0</v>
      </c>
      <c r="G167" s="3"/>
      <c r="H167" s="198">
        <v>0.0</v>
      </c>
      <c r="I167" s="3"/>
      <c r="J167" s="198">
        <v>0.0</v>
      </c>
      <c r="K167" s="3"/>
      <c r="L167" s="198">
        <v>0.0</v>
      </c>
      <c r="M167" s="3"/>
      <c r="N167" s="198">
        <v>130.0</v>
      </c>
      <c r="O167" s="3"/>
      <c r="P167" s="198">
        <v>130.0</v>
      </c>
      <c r="Q167" s="3"/>
      <c r="R167" s="198">
        <v>30.0</v>
      </c>
      <c r="S167" s="3"/>
      <c r="T167" s="198">
        <v>0.0</v>
      </c>
      <c r="U167" s="3"/>
      <c r="V167" s="198">
        <v>0.0</v>
      </c>
      <c r="W167" s="3"/>
      <c r="X167" s="198">
        <v>0.0</v>
      </c>
      <c r="Y167" s="3"/>
      <c r="Z167" s="198">
        <v>3.0</v>
      </c>
      <c r="AA167" s="3"/>
      <c r="AB167" s="198">
        <v>0.0</v>
      </c>
      <c r="AC167" s="3"/>
      <c r="AD167" s="198">
        <v>0.0</v>
      </c>
      <c r="AE167" s="3"/>
      <c r="AF167" s="198">
        <v>0.0</v>
      </c>
      <c r="AG167" s="3"/>
      <c r="AH167" s="198">
        <v>0.0</v>
      </c>
      <c r="AI167" s="3"/>
      <c r="AJ167" s="198">
        <v>0.0</v>
      </c>
      <c r="AK167" s="3"/>
      <c r="AL167" s="198">
        <v>0.0</v>
      </c>
      <c r="AM167" s="3"/>
      <c r="AN167" s="198">
        <v>0.0</v>
      </c>
      <c r="AO167" s="3"/>
      <c r="AP167" s="199">
        <f t="shared" si="11"/>
        <v>6889.866667</v>
      </c>
      <c r="AQ167" s="200">
        <f t="shared" si="10"/>
        <v>290</v>
      </c>
      <c r="AR167" s="200">
        <f t="shared" si="3"/>
        <v>0</v>
      </c>
      <c r="AS167" s="200">
        <f t="shared" si="4"/>
        <v>293</v>
      </c>
      <c r="AT167" s="199">
        <f t="shared" si="5"/>
        <v>23.5149033</v>
      </c>
    </row>
    <row r="168" ht="15.75" customHeight="1">
      <c r="A168" s="211" t="s">
        <v>26</v>
      </c>
      <c r="B168" s="195">
        <f t="shared" si="6"/>
        <v>45093</v>
      </c>
      <c r="C168" s="196">
        <v>6.0</v>
      </c>
      <c r="D168" s="196" t="s">
        <v>37</v>
      </c>
      <c r="E168" s="309" t="s">
        <v>44</v>
      </c>
      <c r="F168" s="198">
        <v>0.0</v>
      </c>
      <c r="G168" s="3"/>
      <c r="H168" s="198">
        <v>0.0</v>
      </c>
      <c r="I168" s="3"/>
      <c r="J168" s="198">
        <v>0.0</v>
      </c>
      <c r="K168" s="3"/>
      <c r="L168" s="198">
        <v>0.0</v>
      </c>
      <c r="M168" s="3"/>
      <c r="N168" s="198">
        <v>130.0</v>
      </c>
      <c r="O168" s="3"/>
      <c r="P168" s="198">
        <v>130.0</v>
      </c>
      <c r="Q168" s="3"/>
      <c r="R168" s="198">
        <v>30.0</v>
      </c>
      <c r="S168" s="3"/>
      <c r="T168" s="198">
        <v>0.0</v>
      </c>
      <c r="U168" s="3"/>
      <c r="V168" s="198">
        <v>0.0</v>
      </c>
      <c r="W168" s="3"/>
      <c r="X168" s="198">
        <v>30.0</v>
      </c>
      <c r="Y168" s="3"/>
      <c r="Z168" s="198">
        <v>3.0</v>
      </c>
      <c r="AA168" s="3"/>
      <c r="AB168" s="198">
        <v>0.0</v>
      </c>
      <c r="AC168" s="3"/>
      <c r="AD168" s="198">
        <v>0.0</v>
      </c>
      <c r="AE168" s="3"/>
      <c r="AF168" s="198">
        <v>0.0</v>
      </c>
      <c r="AG168" s="3"/>
      <c r="AH168" s="198">
        <v>0.0</v>
      </c>
      <c r="AI168" s="3"/>
      <c r="AJ168" s="198">
        <v>0.0</v>
      </c>
      <c r="AK168" s="3"/>
      <c r="AL168" s="198">
        <v>0.0</v>
      </c>
      <c r="AM168" s="3"/>
      <c r="AN168" s="198">
        <v>0.0</v>
      </c>
      <c r="AO168" s="3"/>
      <c r="AP168" s="199">
        <f t="shared" si="11"/>
        <v>7482.066667</v>
      </c>
      <c r="AQ168" s="200">
        <f t="shared" si="10"/>
        <v>320</v>
      </c>
      <c r="AR168" s="200">
        <f t="shared" si="3"/>
        <v>0</v>
      </c>
      <c r="AS168" s="200">
        <f t="shared" si="4"/>
        <v>323</v>
      </c>
      <c r="AT168" s="199">
        <f t="shared" si="5"/>
        <v>23.16429309</v>
      </c>
    </row>
    <row r="169" ht="15.75" customHeight="1">
      <c r="A169" s="211" t="s">
        <v>27</v>
      </c>
      <c r="B169" s="195">
        <f t="shared" si="6"/>
        <v>45094</v>
      </c>
      <c r="C169" s="196">
        <v>6.0</v>
      </c>
      <c r="D169" s="196" t="s">
        <v>37</v>
      </c>
      <c r="E169" s="309" t="s">
        <v>44</v>
      </c>
      <c r="F169" s="198">
        <v>0.0</v>
      </c>
      <c r="G169" s="3"/>
      <c r="H169" s="198">
        <v>0.0</v>
      </c>
      <c r="I169" s="3"/>
      <c r="J169" s="198">
        <v>0.0</v>
      </c>
      <c r="K169" s="3"/>
      <c r="L169" s="198">
        <v>0.0</v>
      </c>
      <c r="M169" s="3"/>
      <c r="N169" s="198">
        <v>130.0</v>
      </c>
      <c r="O169" s="3"/>
      <c r="P169" s="198">
        <v>130.0</v>
      </c>
      <c r="Q169" s="3"/>
      <c r="R169" s="198">
        <v>0.0</v>
      </c>
      <c r="S169" s="3"/>
      <c r="T169" s="198">
        <v>0.0</v>
      </c>
      <c r="U169" s="3"/>
      <c r="V169" s="198">
        <v>0.0</v>
      </c>
      <c r="W169" s="3"/>
      <c r="X169" s="198">
        <v>0.0</v>
      </c>
      <c r="Y169" s="3"/>
      <c r="Z169" s="198">
        <v>3.0</v>
      </c>
      <c r="AA169" s="3"/>
      <c r="AB169" s="198">
        <v>0.0</v>
      </c>
      <c r="AC169" s="3"/>
      <c r="AD169" s="198">
        <v>0.0</v>
      </c>
      <c r="AE169" s="3"/>
      <c r="AF169" s="198">
        <v>0.0</v>
      </c>
      <c r="AG169" s="3"/>
      <c r="AH169" s="198">
        <v>0.0</v>
      </c>
      <c r="AI169" s="3"/>
      <c r="AJ169" s="198">
        <v>0.0</v>
      </c>
      <c r="AK169" s="3"/>
      <c r="AL169" s="198">
        <v>0.0</v>
      </c>
      <c r="AM169" s="3"/>
      <c r="AN169" s="198">
        <v>0.0</v>
      </c>
      <c r="AO169" s="3"/>
      <c r="AP169" s="199">
        <f t="shared" si="11"/>
        <v>6140.266667</v>
      </c>
      <c r="AQ169" s="200">
        <f t="shared" si="10"/>
        <v>260</v>
      </c>
      <c r="AR169" s="200">
        <f t="shared" si="3"/>
        <v>0</v>
      </c>
      <c r="AS169" s="200">
        <f t="shared" si="4"/>
        <v>263</v>
      </c>
      <c r="AT169" s="199">
        <f t="shared" si="5"/>
        <v>23.34702155</v>
      </c>
    </row>
    <row r="170" ht="15.75" customHeight="1">
      <c r="A170" s="211" t="s">
        <v>28</v>
      </c>
      <c r="B170" s="195">
        <f t="shared" si="6"/>
        <v>45095</v>
      </c>
      <c r="C170" s="196">
        <v>6.0</v>
      </c>
      <c r="D170" s="196" t="s">
        <v>37</v>
      </c>
      <c r="E170" s="215" t="s">
        <v>45</v>
      </c>
      <c r="F170" s="216">
        <v>0.0</v>
      </c>
      <c r="G170" s="73"/>
      <c r="H170" s="216">
        <v>0.0</v>
      </c>
      <c r="I170" s="73"/>
      <c r="J170" s="216">
        <v>0.0</v>
      </c>
      <c r="K170" s="73"/>
      <c r="L170" s="216">
        <v>0.0</v>
      </c>
      <c r="M170" s="73"/>
      <c r="N170" s="216">
        <v>0.0</v>
      </c>
      <c r="O170" s="73"/>
      <c r="P170" s="216">
        <v>0.0</v>
      </c>
      <c r="Q170" s="73"/>
      <c r="R170" s="216">
        <v>0.0</v>
      </c>
      <c r="S170" s="73"/>
      <c r="T170" s="216">
        <v>0.0</v>
      </c>
      <c r="U170" s="73"/>
      <c r="V170" s="216">
        <v>0.0</v>
      </c>
      <c r="W170" s="73"/>
      <c r="X170" s="216">
        <v>0.0</v>
      </c>
      <c r="Y170" s="73"/>
      <c r="Z170" s="216">
        <v>0.0</v>
      </c>
      <c r="AA170" s="73"/>
      <c r="AB170" s="216">
        <v>0.0</v>
      </c>
      <c r="AC170" s="73"/>
      <c r="AD170" s="216">
        <v>0.0</v>
      </c>
      <c r="AE170" s="73"/>
      <c r="AF170" s="216">
        <v>0.0</v>
      </c>
      <c r="AG170" s="73"/>
      <c r="AH170" s="216">
        <v>0.0</v>
      </c>
      <c r="AI170" s="73"/>
      <c r="AJ170" s="216">
        <v>0.0</v>
      </c>
      <c r="AK170" s="73"/>
      <c r="AL170" s="216">
        <v>0.0</v>
      </c>
      <c r="AM170" s="73"/>
      <c r="AN170" s="216">
        <v>0.0</v>
      </c>
      <c r="AO170" s="73"/>
      <c r="AP170" s="218">
        <f t="shared" si="11"/>
        <v>0</v>
      </c>
      <c r="AQ170" s="219">
        <f t="shared" si="10"/>
        <v>0</v>
      </c>
      <c r="AR170" s="219">
        <f t="shared" si="3"/>
        <v>0</v>
      </c>
      <c r="AS170" s="219">
        <f t="shared" si="4"/>
        <v>0</v>
      </c>
      <c r="AT170" s="218" t="str">
        <f t="shared" si="5"/>
        <v/>
      </c>
    </row>
    <row r="171" ht="15.75" customHeight="1">
      <c r="A171" s="134" t="s">
        <v>21</v>
      </c>
      <c r="B171" s="135">
        <f t="shared" si="6"/>
        <v>45096</v>
      </c>
      <c r="C171" s="136">
        <v>7.0</v>
      </c>
      <c r="D171" s="136" t="s">
        <v>22</v>
      </c>
      <c r="E171" s="174" t="s">
        <v>44</v>
      </c>
      <c r="F171" s="138">
        <v>0.0</v>
      </c>
      <c r="G171" s="84"/>
      <c r="H171" s="138">
        <v>0.0</v>
      </c>
      <c r="I171" s="84"/>
      <c r="J171" s="138">
        <v>0.0</v>
      </c>
      <c r="K171" s="84"/>
      <c r="L171" s="138">
        <v>0.0</v>
      </c>
      <c r="M171" s="84"/>
      <c r="N171" s="138">
        <v>130.0</v>
      </c>
      <c r="O171" s="84"/>
      <c r="P171" s="138">
        <v>130.0</v>
      </c>
      <c r="Q171" s="84"/>
      <c r="R171" s="138">
        <v>30.0</v>
      </c>
      <c r="S171" s="84"/>
      <c r="T171" s="138">
        <v>0.0</v>
      </c>
      <c r="U171" s="84"/>
      <c r="V171" s="138">
        <v>0.0</v>
      </c>
      <c r="W171" s="84"/>
      <c r="X171" s="138">
        <v>0.0</v>
      </c>
      <c r="Y171" s="84"/>
      <c r="Z171" s="138">
        <v>0.0</v>
      </c>
      <c r="AA171" s="84"/>
      <c r="AB171" s="138">
        <v>0.0</v>
      </c>
      <c r="AC171" s="84"/>
      <c r="AD171" s="138">
        <v>0.0</v>
      </c>
      <c r="AE171" s="84"/>
      <c r="AF171" s="138">
        <v>0.0</v>
      </c>
      <c r="AG171" s="84"/>
      <c r="AH171" s="138">
        <v>0.0</v>
      </c>
      <c r="AI171" s="84"/>
      <c r="AJ171" s="138">
        <v>0.0</v>
      </c>
      <c r="AK171" s="84"/>
      <c r="AL171" s="138">
        <v>0.0</v>
      </c>
      <c r="AM171" s="84"/>
      <c r="AN171" s="138">
        <v>0.0</v>
      </c>
      <c r="AO171" s="84"/>
      <c r="AP171" s="140">
        <f t="shared" si="11"/>
        <v>6649.866667</v>
      </c>
      <c r="AQ171" s="141">
        <f t="shared" si="10"/>
        <v>290</v>
      </c>
      <c r="AR171" s="141">
        <f t="shared" si="3"/>
        <v>0</v>
      </c>
      <c r="AS171" s="141">
        <f t="shared" si="4"/>
        <v>290</v>
      </c>
      <c r="AT171" s="142">
        <f t="shared" si="5"/>
        <v>22.93057471</v>
      </c>
    </row>
    <row r="172" ht="15.75" customHeight="1">
      <c r="A172" s="143" t="s">
        <v>23</v>
      </c>
      <c r="B172" s="144">
        <f t="shared" si="6"/>
        <v>45097</v>
      </c>
      <c r="C172" s="145">
        <v>7.0</v>
      </c>
      <c r="D172" s="145" t="s">
        <v>22</v>
      </c>
      <c r="E172" s="175" t="s">
        <v>44</v>
      </c>
      <c r="F172" s="147">
        <v>0.0</v>
      </c>
      <c r="G172" s="3"/>
      <c r="H172" s="147">
        <v>0.0</v>
      </c>
      <c r="I172" s="3"/>
      <c r="J172" s="147">
        <v>0.0</v>
      </c>
      <c r="K172" s="3"/>
      <c r="L172" s="147">
        <v>0.0</v>
      </c>
      <c r="M172" s="3"/>
      <c r="N172" s="147">
        <v>130.0</v>
      </c>
      <c r="O172" s="3"/>
      <c r="P172" s="147">
        <v>130.0</v>
      </c>
      <c r="Q172" s="3"/>
      <c r="R172" s="147">
        <v>30.0</v>
      </c>
      <c r="S172" s="3"/>
      <c r="T172" s="147">
        <v>0.0</v>
      </c>
      <c r="U172" s="3"/>
      <c r="V172" s="147">
        <v>0.0</v>
      </c>
      <c r="W172" s="3"/>
      <c r="X172" s="147">
        <v>30.0</v>
      </c>
      <c r="Y172" s="3"/>
      <c r="Z172" s="147">
        <v>0.0</v>
      </c>
      <c r="AA172" s="3"/>
      <c r="AB172" s="147">
        <v>0.0</v>
      </c>
      <c r="AC172" s="3"/>
      <c r="AD172" s="147">
        <v>0.0</v>
      </c>
      <c r="AE172" s="3"/>
      <c r="AF172" s="147">
        <v>0.0</v>
      </c>
      <c r="AG172" s="3"/>
      <c r="AH172" s="147">
        <v>0.0</v>
      </c>
      <c r="AI172" s="3"/>
      <c r="AJ172" s="147">
        <v>0.0</v>
      </c>
      <c r="AK172" s="3"/>
      <c r="AL172" s="147">
        <v>0.0</v>
      </c>
      <c r="AM172" s="3"/>
      <c r="AN172" s="147">
        <v>0.0</v>
      </c>
      <c r="AO172" s="3"/>
      <c r="AP172" s="149">
        <f t="shared" si="11"/>
        <v>7242.066667</v>
      </c>
      <c r="AQ172" s="150">
        <f t="shared" si="10"/>
        <v>320</v>
      </c>
      <c r="AR172" s="150">
        <f t="shared" si="3"/>
        <v>0</v>
      </c>
      <c r="AS172" s="150">
        <f t="shared" si="4"/>
        <v>320</v>
      </c>
      <c r="AT172" s="151">
        <f t="shared" si="5"/>
        <v>22.63145833</v>
      </c>
    </row>
    <row r="173" ht="15.75" customHeight="1">
      <c r="A173" s="143" t="s">
        <v>24</v>
      </c>
      <c r="B173" s="144">
        <f t="shared" si="6"/>
        <v>45098</v>
      </c>
      <c r="C173" s="145">
        <v>7.0</v>
      </c>
      <c r="D173" s="145" t="s">
        <v>22</v>
      </c>
      <c r="E173" s="175" t="s">
        <v>44</v>
      </c>
      <c r="F173" s="147">
        <v>0.0</v>
      </c>
      <c r="G173" s="3"/>
      <c r="H173" s="147">
        <v>0.0</v>
      </c>
      <c r="I173" s="3"/>
      <c r="J173" s="147">
        <v>0.0</v>
      </c>
      <c r="K173" s="3"/>
      <c r="L173" s="147">
        <v>0.0</v>
      </c>
      <c r="M173" s="3"/>
      <c r="N173" s="147">
        <v>130.0</v>
      </c>
      <c r="O173" s="3"/>
      <c r="P173" s="147">
        <v>130.0</v>
      </c>
      <c r="Q173" s="3"/>
      <c r="R173" s="147">
        <v>0.0</v>
      </c>
      <c r="S173" s="3"/>
      <c r="T173" s="147">
        <v>0.0</v>
      </c>
      <c r="U173" s="3"/>
      <c r="V173" s="147">
        <v>0.0</v>
      </c>
      <c r="W173" s="3"/>
      <c r="X173" s="147">
        <v>0.0</v>
      </c>
      <c r="Y173" s="3"/>
      <c r="Z173" s="147">
        <v>0.0</v>
      </c>
      <c r="AA173" s="3"/>
      <c r="AB173" s="147">
        <v>0.0</v>
      </c>
      <c r="AC173" s="3"/>
      <c r="AD173" s="147">
        <v>0.0</v>
      </c>
      <c r="AE173" s="3"/>
      <c r="AF173" s="147">
        <v>0.0</v>
      </c>
      <c r="AG173" s="3"/>
      <c r="AH173" s="147">
        <v>0.0</v>
      </c>
      <c r="AI173" s="3"/>
      <c r="AJ173" s="147">
        <v>0.0</v>
      </c>
      <c r="AK173" s="3"/>
      <c r="AL173" s="147">
        <v>0.0</v>
      </c>
      <c r="AM173" s="3"/>
      <c r="AN173" s="147">
        <v>0.0</v>
      </c>
      <c r="AO173" s="3"/>
      <c r="AP173" s="149">
        <f t="shared" si="11"/>
        <v>5900.266667</v>
      </c>
      <c r="AQ173" s="150">
        <f t="shared" si="10"/>
        <v>260</v>
      </c>
      <c r="AR173" s="150">
        <f t="shared" si="3"/>
        <v>0</v>
      </c>
      <c r="AS173" s="150">
        <f t="shared" si="4"/>
        <v>260</v>
      </c>
      <c r="AT173" s="151">
        <f t="shared" si="5"/>
        <v>22.69333333</v>
      </c>
    </row>
    <row r="174" ht="15.75" customHeight="1">
      <c r="A174" s="143" t="s">
        <v>25</v>
      </c>
      <c r="B174" s="144">
        <f t="shared" si="6"/>
        <v>45099</v>
      </c>
      <c r="C174" s="145">
        <v>7.0</v>
      </c>
      <c r="D174" s="145" t="s">
        <v>22</v>
      </c>
      <c r="E174" s="175" t="s">
        <v>44</v>
      </c>
      <c r="F174" s="147">
        <v>0.0</v>
      </c>
      <c r="G174" s="3"/>
      <c r="H174" s="147">
        <v>0.0</v>
      </c>
      <c r="I174" s="3"/>
      <c r="J174" s="147">
        <v>0.0</v>
      </c>
      <c r="K174" s="3"/>
      <c r="L174" s="147">
        <v>0.0</v>
      </c>
      <c r="M174" s="3"/>
      <c r="N174" s="147">
        <v>130.0</v>
      </c>
      <c r="O174" s="3"/>
      <c r="P174" s="147">
        <v>130.0</v>
      </c>
      <c r="Q174" s="3"/>
      <c r="R174" s="147">
        <v>30.0</v>
      </c>
      <c r="S174" s="3"/>
      <c r="T174" s="147">
        <v>0.0</v>
      </c>
      <c r="U174" s="3"/>
      <c r="V174" s="147">
        <v>0.0</v>
      </c>
      <c r="W174" s="3"/>
      <c r="X174" s="147">
        <v>30.0</v>
      </c>
      <c r="Y174" s="3"/>
      <c r="Z174" s="147">
        <v>0.0</v>
      </c>
      <c r="AA174" s="3"/>
      <c r="AB174" s="147">
        <v>0.0</v>
      </c>
      <c r="AC174" s="3"/>
      <c r="AD174" s="147">
        <v>0.0</v>
      </c>
      <c r="AE174" s="3"/>
      <c r="AF174" s="147">
        <v>0.0</v>
      </c>
      <c r="AG174" s="3"/>
      <c r="AH174" s="147">
        <v>0.0</v>
      </c>
      <c r="AI174" s="3"/>
      <c r="AJ174" s="147">
        <v>0.0</v>
      </c>
      <c r="AK174" s="3"/>
      <c r="AL174" s="147">
        <v>0.0</v>
      </c>
      <c r="AM174" s="3"/>
      <c r="AN174" s="147">
        <v>0.0</v>
      </c>
      <c r="AO174" s="3"/>
      <c r="AP174" s="149">
        <f t="shared" si="11"/>
        <v>7242.066667</v>
      </c>
      <c r="AQ174" s="150">
        <f t="shared" si="10"/>
        <v>320</v>
      </c>
      <c r="AR174" s="150">
        <f t="shared" si="3"/>
        <v>0</v>
      </c>
      <c r="AS174" s="150">
        <f t="shared" si="4"/>
        <v>320</v>
      </c>
      <c r="AT174" s="151">
        <f t="shared" si="5"/>
        <v>22.63145833</v>
      </c>
    </row>
    <row r="175" ht="15.75" customHeight="1">
      <c r="A175" s="143" t="s">
        <v>26</v>
      </c>
      <c r="B175" s="144">
        <f t="shared" si="6"/>
        <v>45100</v>
      </c>
      <c r="C175" s="145">
        <v>7.0</v>
      </c>
      <c r="D175" s="145" t="s">
        <v>22</v>
      </c>
      <c r="E175" s="175" t="s">
        <v>44</v>
      </c>
      <c r="F175" s="147">
        <v>0.0</v>
      </c>
      <c r="G175" s="3"/>
      <c r="H175" s="147">
        <v>0.0</v>
      </c>
      <c r="I175" s="3"/>
      <c r="J175" s="147">
        <v>0.0</v>
      </c>
      <c r="K175" s="3"/>
      <c r="L175" s="147">
        <v>0.0</v>
      </c>
      <c r="M175" s="3"/>
      <c r="N175" s="147">
        <v>130.0</v>
      </c>
      <c r="O175" s="3"/>
      <c r="P175" s="147">
        <v>130.0</v>
      </c>
      <c r="Q175" s="3"/>
      <c r="R175" s="147">
        <v>30.0</v>
      </c>
      <c r="S175" s="3"/>
      <c r="T175" s="147">
        <v>0.0</v>
      </c>
      <c r="U175" s="3"/>
      <c r="V175" s="147">
        <v>0.0</v>
      </c>
      <c r="W175" s="3"/>
      <c r="X175" s="147">
        <v>0.0</v>
      </c>
      <c r="Y175" s="3"/>
      <c r="Z175" s="147">
        <v>0.0</v>
      </c>
      <c r="AA175" s="3"/>
      <c r="AB175" s="147">
        <v>0.0</v>
      </c>
      <c r="AC175" s="3"/>
      <c r="AD175" s="147">
        <v>0.0</v>
      </c>
      <c r="AE175" s="3"/>
      <c r="AF175" s="147">
        <v>0.0</v>
      </c>
      <c r="AG175" s="3"/>
      <c r="AH175" s="147">
        <v>0.0</v>
      </c>
      <c r="AI175" s="3"/>
      <c r="AJ175" s="147">
        <v>0.0</v>
      </c>
      <c r="AK175" s="3"/>
      <c r="AL175" s="147">
        <v>0.0</v>
      </c>
      <c r="AM175" s="3"/>
      <c r="AN175" s="147">
        <v>0.0</v>
      </c>
      <c r="AO175" s="3"/>
      <c r="AP175" s="149">
        <f t="shared" si="11"/>
        <v>6649.866667</v>
      </c>
      <c r="AQ175" s="150">
        <f t="shared" si="10"/>
        <v>290</v>
      </c>
      <c r="AR175" s="150">
        <f t="shared" si="3"/>
        <v>0</v>
      </c>
      <c r="AS175" s="150">
        <f t="shared" si="4"/>
        <v>290</v>
      </c>
      <c r="AT175" s="151">
        <f t="shared" si="5"/>
        <v>22.93057471</v>
      </c>
    </row>
    <row r="176" ht="15.75" customHeight="1">
      <c r="A176" s="143" t="s">
        <v>27</v>
      </c>
      <c r="B176" s="144">
        <f t="shared" si="6"/>
        <v>45101</v>
      </c>
      <c r="C176" s="145">
        <v>7.0</v>
      </c>
      <c r="D176" s="145" t="s">
        <v>22</v>
      </c>
      <c r="E176" s="175" t="s">
        <v>44</v>
      </c>
      <c r="F176" s="147">
        <v>0.0</v>
      </c>
      <c r="G176" s="3"/>
      <c r="H176" s="147">
        <v>0.0</v>
      </c>
      <c r="I176" s="3"/>
      <c r="J176" s="147">
        <v>0.0</v>
      </c>
      <c r="K176" s="3"/>
      <c r="L176" s="147">
        <v>0.0</v>
      </c>
      <c r="M176" s="3"/>
      <c r="N176" s="147">
        <v>130.0</v>
      </c>
      <c r="O176" s="3"/>
      <c r="P176" s="147">
        <v>130.0</v>
      </c>
      <c r="Q176" s="3"/>
      <c r="R176" s="147">
        <v>0.0</v>
      </c>
      <c r="S176" s="3"/>
      <c r="T176" s="147">
        <v>0.0</v>
      </c>
      <c r="U176" s="3"/>
      <c r="V176" s="147">
        <v>0.0</v>
      </c>
      <c r="W176" s="3"/>
      <c r="X176" s="147">
        <v>0.0</v>
      </c>
      <c r="Y176" s="3"/>
      <c r="Z176" s="147">
        <v>0.0</v>
      </c>
      <c r="AA176" s="3"/>
      <c r="AB176" s="147">
        <v>0.0</v>
      </c>
      <c r="AC176" s="3"/>
      <c r="AD176" s="147">
        <v>0.0</v>
      </c>
      <c r="AE176" s="3"/>
      <c r="AF176" s="147">
        <v>0.0</v>
      </c>
      <c r="AG176" s="3"/>
      <c r="AH176" s="147">
        <v>0.0</v>
      </c>
      <c r="AI176" s="3"/>
      <c r="AJ176" s="147">
        <v>0.0</v>
      </c>
      <c r="AK176" s="3"/>
      <c r="AL176" s="147">
        <v>0.0</v>
      </c>
      <c r="AM176" s="3"/>
      <c r="AN176" s="147">
        <v>0.0</v>
      </c>
      <c r="AO176" s="3"/>
      <c r="AP176" s="149">
        <f t="shared" si="11"/>
        <v>5900.266667</v>
      </c>
      <c r="AQ176" s="150">
        <f t="shared" si="10"/>
        <v>260</v>
      </c>
      <c r="AR176" s="150">
        <f t="shared" si="3"/>
        <v>0</v>
      </c>
      <c r="AS176" s="150">
        <f t="shared" si="4"/>
        <v>260</v>
      </c>
      <c r="AT176" s="151">
        <f t="shared" si="5"/>
        <v>22.69333333</v>
      </c>
    </row>
    <row r="177" ht="15.75" customHeight="1">
      <c r="A177" s="143" t="s">
        <v>28</v>
      </c>
      <c r="B177" s="144">
        <f t="shared" si="6"/>
        <v>45102</v>
      </c>
      <c r="C177" s="145">
        <v>7.0</v>
      </c>
      <c r="D177" s="145" t="s">
        <v>22</v>
      </c>
      <c r="E177" s="281" t="s">
        <v>45</v>
      </c>
      <c r="F177" s="159">
        <v>0.0</v>
      </c>
      <c r="G177" s="73"/>
      <c r="H177" s="159">
        <v>0.0</v>
      </c>
      <c r="I177" s="73"/>
      <c r="J177" s="159">
        <v>0.0</v>
      </c>
      <c r="K177" s="73"/>
      <c r="L177" s="159">
        <v>0.0</v>
      </c>
      <c r="M177" s="73"/>
      <c r="N177" s="159">
        <v>0.0</v>
      </c>
      <c r="O177" s="73"/>
      <c r="P177" s="159">
        <v>0.0</v>
      </c>
      <c r="Q177" s="73"/>
      <c r="R177" s="159">
        <v>0.0</v>
      </c>
      <c r="S177" s="73"/>
      <c r="T177" s="159">
        <v>0.0</v>
      </c>
      <c r="U177" s="73"/>
      <c r="V177" s="159">
        <v>0.0</v>
      </c>
      <c r="W177" s="73"/>
      <c r="X177" s="159">
        <v>0.0</v>
      </c>
      <c r="Y177" s="73"/>
      <c r="Z177" s="159">
        <v>0.0</v>
      </c>
      <c r="AA177" s="73"/>
      <c r="AB177" s="159">
        <v>0.0</v>
      </c>
      <c r="AC177" s="73"/>
      <c r="AD177" s="159">
        <v>0.0</v>
      </c>
      <c r="AE177" s="73"/>
      <c r="AF177" s="159">
        <v>0.0</v>
      </c>
      <c r="AG177" s="73"/>
      <c r="AH177" s="159">
        <v>0.0</v>
      </c>
      <c r="AI177" s="73"/>
      <c r="AJ177" s="159">
        <v>0.0</v>
      </c>
      <c r="AK177" s="73"/>
      <c r="AL177" s="159">
        <v>0.0</v>
      </c>
      <c r="AM177" s="73"/>
      <c r="AN177" s="159">
        <v>0.0</v>
      </c>
      <c r="AO177" s="73"/>
      <c r="AP177" s="161">
        <f t="shared" si="11"/>
        <v>0</v>
      </c>
      <c r="AQ177" s="157">
        <f t="shared" si="10"/>
        <v>0</v>
      </c>
      <c r="AR177" s="157">
        <f t="shared" si="3"/>
        <v>0</v>
      </c>
      <c r="AS177" s="157">
        <f t="shared" si="4"/>
        <v>0</v>
      </c>
      <c r="AT177" s="162" t="str">
        <f t="shared" si="5"/>
        <v/>
      </c>
    </row>
    <row r="178" ht="15.75" customHeight="1">
      <c r="A178" s="220" t="s">
        <v>21</v>
      </c>
      <c r="B178" s="221">
        <f t="shared" si="6"/>
        <v>45103</v>
      </c>
      <c r="C178" s="222">
        <v>7.0</v>
      </c>
      <c r="D178" s="222" t="s">
        <v>34</v>
      </c>
      <c r="E178" s="223" t="s">
        <v>44</v>
      </c>
      <c r="F178" s="224">
        <v>0.0</v>
      </c>
      <c r="G178" s="190"/>
      <c r="H178" s="224">
        <v>0.0</v>
      </c>
      <c r="I178" s="190"/>
      <c r="J178" s="224">
        <v>0.0</v>
      </c>
      <c r="K178" s="190"/>
      <c r="L178" s="224">
        <v>0.0</v>
      </c>
      <c r="M178" s="190"/>
      <c r="N178" s="224">
        <v>130.0</v>
      </c>
      <c r="O178" s="190"/>
      <c r="P178" s="224">
        <v>130.0</v>
      </c>
      <c r="Q178" s="190"/>
      <c r="R178" s="224">
        <v>30.0</v>
      </c>
      <c r="S178" s="190"/>
      <c r="T178" s="224">
        <v>0.0</v>
      </c>
      <c r="U178" s="190"/>
      <c r="V178" s="224">
        <v>0.0</v>
      </c>
      <c r="W178" s="190"/>
      <c r="X178" s="224">
        <v>0.0</v>
      </c>
      <c r="Y178" s="190"/>
      <c r="Z178" s="224">
        <v>3.0</v>
      </c>
      <c r="AA178" s="190"/>
      <c r="AB178" s="224">
        <v>0.0</v>
      </c>
      <c r="AC178" s="190"/>
      <c r="AD178" s="224">
        <v>0.0</v>
      </c>
      <c r="AE178" s="190"/>
      <c r="AF178" s="224">
        <v>0.0</v>
      </c>
      <c r="AG178" s="190"/>
      <c r="AH178" s="224">
        <v>0.0</v>
      </c>
      <c r="AI178" s="190"/>
      <c r="AJ178" s="224">
        <v>0.0</v>
      </c>
      <c r="AK178" s="190"/>
      <c r="AL178" s="224">
        <v>0.0</v>
      </c>
      <c r="AM178" s="190"/>
      <c r="AN178" s="224">
        <v>0.0</v>
      </c>
      <c r="AO178" s="190"/>
      <c r="AP178" s="225">
        <f t="shared" si="11"/>
        <v>6889.866667</v>
      </c>
      <c r="AQ178" s="226">
        <f t="shared" si="10"/>
        <v>290</v>
      </c>
      <c r="AR178" s="226">
        <f t="shared" si="3"/>
        <v>0</v>
      </c>
      <c r="AS178" s="226">
        <f t="shared" si="4"/>
        <v>293</v>
      </c>
      <c r="AT178" s="227">
        <f t="shared" si="5"/>
        <v>23.5149033</v>
      </c>
    </row>
    <row r="179" ht="15.75" customHeight="1">
      <c r="A179" s="322" t="s">
        <v>23</v>
      </c>
      <c r="B179" s="323">
        <f t="shared" si="6"/>
        <v>45104</v>
      </c>
      <c r="C179" s="324">
        <v>7.0</v>
      </c>
      <c r="D179" s="324" t="s">
        <v>34</v>
      </c>
      <c r="E179" s="231" t="s">
        <v>44</v>
      </c>
      <c r="F179" s="232">
        <v>0.0</v>
      </c>
      <c r="G179" s="3"/>
      <c r="H179" s="232">
        <v>0.0</v>
      </c>
      <c r="I179" s="3"/>
      <c r="J179" s="232">
        <v>0.0</v>
      </c>
      <c r="K179" s="3"/>
      <c r="L179" s="232">
        <v>0.0</v>
      </c>
      <c r="M179" s="3"/>
      <c r="N179" s="232">
        <v>130.0</v>
      </c>
      <c r="O179" s="3"/>
      <c r="P179" s="232">
        <v>130.0</v>
      </c>
      <c r="Q179" s="3"/>
      <c r="R179" s="232">
        <v>30.0</v>
      </c>
      <c r="S179" s="3"/>
      <c r="T179" s="232">
        <v>0.0</v>
      </c>
      <c r="U179" s="3"/>
      <c r="V179" s="232">
        <v>0.0</v>
      </c>
      <c r="W179" s="3"/>
      <c r="X179" s="232">
        <v>0.0</v>
      </c>
      <c r="Y179" s="3"/>
      <c r="Z179" s="232">
        <v>3.0</v>
      </c>
      <c r="AA179" s="3"/>
      <c r="AB179" s="232">
        <v>0.0</v>
      </c>
      <c r="AC179" s="3"/>
      <c r="AD179" s="232">
        <v>0.0</v>
      </c>
      <c r="AE179" s="3"/>
      <c r="AF179" s="232">
        <v>0.0</v>
      </c>
      <c r="AG179" s="3"/>
      <c r="AH179" s="232">
        <v>0.0</v>
      </c>
      <c r="AI179" s="3"/>
      <c r="AJ179" s="232">
        <v>0.0</v>
      </c>
      <c r="AK179" s="3"/>
      <c r="AL179" s="232">
        <v>0.0</v>
      </c>
      <c r="AM179" s="3"/>
      <c r="AN179" s="232">
        <v>0.0</v>
      </c>
      <c r="AO179" s="3"/>
      <c r="AP179" s="233">
        <f t="shared" si="11"/>
        <v>6889.866667</v>
      </c>
      <c r="AQ179" s="234">
        <f t="shared" si="10"/>
        <v>290</v>
      </c>
      <c r="AR179" s="234">
        <f t="shared" si="3"/>
        <v>0</v>
      </c>
      <c r="AS179" s="234">
        <f t="shared" si="4"/>
        <v>293</v>
      </c>
      <c r="AT179" s="235">
        <f t="shared" si="5"/>
        <v>23.5149033</v>
      </c>
    </row>
    <row r="180" ht="15.75" customHeight="1">
      <c r="A180" s="228" t="s">
        <v>24</v>
      </c>
      <c r="B180" s="229">
        <f t="shared" si="6"/>
        <v>45105</v>
      </c>
      <c r="C180" s="230">
        <v>7.0</v>
      </c>
      <c r="D180" s="230" t="s">
        <v>34</v>
      </c>
      <c r="E180" s="231" t="s">
        <v>44</v>
      </c>
      <c r="F180" s="232">
        <v>0.0</v>
      </c>
      <c r="G180" s="3"/>
      <c r="H180" s="232">
        <v>0.0</v>
      </c>
      <c r="I180" s="3"/>
      <c r="J180" s="232">
        <v>0.0</v>
      </c>
      <c r="K180" s="3"/>
      <c r="L180" s="232">
        <v>0.0</v>
      </c>
      <c r="M180" s="3"/>
      <c r="N180" s="232">
        <v>130.0</v>
      </c>
      <c r="O180" s="3"/>
      <c r="P180" s="232">
        <v>130.0</v>
      </c>
      <c r="Q180" s="3"/>
      <c r="R180" s="232">
        <v>0.0</v>
      </c>
      <c r="S180" s="3"/>
      <c r="T180" s="232">
        <v>0.0</v>
      </c>
      <c r="U180" s="3"/>
      <c r="V180" s="232">
        <v>0.0</v>
      </c>
      <c r="W180" s="3"/>
      <c r="X180" s="232">
        <v>0.0</v>
      </c>
      <c r="Y180" s="3"/>
      <c r="Z180" s="232">
        <v>4.0</v>
      </c>
      <c r="AA180" s="3"/>
      <c r="AB180" s="232">
        <v>0.0</v>
      </c>
      <c r="AC180" s="3"/>
      <c r="AD180" s="232">
        <v>0.0</v>
      </c>
      <c r="AE180" s="3"/>
      <c r="AF180" s="232">
        <v>0.0</v>
      </c>
      <c r="AG180" s="3"/>
      <c r="AH180" s="232">
        <v>0.0</v>
      </c>
      <c r="AI180" s="3"/>
      <c r="AJ180" s="232">
        <v>0.0</v>
      </c>
      <c r="AK180" s="3"/>
      <c r="AL180" s="232">
        <v>0.0</v>
      </c>
      <c r="AM180" s="3"/>
      <c r="AN180" s="232">
        <v>0.0</v>
      </c>
      <c r="AO180" s="3"/>
      <c r="AP180" s="233">
        <f t="shared" si="11"/>
        <v>6220.266667</v>
      </c>
      <c r="AQ180" s="234">
        <f t="shared" si="10"/>
        <v>260</v>
      </c>
      <c r="AR180" s="234">
        <f t="shared" si="3"/>
        <v>0</v>
      </c>
      <c r="AS180" s="234">
        <f t="shared" si="4"/>
        <v>264</v>
      </c>
      <c r="AT180" s="235">
        <f t="shared" si="5"/>
        <v>23.56161616</v>
      </c>
    </row>
    <row r="181" ht="15.75" customHeight="1">
      <c r="A181" s="228" t="s">
        <v>25</v>
      </c>
      <c r="B181" s="229">
        <f t="shared" si="6"/>
        <v>45106</v>
      </c>
      <c r="C181" s="230">
        <v>7.0</v>
      </c>
      <c r="D181" s="230" t="s">
        <v>34</v>
      </c>
      <c r="E181" s="231" t="s">
        <v>44</v>
      </c>
      <c r="F181" s="232">
        <v>0.0</v>
      </c>
      <c r="G181" s="3"/>
      <c r="H181" s="232">
        <v>0.0</v>
      </c>
      <c r="I181" s="3"/>
      <c r="J181" s="232">
        <v>0.0</v>
      </c>
      <c r="K181" s="3"/>
      <c r="L181" s="232">
        <v>0.0</v>
      </c>
      <c r="M181" s="3"/>
      <c r="N181" s="232">
        <v>130.0</v>
      </c>
      <c r="O181" s="3"/>
      <c r="P181" s="232">
        <v>130.0</v>
      </c>
      <c r="Q181" s="3"/>
      <c r="R181" s="232">
        <v>30.0</v>
      </c>
      <c r="S181" s="3"/>
      <c r="T181" s="232">
        <v>0.0</v>
      </c>
      <c r="U181" s="3"/>
      <c r="V181" s="232">
        <v>0.0</v>
      </c>
      <c r="W181" s="3"/>
      <c r="X181" s="232">
        <v>30.0</v>
      </c>
      <c r="Y181" s="3"/>
      <c r="Z181" s="232">
        <v>0.0</v>
      </c>
      <c r="AA181" s="3"/>
      <c r="AB181" s="232">
        <v>3.0</v>
      </c>
      <c r="AC181" s="3"/>
      <c r="AD181" s="232">
        <v>0.0</v>
      </c>
      <c r="AE181" s="3"/>
      <c r="AF181" s="232">
        <v>0.0</v>
      </c>
      <c r="AG181" s="3"/>
      <c r="AH181" s="232">
        <v>0.0</v>
      </c>
      <c r="AI181" s="3"/>
      <c r="AJ181" s="232">
        <v>0.0</v>
      </c>
      <c r="AK181" s="3"/>
      <c r="AL181" s="232">
        <v>0.0</v>
      </c>
      <c r="AM181" s="3"/>
      <c r="AN181" s="232">
        <v>0.0</v>
      </c>
      <c r="AO181" s="3"/>
      <c r="AP181" s="233">
        <f t="shared" si="11"/>
        <v>7617.066667</v>
      </c>
      <c r="AQ181" s="234">
        <f t="shared" si="10"/>
        <v>320</v>
      </c>
      <c r="AR181" s="234">
        <f t="shared" si="3"/>
        <v>0</v>
      </c>
      <c r="AS181" s="234">
        <f t="shared" si="4"/>
        <v>323</v>
      </c>
      <c r="AT181" s="235">
        <f t="shared" si="5"/>
        <v>23.58224974</v>
      </c>
    </row>
    <row r="182" ht="15.75" customHeight="1">
      <c r="A182" s="228" t="s">
        <v>26</v>
      </c>
      <c r="B182" s="229">
        <f t="shared" si="6"/>
        <v>45107</v>
      </c>
      <c r="C182" s="230">
        <v>7.0</v>
      </c>
      <c r="D182" s="230" t="s">
        <v>34</v>
      </c>
      <c r="E182" s="231" t="s">
        <v>44</v>
      </c>
      <c r="F182" s="232">
        <v>0.0</v>
      </c>
      <c r="G182" s="3"/>
      <c r="H182" s="232">
        <v>0.0</v>
      </c>
      <c r="I182" s="3"/>
      <c r="J182" s="232">
        <v>0.0</v>
      </c>
      <c r="K182" s="3"/>
      <c r="L182" s="232">
        <v>0.0</v>
      </c>
      <c r="M182" s="3"/>
      <c r="N182" s="232">
        <v>130.0</v>
      </c>
      <c r="O182" s="3"/>
      <c r="P182" s="232">
        <v>130.0</v>
      </c>
      <c r="Q182" s="3"/>
      <c r="R182" s="232">
        <v>20.0</v>
      </c>
      <c r="S182" s="3"/>
      <c r="T182" s="232">
        <v>0.0</v>
      </c>
      <c r="U182" s="3"/>
      <c r="V182" s="232">
        <v>0.0</v>
      </c>
      <c r="W182" s="3"/>
      <c r="X182" s="232">
        <v>30.0</v>
      </c>
      <c r="Y182" s="3"/>
      <c r="Z182" s="232">
        <v>3.0</v>
      </c>
      <c r="AA182" s="3"/>
      <c r="AB182" s="232">
        <v>0.0</v>
      </c>
      <c r="AC182" s="3"/>
      <c r="AD182" s="232">
        <v>0.0</v>
      </c>
      <c r="AE182" s="3"/>
      <c r="AF182" s="232">
        <v>0.0</v>
      </c>
      <c r="AG182" s="3"/>
      <c r="AH182" s="232">
        <v>0.0</v>
      </c>
      <c r="AI182" s="3"/>
      <c r="AJ182" s="232">
        <v>0.0</v>
      </c>
      <c r="AK182" s="3"/>
      <c r="AL182" s="232">
        <v>0.0</v>
      </c>
      <c r="AM182" s="3"/>
      <c r="AN182" s="232">
        <v>0.0</v>
      </c>
      <c r="AO182" s="3"/>
      <c r="AP182" s="233">
        <f t="shared" si="11"/>
        <v>7232.2</v>
      </c>
      <c r="AQ182" s="234">
        <f t="shared" si="10"/>
        <v>310</v>
      </c>
      <c r="AR182" s="234">
        <f t="shared" si="3"/>
        <v>0</v>
      </c>
      <c r="AS182" s="234">
        <f t="shared" si="4"/>
        <v>313</v>
      </c>
      <c r="AT182" s="235">
        <f t="shared" si="5"/>
        <v>23.10607029</v>
      </c>
    </row>
    <row r="183" ht="15.75" customHeight="1">
      <c r="A183" s="228" t="s">
        <v>27</v>
      </c>
      <c r="B183" s="229">
        <f t="shared" si="6"/>
        <v>45108</v>
      </c>
      <c r="C183" s="230">
        <v>7.0</v>
      </c>
      <c r="D183" s="230" t="s">
        <v>34</v>
      </c>
      <c r="E183" s="231" t="s">
        <v>44</v>
      </c>
      <c r="F183" s="232">
        <v>0.0</v>
      </c>
      <c r="G183" s="3"/>
      <c r="H183" s="232">
        <v>0.0</v>
      </c>
      <c r="I183" s="3"/>
      <c r="J183" s="232">
        <v>0.0</v>
      </c>
      <c r="K183" s="3"/>
      <c r="L183" s="232">
        <v>0.0</v>
      </c>
      <c r="M183" s="3"/>
      <c r="N183" s="232">
        <v>130.0</v>
      </c>
      <c r="O183" s="3"/>
      <c r="P183" s="232">
        <v>130.0</v>
      </c>
      <c r="Q183" s="3"/>
      <c r="R183" s="232">
        <v>0.0</v>
      </c>
      <c r="S183" s="3"/>
      <c r="T183" s="232">
        <v>0.0</v>
      </c>
      <c r="U183" s="3"/>
      <c r="V183" s="232">
        <v>0.0</v>
      </c>
      <c r="W183" s="3"/>
      <c r="X183" s="232">
        <v>0.0</v>
      </c>
      <c r="Y183" s="3"/>
      <c r="Z183" s="232">
        <v>3.0</v>
      </c>
      <c r="AA183" s="3"/>
      <c r="AB183" s="232">
        <v>0.0</v>
      </c>
      <c r="AC183" s="3"/>
      <c r="AD183" s="232">
        <v>0.0</v>
      </c>
      <c r="AE183" s="3"/>
      <c r="AF183" s="232">
        <v>0.0</v>
      </c>
      <c r="AG183" s="3"/>
      <c r="AH183" s="232">
        <v>0.0</v>
      </c>
      <c r="AI183" s="3"/>
      <c r="AJ183" s="232">
        <v>0.0</v>
      </c>
      <c r="AK183" s="3"/>
      <c r="AL183" s="232">
        <v>0.0</v>
      </c>
      <c r="AM183" s="3"/>
      <c r="AN183" s="232">
        <v>0.0</v>
      </c>
      <c r="AO183" s="3"/>
      <c r="AP183" s="233">
        <f t="shared" si="11"/>
        <v>6140.266667</v>
      </c>
      <c r="AQ183" s="234">
        <f t="shared" si="10"/>
        <v>260</v>
      </c>
      <c r="AR183" s="234">
        <f t="shared" si="3"/>
        <v>0</v>
      </c>
      <c r="AS183" s="234">
        <f t="shared" si="4"/>
        <v>263</v>
      </c>
      <c r="AT183" s="235">
        <f t="shared" si="5"/>
        <v>23.34702155</v>
      </c>
    </row>
    <row r="184" ht="15.75" customHeight="1">
      <c r="A184" s="228" t="s">
        <v>28</v>
      </c>
      <c r="B184" s="229">
        <f t="shared" si="6"/>
        <v>45109</v>
      </c>
      <c r="C184" s="230">
        <v>7.0</v>
      </c>
      <c r="D184" s="230" t="s">
        <v>34</v>
      </c>
      <c r="E184" s="236" t="s">
        <v>50</v>
      </c>
      <c r="F184" s="237">
        <v>0.0</v>
      </c>
      <c r="G184" s="73"/>
      <c r="H184" s="237">
        <v>0.0</v>
      </c>
      <c r="I184" s="73"/>
      <c r="J184" s="237">
        <v>0.0</v>
      </c>
      <c r="K184" s="73"/>
      <c r="L184" s="237">
        <v>0.0</v>
      </c>
      <c r="M184" s="73"/>
      <c r="N184" s="237">
        <v>0.0</v>
      </c>
      <c r="O184" s="73"/>
      <c r="P184" s="237">
        <v>0.0</v>
      </c>
      <c r="Q184" s="73"/>
      <c r="R184" s="237">
        <v>0.0</v>
      </c>
      <c r="S184" s="73"/>
      <c r="T184" s="237">
        <v>0.0</v>
      </c>
      <c r="U184" s="73"/>
      <c r="V184" s="237">
        <v>0.0</v>
      </c>
      <c r="W184" s="73"/>
      <c r="X184" s="237">
        <v>0.0</v>
      </c>
      <c r="Y184" s="73"/>
      <c r="Z184" s="237">
        <v>0.0</v>
      </c>
      <c r="AA184" s="73"/>
      <c r="AB184" s="237">
        <v>0.0</v>
      </c>
      <c r="AC184" s="73"/>
      <c r="AD184" s="237">
        <v>0.0</v>
      </c>
      <c r="AE184" s="73"/>
      <c r="AF184" s="237">
        <v>0.0</v>
      </c>
      <c r="AG184" s="73"/>
      <c r="AH184" s="237">
        <v>0.0</v>
      </c>
      <c r="AI184" s="73"/>
      <c r="AJ184" s="237">
        <v>0.0</v>
      </c>
      <c r="AK184" s="73"/>
      <c r="AL184" s="237">
        <v>0.0</v>
      </c>
      <c r="AM184" s="73"/>
      <c r="AN184" s="237">
        <v>0.0</v>
      </c>
      <c r="AO184" s="73"/>
      <c r="AP184" s="238">
        <f t="shared" si="11"/>
        <v>0</v>
      </c>
      <c r="AQ184" s="239">
        <f t="shared" si="10"/>
        <v>0</v>
      </c>
      <c r="AR184" s="239">
        <f t="shared" si="3"/>
        <v>0</v>
      </c>
      <c r="AS184" s="239">
        <f t="shared" si="4"/>
        <v>0</v>
      </c>
      <c r="AT184" s="240" t="str">
        <f t="shared" si="5"/>
        <v/>
      </c>
    </row>
    <row r="185" ht="15.75" customHeight="1">
      <c r="A185" s="325" t="s">
        <v>21</v>
      </c>
      <c r="B185" s="326">
        <f t="shared" si="6"/>
        <v>45110</v>
      </c>
      <c r="C185" s="292">
        <v>7.0</v>
      </c>
      <c r="D185" s="292" t="s">
        <v>36</v>
      </c>
      <c r="E185" s="293" t="s">
        <v>44</v>
      </c>
      <c r="F185" s="294">
        <v>0.0</v>
      </c>
      <c r="G185" s="190"/>
      <c r="H185" s="294">
        <v>0.0</v>
      </c>
      <c r="I185" s="190"/>
      <c r="J185" s="294">
        <v>0.0</v>
      </c>
      <c r="K185" s="190"/>
      <c r="L185" s="294">
        <v>0.0</v>
      </c>
      <c r="M185" s="190"/>
      <c r="N185" s="294">
        <v>130.0</v>
      </c>
      <c r="O185" s="190"/>
      <c r="P185" s="294">
        <v>130.0</v>
      </c>
      <c r="Q185" s="190"/>
      <c r="R185" s="294">
        <v>20.0</v>
      </c>
      <c r="S185" s="190"/>
      <c r="T185" s="294">
        <v>0.0</v>
      </c>
      <c r="U185" s="190"/>
      <c r="V185" s="294">
        <v>0.0</v>
      </c>
      <c r="W185" s="190"/>
      <c r="X185" s="294">
        <v>30.0</v>
      </c>
      <c r="Y185" s="190"/>
      <c r="Z185" s="294">
        <v>3.0</v>
      </c>
      <c r="AA185" s="190"/>
      <c r="AB185" s="294">
        <v>0.0</v>
      </c>
      <c r="AC185" s="190"/>
      <c r="AD185" s="294">
        <v>0.0</v>
      </c>
      <c r="AE185" s="190"/>
      <c r="AF185" s="294">
        <v>0.0</v>
      </c>
      <c r="AG185" s="190"/>
      <c r="AH185" s="294">
        <v>0.0</v>
      </c>
      <c r="AI185" s="190"/>
      <c r="AJ185" s="294">
        <v>0.0</v>
      </c>
      <c r="AK185" s="190"/>
      <c r="AL185" s="294">
        <v>0.0</v>
      </c>
      <c r="AM185" s="190"/>
      <c r="AN185" s="294">
        <v>0.0</v>
      </c>
      <c r="AO185" s="190"/>
      <c r="AP185" s="295">
        <f t="shared" si="11"/>
        <v>7232.2</v>
      </c>
      <c r="AQ185" s="296">
        <f t="shared" si="10"/>
        <v>310</v>
      </c>
      <c r="AR185" s="296">
        <f t="shared" si="3"/>
        <v>0</v>
      </c>
      <c r="AS185" s="296">
        <f t="shared" si="4"/>
        <v>313</v>
      </c>
      <c r="AT185" s="297">
        <f t="shared" si="5"/>
        <v>23.10607029</v>
      </c>
    </row>
    <row r="186" ht="15.75" customHeight="1">
      <c r="A186" s="327" t="s">
        <v>23</v>
      </c>
      <c r="B186" s="144">
        <f t="shared" si="6"/>
        <v>45111</v>
      </c>
      <c r="C186" s="145">
        <v>7.0</v>
      </c>
      <c r="D186" s="145" t="s">
        <v>36</v>
      </c>
      <c r="E186" s="175" t="s">
        <v>44</v>
      </c>
      <c r="F186" s="147">
        <v>0.0</v>
      </c>
      <c r="G186" s="3"/>
      <c r="H186" s="147">
        <v>0.0</v>
      </c>
      <c r="I186" s="3"/>
      <c r="J186" s="147">
        <v>0.0</v>
      </c>
      <c r="K186" s="3"/>
      <c r="L186" s="147">
        <v>0.0</v>
      </c>
      <c r="M186" s="3"/>
      <c r="N186" s="147">
        <v>130.0</v>
      </c>
      <c r="O186" s="3"/>
      <c r="P186" s="147">
        <v>130.0</v>
      </c>
      <c r="Q186" s="3"/>
      <c r="R186" s="147">
        <v>20.0</v>
      </c>
      <c r="S186" s="3"/>
      <c r="T186" s="147">
        <v>0.0</v>
      </c>
      <c r="U186" s="3"/>
      <c r="V186" s="147">
        <v>0.0</v>
      </c>
      <c r="W186" s="3"/>
      <c r="X186" s="147">
        <v>0.0</v>
      </c>
      <c r="Y186" s="3"/>
      <c r="Z186" s="147">
        <v>0.0</v>
      </c>
      <c r="AA186" s="3"/>
      <c r="AB186" s="147">
        <v>4.0</v>
      </c>
      <c r="AC186" s="3"/>
      <c r="AD186" s="147">
        <v>0.0</v>
      </c>
      <c r="AE186" s="3"/>
      <c r="AF186" s="147">
        <v>0.0</v>
      </c>
      <c r="AG186" s="3"/>
      <c r="AH186" s="147">
        <v>0.0</v>
      </c>
      <c r="AI186" s="3"/>
      <c r="AJ186" s="147">
        <v>0.0</v>
      </c>
      <c r="AK186" s="3"/>
      <c r="AL186" s="147">
        <v>0.0</v>
      </c>
      <c r="AM186" s="3"/>
      <c r="AN186" s="147">
        <v>0.0</v>
      </c>
      <c r="AO186" s="3"/>
      <c r="AP186" s="149">
        <f t="shared" si="11"/>
        <v>6900</v>
      </c>
      <c r="AQ186" s="150">
        <f t="shared" si="10"/>
        <v>280</v>
      </c>
      <c r="AR186" s="150">
        <f t="shared" si="3"/>
        <v>0</v>
      </c>
      <c r="AS186" s="150">
        <f t="shared" si="4"/>
        <v>284</v>
      </c>
      <c r="AT186" s="299">
        <f t="shared" si="5"/>
        <v>24.29577465</v>
      </c>
    </row>
    <row r="187" ht="15.75" customHeight="1">
      <c r="A187" s="327" t="s">
        <v>24</v>
      </c>
      <c r="B187" s="144">
        <f t="shared" si="6"/>
        <v>45112</v>
      </c>
      <c r="C187" s="145">
        <v>7.0</v>
      </c>
      <c r="D187" s="145" t="s">
        <v>36</v>
      </c>
      <c r="E187" s="175" t="s">
        <v>44</v>
      </c>
      <c r="F187" s="147">
        <v>0.0</v>
      </c>
      <c r="G187" s="3"/>
      <c r="H187" s="147">
        <v>0.0</v>
      </c>
      <c r="I187" s="3"/>
      <c r="J187" s="147">
        <v>0.0</v>
      </c>
      <c r="K187" s="3"/>
      <c r="L187" s="147">
        <v>0.0</v>
      </c>
      <c r="M187" s="3"/>
      <c r="N187" s="147">
        <v>130.0</v>
      </c>
      <c r="O187" s="3"/>
      <c r="P187" s="147">
        <v>130.0</v>
      </c>
      <c r="Q187" s="3"/>
      <c r="R187" s="147">
        <v>0.0</v>
      </c>
      <c r="S187" s="3"/>
      <c r="T187" s="147">
        <v>0.0</v>
      </c>
      <c r="U187" s="3"/>
      <c r="V187" s="147">
        <v>0.0</v>
      </c>
      <c r="W187" s="3"/>
      <c r="X187" s="147">
        <v>0.0</v>
      </c>
      <c r="Y187" s="3"/>
      <c r="Z187" s="147">
        <v>4.0</v>
      </c>
      <c r="AA187" s="3"/>
      <c r="AB187" s="147">
        <v>0.0</v>
      </c>
      <c r="AC187" s="3"/>
      <c r="AD187" s="147">
        <v>0.0</v>
      </c>
      <c r="AE187" s="3"/>
      <c r="AF187" s="147">
        <v>0.0</v>
      </c>
      <c r="AG187" s="3"/>
      <c r="AH187" s="147">
        <v>0.0</v>
      </c>
      <c r="AI187" s="3"/>
      <c r="AJ187" s="147">
        <v>0.0</v>
      </c>
      <c r="AK187" s="3"/>
      <c r="AL187" s="147">
        <v>0.0</v>
      </c>
      <c r="AM187" s="3"/>
      <c r="AN187" s="147">
        <v>0.0</v>
      </c>
      <c r="AO187" s="3"/>
      <c r="AP187" s="149">
        <f t="shared" si="11"/>
        <v>6220.266667</v>
      </c>
      <c r="AQ187" s="150">
        <f t="shared" si="10"/>
        <v>260</v>
      </c>
      <c r="AR187" s="150">
        <f t="shared" si="3"/>
        <v>0</v>
      </c>
      <c r="AS187" s="150">
        <f t="shared" si="4"/>
        <v>264</v>
      </c>
      <c r="AT187" s="299">
        <f t="shared" si="5"/>
        <v>23.56161616</v>
      </c>
    </row>
    <row r="188" ht="15.75" customHeight="1">
      <c r="A188" s="327" t="s">
        <v>25</v>
      </c>
      <c r="B188" s="144">
        <f t="shared" si="6"/>
        <v>45113</v>
      </c>
      <c r="C188" s="145">
        <v>7.0</v>
      </c>
      <c r="D188" s="145" t="s">
        <v>36</v>
      </c>
      <c r="E188" s="175" t="s">
        <v>44</v>
      </c>
      <c r="F188" s="147">
        <v>0.0</v>
      </c>
      <c r="G188" s="3"/>
      <c r="H188" s="147">
        <v>0.0</v>
      </c>
      <c r="I188" s="3"/>
      <c r="J188" s="147">
        <v>0.0</v>
      </c>
      <c r="K188" s="3"/>
      <c r="L188" s="147">
        <v>0.0</v>
      </c>
      <c r="M188" s="3"/>
      <c r="N188" s="147">
        <v>130.0</v>
      </c>
      <c r="O188" s="3"/>
      <c r="P188" s="147">
        <v>130.0</v>
      </c>
      <c r="Q188" s="3"/>
      <c r="R188" s="147">
        <v>20.0</v>
      </c>
      <c r="S188" s="3"/>
      <c r="T188" s="147">
        <v>0.0</v>
      </c>
      <c r="U188" s="3"/>
      <c r="V188" s="147">
        <v>0.0</v>
      </c>
      <c r="W188" s="3"/>
      <c r="X188" s="147">
        <v>30.0</v>
      </c>
      <c r="Y188" s="3"/>
      <c r="Z188" s="147">
        <v>3.0</v>
      </c>
      <c r="AA188" s="3"/>
      <c r="AB188" s="147">
        <v>0.0</v>
      </c>
      <c r="AC188" s="3"/>
      <c r="AD188" s="147">
        <v>0.0</v>
      </c>
      <c r="AE188" s="3"/>
      <c r="AF188" s="147">
        <v>0.0</v>
      </c>
      <c r="AG188" s="3"/>
      <c r="AH188" s="147">
        <v>0.0</v>
      </c>
      <c r="AI188" s="3"/>
      <c r="AJ188" s="147">
        <v>0.0</v>
      </c>
      <c r="AK188" s="3"/>
      <c r="AL188" s="147">
        <v>0.0</v>
      </c>
      <c r="AM188" s="3"/>
      <c r="AN188" s="147">
        <v>0.0</v>
      </c>
      <c r="AO188" s="3"/>
      <c r="AP188" s="149">
        <f t="shared" si="11"/>
        <v>7232.2</v>
      </c>
      <c r="AQ188" s="150">
        <f t="shared" si="10"/>
        <v>310</v>
      </c>
      <c r="AR188" s="150">
        <f t="shared" si="3"/>
        <v>0</v>
      </c>
      <c r="AS188" s="150">
        <f t="shared" si="4"/>
        <v>313</v>
      </c>
      <c r="AT188" s="299">
        <f t="shared" si="5"/>
        <v>23.10607029</v>
      </c>
    </row>
    <row r="189" ht="15.75" customHeight="1">
      <c r="A189" s="327" t="s">
        <v>26</v>
      </c>
      <c r="B189" s="144">
        <f t="shared" si="6"/>
        <v>45114</v>
      </c>
      <c r="C189" s="145">
        <v>7.0</v>
      </c>
      <c r="D189" s="145" t="s">
        <v>36</v>
      </c>
      <c r="E189" s="175" t="s">
        <v>44</v>
      </c>
      <c r="F189" s="147">
        <v>0.0</v>
      </c>
      <c r="G189" s="3"/>
      <c r="H189" s="147">
        <v>0.0</v>
      </c>
      <c r="I189" s="3"/>
      <c r="J189" s="147">
        <v>0.0</v>
      </c>
      <c r="K189" s="3"/>
      <c r="L189" s="147">
        <v>0.0</v>
      </c>
      <c r="M189" s="3"/>
      <c r="N189" s="147">
        <v>130.0</v>
      </c>
      <c r="O189" s="3"/>
      <c r="P189" s="147">
        <v>130.0</v>
      </c>
      <c r="Q189" s="3"/>
      <c r="R189" s="147">
        <v>20.0</v>
      </c>
      <c r="S189" s="3"/>
      <c r="T189" s="147">
        <v>0.0</v>
      </c>
      <c r="U189" s="3"/>
      <c r="V189" s="147">
        <v>0.0</v>
      </c>
      <c r="W189" s="3"/>
      <c r="X189" s="147">
        <v>0.0</v>
      </c>
      <c r="Y189" s="3"/>
      <c r="Z189" s="147">
        <v>3.0</v>
      </c>
      <c r="AA189" s="3"/>
      <c r="AB189" s="147">
        <v>0.0</v>
      </c>
      <c r="AC189" s="3"/>
      <c r="AD189" s="147">
        <v>0.0</v>
      </c>
      <c r="AE189" s="3"/>
      <c r="AF189" s="147">
        <v>0.0</v>
      </c>
      <c r="AG189" s="3"/>
      <c r="AH189" s="147">
        <v>0.0</v>
      </c>
      <c r="AI189" s="3"/>
      <c r="AJ189" s="147">
        <v>0.0</v>
      </c>
      <c r="AK189" s="3"/>
      <c r="AL189" s="147">
        <v>0.0</v>
      </c>
      <c r="AM189" s="3"/>
      <c r="AN189" s="147">
        <v>0.0</v>
      </c>
      <c r="AO189" s="3"/>
      <c r="AP189" s="149">
        <f t="shared" si="11"/>
        <v>6640</v>
      </c>
      <c r="AQ189" s="150">
        <f t="shared" si="10"/>
        <v>280</v>
      </c>
      <c r="AR189" s="150">
        <f t="shared" si="3"/>
        <v>0</v>
      </c>
      <c r="AS189" s="150">
        <f t="shared" si="4"/>
        <v>283</v>
      </c>
      <c r="AT189" s="299">
        <f t="shared" si="5"/>
        <v>23.46289753</v>
      </c>
    </row>
    <row r="190" ht="15.75" customHeight="1">
      <c r="A190" s="327" t="s">
        <v>27</v>
      </c>
      <c r="B190" s="144">
        <f t="shared" si="6"/>
        <v>45115</v>
      </c>
      <c r="C190" s="145">
        <v>7.0</v>
      </c>
      <c r="D190" s="145" t="s">
        <v>36</v>
      </c>
      <c r="E190" s="175" t="s">
        <v>44</v>
      </c>
      <c r="F190" s="147">
        <v>0.0</v>
      </c>
      <c r="G190" s="3"/>
      <c r="H190" s="147">
        <v>0.0</v>
      </c>
      <c r="I190" s="3"/>
      <c r="J190" s="147">
        <v>0.0</v>
      </c>
      <c r="K190" s="3"/>
      <c r="L190" s="147">
        <v>0.0</v>
      </c>
      <c r="M190" s="3"/>
      <c r="N190" s="147">
        <v>130.0</v>
      </c>
      <c r="O190" s="3"/>
      <c r="P190" s="147">
        <v>130.0</v>
      </c>
      <c r="Q190" s="3"/>
      <c r="R190" s="147">
        <v>20.0</v>
      </c>
      <c r="S190" s="3"/>
      <c r="T190" s="147">
        <v>0.0</v>
      </c>
      <c r="U190" s="3"/>
      <c r="V190" s="147">
        <v>0.0</v>
      </c>
      <c r="W190" s="3"/>
      <c r="X190" s="147">
        <v>0.0</v>
      </c>
      <c r="Y190" s="3"/>
      <c r="Z190" s="147">
        <v>3.0</v>
      </c>
      <c r="AA190" s="3"/>
      <c r="AB190" s="147">
        <v>0.0</v>
      </c>
      <c r="AC190" s="3"/>
      <c r="AD190" s="147">
        <v>0.0</v>
      </c>
      <c r="AE190" s="3"/>
      <c r="AF190" s="147">
        <v>0.0</v>
      </c>
      <c r="AG190" s="3"/>
      <c r="AH190" s="147">
        <v>0.0</v>
      </c>
      <c r="AI190" s="3"/>
      <c r="AJ190" s="147">
        <v>0.0</v>
      </c>
      <c r="AK190" s="3"/>
      <c r="AL190" s="147">
        <v>0.0</v>
      </c>
      <c r="AM190" s="3"/>
      <c r="AN190" s="147">
        <v>0.0</v>
      </c>
      <c r="AO190" s="3"/>
      <c r="AP190" s="149">
        <f t="shared" si="11"/>
        <v>6640</v>
      </c>
      <c r="AQ190" s="150">
        <f t="shared" si="10"/>
        <v>280</v>
      </c>
      <c r="AR190" s="150">
        <f t="shared" si="3"/>
        <v>0</v>
      </c>
      <c r="AS190" s="150">
        <f t="shared" si="4"/>
        <v>283</v>
      </c>
      <c r="AT190" s="299">
        <f t="shared" si="5"/>
        <v>23.46289753</v>
      </c>
    </row>
    <row r="191" ht="15.75" customHeight="1">
      <c r="A191" s="327" t="s">
        <v>28</v>
      </c>
      <c r="B191" s="144">
        <f t="shared" si="6"/>
        <v>45116</v>
      </c>
      <c r="C191" s="145">
        <v>7.0</v>
      </c>
      <c r="D191" s="145" t="s">
        <v>36</v>
      </c>
      <c r="E191" s="281" t="s">
        <v>43</v>
      </c>
      <c r="F191" s="159">
        <v>0.0</v>
      </c>
      <c r="G191" s="73"/>
      <c r="H191" s="159">
        <v>0.0</v>
      </c>
      <c r="I191" s="73"/>
      <c r="J191" s="159">
        <v>0.0</v>
      </c>
      <c r="K191" s="73"/>
      <c r="L191" s="159">
        <v>0.0</v>
      </c>
      <c r="M191" s="73"/>
      <c r="N191" s="159">
        <v>0.0</v>
      </c>
      <c r="O191" s="73"/>
      <c r="P191" s="159">
        <v>0.0</v>
      </c>
      <c r="Q191" s="73"/>
      <c r="R191" s="159">
        <v>0.0</v>
      </c>
      <c r="S191" s="73"/>
      <c r="T191" s="159">
        <v>0.0</v>
      </c>
      <c r="U191" s="73"/>
      <c r="V191" s="159">
        <v>0.0</v>
      </c>
      <c r="W191" s="73"/>
      <c r="X191" s="159">
        <v>0.0</v>
      </c>
      <c r="Y191" s="73"/>
      <c r="Z191" s="159">
        <v>0.0</v>
      </c>
      <c r="AA191" s="73"/>
      <c r="AB191" s="159">
        <v>0.0</v>
      </c>
      <c r="AC191" s="73"/>
      <c r="AD191" s="159">
        <v>0.0</v>
      </c>
      <c r="AE191" s="73"/>
      <c r="AF191" s="159">
        <v>0.0</v>
      </c>
      <c r="AG191" s="73"/>
      <c r="AH191" s="159">
        <v>0.0</v>
      </c>
      <c r="AI191" s="73"/>
      <c r="AJ191" s="159">
        <v>0.0</v>
      </c>
      <c r="AK191" s="73"/>
      <c r="AL191" s="159">
        <v>0.0</v>
      </c>
      <c r="AM191" s="73"/>
      <c r="AN191" s="159">
        <v>0.0</v>
      </c>
      <c r="AO191" s="73"/>
      <c r="AP191" s="161">
        <f t="shared" si="11"/>
        <v>0</v>
      </c>
      <c r="AQ191" s="157">
        <f t="shared" si="10"/>
        <v>0</v>
      </c>
      <c r="AR191" s="157">
        <f t="shared" si="3"/>
        <v>0</v>
      </c>
      <c r="AS191" s="157">
        <f t="shared" si="4"/>
        <v>0</v>
      </c>
      <c r="AT191" s="300" t="str">
        <f t="shared" si="5"/>
        <v/>
      </c>
    </row>
    <row r="192" ht="15.75" customHeight="1">
      <c r="A192" s="185" t="s">
        <v>21</v>
      </c>
      <c r="B192" s="186">
        <f t="shared" si="6"/>
        <v>45117</v>
      </c>
      <c r="C192" s="187">
        <v>7.0</v>
      </c>
      <c r="D192" s="187" t="s">
        <v>37</v>
      </c>
      <c r="E192" s="188" t="s">
        <v>43</v>
      </c>
      <c r="F192" s="189">
        <v>0.0</v>
      </c>
      <c r="G192" s="190"/>
      <c r="H192" s="189">
        <v>0.0</v>
      </c>
      <c r="I192" s="190"/>
      <c r="J192" s="189">
        <v>0.0</v>
      </c>
      <c r="K192" s="190"/>
      <c r="L192" s="189">
        <v>0.0</v>
      </c>
      <c r="M192" s="190"/>
      <c r="N192" s="189">
        <v>0.0</v>
      </c>
      <c r="O192" s="190"/>
      <c r="P192" s="189">
        <v>0.0</v>
      </c>
      <c r="Q192" s="190"/>
      <c r="R192" s="189">
        <v>0.0</v>
      </c>
      <c r="S192" s="190"/>
      <c r="T192" s="189">
        <v>0.0</v>
      </c>
      <c r="U192" s="190"/>
      <c r="V192" s="189">
        <v>0.0</v>
      </c>
      <c r="W192" s="190"/>
      <c r="X192" s="189">
        <v>0.0</v>
      </c>
      <c r="Y192" s="190"/>
      <c r="Z192" s="189">
        <v>0.0</v>
      </c>
      <c r="AA192" s="190"/>
      <c r="AB192" s="189">
        <v>0.0</v>
      </c>
      <c r="AC192" s="190"/>
      <c r="AD192" s="189">
        <v>0.0</v>
      </c>
      <c r="AE192" s="190"/>
      <c r="AF192" s="189">
        <v>0.0</v>
      </c>
      <c r="AG192" s="190"/>
      <c r="AH192" s="189">
        <v>0.0</v>
      </c>
      <c r="AI192" s="190"/>
      <c r="AJ192" s="189">
        <v>0.0</v>
      </c>
      <c r="AK192" s="190"/>
      <c r="AL192" s="189">
        <v>0.0</v>
      </c>
      <c r="AM192" s="190"/>
      <c r="AN192" s="189">
        <v>0.0</v>
      </c>
      <c r="AO192" s="190"/>
      <c r="AP192" s="191">
        <f t="shared" si="11"/>
        <v>0</v>
      </c>
      <c r="AQ192" s="192">
        <f t="shared" si="10"/>
        <v>0</v>
      </c>
      <c r="AR192" s="192">
        <f t="shared" si="3"/>
        <v>0</v>
      </c>
      <c r="AS192" s="192">
        <f t="shared" si="4"/>
        <v>0</v>
      </c>
      <c r="AT192" s="193" t="str">
        <f t="shared" si="5"/>
        <v/>
      </c>
    </row>
    <row r="193" ht="15.75" customHeight="1">
      <c r="A193" s="194" t="s">
        <v>23</v>
      </c>
      <c r="B193" s="195">
        <f t="shared" si="6"/>
        <v>45118</v>
      </c>
      <c r="C193" s="196">
        <v>7.0</v>
      </c>
      <c r="D193" s="196" t="s">
        <v>37</v>
      </c>
      <c r="E193" s="197" t="s">
        <v>43</v>
      </c>
      <c r="F193" s="198">
        <v>0.0</v>
      </c>
      <c r="G193" s="3"/>
      <c r="H193" s="198">
        <v>0.0</v>
      </c>
      <c r="I193" s="3"/>
      <c r="J193" s="198">
        <v>0.0</v>
      </c>
      <c r="K193" s="3"/>
      <c r="L193" s="198">
        <v>0.0</v>
      </c>
      <c r="M193" s="3"/>
      <c r="N193" s="198">
        <v>0.0</v>
      </c>
      <c r="O193" s="3"/>
      <c r="P193" s="198">
        <v>0.0</v>
      </c>
      <c r="Q193" s="3"/>
      <c r="R193" s="198">
        <v>0.0</v>
      </c>
      <c r="S193" s="3"/>
      <c r="T193" s="198">
        <v>0.0</v>
      </c>
      <c r="U193" s="3"/>
      <c r="V193" s="198">
        <v>0.0</v>
      </c>
      <c r="W193" s="3"/>
      <c r="X193" s="198">
        <v>0.0</v>
      </c>
      <c r="Y193" s="3"/>
      <c r="Z193" s="198">
        <v>0.0</v>
      </c>
      <c r="AA193" s="3"/>
      <c r="AB193" s="198">
        <v>0.0</v>
      </c>
      <c r="AC193" s="3"/>
      <c r="AD193" s="198">
        <v>0.0</v>
      </c>
      <c r="AE193" s="3"/>
      <c r="AF193" s="198">
        <v>0.0</v>
      </c>
      <c r="AG193" s="3"/>
      <c r="AH193" s="198">
        <v>0.0</v>
      </c>
      <c r="AI193" s="3"/>
      <c r="AJ193" s="198">
        <v>0.0</v>
      </c>
      <c r="AK193" s="3"/>
      <c r="AL193" s="198">
        <v>0.0</v>
      </c>
      <c r="AM193" s="3"/>
      <c r="AN193" s="198">
        <v>0.0</v>
      </c>
      <c r="AO193" s="3"/>
      <c r="AP193" s="199">
        <f t="shared" si="11"/>
        <v>0</v>
      </c>
      <c r="AQ193" s="200">
        <f t="shared" si="10"/>
        <v>0</v>
      </c>
      <c r="AR193" s="200">
        <f t="shared" si="3"/>
        <v>0</v>
      </c>
      <c r="AS193" s="200">
        <f t="shared" si="4"/>
        <v>0</v>
      </c>
      <c r="AT193" s="201" t="str">
        <f t="shared" si="5"/>
        <v/>
      </c>
    </row>
    <row r="194" ht="15.75" customHeight="1">
      <c r="A194" s="194" t="s">
        <v>24</v>
      </c>
      <c r="B194" s="195">
        <f t="shared" si="6"/>
        <v>45119</v>
      </c>
      <c r="C194" s="196">
        <v>7.0</v>
      </c>
      <c r="D194" s="196" t="s">
        <v>37</v>
      </c>
      <c r="E194" s="197" t="s">
        <v>44</v>
      </c>
      <c r="F194" s="198">
        <v>0.0</v>
      </c>
      <c r="G194" s="3"/>
      <c r="H194" s="198">
        <v>0.0</v>
      </c>
      <c r="I194" s="3"/>
      <c r="J194" s="198">
        <v>0.0</v>
      </c>
      <c r="K194" s="3"/>
      <c r="L194" s="198">
        <v>0.0</v>
      </c>
      <c r="M194" s="3"/>
      <c r="N194" s="198">
        <v>130.0</v>
      </c>
      <c r="O194" s="3"/>
      <c r="P194" s="198">
        <v>130.0</v>
      </c>
      <c r="Q194" s="3"/>
      <c r="R194" s="198">
        <v>20.0</v>
      </c>
      <c r="S194" s="3"/>
      <c r="T194" s="198">
        <v>0.0</v>
      </c>
      <c r="U194" s="3"/>
      <c r="V194" s="198">
        <v>0.0</v>
      </c>
      <c r="W194" s="3"/>
      <c r="X194" s="198">
        <v>0.0</v>
      </c>
      <c r="Y194" s="3"/>
      <c r="Z194" s="198">
        <v>4.0</v>
      </c>
      <c r="AA194" s="3"/>
      <c r="AB194" s="198">
        <v>0.0</v>
      </c>
      <c r="AC194" s="3"/>
      <c r="AD194" s="198">
        <v>0.0</v>
      </c>
      <c r="AE194" s="3"/>
      <c r="AF194" s="198">
        <v>0.0</v>
      </c>
      <c r="AG194" s="3"/>
      <c r="AH194" s="198">
        <v>0.0</v>
      </c>
      <c r="AI194" s="3"/>
      <c r="AJ194" s="198">
        <v>0.0</v>
      </c>
      <c r="AK194" s="3"/>
      <c r="AL194" s="198">
        <v>0.0</v>
      </c>
      <c r="AM194" s="3"/>
      <c r="AN194" s="198">
        <v>0.0</v>
      </c>
      <c r="AO194" s="3"/>
      <c r="AP194" s="199">
        <f t="shared" si="11"/>
        <v>6720</v>
      </c>
      <c r="AQ194" s="200">
        <f t="shared" si="10"/>
        <v>280</v>
      </c>
      <c r="AR194" s="200">
        <f t="shared" si="3"/>
        <v>0</v>
      </c>
      <c r="AS194" s="200">
        <f t="shared" si="4"/>
        <v>284</v>
      </c>
      <c r="AT194" s="201">
        <f t="shared" si="5"/>
        <v>23.66197183</v>
      </c>
    </row>
    <row r="195" ht="15.75" customHeight="1">
      <c r="A195" s="194" t="s">
        <v>25</v>
      </c>
      <c r="B195" s="195">
        <f t="shared" si="6"/>
        <v>45120</v>
      </c>
      <c r="C195" s="196">
        <v>7.0</v>
      </c>
      <c r="D195" s="196" t="s">
        <v>37</v>
      </c>
      <c r="E195" s="197" t="s">
        <v>44</v>
      </c>
      <c r="F195" s="198">
        <v>0.0</v>
      </c>
      <c r="G195" s="3"/>
      <c r="H195" s="198">
        <v>0.0</v>
      </c>
      <c r="I195" s="3"/>
      <c r="J195" s="198">
        <v>0.0</v>
      </c>
      <c r="K195" s="3"/>
      <c r="L195" s="198">
        <v>0.0</v>
      </c>
      <c r="M195" s="3"/>
      <c r="N195" s="198">
        <v>130.0</v>
      </c>
      <c r="O195" s="3"/>
      <c r="P195" s="198">
        <v>130.0</v>
      </c>
      <c r="Q195" s="3"/>
      <c r="R195" s="198">
        <v>0.0</v>
      </c>
      <c r="S195" s="3"/>
      <c r="T195" s="198">
        <v>0.0</v>
      </c>
      <c r="U195" s="3"/>
      <c r="V195" s="198">
        <v>0.0</v>
      </c>
      <c r="W195" s="3"/>
      <c r="X195" s="198">
        <v>0.0</v>
      </c>
      <c r="Y195" s="3"/>
      <c r="Z195" s="198">
        <v>3.0</v>
      </c>
      <c r="AA195" s="3"/>
      <c r="AB195" s="198">
        <v>0.0</v>
      </c>
      <c r="AC195" s="3"/>
      <c r="AD195" s="198">
        <v>0.0</v>
      </c>
      <c r="AE195" s="3"/>
      <c r="AF195" s="198">
        <v>0.0</v>
      </c>
      <c r="AG195" s="3"/>
      <c r="AH195" s="198">
        <v>0.0</v>
      </c>
      <c r="AI195" s="3"/>
      <c r="AJ195" s="198">
        <v>0.0</v>
      </c>
      <c r="AK195" s="3"/>
      <c r="AL195" s="198">
        <v>0.0</v>
      </c>
      <c r="AM195" s="3"/>
      <c r="AN195" s="198">
        <v>0.0</v>
      </c>
      <c r="AO195" s="3"/>
      <c r="AP195" s="199">
        <f t="shared" si="11"/>
        <v>6140.266667</v>
      </c>
      <c r="AQ195" s="200">
        <f t="shared" si="10"/>
        <v>260</v>
      </c>
      <c r="AR195" s="200">
        <f t="shared" si="3"/>
        <v>0</v>
      </c>
      <c r="AS195" s="200">
        <f t="shared" si="4"/>
        <v>263</v>
      </c>
      <c r="AT195" s="201">
        <f t="shared" si="5"/>
        <v>23.34702155</v>
      </c>
    </row>
    <row r="196" ht="15.75" customHeight="1">
      <c r="A196" s="194" t="s">
        <v>26</v>
      </c>
      <c r="B196" s="195">
        <f t="shared" si="6"/>
        <v>45121</v>
      </c>
      <c r="C196" s="196">
        <v>7.0</v>
      </c>
      <c r="D196" s="196" t="s">
        <v>37</v>
      </c>
      <c r="E196" s="197" t="s">
        <v>44</v>
      </c>
      <c r="F196" s="198">
        <v>0.0</v>
      </c>
      <c r="G196" s="3"/>
      <c r="H196" s="198">
        <v>0.0</v>
      </c>
      <c r="I196" s="3"/>
      <c r="J196" s="198">
        <v>0.0</v>
      </c>
      <c r="K196" s="3"/>
      <c r="L196" s="198">
        <v>0.0</v>
      </c>
      <c r="M196" s="3"/>
      <c r="N196" s="198">
        <v>130.0</v>
      </c>
      <c r="O196" s="3"/>
      <c r="P196" s="198">
        <v>90.0</v>
      </c>
      <c r="Q196" s="3"/>
      <c r="R196" s="198">
        <v>20.0</v>
      </c>
      <c r="S196" s="3"/>
      <c r="T196" s="198">
        <v>0.0</v>
      </c>
      <c r="U196" s="3"/>
      <c r="V196" s="198">
        <v>0.0</v>
      </c>
      <c r="W196" s="3"/>
      <c r="X196" s="198">
        <v>40.0</v>
      </c>
      <c r="Y196" s="3"/>
      <c r="Z196" s="198">
        <v>3.0</v>
      </c>
      <c r="AA196" s="3"/>
      <c r="AB196" s="198">
        <v>0.0</v>
      </c>
      <c r="AC196" s="3"/>
      <c r="AD196" s="198">
        <v>0.0</v>
      </c>
      <c r="AE196" s="3"/>
      <c r="AF196" s="198">
        <v>0.0</v>
      </c>
      <c r="AG196" s="3"/>
      <c r="AH196" s="198">
        <v>0.0</v>
      </c>
      <c r="AI196" s="3"/>
      <c r="AJ196" s="198">
        <v>0.0</v>
      </c>
      <c r="AK196" s="3"/>
      <c r="AL196" s="198">
        <v>0.0</v>
      </c>
      <c r="AM196" s="3"/>
      <c r="AN196" s="198">
        <v>0.0</v>
      </c>
      <c r="AO196" s="3"/>
      <c r="AP196" s="199">
        <f t="shared" si="11"/>
        <v>6430.133333</v>
      </c>
      <c r="AQ196" s="200">
        <f t="shared" si="10"/>
        <v>280</v>
      </c>
      <c r="AR196" s="200">
        <f t="shared" si="3"/>
        <v>0</v>
      </c>
      <c r="AS196" s="200">
        <f t="shared" si="4"/>
        <v>283</v>
      </c>
      <c r="AT196" s="201">
        <f t="shared" si="5"/>
        <v>22.7213192</v>
      </c>
    </row>
    <row r="197" ht="15.75" customHeight="1">
      <c r="A197" s="194" t="s">
        <v>27</v>
      </c>
      <c r="B197" s="195">
        <f t="shared" si="6"/>
        <v>45122</v>
      </c>
      <c r="C197" s="196">
        <v>7.0</v>
      </c>
      <c r="D197" s="196" t="s">
        <v>37</v>
      </c>
      <c r="E197" s="197" t="s">
        <v>51</v>
      </c>
      <c r="F197" s="198">
        <v>0.0</v>
      </c>
      <c r="G197" s="3"/>
      <c r="H197" s="198">
        <v>0.0</v>
      </c>
      <c r="I197" s="3"/>
      <c r="J197" s="198">
        <v>0.0</v>
      </c>
      <c r="K197" s="3"/>
      <c r="L197" s="198">
        <v>0.0</v>
      </c>
      <c r="M197" s="3"/>
      <c r="N197" s="198">
        <v>130.0</v>
      </c>
      <c r="O197" s="3"/>
      <c r="P197" s="198">
        <v>130.0</v>
      </c>
      <c r="Q197" s="3"/>
      <c r="R197" s="198">
        <v>20.0</v>
      </c>
      <c r="S197" s="3"/>
      <c r="T197" s="198">
        <v>0.0</v>
      </c>
      <c r="U197" s="3"/>
      <c r="V197" s="198">
        <v>0.0</v>
      </c>
      <c r="W197" s="3"/>
      <c r="X197" s="198">
        <v>0.0</v>
      </c>
      <c r="Y197" s="3"/>
      <c r="Z197" s="198">
        <v>0.0</v>
      </c>
      <c r="AA197" s="3"/>
      <c r="AB197" s="198">
        <v>4.0</v>
      </c>
      <c r="AC197" s="3"/>
      <c r="AD197" s="198">
        <v>0.0</v>
      </c>
      <c r="AE197" s="3"/>
      <c r="AF197" s="198">
        <v>0.0</v>
      </c>
      <c r="AG197" s="3"/>
      <c r="AH197" s="198">
        <v>0.0</v>
      </c>
      <c r="AI197" s="3"/>
      <c r="AJ197" s="198">
        <v>0.0</v>
      </c>
      <c r="AK197" s="3"/>
      <c r="AL197" s="198">
        <v>0.0</v>
      </c>
      <c r="AM197" s="3"/>
      <c r="AN197" s="198">
        <v>0.0</v>
      </c>
      <c r="AO197" s="3"/>
      <c r="AP197" s="199">
        <f t="shared" si="11"/>
        <v>6900</v>
      </c>
      <c r="AQ197" s="200">
        <f t="shared" si="10"/>
        <v>280</v>
      </c>
      <c r="AR197" s="200">
        <f t="shared" si="3"/>
        <v>0</v>
      </c>
      <c r="AS197" s="200">
        <f t="shared" si="4"/>
        <v>284</v>
      </c>
      <c r="AT197" s="201">
        <f t="shared" si="5"/>
        <v>24.29577465</v>
      </c>
    </row>
    <row r="198" ht="15.75" customHeight="1">
      <c r="A198" s="202" t="s">
        <v>28</v>
      </c>
      <c r="B198" s="203">
        <f t="shared" si="6"/>
        <v>45123</v>
      </c>
      <c r="C198" s="204">
        <v>7.0</v>
      </c>
      <c r="D198" s="204" t="s">
        <v>37</v>
      </c>
      <c r="E198" s="328" t="s">
        <v>43</v>
      </c>
      <c r="F198" s="206">
        <v>0.0</v>
      </c>
      <c r="G198" s="207"/>
      <c r="H198" s="206">
        <v>0.0</v>
      </c>
      <c r="I198" s="207"/>
      <c r="J198" s="206">
        <v>0.0</v>
      </c>
      <c r="K198" s="207"/>
      <c r="L198" s="206">
        <v>0.0</v>
      </c>
      <c r="M198" s="207"/>
      <c r="N198" s="206">
        <v>0.0</v>
      </c>
      <c r="O198" s="207"/>
      <c r="P198" s="206">
        <v>0.0</v>
      </c>
      <c r="Q198" s="207"/>
      <c r="R198" s="206">
        <v>0.0</v>
      </c>
      <c r="S198" s="207"/>
      <c r="T198" s="206">
        <v>0.0</v>
      </c>
      <c r="U198" s="207"/>
      <c r="V198" s="206">
        <v>0.0</v>
      </c>
      <c r="W198" s="207"/>
      <c r="X198" s="206">
        <v>0.0</v>
      </c>
      <c r="Y198" s="207"/>
      <c r="Z198" s="206">
        <v>0.0</v>
      </c>
      <c r="AA198" s="207"/>
      <c r="AB198" s="206">
        <v>0.0</v>
      </c>
      <c r="AC198" s="207"/>
      <c r="AD198" s="206">
        <v>0.0</v>
      </c>
      <c r="AE198" s="207"/>
      <c r="AF198" s="206">
        <v>0.0</v>
      </c>
      <c r="AG198" s="207"/>
      <c r="AH198" s="206">
        <v>0.0</v>
      </c>
      <c r="AI198" s="207"/>
      <c r="AJ198" s="206">
        <v>0.0</v>
      </c>
      <c r="AK198" s="207"/>
      <c r="AL198" s="206">
        <v>0.0</v>
      </c>
      <c r="AM198" s="207"/>
      <c r="AN198" s="206">
        <v>0.0</v>
      </c>
      <c r="AO198" s="207"/>
      <c r="AP198" s="208">
        <f t="shared" si="11"/>
        <v>0</v>
      </c>
      <c r="AQ198" s="209">
        <f t="shared" si="10"/>
        <v>0</v>
      </c>
      <c r="AR198" s="209">
        <f t="shared" si="3"/>
        <v>0</v>
      </c>
      <c r="AS198" s="209">
        <f t="shared" si="4"/>
        <v>0</v>
      </c>
      <c r="AT198" s="210" t="str">
        <f t="shared" si="5"/>
        <v/>
      </c>
    </row>
    <row r="199" ht="15.75" customHeight="1">
      <c r="A199" s="325" t="s">
        <v>21</v>
      </c>
      <c r="B199" s="326">
        <f t="shared" si="6"/>
        <v>45124</v>
      </c>
      <c r="C199" s="292">
        <v>8.0</v>
      </c>
      <c r="D199" s="292" t="s">
        <v>22</v>
      </c>
      <c r="E199" s="293" t="s">
        <v>44</v>
      </c>
      <c r="F199" s="294">
        <v>0.0</v>
      </c>
      <c r="G199" s="190"/>
      <c r="H199" s="294">
        <v>0.0</v>
      </c>
      <c r="I199" s="190"/>
      <c r="J199" s="294">
        <v>0.0</v>
      </c>
      <c r="K199" s="190"/>
      <c r="L199" s="294">
        <v>0.0</v>
      </c>
      <c r="M199" s="190"/>
      <c r="N199" s="294">
        <v>130.0</v>
      </c>
      <c r="O199" s="190"/>
      <c r="P199" s="294">
        <v>145.0</v>
      </c>
      <c r="Q199" s="190"/>
      <c r="R199" s="294">
        <v>20.0</v>
      </c>
      <c r="S199" s="190"/>
      <c r="T199" s="294">
        <v>0.0</v>
      </c>
      <c r="U199" s="190"/>
      <c r="V199" s="294">
        <v>0.0</v>
      </c>
      <c r="W199" s="190"/>
      <c r="X199" s="294">
        <v>0.0</v>
      </c>
      <c r="Y199" s="190"/>
      <c r="Z199" s="294">
        <v>3.0</v>
      </c>
      <c r="AA199" s="190"/>
      <c r="AB199" s="294">
        <v>0.0</v>
      </c>
      <c r="AC199" s="190"/>
      <c r="AD199" s="294">
        <v>0.0</v>
      </c>
      <c r="AE199" s="190"/>
      <c r="AF199" s="294">
        <v>0.0</v>
      </c>
      <c r="AG199" s="190"/>
      <c r="AH199" s="294">
        <v>0.0</v>
      </c>
      <c r="AI199" s="190"/>
      <c r="AJ199" s="294">
        <v>0.0</v>
      </c>
      <c r="AK199" s="190"/>
      <c r="AL199" s="294">
        <v>0.0</v>
      </c>
      <c r="AM199" s="190"/>
      <c r="AN199" s="294">
        <v>0.0</v>
      </c>
      <c r="AO199" s="190"/>
      <c r="AP199" s="295">
        <f t="shared" si="11"/>
        <v>7014.8</v>
      </c>
      <c r="AQ199" s="296">
        <f t="shared" si="10"/>
        <v>295</v>
      </c>
      <c r="AR199" s="296">
        <f t="shared" si="3"/>
        <v>0</v>
      </c>
      <c r="AS199" s="296">
        <f t="shared" si="4"/>
        <v>298</v>
      </c>
      <c r="AT199" s="297">
        <f t="shared" si="5"/>
        <v>23.53959732</v>
      </c>
    </row>
    <row r="200" ht="15.75" customHeight="1">
      <c r="A200" s="327" t="s">
        <v>23</v>
      </c>
      <c r="B200" s="144">
        <f t="shared" si="6"/>
        <v>45125</v>
      </c>
      <c r="C200" s="145">
        <v>8.0</v>
      </c>
      <c r="D200" s="145" t="s">
        <v>22</v>
      </c>
      <c r="E200" s="175" t="s">
        <v>44</v>
      </c>
      <c r="F200" s="147">
        <v>0.0</v>
      </c>
      <c r="G200" s="3"/>
      <c r="H200" s="147">
        <v>0.0</v>
      </c>
      <c r="I200" s="3"/>
      <c r="J200" s="147">
        <v>0.0</v>
      </c>
      <c r="K200" s="3"/>
      <c r="L200" s="147">
        <v>0.0</v>
      </c>
      <c r="M200" s="3"/>
      <c r="N200" s="147">
        <v>130.0</v>
      </c>
      <c r="O200" s="3"/>
      <c r="P200" s="147">
        <v>145.0</v>
      </c>
      <c r="Q200" s="3"/>
      <c r="R200" s="147">
        <v>20.0</v>
      </c>
      <c r="S200" s="3"/>
      <c r="T200" s="147">
        <v>0.0</v>
      </c>
      <c r="U200" s="3"/>
      <c r="V200" s="147">
        <v>0.0</v>
      </c>
      <c r="W200" s="3"/>
      <c r="X200" s="147">
        <v>30.0</v>
      </c>
      <c r="Y200" s="3"/>
      <c r="Z200" s="147">
        <v>3.0</v>
      </c>
      <c r="AA200" s="3"/>
      <c r="AB200" s="147">
        <v>0.0</v>
      </c>
      <c r="AC200" s="3"/>
      <c r="AD200" s="147">
        <v>0.0</v>
      </c>
      <c r="AE200" s="3"/>
      <c r="AF200" s="147">
        <v>0.0</v>
      </c>
      <c r="AG200" s="3"/>
      <c r="AH200" s="147">
        <v>0.0</v>
      </c>
      <c r="AI200" s="3"/>
      <c r="AJ200" s="147">
        <v>0.0</v>
      </c>
      <c r="AK200" s="3"/>
      <c r="AL200" s="147">
        <v>0.0</v>
      </c>
      <c r="AM200" s="3"/>
      <c r="AN200" s="147">
        <v>0.0</v>
      </c>
      <c r="AO200" s="3"/>
      <c r="AP200" s="149">
        <f t="shared" si="11"/>
        <v>7607</v>
      </c>
      <c r="AQ200" s="150">
        <f t="shared" si="10"/>
        <v>325</v>
      </c>
      <c r="AR200" s="150">
        <f t="shared" si="3"/>
        <v>0</v>
      </c>
      <c r="AS200" s="150">
        <f t="shared" si="4"/>
        <v>328</v>
      </c>
      <c r="AT200" s="299">
        <f t="shared" si="5"/>
        <v>23.19207317</v>
      </c>
    </row>
    <row r="201" ht="15.75" customHeight="1">
      <c r="A201" s="327" t="s">
        <v>24</v>
      </c>
      <c r="B201" s="144">
        <f t="shared" si="6"/>
        <v>45126</v>
      </c>
      <c r="C201" s="145">
        <v>8.0</v>
      </c>
      <c r="D201" s="145" t="s">
        <v>22</v>
      </c>
      <c r="E201" s="175" t="s">
        <v>44</v>
      </c>
      <c r="F201" s="147">
        <v>0.0</v>
      </c>
      <c r="G201" s="3"/>
      <c r="H201" s="147">
        <v>0.0</v>
      </c>
      <c r="I201" s="3"/>
      <c r="J201" s="147">
        <v>0.0</v>
      </c>
      <c r="K201" s="3"/>
      <c r="L201" s="147">
        <v>0.0</v>
      </c>
      <c r="M201" s="3"/>
      <c r="N201" s="147">
        <v>130.0</v>
      </c>
      <c r="O201" s="3"/>
      <c r="P201" s="147">
        <v>145.0</v>
      </c>
      <c r="Q201" s="3"/>
      <c r="R201" s="147">
        <v>0.0</v>
      </c>
      <c r="S201" s="3"/>
      <c r="T201" s="147">
        <v>0.0</v>
      </c>
      <c r="U201" s="3"/>
      <c r="V201" s="147">
        <v>0.0</v>
      </c>
      <c r="W201" s="3"/>
      <c r="X201" s="147">
        <v>0.0</v>
      </c>
      <c r="Y201" s="3"/>
      <c r="Z201" s="147">
        <v>4.0</v>
      </c>
      <c r="AA201" s="3"/>
      <c r="AB201" s="147">
        <v>0.0</v>
      </c>
      <c r="AC201" s="3"/>
      <c r="AD201" s="147">
        <v>0.0</v>
      </c>
      <c r="AE201" s="3"/>
      <c r="AF201" s="147">
        <v>0.0</v>
      </c>
      <c r="AG201" s="3"/>
      <c r="AH201" s="147">
        <v>0.0</v>
      </c>
      <c r="AI201" s="3"/>
      <c r="AJ201" s="147">
        <v>0.0</v>
      </c>
      <c r="AK201" s="3"/>
      <c r="AL201" s="147">
        <v>0.0</v>
      </c>
      <c r="AM201" s="3"/>
      <c r="AN201" s="147">
        <v>0.0</v>
      </c>
      <c r="AO201" s="3"/>
      <c r="AP201" s="149">
        <f t="shared" si="11"/>
        <v>6595.066667</v>
      </c>
      <c r="AQ201" s="150">
        <f t="shared" si="10"/>
        <v>275</v>
      </c>
      <c r="AR201" s="150">
        <f t="shared" si="3"/>
        <v>0</v>
      </c>
      <c r="AS201" s="150">
        <f t="shared" si="4"/>
        <v>279</v>
      </c>
      <c r="AT201" s="299">
        <f t="shared" si="5"/>
        <v>23.63823178</v>
      </c>
    </row>
    <row r="202" ht="15.75" customHeight="1">
      <c r="A202" s="327" t="s">
        <v>25</v>
      </c>
      <c r="B202" s="144">
        <f t="shared" si="6"/>
        <v>45127</v>
      </c>
      <c r="C202" s="145">
        <v>8.0</v>
      </c>
      <c r="D202" s="145" t="s">
        <v>22</v>
      </c>
      <c r="E202" s="175" t="s">
        <v>44</v>
      </c>
      <c r="F202" s="147">
        <v>0.0</v>
      </c>
      <c r="G202" s="3"/>
      <c r="H202" s="147">
        <v>0.0</v>
      </c>
      <c r="I202" s="3"/>
      <c r="J202" s="147">
        <v>0.0</v>
      </c>
      <c r="K202" s="3"/>
      <c r="L202" s="147">
        <v>0.0</v>
      </c>
      <c r="M202" s="3"/>
      <c r="N202" s="147">
        <v>130.0</v>
      </c>
      <c r="O202" s="3"/>
      <c r="P202" s="147">
        <v>145.0</v>
      </c>
      <c r="Q202" s="3"/>
      <c r="R202" s="147">
        <v>20.0</v>
      </c>
      <c r="S202" s="3"/>
      <c r="T202" s="147">
        <v>0.0</v>
      </c>
      <c r="U202" s="3"/>
      <c r="V202" s="147">
        <v>0.0</v>
      </c>
      <c r="W202" s="3"/>
      <c r="X202" s="147">
        <v>30.0</v>
      </c>
      <c r="Y202" s="3"/>
      <c r="Z202" s="147">
        <v>0.0</v>
      </c>
      <c r="AA202" s="3"/>
      <c r="AB202" s="147">
        <v>3.0</v>
      </c>
      <c r="AC202" s="3"/>
      <c r="AD202" s="147">
        <v>0.0</v>
      </c>
      <c r="AE202" s="3"/>
      <c r="AF202" s="147">
        <v>0.0</v>
      </c>
      <c r="AG202" s="3"/>
      <c r="AH202" s="147">
        <v>0.0</v>
      </c>
      <c r="AI202" s="3"/>
      <c r="AJ202" s="147">
        <v>0.0</v>
      </c>
      <c r="AK202" s="3"/>
      <c r="AL202" s="147">
        <v>0.0</v>
      </c>
      <c r="AM202" s="3"/>
      <c r="AN202" s="147">
        <v>0.0</v>
      </c>
      <c r="AO202" s="3"/>
      <c r="AP202" s="149">
        <f t="shared" si="11"/>
        <v>7742</v>
      </c>
      <c r="AQ202" s="150">
        <f t="shared" si="10"/>
        <v>325</v>
      </c>
      <c r="AR202" s="150">
        <f t="shared" si="3"/>
        <v>0</v>
      </c>
      <c r="AS202" s="150">
        <f t="shared" si="4"/>
        <v>328</v>
      </c>
      <c r="AT202" s="299">
        <f t="shared" si="5"/>
        <v>23.60365854</v>
      </c>
    </row>
    <row r="203" ht="15.75" customHeight="1">
      <c r="A203" s="327" t="s">
        <v>26</v>
      </c>
      <c r="B203" s="144">
        <f t="shared" si="6"/>
        <v>45128</v>
      </c>
      <c r="C203" s="145">
        <v>8.0</v>
      </c>
      <c r="D203" s="145" t="s">
        <v>22</v>
      </c>
      <c r="E203" s="175" t="s">
        <v>44</v>
      </c>
      <c r="F203" s="147">
        <v>0.0</v>
      </c>
      <c r="G203" s="3"/>
      <c r="H203" s="147">
        <v>0.0</v>
      </c>
      <c r="I203" s="3"/>
      <c r="J203" s="147">
        <v>0.0</v>
      </c>
      <c r="K203" s="3"/>
      <c r="L203" s="147">
        <v>0.0</v>
      </c>
      <c r="M203" s="3"/>
      <c r="N203" s="147">
        <v>130.0</v>
      </c>
      <c r="O203" s="3"/>
      <c r="P203" s="147">
        <v>145.0</v>
      </c>
      <c r="Q203" s="3"/>
      <c r="R203" s="147">
        <v>20.0</v>
      </c>
      <c r="S203" s="3"/>
      <c r="T203" s="147">
        <v>0.0</v>
      </c>
      <c r="U203" s="3"/>
      <c r="V203" s="147">
        <v>0.0</v>
      </c>
      <c r="W203" s="3"/>
      <c r="X203" s="147">
        <v>0.0</v>
      </c>
      <c r="Y203" s="3"/>
      <c r="Z203" s="147">
        <v>3.0</v>
      </c>
      <c r="AA203" s="3"/>
      <c r="AB203" s="147">
        <v>0.0</v>
      </c>
      <c r="AC203" s="3"/>
      <c r="AD203" s="147">
        <v>0.0</v>
      </c>
      <c r="AE203" s="3"/>
      <c r="AF203" s="147">
        <v>0.0</v>
      </c>
      <c r="AG203" s="3"/>
      <c r="AH203" s="147">
        <v>0.0</v>
      </c>
      <c r="AI203" s="3"/>
      <c r="AJ203" s="147">
        <v>0.0</v>
      </c>
      <c r="AK203" s="3"/>
      <c r="AL203" s="147">
        <v>0.0</v>
      </c>
      <c r="AM203" s="3"/>
      <c r="AN203" s="147">
        <v>0.0</v>
      </c>
      <c r="AO203" s="3"/>
      <c r="AP203" s="149">
        <f t="shared" si="11"/>
        <v>7014.8</v>
      </c>
      <c r="AQ203" s="150">
        <f t="shared" si="10"/>
        <v>295</v>
      </c>
      <c r="AR203" s="150">
        <f t="shared" si="3"/>
        <v>0</v>
      </c>
      <c r="AS203" s="150">
        <f t="shared" si="4"/>
        <v>298</v>
      </c>
      <c r="AT203" s="299">
        <f t="shared" si="5"/>
        <v>23.53959732</v>
      </c>
    </row>
    <row r="204" ht="15.75" customHeight="1">
      <c r="A204" s="327" t="s">
        <v>27</v>
      </c>
      <c r="B204" s="144">
        <f t="shared" si="6"/>
        <v>45129</v>
      </c>
      <c r="C204" s="145">
        <v>8.0</v>
      </c>
      <c r="D204" s="145" t="s">
        <v>22</v>
      </c>
      <c r="E204" s="175" t="s">
        <v>44</v>
      </c>
      <c r="F204" s="147">
        <v>0.0</v>
      </c>
      <c r="G204" s="3"/>
      <c r="H204" s="147">
        <v>0.0</v>
      </c>
      <c r="I204" s="3"/>
      <c r="J204" s="147">
        <v>0.0</v>
      </c>
      <c r="K204" s="3"/>
      <c r="L204" s="147">
        <v>0.0</v>
      </c>
      <c r="M204" s="3"/>
      <c r="N204" s="147">
        <v>130.0</v>
      </c>
      <c r="O204" s="3"/>
      <c r="P204" s="147">
        <v>145.0</v>
      </c>
      <c r="Q204" s="3"/>
      <c r="R204" s="147">
        <v>0.0</v>
      </c>
      <c r="S204" s="3"/>
      <c r="T204" s="147">
        <v>0.0</v>
      </c>
      <c r="U204" s="3"/>
      <c r="V204" s="147">
        <v>0.0</v>
      </c>
      <c r="W204" s="3"/>
      <c r="X204" s="147">
        <v>0.0</v>
      </c>
      <c r="Y204" s="3"/>
      <c r="Z204" s="147">
        <v>3.0</v>
      </c>
      <c r="AA204" s="3"/>
      <c r="AB204" s="147">
        <v>0.0</v>
      </c>
      <c r="AC204" s="3"/>
      <c r="AD204" s="147">
        <v>0.0</v>
      </c>
      <c r="AE204" s="3"/>
      <c r="AF204" s="147">
        <v>0.0</v>
      </c>
      <c r="AG204" s="3"/>
      <c r="AH204" s="147">
        <v>0.0</v>
      </c>
      <c r="AI204" s="3"/>
      <c r="AJ204" s="147">
        <v>0.0</v>
      </c>
      <c r="AK204" s="3"/>
      <c r="AL204" s="147">
        <v>0.0</v>
      </c>
      <c r="AM204" s="3"/>
      <c r="AN204" s="147">
        <v>0.0</v>
      </c>
      <c r="AO204" s="3"/>
      <c r="AP204" s="149">
        <f t="shared" si="11"/>
        <v>6515.066667</v>
      </c>
      <c r="AQ204" s="150">
        <f t="shared" si="10"/>
        <v>275</v>
      </c>
      <c r="AR204" s="150">
        <f t="shared" si="3"/>
        <v>0</v>
      </c>
      <c r="AS204" s="150">
        <f t="shared" si="4"/>
        <v>278</v>
      </c>
      <c r="AT204" s="299">
        <f t="shared" si="5"/>
        <v>23.43549161</v>
      </c>
    </row>
    <row r="205" ht="15.75" customHeight="1">
      <c r="A205" s="329" t="s">
        <v>28</v>
      </c>
      <c r="B205" s="330">
        <f t="shared" si="6"/>
        <v>45130</v>
      </c>
      <c r="C205" s="331">
        <v>8.0</v>
      </c>
      <c r="D205" s="331" t="s">
        <v>22</v>
      </c>
      <c r="E205" s="332" t="s">
        <v>43</v>
      </c>
      <c r="F205" s="333">
        <v>0.0</v>
      </c>
      <c r="G205" s="207"/>
      <c r="H205" s="333">
        <v>0.0</v>
      </c>
      <c r="I205" s="207"/>
      <c r="J205" s="333">
        <v>0.0</v>
      </c>
      <c r="K205" s="207"/>
      <c r="L205" s="333">
        <v>0.0</v>
      </c>
      <c r="M205" s="207"/>
      <c r="N205" s="333">
        <v>0.0</v>
      </c>
      <c r="O205" s="207"/>
      <c r="P205" s="333">
        <v>0.0</v>
      </c>
      <c r="Q205" s="207"/>
      <c r="R205" s="333">
        <v>0.0</v>
      </c>
      <c r="S205" s="207"/>
      <c r="T205" s="333">
        <v>0.0</v>
      </c>
      <c r="U205" s="207"/>
      <c r="V205" s="333">
        <v>0.0</v>
      </c>
      <c r="W205" s="207"/>
      <c r="X205" s="333">
        <v>0.0</v>
      </c>
      <c r="Y205" s="207"/>
      <c r="Z205" s="333">
        <v>0.0</v>
      </c>
      <c r="AA205" s="207"/>
      <c r="AB205" s="333">
        <v>0.0</v>
      </c>
      <c r="AC205" s="207"/>
      <c r="AD205" s="333">
        <v>0.0</v>
      </c>
      <c r="AE205" s="207"/>
      <c r="AF205" s="333">
        <v>0.0</v>
      </c>
      <c r="AG205" s="207"/>
      <c r="AH205" s="333">
        <v>0.0</v>
      </c>
      <c r="AI205" s="207"/>
      <c r="AJ205" s="333">
        <v>0.0</v>
      </c>
      <c r="AK205" s="207"/>
      <c r="AL205" s="333">
        <v>0.0</v>
      </c>
      <c r="AM205" s="207"/>
      <c r="AN205" s="333">
        <v>0.0</v>
      </c>
      <c r="AO205" s="207"/>
      <c r="AP205" s="334">
        <f t="shared" si="11"/>
        <v>0</v>
      </c>
      <c r="AQ205" s="335">
        <f t="shared" si="10"/>
        <v>0</v>
      </c>
      <c r="AR205" s="335">
        <f t="shared" si="3"/>
        <v>0</v>
      </c>
      <c r="AS205" s="335">
        <f t="shared" si="4"/>
        <v>0</v>
      </c>
      <c r="AT205" s="336" t="str">
        <f t="shared" si="5"/>
        <v/>
      </c>
    </row>
    <row r="206" ht="15.75" customHeight="1">
      <c r="A206" s="249" t="s">
        <v>21</v>
      </c>
      <c r="B206" s="250">
        <f t="shared" si="6"/>
        <v>45131</v>
      </c>
      <c r="C206" s="251">
        <v>8.0</v>
      </c>
      <c r="D206" s="251" t="s">
        <v>34</v>
      </c>
      <c r="E206" s="337" t="s">
        <v>44</v>
      </c>
      <c r="F206" s="338">
        <v>0.0</v>
      </c>
      <c r="G206" s="190"/>
      <c r="H206" s="338">
        <v>0.0</v>
      </c>
      <c r="I206" s="190"/>
      <c r="J206" s="338">
        <v>0.0</v>
      </c>
      <c r="K206" s="190"/>
      <c r="L206" s="338">
        <v>0.0</v>
      </c>
      <c r="M206" s="190"/>
      <c r="N206" s="253">
        <v>130.0</v>
      </c>
      <c r="O206" s="190"/>
      <c r="P206" s="253">
        <v>145.0</v>
      </c>
      <c r="Q206" s="190"/>
      <c r="R206" s="253">
        <v>20.0</v>
      </c>
      <c r="S206" s="190"/>
      <c r="T206" s="253">
        <v>0.0</v>
      </c>
      <c r="U206" s="190"/>
      <c r="V206" s="338">
        <v>0.0</v>
      </c>
      <c r="W206" s="190"/>
      <c r="X206" s="253">
        <v>0.0</v>
      </c>
      <c r="Y206" s="190"/>
      <c r="Z206" s="253">
        <v>3.0</v>
      </c>
      <c r="AA206" s="190"/>
      <c r="AB206" s="253">
        <v>0.0</v>
      </c>
      <c r="AC206" s="190"/>
      <c r="AD206" s="338">
        <v>0.0</v>
      </c>
      <c r="AE206" s="190"/>
      <c r="AF206" s="338">
        <v>0.0</v>
      </c>
      <c r="AG206" s="190"/>
      <c r="AH206" s="338">
        <v>0.0</v>
      </c>
      <c r="AI206" s="190"/>
      <c r="AJ206" s="338">
        <v>0.0</v>
      </c>
      <c r="AK206" s="190"/>
      <c r="AL206" s="338">
        <v>0.0</v>
      </c>
      <c r="AM206" s="190"/>
      <c r="AN206" s="338">
        <v>0.0</v>
      </c>
      <c r="AO206" s="190"/>
      <c r="AP206" s="254">
        <f t="shared" si="11"/>
        <v>7014.8</v>
      </c>
      <c r="AQ206" s="255">
        <f t="shared" si="10"/>
        <v>295</v>
      </c>
      <c r="AR206" s="255">
        <f t="shared" si="3"/>
        <v>0</v>
      </c>
      <c r="AS206" s="255">
        <f t="shared" si="4"/>
        <v>298</v>
      </c>
      <c r="AT206" s="256">
        <f t="shared" si="5"/>
        <v>23.53959732</v>
      </c>
    </row>
    <row r="207" ht="15.75" customHeight="1">
      <c r="A207" s="257" t="s">
        <v>23</v>
      </c>
      <c r="B207" s="118">
        <f t="shared" si="6"/>
        <v>45132</v>
      </c>
      <c r="C207" s="119">
        <v>8.0</v>
      </c>
      <c r="D207" s="119" t="s">
        <v>34</v>
      </c>
      <c r="E207" s="165" t="s">
        <v>44</v>
      </c>
      <c r="F207" s="166">
        <v>0.0</v>
      </c>
      <c r="G207" s="3"/>
      <c r="H207" s="166">
        <v>0.0</v>
      </c>
      <c r="I207" s="3"/>
      <c r="J207" s="166">
        <v>0.0</v>
      </c>
      <c r="K207" s="3"/>
      <c r="L207" s="166">
        <v>0.0</v>
      </c>
      <c r="M207" s="3"/>
      <c r="N207" s="121">
        <v>130.0</v>
      </c>
      <c r="O207" s="3"/>
      <c r="P207" s="121">
        <v>145.0</v>
      </c>
      <c r="Q207" s="3"/>
      <c r="R207" s="121">
        <v>20.0</v>
      </c>
      <c r="S207" s="3"/>
      <c r="T207" s="121">
        <v>0.0</v>
      </c>
      <c r="U207" s="3"/>
      <c r="V207" s="166">
        <v>0.0</v>
      </c>
      <c r="W207" s="3"/>
      <c r="X207" s="121">
        <v>0.0</v>
      </c>
      <c r="Y207" s="3"/>
      <c r="Z207" s="121">
        <v>0.0</v>
      </c>
      <c r="AA207" s="3"/>
      <c r="AB207" s="121">
        <v>3.0</v>
      </c>
      <c r="AC207" s="3"/>
      <c r="AD207" s="166">
        <v>0.0</v>
      </c>
      <c r="AE207" s="3"/>
      <c r="AF207" s="166">
        <v>0.0</v>
      </c>
      <c r="AG207" s="3"/>
      <c r="AH207" s="166">
        <v>0.0</v>
      </c>
      <c r="AI207" s="3"/>
      <c r="AJ207" s="166">
        <v>0.0</v>
      </c>
      <c r="AK207" s="3"/>
      <c r="AL207" s="166">
        <v>0.0</v>
      </c>
      <c r="AM207" s="3"/>
      <c r="AN207" s="166">
        <v>0.0</v>
      </c>
      <c r="AO207" s="3"/>
      <c r="AP207" s="123">
        <f t="shared" si="11"/>
        <v>7149.8</v>
      </c>
      <c r="AQ207" s="124">
        <f t="shared" si="10"/>
        <v>295</v>
      </c>
      <c r="AR207" s="124">
        <f t="shared" si="3"/>
        <v>0</v>
      </c>
      <c r="AS207" s="124">
        <f t="shared" si="4"/>
        <v>298</v>
      </c>
      <c r="AT207" s="258">
        <f t="shared" si="5"/>
        <v>23.99261745</v>
      </c>
    </row>
    <row r="208" ht="15.75" customHeight="1">
      <c r="A208" s="257" t="s">
        <v>24</v>
      </c>
      <c r="B208" s="118">
        <f t="shared" si="6"/>
        <v>45133</v>
      </c>
      <c r="C208" s="119">
        <v>8.0</v>
      </c>
      <c r="D208" s="119" t="s">
        <v>34</v>
      </c>
      <c r="E208" s="165" t="s">
        <v>44</v>
      </c>
      <c r="F208" s="166">
        <v>0.0</v>
      </c>
      <c r="G208" s="3"/>
      <c r="H208" s="166">
        <v>0.0</v>
      </c>
      <c r="I208" s="3"/>
      <c r="J208" s="166">
        <v>0.0</v>
      </c>
      <c r="K208" s="3"/>
      <c r="L208" s="166">
        <v>0.0</v>
      </c>
      <c r="M208" s="3"/>
      <c r="N208" s="121">
        <v>130.0</v>
      </c>
      <c r="O208" s="3"/>
      <c r="P208" s="121">
        <v>145.0</v>
      </c>
      <c r="Q208" s="3"/>
      <c r="R208" s="121">
        <v>0.0</v>
      </c>
      <c r="S208" s="3"/>
      <c r="T208" s="121">
        <v>0.0</v>
      </c>
      <c r="U208" s="3"/>
      <c r="V208" s="166">
        <v>0.0</v>
      </c>
      <c r="W208" s="3"/>
      <c r="X208" s="121">
        <v>0.0</v>
      </c>
      <c r="Y208" s="3"/>
      <c r="Z208" s="121">
        <v>4.0</v>
      </c>
      <c r="AA208" s="3"/>
      <c r="AB208" s="121">
        <v>0.0</v>
      </c>
      <c r="AC208" s="3"/>
      <c r="AD208" s="166">
        <v>0.0</v>
      </c>
      <c r="AE208" s="3"/>
      <c r="AF208" s="166">
        <v>0.0</v>
      </c>
      <c r="AG208" s="3"/>
      <c r="AH208" s="166">
        <v>0.0</v>
      </c>
      <c r="AI208" s="3"/>
      <c r="AJ208" s="166">
        <v>0.0</v>
      </c>
      <c r="AK208" s="3"/>
      <c r="AL208" s="166">
        <v>0.0</v>
      </c>
      <c r="AM208" s="3"/>
      <c r="AN208" s="166">
        <v>0.0</v>
      </c>
      <c r="AO208" s="3"/>
      <c r="AP208" s="123">
        <f t="shared" si="11"/>
        <v>6595.066667</v>
      </c>
      <c r="AQ208" s="124">
        <f t="shared" si="10"/>
        <v>275</v>
      </c>
      <c r="AR208" s="124">
        <f t="shared" si="3"/>
        <v>0</v>
      </c>
      <c r="AS208" s="124">
        <f t="shared" si="4"/>
        <v>279</v>
      </c>
      <c r="AT208" s="258">
        <f t="shared" si="5"/>
        <v>23.63823178</v>
      </c>
    </row>
    <row r="209" ht="15.75" customHeight="1">
      <c r="A209" s="257" t="s">
        <v>25</v>
      </c>
      <c r="B209" s="118">
        <f t="shared" si="6"/>
        <v>45134</v>
      </c>
      <c r="C209" s="119">
        <v>8.0</v>
      </c>
      <c r="D209" s="119" t="s">
        <v>34</v>
      </c>
      <c r="E209" s="165" t="s">
        <v>44</v>
      </c>
      <c r="F209" s="166">
        <v>0.0</v>
      </c>
      <c r="G209" s="3"/>
      <c r="H209" s="166">
        <v>0.0</v>
      </c>
      <c r="I209" s="3"/>
      <c r="J209" s="166">
        <v>0.0</v>
      </c>
      <c r="K209" s="3"/>
      <c r="L209" s="166">
        <v>0.0</v>
      </c>
      <c r="M209" s="3"/>
      <c r="N209" s="121">
        <v>130.0</v>
      </c>
      <c r="O209" s="3"/>
      <c r="P209" s="121">
        <v>145.0</v>
      </c>
      <c r="Q209" s="3"/>
      <c r="R209" s="121">
        <v>20.0</v>
      </c>
      <c r="S209" s="3"/>
      <c r="T209" s="121">
        <v>0.0</v>
      </c>
      <c r="U209" s="3"/>
      <c r="V209" s="166">
        <v>0.0</v>
      </c>
      <c r="W209" s="3"/>
      <c r="X209" s="121">
        <v>30.0</v>
      </c>
      <c r="Y209" s="3"/>
      <c r="Z209" s="121">
        <v>3.0</v>
      </c>
      <c r="AA209" s="3"/>
      <c r="AB209" s="121">
        <v>0.0</v>
      </c>
      <c r="AC209" s="3"/>
      <c r="AD209" s="166">
        <v>0.0</v>
      </c>
      <c r="AE209" s="3"/>
      <c r="AF209" s="166">
        <v>0.0</v>
      </c>
      <c r="AG209" s="3"/>
      <c r="AH209" s="166">
        <v>0.0</v>
      </c>
      <c r="AI209" s="3"/>
      <c r="AJ209" s="166">
        <v>0.0</v>
      </c>
      <c r="AK209" s="3"/>
      <c r="AL209" s="166">
        <v>0.0</v>
      </c>
      <c r="AM209" s="3"/>
      <c r="AN209" s="166">
        <v>0.0</v>
      </c>
      <c r="AO209" s="3"/>
      <c r="AP209" s="123">
        <f t="shared" si="11"/>
        <v>7607</v>
      </c>
      <c r="AQ209" s="124">
        <f t="shared" si="10"/>
        <v>325</v>
      </c>
      <c r="AR209" s="124">
        <f t="shared" si="3"/>
        <v>0</v>
      </c>
      <c r="AS209" s="124">
        <f t="shared" si="4"/>
        <v>328</v>
      </c>
      <c r="AT209" s="258">
        <f t="shared" si="5"/>
        <v>23.19207317</v>
      </c>
    </row>
    <row r="210" ht="15.75" customHeight="1">
      <c r="A210" s="257" t="s">
        <v>26</v>
      </c>
      <c r="B210" s="118">
        <f t="shared" si="6"/>
        <v>45135</v>
      </c>
      <c r="C210" s="119">
        <v>8.0</v>
      </c>
      <c r="D210" s="119" t="s">
        <v>34</v>
      </c>
      <c r="E210" s="165" t="s">
        <v>44</v>
      </c>
      <c r="F210" s="166">
        <v>0.0</v>
      </c>
      <c r="G210" s="3"/>
      <c r="H210" s="166">
        <v>0.0</v>
      </c>
      <c r="I210" s="3"/>
      <c r="J210" s="166">
        <v>0.0</v>
      </c>
      <c r="K210" s="3"/>
      <c r="L210" s="166">
        <v>0.0</v>
      </c>
      <c r="M210" s="3"/>
      <c r="N210" s="121">
        <v>130.0</v>
      </c>
      <c r="O210" s="3"/>
      <c r="P210" s="121">
        <v>145.0</v>
      </c>
      <c r="Q210" s="3"/>
      <c r="R210" s="121">
        <v>20.0</v>
      </c>
      <c r="S210" s="3"/>
      <c r="T210" s="121">
        <v>0.0</v>
      </c>
      <c r="U210" s="3"/>
      <c r="V210" s="166">
        <v>0.0</v>
      </c>
      <c r="W210" s="3"/>
      <c r="X210" s="121">
        <v>30.0</v>
      </c>
      <c r="Y210" s="3"/>
      <c r="Z210" s="121">
        <v>3.0</v>
      </c>
      <c r="AA210" s="3"/>
      <c r="AB210" s="121">
        <v>0.0</v>
      </c>
      <c r="AC210" s="3"/>
      <c r="AD210" s="166">
        <v>0.0</v>
      </c>
      <c r="AE210" s="3"/>
      <c r="AF210" s="166">
        <v>0.0</v>
      </c>
      <c r="AG210" s="3"/>
      <c r="AH210" s="166">
        <v>0.0</v>
      </c>
      <c r="AI210" s="3"/>
      <c r="AJ210" s="166">
        <v>0.0</v>
      </c>
      <c r="AK210" s="3"/>
      <c r="AL210" s="166">
        <v>0.0</v>
      </c>
      <c r="AM210" s="3"/>
      <c r="AN210" s="166">
        <v>0.0</v>
      </c>
      <c r="AO210" s="3"/>
      <c r="AP210" s="123">
        <f t="shared" si="11"/>
        <v>7607</v>
      </c>
      <c r="AQ210" s="124">
        <f t="shared" si="10"/>
        <v>325</v>
      </c>
      <c r="AR210" s="124">
        <f t="shared" si="3"/>
        <v>0</v>
      </c>
      <c r="AS210" s="124">
        <f t="shared" si="4"/>
        <v>328</v>
      </c>
      <c r="AT210" s="258">
        <f t="shared" si="5"/>
        <v>23.19207317</v>
      </c>
    </row>
    <row r="211" ht="15.75" customHeight="1">
      <c r="A211" s="257" t="s">
        <v>27</v>
      </c>
      <c r="B211" s="118">
        <f t="shared" si="6"/>
        <v>45136</v>
      </c>
      <c r="C211" s="119">
        <v>8.0</v>
      </c>
      <c r="D211" s="119" t="s">
        <v>34</v>
      </c>
      <c r="E211" s="165" t="s">
        <v>44</v>
      </c>
      <c r="F211" s="166">
        <v>0.0</v>
      </c>
      <c r="G211" s="3"/>
      <c r="H211" s="166">
        <v>0.0</v>
      </c>
      <c r="I211" s="3"/>
      <c r="J211" s="166">
        <v>0.0</v>
      </c>
      <c r="K211" s="3"/>
      <c r="L211" s="166">
        <v>0.0</v>
      </c>
      <c r="M211" s="3"/>
      <c r="N211" s="121">
        <v>130.0</v>
      </c>
      <c r="O211" s="3"/>
      <c r="P211" s="121">
        <v>155.0</v>
      </c>
      <c r="Q211" s="3"/>
      <c r="R211" s="121">
        <v>0.0</v>
      </c>
      <c r="S211" s="3"/>
      <c r="T211" s="121">
        <v>0.0</v>
      </c>
      <c r="U211" s="3"/>
      <c r="V211" s="166">
        <v>0.0</v>
      </c>
      <c r="W211" s="3"/>
      <c r="X211" s="121">
        <v>0.0</v>
      </c>
      <c r="Y211" s="3"/>
      <c r="Z211" s="121">
        <v>3.0</v>
      </c>
      <c r="AA211" s="3"/>
      <c r="AB211" s="121">
        <v>0.0</v>
      </c>
      <c r="AC211" s="3"/>
      <c r="AD211" s="166">
        <v>0.0</v>
      </c>
      <c r="AE211" s="3"/>
      <c r="AF211" s="166">
        <v>0.0</v>
      </c>
      <c r="AG211" s="3"/>
      <c r="AH211" s="166">
        <v>0.0</v>
      </c>
      <c r="AI211" s="3"/>
      <c r="AJ211" s="166">
        <v>0.0</v>
      </c>
      <c r="AK211" s="3"/>
      <c r="AL211" s="166">
        <v>0.0</v>
      </c>
      <c r="AM211" s="3"/>
      <c r="AN211" s="166">
        <v>0.0</v>
      </c>
      <c r="AO211" s="3"/>
      <c r="AP211" s="123">
        <f t="shared" si="11"/>
        <v>6764.933333</v>
      </c>
      <c r="AQ211" s="124">
        <f t="shared" si="10"/>
        <v>285</v>
      </c>
      <c r="AR211" s="124">
        <f t="shared" si="3"/>
        <v>0</v>
      </c>
      <c r="AS211" s="124">
        <f t="shared" si="4"/>
        <v>288</v>
      </c>
      <c r="AT211" s="258">
        <f t="shared" si="5"/>
        <v>23.48935185</v>
      </c>
    </row>
    <row r="212" ht="15.75" customHeight="1">
      <c r="A212" s="257" t="s">
        <v>28</v>
      </c>
      <c r="B212" s="118">
        <f t="shared" si="6"/>
        <v>45137</v>
      </c>
      <c r="C212" s="119">
        <v>8.0</v>
      </c>
      <c r="D212" s="119" t="s">
        <v>34</v>
      </c>
      <c r="E212" s="339" t="s">
        <v>43</v>
      </c>
      <c r="F212" s="340">
        <v>0.0</v>
      </c>
      <c r="G212" s="73"/>
      <c r="H212" s="340">
        <v>0.0</v>
      </c>
      <c r="I212" s="73"/>
      <c r="J212" s="340">
        <v>0.0</v>
      </c>
      <c r="K212" s="73"/>
      <c r="L212" s="340">
        <v>0.0</v>
      </c>
      <c r="M212" s="73"/>
      <c r="N212" s="182">
        <v>0.0</v>
      </c>
      <c r="O212" s="73"/>
      <c r="P212" s="182">
        <v>0.0</v>
      </c>
      <c r="Q212" s="73"/>
      <c r="R212" s="182">
        <v>0.0</v>
      </c>
      <c r="S212" s="73"/>
      <c r="T212" s="182">
        <v>0.0</v>
      </c>
      <c r="U212" s="73"/>
      <c r="V212" s="340">
        <v>0.0</v>
      </c>
      <c r="W212" s="73"/>
      <c r="X212" s="182">
        <v>0.0</v>
      </c>
      <c r="Y212" s="73"/>
      <c r="Z212" s="182">
        <v>0.0</v>
      </c>
      <c r="AA212" s="73"/>
      <c r="AB212" s="182">
        <v>0.0</v>
      </c>
      <c r="AC212" s="73"/>
      <c r="AD212" s="340">
        <v>0.0</v>
      </c>
      <c r="AE212" s="73"/>
      <c r="AF212" s="340">
        <v>0.0</v>
      </c>
      <c r="AG212" s="73"/>
      <c r="AH212" s="340">
        <v>0.0</v>
      </c>
      <c r="AI212" s="73"/>
      <c r="AJ212" s="340">
        <v>0.0</v>
      </c>
      <c r="AK212" s="73"/>
      <c r="AL212" s="340">
        <v>0.0</v>
      </c>
      <c r="AM212" s="73"/>
      <c r="AN212" s="340">
        <v>0.0</v>
      </c>
      <c r="AO212" s="73"/>
      <c r="AP212" s="183">
        <f t="shared" si="11"/>
        <v>0</v>
      </c>
      <c r="AQ212" s="181">
        <f t="shared" si="10"/>
        <v>0</v>
      </c>
      <c r="AR212" s="181">
        <f t="shared" si="3"/>
        <v>0</v>
      </c>
      <c r="AS212" s="181">
        <f t="shared" si="4"/>
        <v>0</v>
      </c>
      <c r="AT212" s="261" t="str">
        <f t="shared" si="5"/>
        <v/>
      </c>
    </row>
    <row r="213" ht="15.75" customHeight="1">
      <c r="A213" s="325" t="s">
        <v>21</v>
      </c>
      <c r="B213" s="326">
        <f t="shared" si="6"/>
        <v>45138</v>
      </c>
      <c r="C213" s="292">
        <v>8.0</v>
      </c>
      <c r="D213" s="292" t="s">
        <v>36</v>
      </c>
      <c r="E213" s="341" t="s">
        <v>44</v>
      </c>
      <c r="F213" s="342">
        <v>0.0</v>
      </c>
      <c r="G213" s="190"/>
      <c r="H213" s="342">
        <v>0.0</v>
      </c>
      <c r="I213" s="190"/>
      <c r="J213" s="342">
        <v>0.0</v>
      </c>
      <c r="K213" s="190"/>
      <c r="L213" s="342">
        <v>0.0</v>
      </c>
      <c r="M213" s="190"/>
      <c r="N213" s="294">
        <v>130.0</v>
      </c>
      <c r="O213" s="190"/>
      <c r="P213" s="294">
        <v>155.0</v>
      </c>
      <c r="Q213" s="190"/>
      <c r="R213" s="294">
        <v>30.0</v>
      </c>
      <c r="S213" s="190"/>
      <c r="T213" s="294">
        <v>0.0</v>
      </c>
      <c r="U213" s="190"/>
      <c r="V213" s="294">
        <v>0.0</v>
      </c>
      <c r="W213" s="190"/>
      <c r="X213" s="294">
        <v>0.0</v>
      </c>
      <c r="Y213" s="190"/>
      <c r="Z213" s="294">
        <v>3.0</v>
      </c>
      <c r="AA213" s="190"/>
      <c r="AB213" s="294">
        <v>0.0</v>
      </c>
      <c r="AC213" s="190"/>
      <c r="AD213" s="342">
        <v>0.0</v>
      </c>
      <c r="AE213" s="190"/>
      <c r="AF213" s="342">
        <v>0.0</v>
      </c>
      <c r="AG213" s="190"/>
      <c r="AH213" s="342">
        <v>0.0</v>
      </c>
      <c r="AI213" s="190"/>
      <c r="AJ213" s="342">
        <v>0.0</v>
      </c>
      <c r="AK213" s="190"/>
      <c r="AL213" s="342">
        <v>0.0</v>
      </c>
      <c r="AM213" s="190"/>
      <c r="AN213" s="342">
        <v>0.0</v>
      </c>
      <c r="AO213" s="190"/>
      <c r="AP213" s="295">
        <f t="shared" si="11"/>
        <v>7514.533333</v>
      </c>
      <c r="AQ213" s="296">
        <f t="shared" si="10"/>
        <v>315</v>
      </c>
      <c r="AR213" s="296">
        <f t="shared" si="3"/>
        <v>0</v>
      </c>
      <c r="AS213" s="296">
        <f t="shared" si="4"/>
        <v>318</v>
      </c>
      <c r="AT213" s="297">
        <f t="shared" si="5"/>
        <v>23.63060797</v>
      </c>
    </row>
    <row r="214" ht="15.75" customHeight="1">
      <c r="A214" s="327" t="s">
        <v>23</v>
      </c>
      <c r="B214" s="144">
        <f t="shared" si="6"/>
        <v>45139</v>
      </c>
      <c r="C214" s="145">
        <v>8.0</v>
      </c>
      <c r="D214" s="145" t="s">
        <v>36</v>
      </c>
      <c r="E214" s="146" t="s">
        <v>44</v>
      </c>
      <c r="F214" s="343">
        <v>0.0</v>
      </c>
      <c r="G214" s="3"/>
      <c r="H214" s="343">
        <v>0.0</v>
      </c>
      <c r="I214" s="3"/>
      <c r="J214" s="343">
        <v>0.0</v>
      </c>
      <c r="K214" s="3"/>
      <c r="L214" s="343">
        <v>0.0</v>
      </c>
      <c r="M214" s="3"/>
      <c r="N214" s="147">
        <v>130.0</v>
      </c>
      <c r="O214" s="3"/>
      <c r="P214" s="147">
        <v>155.0</v>
      </c>
      <c r="Q214" s="3"/>
      <c r="R214" s="147">
        <v>30.0</v>
      </c>
      <c r="S214" s="3"/>
      <c r="T214" s="147">
        <v>0.0</v>
      </c>
      <c r="U214" s="3"/>
      <c r="V214" s="147">
        <v>0.0</v>
      </c>
      <c r="W214" s="3"/>
      <c r="X214" s="147">
        <v>30.0</v>
      </c>
      <c r="Y214" s="3"/>
      <c r="Z214" s="147">
        <v>3.0</v>
      </c>
      <c r="AA214" s="3"/>
      <c r="AB214" s="147">
        <v>0.0</v>
      </c>
      <c r="AC214" s="3"/>
      <c r="AD214" s="343">
        <v>0.0</v>
      </c>
      <c r="AE214" s="3"/>
      <c r="AF214" s="343">
        <v>0.0</v>
      </c>
      <c r="AG214" s="3"/>
      <c r="AH214" s="343">
        <v>0.0</v>
      </c>
      <c r="AI214" s="3"/>
      <c r="AJ214" s="343">
        <v>0.0</v>
      </c>
      <c r="AK214" s="3"/>
      <c r="AL214" s="343">
        <v>0.0</v>
      </c>
      <c r="AM214" s="3"/>
      <c r="AN214" s="343">
        <v>0.0</v>
      </c>
      <c r="AO214" s="3"/>
      <c r="AP214" s="149">
        <f t="shared" si="11"/>
        <v>8106.733333</v>
      </c>
      <c r="AQ214" s="150">
        <f t="shared" si="10"/>
        <v>345</v>
      </c>
      <c r="AR214" s="150">
        <f t="shared" si="3"/>
        <v>0</v>
      </c>
      <c r="AS214" s="150">
        <f t="shared" si="4"/>
        <v>348</v>
      </c>
      <c r="AT214" s="299">
        <f t="shared" si="5"/>
        <v>23.29521073</v>
      </c>
    </row>
    <row r="215" ht="15.75" customHeight="1">
      <c r="A215" s="327" t="s">
        <v>24</v>
      </c>
      <c r="B215" s="144">
        <f t="shared" si="6"/>
        <v>45140</v>
      </c>
      <c r="C215" s="145">
        <v>8.0</v>
      </c>
      <c r="D215" s="145" t="s">
        <v>36</v>
      </c>
      <c r="E215" s="146" t="s">
        <v>44</v>
      </c>
      <c r="F215" s="343">
        <v>0.0</v>
      </c>
      <c r="G215" s="3"/>
      <c r="H215" s="343">
        <v>0.0</v>
      </c>
      <c r="I215" s="3"/>
      <c r="J215" s="343">
        <v>0.0</v>
      </c>
      <c r="K215" s="3"/>
      <c r="L215" s="343">
        <v>0.0</v>
      </c>
      <c r="M215" s="3"/>
      <c r="N215" s="147">
        <v>130.0</v>
      </c>
      <c r="O215" s="3"/>
      <c r="P215" s="147">
        <v>155.0</v>
      </c>
      <c r="Q215" s="3"/>
      <c r="R215" s="147">
        <v>0.0</v>
      </c>
      <c r="S215" s="3"/>
      <c r="T215" s="147">
        <v>0.0</v>
      </c>
      <c r="U215" s="3"/>
      <c r="V215" s="147">
        <v>0.0</v>
      </c>
      <c r="W215" s="3"/>
      <c r="X215" s="147">
        <v>0.0</v>
      </c>
      <c r="Y215" s="3"/>
      <c r="Z215" s="147">
        <v>4.0</v>
      </c>
      <c r="AA215" s="3"/>
      <c r="AB215" s="147">
        <v>0.0</v>
      </c>
      <c r="AC215" s="3"/>
      <c r="AD215" s="343">
        <v>0.0</v>
      </c>
      <c r="AE215" s="3"/>
      <c r="AF215" s="343">
        <v>0.0</v>
      </c>
      <c r="AG215" s="3"/>
      <c r="AH215" s="343">
        <v>0.0</v>
      </c>
      <c r="AI215" s="3"/>
      <c r="AJ215" s="343">
        <v>0.0</v>
      </c>
      <c r="AK215" s="3"/>
      <c r="AL215" s="343">
        <v>0.0</v>
      </c>
      <c r="AM215" s="3"/>
      <c r="AN215" s="343">
        <v>0.0</v>
      </c>
      <c r="AO215" s="3"/>
      <c r="AP215" s="149">
        <f t="shared" si="11"/>
        <v>6844.933333</v>
      </c>
      <c r="AQ215" s="150">
        <f t="shared" si="10"/>
        <v>285</v>
      </c>
      <c r="AR215" s="150">
        <f t="shared" si="3"/>
        <v>0</v>
      </c>
      <c r="AS215" s="150">
        <f t="shared" si="4"/>
        <v>289</v>
      </c>
      <c r="AT215" s="299">
        <f t="shared" si="5"/>
        <v>23.68489043</v>
      </c>
    </row>
    <row r="216" ht="15.75" customHeight="1">
      <c r="A216" s="327" t="s">
        <v>25</v>
      </c>
      <c r="B216" s="144">
        <f t="shared" si="6"/>
        <v>45141</v>
      </c>
      <c r="C216" s="145">
        <v>8.0</v>
      </c>
      <c r="D216" s="145" t="s">
        <v>36</v>
      </c>
      <c r="E216" s="146" t="s">
        <v>44</v>
      </c>
      <c r="F216" s="343">
        <v>0.0</v>
      </c>
      <c r="G216" s="3"/>
      <c r="H216" s="343">
        <v>0.0</v>
      </c>
      <c r="I216" s="3"/>
      <c r="J216" s="343">
        <v>0.0</v>
      </c>
      <c r="K216" s="3"/>
      <c r="L216" s="343">
        <v>0.0</v>
      </c>
      <c r="M216" s="3"/>
      <c r="N216" s="147">
        <v>130.0</v>
      </c>
      <c r="O216" s="3"/>
      <c r="P216" s="147">
        <v>155.0</v>
      </c>
      <c r="Q216" s="3"/>
      <c r="R216" s="147">
        <v>30.0</v>
      </c>
      <c r="S216" s="3"/>
      <c r="T216" s="147">
        <v>0.0</v>
      </c>
      <c r="U216" s="3"/>
      <c r="V216" s="147">
        <v>0.0</v>
      </c>
      <c r="W216" s="3"/>
      <c r="X216" s="147">
        <v>30.0</v>
      </c>
      <c r="Y216" s="3"/>
      <c r="Z216" s="147">
        <v>0.0</v>
      </c>
      <c r="AA216" s="3"/>
      <c r="AB216" s="147">
        <v>3.0</v>
      </c>
      <c r="AC216" s="3"/>
      <c r="AD216" s="343">
        <v>0.0</v>
      </c>
      <c r="AE216" s="3"/>
      <c r="AF216" s="343">
        <v>0.0</v>
      </c>
      <c r="AG216" s="3"/>
      <c r="AH216" s="343">
        <v>0.0</v>
      </c>
      <c r="AI216" s="3"/>
      <c r="AJ216" s="343">
        <v>0.0</v>
      </c>
      <c r="AK216" s="3"/>
      <c r="AL216" s="343">
        <v>0.0</v>
      </c>
      <c r="AM216" s="3"/>
      <c r="AN216" s="343">
        <v>0.0</v>
      </c>
      <c r="AO216" s="3"/>
      <c r="AP216" s="149">
        <f t="shared" si="11"/>
        <v>8241.733333</v>
      </c>
      <c r="AQ216" s="150">
        <f t="shared" si="10"/>
        <v>345</v>
      </c>
      <c r="AR216" s="150">
        <f t="shared" si="3"/>
        <v>0</v>
      </c>
      <c r="AS216" s="150">
        <f t="shared" si="4"/>
        <v>348</v>
      </c>
      <c r="AT216" s="299">
        <f t="shared" si="5"/>
        <v>23.68314176</v>
      </c>
    </row>
    <row r="217" ht="15.75" customHeight="1">
      <c r="A217" s="327" t="s">
        <v>26</v>
      </c>
      <c r="B217" s="144">
        <f t="shared" si="6"/>
        <v>45142</v>
      </c>
      <c r="C217" s="145">
        <v>8.0</v>
      </c>
      <c r="D217" s="145" t="s">
        <v>36</v>
      </c>
      <c r="E217" s="146" t="s">
        <v>44</v>
      </c>
      <c r="F217" s="343">
        <v>0.0</v>
      </c>
      <c r="G217" s="3"/>
      <c r="H217" s="343">
        <v>0.0</v>
      </c>
      <c r="I217" s="3"/>
      <c r="J217" s="343">
        <v>0.0</v>
      </c>
      <c r="K217" s="3"/>
      <c r="L217" s="343">
        <v>0.0</v>
      </c>
      <c r="M217" s="3"/>
      <c r="N217" s="147">
        <v>130.0</v>
      </c>
      <c r="O217" s="3"/>
      <c r="P217" s="147">
        <v>155.0</v>
      </c>
      <c r="Q217" s="3"/>
      <c r="R217" s="147">
        <v>30.0</v>
      </c>
      <c r="S217" s="3"/>
      <c r="T217" s="147">
        <v>0.0</v>
      </c>
      <c r="U217" s="3"/>
      <c r="V217" s="147">
        <v>0.0</v>
      </c>
      <c r="W217" s="3"/>
      <c r="X217" s="147">
        <v>0.0</v>
      </c>
      <c r="Y217" s="3"/>
      <c r="Z217" s="147">
        <v>3.0</v>
      </c>
      <c r="AA217" s="3"/>
      <c r="AB217" s="147">
        <v>0.0</v>
      </c>
      <c r="AC217" s="3"/>
      <c r="AD217" s="343">
        <v>0.0</v>
      </c>
      <c r="AE217" s="3"/>
      <c r="AF217" s="343">
        <v>0.0</v>
      </c>
      <c r="AG217" s="3"/>
      <c r="AH217" s="343">
        <v>0.0</v>
      </c>
      <c r="AI217" s="3"/>
      <c r="AJ217" s="343">
        <v>0.0</v>
      </c>
      <c r="AK217" s="3"/>
      <c r="AL217" s="343">
        <v>0.0</v>
      </c>
      <c r="AM217" s="3"/>
      <c r="AN217" s="343">
        <v>0.0</v>
      </c>
      <c r="AO217" s="3"/>
      <c r="AP217" s="149">
        <f t="shared" si="11"/>
        <v>7514.533333</v>
      </c>
      <c r="AQ217" s="150">
        <f t="shared" si="10"/>
        <v>315</v>
      </c>
      <c r="AR217" s="150">
        <f t="shared" si="3"/>
        <v>0</v>
      </c>
      <c r="AS217" s="150">
        <f t="shared" si="4"/>
        <v>318</v>
      </c>
      <c r="AT217" s="299">
        <f t="shared" si="5"/>
        <v>23.63060797</v>
      </c>
    </row>
    <row r="218" ht="15.75" customHeight="1">
      <c r="A218" s="327" t="s">
        <v>27</v>
      </c>
      <c r="B218" s="144">
        <f t="shared" si="6"/>
        <v>45143</v>
      </c>
      <c r="C218" s="145">
        <v>8.0</v>
      </c>
      <c r="D218" s="145" t="s">
        <v>36</v>
      </c>
      <c r="E218" s="146" t="s">
        <v>44</v>
      </c>
      <c r="F218" s="343">
        <v>0.0</v>
      </c>
      <c r="G218" s="3"/>
      <c r="H218" s="343">
        <v>0.0</v>
      </c>
      <c r="I218" s="3"/>
      <c r="J218" s="343">
        <v>0.0</v>
      </c>
      <c r="K218" s="3"/>
      <c r="L218" s="343">
        <v>0.0</v>
      </c>
      <c r="M218" s="3"/>
      <c r="N218" s="147">
        <v>130.0</v>
      </c>
      <c r="O218" s="3"/>
      <c r="P218" s="147">
        <v>155.0</v>
      </c>
      <c r="Q218" s="3"/>
      <c r="R218" s="147">
        <v>0.0</v>
      </c>
      <c r="S218" s="3"/>
      <c r="T218" s="147">
        <v>0.0</v>
      </c>
      <c r="U218" s="3"/>
      <c r="V218" s="147">
        <v>0.0</v>
      </c>
      <c r="W218" s="3"/>
      <c r="X218" s="147">
        <v>0.0</v>
      </c>
      <c r="Y218" s="3"/>
      <c r="Z218" s="147">
        <v>0.0</v>
      </c>
      <c r="AA218" s="3"/>
      <c r="AB218" s="147">
        <v>4.0</v>
      </c>
      <c r="AC218" s="3"/>
      <c r="AD218" s="343">
        <v>0.0</v>
      </c>
      <c r="AE218" s="3"/>
      <c r="AF218" s="343">
        <v>0.0</v>
      </c>
      <c r="AG218" s="3"/>
      <c r="AH218" s="343">
        <v>0.0</v>
      </c>
      <c r="AI218" s="3"/>
      <c r="AJ218" s="343">
        <v>0.0</v>
      </c>
      <c r="AK218" s="3"/>
      <c r="AL218" s="343">
        <v>0.0</v>
      </c>
      <c r="AM218" s="3"/>
      <c r="AN218" s="343">
        <v>0.0</v>
      </c>
      <c r="AO218" s="3"/>
      <c r="AP218" s="149">
        <f t="shared" si="11"/>
        <v>7024.933333</v>
      </c>
      <c r="AQ218" s="150">
        <f t="shared" si="10"/>
        <v>285</v>
      </c>
      <c r="AR218" s="150">
        <f t="shared" si="3"/>
        <v>0</v>
      </c>
      <c r="AS218" s="150">
        <f t="shared" si="4"/>
        <v>289</v>
      </c>
      <c r="AT218" s="299">
        <f t="shared" si="5"/>
        <v>24.3077278</v>
      </c>
    </row>
    <row r="219" ht="15.75" customHeight="1">
      <c r="A219" s="344" t="s">
        <v>28</v>
      </c>
      <c r="B219" s="345">
        <f t="shared" si="6"/>
        <v>45144</v>
      </c>
      <c r="C219" s="335">
        <v>8.0</v>
      </c>
      <c r="D219" s="335" t="s">
        <v>36</v>
      </c>
      <c r="E219" s="332" t="s">
        <v>43</v>
      </c>
      <c r="F219" s="346">
        <v>0.0</v>
      </c>
      <c r="G219" s="207"/>
      <c r="H219" s="346">
        <v>0.0</v>
      </c>
      <c r="I219" s="207"/>
      <c r="J219" s="346">
        <v>0.0</v>
      </c>
      <c r="K219" s="207"/>
      <c r="L219" s="346">
        <v>0.0</v>
      </c>
      <c r="M219" s="207"/>
      <c r="N219" s="333">
        <v>0.0</v>
      </c>
      <c r="O219" s="207"/>
      <c r="P219" s="333">
        <v>0.0</v>
      </c>
      <c r="Q219" s="207"/>
      <c r="R219" s="333">
        <v>0.0</v>
      </c>
      <c r="S219" s="207"/>
      <c r="T219" s="333">
        <v>0.0</v>
      </c>
      <c r="U219" s="207"/>
      <c r="V219" s="333">
        <v>0.0</v>
      </c>
      <c r="W219" s="207"/>
      <c r="X219" s="333">
        <v>0.0</v>
      </c>
      <c r="Y219" s="207"/>
      <c r="Z219" s="333">
        <v>0.0</v>
      </c>
      <c r="AA219" s="207"/>
      <c r="AB219" s="333">
        <v>0.0</v>
      </c>
      <c r="AC219" s="207"/>
      <c r="AD219" s="346">
        <v>0.0</v>
      </c>
      <c r="AE219" s="207"/>
      <c r="AF219" s="346">
        <v>0.0</v>
      </c>
      <c r="AG219" s="207"/>
      <c r="AH219" s="346">
        <v>0.0</v>
      </c>
      <c r="AI219" s="207"/>
      <c r="AJ219" s="346">
        <v>0.0</v>
      </c>
      <c r="AK219" s="207"/>
      <c r="AL219" s="346">
        <v>0.0</v>
      </c>
      <c r="AM219" s="207"/>
      <c r="AN219" s="346">
        <v>0.0</v>
      </c>
      <c r="AO219" s="207"/>
      <c r="AP219" s="334">
        <f t="shared" si="11"/>
        <v>0</v>
      </c>
      <c r="AQ219" s="335">
        <f t="shared" si="10"/>
        <v>0</v>
      </c>
      <c r="AR219" s="335">
        <f t="shared" si="3"/>
        <v>0</v>
      </c>
      <c r="AS219" s="335">
        <f t="shared" si="4"/>
        <v>0</v>
      </c>
      <c r="AT219" s="334" t="str">
        <f t="shared" si="5"/>
        <v/>
      </c>
    </row>
    <row r="220" ht="15.75" customHeight="1">
      <c r="A220" s="249" t="s">
        <v>21</v>
      </c>
      <c r="B220" s="250">
        <f t="shared" si="6"/>
        <v>45145</v>
      </c>
      <c r="C220" s="251">
        <v>8.0</v>
      </c>
      <c r="D220" s="251" t="s">
        <v>37</v>
      </c>
      <c r="E220" s="337" t="s">
        <v>44</v>
      </c>
      <c r="F220" s="338">
        <v>0.0</v>
      </c>
      <c r="G220" s="190"/>
      <c r="H220" s="338">
        <v>0.0</v>
      </c>
      <c r="I220" s="190"/>
      <c r="J220" s="338">
        <v>0.0</v>
      </c>
      <c r="K220" s="190"/>
      <c r="L220" s="338">
        <v>0.0</v>
      </c>
      <c r="M220" s="190"/>
      <c r="N220" s="253">
        <v>130.0</v>
      </c>
      <c r="O220" s="190"/>
      <c r="P220" s="253">
        <v>155.0</v>
      </c>
      <c r="Q220" s="190"/>
      <c r="R220" s="253">
        <v>30.0</v>
      </c>
      <c r="S220" s="190"/>
      <c r="T220" s="253">
        <v>0.0</v>
      </c>
      <c r="U220" s="190"/>
      <c r="V220" s="253">
        <v>0.0</v>
      </c>
      <c r="W220" s="190"/>
      <c r="X220" s="253">
        <v>0.0</v>
      </c>
      <c r="Y220" s="190"/>
      <c r="Z220" s="253">
        <v>3.0</v>
      </c>
      <c r="AA220" s="190"/>
      <c r="AB220" s="253">
        <v>0.0</v>
      </c>
      <c r="AC220" s="190"/>
      <c r="AD220" s="338">
        <v>0.0</v>
      </c>
      <c r="AE220" s="190"/>
      <c r="AF220" s="338">
        <v>0.0</v>
      </c>
      <c r="AG220" s="190"/>
      <c r="AH220" s="338">
        <v>0.0</v>
      </c>
      <c r="AI220" s="190"/>
      <c r="AJ220" s="338">
        <v>0.0</v>
      </c>
      <c r="AK220" s="190"/>
      <c r="AL220" s="338">
        <v>0.0</v>
      </c>
      <c r="AM220" s="190"/>
      <c r="AN220" s="338">
        <v>0.0</v>
      </c>
      <c r="AO220" s="190"/>
      <c r="AP220" s="254">
        <f t="shared" si="11"/>
        <v>7514.533333</v>
      </c>
      <c r="AQ220" s="255">
        <f t="shared" si="10"/>
        <v>315</v>
      </c>
      <c r="AR220" s="255">
        <f t="shared" si="3"/>
        <v>0</v>
      </c>
      <c r="AS220" s="255">
        <f t="shared" si="4"/>
        <v>318</v>
      </c>
      <c r="AT220" s="256">
        <f t="shared" si="5"/>
        <v>23.63060797</v>
      </c>
    </row>
    <row r="221" ht="15.75" customHeight="1">
      <c r="A221" s="257" t="s">
        <v>23</v>
      </c>
      <c r="B221" s="118">
        <f t="shared" si="6"/>
        <v>45146</v>
      </c>
      <c r="C221" s="119">
        <v>8.0</v>
      </c>
      <c r="D221" s="119" t="s">
        <v>37</v>
      </c>
      <c r="E221" s="165" t="s">
        <v>44</v>
      </c>
      <c r="F221" s="166">
        <v>0.0</v>
      </c>
      <c r="G221" s="3"/>
      <c r="H221" s="166">
        <v>0.0</v>
      </c>
      <c r="I221" s="3"/>
      <c r="J221" s="166">
        <v>0.0</v>
      </c>
      <c r="K221" s="3"/>
      <c r="L221" s="166">
        <v>0.0</v>
      </c>
      <c r="M221" s="3"/>
      <c r="N221" s="121">
        <v>130.0</v>
      </c>
      <c r="O221" s="3"/>
      <c r="P221" s="121">
        <v>155.0</v>
      </c>
      <c r="Q221" s="3"/>
      <c r="R221" s="121">
        <v>30.0</v>
      </c>
      <c r="S221" s="3"/>
      <c r="T221" s="121">
        <v>0.0</v>
      </c>
      <c r="U221" s="3"/>
      <c r="V221" s="121">
        <v>0.0</v>
      </c>
      <c r="W221" s="3"/>
      <c r="X221" s="121">
        <v>0.0</v>
      </c>
      <c r="Y221" s="3"/>
      <c r="Z221" s="121">
        <v>3.0</v>
      </c>
      <c r="AA221" s="3"/>
      <c r="AB221" s="121">
        <v>0.0</v>
      </c>
      <c r="AC221" s="3"/>
      <c r="AD221" s="166">
        <v>0.0</v>
      </c>
      <c r="AE221" s="3"/>
      <c r="AF221" s="166">
        <v>0.0</v>
      </c>
      <c r="AG221" s="3"/>
      <c r="AH221" s="166">
        <v>0.0</v>
      </c>
      <c r="AI221" s="3"/>
      <c r="AJ221" s="166">
        <v>0.0</v>
      </c>
      <c r="AK221" s="3"/>
      <c r="AL221" s="166">
        <v>0.0</v>
      </c>
      <c r="AM221" s="3"/>
      <c r="AN221" s="166">
        <v>0.0</v>
      </c>
      <c r="AO221" s="3"/>
      <c r="AP221" s="123">
        <f t="shared" si="11"/>
        <v>7514.533333</v>
      </c>
      <c r="AQ221" s="124">
        <f t="shared" si="10"/>
        <v>315</v>
      </c>
      <c r="AR221" s="124">
        <f t="shared" si="3"/>
        <v>0</v>
      </c>
      <c r="AS221" s="124">
        <f t="shared" si="4"/>
        <v>318</v>
      </c>
      <c r="AT221" s="258">
        <f t="shared" si="5"/>
        <v>23.63060797</v>
      </c>
    </row>
    <row r="222" ht="15.75" customHeight="1">
      <c r="A222" s="257" t="s">
        <v>24</v>
      </c>
      <c r="B222" s="118">
        <f t="shared" si="6"/>
        <v>45147</v>
      </c>
      <c r="C222" s="119">
        <v>8.0</v>
      </c>
      <c r="D222" s="119" t="s">
        <v>37</v>
      </c>
      <c r="E222" s="165" t="s">
        <v>44</v>
      </c>
      <c r="F222" s="166">
        <v>0.0</v>
      </c>
      <c r="G222" s="3"/>
      <c r="H222" s="166">
        <v>0.0</v>
      </c>
      <c r="I222" s="3"/>
      <c r="J222" s="166">
        <v>0.0</v>
      </c>
      <c r="K222" s="3"/>
      <c r="L222" s="166">
        <v>0.0</v>
      </c>
      <c r="M222" s="3"/>
      <c r="N222" s="121">
        <v>130.0</v>
      </c>
      <c r="O222" s="3"/>
      <c r="P222" s="121">
        <v>155.0</v>
      </c>
      <c r="Q222" s="3"/>
      <c r="R222" s="121">
        <v>0.0</v>
      </c>
      <c r="S222" s="3"/>
      <c r="T222" s="121">
        <v>0.0</v>
      </c>
      <c r="U222" s="3"/>
      <c r="V222" s="121">
        <v>0.0</v>
      </c>
      <c r="W222" s="3"/>
      <c r="X222" s="121">
        <v>0.0</v>
      </c>
      <c r="Y222" s="3"/>
      <c r="Z222" s="121">
        <v>4.0</v>
      </c>
      <c r="AA222" s="3"/>
      <c r="AB222" s="121">
        <v>0.0</v>
      </c>
      <c r="AC222" s="3"/>
      <c r="AD222" s="166">
        <v>0.0</v>
      </c>
      <c r="AE222" s="3"/>
      <c r="AF222" s="166">
        <v>0.0</v>
      </c>
      <c r="AG222" s="3"/>
      <c r="AH222" s="166">
        <v>0.0</v>
      </c>
      <c r="AI222" s="3"/>
      <c r="AJ222" s="166">
        <v>0.0</v>
      </c>
      <c r="AK222" s="3"/>
      <c r="AL222" s="166">
        <v>0.0</v>
      </c>
      <c r="AM222" s="3"/>
      <c r="AN222" s="166">
        <v>0.0</v>
      </c>
      <c r="AO222" s="3"/>
      <c r="AP222" s="123">
        <f t="shared" si="11"/>
        <v>6844.933333</v>
      </c>
      <c r="AQ222" s="124">
        <f t="shared" si="10"/>
        <v>285</v>
      </c>
      <c r="AR222" s="124">
        <f t="shared" si="3"/>
        <v>0</v>
      </c>
      <c r="AS222" s="124">
        <f t="shared" si="4"/>
        <v>289</v>
      </c>
      <c r="AT222" s="258">
        <f t="shared" si="5"/>
        <v>23.68489043</v>
      </c>
    </row>
    <row r="223" ht="15.75" customHeight="1">
      <c r="A223" s="257" t="s">
        <v>25</v>
      </c>
      <c r="B223" s="118">
        <f t="shared" si="6"/>
        <v>45148</v>
      </c>
      <c r="C223" s="119">
        <v>8.0</v>
      </c>
      <c r="D223" s="119" t="s">
        <v>37</v>
      </c>
      <c r="E223" s="165" t="s">
        <v>44</v>
      </c>
      <c r="F223" s="166">
        <v>0.0</v>
      </c>
      <c r="G223" s="3"/>
      <c r="H223" s="166">
        <v>0.0</v>
      </c>
      <c r="I223" s="3"/>
      <c r="J223" s="166">
        <v>0.0</v>
      </c>
      <c r="K223" s="3"/>
      <c r="L223" s="166">
        <v>0.0</v>
      </c>
      <c r="M223" s="3"/>
      <c r="N223" s="121">
        <v>130.0</v>
      </c>
      <c r="O223" s="3"/>
      <c r="P223" s="121">
        <v>155.0</v>
      </c>
      <c r="Q223" s="3"/>
      <c r="R223" s="121">
        <v>30.0</v>
      </c>
      <c r="S223" s="3"/>
      <c r="T223" s="121">
        <v>0.0</v>
      </c>
      <c r="U223" s="3"/>
      <c r="V223" s="121">
        <v>0.0</v>
      </c>
      <c r="W223" s="3"/>
      <c r="X223" s="121">
        <v>30.0</v>
      </c>
      <c r="Y223" s="3"/>
      <c r="Z223" s="121">
        <v>0.0</v>
      </c>
      <c r="AA223" s="3"/>
      <c r="AB223" s="121">
        <v>3.0</v>
      </c>
      <c r="AC223" s="3"/>
      <c r="AD223" s="166">
        <v>0.0</v>
      </c>
      <c r="AE223" s="3"/>
      <c r="AF223" s="166">
        <v>0.0</v>
      </c>
      <c r="AG223" s="3"/>
      <c r="AH223" s="166">
        <v>0.0</v>
      </c>
      <c r="AI223" s="3"/>
      <c r="AJ223" s="166">
        <v>0.0</v>
      </c>
      <c r="AK223" s="3"/>
      <c r="AL223" s="166">
        <v>0.0</v>
      </c>
      <c r="AM223" s="3"/>
      <c r="AN223" s="166">
        <v>0.0</v>
      </c>
      <c r="AO223" s="3"/>
      <c r="AP223" s="123">
        <f t="shared" si="11"/>
        <v>8241.733333</v>
      </c>
      <c r="AQ223" s="124">
        <f t="shared" si="10"/>
        <v>345</v>
      </c>
      <c r="AR223" s="124">
        <f t="shared" si="3"/>
        <v>0</v>
      </c>
      <c r="AS223" s="124">
        <f t="shared" si="4"/>
        <v>348</v>
      </c>
      <c r="AT223" s="258">
        <f t="shared" si="5"/>
        <v>23.68314176</v>
      </c>
    </row>
    <row r="224" ht="15.75" customHeight="1">
      <c r="A224" s="257" t="s">
        <v>26</v>
      </c>
      <c r="B224" s="118">
        <f t="shared" si="6"/>
        <v>45149</v>
      </c>
      <c r="C224" s="119">
        <v>8.0</v>
      </c>
      <c r="D224" s="119" t="s">
        <v>37</v>
      </c>
      <c r="E224" s="165" t="s">
        <v>44</v>
      </c>
      <c r="F224" s="166">
        <v>0.0</v>
      </c>
      <c r="G224" s="3"/>
      <c r="H224" s="166">
        <v>0.0</v>
      </c>
      <c r="I224" s="3"/>
      <c r="J224" s="166">
        <v>0.0</v>
      </c>
      <c r="K224" s="3"/>
      <c r="L224" s="166">
        <v>0.0</v>
      </c>
      <c r="M224" s="3"/>
      <c r="N224" s="121">
        <v>130.0</v>
      </c>
      <c r="O224" s="3"/>
      <c r="P224" s="121">
        <v>155.0</v>
      </c>
      <c r="Q224" s="3"/>
      <c r="R224" s="121">
        <v>30.0</v>
      </c>
      <c r="S224" s="3"/>
      <c r="T224" s="121">
        <v>0.0</v>
      </c>
      <c r="U224" s="3"/>
      <c r="V224" s="121">
        <v>0.0</v>
      </c>
      <c r="W224" s="3"/>
      <c r="X224" s="121">
        <v>30.0</v>
      </c>
      <c r="Y224" s="3"/>
      <c r="Z224" s="121">
        <v>3.0</v>
      </c>
      <c r="AA224" s="3"/>
      <c r="AB224" s="121">
        <v>0.0</v>
      </c>
      <c r="AC224" s="3"/>
      <c r="AD224" s="166">
        <v>0.0</v>
      </c>
      <c r="AE224" s="3"/>
      <c r="AF224" s="166">
        <v>0.0</v>
      </c>
      <c r="AG224" s="3"/>
      <c r="AH224" s="166">
        <v>0.0</v>
      </c>
      <c r="AI224" s="3"/>
      <c r="AJ224" s="166">
        <v>0.0</v>
      </c>
      <c r="AK224" s="3"/>
      <c r="AL224" s="166">
        <v>0.0</v>
      </c>
      <c r="AM224" s="3"/>
      <c r="AN224" s="166">
        <v>0.0</v>
      </c>
      <c r="AO224" s="3"/>
      <c r="AP224" s="123">
        <f t="shared" si="11"/>
        <v>8106.733333</v>
      </c>
      <c r="AQ224" s="124">
        <f t="shared" si="10"/>
        <v>345</v>
      </c>
      <c r="AR224" s="124">
        <f t="shared" si="3"/>
        <v>0</v>
      </c>
      <c r="AS224" s="124">
        <f t="shared" si="4"/>
        <v>348</v>
      </c>
      <c r="AT224" s="258">
        <f t="shared" si="5"/>
        <v>23.29521073</v>
      </c>
    </row>
    <row r="225" ht="15.75" customHeight="1">
      <c r="A225" s="257" t="s">
        <v>27</v>
      </c>
      <c r="B225" s="118">
        <f t="shared" si="6"/>
        <v>45150</v>
      </c>
      <c r="C225" s="119">
        <v>8.0</v>
      </c>
      <c r="D225" s="119" t="s">
        <v>37</v>
      </c>
      <c r="E225" s="165" t="s">
        <v>44</v>
      </c>
      <c r="F225" s="166">
        <v>0.0</v>
      </c>
      <c r="G225" s="3"/>
      <c r="H225" s="166">
        <v>0.0</v>
      </c>
      <c r="I225" s="3"/>
      <c r="J225" s="166">
        <v>0.0</v>
      </c>
      <c r="K225" s="3"/>
      <c r="L225" s="166">
        <v>0.0</v>
      </c>
      <c r="M225" s="3"/>
      <c r="N225" s="121">
        <v>130.0</v>
      </c>
      <c r="O225" s="3"/>
      <c r="P225" s="121">
        <v>155.0</v>
      </c>
      <c r="Q225" s="3"/>
      <c r="R225" s="121">
        <v>0.0</v>
      </c>
      <c r="S225" s="3"/>
      <c r="T225" s="121">
        <v>0.0</v>
      </c>
      <c r="U225" s="3"/>
      <c r="V225" s="121">
        <v>0.0</v>
      </c>
      <c r="W225" s="3"/>
      <c r="X225" s="121">
        <v>0.0</v>
      </c>
      <c r="Y225" s="3"/>
      <c r="Z225" s="121">
        <v>0.0</v>
      </c>
      <c r="AA225" s="3"/>
      <c r="AB225" s="121">
        <v>4.0</v>
      </c>
      <c r="AC225" s="3"/>
      <c r="AD225" s="166">
        <v>0.0</v>
      </c>
      <c r="AE225" s="3"/>
      <c r="AF225" s="166">
        <v>0.0</v>
      </c>
      <c r="AG225" s="3"/>
      <c r="AH225" s="166">
        <v>0.0</v>
      </c>
      <c r="AI225" s="3"/>
      <c r="AJ225" s="166">
        <v>0.0</v>
      </c>
      <c r="AK225" s="3"/>
      <c r="AL225" s="166">
        <v>0.0</v>
      </c>
      <c r="AM225" s="3"/>
      <c r="AN225" s="166">
        <v>0.0</v>
      </c>
      <c r="AO225" s="3"/>
      <c r="AP225" s="123">
        <f t="shared" si="11"/>
        <v>7024.933333</v>
      </c>
      <c r="AQ225" s="124">
        <f t="shared" si="10"/>
        <v>285</v>
      </c>
      <c r="AR225" s="124">
        <f t="shared" si="3"/>
        <v>0</v>
      </c>
      <c r="AS225" s="124">
        <f t="shared" si="4"/>
        <v>289</v>
      </c>
      <c r="AT225" s="258">
        <f t="shared" si="5"/>
        <v>24.3077278</v>
      </c>
    </row>
    <row r="226" ht="15.75" customHeight="1">
      <c r="A226" s="302" t="s">
        <v>28</v>
      </c>
      <c r="B226" s="303">
        <f t="shared" si="6"/>
        <v>45151</v>
      </c>
      <c r="C226" s="304">
        <v>8.0</v>
      </c>
      <c r="D226" s="304" t="s">
        <v>37</v>
      </c>
      <c r="E226" s="305" t="s">
        <v>43</v>
      </c>
      <c r="F226" s="347">
        <v>0.0</v>
      </c>
      <c r="G226" s="207"/>
      <c r="H226" s="347">
        <v>0.0</v>
      </c>
      <c r="I226" s="207"/>
      <c r="J226" s="347">
        <v>0.0</v>
      </c>
      <c r="K226" s="207"/>
      <c r="L226" s="347">
        <v>0.0</v>
      </c>
      <c r="M226" s="207"/>
      <c r="N226" s="260">
        <v>0.0</v>
      </c>
      <c r="O226" s="207"/>
      <c r="P226" s="260">
        <v>0.0</v>
      </c>
      <c r="Q226" s="207"/>
      <c r="R226" s="260">
        <v>0.0</v>
      </c>
      <c r="S226" s="207"/>
      <c r="T226" s="260">
        <v>0.0</v>
      </c>
      <c r="U226" s="207"/>
      <c r="V226" s="260">
        <v>0.0</v>
      </c>
      <c r="W226" s="207"/>
      <c r="X226" s="260">
        <v>0.0</v>
      </c>
      <c r="Y226" s="207"/>
      <c r="Z226" s="260">
        <v>0.0</v>
      </c>
      <c r="AA226" s="207"/>
      <c r="AB226" s="260">
        <v>0.0</v>
      </c>
      <c r="AC226" s="207"/>
      <c r="AD226" s="347">
        <v>0.0</v>
      </c>
      <c r="AE226" s="207"/>
      <c r="AF226" s="347">
        <v>0.0</v>
      </c>
      <c r="AG226" s="207"/>
      <c r="AH226" s="347">
        <v>0.0</v>
      </c>
      <c r="AI226" s="207"/>
      <c r="AJ226" s="347">
        <v>0.0</v>
      </c>
      <c r="AK226" s="207"/>
      <c r="AL226" s="347">
        <v>0.0</v>
      </c>
      <c r="AM226" s="207"/>
      <c r="AN226" s="347">
        <v>0.0</v>
      </c>
      <c r="AO226" s="207"/>
      <c r="AP226" s="306">
        <f t="shared" si="11"/>
        <v>0</v>
      </c>
      <c r="AQ226" s="307">
        <f t="shared" si="10"/>
        <v>0</v>
      </c>
      <c r="AR226" s="307">
        <f t="shared" si="3"/>
        <v>0</v>
      </c>
      <c r="AS226" s="307">
        <f t="shared" si="4"/>
        <v>0</v>
      </c>
      <c r="AT226" s="308" t="str">
        <f t="shared" si="5"/>
        <v/>
      </c>
    </row>
    <row r="227" ht="15.75" customHeight="1">
      <c r="A227" s="289" t="s">
        <v>21</v>
      </c>
      <c r="B227" s="144">
        <f t="shared" si="6"/>
        <v>45152</v>
      </c>
      <c r="C227" s="145">
        <v>9.0</v>
      </c>
      <c r="D227" s="145" t="s">
        <v>22</v>
      </c>
      <c r="E227" s="348" t="s">
        <v>44</v>
      </c>
      <c r="F227" s="342">
        <v>0.0</v>
      </c>
      <c r="G227" s="190"/>
      <c r="H227" s="342">
        <v>0.0</v>
      </c>
      <c r="I227" s="190"/>
      <c r="J227" s="342">
        <v>0.0</v>
      </c>
      <c r="K227" s="190"/>
      <c r="L227" s="342">
        <v>0.0</v>
      </c>
      <c r="M227" s="190"/>
      <c r="N227" s="294">
        <v>130.0</v>
      </c>
      <c r="O227" s="190"/>
      <c r="P227" s="294">
        <v>155.0</v>
      </c>
      <c r="Q227" s="190"/>
      <c r="R227" s="294">
        <v>30.0</v>
      </c>
      <c r="S227" s="190"/>
      <c r="T227" s="342">
        <v>0.0</v>
      </c>
      <c r="U227" s="190"/>
      <c r="V227" s="342">
        <v>0.0</v>
      </c>
      <c r="W227" s="190"/>
      <c r="X227" s="349">
        <v>0.0</v>
      </c>
      <c r="Y227" s="58"/>
      <c r="Z227" s="349">
        <v>3.0</v>
      </c>
      <c r="AA227" s="58"/>
      <c r="AB227" s="349">
        <v>0.0</v>
      </c>
      <c r="AC227" s="58"/>
      <c r="AD227" s="342">
        <v>0.0</v>
      </c>
      <c r="AE227" s="190"/>
      <c r="AF227" s="342">
        <v>0.0</v>
      </c>
      <c r="AG227" s="190"/>
      <c r="AH227" s="342">
        <v>0.0</v>
      </c>
      <c r="AI227" s="190"/>
      <c r="AJ227" s="342">
        <v>0.0</v>
      </c>
      <c r="AK227" s="190"/>
      <c r="AL227" s="342">
        <v>0.0</v>
      </c>
      <c r="AM227" s="190"/>
      <c r="AN227" s="342">
        <v>0.0</v>
      </c>
      <c r="AO227" s="190"/>
      <c r="AP227" s="350">
        <f t="shared" si="11"/>
        <v>7514.533333</v>
      </c>
      <c r="AQ227" s="351">
        <f t="shared" si="10"/>
        <v>315</v>
      </c>
      <c r="AR227" s="351">
        <f t="shared" si="3"/>
        <v>0</v>
      </c>
      <c r="AS227" s="351">
        <f t="shared" si="4"/>
        <v>318</v>
      </c>
      <c r="AT227" s="350">
        <f t="shared" si="5"/>
        <v>23.63060797</v>
      </c>
    </row>
    <row r="228" ht="15.75" customHeight="1">
      <c r="A228" s="289" t="s">
        <v>23</v>
      </c>
      <c r="B228" s="144">
        <f t="shared" si="6"/>
        <v>45153</v>
      </c>
      <c r="C228" s="145">
        <v>9.0</v>
      </c>
      <c r="D228" s="145" t="s">
        <v>22</v>
      </c>
      <c r="E228" s="146" t="s">
        <v>44</v>
      </c>
      <c r="F228" s="343">
        <v>0.0</v>
      </c>
      <c r="G228" s="3"/>
      <c r="H228" s="343">
        <v>0.0</v>
      </c>
      <c r="I228" s="3"/>
      <c r="J228" s="343">
        <v>0.0</v>
      </c>
      <c r="K228" s="3"/>
      <c r="L228" s="343">
        <v>0.0</v>
      </c>
      <c r="M228" s="3"/>
      <c r="N228" s="147">
        <v>130.0</v>
      </c>
      <c r="O228" s="3"/>
      <c r="P228" s="147">
        <v>95.0</v>
      </c>
      <c r="Q228" s="3"/>
      <c r="R228" s="147">
        <v>30.0</v>
      </c>
      <c r="S228" s="3"/>
      <c r="T228" s="343">
        <v>0.0</v>
      </c>
      <c r="U228" s="3"/>
      <c r="V228" s="343">
        <v>0.0</v>
      </c>
      <c r="W228" s="3"/>
      <c r="X228" s="147">
        <v>30.0</v>
      </c>
      <c r="Y228" s="3"/>
      <c r="Z228" s="147">
        <v>0.0</v>
      </c>
      <c r="AA228" s="3"/>
      <c r="AB228" s="147">
        <v>0.0</v>
      </c>
      <c r="AC228" s="3"/>
      <c r="AD228" s="343">
        <v>0.0</v>
      </c>
      <c r="AE228" s="3"/>
      <c r="AF228" s="343">
        <v>0.0</v>
      </c>
      <c r="AG228" s="3"/>
      <c r="AH228" s="343">
        <v>0.0</v>
      </c>
      <c r="AI228" s="3"/>
      <c r="AJ228" s="343">
        <v>0.0</v>
      </c>
      <c r="AK228" s="3"/>
      <c r="AL228" s="343">
        <v>0.0</v>
      </c>
      <c r="AM228" s="3"/>
      <c r="AN228" s="343">
        <v>0.0</v>
      </c>
      <c r="AO228" s="3"/>
      <c r="AP228" s="149">
        <f t="shared" si="11"/>
        <v>6367.533333</v>
      </c>
      <c r="AQ228" s="150">
        <f t="shared" si="10"/>
        <v>285</v>
      </c>
      <c r="AR228" s="150">
        <f t="shared" si="3"/>
        <v>0</v>
      </c>
      <c r="AS228" s="150">
        <f t="shared" si="4"/>
        <v>285</v>
      </c>
      <c r="AT228" s="149">
        <f t="shared" si="5"/>
        <v>22.34222222</v>
      </c>
    </row>
    <row r="229" ht="15.75" customHeight="1">
      <c r="A229" s="289" t="s">
        <v>24</v>
      </c>
      <c r="B229" s="144">
        <f t="shared" si="6"/>
        <v>45154</v>
      </c>
      <c r="C229" s="145">
        <v>9.0</v>
      </c>
      <c r="D229" s="145" t="s">
        <v>22</v>
      </c>
      <c r="E229" s="146" t="s">
        <v>44</v>
      </c>
      <c r="F229" s="343">
        <v>0.0</v>
      </c>
      <c r="G229" s="3"/>
      <c r="H229" s="343">
        <v>0.0</v>
      </c>
      <c r="I229" s="3"/>
      <c r="J229" s="343">
        <v>0.0</v>
      </c>
      <c r="K229" s="3"/>
      <c r="L229" s="343">
        <v>0.0</v>
      </c>
      <c r="M229" s="3"/>
      <c r="N229" s="147">
        <v>130.0</v>
      </c>
      <c r="O229" s="3"/>
      <c r="P229" s="147">
        <v>155.0</v>
      </c>
      <c r="Q229" s="3"/>
      <c r="R229" s="147">
        <v>0.0</v>
      </c>
      <c r="S229" s="3"/>
      <c r="T229" s="343">
        <v>0.0</v>
      </c>
      <c r="U229" s="3"/>
      <c r="V229" s="343">
        <v>0.0</v>
      </c>
      <c r="W229" s="3"/>
      <c r="X229" s="147">
        <v>0.0</v>
      </c>
      <c r="Y229" s="3"/>
      <c r="Z229" s="147">
        <v>0.0</v>
      </c>
      <c r="AA229" s="3"/>
      <c r="AB229" s="147">
        <v>4.0</v>
      </c>
      <c r="AC229" s="3"/>
      <c r="AD229" s="343">
        <v>0.0</v>
      </c>
      <c r="AE229" s="3"/>
      <c r="AF229" s="343">
        <v>0.0</v>
      </c>
      <c r="AG229" s="3"/>
      <c r="AH229" s="343">
        <v>0.0</v>
      </c>
      <c r="AI229" s="3"/>
      <c r="AJ229" s="343">
        <v>0.0</v>
      </c>
      <c r="AK229" s="3"/>
      <c r="AL229" s="343">
        <v>0.0</v>
      </c>
      <c r="AM229" s="3"/>
      <c r="AN229" s="343">
        <v>0.0</v>
      </c>
      <c r="AO229" s="3"/>
      <c r="AP229" s="149">
        <f t="shared" si="11"/>
        <v>7024.933333</v>
      </c>
      <c r="AQ229" s="150">
        <f t="shared" si="10"/>
        <v>285</v>
      </c>
      <c r="AR229" s="150">
        <f t="shared" si="3"/>
        <v>0</v>
      </c>
      <c r="AS229" s="150">
        <f t="shared" si="4"/>
        <v>289</v>
      </c>
      <c r="AT229" s="149">
        <f t="shared" si="5"/>
        <v>24.3077278</v>
      </c>
    </row>
    <row r="230" ht="15.75" customHeight="1">
      <c r="A230" s="289" t="s">
        <v>25</v>
      </c>
      <c r="B230" s="144">
        <f t="shared" si="6"/>
        <v>45155</v>
      </c>
      <c r="C230" s="145">
        <v>9.0</v>
      </c>
      <c r="D230" s="145" t="s">
        <v>22</v>
      </c>
      <c r="E230" s="146" t="s">
        <v>44</v>
      </c>
      <c r="F230" s="343">
        <v>0.0</v>
      </c>
      <c r="G230" s="3"/>
      <c r="H230" s="343">
        <v>0.0</v>
      </c>
      <c r="I230" s="3"/>
      <c r="J230" s="343">
        <v>0.0</v>
      </c>
      <c r="K230" s="3"/>
      <c r="L230" s="343">
        <v>0.0</v>
      </c>
      <c r="M230" s="3"/>
      <c r="N230" s="147">
        <v>130.0</v>
      </c>
      <c r="O230" s="3"/>
      <c r="P230" s="147">
        <v>155.0</v>
      </c>
      <c r="Q230" s="3"/>
      <c r="R230" s="147">
        <v>30.0</v>
      </c>
      <c r="S230" s="3"/>
      <c r="T230" s="343">
        <v>0.0</v>
      </c>
      <c r="U230" s="3"/>
      <c r="V230" s="343">
        <v>0.0</v>
      </c>
      <c r="W230" s="3"/>
      <c r="X230" s="147">
        <v>30.0</v>
      </c>
      <c r="Y230" s="3"/>
      <c r="Z230" s="147">
        <v>3.0</v>
      </c>
      <c r="AA230" s="3"/>
      <c r="AB230" s="147">
        <v>0.0</v>
      </c>
      <c r="AC230" s="3"/>
      <c r="AD230" s="343">
        <v>0.0</v>
      </c>
      <c r="AE230" s="3"/>
      <c r="AF230" s="343">
        <v>0.0</v>
      </c>
      <c r="AG230" s="3"/>
      <c r="AH230" s="343">
        <v>0.0</v>
      </c>
      <c r="AI230" s="3"/>
      <c r="AJ230" s="343">
        <v>0.0</v>
      </c>
      <c r="AK230" s="3"/>
      <c r="AL230" s="343">
        <v>0.0</v>
      </c>
      <c r="AM230" s="3"/>
      <c r="AN230" s="343">
        <v>0.0</v>
      </c>
      <c r="AO230" s="3"/>
      <c r="AP230" s="149">
        <f t="shared" si="11"/>
        <v>8106.733333</v>
      </c>
      <c r="AQ230" s="150">
        <f t="shared" si="10"/>
        <v>345</v>
      </c>
      <c r="AR230" s="150">
        <f t="shared" si="3"/>
        <v>0</v>
      </c>
      <c r="AS230" s="150">
        <f t="shared" si="4"/>
        <v>348</v>
      </c>
      <c r="AT230" s="149">
        <f t="shared" si="5"/>
        <v>23.29521073</v>
      </c>
    </row>
    <row r="231" ht="15.75" customHeight="1">
      <c r="A231" s="289" t="s">
        <v>26</v>
      </c>
      <c r="B231" s="144">
        <f t="shared" si="6"/>
        <v>45156</v>
      </c>
      <c r="C231" s="145">
        <v>9.0</v>
      </c>
      <c r="D231" s="145" t="s">
        <v>22</v>
      </c>
      <c r="E231" s="146" t="s">
        <v>44</v>
      </c>
      <c r="F231" s="343">
        <v>0.0</v>
      </c>
      <c r="G231" s="3"/>
      <c r="H231" s="343">
        <v>0.0</v>
      </c>
      <c r="I231" s="3"/>
      <c r="J231" s="343">
        <v>0.0</v>
      </c>
      <c r="K231" s="3"/>
      <c r="L231" s="343">
        <v>0.0</v>
      </c>
      <c r="M231" s="3"/>
      <c r="N231" s="147">
        <v>130.0</v>
      </c>
      <c r="O231" s="3"/>
      <c r="P231" s="147">
        <v>155.0</v>
      </c>
      <c r="Q231" s="3"/>
      <c r="R231" s="147">
        <v>30.0</v>
      </c>
      <c r="S231" s="3"/>
      <c r="T231" s="343">
        <v>0.0</v>
      </c>
      <c r="U231" s="3"/>
      <c r="V231" s="343">
        <v>0.0</v>
      </c>
      <c r="W231" s="3"/>
      <c r="X231" s="147">
        <v>0.0</v>
      </c>
      <c r="Y231" s="3"/>
      <c r="Z231" s="147">
        <v>3.0</v>
      </c>
      <c r="AA231" s="3"/>
      <c r="AB231" s="147">
        <v>0.0</v>
      </c>
      <c r="AC231" s="3"/>
      <c r="AD231" s="343">
        <v>0.0</v>
      </c>
      <c r="AE231" s="3"/>
      <c r="AF231" s="343">
        <v>0.0</v>
      </c>
      <c r="AG231" s="3"/>
      <c r="AH231" s="343">
        <v>0.0</v>
      </c>
      <c r="AI231" s="3"/>
      <c r="AJ231" s="343">
        <v>0.0</v>
      </c>
      <c r="AK231" s="3"/>
      <c r="AL231" s="343">
        <v>0.0</v>
      </c>
      <c r="AM231" s="3"/>
      <c r="AN231" s="343">
        <v>0.0</v>
      </c>
      <c r="AO231" s="3"/>
      <c r="AP231" s="149">
        <f t="shared" si="11"/>
        <v>7514.533333</v>
      </c>
      <c r="AQ231" s="150">
        <f t="shared" si="10"/>
        <v>315</v>
      </c>
      <c r="AR231" s="150">
        <f t="shared" si="3"/>
        <v>0</v>
      </c>
      <c r="AS231" s="150">
        <f t="shared" si="4"/>
        <v>318</v>
      </c>
      <c r="AT231" s="149">
        <f t="shared" si="5"/>
        <v>23.63060797</v>
      </c>
    </row>
    <row r="232" ht="15.75" customHeight="1">
      <c r="A232" s="289" t="s">
        <v>27</v>
      </c>
      <c r="B232" s="144">
        <f t="shared" si="6"/>
        <v>45157</v>
      </c>
      <c r="C232" s="145">
        <v>9.0</v>
      </c>
      <c r="D232" s="145" t="s">
        <v>22</v>
      </c>
      <c r="E232" s="146" t="s">
        <v>44</v>
      </c>
      <c r="F232" s="343">
        <v>0.0</v>
      </c>
      <c r="G232" s="3"/>
      <c r="H232" s="343">
        <v>0.0</v>
      </c>
      <c r="I232" s="3"/>
      <c r="J232" s="343">
        <v>0.0</v>
      </c>
      <c r="K232" s="3"/>
      <c r="L232" s="343">
        <v>0.0</v>
      </c>
      <c r="M232" s="3"/>
      <c r="N232" s="147">
        <v>130.0</v>
      </c>
      <c r="O232" s="3"/>
      <c r="P232" s="147">
        <v>155.0</v>
      </c>
      <c r="Q232" s="3"/>
      <c r="R232" s="147">
        <v>0.0</v>
      </c>
      <c r="S232" s="3"/>
      <c r="T232" s="343">
        <v>0.0</v>
      </c>
      <c r="U232" s="3"/>
      <c r="V232" s="343">
        <v>0.0</v>
      </c>
      <c r="W232" s="3"/>
      <c r="X232" s="147">
        <v>0.0</v>
      </c>
      <c r="Y232" s="3"/>
      <c r="Z232" s="147">
        <v>3.0</v>
      </c>
      <c r="AA232" s="3"/>
      <c r="AB232" s="147">
        <v>0.0</v>
      </c>
      <c r="AC232" s="3"/>
      <c r="AD232" s="343">
        <v>0.0</v>
      </c>
      <c r="AE232" s="3"/>
      <c r="AF232" s="343">
        <v>0.0</v>
      </c>
      <c r="AG232" s="3"/>
      <c r="AH232" s="343">
        <v>0.0</v>
      </c>
      <c r="AI232" s="3"/>
      <c r="AJ232" s="343">
        <v>0.0</v>
      </c>
      <c r="AK232" s="3"/>
      <c r="AL232" s="343">
        <v>0.0</v>
      </c>
      <c r="AM232" s="3"/>
      <c r="AN232" s="343">
        <v>0.0</v>
      </c>
      <c r="AO232" s="3"/>
      <c r="AP232" s="149">
        <f t="shared" si="11"/>
        <v>6764.933333</v>
      </c>
      <c r="AQ232" s="150">
        <f t="shared" si="10"/>
        <v>285</v>
      </c>
      <c r="AR232" s="150">
        <f t="shared" si="3"/>
        <v>0</v>
      </c>
      <c r="AS232" s="150">
        <f t="shared" si="4"/>
        <v>288</v>
      </c>
      <c r="AT232" s="149">
        <f t="shared" si="5"/>
        <v>23.48935185</v>
      </c>
    </row>
    <row r="233" ht="15.75" customHeight="1">
      <c r="A233" s="352" t="s">
        <v>28</v>
      </c>
      <c r="B233" s="353">
        <f t="shared" si="6"/>
        <v>45158</v>
      </c>
      <c r="C233" s="157">
        <v>9.0</v>
      </c>
      <c r="D233" s="157" t="s">
        <v>22</v>
      </c>
      <c r="E233" s="281" t="s">
        <v>43</v>
      </c>
      <c r="F233" s="354">
        <v>0.0</v>
      </c>
      <c r="G233" s="73"/>
      <c r="H233" s="354">
        <v>0.0</v>
      </c>
      <c r="I233" s="73"/>
      <c r="J233" s="354">
        <v>0.0</v>
      </c>
      <c r="K233" s="73"/>
      <c r="L233" s="354">
        <v>0.0</v>
      </c>
      <c r="M233" s="73"/>
      <c r="N233" s="159">
        <v>0.0</v>
      </c>
      <c r="O233" s="73"/>
      <c r="P233" s="159">
        <v>0.0</v>
      </c>
      <c r="Q233" s="73"/>
      <c r="R233" s="159">
        <v>0.0</v>
      </c>
      <c r="S233" s="73"/>
      <c r="T233" s="354">
        <v>0.0</v>
      </c>
      <c r="U233" s="73"/>
      <c r="V233" s="354">
        <v>0.0</v>
      </c>
      <c r="W233" s="73"/>
      <c r="X233" s="159">
        <v>0.0</v>
      </c>
      <c r="Y233" s="73"/>
      <c r="Z233" s="159">
        <v>0.0</v>
      </c>
      <c r="AA233" s="73"/>
      <c r="AB233" s="159">
        <v>0.0</v>
      </c>
      <c r="AC233" s="73"/>
      <c r="AD233" s="354">
        <v>0.0</v>
      </c>
      <c r="AE233" s="73"/>
      <c r="AF233" s="354">
        <v>0.0</v>
      </c>
      <c r="AG233" s="73"/>
      <c r="AH233" s="354">
        <v>0.0</v>
      </c>
      <c r="AI233" s="73"/>
      <c r="AJ233" s="354">
        <v>0.0</v>
      </c>
      <c r="AK233" s="73"/>
      <c r="AL233" s="354">
        <v>0.0</v>
      </c>
      <c r="AM233" s="73"/>
      <c r="AN233" s="354">
        <v>0.0</v>
      </c>
      <c r="AO233" s="73"/>
      <c r="AP233" s="161">
        <f t="shared" si="11"/>
        <v>0</v>
      </c>
      <c r="AQ233" s="157">
        <f t="shared" si="10"/>
        <v>0</v>
      </c>
      <c r="AR233" s="157">
        <f t="shared" si="3"/>
        <v>0</v>
      </c>
      <c r="AS233" s="157">
        <f t="shared" si="4"/>
        <v>0</v>
      </c>
      <c r="AT233" s="161" t="str">
        <f t="shared" si="5"/>
        <v/>
      </c>
    </row>
    <row r="234" ht="15.75" customHeight="1">
      <c r="A234" s="355" t="s">
        <v>21</v>
      </c>
      <c r="B234" s="356">
        <f t="shared" si="6"/>
        <v>45159</v>
      </c>
      <c r="C234" s="255">
        <v>9.0</v>
      </c>
      <c r="D234" s="255" t="s">
        <v>34</v>
      </c>
      <c r="E234" s="337" t="s">
        <v>44</v>
      </c>
      <c r="F234" s="338">
        <v>0.0</v>
      </c>
      <c r="G234" s="190"/>
      <c r="H234" s="338">
        <v>0.0</v>
      </c>
      <c r="I234" s="190"/>
      <c r="J234" s="338">
        <v>0.0</v>
      </c>
      <c r="K234" s="190"/>
      <c r="L234" s="338">
        <v>0.0</v>
      </c>
      <c r="M234" s="190"/>
      <c r="N234" s="253">
        <v>130.0</v>
      </c>
      <c r="O234" s="190"/>
      <c r="P234" s="253">
        <v>70.0</v>
      </c>
      <c r="Q234" s="190"/>
      <c r="R234" s="253">
        <v>30.0</v>
      </c>
      <c r="S234" s="190"/>
      <c r="T234" s="338">
        <v>0.0</v>
      </c>
      <c r="U234" s="190"/>
      <c r="V234" s="338">
        <v>0.0</v>
      </c>
      <c r="W234" s="190"/>
      <c r="X234" s="338">
        <v>0.0</v>
      </c>
      <c r="Y234" s="190"/>
      <c r="Z234" s="253">
        <v>2.0</v>
      </c>
      <c r="AA234" s="190"/>
      <c r="AB234" s="338">
        <v>0.0</v>
      </c>
      <c r="AC234" s="190"/>
      <c r="AD234" s="338">
        <v>0.0</v>
      </c>
      <c r="AE234" s="190"/>
      <c r="AF234" s="338">
        <v>0.0</v>
      </c>
      <c r="AG234" s="190"/>
      <c r="AH234" s="338">
        <v>0.0</v>
      </c>
      <c r="AI234" s="190"/>
      <c r="AJ234" s="338">
        <v>0.0</v>
      </c>
      <c r="AK234" s="190"/>
      <c r="AL234" s="338">
        <v>0.0</v>
      </c>
      <c r="AM234" s="190"/>
      <c r="AN234" s="338">
        <v>0.0</v>
      </c>
      <c r="AO234" s="190"/>
      <c r="AP234" s="254">
        <f t="shared" si="11"/>
        <v>5310.666667</v>
      </c>
      <c r="AQ234" s="255">
        <f t="shared" si="10"/>
        <v>230</v>
      </c>
      <c r="AR234" s="255">
        <f t="shared" si="3"/>
        <v>0</v>
      </c>
      <c r="AS234" s="255">
        <f t="shared" si="4"/>
        <v>232</v>
      </c>
      <c r="AT234" s="256">
        <f t="shared" si="5"/>
        <v>22.8908046</v>
      </c>
    </row>
    <row r="235" ht="15.75" customHeight="1">
      <c r="A235" s="357" t="s">
        <v>23</v>
      </c>
      <c r="B235" s="358">
        <f t="shared" si="6"/>
        <v>45160</v>
      </c>
      <c r="C235" s="124">
        <v>9.0</v>
      </c>
      <c r="D235" s="124" t="s">
        <v>34</v>
      </c>
      <c r="E235" s="165" t="s">
        <v>44</v>
      </c>
      <c r="F235" s="166">
        <v>0.0</v>
      </c>
      <c r="G235" s="3"/>
      <c r="H235" s="166">
        <v>0.0</v>
      </c>
      <c r="I235" s="3"/>
      <c r="J235" s="166">
        <v>0.0</v>
      </c>
      <c r="K235" s="3"/>
      <c r="L235" s="166">
        <v>0.0</v>
      </c>
      <c r="M235" s="3"/>
      <c r="N235" s="121">
        <v>130.0</v>
      </c>
      <c r="O235" s="3"/>
      <c r="P235" s="121">
        <v>155.0</v>
      </c>
      <c r="Q235" s="3"/>
      <c r="R235" s="121">
        <v>30.0</v>
      </c>
      <c r="S235" s="3"/>
      <c r="T235" s="166">
        <v>0.0</v>
      </c>
      <c r="U235" s="3"/>
      <c r="V235" s="166">
        <v>0.0</v>
      </c>
      <c r="W235" s="3"/>
      <c r="X235" s="166">
        <v>0.0</v>
      </c>
      <c r="Y235" s="3"/>
      <c r="Z235" s="121">
        <v>3.0</v>
      </c>
      <c r="AA235" s="3"/>
      <c r="AB235" s="166">
        <v>0.0</v>
      </c>
      <c r="AC235" s="3"/>
      <c r="AD235" s="166">
        <v>0.0</v>
      </c>
      <c r="AE235" s="3"/>
      <c r="AF235" s="166">
        <v>0.0</v>
      </c>
      <c r="AG235" s="3"/>
      <c r="AH235" s="166">
        <v>0.0</v>
      </c>
      <c r="AI235" s="3"/>
      <c r="AJ235" s="166">
        <v>0.0</v>
      </c>
      <c r="AK235" s="3"/>
      <c r="AL235" s="166">
        <v>0.0</v>
      </c>
      <c r="AM235" s="3"/>
      <c r="AN235" s="166">
        <v>0.0</v>
      </c>
      <c r="AO235" s="3"/>
      <c r="AP235" s="123">
        <f t="shared" si="11"/>
        <v>7514.533333</v>
      </c>
      <c r="AQ235" s="124">
        <f t="shared" si="10"/>
        <v>315</v>
      </c>
      <c r="AR235" s="124">
        <f t="shared" si="3"/>
        <v>0</v>
      </c>
      <c r="AS235" s="124">
        <f t="shared" si="4"/>
        <v>318</v>
      </c>
      <c r="AT235" s="258">
        <f t="shared" si="5"/>
        <v>23.63060797</v>
      </c>
    </row>
    <row r="236" ht="15.75" customHeight="1">
      <c r="A236" s="357" t="s">
        <v>24</v>
      </c>
      <c r="B236" s="358">
        <f t="shared" si="6"/>
        <v>45161</v>
      </c>
      <c r="C236" s="124">
        <v>9.0</v>
      </c>
      <c r="D236" s="124" t="s">
        <v>34</v>
      </c>
      <c r="E236" s="120" t="s">
        <v>45</v>
      </c>
      <c r="F236" s="166">
        <v>0.0</v>
      </c>
      <c r="G236" s="3"/>
      <c r="H236" s="166">
        <v>0.0</v>
      </c>
      <c r="I236" s="3"/>
      <c r="J236" s="166">
        <v>0.0</v>
      </c>
      <c r="K236" s="3"/>
      <c r="L236" s="166">
        <v>0.0</v>
      </c>
      <c r="M236" s="3"/>
      <c r="N236" s="121">
        <v>30.0</v>
      </c>
      <c r="O236" s="3"/>
      <c r="P236" s="121">
        <v>30.0</v>
      </c>
      <c r="Q236" s="3"/>
      <c r="R236" s="121">
        <v>0.0</v>
      </c>
      <c r="S236" s="3"/>
      <c r="T236" s="166">
        <v>0.0</v>
      </c>
      <c r="U236" s="3"/>
      <c r="V236" s="166">
        <v>0.0</v>
      </c>
      <c r="W236" s="3"/>
      <c r="X236" s="166">
        <v>0.0</v>
      </c>
      <c r="Y236" s="3"/>
      <c r="Z236" s="166">
        <v>0.0</v>
      </c>
      <c r="AA236" s="3"/>
      <c r="AB236" s="121">
        <v>4.0</v>
      </c>
      <c r="AC236" s="3"/>
      <c r="AD236" s="166">
        <v>0.0</v>
      </c>
      <c r="AE236" s="3"/>
      <c r="AF236" s="166">
        <v>0.0</v>
      </c>
      <c r="AG236" s="3"/>
      <c r="AH236" s="166">
        <v>0.0</v>
      </c>
      <c r="AI236" s="3"/>
      <c r="AJ236" s="166">
        <v>0.0</v>
      </c>
      <c r="AK236" s="3"/>
      <c r="AL236" s="166">
        <v>0.0</v>
      </c>
      <c r="AM236" s="3"/>
      <c r="AN236" s="166">
        <v>0.0</v>
      </c>
      <c r="AO236" s="3"/>
      <c r="AP236" s="123">
        <f t="shared" si="11"/>
        <v>1861.6</v>
      </c>
      <c r="AQ236" s="124">
        <f t="shared" si="10"/>
        <v>60</v>
      </c>
      <c r="AR236" s="124">
        <f t="shared" si="3"/>
        <v>0</v>
      </c>
      <c r="AS236" s="124">
        <f t="shared" si="4"/>
        <v>64</v>
      </c>
      <c r="AT236" s="258">
        <f t="shared" si="5"/>
        <v>29.0875</v>
      </c>
    </row>
    <row r="237" ht="15.75" customHeight="1">
      <c r="A237" s="357" t="s">
        <v>25</v>
      </c>
      <c r="B237" s="358">
        <f t="shared" si="6"/>
        <v>45162</v>
      </c>
      <c r="C237" s="124">
        <v>9.0</v>
      </c>
      <c r="D237" s="124" t="s">
        <v>34</v>
      </c>
      <c r="E237" s="120" t="s">
        <v>45</v>
      </c>
      <c r="F237" s="166">
        <v>0.0</v>
      </c>
      <c r="G237" s="3"/>
      <c r="H237" s="166">
        <v>0.0</v>
      </c>
      <c r="I237" s="3"/>
      <c r="J237" s="166">
        <v>0.0</v>
      </c>
      <c r="K237" s="3"/>
      <c r="L237" s="166">
        <v>0.0</v>
      </c>
      <c r="M237" s="3"/>
      <c r="N237" s="121">
        <v>30.0</v>
      </c>
      <c r="O237" s="3"/>
      <c r="P237" s="121">
        <v>30.0</v>
      </c>
      <c r="Q237" s="3"/>
      <c r="R237" s="121">
        <v>0.0</v>
      </c>
      <c r="S237" s="3"/>
      <c r="T237" s="166">
        <v>0.0</v>
      </c>
      <c r="U237" s="3"/>
      <c r="V237" s="166">
        <v>0.0</v>
      </c>
      <c r="W237" s="3"/>
      <c r="X237" s="166">
        <v>0.0</v>
      </c>
      <c r="Y237" s="3"/>
      <c r="Z237" s="166">
        <v>0.0</v>
      </c>
      <c r="AA237" s="3"/>
      <c r="AB237" s="166">
        <v>0.0</v>
      </c>
      <c r="AC237" s="3"/>
      <c r="AD237" s="166">
        <v>0.0</v>
      </c>
      <c r="AE237" s="3"/>
      <c r="AF237" s="166">
        <v>0.0</v>
      </c>
      <c r="AG237" s="3"/>
      <c r="AH237" s="166">
        <v>0.0</v>
      </c>
      <c r="AI237" s="3"/>
      <c r="AJ237" s="166">
        <v>0.0</v>
      </c>
      <c r="AK237" s="3"/>
      <c r="AL237" s="166">
        <v>0.0</v>
      </c>
      <c r="AM237" s="3"/>
      <c r="AN237" s="166">
        <v>0.0</v>
      </c>
      <c r="AO237" s="3"/>
      <c r="AP237" s="123">
        <f t="shared" si="11"/>
        <v>1361.6</v>
      </c>
      <c r="AQ237" s="124">
        <f t="shared" si="10"/>
        <v>60</v>
      </c>
      <c r="AR237" s="124">
        <f t="shared" si="3"/>
        <v>0</v>
      </c>
      <c r="AS237" s="124">
        <f t="shared" si="4"/>
        <v>60</v>
      </c>
      <c r="AT237" s="258">
        <f t="shared" si="5"/>
        <v>22.69333333</v>
      </c>
    </row>
    <row r="238" ht="15.75" customHeight="1">
      <c r="A238" s="357" t="s">
        <v>26</v>
      </c>
      <c r="B238" s="358">
        <f t="shared" si="6"/>
        <v>45163</v>
      </c>
      <c r="C238" s="124">
        <v>9.0</v>
      </c>
      <c r="D238" s="124" t="s">
        <v>34</v>
      </c>
      <c r="E238" s="120" t="s">
        <v>45</v>
      </c>
      <c r="F238" s="166">
        <v>0.0</v>
      </c>
      <c r="G238" s="3"/>
      <c r="H238" s="166">
        <v>0.0</v>
      </c>
      <c r="I238" s="3"/>
      <c r="J238" s="166">
        <v>0.0</v>
      </c>
      <c r="K238" s="3"/>
      <c r="L238" s="166">
        <v>0.0</v>
      </c>
      <c r="M238" s="3"/>
      <c r="N238" s="121">
        <v>30.0</v>
      </c>
      <c r="O238" s="3"/>
      <c r="P238" s="121">
        <v>30.0</v>
      </c>
      <c r="Q238" s="3"/>
      <c r="R238" s="121">
        <v>0.0</v>
      </c>
      <c r="S238" s="3"/>
      <c r="T238" s="166">
        <v>0.0</v>
      </c>
      <c r="U238" s="3"/>
      <c r="V238" s="166">
        <v>0.0</v>
      </c>
      <c r="W238" s="3"/>
      <c r="X238" s="166">
        <v>0.0</v>
      </c>
      <c r="Y238" s="3"/>
      <c r="Z238" s="166">
        <v>0.0</v>
      </c>
      <c r="AA238" s="3"/>
      <c r="AB238" s="166">
        <v>0.0</v>
      </c>
      <c r="AC238" s="3"/>
      <c r="AD238" s="166">
        <v>0.0</v>
      </c>
      <c r="AE238" s="3"/>
      <c r="AF238" s="166">
        <v>0.0</v>
      </c>
      <c r="AG238" s="3"/>
      <c r="AH238" s="166">
        <v>0.0</v>
      </c>
      <c r="AI238" s="3"/>
      <c r="AJ238" s="166">
        <v>0.0</v>
      </c>
      <c r="AK238" s="3"/>
      <c r="AL238" s="166">
        <v>0.0</v>
      </c>
      <c r="AM238" s="3"/>
      <c r="AN238" s="166">
        <v>0.0</v>
      </c>
      <c r="AO238" s="3"/>
      <c r="AP238" s="123">
        <f t="shared" si="11"/>
        <v>1361.6</v>
      </c>
      <c r="AQ238" s="124">
        <f t="shared" si="10"/>
        <v>60</v>
      </c>
      <c r="AR238" s="124">
        <f t="shared" si="3"/>
        <v>0</v>
      </c>
      <c r="AS238" s="124">
        <f t="shared" si="4"/>
        <v>60</v>
      </c>
      <c r="AT238" s="258">
        <f t="shared" si="5"/>
        <v>22.69333333</v>
      </c>
    </row>
    <row r="239" ht="15.75" customHeight="1">
      <c r="A239" s="357" t="s">
        <v>27</v>
      </c>
      <c r="B239" s="358">
        <f t="shared" si="6"/>
        <v>45164</v>
      </c>
      <c r="C239" s="124">
        <v>9.0</v>
      </c>
      <c r="D239" s="124" t="s">
        <v>34</v>
      </c>
      <c r="E239" s="120" t="s">
        <v>43</v>
      </c>
      <c r="F239" s="166">
        <v>0.0</v>
      </c>
      <c r="G239" s="3"/>
      <c r="H239" s="166">
        <v>0.0</v>
      </c>
      <c r="I239" s="3"/>
      <c r="J239" s="166">
        <v>0.0</v>
      </c>
      <c r="K239" s="3"/>
      <c r="L239" s="166">
        <v>0.0</v>
      </c>
      <c r="M239" s="3"/>
      <c r="N239" s="121">
        <v>0.0</v>
      </c>
      <c r="O239" s="3"/>
      <c r="P239" s="121">
        <v>0.0</v>
      </c>
      <c r="Q239" s="3"/>
      <c r="R239" s="121">
        <v>0.0</v>
      </c>
      <c r="S239" s="3"/>
      <c r="T239" s="166">
        <v>0.0</v>
      </c>
      <c r="U239" s="3"/>
      <c r="V239" s="166">
        <v>0.0</v>
      </c>
      <c r="W239" s="3"/>
      <c r="X239" s="166">
        <v>0.0</v>
      </c>
      <c r="Y239" s="3"/>
      <c r="Z239" s="166">
        <v>0.0</v>
      </c>
      <c r="AA239" s="3"/>
      <c r="AB239" s="166">
        <v>0.0</v>
      </c>
      <c r="AC239" s="3"/>
      <c r="AD239" s="166">
        <v>0.0</v>
      </c>
      <c r="AE239" s="3"/>
      <c r="AF239" s="166">
        <v>0.0</v>
      </c>
      <c r="AG239" s="3"/>
      <c r="AH239" s="166">
        <v>0.0</v>
      </c>
      <c r="AI239" s="3"/>
      <c r="AJ239" s="166">
        <v>0.0</v>
      </c>
      <c r="AK239" s="3"/>
      <c r="AL239" s="166">
        <v>0.0</v>
      </c>
      <c r="AM239" s="3"/>
      <c r="AN239" s="166">
        <v>0.0</v>
      </c>
      <c r="AO239" s="3"/>
      <c r="AP239" s="123">
        <f t="shared" si="11"/>
        <v>0</v>
      </c>
      <c r="AQ239" s="124">
        <f t="shared" si="10"/>
        <v>0</v>
      </c>
      <c r="AR239" s="124">
        <f t="shared" si="3"/>
        <v>0</v>
      </c>
      <c r="AS239" s="124">
        <f t="shared" si="4"/>
        <v>0</v>
      </c>
      <c r="AT239" s="258" t="str">
        <f t="shared" si="5"/>
        <v/>
      </c>
    </row>
    <row r="240" ht="15.75" customHeight="1">
      <c r="A240" s="363" t="s">
        <v>28</v>
      </c>
      <c r="B240" s="364">
        <f t="shared" si="6"/>
        <v>45165</v>
      </c>
      <c r="C240" s="307">
        <v>9.0</v>
      </c>
      <c r="D240" s="307" t="s">
        <v>34</v>
      </c>
      <c r="E240" s="305" t="s">
        <v>43</v>
      </c>
      <c r="F240" s="347">
        <v>0.0</v>
      </c>
      <c r="G240" s="207"/>
      <c r="H240" s="347">
        <v>0.0</v>
      </c>
      <c r="I240" s="207"/>
      <c r="J240" s="347">
        <v>0.0</v>
      </c>
      <c r="K240" s="207"/>
      <c r="L240" s="347">
        <v>0.0</v>
      </c>
      <c r="M240" s="207"/>
      <c r="N240" s="260">
        <v>0.0</v>
      </c>
      <c r="O240" s="207"/>
      <c r="P240" s="260">
        <v>0.0</v>
      </c>
      <c r="Q240" s="207"/>
      <c r="R240" s="260">
        <v>0.0</v>
      </c>
      <c r="S240" s="207"/>
      <c r="T240" s="347">
        <v>0.0</v>
      </c>
      <c r="U240" s="207"/>
      <c r="V240" s="347">
        <v>0.0</v>
      </c>
      <c r="W240" s="207"/>
      <c r="X240" s="347">
        <v>0.0</v>
      </c>
      <c r="Y240" s="207"/>
      <c r="Z240" s="347">
        <v>0.0</v>
      </c>
      <c r="AA240" s="207"/>
      <c r="AB240" s="347">
        <v>0.0</v>
      </c>
      <c r="AC240" s="207"/>
      <c r="AD240" s="347">
        <v>0.0</v>
      </c>
      <c r="AE240" s="207"/>
      <c r="AF240" s="347">
        <v>0.0</v>
      </c>
      <c r="AG240" s="207"/>
      <c r="AH240" s="347">
        <v>0.0</v>
      </c>
      <c r="AI240" s="207"/>
      <c r="AJ240" s="347">
        <v>0.0</v>
      </c>
      <c r="AK240" s="207"/>
      <c r="AL240" s="347">
        <v>0.0</v>
      </c>
      <c r="AM240" s="207"/>
      <c r="AN240" s="347">
        <v>0.0</v>
      </c>
      <c r="AO240" s="207"/>
      <c r="AP240" s="306">
        <f t="shared" si="11"/>
        <v>0</v>
      </c>
      <c r="AQ240" s="307">
        <f t="shared" si="10"/>
        <v>0</v>
      </c>
      <c r="AR240" s="307">
        <f t="shared" si="3"/>
        <v>0</v>
      </c>
      <c r="AS240" s="307">
        <f t="shared" si="4"/>
        <v>0</v>
      </c>
      <c r="AT240" s="308" t="str">
        <f t="shared" si="5"/>
        <v/>
      </c>
    </row>
    <row r="241" ht="15.75" customHeight="1">
      <c r="A241" s="220" t="s">
        <v>21</v>
      </c>
      <c r="B241" s="221">
        <f t="shared" si="6"/>
        <v>45166</v>
      </c>
      <c r="C241" s="222">
        <v>9.0</v>
      </c>
      <c r="D241" s="222" t="s">
        <v>36</v>
      </c>
      <c r="E241" s="223" t="s">
        <v>45</v>
      </c>
      <c r="F241" s="365">
        <v>0.0</v>
      </c>
      <c r="G241" s="190"/>
      <c r="H241" s="365">
        <v>0.0</v>
      </c>
      <c r="I241" s="190"/>
      <c r="J241" s="365">
        <v>0.0</v>
      </c>
      <c r="K241" s="190"/>
      <c r="L241" s="365">
        <v>0.0</v>
      </c>
      <c r="M241" s="190"/>
      <c r="N241" s="224">
        <v>0.0</v>
      </c>
      <c r="O241" s="190"/>
      <c r="P241" s="224">
        <v>0.0</v>
      </c>
      <c r="Q241" s="190"/>
      <c r="R241" s="224">
        <v>0.0</v>
      </c>
      <c r="S241" s="190"/>
      <c r="T241" s="224">
        <v>0.0</v>
      </c>
      <c r="U241" s="190"/>
      <c r="V241" s="224">
        <v>0.0</v>
      </c>
      <c r="W241" s="190"/>
      <c r="X241" s="224">
        <v>0.0</v>
      </c>
      <c r="Y241" s="190"/>
      <c r="Z241" s="224">
        <v>0.0</v>
      </c>
      <c r="AA241" s="190"/>
      <c r="AB241" s="224">
        <v>0.0</v>
      </c>
      <c r="AC241" s="190"/>
      <c r="AD241" s="224">
        <v>0.0</v>
      </c>
      <c r="AE241" s="190"/>
      <c r="AF241" s="224">
        <v>0.0</v>
      </c>
      <c r="AG241" s="190"/>
      <c r="AH241" s="224">
        <v>0.0</v>
      </c>
      <c r="AI241" s="190"/>
      <c r="AJ241" s="224">
        <v>0.0</v>
      </c>
      <c r="AK241" s="190"/>
      <c r="AL241" s="224">
        <v>0.0</v>
      </c>
      <c r="AM241" s="190"/>
      <c r="AN241" s="224">
        <v>0.0</v>
      </c>
      <c r="AO241" s="190"/>
      <c r="AP241" s="225">
        <f t="shared" si="11"/>
        <v>0</v>
      </c>
      <c r="AQ241" s="226">
        <f t="shared" si="10"/>
        <v>0</v>
      </c>
      <c r="AR241" s="226">
        <f t="shared" si="3"/>
        <v>0</v>
      </c>
      <c r="AS241" s="226">
        <f t="shared" si="4"/>
        <v>0</v>
      </c>
      <c r="AT241" s="227" t="str">
        <f t="shared" si="5"/>
        <v/>
      </c>
    </row>
    <row r="242" ht="15.75" customHeight="1">
      <c r="A242" s="228" t="s">
        <v>23</v>
      </c>
      <c r="B242" s="229">
        <f t="shared" si="6"/>
        <v>45167</v>
      </c>
      <c r="C242" s="230">
        <v>9.0</v>
      </c>
      <c r="D242" s="230" t="s">
        <v>36</v>
      </c>
      <c r="E242" s="231" t="s">
        <v>45</v>
      </c>
      <c r="F242" s="366">
        <v>0.0</v>
      </c>
      <c r="G242" s="3"/>
      <c r="H242" s="366">
        <v>0.0</v>
      </c>
      <c r="I242" s="3"/>
      <c r="J242" s="366">
        <v>0.0</v>
      </c>
      <c r="K242" s="3"/>
      <c r="L242" s="366">
        <v>0.0</v>
      </c>
      <c r="M242" s="3"/>
      <c r="N242" s="232">
        <v>0.0</v>
      </c>
      <c r="O242" s="3"/>
      <c r="P242" s="232">
        <v>0.0</v>
      </c>
      <c r="Q242" s="3"/>
      <c r="R242" s="232">
        <v>0.0</v>
      </c>
      <c r="S242" s="3"/>
      <c r="T242" s="232">
        <v>0.0</v>
      </c>
      <c r="U242" s="3"/>
      <c r="V242" s="232">
        <v>0.0</v>
      </c>
      <c r="W242" s="3"/>
      <c r="X242" s="232">
        <v>0.0</v>
      </c>
      <c r="Y242" s="3"/>
      <c r="Z242" s="232">
        <v>0.0</v>
      </c>
      <c r="AA242" s="3"/>
      <c r="AB242" s="232">
        <v>0.0</v>
      </c>
      <c r="AC242" s="3"/>
      <c r="AD242" s="232">
        <v>0.0</v>
      </c>
      <c r="AE242" s="3"/>
      <c r="AF242" s="232">
        <v>0.0</v>
      </c>
      <c r="AG242" s="3"/>
      <c r="AH242" s="232">
        <v>0.0</v>
      </c>
      <c r="AI242" s="3"/>
      <c r="AJ242" s="232">
        <v>0.0</v>
      </c>
      <c r="AK242" s="3"/>
      <c r="AL242" s="232">
        <v>0.0</v>
      </c>
      <c r="AM242" s="3"/>
      <c r="AN242" s="232">
        <v>0.0</v>
      </c>
      <c r="AO242" s="3"/>
      <c r="AP242" s="233">
        <f t="shared" si="11"/>
        <v>0</v>
      </c>
      <c r="AQ242" s="234">
        <f t="shared" si="10"/>
        <v>0</v>
      </c>
      <c r="AR242" s="234">
        <f t="shared" si="3"/>
        <v>0</v>
      </c>
      <c r="AS242" s="234">
        <f t="shared" si="4"/>
        <v>0</v>
      </c>
      <c r="AT242" s="235" t="str">
        <f t="shared" si="5"/>
        <v/>
      </c>
    </row>
    <row r="243" ht="15.75" customHeight="1">
      <c r="A243" s="228" t="s">
        <v>24</v>
      </c>
      <c r="B243" s="229">
        <f t="shared" si="6"/>
        <v>45168</v>
      </c>
      <c r="C243" s="230">
        <v>9.0</v>
      </c>
      <c r="D243" s="230" t="s">
        <v>36</v>
      </c>
      <c r="E243" s="231" t="s">
        <v>45</v>
      </c>
      <c r="F243" s="366">
        <v>0.0</v>
      </c>
      <c r="G243" s="3"/>
      <c r="H243" s="366">
        <v>0.0</v>
      </c>
      <c r="I243" s="3"/>
      <c r="J243" s="366">
        <v>0.0</v>
      </c>
      <c r="K243" s="3"/>
      <c r="L243" s="366">
        <v>0.0</v>
      </c>
      <c r="M243" s="3"/>
      <c r="N243" s="232">
        <v>0.0</v>
      </c>
      <c r="O243" s="3"/>
      <c r="P243" s="232">
        <v>0.0</v>
      </c>
      <c r="Q243" s="3"/>
      <c r="R243" s="232">
        <v>0.0</v>
      </c>
      <c r="S243" s="3"/>
      <c r="T243" s="232">
        <v>0.0</v>
      </c>
      <c r="U243" s="3"/>
      <c r="V243" s="232">
        <v>0.0</v>
      </c>
      <c r="W243" s="3"/>
      <c r="X243" s="232">
        <v>0.0</v>
      </c>
      <c r="Y243" s="3"/>
      <c r="Z243" s="232">
        <v>0.0</v>
      </c>
      <c r="AA243" s="3"/>
      <c r="AB243" s="232">
        <v>0.0</v>
      </c>
      <c r="AC243" s="3"/>
      <c r="AD243" s="232">
        <v>0.0</v>
      </c>
      <c r="AE243" s="3"/>
      <c r="AF243" s="232">
        <v>0.0</v>
      </c>
      <c r="AG243" s="3"/>
      <c r="AH243" s="232">
        <v>0.0</v>
      </c>
      <c r="AI243" s="3"/>
      <c r="AJ243" s="232">
        <v>0.0</v>
      </c>
      <c r="AK243" s="3"/>
      <c r="AL243" s="232">
        <v>0.0</v>
      </c>
      <c r="AM243" s="3"/>
      <c r="AN243" s="232">
        <v>0.0</v>
      </c>
      <c r="AO243" s="3"/>
      <c r="AP243" s="233">
        <f t="shared" si="11"/>
        <v>0</v>
      </c>
      <c r="AQ243" s="234">
        <f t="shared" si="10"/>
        <v>0</v>
      </c>
      <c r="AR243" s="234">
        <f t="shared" si="3"/>
        <v>0</v>
      </c>
      <c r="AS243" s="234">
        <f t="shared" si="4"/>
        <v>0</v>
      </c>
      <c r="AT243" s="235" t="str">
        <f t="shared" si="5"/>
        <v/>
      </c>
    </row>
    <row r="244" ht="15.75" customHeight="1">
      <c r="A244" s="228" t="s">
        <v>25</v>
      </c>
      <c r="B244" s="229">
        <f t="shared" si="6"/>
        <v>45169</v>
      </c>
      <c r="C244" s="230">
        <v>9.0</v>
      </c>
      <c r="D244" s="230" t="s">
        <v>36</v>
      </c>
      <c r="E244" s="231" t="s">
        <v>45</v>
      </c>
      <c r="F244" s="366">
        <v>0.0</v>
      </c>
      <c r="G244" s="3"/>
      <c r="H244" s="366">
        <v>0.0</v>
      </c>
      <c r="I244" s="3"/>
      <c r="J244" s="366">
        <v>0.0</v>
      </c>
      <c r="K244" s="3"/>
      <c r="L244" s="366">
        <v>0.0</v>
      </c>
      <c r="M244" s="3"/>
      <c r="N244" s="232">
        <v>0.0</v>
      </c>
      <c r="O244" s="3"/>
      <c r="P244" s="232">
        <v>0.0</v>
      </c>
      <c r="Q244" s="3"/>
      <c r="R244" s="232">
        <v>0.0</v>
      </c>
      <c r="S244" s="3"/>
      <c r="T244" s="232">
        <v>0.0</v>
      </c>
      <c r="U244" s="3"/>
      <c r="V244" s="232">
        <v>0.0</v>
      </c>
      <c r="W244" s="3"/>
      <c r="X244" s="232">
        <v>0.0</v>
      </c>
      <c r="Y244" s="3"/>
      <c r="Z244" s="232">
        <v>0.0</v>
      </c>
      <c r="AA244" s="3"/>
      <c r="AB244" s="232">
        <v>0.0</v>
      </c>
      <c r="AC244" s="3"/>
      <c r="AD244" s="232">
        <v>0.0</v>
      </c>
      <c r="AE244" s="3"/>
      <c r="AF244" s="232">
        <v>0.0</v>
      </c>
      <c r="AG244" s="3"/>
      <c r="AH244" s="232">
        <v>0.0</v>
      </c>
      <c r="AI244" s="3"/>
      <c r="AJ244" s="232">
        <v>0.0</v>
      </c>
      <c r="AK244" s="3"/>
      <c r="AL244" s="232">
        <v>0.0</v>
      </c>
      <c r="AM244" s="3"/>
      <c r="AN244" s="232">
        <v>0.0</v>
      </c>
      <c r="AO244" s="3"/>
      <c r="AP244" s="233">
        <f t="shared" si="11"/>
        <v>0</v>
      </c>
      <c r="AQ244" s="234">
        <f t="shared" si="10"/>
        <v>0</v>
      </c>
      <c r="AR244" s="234">
        <f t="shared" si="3"/>
        <v>0</v>
      </c>
      <c r="AS244" s="234">
        <f t="shared" si="4"/>
        <v>0</v>
      </c>
      <c r="AT244" s="235" t="str">
        <f t="shared" si="5"/>
        <v/>
      </c>
    </row>
    <row r="245" ht="15.75" customHeight="1">
      <c r="A245" s="228" t="s">
        <v>26</v>
      </c>
      <c r="B245" s="229">
        <f t="shared" si="6"/>
        <v>45170</v>
      </c>
      <c r="C245" s="230">
        <v>9.0</v>
      </c>
      <c r="D245" s="230" t="s">
        <v>36</v>
      </c>
      <c r="E245" s="231" t="s">
        <v>45</v>
      </c>
      <c r="F245" s="366">
        <v>0.0</v>
      </c>
      <c r="G245" s="3"/>
      <c r="H245" s="366">
        <v>0.0</v>
      </c>
      <c r="I245" s="3"/>
      <c r="J245" s="366">
        <v>0.0</v>
      </c>
      <c r="K245" s="3"/>
      <c r="L245" s="366">
        <v>0.0</v>
      </c>
      <c r="M245" s="3"/>
      <c r="N245" s="232">
        <v>0.0</v>
      </c>
      <c r="O245" s="3"/>
      <c r="P245" s="232">
        <v>0.0</v>
      </c>
      <c r="Q245" s="3"/>
      <c r="R245" s="232">
        <v>0.0</v>
      </c>
      <c r="S245" s="3"/>
      <c r="T245" s="232">
        <v>0.0</v>
      </c>
      <c r="U245" s="3"/>
      <c r="V245" s="232">
        <v>0.0</v>
      </c>
      <c r="W245" s="3"/>
      <c r="X245" s="232">
        <v>0.0</v>
      </c>
      <c r="Y245" s="3"/>
      <c r="Z245" s="232">
        <v>0.0</v>
      </c>
      <c r="AA245" s="3"/>
      <c r="AB245" s="232">
        <v>0.0</v>
      </c>
      <c r="AC245" s="3"/>
      <c r="AD245" s="232">
        <v>0.0</v>
      </c>
      <c r="AE245" s="3"/>
      <c r="AF245" s="232">
        <v>0.0</v>
      </c>
      <c r="AG245" s="3"/>
      <c r="AH245" s="232">
        <v>0.0</v>
      </c>
      <c r="AI245" s="3"/>
      <c r="AJ245" s="232">
        <v>0.0</v>
      </c>
      <c r="AK245" s="3"/>
      <c r="AL245" s="232">
        <v>0.0</v>
      </c>
      <c r="AM245" s="3"/>
      <c r="AN245" s="232">
        <v>0.0</v>
      </c>
      <c r="AO245" s="3"/>
      <c r="AP245" s="233">
        <f t="shared" si="11"/>
        <v>0</v>
      </c>
      <c r="AQ245" s="234">
        <f t="shared" si="10"/>
        <v>0</v>
      </c>
      <c r="AR245" s="234">
        <f t="shared" si="3"/>
        <v>0</v>
      </c>
      <c r="AS245" s="234">
        <f t="shared" si="4"/>
        <v>0</v>
      </c>
      <c r="AT245" s="235" t="str">
        <f t="shared" si="5"/>
        <v/>
      </c>
    </row>
    <row r="246" ht="15.75" customHeight="1">
      <c r="A246" s="228" t="s">
        <v>27</v>
      </c>
      <c r="B246" s="229">
        <f t="shared" si="6"/>
        <v>45171</v>
      </c>
      <c r="C246" s="230">
        <v>9.0</v>
      </c>
      <c r="D246" s="230" t="s">
        <v>36</v>
      </c>
      <c r="E246" s="236" t="s">
        <v>58</v>
      </c>
      <c r="F246" s="366">
        <v>0.0</v>
      </c>
      <c r="G246" s="3"/>
      <c r="H246" s="366">
        <v>0.0</v>
      </c>
      <c r="I246" s="3"/>
      <c r="J246" s="366">
        <v>0.0</v>
      </c>
      <c r="K246" s="3"/>
      <c r="L246" s="366">
        <v>0.0</v>
      </c>
      <c r="M246" s="3"/>
      <c r="N246" s="232">
        <v>0.0</v>
      </c>
      <c r="O246" s="3"/>
      <c r="P246" s="232">
        <v>0.0</v>
      </c>
      <c r="Q246" s="3"/>
      <c r="R246" s="232">
        <v>0.0</v>
      </c>
      <c r="S246" s="3"/>
      <c r="T246" s="232">
        <v>0.0</v>
      </c>
      <c r="U246" s="3"/>
      <c r="V246" s="232">
        <v>0.0</v>
      </c>
      <c r="W246" s="3"/>
      <c r="X246" s="232">
        <v>0.0</v>
      </c>
      <c r="Y246" s="3"/>
      <c r="Z246" s="232">
        <v>0.0</v>
      </c>
      <c r="AA246" s="3"/>
      <c r="AB246" s="232">
        <v>0.0</v>
      </c>
      <c r="AC246" s="3"/>
      <c r="AD246" s="232">
        <v>0.0</v>
      </c>
      <c r="AE246" s="3"/>
      <c r="AF246" s="232">
        <v>0.0</v>
      </c>
      <c r="AG246" s="3"/>
      <c r="AH246" s="232">
        <v>0.0</v>
      </c>
      <c r="AI246" s="3"/>
      <c r="AJ246" s="232">
        <v>0.0</v>
      </c>
      <c r="AK246" s="3"/>
      <c r="AL246" s="232">
        <v>0.0</v>
      </c>
      <c r="AM246" s="3"/>
      <c r="AN246" s="232">
        <v>0.0</v>
      </c>
      <c r="AO246" s="3"/>
      <c r="AP246" s="233">
        <f t="shared" si="11"/>
        <v>0</v>
      </c>
      <c r="AQ246" s="234">
        <f t="shared" si="10"/>
        <v>0</v>
      </c>
      <c r="AR246" s="234">
        <f t="shared" si="3"/>
        <v>0</v>
      </c>
      <c r="AS246" s="234">
        <f t="shared" si="4"/>
        <v>0</v>
      </c>
      <c r="AT246" s="235" t="str">
        <f t="shared" si="5"/>
        <v/>
      </c>
    </row>
    <row r="247" ht="15.75" customHeight="1">
      <c r="A247" s="228" t="s">
        <v>28</v>
      </c>
      <c r="B247" s="229">
        <f t="shared" si="6"/>
        <v>45172</v>
      </c>
      <c r="C247" s="230">
        <v>9.0</v>
      </c>
      <c r="D247" s="230" t="s">
        <v>36</v>
      </c>
      <c r="E247" s="244" t="s">
        <v>58</v>
      </c>
      <c r="F247" s="367">
        <v>0.0</v>
      </c>
      <c r="G247" s="73"/>
      <c r="H247" s="367">
        <v>0.0</v>
      </c>
      <c r="I247" s="73"/>
      <c r="J247" s="367">
        <v>0.0</v>
      </c>
      <c r="K247" s="73"/>
      <c r="L247" s="367">
        <v>0.0</v>
      </c>
      <c r="M247" s="73"/>
      <c r="N247" s="237">
        <v>0.0</v>
      </c>
      <c r="O247" s="73"/>
      <c r="P247" s="237">
        <v>0.0</v>
      </c>
      <c r="Q247" s="73"/>
      <c r="R247" s="237">
        <v>0.0</v>
      </c>
      <c r="S247" s="73"/>
      <c r="T247" s="237">
        <v>0.0</v>
      </c>
      <c r="U247" s="73"/>
      <c r="V247" s="237">
        <v>0.0</v>
      </c>
      <c r="W247" s="73"/>
      <c r="X247" s="237">
        <v>0.0</v>
      </c>
      <c r="Y247" s="73"/>
      <c r="Z247" s="237">
        <v>0.0</v>
      </c>
      <c r="AA247" s="73"/>
      <c r="AB247" s="237">
        <v>0.0</v>
      </c>
      <c r="AC247" s="73"/>
      <c r="AD247" s="237">
        <v>0.0</v>
      </c>
      <c r="AE247" s="73"/>
      <c r="AF247" s="237">
        <v>0.0</v>
      </c>
      <c r="AG247" s="73"/>
      <c r="AH247" s="237">
        <v>0.0</v>
      </c>
      <c r="AI247" s="73"/>
      <c r="AJ247" s="237">
        <v>0.0</v>
      </c>
      <c r="AK247" s="73"/>
      <c r="AL247" s="237">
        <v>0.0</v>
      </c>
      <c r="AM247" s="73"/>
      <c r="AN247" s="237">
        <v>0.0</v>
      </c>
      <c r="AO247" s="73"/>
      <c r="AP247" s="368">
        <v>0.0</v>
      </c>
      <c r="AQ247" s="239">
        <f t="shared" si="10"/>
        <v>0</v>
      </c>
      <c r="AR247" s="239">
        <f t="shared" si="3"/>
        <v>0</v>
      </c>
      <c r="AS247" s="239">
        <f t="shared" si="4"/>
        <v>0</v>
      </c>
      <c r="AT247" s="240" t="str">
        <f t="shared" si="5"/>
        <v/>
      </c>
    </row>
    <row r="248" ht="15.75" customHeight="1">
      <c r="A248" s="325" t="s">
        <v>21</v>
      </c>
      <c r="B248" s="326">
        <f t="shared" si="6"/>
        <v>45173</v>
      </c>
      <c r="C248" s="292">
        <v>9.0</v>
      </c>
      <c r="D248" s="292" t="s">
        <v>37</v>
      </c>
      <c r="E248" s="280" t="s">
        <v>58</v>
      </c>
      <c r="F248" s="342">
        <v>0.0</v>
      </c>
      <c r="G248" s="190"/>
      <c r="H248" s="342">
        <v>0.0</v>
      </c>
      <c r="I248" s="190"/>
      <c r="J248" s="342">
        <v>0.0</v>
      </c>
      <c r="K248" s="190"/>
      <c r="L248" s="342">
        <v>0.0</v>
      </c>
      <c r="M248" s="190"/>
      <c r="N248" s="294">
        <v>0.0</v>
      </c>
      <c r="O248" s="190"/>
      <c r="P248" s="294">
        <v>0.0</v>
      </c>
      <c r="Q248" s="190"/>
      <c r="R248" s="294">
        <v>0.0</v>
      </c>
      <c r="S248" s="190"/>
      <c r="T248" s="294">
        <v>0.0</v>
      </c>
      <c r="U248" s="190"/>
      <c r="V248" s="294">
        <v>0.0</v>
      </c>
      <c r="W248" s="190"/>
      <c r="X248" s="294">
        <v>0.0</v>
      </c>
      <c r="Y248" s="190"/>
      <c r="Z248" s="294">
        <v>0.0</v>
      </c>
      <c r="AA248" s="190"/>
      <c r="AB248" s="294">
        <v>0.0</v>
      </c>
      <c r="AC248" s="190"/>
      <c r="AD248" s="294">
        <v>0.0</v>
      </c>
      <c r="AE248" s="190"/>
      <c r="AF248" s="294">
        <v>0.0</v>
      </c>
      <c r="AG248" s="190"/>
      <c r="AH248" s="294">
        <v>0.0</v>
      </c>
      <c r="AI248" s="190"/>
      <c r="AJ248" s="294">
        <v>0.0</v>
      </c>
      <c r="AK248" s="190"/>
      <c r="AL248" s="294">
        <v>0.0</v>
      </c>
      <c r="AM248" s="190"/>
      <c r="AN248" s="294">
        <v>0.0</v>
      </c>
      <c r="AO248" s="190"/>
      <c r="AP248" s="295">
        <f t="shared" ref="AP248:AP359" si="12">(F248*G$2)+(H248*I$2)+(J248*K$2)+(N248*O$2)+(P248*Q$2)+(R248*S$2)+(T248*U$2)+(V248*W$2)+(AB248*AC$2)+(AD248*AE$2)+(AF248*AG$2)+(AH248*AI$2)+(AJ248*AK$2)+(AL248*AM$2)+(AN248*AO$2)+(L248*M$2)+(Z248*AA$2)+(X248*Y$2)</f>
        <v>0</v>
      </c>
      <c r="AQ248" s="296">
        <f t="shared" si="10"/>
        <v>0</v>
      </c>
      <c r="AR248" s="296">
        <f t="shared" si="3"/>
        <v>0</v>
      </c>
      <c r="AS248" s="296">
        <f t="shared" si="4"/>
        <v>0</v>
      </c>
      <c r="AT248" s="297" t="str">
        <f t="shared" si="5"/>
        <v/>
      </c>
    </row>
    <row r="249" ht="15.75" customHeight="1">
      <c r="A249" s="327" t="s">
        <v>23</v>
      </c>
      <c r="B249" s="144">
        <f t="shared" si="6"/>
        <v>45174</v>
      </c>
      <c r="C249" s="145">
        <v>9.0</v>
      </c>
      <c r="D249" s="145" t="s">
        <v>37</v>
      </c>
      <c r="E249" s="175" t="s">
        <v>45</v>
      </c>
      <c r="F249" s="343">
        <v>0.0</v>
      </c>
      <c r="G249" s="3"/>
      <c r="H249" s="343">
        <v>0.0</v>
      </c>
      <c r="I249" s="3"/>
      <c r="J249" s="343">
        <v>0.0</v>
      </c>
      <c r="K249" s="3"/>
      <c r="L249" s="343">
        <v>0.0</v>
      </c>
      <c r="M249" s="3"/>
      <c r="N249" s="147">
        <v>0.0</v>
      </c>
      <c r="O249" s="3"/>
      <c r="P249" s="147">
        <v>0.0</v>
      </c>
      <c r="Q249" s="3"/>
      <c r="R249" s="147">
        <v>0.0</v>
      </c>
      <c r="S249" s="3"/>
      <c r="T249" s="147">
        <v>0.0</v>
      </c>
      <c r="U249" s="3"/>
      <c r="V249" s="147">
        <v>0.0</v>
      </c>
      <c r="W249" s="3"/>
      <c r="X249" s="147">
        <v>0.0</v>
      </c>
      <c r="Y249" s="3"/>
      <c r="Z249" s="147">
        <v>0.0</v>
      </c>
      <c r="AA249" s="3"/>
      <c r="AB249" s="147">
        <v>0.0</v>
      </c>
      <c r="AC249" s="3"/>
      <c r="AD249" s="147">
        <v>0.0</v>
      </c>
      <c r="AE249" s="3"/>
      <c r="AF249" s="147">
        <v>0.0</v>
      </c>
      <c r="AG249" s="3"/>
      <c r="AH249" s="147">
        <v>0.0</v>
      </c>
      <c r="AI249" s="3"/>
      <c r="AJ249" s="147">
        <v>0.0</v>
      </c>
      <c r="AK249" s="3"/>
      <c r="AL249" s="147">
        <v>0.0</v>
      </c>
      <c r="AM249" s="3"/>
      <c r="AN249" s="147">
        <v>0.0</v>
      </c>
      <c r="AO249" s="3"/>
      <c r="AP249" s="149">
        <f t="shared" si="12"/>
        <v>0</v>
      </c>
      <c r="AQ249" s="150">
        <f t="shared" si="10"/>
        <v>0</v>
      </c>
      <c r="AR249" s="150">
        <f t="shared" si="3"/>
        <v>0</v>
      </c>
      <c r="AS249" s="150">
        <f t="shared" si="4"/>
        <v>0</v>
      </c>
      <c r="AT249" s="299" t="str">
        <f t="shared" si="5"/>
        <v/>
      </c>
    </row>
    <row r="250" ht="15.75" customHeight="1">
      <c r="A250" s="327" t="s">
        <v>24</v>
      </c>
      <c r="B250" s="144">
        <f t="shared" si="6"/>
        <v>45175</v>
      </c>
      <c r="C250" s="145">
        <v>9.0</v>
      </c>
      <c r="D250" s="145" t="s">
        <v>37</v>
      </c>
      <c r="E250" s="175" t="s">
        <v>59</v>
      </c>
      <c r="F250" s="343">
        <v>0.0</v>
      </c>
      <c r="G250" s="3"/>
      <c r="H250" s="343">
        <v>0.0</v>
      </c>
      <c r="I250" s="3"/>
      <c r="J250" s="343">
        <v>0.0</v>
      </c>
      <c r="K250" s="3"/>
      <c r="L250" s="343">
        <v>0.0</v>
      </c>
      <c r="M250" s="3"/>
      <c r="N250" s="147">
        <v>120.0</v>
      </c>
      <c r="O250" s="3"/>
      <c r="P250" s="147">
        <v>120.0</v>
      </c>
      <c r="Q250" s="3"/>
      <c r="R250" s="147">
        <v>0.0</v>
      </c>
      <c r="S250" s="3"/>
      <c r="T250" s="147">
        <v>0.0</v>
      </c>
      <c r="U250" s="3"/>
      <c r="V250" s="147">
        <v>0.0</v>
      </c>
      <c r="W250" s="3"/>
      <c r="X250" s="147">
        <v>0.0</v>
      </c>
      <c r="Y250" s="3"/>
      <c r="Z250" s="147">
        <v>3.0</v>
      </c>
      <c r="AA250" s="3"/>
      <c r="AB250" s="147">
        <v>0.0</v>
      </c>
      <c r="AC250" s="3"/>
      <c r="AD250" s="147">
        <v>0.0</v>
      </c>
      <c r="AE250" s="3"/>
      <c r="AF250" s="147">
        <v>0.0</v>
      </c>
      <c r="AG250" s="3"/>
      <c r="AH250" s="147">
        <v>0.0</v>
      </c>
      <c r="AI250" s="3"/>
      <c r="AJ250" s="147">
        <v>0.0</v>
      </c>
      <c r="AK250" s="3"/>
      <c r="AL250" s="147">
        <v>0.0</v>
      </c>
      <c r="AM250" s="3"/>
      <c r="AN250" s="147">
        <v>0.0</v>
      </c>
      <c r="AO250" s="3"/>
      <c r="AP250" s="149">
        <f t="shared" si="12"/>
        <v>5686.4</v>
      </c>
      <c r="AQ250" s="150">
        <f t="shared" si="10"/>
        <v>240</v>
      </c>
      <c r="AR250" s="150">
        <f t="shared" si="3"/>
        <v>0</v>
      </c>
      <c r="AS250" s="150">
        <f t="shared" si="4"/>
        <v>243</v>
      </c>
      <c r="AT250" s="299">
        <f t="shared" si="5"/>
        <v>23.40082305</v>
      </c>
    </row>
    <row r="251" ht="15.75" customHeight="1">
      <c r="A251" s="327" t="s">
        <v>25</v>
      </c>
      <c r="B251" s="144">
        <f t="shared" si="6"/>
        <v>45176</v>
      </c>
      <c r="C251" s="145">
        <v>9.0</v>
      </c>
      <c r="D251" s="145" t="s">
        <v>37</v>
      </c>
      <c r="E251" s="175" t="s">
        <v>59</v>
      </c>
      <c r="F251" s="343">
        <v>0.0</v>
      </c>
      <c r="G251" s="3"/>
      <c r="H251" s="343">
        <v>0.0</v>
      </c>
      <c r="I251" s="3"/>
      <c r="J251" s="343">
        <v>0.0</v>
      </c>
      <c r="K251" s="3"/>
      <c r="L251" s="343">
        <v>0.0</v>
      </c>
      <c r="M251" s="3"/>
      <c r="N251" s="147">
        <v>120.0</v>
      </c>
      <c r="O251" s="3"/>
      <c r="P251" s="147">
        <v>120.0</v>
      </c>
      <c r="Q251" s="3"/>
      <c r="R251" s="147">
        <v>0.0</v>
      </c>
      <c r="S251" s="3"/>
      <c r="T251" s="147">
        <v>0.0</v>
      </c>
      <c r="U251" s="3"/>
      <c r="V251" s="147">
        <v>0.0</v>
      </c>
      <c r="W251" s="3"/>
      <c r="X251" s="147">
        <v>0.0</v>
      </c>
      <c r="Y251" s="3"/>
      <c r="Z251" s="147">
        <v>3.0</v>
      </c>
      <c r="AA251" s="3"/>
      <c r="AB251" s="147">
        <v>0.0</v>
      </c>
      <c r="AC251" s="3"/>
      <c r="AD251" s="147">
        <v>0.0</v>
      </c>
      <c r="AE251" s="3"/>
      <c r="AF251" s="147">
        <v>0.0</v>
      </c>
      <c r="AG251" s="3"/>
      <c r="AH251" s="147">
        <v>0.0</v>
      </c>
      <c r="AI251" s="3"/>
      <c r="AJ251" s="147">
        <v>0.0</v>
      </c>
      <c r="AK251" s="3"/>
      <c r="AL251" s="147">
        <v>0.0</v>
      </c>
      <c r="AM251" s="3"/>
      <c r="AN251" s="147">
        <v>0.0</v>
      </c>
      <c r="AO251" s="3"/>
      <c r="AP251" s="149">
        <f t="shared" si="12"/>
        <v>5686.4</v>
      </c>
      <c r="AQ251" s="150">
        <f t="shared" si="10"/>
        <v>240</v>
      </c>
      <c r="AR251" s="150">
        <f t="shared" si="3"/>
        <v>0</v>
      </c>
      <c r="AS251" s="150">
        <f t="shared" si="4"/>
        <v>243</v>
      </c>
      <c r="AT251" s="299">
        <f t="shared" si="5"/>
        <v>23.40082305</v>
      </c>
    </row>
    <row r="252" ht="15.75" customHeight="1">
      <c r="A252" s="327" t="s">
        <v>26</v>
      </c>
      <c r="B252" s="144">
        <f t="shared" si="6"/>
        <v>45177</v>
      </c>
      <c r="C252" s="145">
        <v>9.0</v>
      </c>
      <c r="D252" s="145" t="s">
        <v>37</v>
      </c>
      <c r="E252" s="175" t="s">
        <v>59</v>
      </c>
      <c r="F252" s="343">
        <v>0.0</v>
      </c>
      <c r="G252" s="3"/>
      <c r="H252" s="343">
        <v>0.0</v>
      </c>
      <c r="I252" s="3"/>
      <c r="J252" s="343">
        <v>0.0</v>
      </c>
      <c r="K252" s="3"/>
      <c r="L252" s="343">
        <v>0.0</v>
      </c>
      <c r="M252" s="3"/>
      <c r="N252" s="147">
        <v>120.0</v>
      </c>
      <c r="O252" s="3"/>
      <c r="P252" s="147">
        <v>120.0</v>
      </c>
      <c r="Q252" s="3"/>
      <c r="R252" s="147">
        <v>0.0</v>
      </c>
      <c r="S252" s="3"/>
      <c r="T252" s="147">
        <v>0.0</v>
      </c>
      <c r="U252" s="3"/>
      <c r="V252" s="147">
        <v>0.0</v>
      </c>
      <c r="W252" s="3"/>
      <c r="X252" s="147">
        <v>0.0</v>
      </c>
      <c r="Y252" s="3"/>
      <c r="Z252" s="147">
        <v>0.0</v>
      </c>
      <c r="AA252" s="3"/>
      <c r="AB252" s="147">
        <v>3.0</v>
      </c>
      <c r="AC252" s="3"/>
      <c r="AD252" s="147">
        <v>0.0</v>
      </c>
      <c r="AE252" s="3"/>
      <c r="AF252" s="147">
        <v>0.0</v>
      </c>
      <c r="AG252" s="3"/>
      <c r="AH252" s="147">
        <v>0.0</v>
      </c>
      <c r="AI252" s="3"/>
      <c r="AJ252" s="147">
        <v>0.0</v>
      </c>
      <c r="AK252" s="3"/>
      <c r="AL252" s="147">
        <v>0.0</v>
      </c>
      <c r="AM252" s="3"/>
      <c r="AN252" s="147">
        <v>0.0</v>
      </c>
      <c r="AO252" s="3"/>
      <c r="AP252" s="149">
        <f t="shared" si="12"/>
        <v>5821.4</v>
      </c>
      <c r="AQ252" s="150">
        <f t="shared" si="10"/>
        <v>240</v>
      </c>
      <c r="AR252" s="150">
        <f t="shared" si="3"/>
        <v>0</v>
      </c>
      <c r="AS252" s="150">
        <f t="shared" si="4"/>
        <v>243</v>
      </c>
      <c r="AT252" s="299">
        <f t="shared" si="5"/>
        <v>23.9563786</v>
      </c>
    </row>
    <row r="253" ht="15.75" customHeight="1">
      <c r="A253" s="327" t="s">
        <v>27</v>
      </c>
      <c r="B253" s="144">
        <f t="shared" si="6"/>
        <v>45178</v>
      </c>
      <c r="C253" s="145">
        <v>9.0</v>
      </c>
      <c r="D253" s="145" t="s">
        <v>37</v>
      </c>
      <c r="E253" s="175" t="s">
        <v>59</v>
      </c>
      <c r="F253" s="343">
        <v>0.0</v>
      </c>
      <c r="G253" s="3"/>
      <c r="H253" s="343">
        <v>0.0</v>
      </c>
      <c r="I253" s="3"/>
      <c r="J253" s="343">
        <v>0.0</v>
      </c>
      <c r="K253" s="3"/>
      <c r="L253" s="343">
        <v>0.0</v>
      </c>
      <c r="M253" s="3"/>
      <c r="N253" s="147">
        <v>120.0</v>
      </c>
      <c r="O253" s="3"/>
      <c r="P253" s="147">
        <v>120.0</v>
      </c>
      <c r="Q253" s="3"/>
      <c r="R253" s="147">
        <v>0.0</v>
      </c>
      <c r="S253" s="3"/>
      <c r="T253" s="147">
        <v>0.0</v>
      </c>
      <c r="U253" s="3"/>
      <c r="V253" s="147">
        <v>0.0</v>
      </c>
      <c r="W253" s="3"/>
      <c r="X253" s="147">
        <v>0.0</v>
      </c>
      <c r="Y253" s="3"/>
      <c r="Z253" s="147">
        <v>3.0</v>
      </c>
      <c r="AA253" s="3"/>
      <c r="AB253" s="147">
        <v>0.0</v>
      </c>
      <c r="AC253" s="3"/>
      <c r="AD253" s="147">
        <v>0.0</v>
      </c>
      <c r="AE253" s="3"/>
      <c r="AF253" s="147">
        <v>0.0</v>
      </c>
      <c r="AG253" s="3"/>
      <c r="AH253" s="147">
        <v>0.0</v>
      </c>
      <c r="AI253" s="3"/>
      <c r="AJ253" s="147">
        <v>0.0</v>
      </c>
      <c r="AK253" s="3"/>
      <c r="AL253" s="147">
        <v>0.0</v>
      </c>
      <c r="AM253" s="3"/>
      <c r="AN253" s="147">
        <v>0.0</v>
      </c>
      <c r="AO253" s="3"/>
      <c r="AP253" s="149">
        <f t="shared" si="12"/>
        <v>5686.4</v>
      </c>
      <c r="AQ253" s="150">
        <f t="shared" si="10"/>
        <v>240</v>
      </c>
      <c r="AR253" s="150">
        <f t="shared" si="3"/>
        <v>0</v>
      </c>
      <c r="AS253" s="150">
        <f t="shared" si="4"/>
        <v>243</v>
      </c>
      <c r="AT253" s="299">
        <f t="shared" si="5"/>
        <v>23.40082305</v>
      </c>
    </row>
    <row r="254" ht="15.75" customHeight="1">
      <c r="A254" s="327" t="s">
        <v>28</v>
      </c>
      <c r="B254" s="144">
        <f t="shared" si="6"/>
        <v>45179</v>
      </c>
      <c r="C254" s="145">
        <v>9.0</v>
      </c>
      <c r="D254" s="145" t="s">
        <v>37</v>
      </c>
      <c r="E254" s="281" t="s">
        <v>59</v>
      </c>
      <c r="F254" s="354">
        <v>0.0</v>
      </c>
      <c r="G254" s="73"/>
      <c r="H254" s="354">
        <v>0.0</v>
      </c>
      <c r="I254" s="73"/>
      <c r="J254" s="354">
        <v>0.0</v>
      </c>
      <c r="K254" s="73"/>
      <c r="L254" s="354">
        <v>0.0</v>
      </c>
      <c r="M254" s="73"/>
      <c r="N254" s="159">
        <v>120.0</v>
      </c>
      <c r="O254" s="73"/>
      <c r="P254" s="159">
        <v>120.0</v>
      </c>
      <c r="Q254" s="73"/>
      <c r="R254" s="159">
        <v>0.0</v>
      </c>
      <c r="S254" s="73"/>
      <c r="T254" s="159">
        <v>0.0</v>
      </c>
      <c r="U254" s="73"/>
      <c r="V254" s="159">
        <v>0.0</v>
      </c>
      <c r="W254" s="73"/>
      <c r="X254" s="159">
        <v>0.0</v>
      </c>
      <c r="Y254" s="73"/>
      <c r="Z254" s="159">
        <v>3.0</v>
      </c>
      <c r="AA254" s="73"/>
      <c r="AB254" s="159">
        <v>0.0</v>
      </c>
      <c r="AC254" s="73"/>
      <c r="AD254" s="159">
        <v>0.0</v>
      </c>
      <c r="AE254" s="73"/>
      <c r="AF254" s="159">
        <v>0.0</v>
      </c>
      <c r="AG254" s="73"/>
      <c r="AH254" s="159">
        <v>0.0</v>
      </c>
      <c r="AI254" s="73"/>
      <c r="AJ254" s="159">
        <v>0.0</v>
      </c>
      <c r="AK254" s="73"/>
      <c r="AL254" s="159">
        <v>0.0</v>
      </c>
      <c r="AM254" s="73"/>
      <c r="AN254" s="159">
        <v>0.0</v>
      </c>
      <c r="AO254" s="73"/>
      <c r="AP254" s="161">
        <f t="shared" si="12"/>
        <v>5686.4</v>
      </c>
      <c r="AQ254" s="157">
        <f t="shared" si="10"/>
        <v>240</v>
      </c>
      <c r="AR254" s="157">
        <f t="shared" si="3"/>
        <v>0</v>
      </c>
      <c r="AS254" s="157">
        <f t="shared" si="4"/>
        <v>243</v>
      </c>
      <c r="AT254" s="300">
        <f t="shared" si="5"/>
        <v>23.40082305</v>
      </c>
    </row>
    <row r="255" ht="15.75" customHeight="1">
      <c r="A255" s="185" t="s">
        <v>21</v>
      </c>
      <c r="B255" s="186">
        <f t="shared" si="6"/>
        <v>45180</v>
      </c>
      <c r="C255" s="187">
        <v>10.0</v>
      </c>
      <c r="D255" s="187" t="s">
        <v>22</v>
      </c>
      <c r="E255" s="188" t="s">
        <v>59</v>
      </c>
      <c r="F255" s="369">
        <v>0.0</v>
      </c>
      <c r="G255" s="190"/>
      <c r="H255" s="369">
        <v>0.0</v>
      </c>
      <c r="I255" s="190"/>
      <c r="J255" s="369">
        <v>0.0</v>
      </c>
      <c r="K255" s="190"/>
      <c r="L255" s="369">
        <v>0.0</v>
      </c>
      <c r="M255" s="190"/>
      <c r="N255" s="189">
        <v>120.0</v>
      </c>
      <c r="O255" s="190"/>
      <c r="P255" s="189">
        <v>120.0</v>
      </c>
      <c r="Q255" s="190"/>
      <c r="R255" s="189">
        <v>0.0</v>
      </c>
      <c r="S255" s="190"/>
      <c r="T255" s="189">
        <v>0.0</v>
      </c>
      <c r="U255" s="190"/>
      <c r="V255" s="189">
        <v>0.0</v>
      </c>
      <c r="W255" s="190"/>
      <c r="X255" s="189">
        <v>0.0</v>
      </c>
      <c r="Y255" s="190"/>
      <c r="Z255" s="189">
        <v>3.0</v>
      </c>
      <c r="AA255" s="190"/>
      <c r="AB255" s="189">
        <v>0.0</v>
      </c>
      <c r="AC255" s="190"/>
      <c r="AD255" s="189">
        <v>0.0</v>
      </c>
      <c r="AE255" s="190"/>
      <c r="AF255" s="189">
        <v>0.0</v>
      </c>
      <c r="AG255" s="190"/>
      <c r="AH255" s="189">
        <v>0.0</v>
      </c>
      <c r="AI255" s="190"/>
      <c r="AJ255" s="189">
        <v>0.0</v>
      </c>
      <c r="AK255" s="190"/>
      <c r="AL255" s="189">
        <v>0.0</v>
      </c>
      <c r="AM255" s="190"/>
      <c r="AN255" s="189">
        <v>0.0</v>
      </c>
      <c r="AO255" s="190"/>
      <c r="AP255" s="191">
        <f t="shared" si="12"/>
        <v>5686.4</v>
      </c>
      <c r="AQ255" s="192">
        <f t="shared" si="10"/>
        <v>240</v>
      </c>
      <c r="AR255" s="192">
        <f t="shared" si="3"/>
        <v>0</v>
      </c>
      <c r="AS255" s="192">
        <f t="shared" si="4"/>
        <v>243</v>
      </c>
      <c r="AT255" s="193">
        <f t="shared" si="5"/>
        <v>23.40082305</v>
      </c>
    </row>
    <row r="256" ht="15.75" customHeight="1">
      <c r="A256" s="194" t="s">
        <v>23</v>
      </c>
      <c r="B256" s="195">
        <f t="shared" si="6"/>
        <v>45181</v>
      </c>
      <c r="C256" s="196">
        <v>10.0</v>
      </c>
      <c r="D256" s="196" t="s">
        <v>22</v>
      </c>
      <c r="E256" s="197" t="s">
        <v>59</v>
      </c>
      <c r="F256" s="370">
        <v>0.0</v>
      </c>
      <c r="G256" s="3"/>
      <c r="H256" s="370">
        <v>0.0</v>
      </c>
      <c r="I256" s="3"/>
      <c r="J256" s="370">
        <v>0.0</v>
      </c>
      <c r="K256" s="3"/>
      <c r="L256" s="370">
        <v>0.0</v>
      </c>
      <c r="M256" s="3"/>
      <c r="N256" s="198">
        <v>120.0</v>
      </c>
      <c r="O256" s="3"/>
      <c r="P256" s="198">
        <v>140.0</v>
      </c>
      <c r="Q256" s="3"/>
      <c r="R256" s="198">
        <v>0.0</v>
      </c>
      <c r="S256" s="3"/>
      <c r="T256" s="198">
        <v>0.0</v>
      </c>
      <c r="U256" s="3"/>
      <c r="V256" s="198">
        <v>0.0</v>
      </c>
      <c r="W256" s="3"/>
      <c r="X256" s="198">
        <v>0.0</v>
      </c>
      <c r="Y256" s="3"/>
      <c r="Z256" s="198">
        <v>3.0</v>
      </c>
      <c r="AA256" s="3"/>
      <c r="AB256" s="198">
        <v>0.0</v>
      </c>
      <c r="AC256" s="3"/>
      <c r="AD256" s="198">
        <v>0.0</v>
      </c>
      <c r="AE256" s="3"/>
      <c r="AF256" s="198">
        <v>0.0</v>
      </c>
      <c r="AG256" s="3"/>
      <c r="AH256" s="198">
        <v>0.0</v>
      </c>
      <c r="AI256" s="3"/>
      <c r="AJ256" s="198">
        <v>0.0</v>
      </c>
      <c r="AK256" s="3"/>
      <c r="AL256" s="198">
        <v>0.0</v>
      </c>
      <c r="AM256" s="3"/>
      <c r="AN256" s="198">
        <v>0.0</v>
      </c>
      <c r="AO256" s="3"/>
      <c r="AP256" s="199">
        <f t="shared" si="12"/>
        <v>6186.133333</v>
      </c>
      <c r="AQ256" s="200">
        <f t="shared" si="10"/>
        <v>260</v>
      </c>
      <c r="AR256" s="200">
        <f t="shared" si="3"/>
        <v>0</v>
      </c>
      <c r="AS256" s="200">
        <f t="shared" si="4"/>
        <v>263</v>
      </c>
      <c r="AT256" s="201">
        <f t="shared" si="5"/>
        <v>23.52141952</v>
      </c>
    </row>
    <row r="257" ht="15.75" customHeight="1">
      <c r="A257" s="194" t="s">
        <v>24</v>
      </c>
      <c r="B257" s="195">
        <f t="shared" si="6"/>
        <v>45182</v>
      </c>
      <c r="C257" s="196">
        <v>10.0</v>
      </c>
      <c r="D257" s="196" t="s">
        <v>22</v>
      </c>
      <c r="E257" s="197" t="s">
        <v>59</v>
      </c>
      <c r="F257" s="370">
        <v>0.0</v>
      </c>
      <c r="G257" s="3"/>
      <c r="H257" s="370">
        <v>0.0</v>
      </c>
      <c r="I257" s="3"/>
      <c r="J257" s="370">
        <v>0.0</v>
      </c>
      <c r="K257" s="3"/>
      <c r="L257" s="370">
        <v>0.0</v>
      </c>
      <c r="M257" s="3"/>
      <c r="N257" s="198">
        <v>120.0</v>
      </c>
      <c r="O257" s="3"/>
      <c r="P257" s="198">
        <v>140.0</v>
      </c>
      <c r="Q257" s="3"/>
      <c r="R257" s="198">
        <v>0.0</v>
      </c>
      <c r="S257" s="3"/>
      <c r="T257" s="198">
        <v>0.0</v>
      </c>
      <c r="U257" s="3"/>
      <c r="V257" s="198">
        <v>0.0</v>
      </c>
      <c r="W257" s="3"/>
      <c r="X257" s="198">
        <v>0.0</v>
      </c>
      <c r="Y257" s="3"/>
      <c r="Z257" s="198">
        <v>0.0</v>
      </c>
      <c r="AA257" s="3"/>
      <c r="AB257" s="198">
        <v>3.0</v>
      </c>
      <c r="AC257" s="3"/>
      <c r="AD257" s="198">
        <v>0.0</v>
      </c>
      <c r="AE257" s="3"/>
      <c r="AF257" s="198">
        <v>0.0</v>
      </c>
      <c r="AG257" s="3"/>
      <c r="AH257" s="198">
        <v>0.0</v>
      </c>
      <c r="AI257" s="3"/>
      <c r="AJ257" s="198">
        <v>0.0</v>
      </c>
      <c r="AK257" s="3"/>
      <c r="AL257" s="198">
        <v>0.0</v>
      </c>
      <c r="AM257" s="3"/>
      <c r="AN257" s="198">
        <v>0.0</v>
      </c>
      <c r="AO257" s="3"/>
      <c r="AP257" s="199">
        <f t="shared" si="12"/>
        <v>6321.133333</v>
      </c>
      <c r="AQ257" s="200">
        <f t="shared" si="10"/>
        <v>260</v>
      </c>
      <c r="AR257" s="200">
        <f t="shared" si="3"/>
        <v>0</v>
      </c>
      <c r="AS257" s="200">
        <f t="shared" si="4"/>
        <v>263</v>
      </c>
      <c r="AT257" s="201">
        <f t="shared" si="5"/>
        <v>24.0347275</v>
      </c>
    </row>
    <row r="258" ht="15.75" customHeight="1">
      <c r="A258" s="194" t="s">
        <v>25</v>
      </c>
      <c r="B258" s="195">
        <f t="shared" si="6"/>
        <v>45183</v>
      </c>
      <c r="C258" s="196">
        <v>10.0</v>
      </c>
      <c r="D258" s="196" t="s">
        <v>22</v>
      </c>
      <c r="E258" s="197" t="s">
        <v>59</v>
      </c>
      <c r="F258" s="370">
        <v>0.0</v>
      </c>
      <c r="G258" s="3"/>
      <c r="H258" s="370">
        <v>0.0</v>
      </c>
      <c r="I258" s="3"/>
      <c r="J258" s="370">
        <v>0.0</v>
      </c>
      <c r="K258" s="3"/>
      <c r="L258" s="370">
        <v>0.0</v>
      </c>
      <c r="M258" s="3"/>
      <c r="N258" s="198">
        <v>120.0</v>
      </c>
      <c r="O258" s="3"/>
      <c r="P258" s="198">
        <v>140.0</v>
      </c>
      <c r="Q258" s="3"/>
      <c r="R258" s="198">
        <v>0.0</v>
      </c>
      <c r="S258" s="3"/>
      <c r="T258" s="198">
        <v>0.0</v>
      </c>
      <c r="U258" s="3"/>
      <c r="V258" s="198">
        <v>0.0</v>
      </c>
      <c r="W258" s="3"/>
      <c r="X258" s="198">
        <v>0.0</v>
      </c>
      <c r="Y258" s="3"/>
      <c r="Z258" s="198">
        <v>3.0</v>
      </c>
      <c r="AA258" s="3"/>
      <c r="AB258" s="198">
        <v>0.0</v>
      </c>
      <c r="AC258" s="3"/>
      <c r="AD258" s="198">
        <v>0.0</v>
      </c>
      <c r="AE258" s="3"/>
      <c r="AF258" s="198">
        <v>0.0</v>
      </c>
      <c r="AG258" s="3"/>
      <c r="AH258" s="198">
        <v>0.0</v>
      </c>
      <c r="AI258" s="3"/>
      <c r="AJ258" s="198">
        <v>0.0</v>
      </c>
      <c r="AK258" s="3"/>
      <c r="AL258" s="198">
        <v>0.0</v>
      </c>
      <c r="AM258" s="3"/>
      <c r="AN258" s="198">
        <v>0.0</v>
      </c>
      <c r="AO258" s="3"/>
      <c r="AP258" s="199">
        <f t="shared" si="12"/>
        <v>6186.133333</v>
      </c>
      <c r="AQ258" s="200">
        <f t="shared" si="10"/>
        <v>260</v>
      </c>
      <c r="AR258" s="200">
        <f t="shared" si="3"/>
        <v>0</v>
      </c>
      <c r="AS258" s="200">
        <f t="shared" si="4"/>
        <v>263</v>
      </c>
      <c r="AT258" s="201">
        <f t="shared" si="5"/>
        <v>23.52141952</v>
      </c>
    </row>
    <row r="259" ht="15.75" customHeight="1">
      <c r="A259" s="194" t="s">
        <v>26</v>
      </c>
      <c r="B259" s="195">
        <f t="shared" si="6"/>
        <v>45184</v>
      </c>
      <c r="C259" s="196">
        <v>10.0</v>
      </c>
      <c r="D259" s="196" t="s">
        <v>22</v>
      </c>
      <c r="E259" s="197" t="s">
        <v>59</v>
      </c>
      <c r="F259" s="370">
        <v>0.0</v>
      </c>
      <c r="G259" s="3"/>
      <c r="H259" s="370">
        <v>0.0</v>
      </c>
      <c r="I259" s="3"/>
      <c r="J259" s="370">
        <v>0.0</v>
      </c>
      <c r="K259" s="3"/>
      <c r="L259" s="370">
        <v>0.0</v>
      </c>
      <c r="M259" s="3"/>
      <c r="N259" s="198">
        <v>120.0</v>
      </c>
      <c r="O259" s="3"/>
      <c r="P259" s="198">
        <v>140.0</v>
      </c>
      <c r="Q259" s="3"/>
      <c r="R259" s="198">
        <v>0.0</v>
      </c>
      <c r="S259" s="3"/>
      <c r="T259" s="198">
        <v>0.0</v>
      </c>
      <c r="U259" s="3"/>
      <c r="V259" s="198">
        <v>0.0</v>
      </c>
      <c r="W259" s="3"/>
      <c r="X259" s="198">
        <v>0.0</v>
      </c>
      <c r="Y259" s="3"/>
      <c r="Z259" s="198">
        <v>3.0</v>
      </c>
      <c r="AA259" s="3"/>
      <c r="AB259" s="198">
        <v>0.0</v>
      </c>
      <c r="AC259" s="3"/>
      <c r="AD259" s="198">
        <v>0.0</v>
      </c>
      <c r="AE259" s="3"/>
      <c r="AF259" s="198">
        <v>0.0</v>
      </c>
      <c r="AG259" s="3"/>
      <c r="AH259" s="198">
        <v>0.0</v>
      </c>
      <c r="AI259" s="3"/>
      <c r="AJ259" s="198">
        <v>0.0</v>
      </c>
      <c r="AK259" s="3"/>
      <c r="AL259" s="198">
        <v>0.0</v>
      </c>
      <c r="AM259" s="3"/>
      <c r="AN259" s="198">
        <v>0.0</v>
      </c>
      <c r="AO259" s="3"/>
      <c r="AP259" s="199">
        <f t="shared" si="12"/>
        <v>6186.133333</v>
      </c>
      <c r="AQ259" s="200">
        <f t="shared" si="10"/>
        <v>260</v>
      </c>
      <c r="AR259" s="200">
        <f t="shared" si="3"/>
        <v>0</v>
      </c>
      <c r="AS259" s="200">
        <f t="shared" si="4"/>
        <v>263</v>
      </c>
      <c r="AT259" s="201">
        <f t="shared" si="5"/>
        <v>23.52141952</v>
      </c>
    </row>
    <row r="260" ht="15.75" customHeight="1">
      <c r="A260" s="194" t="s">
        <v>27</v>
      </c>
      <c r="B260" s="195">
        <f t="shared" si="6"/>
        <v>45185</v>
      </c>
      <c r="C260" s="196">
        <v>10.0</v>
      </c>
      <c r="D260" s="196" t="s">
        <v>22</v>
      </c>
      <c r="E260" s="197" t="s">
        <v>59</v>
      </c>
      <c r="F260" s="370">
        <v>0.0</v>
      </c>
      <c r="G260" s="3"/>
      <c r="H260" s="370">
        <v>0.0</v>
      </c>
      <c r="I260" s="3"/>
      <c r="J260" s="370">
        <v>0.0</v>
      </c>
      <c r="K260" s="3"/>
      <c r="L260" s="370">
        <v>0.0</v>
      </c>
      <c r="M260" s="3"/>
      <c r="N260" s="198">
        <v>120.0</v>
      </c>
      <c r="O260" s="3"/>
      <c r="P260" s="198">
        <v>140.0</v>
      </c>
      <c r="Q260" s="3"/>
      <c r="R260" s="198">
        <v>0.0</v>
      </c>
      <c r="S260" s="3"/>
      <c r="T260" s="198">
        <v>0.0</v>
      </c>
      <c r="U260" s="3"/>
      <c r="V260" s="198">
        <v>0.0</v>
      </c>
      <c r="W260" s="3"/>
      <c r="X260" s="198">
        <v>0.0</v>
      </c>
      <c r="Y260" s="3"/>
      <c r="Z260" s="198">
        <v>0.0</v>
      </c>
      <c r="AA260" s="3"/>
      <c r="AB260" s="198">
        <v>4.0</v>
      </c>
      <c r="AC260" s="3"/>
      <c r="AD260" s="198">
        <v>0.0</v>
      </c>
      <c r="AE260" s="3"/>
      <c r="AF260" s="198">
        <v>0.0</v>
      </c>
      <c r="AG260" s="3"/>
      <c r="AH260" s="198">
        <v>0.0</v>
      </c>
      <c r="AI260" s="3"/>
      <c r="AJ260" s="198">
        <v>0.0</v>
      </c>
      <c r="AK260" s="3"/>
      <c r="AL260" s="198">
        <v>0.0</v>
      </c>
      <c r="AM260" s="3"/>
      <c r="AN260" s="198">
        <v>0.0</v>
      </c>
      <c r="AO260" s="3"/>
      <c r="AP260" s="199">
        <f t="shared" si="12"/>
        <v>6446.133333</v>
      </c>
      <c r="AQ260" s="200">
        <f t="shared" si="10"/>
        <v>260</v>
      </c>
      <c r="AR260" s="200">
        <f t="shared" si="3"/>
        <v>0</v>
      </c>
      <c r="AS260" s="200">
        <f t="shared" si="4"/>
        <v>264</v>
      </c>
      <c r="AT260" s="201">
        <f t="shared" si="5"/>
        <v>24.41717172</v>
      </c>
    </row>
    <row r="261" ht="15.75" customHeight="1">
      <c r="A261" s="194" t="s">
        <v>28</v>
      </c>
      <c r="B261" s="195">
        <f t="shared" si="6"/>
        <v>45186</v>
      </c>
      <c r="C261" s="196">
        <v>10.0</v>
      </c>
      <c r="D261" s="196" t="s">
        <v>22</v>
      </c>
      <c r="E261" s="215" t="s">
        <v>43</v>
      </c>
      <c r="F261" s="371">
        <v>0.0</v>
      </c>
      <c r="G261" s="73"/>
      <c r="H261" s="371">
        <v>0.0</v>
      </c>
      <c r="I261" s="73"/>
      <c r="J261" s="371">
        <v>0.0</v>
      </c>
      <c r="K261" s="73"/>
      <c r="L261" s="371">
        <v>0.0</v>
      </c>
      <c r="M261" s="73"/>
      <c r="N261" s="216">
        <v>0.0</v>
      </c>
      <c r="O261" s="73"/>
      <c r="P261" s="216">
        <v>0.0</v>
      </c>
      <c r="Q261" s="73"/>
      <c r="R261" s="216">
        <v>0.0</v>
      </c>
      <c r="S261" s="73"/>
      <c r="T261" s="216">
        <v>0.0</v>
      </c>
      <c r="U261" s="73"/>
      <c r="V261" s="216">
        <v>0.0</v>
      </c>
      <c r="W261" s="73"/>
      <c r="X261" s="216">
        <v>0.0</v>
      </c>
      <c r="Y261" s="73"/>
      <c r="Z261" s="216">
        <v>0.0</v>
      </c>
      <c r="AA261" s="73"/>
      <c r="AB261" s="216">
        <v>0.0</v>
      </c>
      <c r="AC261" s="73"/>
      <c r="AD261" s="216">
        <v>0.0</v>
      </c>
      <c r="AE261" s="73"/>
      <c r="AF261" s="216">
        <v>0.0</v>
      </c>
      <c r="AG261" s="73"/>
      <c r="AH261" s="216">
        <v>0.0</v>
      </c>
      <c r="AI261" s="73"/>
      <c r="AJ261" s="216">
        <v>0.0</v>
      </c>
      <c r="AK261" s="73"/>
      <c r="AL261" s="216">
        <v>0.0</v>
      </c>
      <c r="AM261" s="73"/>
      <c r="AN261" s="216">
        <v>0.0</v>
      </c>
      <c r="AO261" s="73"/>
      <c r="AP261" s="218">
        <f t="shared" si="12"/>
        <v>0</v>
      </c>
      <c r="AQ261" s="219">
        <f t="shared" si="10"/>
        <v>0</v>
      </c>
      <c r="AR261" s="219">
        <f t="shared" si="3"/>
        <v>0</v>
      </c>
      <c r="AS261" s="219">
        <f t="shared" si="4"/>
        <v>0</v>
      </c>
      <c r="AT261" s="372" t="str">
        <f t="shared" si="5"/>
        <v/>
      </c>
    </row>
    <row r="262" ht="15.75" customHeight="1">
      <c r="A262" s="325" t="s">
        <v>21</v>
      </c>
      <c r="B262" s="326">
        <f t="shared" si="6"/>
        <v>45187</v>
      </c>
      <c r="C262" s="292">
        <v>10.0</v>
      </c>
      <c r="D262" s="292" t="s">
        <v>34</v>
      </c>
      <c r="E262" s="293" t="s">
        <v>59</v>
      </c>
      <c r="F262" s="354">
        <v>0.0</v>
      </c>
      <c r="G262" s="73"/>
      <c r="H262" s="354">
        <v>0.0</v>
      </c>
      <c r="I262" s="73"/>
      <c r="J262" s="354">
        <v>0.0</v>
      </c>
      <c r="K262" s="73"/>
      <c r="L262" s="354">
        <v>0.0</v>
      </c>
      <c r="M262" s="73"/>
      <c r="N262" s="294">
        <v>120.0</v>
      </c>
      <c r="O262" s="190"/>
      <c r="P262" s="294">
        <v>115.0</v>
      </c>
      <c r="Q262" s="190"/>
      <c r="R262" s="294">
        <v>40.0</v>
      </c>
      <c r="S262" s="190"/>
      <c r="T262" s="294">
        <v>0.0</v>
      </c>
      <c r="U262" s="190"/>
      <c r="V262" s="294">
        <v>0.0</v>
      </c>
      <c r="W262" s="190"/>
      <c r="X262" s="294">
        <v>40.0</v>
      </c>
      <c r="Y262" s="190"/>
      <c r="Z262" s="294">
        <v>2.0</v>
      </c>
      <c r="AA262" s="190"/>
      <c r="AB262" s="294">
        <v>0.0</v>
      </c>
      <c r="AC262" s="190"/>
      <c r="AD262" s="294">
        <v>0.0</v>
      </c>
      <c r="AE262" s="190"/>
      <c r="AF262" s="294">
        <v>0.0</v>
      </c>
      <c r="AG262" s="190"/>
      <c r="AH262" s="294">
        <v>0.0</v>
      </c>
      <c r="AI262" s="190"/>
      <c r="AJ262" s="294">
        <v>0.0</v>
      </c>
      <c r="AK262" s="190"/>
      <c r="AL262" s="294">
        <v>0.0</v>
      </c>
      <c r="AM262" s="190"/>
      <c r="AN262" s="294">
        <v>0.0</v>
      </c>
      <c r="AO262" s="190"/>
      <c r="AP262" s="295">
        <f t="shared" si="12"/>
        <v>7270.533333</v>
      </c>
      <c r="AQ262" s="296">
        <f t="shared" si="10"/>
        <v>315</v>
      </c>
      <c r="AR262" s="296">
        <f t="shared" si="3"/>
        <v>0</v>
      </c>
      <c r="AS262" s="296">
        <f t="shared" si="4"/>
        <v>317</v>
      </c>
      <c r="AT262" s="297">
        <f t="shared" si="5"/>
        <v>22.93543638</v>
      </c>
    </row>
    <row r="263" ht="15.75" customHeight="1">
      <c r="A263" s="327" t="s">
        <v>23</v>
      </c>
      <c r="B263" s="144">
        <f t="shared" si="6"/>
        <v>45188</v>
      </c>
      <c r="C263" s="145">
        <v>10.0</v>
      </c>
      <c r="D263" s="145" t="s">
        <v>34</v>
      </c>
      <c r="E263" s="175" t="s">
        <v>59</v>
      </c>
      <c r="F263" s="354">
        <v>0.0</v>
      </c>
      <c r="G263" s="73"/>
      <c r="H263" s="354">
        <v>0.0</v>
      </c>
      <c r="I263" s="73"/>
      <c r="J263" s="354">
        <v>0.0</v>
      </c>
      <c r="K263" s="73"/>
      <c r="L263" s="354">
        <v>0.0</v>
      </c>
      <c r="M263" s="73"/>
      <c r="N263" s="147">
        <v>120.0</v>
      </c>
      <c r="O263" s="3"/>
      <c r="P263" s="147">
        <v>155.0</v>
      </c>
      <c r="Q263" s="3"/>
      <c r="R263" s="147">
        <v>0.0</v>
      </c>
      <c r="S263" s="3"/>
      <c r="T263" s="147">
        <v>0.0</v>
      </c>
      <c r="U263" s="3"/>
      <c r="V263" s="147">
        <v>0.0</v>
      </c>
      <c r="W263" s="3"/>
      <c r="X263" s="147">
        <v>0.0</v>
      </c>
      <c r="Y263" s="3"/>
      <c r="Z263" s="147">
        <v>3.0</v>
      </c>
      <c r="AA263" s="3"/>
      <c r="AB263" s="147">
        <v>0.0</v>
      </c>
      <c r="AC263" s="3"/>
      <c r="AD263" s="147">
        <v>0.0</v>
      </c>
      <c r="AE263" s="3"/>
      <c r="AF263" s="147">
        <v>0.0</v>
      </c>
      <c r="AG263" s="3"/>
      <c r="AH263" s="147">
        <v>0.0</v>
      </c>
      <c r="AI263" s="3"/>
      <c r="AJ263" s="147">
        <v>0.0</v>
      </c>
      <c r="AK263" s="3"/>
      <c r="AL263" s="147">
        <v>0.0</v>
      </c>
      <c r="AM263" s="3"/>
      <c r="AN263" s="147">
        <v>0.0</v>
      </c>
      <c r="AO263" s="3"/>
      <c r="AP263" s="149">
        <f t="shared" si="12"/>
        <v>6560.933333</v>
      </c>
      <c r="AQ263" s="150">
        <f t="shared" si="10"/>
        <v>275</v>
      </c>
      <c r="AR263" s="150">
        <f t="shared" si="3"/>
        <v>0</v>
      </c>
      <c r="AS263" s="150">
        <f t="shared" si="4"/>
        <v>278</v>
      </c>
      <c r="AT263" s="299">
        <f t="shared" si="5"/>
        <v>23.60047962</v>
      </c>
    </row>
    <row r="264" ht="15.75" customHeight="1">
      <c r="A264" s="327" t="s">
        <v>24</v>
      </c>
      <c r="B264" s="144">
        <f t="shared" si="6"/>
        <v>45189</v>
      </c>
      <c r="C264" s="145">
        <v>10.0</v>
      </c>
      <c r="D264" s="145" t="s">
        <v>34</v>
      </c>
      <c r="E264" s="175" t="s">
        <v>59</v>
      </c>
      <c r="F264" s="354">
        <v>0.0</v>
      </c>
      <c r="G264" s="73"/>
      <c r="H264" s="354">
        <v>0.0</v>
      </c>
      <c r="I264" s="73"/>
      <c r="J264" s="354">
        <v>0.0</v>
      </c>
      <c r="K264" s="73"/>
      <c r="L264" s="354">
        <v>0.0</v>
      </c>
      <c r="M264" s="73"/>
      <c r="N264" s="147">
        <v>120.0</v>
      </c>
      <c r="O264" s="3"/>
      <c r="P264" s="147">
        <v>115.0</v>
      </c>
      <c r="Q264" s="3"/>
      <c r="R264" s="147">
        <v>60.0</v>
      </c>
      <c r="S264" s="3"/>
      <c r="T264" s="147">
        <v>0.0</v>
      </c>
      <c r="U264" s="3"/>
      <c r="V264" s="147">
        <v>0.0</v>
      </c>
      <c r="W264" s="3"/>
      <c r="X264" s="147">
        <v>45.0</v>
      </c>
      <c r="Y264" s="3"/>
      <c r="Z264" s="147">
        <v>0.0</v>
      </c>
      <c r="AA264" s="3"/>
      <c r="AB264" s="147">
        <v>2.0</v>
      </c>
      <c r="AC264" s="3"/>
      <c r="AD264" s="147">
        <v>0.0</v>
      </c>
      <c r="AE264" s="3"/>
      <c r="AF264" s="147">
        <v>0.0</v>
      </c>
      <c r="AG264" s="3"/>
      <c r="AH264" s="147">
        <v>0.0</v>
      </c>
      <c r="AI264" s="3"/>
      <c r="AJ264" s="147">
        <v>0.0</v>
      </c>
      <c r="AK264" s="3"/>
      <c r="AL264" s="147">
        <v>0.0</v>
      </c>
      <c r="AM264" s="3"/>
      <c r="AN264" s="147">
        <v>0.0</v>
      </c>
      <c r="AO264" s="3"/>
      <c r="AP264" s="149">
        <f t="shared" si="12"/>
        <v>7958.966667</v>
      </c>
      <c r="AQ264" s="150">
        <f t="shared" si="10"/>
        <v>340</v>
      </c>
      <c r="AR264" s="150">
        <f t="shared" si="3"/>
        <v>0</v>
      </c>
      <c r="AS264" s="150">
        <f t="shared" si="4"/>
        <v>342</v>
      </c>
      <c r="AT264" s="299">
        <f t="shared" si="5"/>
        <v>23.27183236</v>
      </c>
    </row>
    <row r="265" ht="15.75" customHeight="1">
      <c r="A265" s="327" t="s">
        <v>25</v>
      </c>
      <c r="B265" s="144">
        <f t="shared" si="6"/>
        <v>45190</v>
      </c>
      <c r="C265" s="145">
        <v>10.0</v>
      </c>
      <c r="D265" s="145" t="s">
        <v>34</v>
      </c>
      <c r="E265" s="175" t="s">
        <v>59</v>
      </c>
      <c r="F265" s="354">
        <v>0.0</v>
      </c>
      <c r="G265" s="73"/>
      <c r="H265" s="354">
        <v>0.0</v>
      </c>
      <c r="I265" s="73"/>
      <c r="J265" s="354">
        <v>0.0</v>
      </c>
      <c r="K265" s="73"/>
      <c r="L265" s="354">
        <v>0.0</v>
      </c>
      <c r="M265" s="73"/>
      <c r="N265" s="147">
        <v>120.0</v>
      </c>
      <c r="O265" s="3"/>
      <c r="P265" s="147">
        <v>155.0</v>
      </c>
      <c r="Q265" s="3"/>
      <c r="R265" s="147">
        <v>0.0</v>
      </c>
      <c r="S265" s="3"/>
      <c r="T265" s="147">
        <v>0.0</v>
      </c>
      <c r="U265" s="3"/>
      <c r="V265" s="147">
        <v>0.0</v>
      </c>
      <c r="W265" s="3"/>
      <c r="X265" s="147">
        <v>0.0</v>
      </c>
      <c r="Y265" s="3"/>
      <c r="Z265" s="147">
        <v>3.0</v>
      </c>
      <c r="AA265" s="3"/>
      <c r="AB265" s="147">
        <v>0.0</v>
      </c>
      <c r="AC265" s="3"/>
      <c r="AD265" s="147">
        <v>0.0</v>
      </c>
      <c r="AE265" s="3"/>
      <c r="AF265" s="147">
        <v>0.0</v>
      </c>
      <c r="AG265" s="3"/>
      <c r="AH265" s="147">
        <v>0.0</v>
      </c>
      <c r="AI265" s="3"/>
      <c r="AJ265" s="147">
        <v>0.0</v>
      </c>
      <c r="AK265" s="3"/>
      <c r="AL265" s="147">
        <v>0.0</v>
      </c>
      <c r="AM265" s="3"/>
      <c r="AN265" s="147">
        <v>0.0</v>
      </c>
      <c r="AO265" s="3"/>
      <c r="AP265" s="149">
        <f t="shared" si="12"/>
        <v>6560.933333</v>
      </c>
      <c r="AQ265" s="150">
        <f t="shared" si="10"/>
        <v>275</v>
      </c>
      <c r="AR265" s="150">
        <f t="shared" si="3"/>
        <v>0</v>
      </c>
      <c r="AS265" s="150">
        <f t="shared" si="4"/>
        <v>278</v>
      </c>
      <c r="AT265" s="299">
        <f t="shared" si="5"/>
        <v>23.60047962</v>
      </c>
    </row>
    <row r="266" ht="15.75" customHeight="1">
      <c r="A266" s="327" t="s">
        <v>26</v>
      </c>
      <c r="B266" s="144">
        <f t="shared" si="6"/>
        <v>45191</v>
      </c>
      <c r="C266" s="145">
        <v>10.0</v>
      </c>
      <c r="D266" s="145" t="s">
        <v>34</v>
      </c>
      <c r="E266" s="175" t="s">
        <v>59</v>
      </c>
      <c r="F266" s="354">
        <v>0.0</v>
      </c>
      <c r="G266" s="73"/>
      <c r="H266" s="354">
        <v>0.0</v>
      </c>
      <c r="I266" s="73"/>
      <c r="J266" s="354">
        <v>0.0</v>
      </c>
      <c r="K266" s="73"/>
      <c r="L266" s="354">
        <v>0.0</v>
      </c>
      <c r="M266" s="73"/>
      <c r="N266" s="147">
        <v>120.0</v>
      </c>
      <c r="O266" s="3"/>
      <c r="P266" s="147">
        <v>155.0</v>
      </c>
      <c r="Q266" s="3"/>
      <c r="R266" s="147">
        <v>0.0</v>
      </c>
      <c r="S266" s="3"/>
      <c r="T266" s="147">
        <v>0.0</v>
      </c>
      <c r="U266" s="3"/>
      <c r="V266" s="147">
        <v>0.0</v>
      </c>
      <c r="W266" s="3"/>
      <c r="X266" s="147">
        <v>0.0</v>
      </c>
      <c r="Y266" s="3"/>
      <c r="Z266" s="147">
        <v>3.0</v>
      </c>
      <c r="AA266" s="3"/>
      <c r="AB266" s="147">
        <v>0.0</v>
      </c>
      <c r="AC266" s="3"/>
      <c r="AD266" s="147">
        <v>0.0</v>
      </c>
      <c r="AE266" s="3"/>
      <c r="AF266" s="147">
        <v>0.0</v>
      </c>
      <c r="AG266" s="3"/>
      <c r="AH266" s="147">
        <v>0.0</v>
      </c>
      <c r="AI266" s="3"/>
      <c r="AJ266" s="147">
        <v>0.0</v>
      </c>
      <c r="AK266" s="3"/>
      <c r="AL266" s="147">
        <v>0.0</v>
      </c>
      <c r="AM266" s="3"/>
      <c r="AN266" s="147">
        <v>0.0</v>
      </c>
      <c r="AO266" s="3"/>
      <c r="AP266" s="149">
        <f t="shared" si="12"/>
        <v>6560.933333</v>
      </c>
      <c r="AQ266" s="150">
        <f t="shared" si="10"/>
        <v>275</v>
      </c>
      <c r="AR266" s="150">
        <f t="shared" si="3"/>
        <v>0</v>
      </c>
      <c r="AS266" s="150">
        <f t="shared" si="4"/>
        <v>278</v>
      </c>
      <c r="AT266" s="299">
        <f t="shared" si="5"/>
        <v>23.60047962</v>
      </c>
    </row>
    <row r="267" ht="15.75" customHeight="1">
      <c r="A267" s="327" t="s">
        <v>27</v>
      </c>
      <c r="B267" s="144">
        <f t="shared" si="6"/>
        <v>45192</v>
      </c>
      <c r="C267" s="145">
        <v>10.0</v>
      </c>
      <c r="D267" s="145" t="s">
        <v>34</v>
      </c>
      <c r="E267" s="175" t="s">
        <v>59</v>
      </c>
      <c r="F267" s="354">
        <v>0.0</v>
      </c>
      <c r="G267" s="73"/>
      <c r="H267" s="354">
        <v>0.0</v>
      </c>
      <c r="I267" s="73"/>
      <c r="J267" s="354">
        <v>0.0</v>
      </c>
      <c r="K267" s="73"/>
      <c r="L267" s="354">
        <v>0.0</v>
      </c>
      <c r="M267" s="73"/>
      <c r="N267" s="147">
        <v>120.0</v>
      </c>
      <c r="O267" s="3"/>
      <c r="P267" s="147">
        <v>155.0</v>
      </c>
      <c r="Q267" s="3"/>
      <c r="R267" s="147">
        <v>0.0</v>
      </c>
      <c r="S267" s="3"/>
      <c r="T267" s="147">
        <v>0.0</v>
      </c>
      <c r="U267" s="3"/>
      <c r="V267" s="147">
        <v>0.0</v>
      </c>
      <c r="W267" s="3"/>
      <c r="X267" s="147">
        <v>0.0</v>
      </c>
      <c r="Y267" s="3"/>
      <c r="Z267" s="147">
        <v>3.0</v>
      </c>
      <c r="AA267" s="3"/>
      <c r="AB267" s="147">
        <v>0.0</v>
      </c>
      <c r="AC267" s="3"/>
      <c r="AD267" s="147">
        <v>0.0</v>
      </c>
      <c r="AE267" s="3"/>
      <c r="AF267" s="147">
        <v>0.0</v>
      </c>
      <c r="AG267" s="3"/>
      <c r="AH267" s="147">
        <v>0.0</v>
      </c>
      <c r="AI267" s="3"/>
      <c r="AJ267" s="147">
        <v>0.0</v>
      </c>
      <c r="AK267" s="3"/>
      <c r="AL267" s="147">
        <v>0.0</v>
      </c>
      <c r="AM267" s="3"/>
      <c r="AN267" s="147">
        <v>0.0</v>
      </c>
      <c r="AO267" s="3"/>
      <c r="AP267" s="149">
        <f t="shared" si="12"/>
        <v>6560.933333</v>
      </c>
      <c r="AQ267" s="150">
        <f t="shared" si="10"/>
        <v>275</v>
      </c>
      <c r="AR267" s="150">
        <f t="shared" si="3"/>
        <v>0</v>
      </c>
      <c r="AS267" s="150">
        <f t="shared" si="4"/>
        <v>278</v>
      </c>
      <c r="AT267" s="299">
        <f t="shared" si="5"/>
        <v>23.60047962</v>
      </c>
    </row>
    <row r="268" ht="15.75" customHeight="1">
      <c r="A268" s="329" t="s">
        <v>28</v>
      </c>
      <c r="B268" s="330">
        <f t="shared" si="6"/>
        <v>45193</v>
      </c>
      <c r="C268" s="331">
        <v>10.0</v>
      </c>
      <c r="D268" s="331" t="s">
        <v>34</v>
      </c>
      <c r="E268" s="281" t="s">
        <v>43</v>
      </c>
      <c r="F268" s="354">
        <v>0.0</v>
      </c>
      <c r="G268" s="73"/>
      <c r="H268" s="354">
        <v>0.0</v>
      </c>
      <c r="I268" s="73"/>
      <c r="J268" s="354">
        <v>0.0</v>
      </c>
      <c r="K268" s="73"/>
      <c r="L268" s="354">
        <v>0.0</v>
      </c>
      <c r="M268" s="73"/>
      <c r="N268" s="333">
        <v>0.0</v>
      </c>
      <c r="O268" s="207"/>
      <c r="P268" s="333">
        <v>0.0</v>
      </c>
      <c r="Q268" s="207"/>
      <c r="R268" s="159">
        <v>0.0</v>
      </c>
      <c r="S268" s="73"/>
      <c r="T268" s="159">
        <v>0.0</v>
      </c>
      <c r="U268" s="73"/>
      <c r="V268" s="159">
        <v>0.0</v>
      </c>
      <c r="W268" s="73"/>
      <c r="X268" s="159">
        <v>0.0</v>
      </c>
      <c r="Y268" s="73"/>
      <c r="Z268" s="159">
        <v>0.0</v>
      </c>
      <c r="AA268" s="73"/>
      <c r="AB268" s="159">
        <v>0.0</v>
      </c>
      <c r="AC268" s="73"/>
      <c r="AD268" s="159">
        <v>0.0</v>
      </c>
      <c r="AE268" s="73"/>
      <c r="AF268" s="159">
        <v>0.0</v>
      </c>
      <c r="AG268" s="73"/>
      <c r="AH268" s="159">
        <v>0.0</v>
      </c>
      <c r="AI268" s="73"/>
      <c r="AJ268" s="159">
        <v>0.0</v>
      </c>
      <c r="AK268" s="73"/>
      <c r="AL268" s="159">
        <v>0.0</v>
      </c>
      <c r="AM268" s="73"/>
      <c r="AN268" s="159">
        <v>0.0</v>
      </c>
      <c r="AO268" s="73"/>
      <c r="AP268" s="334">
        <f t="shared" si="12"/>
        <v>0</v>
      </c>
      <c r="AQ268" s="335">
        <f t="shared" si="10"/>
        <v>0</v>
      </c>
      <c r="AR268" s="335">
        <f t="shared" si="3"/>
        <v>0</v>
      </c>
      <c r="AS268" s="335">
        <f t="shared" si="4"/>
        <v>0</v>
      </c>
      <c r="AT268" s="336" t="str">
        <f t="shared" si="5"/>
        <v/>
      </c>
    </row>
    <row r="269" ht="15.75" customHeight="1">
      <c r="A269" s="185" t="s">
        <v>21</v>
      </c>
      <c r="B269" s="186">
        <f t="shared" si="6"/>
        <v>45194</v>
      </c>
      <c r="C269" s="187">
        <v>10.0</v>
      </c>
      <c r="D269" s="187" t="s">
        <v>36</v>
      </c>
      <c r="E269" s="192"/>
      <c r="F269" s="373"/>
      <c r="G269" s="190"/>
      <c r="H269" s="373"/>
      <c r="I269" s="190"/>
      <c r="J269" s="373"/>
      <c r="K269" s="190"/>
      <c r="L269" s="373"/>
      <c r="M269" s="190"/>
      <c r="N269" s="189">
        <v>60.0</v>
      </c>
      <c r="O269" s="190"/>
      <c r="P269" s="189">
        <v>60.0</v>
      </c>
      <c r="Q269" s="190"/>
      <c r="R269" s="189">
        <v>0.0</v>
      </c>
      <c r="S269" s="190"/>
      <c r="T269" s="189">
        <v>0.0</v>
      </c>
      <c r="U269" s="190"/>
      <c r="V269" s="189">
        <v>0.0</v>
      </c>
      <c r="W269" s="190"/>
      <c r="X269" s="189">
        <v>0.0</v>
      </c>
      <c r="Y269" s="190"/>
      <c r="Z269" s="189">
        <v>1.0</v>
      </c>
      <c r="AA269" s="190"/>
      <c r="AB269" s="189">
        <v>0.0</v>
      </c>
      <c r="AC269" s="190"/>
      <c r="AD269" s="189">
        <v>0.0</v>
      </c>
      <c r="AE269" s="190"/>
      <c r="AF269" s="189">
        <v>0.0</v>
      </c>
      <c r="AG269" s="190"/>
      <c r="AH269" s="189">
        <v>0.0</v>
      </c>
      <c r="AI269" s="190"/>
      <c r="AJ269" s="189">
        <v>0.0</v>
      </c>
      <c r="AK269" s="190"/>
      <c r="AL269" s="189">
        <v>0.0</v>
      </c>
      <c r="AM269" s="190"/>
      <c r="AN269" s="189">
        <v>0.0</v>
      </c>
      <c r="AO269" s="190"/>
      <c r="AP269" s="191">
        <f t="shared" si="12"/>
        <v>2803.2</v>
      </c>
      <c r="AQ269" s="192">
        <f t="shared" si="10"/>
        <v>120</v>
      </c>
      <c r="AR269" s="192">
        <f t="shared" si="3"/>
        <v>0</v>
      </c>
      <c r="AS269" s="192">
        <f t="shared" si="4"/>
        <v>121</v>
      </c>
      <c r="AT269" s="193">
        <f t="shared" si="5"/>
        <v>23.16694215</v>
      </c>
    </row>
    <row r="270" ht="15.75" customHeight="1">
      <c r="A270" s="194" t="s">
        <v>23</v>
      </c>
      <c r="B270" s="195">
        <f t="shared" si="6"/>
        <v>45195</v>
      </c>
      <c r="C270" s="196">
        <v>10.0</v>
      </c>
      <c r="D270" s="196" t="s">
        <v>36</v>
      </c>
      <c r="E270" s="200"/>
      <c r="F270" s="374"/>
      <c r="G270" s="3"/>
      <c r="H270" s="374"/>
      <c r="I270" s="3"/>
      <c r="J270" s="374"/>
      <c r="K270" s="3"/>
      <c r="L270" s="374"/>
      <c r="M270" s="3"/>
      <c r="N270" s="198">
        <v>60.0</v>
      </c>
      <c r="O270" s="3"/>
      <c r="P270" s="198">
        <v>60.0</v>
      </c>
      <c r="Q270" s="3"/>
      <c r="R270" s="198">
        <v>0.0</v>
      </c>
      <c r="S270" s="3"/>
      <c r="T270" s="198">
        <v>0.0</v>
      </c>
      <c r="U270" s="3"/>
      <c r="V270" s="198">
        <v>0.0</v>
      </c>
      <c r="W270" s="3"/>
      <c r="X270" s="198">
        <v>0.0</v>
      </c>
      <c r="Y270" s="3"/>
      <c r="Z270" s="198">
        <v>1.0</v>
      </c>
      <c r="AA270" s="3"/>
      <c r="AB270" s="198">
        <v>0.0</v>
      </c>
      <c r="AC270" s="3"/>
      <c r="AD270" s="198">
        <v>0.0</v>
      </c>
      <c r="AE270" s="3"/>
      <c r="AF270" s="198">
        <v>0.0</v>
      </c>
      <c r="AG270" s="3"/>
      <c r="AH270" s="198">
        <v>0.0</v>
      </c>
      <c r="AI270" s="3"/>
      <c r="AJ270" s="198">
        <v>0.0</v>
      </c>
      <c r="AK270" s="3"/>
      <c r="AL270" s="198">
        <v>0.0</v>
      </c>
      <c r="AM270" s="3"/>
      <c r="AN270" s="198">
        <v>0.0</v>
      </c>
      <c r="AO270" s="3"/>
      <c r="AP270" s="199">
        <f t="shared" si="12"/>
        <v>2803.2</v>
      </c>
      <c r="AQ270" s="200">
        <f t="shared" si="10"/>
        <v>120</v>
      </c>
      <c r="AR270" s="200">
        <f t="shared" si="3"/>
        <v>0</v>
      </c>
      <c r="AS270" s="200">
        <f t="shared" si="4"/>
        <v>121</v>
      </c>
      <c r="AT270" s="201">
        <f t="shared" si="5"/>
        <v>23.16694215</v>
      </c>
    </row>
    <row r="271" ht="15.75" customHeight="1">
      <c r="A271" s="194" t="s">
        <v>24</v>
      </c>
      <c r="B271" s="195">
        <f t="shared" si="6"/>
        <v>45196</v>
      </c>
      <c r="C271" s="196">
        <v>10.0</v>
      </c>
      <c r="D271" s="196" t="s">
        <v>36</v>
      </c>
      <c r="E271" s="200"/>
      <c r="F271" s="374"/>
      <c r="G271" s="3"/>
      <c r="H271" s="374"/>
      <c r="I271" s="3"/>
      <c r="J271" s="374"/>
      <c r="K271" s="3"/>
      <c r="L271" s="374"/>
      <c r="M271" s="3"/>
      <c r="N271" s="198">
        <v>60.0</v>
      </c>
      <c r="O271" s="3"/>
      <c r="P271" s="198">
        <v>60.0</v>
      </c>
      <c r="Q271" s="3"/>
      <c r="R271" s="198">
        <v>0.0</v>
      </c>
      <c r="S271" s="3"/>
      <c r="T271" s="198">
        <v>0.0</v>
      </c>
      <c r="U271" s="3"/>
      <c r="V271" s="198">
        <v>0.0</v>
      </c>
      <c r="W271" s="3"/>
      <c r="X271" s="198">
        <v>0.0</v>
      </c>
      <c r="Y271" s="3"/>
      <c r="Z271" s="198">
        <v>0.0</v>
      </c>
      <c r="AA271" s="3"/>
      <c r="AB271" s="198">
        <v>1.0</v>
      </c>
      <c r="AC271" s="3"/>
      <c r="AD271" s="198">
        <v>0.0</v>
      </c>
      <c r="AE271" s="3"/>
      <c r="AF271" s="198">
        <v>0.0</v>
      </c>
      <c r="AG271" s="3"/>
      <c r="AH271" s="198">
        <v>0.0</v>
      </c>
      <c r="AI271" s="3"/>
      <c r="AJ271" s="198">
        <v>0.0</v>
      </c>
      <c r="AK271" s="3"/>
      <c r="AL271" s="198">
        <v>0.0</v>
      </c>
      <c r="AM271" s="3"/>
      <c r="AN271" s="198">
        <v>0.0</v>
      </c>
      <c r="AO271" s="3"/>
      <c r="AP271" s="199">
        <f t="shared" si="12"/>
        <v>2848.2</v>
      </c>
      <c r="AQ271" s="200">
        <f t="shared" si="10"/>
        <v>120</v>
      </c>
      <c r="AR271" s="200">
        <f t="shared" si="3"/>
        <v>0</v>
      </c>
      <c r="AS271" s="200">
        <f t="shared" si="4"/>
        <v>121</v>
      </c>
      <c r="AT271" s="201">
        <f t="shared" si="5"/>
        <v>23.53884298</v>
      </c>
    </row>
    <row r="272" ht="15.75" customHeight="1">
      <c r="A272" s="194" t="s">
        <v>25</v>
      </c>
      <c r="B272" s="195">
        <f t="shared" si="6"/>
        <v>45197</v>
      </c>
      <c r="C272" s="196">
        <v>10.0</v>
      </c>
      <c r="D272" s="196" t="s">
        <v>36</v>
      </c>
      <c r="E272" s="200"/>
      <c r="F272" s="374"/>
      <c r="G272" s="3"/>
      <c r="H272" s="374"/>
      <c r="I272" s="3"/>
      <c r="J272" s="374"/>
      <c r="K272" s="3"/>
      <c r="L272" s="374"/>
      <c r="M272" s="3"/>
      <c r="N272" s="198">
        <v>45.0</v>
      </c>
      <c r="O272" s="3"/>
      <c r="P272" s="198">
        <v>45.0</v>
      </c>
      <c r="Q272" s="3"/>
      <c r="R272" s="198">
        <v>0.0</v>
      </c>
      <c r="S272" s="3"/>
      <c r="T272" s="198">
        <v>0.0</v>
      </c>
      <c r="U272" s="3"/>
      <c r="V272" s="198">
        <v>0.0</v>
      </c>
      <c r="W272" s="3"/>
      <c r="X272" s="198">
        <v>0.0</v>
      </c>
      <c r="Y272" s="3"/>
      <c r="Z272" s="198">
        <v>0.0</v>
      </c>
      <c r="AA272" s="3"/>
      <c r="AB272" s="198">
        <v>0.0</v>
      </c>
      <c r="AC272" s="3"/>
      <c r="AD272" s="198">
        <v>0.0</v>
      </c>
      <c r="AE272" s="3"/>
      <c r="AF272" s="198">
        <v>0.0</v>
      </c>
      <c r="AG272" s="3"/>
      <c r="AH272" s="198">
        <v>0.0</v>
      </c>
      <c r="AI272" s="3"/>
      <c r="AJ272" s="198">
        <v>0.0</v>
      </c>
      <c r="AK272" s="3"/>
      <c r="AL272" s="198">
        <v>0.0</v>
      </c>
      <c r="AM272" s="3"/>
      <c r="AN272" s="198">
        <v>0.0</v>
      </c>
      <c r="AO272" s="3"/>
      <c r="AP272" s="199">
        <f t="shared" si="12"/>
        <v>2042.4</v>
      </c>
      <c r="AQ272" s="200">
        <f t="shared" si="10"/>
        <v>90</v>
      </c>
      <c r="AR272" s="200">
        <f t="shared" si="3"/>
        <v>0</v>
      </c>
      <c r="AS272" s="200">
        <f t="shared" si="4"/>
        <v>90</v>
      </c>
      <c r="AT272" s="201">
        <f t="shared" si="5"/>
        <v>22.69333333</v>
      </c>
    </row>
    <row r="273" ht="15.75" customHeight="1">
      <c r="A273" s="194" t="s">
        <v>26</v>
      </c>
      <c r="B273" s="195">
        <f t="shared" si="6"/>
        <v>45198</v>
      </c>
      <c r="C273" s="196">
        <v>10.0</v>
      </c>
      <c r="D273" s="196" t="s">
        <v>36</v>
      </c>
      <c r="E273" s="200"/>
      <c r="F273" s="374"/>
      <c r="G273" s="3"/>
      <c r="H273" s="374"/>
      <c r="I273" s="3"/>
      <c r="J273" s="374"/>
      <c r="K273" s="3"/>
      <c r="L273" s="374"/>
      <c r="M273" s="3"/>
      <c r="N273" s="198">
        <v>45.0</v>
      </c>
      <c r="O273" s="3"/>
      <c r="P273" s="198">
        <v>45.0</v>
      </c>
      <c r="Q273" s="3"/>
      <c r="R273" s="198">
        <v>0.0</v>
      </c>
      <c r="S273" s="3"/>
      <c r="T273" s="198">
        <v>0.0</v>
      </c>
      <c r="U273" s="3"/>
      <c r="V273" s="198">
        <v>0.0</v>
      </c>
      <c r="W273" s="3"/>
      <c r="X273" s="198">
        <v>0.0</v>
      </c>
      <c r="Y273" s="3"/>
      <c r="Z273" s="198">
        <v>0.0</v>
      </c>
      <c r="AA273" s="3"/>
      <c r="AB273" s="198">
        <v>0.0</v>
      </c>
      <c r="AC273" s="3"/>
      <c r="AD273" s="198">
        <v>0.0</v>
      </c>
      <c r="AE273" s="3"/>
      <c r="AF273" s="198">
        <v>0.0</v>
      </c>
      <c r="AG273" s="3"/>
      <c r="AH273" s="198">
        <v>0.0</v>
      </c>
      <c r="AI273" s="3"/>
      <c r="AJ273" s="198">
        <v>0.0</v>
      </c>
      <c r="AK273" s="3"/>
      <c r="AL273" s="198">
        <v>0.0</v>
      </c>
      <c r="AM273" s="3"/>
      <c r="AN273" s="198">
        <v>0.0</v>
      </c>
      <c r="AO273" s="3"/>
      <c r="AP273" s="199">
        <f t="shared" si="12"/>
        <v>2042.4</v>
      </c>
      <c r="AQ273" s="200">
        <f t="shared" si="10"/>
        <v>90</v>
      </c>
      <c r="AR273" s="200">
        <f t="shared" si="3"/>
        <v>0</v>
      </c>
      <c r="AS273" s="200">
        <f t="shared" si="4"/>
        <v>90</v>
      </c>
      <c r="AT273" s="201">
        <f t="shared" si="5"/>
        <v>22.69333333</v>
      </c>
    </row>
    <row r="274" ht="15.75" customHeight="1">
      <c r="A274" s="194" t="s">
        <v>27</v>
      </c>
      <c r="B274" s="195">
        <f t="shared" si="6"/>
        <v>45199</v>
      </c>
      <c r="C274" s="196">
        <v>10.0</v>
      </c>
      <c r="D274" s="196" t="s">
        <v>36</v>
      </c>
      <c r="E274" s="200"/>
      <c r="F274" s="374"/>
      <c r="G274" s="3"/>
      <c r="H274" s="374"/>
      <c r="I274" s="3"/>
      <c r="J274" s="374"/>
      <c r="K274" s="3"/>
      <c r="L274" s="374"/>
      <c r="M274" s="3"/>
      <c r="N274" s="198">
        <v>0.0</v>
      </c>
      <c r="O274" s="3"/>
      <c r="P274" s="198">
        <v>0.0</v>
      </c>
      <c r="Q274" s="3"/>
      <c r="R274" s="198">
        <v>0.0</v>
      </c>
      <c r="S274" s="3"/>
      <c r="T274" s="198">
        <v>0.0</v>
      </c>
      <c r="U274" s="3"/>
      <c r="V274" s="198">
        <v>0.0</v>
      </c>
      <c r="W274" s="3"/>
      <c r="X274" s="198">
        <v>0.0</v>
      </c>
      <c r="Y274" s="3"/>
      <c r="Z274" s="198">
        <v>0.0</v>
      </c>
      <c r="AA274" s="3"/>
      <c r="AB274" s="198">
        <v>0.0</v>
      </c>
      <c r="AC274" s="3"/>
      <c r="AD274" s="198">
        <v>0.0</v>
      </c>
      <c r="AE274" s="3"/>
      <c r="AF274" s="198">
        <v>0.0</v>
      </c>
      <c r="AG274" s="3"/>
      <c r="AH274" s="198">
        <v>0.0</v>
      </c>
      <c r="AI274" s="3"/>
      <c r="AJ274" s="198">
        <v>0.0</v>
      </c>
      <c r="AK274" s="3"/>
      <c r="AL274" s="198">
        <v>0.0</v>
      </c>
      <c r="AM274" s="3"/>
      <c r="AN274" s="198">
        <v>0.0</v>
      </c>
      <c r="AO274" s="3"/>
      <c r="AP274" s="199">
        <f t="shared" si="12"/>
        <v>0</v>
      </c>
      <c r="AQ274" s="200">
        <f t="shared" si="10"/>
        <v>0</v>
      </c>
      <c r="AR274" s="200">
        <f t="shared" si="3"/>
        <v>0</v>
      </c>
      <c r="AS274" s="200">
        <f t="shared" si="4"/>
        <v>0</v>
      </c>
      <c r="AT274" s="201" t="str">
        <f t="shared" si="5"/>
        <v/>
      </c>
    </row>
    <row r="275" ht="15.75" customHeight="1">
      <c r="A275" s="202" t="s">
        <v>28</v>
      </c>
      <c r="B275" s="203">
        <f t="shared" si="6"/>
        <v>45200</v>
      </c>
      <c r="C275" s="204">
        <v>10.0</v>
      </c>
      <c r="D275" s="204" t="s">
        <v>36</v>
      </c>
      <c r="E275" s="209"/>
      <c r="F275" s="375"/>
      <c r="G275" s="207"/>
      <c r="H275" s="375"/>
      <c r="I275" s="207"/>
      <c r="J275" s="375"/>
      <c r="K275" s="207"/>
      <c r="L275" s="375"/>
      <c r="M275" s="207"/>
      <c r="N275" s="206">
        <v>0.0</v>
      </c>
      <c r="O275" s="207"/>
      <c r="P275" s="206">
        <v>0.0</v>
      </c>
      <c r="Q275" s="207"/>
      <c r="R275" s="216">
        <v>0.0</v>
      </c>
      <c r="S275" s="73"/>
      <c r="T275" s="216">
        <v>0.0</v>
      </c>
      <c r="U275" s="73"/>
      <c r="V275" s="216">
        <v>0.0</v>
      </c>
      <c r="W275" s="73"/>
      <c r="X275" s="216">
        <v>0.0</v>
      </c>
      <c r="Y275" s="73"/>
      <c r="Z275" s="216">
        <v>0.0</v>
      </c>
      <c r="AA275" s="73"/>
      <c r="AB275" s="216">
        <v>0.0</v>
      </c>
      <c r="AC275" s="73"/>
      <c r="AD275" s="216">
        <v>0.0</v>
      </c>
      <c r="AE275" s="73"/>
      <c r="AF275" s="216">
        <v>0.0</v>
      </c>
      <c r="AG275" s="73"/>
      <c r="AH275" s="216">
        <v>0.0</v>
      </c>
      <c r="AI275" s="73"/>
      <c r="AJ275" s="216">
        <v>0.0</v>
      </c>
      <c r="AK275" s="73"/>
      <c r="AL275" s="216">
        <v>0.0</v>
      </c>
      <c r="AM275" s="73"/>
      <c r="AN275" s="216">
        <v>0.0</v>
      </c>
      <c r="AO275" s="73"/>
      <c r="AP275" s="208">
        <f t="shared" si="12"/>
        <v>0</v>
      </c>
      <c r="AQ275" s="209">
        <f t="shared" si="10"/>
        <v>0</v>
      </c>
      <c r="AR275" s="209">
        <f t="shared" si="3"/>
        <v>0</v>
      </c>
      <c r="AS275" s="209">
        <f t="shared" si="4"/>
        <v>0</v>
      </c>
      <c r="AT275" s="210" t="str">
        <f t="shared" si="5"/>
        <v/>
      </c>
    </row>
    <row r="276" ht="15.75" customHeight="1">
      <c r="A276" s="325" t="s">
        <v>21</v>
      </c>
      <c r="B276" s="326">
        <f t="shared" si="6"/>
        <v>45201</v>
      </c>
      <c r="C276" s="292">
        <v>10.0</v>
      </c>
      <c r="D276" s="292" t="s">
        <v>37</v>
      </c>
      <c r="E276" s="296"/>
      <c r="F276" s="376"/>
      <c r="G276" s="190"/>
      <c r="H276" s="376"/>
      <c r="I276" s="190"/>
      <c r="J276" s="376"/>
      <c r="K276" s="190"/>
      <c r="L276" s="376"/>
      <c r="M276" s="190"/>
      <c r="N276" s="294">
        <v>45.0</v>
      </c>
      <c r="O276" s="190"/>
      <c r="P276" s="294">
        <v>80.0</v>
      </c>
      <c r="Q276" s="190"/>
      <c r="R276" s="294">
        <v>0.0</v>
      </c>
      <c r="S276" s="190"/>
      <c r="T276" s="294">
        <v>0.0</v>
      </c>
      <c r="U276" s="190"/>
      <c r="V276" s="294">
        <v>0.0</v>
      </c>
      <c r="W276" s="190"/>
      <c r="X276" s="294">
        <v>0.0</v>
      </c>
      <c r="Y276" s="190"/>
      <c r="Z276" s="294">
        <v>0.0</v>
      </c>
      <c r="AA276" s="190"/>
      <c r="AB276" s="294">
        <v>0.0</v>
      </c>
      <c r="AC276" s="190"/>
      <c r="AD276" s="294">
        <v>0.0</v>
      </c>
      <c r="AE276" s="190"/>
      <c r="AF276" s="294">
        <v>0.0</v>
      </c>
      <c r="AG276" s="190"/>
      <c r="AH276" s="294">
        <v>0.0</v>
      </c>
      <c r="AI276" s="190"/>
      <c r="AJ276" s="294">
        <v>0.0</v>
      </c>
      <c r="AK276" s="190"/>
      <c r="AL276" s="294">
        <v>0.0</v>
      </c>
      <c r="AM276" s="190"/>
      <c r="AN276" s="294">
        <v>0.0</v>
      </c>
      <c r="AO276" s="190"/>
      <c r="AP276" s="295">
        <f t="shared" si="12"/>
        <v>2916.933333</v>
      </c>
      <c r="AQ276" s="296">
        <f t="shared" si="10"/>
        <v>125</v>
      </c>
      <c r="AR276" s="296">
        <f t="shared" si="3"/>
        <v>0</v>
      </c>
      <c r="AS276" s="296">
        <f t="shared" si="4"/>
        <v>125</v>
      </c>
      <c r="AT276" s="297">
        <f t="shared" si="5"/>
        <v>23.33546667</v>
      </c>
    </row>
    <row r="277" ht="15.75" customHeight="1">
      <c r="A277" s="327" t="s">
        <v>23</v>
      </c>
      <c r="B277" s="144">
        <f t="shared" si="6"/>
        <v>45202</v>
      </c>
      <c r="C277" s="145">
        <v>10.0</v>
      </c>
      <c r="D277" s="145" t="s">
        <v>37</v>
      </c>
      <c r="E277" s="150"/>
      <c r="F277" s="148"/>
      <c r="G277" s="3"/>
      <c r="H277" s="148"/>
      <c r="I277" s="3"/>
      <c r="J277" s="148"/>
      <c r="K277" s="3"/>
      <c r="L277" s="148"/>
      <c r="M277" s="3"/>
      <c r="N277" s="147">
        <v>80.0</v>
      </c>
      <c r="O277" s="3"/>
      <c r="P277" s="147">
        <v>80.0</v>
      </c>
      <c r="Q277" s="3"/>
      <c r="R277" s="147">
        <v>0.0</v>
      </c>
      <c r="S277" s="3"/>
      <c r="T277" s="147">
        <v>0.0</v>
      </c>
      <c r="U277" s="3"/>
      <c r="V277" s="147">
        <v>0.0</v>
      </c>
      <c r="W277" s="3"/>
      <c r="X277" s="147">
        <v>0.0</v>
      </c>
      <c r="Y277" s="3"/>
      <c r="Z277" s="147">
        <v>1.0</v>
      </c>
      <c r="AA277" s="3"/>
      <c r="AB277" s="147">
        <v>0.0</v>
      </c>
      <c r="AC277" s="3"/>
      <c r="AD277" s="147">
        <v>0.0</v>
      </c>
      <c r="AE277" s="3"/>
      <c r="AF277" s="147">
        <v>0.0</v>
      </c>
      <c r="AG277" s="3"/>
      <c r="AH277" s="147">
        <v>0.0</v>
      </c>
      <c r="AI277" s="3"/>
      <c r="AJ277" s="147">
        <v>0.0</v>
      </c>
      <c r="AK277" s="3"/>
      <c r="AL277" s="147">
        <v>0.0</v>
      </c>
      <c r="AM277" s="3"/>
      <c r="AN277" s="147">
        <v>0.0</v>
      </c>
      <c r="AO277" s="3"/>
      <c r="AP277" s="149">
        <f t="shared" si="12"/>
        <v>3710.933333</v>
      </c>
      <c r="AQ277" s="150">
        <f t="shared" si="10"/>
        <v>160</v>
      </c>
      <c r="AR277" s="150">
        <f t="shared" si="3"/>
        <v>0</v>
      </c>
      <c r="AS277" s="150">
        <f t="shared" si="4"/>
        <v>161</v>
      </c>
      <c r="AT277" s="299">
        <f t="shared" si="5"/>
        <v>23.04927536</v>
      </c>
    </row>
    <row r="278" ht="15.75" customHeight="1">
      <c r="A278" s="327" t="s">
        <v>24</v>
      </c>
      <c r="B278" s="144">
        <f t="shared" si="6"/>
        <v>45203</v>
      </c>
      <c r="C278" s="145">
        <v>10.0</v>
      </c>
      <c r="D278" s="145" t="s">
        <v>37</v>
      </c>
      <c r="E278" s="150"/>
      <c r="F278" s="148"/>
      <c r="G278" s="3"/>
      <c r="H278" s="148"/>
      <c r="I278" s="3"/>
      <c r="J278" s="148"/>
      <c r="K278" s="3"/>
      <c r="L278" s="148"/>
      <c r="M278" s="3"/>
      <c r="N278" s="147">
        <v>80.0</v>
      </c>
      <c r="O278" s="3"/>
      <c r="P278" s="147">
        <v>80.0</v>
      </c>
      <c r="Q278" s="3"/>
      <c r="R278" s="147">
        <v>0.0</v>
      </c>
      <c r="S278" s="3"/>
      <c r="T278" s="147">
        <v>0.0</v>
      </c>
      <c r="U278" s="3"/>
      <c r="V278" s="147">
        <v>0.0</v>
      </c>
      <c r="W278" s="3"/>
      <c r="X278" s="147">
        <v>0.0</v>
      </c>
      <c r="Y278" s="3"/>
      <c r="Z278" s="147">
        <v>0.0</v>
      </c>
      <c r="AA278" s="3"/>
      <c r="AB278" s="147">
        <v>1.0</v>
      </c>
      <c r="AC278" s="3"/>
      <c r="AD278" s="147">
        <v>0.0</v>
      </c>
      <c r="AE278" s="3"/>
      <c r="AF278" s="147">
        <v>0.0</v>
      </c>
      <c r="AG278" s="3"/>
      <c r="AH278" s="147">
        <v>0.0</v>
      </c>
      <c r="AI278" s="3"/>
      <c r="AJ278" s="147">
        <v>0.0</v>
      </c>
      <c r="AK278" s="3"/>
      <c r="AL278" s="147">
        <v>0.0</v>
      </c>
      <c r="AM278" s="3"/>
      <c r="AN278" s="147">
        <v>0.0</v>
      </c>
      <c r="AO278" s="3"/>
      <c r="AP278" s="149">
        <f t="shared" si="12"/>
        <v>3755.933333</v>
      </c>
      <c r="AQ278" s="150">
        <f t="shared" si="10"/>
        <v>160</v>
      </c>
      <c r="AR278" s="150">
        <f t="shared" si="3"/>
        <v>0</v>
      </c>
      <c r="AS278" s="150">
        <f t="shared" si="4"/>
        <v>161</v>
      </c>
      <c r="AT278" s="299">
        <f t="shared" si="5"/>
        <v>23.32877847</v>
      </c>
    </row>
    <row r="279" ht="15.75" customHeight="1">
      <c r="A279" s="327" t="s">
        <v>25</v>
      </c>
      <c r="B279" s="144">
        <f t="shared" si="6"/>
        <v>45204</v>
      </c>
      <c r="C279" s="145">
        <v>10.0</v>
      </c>
      <c r="D279" s="145" t="s">
        <v>37</v>
      </c>
      <c r="E279" s="150"/>
      <c r="F279" s="148"/>
      <c r="G279" s="3"/>
      <c r="H279" s="148"/>
      <c r="I279" s="3"/>
      <c r="J279" s="148"/>
      <c r="K279" s="3"/>
      <c r="L279" s="148"/>
      <c r="M279" s="3"/>
      <c r="N279" s="147">
        <v>80.0</v>
      </c>
      <c r="O279" s="3"/>
      <c r="P279" s="147">
        <v>80.0</v>
      </c>
      <c r="Q279" s="3"/>
      <c r="R279" s="147">
        <v>0.0</v>
      </c>
      <c r="S279" s="3"/>
      <c r="T279" s="147">
        <v>0.0</v>
      </c>
      <c r="U279" s="3"/>
      <c r="V279" s="147">
        <v>0.0</v>
      </c>
      <c r="W279" s="3"/>
      <c r="X279" s="147">
        <v>0.0</v>
      </c>
      <c r="Y279" s="3"/>
      <c r="Z279" s="147">
        <v>0.0</v>
      </c>
      <c r="AA279" s="3"/>
      <c r="AB279" s="147">
        <v>0.0</v>
      </c>
      <c r="AC279" s="3"/>
      <c r="AD279" s="147">
        <v>0.0</v>
      </c>
      <c r="AE279" s="3"/>
      <c r="AF279" s="147">
        <v>0.0</v>
      </c>
      <c r="AG279" s="3"/>
      <c r="AH279" s="147">
        <v>0.0</v>
      </c>
      <c r="AI279" s="3"/>
      <c r="AJ279" s="147">
        <v>0.0</v>
      </c>
      <c r="AK279" s="3"/>
      <c r="AL279" s="147">
        <v>0.0</v>
      </c>
      <c r="AM279" s="3"/>
      <c r="AN279" s="147">
        <v>0.0</v>
      </c>
      <c r="AO279" s="3"/>
      <c r="AP279" s="149">
        <f t="shared" si="12"/>
        <v>3630.933333</v>
      </c>
      <c r="AQ279" s="150">
        <f t="shared" si="10"/>
        <v>160</v>
      </c>
      <c r="AR279" s="150">
        <f t="shared" si="3"/>
        <v>0</v>
      </c>
      <c r="AS279" s="150">
        <f t="shared" si="4"/>
        <v>160</v>
      </c>
      <c r="AT279" s="299">
        <f t="shared" si="5"/>
        <v>22.69333333</v>
      </c>
    </row>
    <row r="280" ht="15.75" customHeight="1">
      <c r="A280" s="327" t="s">
        <v>26</v>
      </c>
      <c r="B280" s="144">
        <f t="shared" si="6"/>
        <v>45205</v>
      </c>
      <c r="C280" s="145">
        <v>10.0</v>
      </c>
      <c r="D280" s="145" t="s">
        <v>37</v>
      </c>
      <c r="E280" s="150"/>
      <c r="F280" s="148"/>
      <c r="G280" s="3"/>
      <c r="H280" s="148"/>
      <c r="I280" s="3"/>
      <c r="J280" s="148"/>
      <c r="K280" s="3"/>
      <c r="L280" s="148"/>
      <c r="M280" s="3"/>
      <c r="N280" s="147">
        <v>40.0</v>
      </c>
      <c r="O280" s="3"/>
      <c r="P280" s="147">
        <v>40.0</v>
      </c>
      <c r="Q280" s="3"/>
      <c r="R280" s="147">
        <v>0.0</v>
      </c>
      <c r="S280" s="3"/>
      <c r="T280" s="147">
        <v>0.0</v>
      </c>
      <c r="U280" s="3"/>
      <c r="V280" s="147">
        <v>0.0</v>
      </c>
      <c r="W280" s="3"/>
      <c r="X280" s="147">
        <v>0.0</v>
      </c>
      <c r="Y280" s="3"/>
      <c r="Z280" s="147">
        <v>0.0</v>
      </c>
      <c r="AA280" s="3"/>
      <c r="AB280" s="147">
        <v>0.0</v>
      </c>
      <c r="AC280" s="3"/>
      <c r="AD280" s="147">
        <v>0.0</v>
      </c>
      <c r="AE280" s="3"/>
      <c r="AF280" s="147">
        <v>0.0</v>
      </c>
      <c r="AG280" s="3"/>
      <c r="AH280" s="147">
        <v>0.0</v>
      </c>
      <c r="AI280" s="3"/>
      <c r="AJ280" s="147">
        <v>0.0</v>
      </c>
      <c r="AK280" s="3"/>
      <c r="AL280" s="147">
        <v>0.0</v>
      </c>
      <c r="AM280" s="3"/>
      <c r="AN280" s="147">
        <v>0.0</v>
      </c>
      <c r="AO280" s="3"/>
      <c r="AP280" s="149">
        <f t="shared" si="12"/>
        <v>1815.466667</v>
      </c>
      <c r="AQ280" s="150">
        <f t="shared" si="10"/>
        <v>80</v>
      </c>
      <c r="AR280" s="150">
        <f t="shared" si="3"/>
        <v>0</v>
      </c>
      <c r="AS280" s="150">
        <f t="shared" si="4"/>
        <v>80</v>
      </c>
      <c r="AT280" s="299">
        <f t="shared" si="5"/>
        <v>22.69333333</v>
      </c>
    </row>
    <row r="281" ht="15.75" customHeight="1">
      <c r="A281" s="327" t="s">
        <v>27</v>
      </c>
      <c r="B281" s="144">
        <f t="shared" si="6"/>
        <v>45206</v>
      </c>
      <c r="C281" s="145">
        <v>10.0</v>
      </c>
      <c r="D281" s="145" t="s">
        <v>37</v>
      </c>
      <c r="E281" s="150"/>
      <c r="F281" s="148"/>
      <c r="G281" s="3"/>
      <c r="H281" s="148"/>
      <c r="I281" s="3"/>
      <c r="J281" s="148"/>
      <c r="K281" s="3"/>
      <c r="L281" s="148"/>
      <c r="M281" s="3"/>
      <c r="N281" s="147">
        <v>0.0</v>
      </c>
      <c r="O281" s="3"/>
      <c r="P281" s="147">
        <v>0.0</v>
      </c>
      <c r="Q281" s="3"/>
      <c r="R281" s="147">
        <v>0.0</v>
      </c>
      <c r="S281" s="3"/>
      <c r="T281" s="147">
        <v>0.0</v>
      </c>
      <c r="U281" s="3"/>
      <c r="V281" s="147">
        <v>0.0</v>
      </c>
      <c r="W281" s="3"/>
      <c r="X281" s="147">
        <v>0.0</v>
      </c>
      <c r="Y281" s="3"/>
      <c r="Z281" s="147">
        <v>0.0</v>
      </c>
      <c r="AA281" s="3"/>
      <c r="AB281" s="147">
        <v>0.0</v>
      </c>
      <c r="AC281" s="3"/>
      <c r="AD281" s="147">
        <v>0.0</v>
      </c>
      <c r="AE281" s="3"/>
      <c r="AF281" s="147">
        <v>0.0</v>
      </c>
      <c r="AG281" s="3"/>
      <c r="AH281" s="147">
        <v>0.0</v>
      </c>
      <c r="AI281" s="3"/>
      <c r="AJ281" s="147">
        <v>0.0</v>
      </c>
      <c r="AK281" s="3"/>
      <c r="AL281" s="147">
        <v>0.0</v>
      </c>
      <c r="AM281" s="3"/>
      <c r="AN281" s="147">
        <v>0.0</v>
      </c>
      <c r="AO281" s="3"/>
      <c r="AP281" s="149">
        <f t="shared" si="12"/>
        <v>0</v>
      </c>
      <c r="AQ281" s="150">
        <f t="shared" si="10"/>
        <v>0</v>
      </c>
      <c r="AR281" s="150">
        <f t="shared" si="3"/>
        <v>0</v>
      </c>
      <c r="AS281" s="150">
        <f t="shared" si="4"/>
        <v>0</v>
      </c>
      <c r="AT281" s="299" t="str">
        <f t="shared" si="5"/>
        <v/>
      </c>
    </row>
    <row r="282" ht="15.75" customHeight="1">
      <c r="A282" s="329" t="s">
        <v>28</v>
      </c>
      <c r="B282" s="330">
        <f t="shared" si="6"/>
        <v>45207</v>
      </c>
      <c r="C282" s="331">
        <v>10.0</v>
      </c>
      <c r="D282" s="331" t="s">
        <v>37</v>
      </c>
      <c r="E282" s="335"/>
      <c r="F282" s="377"/>
      <c r="G282" s="207"/>
      <c r="H282" s="377"/>
      <c r="I282" s="207"/>
      <c r="J282" s="377"/>
      <c r="K282" s="207"/>
      <c r="L282" s="377"/>
      <c r="M282" s="207"/>
      <c r="N282" s="333">
        <v>0.0</v>
      </c>
      <c r="O282" s="207"/>
      <c r="P282" s="333">
        <v>0.0</v>
      </c>
      <c r="Q282" s="207"/>
      <c r="R282" s="333">
        <v>0.0</v>
      </c>
      <c r="S282" s="207"/>
      <c r="T282" s="333">
        <v>0.0</v>
      </c>
      <c r="U282" s="207"/>
      <c r="V282" s="333">
        <v>0.0</v>
      </c>
      <c r="W282" s="207"/>
      <c r="X282" s="333">
        <v>0.0</v>
      </c>
      <c r="Y282" s="207"/>
      <c r="Z282" s="333">
        <v>0.0</v>
      </c>
      <c r="AA282" s="207"/>
      <c r="AB282" s="333">
        <v>0.0</v>
      </c>
      <c r="AC282" s="207"/>
      <c r="AD282" s="333">
        <v>0.0</v>
      </c>
      <c r="AE282" s="207"/>
      <c r="AF282" s="333">
        <v>0.0</v>
      </c>
      <c r="AG282" s="207"/>
      <c r="AH282" s="333">
        <v>0.0</v>
      </c>
      <c r="AI282" s="207"/>
      <c r="AJ282" s="333">
        <v>0.0</v>
      </c>
      <c r="AK282" s="207"/>
      <c r="AL282" s="333">
        <v>0.0</v>
      </c>
      <c r="AM282" s="207"/>
      <c r="AN282" s="333">
        <v>0.0</v>
      </c>
      <c r="AO282" s="207"/>
      <c r="AP282" s="334">
        <f t="shared" si="12"/>
        <v>0</v>
      </c>
      <c r="AQ282" s="335">
        <f t="shared" si="10"/>
        <v>0</v>
      </c>
      <c r="AR282" s="335">
        <f t="shared" si="3"/>
        <v>0</v>
      </c>
      <c r="AS282" s="335">
        <f t="shared" si="4"/>
        <v>0</v>
      </c>
      <c r="AT282" s="336" t="str">
        <f t="shared" si="5"/>
        <v/>
      </c>
    </row>
    <row r="283" ht="15.75" customHeight="1">
      <c r="A283" s="378" t="s">
        <v>21</v>
      </c>
      <c r="B283" s="118">
        <f t="shared" si="6"/>
        <v>45208</v>
      </c>
      <c r="C283" s="119">
        <v>11.0</v>
      </c>
      <c r="D283" s="119" t="s">
        <v>22</v>
      </c>
      <c r="E283" s="277"/>
      <c r="F283" s="379">
        <v>0.0</v>
      </c>
      <c r="G283" s="58"/>
      <c r="H283" s="379">
        <v>0.0</v>
      </c>
      <c r="I283" s="58"/>
      <c r="J283" s="379">
        <v>0.0</v>
      </c>
      <c r="K283" s="58"/>
      <c r="L283" s="379">
        <v>0.0</v>
      </c>
      <c r="M283" s="58"/>
      <c r="N283" s="379">
        <v>30.0</v>
      </c>
      <c r="O283" s="58"/>
      <c r="P283" s="379">
        <v>30.0</v>
      </c>
      <c r="Q283" s="58"/>
      <c r="R283" s="379">
        <v>0.0</v>
      </c>
      <c r="S283" s="58"/>
      <c r="T283" s="379">
        <v>0.0</v>
      </c>
      <c r="U283" s="58"/>
      <c r="V283" s="379">
        <v>0.0</v>
      </c>
      <c r="W283" s="58"/>
      <c r="X283" s="379">
        <v>0.0</v>
      </c>
      <c r="Y283" s="58"/>
      <c r="Z283" s="379">
        <v>0.0</v>
      </c>
      <c r="AA283" s="58"/>
      <c r="AB283" s="379">
        <v>0.0</v>
      </c>
      <c r="AC283" s="58"/>
      <c r="AD283" s="379">
        <v>0.0</v>
      </c>
      <c r="AE283" s="58"/>
      <c r="AF283" s="379">
        <v>0.0</v>
      </c>
      <c r="AG283" s="58"/>
      <c r="AH283" s="379">
        <v>0.0</v>
      </c>
      <c r="AI283" s="58"/>
      <c r="AJ283" s="379">
        <v>0.0</v>
      </c>
      <c r="AK283" s="58"/>
      <c r="AL283" s="379">
        <v>0.0</v>
      </c>
      <c r="AM283" s="58"/>
      <c r="AN283" s="379">
        <v>0.0</v>
      </c>
      <c r="AO283" s="58"/>
      <c r="AP283" s="380">
        <f t="shared" si="12"/>
        <v>1361.6</v>
      </c>
      <c r="AQ283" s="277">
        <f t="shared" si="10"/>
        <v>60</v>
      </c>
      <c r="AR283" s="277">
        <f t="shared" si="3"/>
        <v>0</v>
      </c>
      <c r="AS283" s="277">
        <f t="shared" si="4"/>
        <v>60</v>
      </c>
      <c r="AT283" s="380">
        <f t="shared" si="5"/>
        <v>22.69333333</v>
      </c>
    </row>
    <row r="284" ht="15.75" customHeight="1">
      <c r="A284" s="378" t="s">
        <v>23</v>
      </c>
      <c r="B284" s="118">
        <f t="shared" si="6"/>
        <v>45209</v>
      </c>
      <c r="C284" s="119">
        <v>11.0</v>
      </c>
      <c r="D284" s="119" t="s">
        <v>22</v>
      </c>
      <c r="E284" s="124"/>
      <c r="F284" s="379">
        <v>0.0</v>
      </c>
      <c r="G284" s="58"/>
      <c r="H284" s="379">
        <v>0.0</v>
      </c>
      <c r="I284" s="58"/>
      <c r="J284" s="379">
        <v>0.0</v>
      </c>
      <c r="K284" s="58"/>
      <c r="L284" s="379">
        <v>0.0</v>
      </c>
      <c r="M284" s="58"/>
      <c r="N284" s="121">
        <v>30.0</v>
      </c>
      <c r="O284" s="3"/>
      <c r="P284" s="121">
        <v>30.0</v>
      </c>
      <c r="Q284" s="3"/>
      <c r="R284" s="379">
        <v>0.0</v>
      </c>
      <c r="S284" s="58"/>
      <c r="T284" s="379">
        <v>0.0</v>
      </c>
      <c r="U284" s="58"/>
      <c r="V284" s="379">
        <v>0.0</v>
      </c>
      <c r="W284" s="58"/>
      <c r="X284" s="379">
        <v>0.0</v>
      </c>
      <c r="Y284" s="58"/>
      <c r="Z284" s="379">
        <v>0.0</v>
      </c>
      <c r="AA284" s="58"/>
      <c r="AB284" s="379">
        <v>0.0</v>
      </c>
      <c r="AC284" s="58"/>
      <c r="AD284" s="379">
        <v>0.0</v>
      </c>
      <c r="AE284" s="58"/>
      <c r="AF284" s="379">
        <v>0.0</v>
      </c>
      <c r="AG284" s="58"/>
      <c r="AH284" s="379">
        <v>0.0</v>
      </c>
      <c r="AI284" s="58"/>
      <c r="AJ284" s="379">
        <v>0.0</v>
      </c>
      <c r="AK284" s="58"/>
      <c r="AL284" s="379">
        <v>0.0</v>
      </c>
      <c r="AM284" s="58"/>
      <c r="AN284" s="379">
        <v>0.0</v>
      </c>
      <c r="AO284" s="58"/>
      <c r="AP284" s="123">
        <f t="shared" si="12"/>
        <v>1361.6</v>
      </c>
      <c r="AQ284" s="124">
        <f t="shared" si="10"/>
        <v>60</v>
      </c>
      <c r="AR284" s="124">
        <f t="shared" si="3"/>
        <v>0</v>
      </c>
      <c r="AS284" s="124">
        <f t="shared" si="4"/>
        <v>60</v>
      </c>
      <c r="AT284" s="123">
        <f t="shared" si="5"/>
        <v>22.69333333</v>
      </c>
    </row>
    <row r="285" ht="15.75" customHeight="1">
      <c r="A285" s="378" t="s">
        <v>24</v>
      </c>
      <c r="B285" s="118">
        <f t="shared" si="6"/>
        <v>45210</v>
      </c>
      <c r="C285" s="119">
        <v>11.0</v>
      </c>
      <c r="D285" s="119" t="s">
        <v>22</v>
      </c>
      <c r="E285" s="124"/>
      <c r="F285" s="379">
        <v>0.0</v>
      </c>
      <c r="G285" s="58"/>
      <c r="H285" s="379">
        <v>0.0</v>
      </c>
      <c r="I285" s="58"/>
      <c r="J285" s="379">
        <v>0.0</v>
      </c>
      <c r="K285" s="58"/>
      <c r="L285" s="379">
        <v>0.0</v>
      </c>
      <c r="M285" s="58"/>
      <c r="N285" s="121">
        <v>30.0</v>
      </c>
      <c r="O285" s="3"/>
      <c r="P285" s="121">
        <v>30.0</v>
      </c>
      <c r="Q285" s="3"/>
      <c r="R285" s="379">
        <v>0.0</v>
      </c>
      <c r="S285" s="58"/>
      <c r="T285" s="379">
        <v>0.0</v>
      </c>
      <c r="U285" s="58"/>
      <c r="V285" s="379">
        <v>0.0</v>
      </c>
      <c r="W285" s="58"/>
      <c r="X285" s="379">
        <v>0.0</v>
      </c>
      <c r="Y285" s="58"/>
      <c r="Z285" s="379">
        <v>0.0</v>
      </c>
      <c r="AA285" s="58"/>
      <c r="AB285" s="379">
        <v>0.0</v>
      </c>
      <c r="AC285" s="58"/>
      <c r="AD285" s="379">
        <v>0.0</v>
      </c>
      <c r="AE285" s="58"/>
      <c r="AF285" s="379">
        <v>0.0</v>
      </c>
      <c r="AG285" s="58"/>
      <c r="AH285" s="379">
        <v>0.0</v>
      </c>
      <c r="AI285" s="58"/>
      <c r="AJ285" s="379">
        <v>0.0</v>
      </c>
      <c r="AK285" s="58"/>
      <c r="AL285" s="379">
        <v>0.0</v>
      </c>
      <c r="AM285" s="58"/>
      <c r="AN285" s="379">
        <v>0.0</v>
      </c>
      <c r="AO285" s="58"/>
      <c r="AP285" s="123">
        <f t="shared" si="12"/>
        <v>1361.6</v>
      </c>
      <c r="AQ285" s="124">
        <f t="shared" si="10"/>
        <v>60</v>
      </c>
      <c r="AR285" s="124">
        <f t="shared" si="3"/>
        <v>0</v>
      </c>
      <c r="AS285" s="124">
        <f t="shared" si="4"/>
        <v>60</v>
      </c>
      <c r="AT285" s="123">
        <f t="shared" si="5"/>
        <v>22.69333333</v>
      </c>
    </row>
    <row r="286" ht="15.75" customHeight="1">
      <c r="A286" s="378" t="s">
        <v>25</v>
      </c>
      <c r="B286" s="118">
        <f t="shared" si="6"/>
        <v>45211</v>
      </c>
      <c r="C286" s="119">
        <v>11.0</v>
      </c>
      <c r="D286" s="119" t="s">
        <v>22</v>
      </c>
      <c r="E286" s="124"/>
      <c r="F286" s="379">
        <v>0.0</v>
      </c>
      <c r="G286" s="58"/>
      <c r="H286" s="379">
        <v>0.0</v>
      </c>
      <c r="I286" s="58"/>
      <c r="J286" s="379">
        <v>0.0</v>
      </c>
      <c r="K286" s="58"/>
      <c r="L286" s="379">
        <v>0.0</v>
      </c>
      <c r="M286" s="58"/>
      <c r="N286" s="121">
        <v>30.0</v>
      </c>
      <c r="O286" s="3"/>
      <c r="P286" s="121">
        <v>30.0</v>
      </c>
      <c r="Q286" s="3"/>
      <c r="R286" s="379">
        <v>0.0</v>
      </c>
      <c r="S286" s="58"/>
      <c r="T286" s="379">
        <v>0.0</v>
      </c>
      <c r="U286" s="58"/>
      <c r="V286" s="379">
        <v>0.0</v>
      </c>
      <c r="W286" s="58"/>
      <c r="X286" s="379">
        <v>0.0</v>
      </c>
      <c r="Y286" s="58"/>
      <c r="Z286" s="379">
        <v>0.0</v>
      </c>
      <c r="AA286" s="58"/>
      <c r="AB286" s="379">
        <v>0.0</v>
      </c>
      <c r="AC286" s="58"/>
      <c r="AD286" s="379">
        <v>0.0</v>
      </c>
      <c r="AE286" s="58"/>
      <c r="AF286" s="379">
        <v>0.0</v>
      </c>
      <c r="AG286" s="58"/>
      <c r="AH286" s="379">
        <v>0.0</v>
      </c>
      <c r="AI286" s="58"/>
      <c r="AJ286" s="379">
        <v>0.0</v>
      </c>
      <c r="AK286" s="58"/>
      <c r="AL286" s="379">
        <v>0.0</v>
      </c>
      <c r="AM286" s="58"/>
      <c r="AN286" s="379">
        <v>0.0</v>
      </c>
      <c r="AO286" s="58"/>
      <c r="AP286" s="123">
        <f t="shared" si="12"/>
        <v>1361.6</v>
      </c>
      <c r="AQ286" s="124">
        <f t="shared" si="10"/>
        <v>60</v>
      </c>
      <c r="AR286" s="124">
        <f t="shared" si="3"/>
        <v>0</v>
      </c>
      <c r="AS286" s="124">
        <f t="shared" si="4"/>
        <v>60</v>
      </c>
      <c r="AT286" s="123">
        <f t="shared" si="5"/>
        <v>22.69333333</v>
      </c>
    </row>
    <row r="287" ht="15.75" customHeight="1">
      <c r="A287" s="378" t="s">
        <v>26</v>
      </c>
      <c r="B287" s="118">
        <f t="shared" si="6"/>
        <v>45212</v>
      </c>
      <c r="C287" s="119">
        <v>11.0</v>
      </c>
      <c r="D287" s="119" t="s">
        <v>22</v>
      </c>
      <c r="E287" s="124"/>
      <c r="F287" s="379">
        <v>0.0</v>
      </c>
      <c r="G287" s="58"/>
      <c r="H287" s="379">
        <v>0.0</v>
      </c>
      <c r="I287" s="58"/>
      <c r="J287" s="379">
        <v>0.0</v>
      </c>
      <c r="K287" s="58"/>
      <c r="L287" s="379">
        <v>0.0</v>
      </c>
      <c r="M287" s="58"/>
      <c r="N287" s="121">
        <v>30.0</v>
      </c>
      <c r="O287" s="3"/>
      <c r="P287" s="121">
        <v>30.0</v>
      </c>
      <c r="Q287" s="3"/>
      <c r="R287" s="379">
        <v>0.0</v>
      </c>
      <c r="S287" s="58"/>
      <c r="T287" s="379">
        <v>0.0</v>
      </c>
      <c r="U287" s="58"/>
      <c r="V287" s="379">
        <v>0.0</v>
      </c>
      <c r="W287" s="58"/>
      <c r="X287" s="379">
        <v>0.0</v>
      </c>
      <c r="Y287" s="58"/>
      <c r="Z287" s="379">
        <v>0.0</v>
      </c>
      <c r="AA287" s="58"/>
      <c r="AB287" s="379">
        <v>0.0</v>
      </c>
      <c r="AC287" s="58"/>
      <c r="AD287" s="379">
        <v>0.0</v>
      </c>
      <c r="AE287" s="58"/>
      <c r="AF287" s="379">
        <v>0.0</v>
      </c>
      <c r="AG287" s="58"/>
      <c r="AH287" s="379">
        <v>0.0</v>
      </c>
      <c r="AI287" s="58"/>
      <c r="AJ287" s="379">
        <v>0.0</v>
      </c>
      <c r="AK287" s="58"/>
      <c r="AL287" s="379">
        <v>0.0</v>
      </c>
      <c r="AM287" s="58"/>
      <c r="AN287" s="379">
        <v>0.0</v>
      </c>
      <c r="AO287" s="58"/>
      <c r="AP287" s="123">
        <f t="shared" si="12"/>
        <v>1361.6</v>
      </c>
      <c r="AQ287" s="124">
        <f t="shared" si="10"/>
        <v>60</v>
      </c>
      <c r="AR287" s="124">
        <f t="shared" si="3"/>
        <v>0</v>
      </c>
      <c r="AS287" s="124">
        <f t="shared" si="4"/>
        <v>60</v>
      </c>
      <c r="AT287" s="123">
        <f t="shared" si="5"/>
        <v>22.69333333</v>
      </c>
    </row>
    <row r="288" ht="15.75" customHeight="1">
      <c r="A288" s="378" t="s">
        <v>27</v>
      </c>
      <c r="B288" s="118">
        <f t="shared" si="6"/>
        <v>45213</v>
      </c>
      <c r="C288" s="119">
        <v>11.0</v>
      </c>
      <c r="D288" s="119" t="s">
        <v>22</v>
      </c>
      <c r="E288" s="124"/>
      <c r="F288" s="379">
        <v>0.0</v>
      </c>
      <c r="G288" s="58"/>
      <c r="H288" s="379">
        <v>0.0</v>
      </c>
      <c r="I288" s="58"/>
      <c r="J288" s="379">
        <v>0.0</v>
      </c>
      <c r="K288" s="58"/>
      <c r="L288" s="379">
        <v>0.0</v>
      </c>
      <c r="M288" s="58"/>
      <c r="N288" s="121">
        <v>0.0</v>
      </c>
      <c r="O288" s="3"/>
      <c r="P288" s="121">
        <v>0.0</v>
      </c>
      <c r="Q288" s="3"/>
      <c r="R288" s="379">
        <v>0.0</v>
      </c>
      <c r="S288" s="58"/>
      <c r="T288" s="379">
        <v>0.0</v>
      </c>
      <c r="U288" s="58"/>
      <c r="V288" s="379">
        <v>0.0</v>
      </c>
      <c r="W288" s="58"/>
      <c r="X288" s="379">
        <v>0.0</v>
      </c>
      <c r="Y288" s="58"/>
      <c r="Z288" s="379">
        <v>0.0</v>
      </c>
      <c r="AA288" s="58"/>
      <c r="AB288" s="379">
        <v>0.0</v>
      </c>
      <c r="AC288" s="58"/>
      <c r="AD288" s="379">
        <v>0.0</v>
      </c>
      <c r="AE288" s="58"/>
      <c r="AF288" s="379">
        <v>0.0</v>
      </c>
      <c r="AG288" s="58"/>
      <c r="AH288" s="379">
        <v>0.0</v>
      </c>
      <c r="AI288" s="58"/>
      <c r="AJ288" s="379">
        <v>0.0</v>
      </c>
      <c r="AK288" s="58"/>
      <c r="AL288" s="379">
        <v>0.0</v>
      </c>
      <c r="AM288" s="58"/>
      <c r="AN288" s="379">
        <v>0.0</v>
      </c>
      <c r="AO288" s="58"/>
      <c r="AP288" s="123">
        <f t="shared" si="12"/>
        <v>0</v>
      </c>
      <c r="AQ288" s="124">
        <f t="shared" si="10"/>
        <v>0</v>
      </c>
      <c r="AR288" s="124">
        <f t="shared" si="3"/>
        <v>0</v>
      </c>
      <c r="AS288" s="124">
        <f t="shared" si="4"/>
        <v>0</v>
      </c>
      <c r="AT288" s="123" t="str">
        <f t="shared" si="5"/>
        <v/>
      </c>
    </row>
    <row r="289" ht="15.75" customHeight="1">
      <c r="A289" s="381" t="s">
        <v>28</v>
      </c>
      <c r="B289" s="382">
        <f t="shared" si="6"/>
        <v>45214</v>
      </c>
      <c r="C289" s="277">
        <v>11.0</v>
      </c>
      <c r="D289" s="277" t="s">
        <v>22</v>
      </c>
      <c r="E289" s="124"/>
      <c r="F289" s="379">
        <v>0.0</v>
      </c>
      <c r="G289" s="58"/>
      <c r="H289" s="379">
        <v>0.0</v>
      </c>
      <c r="I289" s="58"/>
      <c r="J289" s="379">
        <v>0.0</v>
      </c>
      <c r="K289" s="58"/>
      <c r="L289" s="379">
        <v>0.0</v>
      </c>
      <c r="M289" s="58"/>
      <c r="N289" s="121">
        <v>0.0</v>
      </c>
      <c r="O289" s="3"/>
      <c r="P289" s="121">
        <v>0.0</v>
      </c>
      <c r="Q289" s="3"/>
      <c r="R289" s="379">
        <v>0.0</v>
      </c>
      <c r="S289" s="58"/>
      <c r="T289" s="379">
        <v>0.0</v>
      </c>
      <c r="U289" s="58"/>
      <c r="V289" s="379">
        <v>0.0</v>
      </c>
      <c r="W289" s="58"/>
      <c r="X289" s="379">
        <v>0.0</v>
      </c>
      <c r="Y289" s="58"/>
      <c r="Z289" s="379">
        <v>0.0</v>
      </c>
      <c r="AA289" s="58"/>
      <c r="AB289" s="379">
        <v>0.0</v>
      </c>
      <c r="AC289" s="58"/>
      <c r="AD289" s="379">
        <v>0.0</v>
      </c>
      <c r="AE289" s="58"/>
      <c r="AF289" s="379">
        <v>0.0</v>
      </c>
      <c r="AG289" s="58"/>
      <c r="AH289" s="379">
        <v>0.0</v>
      </c>
      <c r="AI289" s="58"/>
      <c r="AJ289" s="379">
        <v>0.0</v>
      </c>
      <c r="AK289" s="58"/>
      <c r="AL289" s="379">
        <v>0.0</v>
      </c>
      <c r="AM289" s="58"/>
      <c r="AN289" s="379">
        <v>0.0</v>
      </c>
      <c r="AO289" s="58"/>
      <c r="AP289" s="123">
        <f t="shared" si="12"/>
        <v>0</v>
      </c>
      <c r="AQ289" s="124">
        <f t="shared" si="10"/>
        <v>0</v>
      </c>
      <c r="AR289" s="124">
        <f t="shared" si="3"/>
        <v>0</v>
      </c>
      <c r="AS289" s="124">
        <f t="shared" si="4"/>
        <v>0</v>
      </c>
      <c r="AT289" s="123" t="str">
        <f t="shared" si="5"/>
        <v/>
      </c>
    </row>
    <row r="290" ht="15.75" customHeight="1">
      <c r="A290" s="352" t="s">
        <v>21</v>
      </c>
      <c r="B290" s="353">
        <f t="shared" si="6"/>
        <v>45215</v>
      </c>
      <c r="C290" s="157">
        <v>11.0</v>
      </c>
      <c r="D290" s="157" t="s">
        <v>34</v>
      </c>
      <c r="E290" s="351"/>
      <c r="F290" s="349">
        <v>0.0</v>
      </c>
      <c r="G290" s="58"/>
      <c r="H290" s="349">
        <v>0.0</v>
      </c>
      <c r="I290" s="58"/>
      <c r="J290" s="349">
        <v>0.0</v>
      </c>
      <c r="K290" s="58"/>
      <c r="L290" s="349">
        <v>0.0</v>
      </c>
      <c r="M290" s="58"/>
      <c r="N290" s="349">
        <v>30.0</v>
      </c>
      <c r="O290" s="58"/>
      <c r="P290" s="349">
        <v>30.0</v>
      </c>
      <c r="Q290" s="58"/>
      <c r="R290" s="349">
        <v>0.0</v>
      </c>
      <c r="S290" s="58"/>
      <c r="T290" s="349">
        <v>0.0</v>
      </c>
      <c r="U290" s="58"/>
      <c r="V290" s="349">
        <v>0.0</v>
      </c>
      <c r="W290" s="58"/>
      <c r="X290" s="349">
        <v>0.0</v>
      </c>
      <c r="Y290" s="58"/>
      <c r="Z290" s="349">
        <v>0.0</v>
      </c>
      <c r="AA290" s="58"/>
      <c r="AB290" s="349">
        <v>0.0</v>
      </c>
      <c r="AC290" s="58"/>
      <c r="AD290" s="349">
        <v>0.0</v>
      </c>
      <c r="AE290" s="58"/>
      <c r="AF290" s="349">
        <v>0.0</v>
      </c>
      <c r="AG290" s="58"/>
      <c r="AH290" s="349">
        <v>0.0</v>
      </c>
      <c r="AI290" s="58"/>
      <c r="AJ290" s="349">
        <v>0.0</v>
      </c>
      <c r="AK290" s="58"/>
      <c r="AL290" s="349">
        <v>0.0</v>
      </c>
      <c r="AM290" s="58"/>
      <c r="AN290" s="349">
        <v>0.0</v>
      </c>
      <c r="AO290" s="58"/>
      <c r="AP290" s="149">
        <f t="shared" si="12"/>
        <v>1361.6</v>
      </c>
      <c r="AQ290" s="150">
        <f t="shared" si="10"/>
        <v>60</v>
      </c>
      <c r="AR290" s="150">
        <f t="shared" si="3"/>
        <v>0</v>
      </c>
      <c r="AS290" s="150">
        <f t="shared" si="4"/>
        <v>60</v>
      </c>
      <c r="AT290" s="149">
        <f t="shared" si="5"/>
        <v>22.69333333</v>
      </c>
    </row>
    <row r="291" ht="15.75" customHeight="1">
      <c r="A291" s="289" t="s">
        <v>23</v>
      </c>
      <c r="B291" s="144">
        <f t="shared" si="6"/>
        <v>45216</v>
      </c>
      <c r="C291" s="145">
        <v>11.0</v>
      </c>
      <c r="D291" s="145" t="s">
        <v>34</v>
      </c>
      <c r="E291" s="150"/>
      <c r="F291" s="349">
        <v>0.0</v>
      </c>
      <c r="G291" s="58"/>
      <c r="H291" s="349">
        <v>0.0</v>
      </c>
      <c r="I291" s="58"/>
      <c r="J291" s="349">
        <v>0.0</v>
      </c>
      <c r="K291" s="58"/>
      <c r="L291" s="349">
        <v>0.0</v>
      </c>
      <c r="M291" s="58"/>
      <c r="N291" s="147">
        <v>30.0</v>
      </c>
      <c r="O291" s="3"/>
      <c r="P291" s="147">
        <v>30.0</v>
      </c>
      <c r="Q291" s="3"/>
      <c r="R291" s="349">
        <v>0.0</v>
      </c>
      <c r="S291" s="58"/>
      <c r="T291" s="349">
        <v>0.0</v>
      </c>
      <c r="U291" s="58"/>
      <c r="V291" s="349">
        <v>0.0</v>
      </c>
      <c r="W291" s="58"/>
      <c r="X291" s="349">
        <v>0.0</v>
      </c>
      <c r="Y291" s="58"/>
      <c r="Z291" s="349">
        <v>0.0</v>
      </c>
      <c r="AA291" s="58"/>
      <c r="AB291" s="349">
        <v>0.0</v>
      </c>
      <c r="AC291" s="58"/>
      <c r="AD291" s="349">
        <v>0.0</v>
      </c>
      <c r="AE291" s="58"/>
      <c r="AF291" s="349">
        <v>0.0</v>
      </c>
      <c r="AG291" s="58"/>
      <c r="AH291" s="349">
        <v>0.0</v>
      </c>
      <c r="AI291" s="58"/>
      <c r="AJ291" s="349">
        <v>0.0</v>
      </c>
      <c r="AK291" s="58"/>
      <c r="AL291" s="349">
        <v>0.0</v>
      </c>
      <c r="AM291" s="58"/>
      <c r="AN291" s="349">
        <v>0.0</v>
      </c>
      <c r="AO291" s="58"/>
      <c r="AP291" s="149">
        <f t="shared" si="12"/>
        <v>1361.6</v>
      </c>
      <c r="AQ291" s="150">
        <f t="shared" si="10"/>
        <v>60</v>
      </c>
      <c r="AR291" s="150">
        <f t="shared" si="3"/>
        <v>0</v>
      </c>
      <c r="AS291" s="150">
        <f t="shared" si="4"/>
        <v>60</v>
      </c>
      <c r="AT291" s="149">
        <f t="shared" si="5"/>
        <v>22.69333333</v>
      </c>
    </row>
    <row r="292" ht="15.75" customHeight="1">
      <c r="A292" s="289" t="s">
        <v>24</v>
      </c>
      <c r="B292" s="144">
        <f t="shared" si="6"/>
        <v>45217</v>
      </c>
      <c r="C292" s="145">
        <v>11.0</v>
      </c>
      <c r="D292" s="145" t="s">
        <v>34</v>
      </c>
      <c r="E292" s="150"/>
      <c r="F292" s="349">
        <v>0.0</v>
      </c>
      <c r="G292" s="58"/>
      <c r="H292" s="349">
        <v>0.0</v>
      </c>
      <c r="I292" s="58"/>
      <c r="J292" s="349">
        <v>0.0</v>
      </c>
      <c r="K292" s="58"/>
      <c r="L292" s="349">
        <v>0.0</v>
      </c>
      <c r="M292" s="58"/>
      <c r="N292" s="147">
        <v>30.0</v>
      </c>
      <c r="O292" s="3"/>
      <c r="P292" s="147">
        <v>30.0</v>
      </c>
      <c r="Q292" s="3"/>
      <c r="R292" s="349">
        <v>0.0</v>
      </c>
      <c r="S292" s="58"/>
      <c r="T292" s="349">
        <v>0.0</v>
      </c>
      <c r="U292" s="58"/>
      <c r="V292" s="349">
        <v>0.0</v>
      </c>
      <c r="W292" s="58"/>
      <c r="X292" s="349">
        <v>0.0</v>
      </c>
      <c r="Y292" s="58"/>
      <c r="Z292" s="349">
        <v>0.0</v>
      </c>
      <c r="AA292" s="58"/>
      <c r="AB292" s="349">
        <v>0.0</v>
      </c>
      <c r="AC292" s="58"/>
      <c r="AD292" s="349">
        <v>0.0</v>
      </c>
      <c r="AE292" s="58"/>
      <c r="AF292" s="349">
        <v>0.0</v>
      </c>
      <c r="AG292" s="58"/>
      <c r="AH292" s="349">
        <v>0.0</v>
      </c>
      <c r="AI292" s="58"/>
      <c r="AJ292" s="349">
        <v>0.0</v>
      </c>
      <c r="AK292" s="58"/>
      <c r="AL292" s="349">
        <v>0.0</v>
      </c>
      <c r="AM292" s="58"/>
      <c r="AN292" s="349">
        <v>0.0</v>
      </c>
      <c r="AO292" s="58"/>
      <c r="AP292" s="149">
        <f t="shared" si="12"/>
        <v>1361.6</v>
      </c>
      <c r="AQ292" s="150">
        <f t="shared" si="10"/>
        <v>60</v>
      </c>
      <c r="AR292" s="150">
        <f t="shared" si="3"/>
        <v>0</v>
      </c>
      <c r="AS292" s="150">
        <f t="shared" si="4"/>
        <v>60</v>
      </c>
      <c r="AT292" s="149">
        <f t="shared" si="5"/>
        <v>22.69333333</v>
      </c>
    </row>
    <row r="293" ht="15.75" customHeight="1">
      <c r="A293" s="289" t="s">
        <v>25</v>
      </c>
      <c r="B293" s="144">
        <f t="shared" si="6"/>
        <v>45218</v>
      </c>
      <c r="C293" s="145">
        <v>11.0</v>
      </c>
      <c r="D293" s="145" t="s">
        <v>34</v>
      </c>
      <c r="E293" s="150"/>
      <c r="F293" s="349">
        <v>0.0</v>
      </c>
      <c r="G293" s="58"/>
      <c r="H293" s="349">
        <v>0.0</v>
      </c>
      <c r="I293" s="58"/>
      <c r="J293" s="349">
        <v>0.0</v>
      </c>
      <c r="K293" s="58"/>
      <c r="L293" s="349">
        <v>0.0</v>
      </c>
      <c r="M293" s="58"/>
      <c r="N293" s="147">
        <v>30.0</v>
      </c>
      <c r="O293" s="3"/>
      <c r="P293" s="147">
        <v>30.0</v>
      </c>
      <c r="Q293" s="3"/>
      <c r="R293" s="349">
        <v>0.0</v>
      </c>
      <c r="S293" s="58"/>
      <c r="T293" s="349">
        <v>0.0</v>
      </c>
      <c r="U293" s="58"/>
      <c r="V293" s="349">
        <v>0.0</v>
      </c>
      <c r="W293" s="58"/>
      <c r="X293" s="349">
        <v>0.0</v>
      </c>
      <c r="Y293" s="58"/>
      <c r="Z293" s="349">
        <v>0.0</v>
      </c>
      <c r="AA293" s="58"/>
      <c r="AB293" s="349">
        <v>0.0</v>
      </c>
      <c r="AC293" s="58"/>
      <c r="AD293" s="349">
        <v>0.0</v>
      </c>
      <c r="AE293" s="58"/>
      <c r="AF293" s="349">
        <v>0.0</v>
      </c>
      <c r="AG293" s="58"/>
      <c r="AH293" s="349">
        <v>0.0</v>
      </c>
      <c r="AI293" s="58"/>
      <c r="AJ293" s="349">
        <v>0.0</v>
      </c>
      <c r="AK293" s="58"/>
      <c r="AL293" s="349">
        <v>0.0</v>
      </c>
      <c r="AM293" s="58"/>
      <c r="AN293" s="349">
        <v>0.0</v>
      </c>
      <c r="AO293" s="58"/>
      <c r="AP293" s="149">
        <f t="shared" si="12"/>
        <v>1361.6</v>
      </c>
      <c r="AQ293" s="150">
        <f t="shared" si="10"/>
        <v>60</v>
      </c>
      <c r="AR293" s="150">
        <f t="shared" si="3"/>
        <v>0</v>
      </c>
      <c r="AS293" s="150">
        <f t="shared" si="4"/>
        <v>60</v>
      </c>
      <c r="AT293" s="149">
        <f t="shared" si="5"/>
        <v>22.69333333</v>
      </c>
    </row>
    <row r="294" ht="15.75" customHeight="1">
      <c r="A294" s="289" t="s">
        <v>26</v>
      </c>
      <c r="B294" s="144">
        <f t="shared" si="6"/>
        <v>45219</v>
      </c>
      <c r="C294" s="145">
        <v>11.0</v>
      </c>
      <c r="D294" s="145" t="s">
        <v>34</v>
      </c>
      <c r="E294" s="150"/>
      <c r="F294" s="349">
        <v>0.0</v>
      </c>
      <c r="G294" s="58"/>
      <c r="H294" s="349">
        <v>0.0</v>
      </c>
      <c r="I294" s="58"/>
      <c r="J294" s="349">
        <v>0.0</v>
      </c>
      <c r="K294" s="58"/>
      <c r="L294" s="349">
        <v>0.0</v>
      </c>
      <c r="M294" s="58"/>
      <c r="N294" s="147">
        <v>30.0</v>
      </c>
      <c r="O294" s="3"/>
      <c r="P294" s="147">
        <v>30.0</v>
      </c>
      <c r="Q294" s="3"/>
      <c r="R294" s="349">
        <v>0.0</v>
      </c>
      <c r="S294" s="58"/>
      <c r="T294" s="349">
        <v>0.0</v>
      </c>
      <c r="U294" s="58"/>
      <c r="V294" s="349">
        <v>0.0</v>
      </c>
      <c r="W294" s="58"/>
      <c r="X294" s="349">
        <v>0.0</v>
      </c>
      <c r="Y294" s="58"/>
      <c r="Z294" s="349">
        <v>0.0</v>
      </c>
      <c r="AA294" s="58"/>
      <c r="AB294" s="349">
        <v>0.0</v>
      </c>
      <c r="AC294" s="58"/>
      <c r="AD294" s="349">
        <v>0.0</v>
      </c>
      <c r="AE294" s="58"/>
      <c r="AF294" s="349">
        <v>0.0</v>
      </c>
      <c r="AG294" s="58"/>
      <c r="AH294" s="349">
        <v>0.0</v>
      </c>
      <c r="AI294" s="58"/>
      <c r="AJ294" s="349">
        <v>0.0</v>
      </c>
      <c r="AK294" s="58"/>
      <c r="AL294" s="349">
        <v>0.0</v>
      </c>
      <c r="AM294" s="58"/>
      <c r="AN294" s="349">
        <v>0.0</v>
      </c>
      <c r="AO294" s="58"/>
      <c r="AP294" s="149">
        <f t="shared" si="12"/>
        <v>1361.6</v>
      </c>
      <c r="AQ294" s="150">
        <f t="shared" si="10"/>
        <v>60</v>
      </c>
      <c r="AR294" s="150">
        <f t="shared" si="3"/>
        <v>0</v>
      </c>
      <c r="AS294" s="150">
        <f t="shared" si="4"/>
        <v>60</v>
      </c>
      <c r="AT294" s="149">
        <f t="shared" si="5"/>
        <v>22.69333333</v>
      </c>
    </row>
    <row r="295" ht="15.75" customHeight="1">
      <c r="A295" s="289" t="s">
        <v>27</v>
      </c>
      <c r="B295" s="144">
        <f t="shared" si="6"/>
        <v>45220</v>
      </c>
      <c r="C295" s="145">
        <v>11.0</v>
      </c>
      <c r="D295" s="145" t="s">
        <v>34</v>
      </c>
      <c r="E295" s="150"/>
      <c r="F295" s="349">
        <v>0.0</v>
      </c>
      <c r="G295" s="58"/>
      <c r="H295" s="349">
        <v>0.0</v>
      </c>
      <c r="I295" s="58"/>
      <c r="J295" s="349">
        <v>0.0</v>
      </c>
      <c r="K295" s="58"/>
      <c r="L295" s="349">
        <v>0.0</v>
      </c>
      <c r="M295" s="58"/>
      <c r="N295" s="147">
        <v>0.0</v>
      </c>
      <c r="O295" s="3"/>
      <c r="P295" s="147">
        <v>0.0</v>
      </c>
      <c r="Q295" s="3"/>
      <c r="R295" s="349">
        <v>0.0</v>
      </c>
      <c r="S295" s="58"/>
      <c r="T295" s="349">
        <v>0.0</v>
      </c>
      <c r="U295" s="58"/>
      <c r="V295" s="349">
        <v>0.0</v>
      </c>
      <c r="W295" s="58"/>
      <c r="X295" s="349">
        <v>0.0</v>
      </c>
      <c r="Y295" s="58"/>
      <c r="Z295" s="349">
        <v>0.0</v>
      </c>
      <c r="AA295" s="58"/>
      <c r="AB295" s="349">
        <v>0.0</v>
      </c>
      <c r="AC295" s="58"/>
      <c r="AD295" s="349">
        <v>0.0</v>
      </c>
      <c r="AE295" s="58"/>
      <c r="AF295" s="349">
        <v>0.0</v>
      </c>
      <c r="AG295" s="58"/>
      <c r="AH295" s="349">
        <v>0.0</v>
      </c>
      <c r="AI295" s="58"/>
      <c r="AJ295" s="349">
        <v>0.0</v>
      </c>
      <c r="AK295" s="58"/>
      <c r="AL295" s="349">
        <v>0.0</v>
      </c>
      <c r="AM295" s="58"/>
      <c r="AN295" s="349">
        <v>0.0</v>
      </c>
      <c r="AO295" s="58"/>
      <c r="AP295" s="149">
        <f t="shared" si="12"/>
        <v>0</v>
      </c>
      <c r="AQ295" s="150">
        <f t="shared" si="10"/>
        <v>0</v>
      </c>
      <c r="AR295" s="150">
        <f t="shared" si="3"/>
        <v>0</v>
      </c>
      <c r="AS295" s="150">
        <f t="shared" si="4"/>
        <v>0</v>
      </c>
      <c r="AT295" s="149" t="str">
        <f t="shared" si="5"/>
        <v/>
      </c>
    </row>
    <row r="296" ht="15.75" customHeight="1">
      <c r="A296" s="383" t="s">
        <v>28</v>
      </c>
      <c r="B296" s="384">
        <f t="shared" si="6"/>
        <v>45221</v>
      </c>
      <c r="C296" s="351">
        <v>11.0</v>
      </c>
      <c r="D296" s="351" t="s">
        <v>34</v>
      </c>
      <c r="E296" s="150"/>
      <c r="F296" s="349">
        <v>0.0</v>
      </c>
      <c r="G296" s="58"/>
      <c r="H296" s="349">
        <v>0.0</v>
      </c>
      <c r="I296" s="58"/>
      <c r="J296" s="349">
        <v>0.0</v>
      </c>
      <c r="K296" s="58"/>
      <c r="L296" s="349">
        <v>0.0</v>
      </c>
      <c r="M296" s="58"/>
      <c r="N296" s="147">
        <v>0.0</v>
      </c>
      <c r="O296" s="3"/>
      <c r="P296" s="147">
        <v>0.0</v>
      </c>
      <c r="Q296" s="3"/>
      <c r="R296" s="349">
        <v>0.0</v>
      </c>
      <c r="S296" s="58"/>
      <c r="T296" s="349">
        <v>0.0</v>
      </c>
      <c r="U296" s="58"/>
      <c r="V296" s="349">
        <v>0.0</v>
      </c>
      <c r="W296" s="58"/>
      <c r="X296" s="349">
        <v>0.0</v>
      </c>
      <c r="Y296" s="58"/>
      <c r="Z296" s="349">
        <v>0.0</v>
      </c>
      <c r="AA296" s="58"/>
      <c r="AB296" s="349">
        <v>0.0</v>
      </c>
      <c r="AC296" s="58"/>
      <c r="AD296" s="349">
        <v>0.0</v>
      </c>
      <c r="AE296" s="58"/>
      <c r="AF296" s="349">
        <v>0.0</v>
      </c>
      <c r="AG296" s="58"/>
      <c r="AH296" s="349">
        <v>0.0</v>
      </c>
      <c r="AI296" s="58"/>
      <c r="AJ296" s="349">
        <v>0.0</v>
      </c>
      <c r="AK296" s="58"/>
      <c r="AL296" s="349">
        <v>0.0</v>
      </c>
      <c r="AM296" s="58"/>
      <c r="AN296" s="349">
        <v>0.0</v>
      </c>
      <c r="AO296" s="58"/>
      <c r="AP296" s="149">
        <f t="shared" si="12"/>
        <v>0</v>
      </c>
      <c r="AQ296" s="150">
        <f t="shared" si="10"/>
        <v>0</v>
      </c>
      <c r="AR296" s="150">
        <f t="shared" si="3"/>
        <v>0</v>
      </c>
      <c r="AS296" s="150">
        <f t="shared" si="4"/>
        <v>0</v>
      </c>
      <c r="AT296" s="149" t="str">
        <f t="shared" si="5"/>
        <v/>
      </c>
    </row>
    <row r="297" ht="15.75" customHeight="1">
      <c r="A297" s="385" t="s">
        <v>21</v>
      </c>
      <c r="B297" s="386">
        <f t="shared" si="6"/>
        <v>45222</v>
      </c>
      <c r="C297" s="219">
        <v>11.0</v>
      </c>
      <c r="D297" s="219" t="s">
        <v>36</v>
      </c>
      <c r="E297" s="200"/>
      <c r="F297" s="212">
        <v>0.0</v>
      </c>
      <c r="G297" s="58"/>
      <c r="H297" s="212">
        <v>0.0</v>
      </c>
      <c r="I297" s="58"/>
      <c r="J297" s="212">
        <v>0.0</v>
      </c>
      <c r="K297" s="58"/>
      <c r="L297" s="212">
        <v>0.0</v>
      </c>
      <c r="M297" s="58"/>
      <c r="N297" s="212">
        <v>30.0</v>
      </c>
      <c r="O297" s="58"/>
      <c r="P297" s="212">
        <v>30.0</v>
      </c>
      <c r="Q297" s="58"/>
      <c r="R297" s="212">
        <v>0.0</v>
      </c>
      <c r="S297" s="58"/>
      <c r="T297" s="212">
        <v>0.0</v>
      </c>
      <c r="U297" s="58"/>
      <c r="V297" s="212">
        <v>0.0</v>
      </c>
      <c r="W297" s="58"/>
      <c r="X297" s="212">
        <v>0.0</v>
      </c>
      <c r="Y297" s="58"/>
      <c r="Z297" s="212">
        <v>0.0</v>
      </c>
      <c r="AA297" s="58"/>
      <c r="AB297" s="212">
        <v>0.0</v>
      </c>
      <c r="AC297" s="58"/>
      <c r="AD297" s="212">
        <v>0.0</v>
      </c>
      <c r="AE297" s="58"/>
      <c r="AF297" s="212">
        <v>0.0</v>
      </c>
      <c r="AG297" s="58"/>
      <c r="AH297" s="212">
        <v>0.0</v>
      </c>
      <c r="AI297" s="58"/>
      <c r="AJ297" s="212">
        <v>0.0</v>
      </c>
      <c r="AK297" s="58"/>
      <c r="AL297" s="212">
        <v>0.0</v>
      </c>
      <c r="AM297" s="58"/>
      <c r="AN297" s="212">
        <v>0.0</v>
      </c>
      <c r="AO297" s="58"/>
      <c r="AP297" s="199">
        <f t="shared" si="12"/>
        <v>1361.6</v>
      </c>
      <c r="AQ297" s="200">
        <f t="shared" si="10"/>
        <v>60</v>
      </c>
      <c r="AR297" s="200">
        <f t="shared" si="3"/>
        <v>0</v>
      </c>
      <c r="AS297" s="200">
        <f t="shared" si="4"/>
        <v>60</v>
      </c>
      <c r="AT297" s="199">
        <f t="shared" si="5"/>
        <v>22.69333333</v>
      </c>
    </row>
    <row r="298" ht="15.75" customHeight="1">
      <c r="A298" s="211" t="s">
        <v>23</v>
      </c>
      <c r="B298" s="195">
        <f t="shared" si="6"/>
        <v>45223</v>
      </c>
      <c r="C298" s="196">
        <v>11.0</v>
      </c>
      <c r="D298" s="196" t="s">
        <v>36</v>
      </c>
      <c r="E298" s="200"/>
      <c r="F298" s="212">
        <v>0.0</v>
      </c>
      <c r="G298" s="58"/>
      <c r="H298" s="212">
        <v>0.0</v>
      </c>
      <c r="I298" s="58"/>
      <c r="J298" s="212">
        <v>0.0</v>
      </c>
      <c r="K298" s="58"/>
      <c r="L298" s="212">
        <v>0.0</v>
      </c>
      <c r="M298" s="58"/>
      <c r="N298" s="198">
        <v>30.0</v>
      </c>
      <c r="O298" s="3"/>
      <c r="P298" s="198">
        <v>30.0</v>
      </c>
      <c r="Q298" s="3"/>
      <c r="R298" s="212">
        <v>0.0</v>
      </c>
      <c r="S298" s="58"/>
      <c r="T298" s="212">
        <v>0.0</v>
      </c>
      <c r="U298" s="58"/>
      <c r="V298" s="212">
        <v>0.0</v>
      </c>
      <c r="W298" s="58"/>
      <c r="X298" s="212">
        <v>0.0</v>
      </c>
      <c r="Y298" s="58"/>
      <c r="Z298" s="212">
        <v>0.0</v>
      </c>
      <c r="AA298" s="58"/>
      <c r="AB298" s="212">
        <v>0.0</v>
      </c>
      <c r="AC298" s="58"/>
      <c r="AD298" s="212">
        <v>0.0</v>
      </c>
      <c r="AE298" s="58"/>
      <c r="AF298" s="212">
        <v>0.0</v>
      </c>
      <c r="AG298" s="58"/>
      <c r="AH298" s="212">
        <v>0.0</v>
      </c>
      <c r="AI298" s="58"/>
      <c r="AJ298" s="212">
        <v>0.0</v>
      </c>
      <c r="AK298" s="58"/>
      <c r="AL298" s="212">
        <v>0.0</v>
      </c>
      <c r="AM298" s="58"/>
      <c r="AN298" s="212">
        <v>0.0</v>
      </c>
      <c r="AO298" s="58"/>
      <c r="AP298" s="199">
        <f t="shared" si="12"/>
        <v>1361.6</v>
      </c>
      <c r="AQ298" s="200">
        <f t="shared" si="10"/>
        <v>60</v>
      </c>
      <c r="AR298" s="200">
        <f t="shared" si="3"/>
        <v>0</v>
      </c>
      <c r="AS298" s="200">
        <f t="shared" si="4"/>
        <v>60</v>
      </c>
      <c r="AT298" s="199">
        <f t="shared" si="5"/>
        <v>22.69333333</v>
      </c>
    </row>
    <row r="299" ht="15.75" customHeight="1">
      <c r="A299" s="211" t="s">
        <v>24</v>
      </c>
      <c r="B299" s="195">
        <f t="shared" si="6"/>
        <v>45224</v>
      </c>
      <c r="C299" s="196">
        <v>11.0</v>
      </c>
      <c r="D299" s="196" t="s">
        <v>36</v>
      </c>
      <c r="E299" s="200"/>
      <c r="F299" s="212">
        <v>0.0</v>
      </c>
      <c r="G299" s="58"/>
      <c r="H299" s="212">
        <v>0.0</v>
      </c>
      <c r="I299" s="58"/>
      <c r="J299" s="212">
        <v>0.0</v>
      </c>
      <c r="K299" s="58"/>
      <c r="L299" s="212">
        <v>0.0</v>
      </c>
      <c r="M299" s="58"/>
      <c r="N299" s="198">
        <v>30.0</v>
      </c>
      <c r="O299" s="3"/>
      <c r="P299" s="198">
        <v>30.0</v>
      </c>
      <c r="Q299" s="3"/>
      <c r="R299" s="212">
        <v>0.0</v>
      </c>
      <c r="S299" s="58"/>
      <c r="T299" s="212">
        <v>0.0</v>
      </c>
      <c r="U299" s="58"/>
      <c r="V299" s="212">
        <v>0.0</v>
      </c>
      <c r="W299" s="58"/>
      <c r="X299" s="212">
        <v>0.0</v>
      </c>
      <c r="Y299" s="58"/>
      <c r="Z299" s="212">
        <v>0.0</v>
      </c>
      <c r="AA299" s="58"/>
      <c r="AB299" s="212">
        <v>0.0</v>
      </c>
      <c r="AC299" s="58"/>
      <c r="AD299" s="212">
        <v>0.0</v>
      </c>
      <c r="AE299" s="58"/>
      <c r="AF299" s="212">
        <v>0.0</v>
      </c>
      <c r="AG299" s="58"/>
      <c r="AH299" s="212">
        <v>0.0</v>
      </c>
      <c r="AI299" s="58"/>
      <c r="AJ299" s="212">
        <v>0.0</v>
      </c>
      <c r="AK299" s="58"/>
      <c r="AL299" s="212">
        <v>0.0</v>
      </c>
      <c r="AM299" s="58"/>
      <c r="AN299" s="212">
        <v>0.0</v>
      </c>
      <c r="AO299" s="58"/>
      <c r="AP299" s="199">
        <f t="shared" si="12"/>
        <v>1361.6</v>
      </c>
      <c r="AQ299" s="200">
        <f t="shared" si="10"/>
        <v>60</v>
      </c>
      <c r="AR299" s="200">
        <f t="shared" si="3"/>
        <v>0</v>
      </c>
      <c r="AS299" s="200">
        <f t="shared" si="4"/>
        <v>60</v>
      </c>
      <c r="AT299" s="199">
        <f t="shared" si="5"/>
        <v>22.69333333</v>
      </c>
    </row>
    <row r="300" ht="15.75" customHeight="1">
      <c r="A300" s="211" t="s">
        <v>25</v>
      </c>
      <c r="B300" s="195">
        <f t="shared" si="6"/>
        <v>45225</v>
      </c>
      <c r="C300" s="196">
        <v>11.0</v>
      </c>
      <c r="D300" s="196" t="s">
        <v>36</v>
      </c>
      <c r="E300" s="200"/>
      <c r="F300" s="212">
        <v>0.0</v>
      </c>
      <c r="G300" s="58"/>
      <c r="H300" s="212">
        <v>0.0</v>
      </c>
      <c r="I300" s="58"/>
      <c r="J300" s="212">
        <v>0.0</v>
      </c>
      <c r="K300" s="58"/>
      <c r="L300" s="212">
        <v>0.0</v>
      </c>
      <c r="M300" s="58"/>
      <c r="N300" s="198">
        <v>30.0</v>
      </c>
      <c r="O300" s="3"/>
      <c r="P300" s="198">
        <v>30.0</v>
      </c>
      <c r="Q300" s="3"/>
      <c r="R300" s="212">
        <v>0.0</v>
      </c>
      <c r="S300" s="58"/>
      <c r="T300" s="212">
        <v>0.0</v>
      </c>
      <c r="U300" s="58"/>
      <c r="V300" s="212">
        <v>0.0</v>
      </c>
      <c r="W300" s="58"/>
      <c r="X300" s="212">
        <v>0.0</v>
      </c>
      <c r="Y300" s="58"/>
      <c r="Z300" s="212">
        <v>0.0</v>
      </c>
      <c r="AA300" s="58"/>
      <c r="AB300" s="212">
        <v>0.0</v>
      </c>
      <c r="AC300" s="58"/>
      <c r="AD300" s="212">
        <v>0.0</v>
      </c>
      <c r="AE300" s="58"/>
      <c r="AF300" s="212">
        <v>0.0</v>
      </c>
      <c r="AG300" s="58"/>
      <c r="AH300" s="212">
        <v>0.0</v>
      </c>
      <c r="AI300" s="58"/>
      <c r="AJ300" s="212">
        <v>0.0</v>
      </c>
      <c r="AK300" s="58"/>
      <c r="AL300" s="212">
        <v>0.0</v>
      </c>
      <c r="AM300" s="58"/>
      <c r="AN300" s="212">
        <v>0.0</v>
      </c>
      <c r="AO300" s="58"/>
      <c r="AP300" s="199">
        <f t="shared" si="12"/>
        <v>1361.6</v>
      </c>
      <c r="AQ300" s="200">
        <f t="shared" si="10"/>
        <v>60</v>
      </c>
      <c r="AR300" s="200">
        <f t="shared" si="3"/>
        <v>0</v>
      </c>
      <c r="AS300" s="200">
        <f t="shared" si="4"/>
        <v>60</v>
      </c>
      <c r="AT300" s="199">
        <f t="shared" si="5"/>
        <v>22.69333333</v>
      </c>
    </row>
    <row r="301" ht="15.75" customHeight="1">
      <c r="A301" s="211" t="s">
        <v>26</v>
      </c>
      <c r="B301" s="195">
        <f t="shared" si="6"/>
        <v>45226</v>
      </c>
      <c r="C301" s="196">
        <v>11.0</v>
      </c>
      <c r="D301" s="196" t="s">
        <v>36</v>
      </c>
      <c r="E301" s="200"/>
      <c r="F301" s="212">
        <v>0.0</v>
      </c>
      <c r="G301" s="58"/>
      <c r="H301" s="212">
        <v>0.0</v>
      </c>
      <c r="I301" s="58"/>
      <c r="J301" s="212">
        <v>0.0</v>
      </c>
      <c r="K301" s="58"/>
      <c r="L301" s="212">
        <v>0.0</v>
      </c>
      <c r="M301" s="58"/>
      <c r="N301" s="198">
        <v>30.0</v>
      </c>
      <c r="O301" s="3"/>
      <c r="P301" s="198">
        <v>30.0</v>
      </c>
      <c r="Q301" s="3"/>
      <c r="R301" s="212">
        <v>0.0</v>
      </c>
      <c r="S301" s="58"/>
      <c r="T301" s="212">
        <v>0.0</v>
      </c>
      <c r="U301" s="58"/>
      <c r="V301" s="212">
        <v>0.0</v>
      </c>
      <c r="W301" s="58"/>
      <c r="X301" s="212">
        <v>0.0</v>
      </c>
      <c r="Y301" s="58"/>
      <c r="Z301" s="212">
        <v>0.0</v>
      </c>
      <c r="AA301" s="58"/>
      <c r="AB301" s="212">
        <v>0.0</v>
      </c>
      <c r="AC301" s="58"/>
      <c r="AD301" s="212">
        <v>0.0</v>
      </c>
      <c r="AE301" s="58"/>
      <c r="AF301" s="212">
        <v>0.0</v>
      </c>
      <c r="AG301" s="58"/>
      <c r="AH301" s="212">
        <v>0.0</v>
      </c>
      <c r="AI301" s="58"/>
      <c r="AJ301" s="212">
        <v>0.0</v>
      </c>
      <c r="AK301" s="58"/>
      <c r="AL301" s="212">
        <v>0.0</v>
      </c>
      <c r="AM301" s="58"/>
      <c r="AN301" s="212">
        <v>0.0</v>
      </c>
      <c r="AO301" s="58"/>
      <c r="AP301" s="199">
        <f t="shared" si="12"/>
        <v>1361.6</v>
      </c>
      <c r="AQ301" s="200">
        <f t="shared" si="10"/>
        <v>60</v>
      </c>
      <c r="AR301" s="200">
        <f t="shared" si="3"/>
        <v>0</v>
      </c>
      <c r="AS301" s="200">
        <f t="shared" si="4"/>
        <v>60</v>
      </c>
      <c r="AT301" s="199">
        <f t="shared" si="5"/>
        <v>22.69333333</v>
      </c>
    </row>
    <row r="302" ht="15.75" customHeight="1">
      <c r="A302" s="211" t="s">
        <v>27</v>
      </c>
      <c r="B302" s="195">
        <f t="shared" si="6"/>
        <v>45227</v>
      </c>
      <c r="C302" s="196">
        <v>11.0</v>
      </c>
      <c r="D302" s="196" t="s">
        <v>36</v>
      </c>
      <c r="E302" s="200"/>
      <c r="F302" s="212">
        <v>0.0</v>
      </c>
      <c r="G302" s="58"/>
      <c r="H302" s="212">
        <v>0.0</v>
      </c>
      <c r="I302" s="58"/>
      <c r="J302" s="212">
        <v>0.0</v>
      </c>
      <c r="K302" s="58"/>
      <c r="L302" s="212">
        <v>0.0</v>
      </c>
      <c r="M302" s="58"/>
      <c r="N302" s="198">
        <v>0.0</v>
      </c>
      <c r="O302" s="3"/>
      <c r="P302" s="198">
        <v>0.0</v>
      </c>
      <c r="Q302" s="3"/>
      <c r="R302" s="212">
        <v>0.0</v>
      </c>
      <c r="S302" s="58"/>
      <c r="T302" s="212">
        <v>0.0</v>
      </c>
      <c r="U302" s="58"/>
      <c r="V302" s="212">
        <v>0.0</v>
      </c>
      <c r="W302" s="58"/>
      <c r="X302" s="212">
        <v>0.0</v>
      </c>
      <c r="Y302" s="58"/>
      <c r="Z302" s="212">
        <v>0.0</v>
      </c>
      <c r="AA302" s="58"/>
      <c r="AB302" s="212">
        <v>0.0</v>
      </c>
      <c r="AC302" s="58"/>
      <c r="AD302" s="212">
        <v>0.0</v>
      </c>
      <c r="AE302" s="58"/>
      <c r="AF302" s="212">
        <v>0.0</v>
      </c>
      <c r="AG302" s="58"/>
      <c r="AH302" s="212">
        <v>0.0</v>
      </c>
      <c r="AI302" s="58"/>
      <c r="AJ302" s="212">
        <v>0.0</v>
      </c>
      <c r="AK302" s="58"/>
      <c r="AL302" s="212">
        <v>0.0</v>
      </c>
      <c r="AM302" s="58"/>
      <c r="AN302" s="212">
        <v>0.0</v>
      </c>
      <c r="AO302" s="58"/>
      <c r="AP302" s="199">
        <f t="shared" si="12"/>
        <v>0</v>
      </c>
      <c r="AQ302" s="200">
        <f t="shared" si="10"/>
        <v>0</v>
      </c>
      <c r="AR302" s="200">
        <f t="shared" si="3"/>
        <v>0</v>
      </c>
      <c r="AS302" s="200">
        <f t="shared" si="4"/>
        <v>0</v>
      </c>
      <c r="AT302" s="199" t="str">
        <f t="shared" si="5"/>
        <v/>
      </c>
    </row>
    <row r="303" ht="15.75" customHeight="1">
      <c r="A303" s="387" t="s">
        <v>28</v>
      </c>
      <c r="B303" s="388">
        <f t="shared" si="6"/>
        <v>45228</v>
      </c>
      <c r="C303" s="214">
        <v>11.0</v>
      </c>
      <c r="D303" s="214" t="s">
        <v>36</v>
      </c>
      <c r="E303" s="200"/>
      <c r="F303" s="212">
        <v>0.0</v>
      </c>
      <c r="G303" s="58"/>
      <c r="H303" s="212">
        <v>0.0</v>
      </c>
      <c r="I303" s="58"/>
      <c r="J303" s="212">
        <v>0.0</v>
      </c>
      <c r="K303" s="58"/>
      <c r="L303" s="212">
        <v>0.0</v>
      </c>
      <c r="M303" s="58"/>
      <c r="N303" s="198">
        <v>0.0</v>
      </c>
      <c r="O303" s="3"/>
      <c r="P303" s="198">
        <v>0.0</v>
      </c>
      <c r="Q303" s="3"/>
      <c r="R303" s="212">
        <v>0.0</v>
      </c>
      <c r="S303" s="58"/>
      <c r="T303" s="212">
        <v>0.0</v>
      </c>
      <c r="U303" s="58"/>
      <c r="V303" s="212">
        <v>0.0</v>
      </c>
      <c r="W303" s="58"/>
      <c r="X303" s="212">
        <v>0.0</v>
      </c>
      <c r="Y303" s="58"/>
      <c r="Z303" s="212">
        <v>0.0</v>
      </c>
      <c r="AA303" s="58"/>
      <c r="AB303" s="212">
        <v>0.0</v>
      </c>
      <c r="AC303" s="58"/>
      <c r="AD303" s="212">
        <v>0.0</v>
      </c>
      <c r="AE303" s="58"/>
      <c r="AF303" s="212">
        <v>0.0</v>
      </c>
      <c r="AG303" s="58"/>
      <c r="AH303" s="212">
        <v>0.0</v>
      </c>
      <c r="AI303" s="58"/>
      <c r="AJ303" s="212">
        <v>0.0</v>
      </c>
      <c r="AK303" s="58"/>
      <c r="AL303" s="212">
        <v>0.0</v>
      </c>
      <c r="AM303" s="58"/>
      <c r="AN303" s="212">
        <v>0.0</v>
      </c>
      <c r="AO303" s="58"/>
      <c r="AP303" s="199">
        <f t="shared" si="12"/>
        <v>0</v>
      </c>
      <c r="AQ303" s="200">
        <f t="shared" si="10"/>
        <v>0</v>
      </c>
      <c r="AR303" s="200">
        <f t="shared" si="3"/>
        <v>0</v>
      </c>
      <c r="AS303" s="200">
        <f t="shared" si="4"/>
        <v>0</v>
      </c>
      <c r="AT303" s="199" t="str">
        <f t="shared" si="5"/>
        <v/>
      </c>
    </row>
    <row r="304" ht="15.75" customHeight="1">
      <c r="A304" s="18" t="s">
        <v>21</v>
      </c>
      <c r="B304" s="68">
        <f t="shared" si="6"/>
        <v>45229</v>
      </c>
      <c r="C304" s="20">
        <v>11.0</v>
      </c>
      <c r="D304" s="20" t="s">
        <v>37</v>
      </c>
      <c r="E304" s="389"/>
      <c r="F304" s="390"/>
      <c r="G304" s="3"/>
      <c r="H304" s="390"/>
      <c r="I304" s="3"/>
      <c r="J304" s="390"/>
      <c r="K304" s="3"/>
      <c r="L304" s="390"/>
      <c r="M304" s="3"/>
      <c r="N304" s="391"/>
      <c r="O304" s="3"/>
      <c r="P304" s="391"/>
      <c r="Q304" s="3"/>
      <c r="R304" s="391"/>
      <c r="S304" s="3"/>
      <c r="T304" s="391"/>
      <c r="U304" s="3"/>
      <c r="V304" s="390"/>
      <c r="W304" s="3"/>
      <c r="X304" s="390"/>
      <c r="Y304" s="3"/>
      <c r="Z304" s="390"/>
      <c r="AA304" s="3"/>
      <c r="AB304" s="390"/>
      <c r="AC304" s="3"/>
      <c r="AD304" s="390"/>
      <c r="AE304" s="3"/>
      <c r="AF304" s="390"/>
      <c r="AG304" s="3"/>
      <c r="AH304" s="390"/>
      <c r="AI304" s="3"/>
      <c r="AJ304" s="390"/>
      <c r="AK304" s="3"/>
      <c r="AL304" s="390"/>
      <c r="AM304" s="3"/>
      <c r="AN304" s="390"/>
      <c r="AO304" s="3"/>
      <c r="AP304" s="392">
        <f t="shared" si="12"/>
        <v>0</v>
      </c>
      <c r="AQ304" s="389">
        <f t="shared" si="10"/>
        <v>0</v>
      </c>
      <c r="AR304" s="389">
        <f t="shared" si="3"/>
        <v>0</v>
      </c>
      <c r="AS304" s="389">
        <f t="shared" si="4"/>
        <v>0</v>
      </c>
      <c r="AT304" s="392" t="str">
        <f t="shared" si="5"/>
        <v/>
      </c>
    </row>
    <row r="305" ht="15.75" customHeight="1">
      <c r="A305" s="34" t="s">
        <v>23</v>
      </c>
      <c r="B305" s="35">
        <f t="shared" si="6"/>
        <v>45230</v>
      </c>
      <c r="C305" s="36">
        <v>11.0</v>
      </c>
      <c r="D305" s="36" t="s">
        <v>37</v>
      </c>
      <c r="E305" s="389"/>
      <c r="F305" s="390"/>
      <c r="G305" s="3"/>
      <c r="H305" s="390"/>
      <c r="I305" s="3"/>
      <c r="J305" s="390"/>
      <c r="K305" s="3"/>
      <c r="L305" s="390"/>
      <c r="M305" s="3"/>
      <c r="N305" s="391"/>
      <c r="O305" s="3"/>
      <c r="P305" s="391"/>
      <c r="Q305" s="3"/>
      <c r="R305" s="391"/>
      <c r="S305" s="3"/>
      <c r="T305" s="391"/>
      <c r="U305" s="3"/>
      <c r="V305" s="390"/>
      <c r="W305" s="3"/>
      <c r="X305" s="390"/>
      <c r="Y305" s="3"/>
      <c r="Z305" s="390"/>
      <c r="AA305" s="3"/>
      <c r="AB305" s="390"/>
      <c r="AC305" s="3"/>
      <c r="AD305" s="390"/>
      <c r="AE305" s="3"/>
      <c r="AF305" s="390"/>
      <c r="AG305" s="3"/>
      <c r="AH305" s="390"/>
      <c r="AI305" s="3"/>
      <c r="AJ305" s="390"/>
      <c r="AK305" s="3"/>
      <c r="AL305" s="390"/>
      <c r="AM305" s="3"/>
      <c r="AN305" s="390"/>
      <c r="AO305" s="3"/>
      <c r="AP305" s="392">
        <f t="shared" si="12"/>
        <v>0</v>
      </c>
      <c r="AQ305" s="389">
        <f t="shared" si="10"/>
        <v>0</v>
      </c>
      <c r="AR305" s="389">
        <f t="shared" si="3"/>
        <v>0</v>
      </c>
      <c r="AS305" s="389">
        <f t="shared" si="4"/>
        <v>0</v>
      </c>
      <c r="AT305" s="392" t="str">
        <f t="shared" si="5"/>
        <v/>
      </c>
    </row>
    <row r="306" ht="15.75" customHeight="1">
      <c r="A306" s="34" t="s">
        <v>24</v>
      </c>
      <c r="B306" s="35">
        <f t="shared" si="6"/>
        <v>45231</v>
      </c>
      <c r="C306" s="36">
        <v>11.0</v>
      </c>
      <c r="D306" s="36" t="s">
        <v>37</v>
      </c>
      <c r="E306" s="389"/>
      <c r="F306" s="390"/>
      <c r="G306" s="3"/>
      <c r="H306" s="390"/>
      <c r="I306" s="3"/>
      <c r="J306" s="390"/>
      <c r="K306" s="3"/>
      <c r="L306" s="390"/>
      <c r="M306" s="3"/>
      <c r="N306" s="391"/>
      <c r="O306" s="3"/>
      <c r="P306" s="391"/>
      <c r="Q306" s="3"/>
      <c r="R306" s="391"/>
      <c r="S306" s="3"/>
      <c r="T306" s="391"/>
      <c r="U306" s="3"/>
      <c r="V306" s="390"/>
      <c r="W306" s="3"/>
      <c r="X306" s="390"/>
      <c r="Y306" s="3"/>
      <c r="Z306" s="390"/>
      <c r="AA306" s="3"/>
      <c r="AB306" s="390"/>
      <c r="AC306" s="3"/>
      <c r="AD306" s="390"/>
      <c r="AE306" s="3"/>
      <c r="AF306" s="390"/>
      <c r="AG306" s="3"/>
      <c r="AH306" s="390"/>
      <c r="AI306" s="3"/>
      <c r="AJ306" s="390"/>
      <c r="AK306" s="3"/>
      <c r="AL306" s="390"/>
      <c r="AM306" s="3"/>
      <c r="AN306" s="390"/>
      <c r="AO306" s="3"/>
      <c r="AP306" s="392">
        <f t="shared" si="12"/>
        <v>0</v>
      </c>
      <c r="AQ306" s="389">
        <f t="shared" si="10"/>
        <v>0</v>
      </c>
      <c r="AR306" s="389">
        <f t="shared" si="3"/>
        <v>0</v>
      </c>
      <c r="AS306" s="389">
        <f t="shared" si="4"/>
        <v>0</v>
      </c>
      <c r="AT306" s="392" t="str">
        <f t="shared" si="5"/>
        <v/>
      </c>
    </row>
    <row r="307" ht="15.75" customHeight="1">
      <c r="A307" s="34" t="s">
        <v>25</v>
      </c>
      <c r="B307" s="35">
        <f t="shared" si="6"/>
        <v>45232</v>
      </c>
      <c r="C307" s="36">
        <v>11.0</v>
      </c>
      <c r="D307" s="36" t="s">
        <v>37</v>
      </c>
      <c r="E307" s="389"/>
      <c r="F307" s="390"/>
      <c r="G307" s="3"/>
      <c r="H307" s="390"/>
      <c r="I307" s="3"/>
      <c r="J307" s="390"/>
      <c r="K307" s="3"/>
      <c r="L307" s="390"/>
      <c r="M307" s="3"/>
      <c r="N307" s="391"/>
      <c r="O307" s="3"/>
      <c r="P307" s="391"/>
      <c r="Q307" s="3"/>
      <c r="R307" s="391"/>
      <c r="S307" s="3"/>
      <c r="T307" s="391"/>
      <c r="U307" s="3"/>
      <c r="V307" s="390"/>
      <c r="W307" s="3"/>
      <c r="X307" s="390"/>
      <c r="Y307" s="3"/>
      <c r="Z307" s="390"/>
      <c r="AA307" s="3"/>
      <c r="AB307" s="390"/>
      <c r="AC307" s="3"/>
      <c r="AD307" s="390"/>
      <c r="AE307" s="3"/>
      <c r="AF307" s="390"/>
      <c r="AG307" s="3"/>
      <c r="AH307" s="390"/>
      <c r="AI307" s="3"/>
      <c r="AJ307" s="390"/>
      <c r="AK307" s="3"/>
      <c r="AL307" s="390"/>
      <c r="AM307" s="3"/>
      <c r="AN307" s="390"/>
      <c r="AO307" s="3"/>
      <c r="AP307" s="392">
        <f t="shared" si="12"/>
        <v>0</v>
      </c>
      <c r="AQ307" s="389">
        <f t="shared" si="10"/>
        <v>0</v>
      </c>
      <c r="AR307" s="389">
        <f t="shared" si="3"/>
        <v>0</v>
      </c>
      <c r="AS307" s="389">
        <f t="shared" si="4"/>
        <v>0</v>
      </c>
      <c r="AT307" s="392" t="str">
        <f t="shared" si="5"/>
        <v/>
      </c>
    </row>
    <row r="308" ht="15.75" customHeight="1">
      <c r="A308" s="34" t="s">
        <v>26</v>
      </c>
      <c r="B308" s="35">
        <f t="shared" si="6"/>
        <v>45233</v>
      </c>
      <c r="C308" s="36">
        <v>11.0</v>
      </c>
      <c r="D308" s="36" t="s">
        <v>37</v>
      </c>
      <c r="E308" s="389"/>
      <c r="F308" s="390"/>
      <c r="G308" s="3"/>
      <c r="H308" s="390"/>
      <c r="I308" s="3"/>
      <c r="J308" s="390"/>
      <c r="K308" s="3"/>
      <c r="L308" s="390"/>
      <c r="M308" s="3"/>
      <c r="N308" s="391"/>
      <c r="O308" s="3"/>
      <c r="P308" s="391"/>
      <c r="Q308" s="3"/>
      <c r="R308" s="391"/>
      <c r="S308" s="3"/>
      <c r="T308" s="391"/>
      <c r="U308" s="3"/>
      <c r="V308" s="390"/>
      <c r="W308" s="3"/>
      <c r="X308" s="390"/>
      <c r="Y308" s="3"/>
      <c r="Z308" s="390"/>
      <c r="AA308" s="3"/>
      <c r="AB308" s="390"/>
      <c r="AC308" s="3"/>
      <c r="AD308" s="390"/>
      <c r="AE308" s="3"/>
      <c r="AF308" s="390"/>
      <c r="AG308" s="3"/>
      <c r="AH308" s="390"/>
      <c r="AI308" s="3"/>
      <c r="AJ308" s="390"/>
      <c r="AK308" s="3"/>
      <c r="AL308" s="390"/>
      <c r="AM308" s="3"/>
      <c r="AN308" s="390"/>
      <c r="AO308" s="3"/>
      <c r="AP308" s="392">
        <f t="shared" si="12"/>
        <v>0</v>
      </c>
      <c r="AQ308" s="389">
        <f t="shared" si="10"/>
        <v>0</v>
      </c>
      <c r="AR308" s="389">
        <f t="shared" si="3"/>
        <v>0</v>
      </c>
      <c r="AS308" s="389">
        <f t="shared" si="4"/>
        <v>0</v>
      </c>
      <c r="AT308" s="392" t="str">
        <f t="shared" si="5"/>
        <v/>
      </c>
    </row>
    <row r="309" ht="15.75" customHeight="1">
      <c r="A309" s="34" t="s">
        <v>27</v>
      </c>
      <c r="B309" s="35">
        <f t="shared" si="6"/>
        <v>45234</v>
      </c>
      <c r="C309" s="36">
        <v>11.0</v>
      </c>
      <c r="D309" s="36" t="s">
        <v>37</v>
      </c>
      <c r="E309" s="389"/>
      <c r="F309" s="390"/>
      <c r="G309" s="3"/>
      <c r="H309" s="390"/>
      <c r="I309" s="3"/>
      <c r="J309" s="390"/>
      <c r="K309" s="3"/>
      <c r="L309" s="390"/>
      <c r="M309" s="3"/>
      <c r="N309" s="391"/>
      <c r="O309" s="3"/>
      <c r="P309" s="391"/>
      <c r="Q309" s="3"/>
      <c r="R309" s="391"/>
      <c r="S309" s="3"/>
      <c r="T309" s="391"/>
      <c r="U309" s="3"/>
      <c r="V309" s="390"/>
      <c r="W309" s="3"/>
      <c r="X309" s="390"/>
      <c r="Y309" s="3"/>
      <c r="Z309" s="390"/>
      <c r="AA309" s="3"/>
      <c r="AB309" s="390"/>
      <c r="AC309" s="3"/>
      <c r="AD309" s="390"/>
      <c r="AE309" s="3"/>
      <c r="AF309" s="390"/>
      <c r="AG309" s="3"/>
      <c r="AH309" s="390"/>
      <c r="AI309" s="3"/>
      <c r="AJ309" s="390"/>
      <c r="AK309" s="3"/>
      <c r="AL309" s="390"/>
      <c r="AM309" s="3"/>
      <c r="AN309" s="390"/>
      <c r="AO309" s="3"/>
      <c r="AP309" s="392">
        <f t="shared" si="12"/>
        <v>0</v>
      </c>
      <c r="AQ309" s="389">
        <f t="shared" si="10"/>
        <v>0</v>
      </c>
      <c r="AR309" s="389">
        <f t="shared" si="3"/>
        <v>0</v>
      </c>
      <c r="AS309" s="389">
        <f t="shared" si="4"/>
        <v>0</v>
      </c>
      <c r="AT309" s="392" t="str">
        <f t="shared" si="5"/>
        <v/>
      </c>
    </row>
    <row r="310" ht="15.75" customHeight="1">
      <c r="A310" s="46" t="s">
        <v>28</v>
      </c>
      <c r="B310" s="47">
        <f t="shared" si="6"/>
        <v>45235</v>
      </c>
      <c r="C310" s="49">
        <v>11.0</v>
      </c>
      <c r="D310" s="49" t="s">
        <v>37</v>
      </c>
      <c r="E310" s="389"/>
      <c r="F310" s="390"/>
      <c r="G310" s="3"/>
      <c r="H310" s="390"/>
      <c r="I310" s="3"/>
      <c r="J310" s="390"/>
      <c r="K310" s="3"/>
      <c r="L310" s="390"/>
      <c r="M310" s="3"/>
      <c r="N310" s="391"/>
      <c r="O310" s="3"/>
      <c r="P310" s="391"/>
      <c r="Q310" s="3"/>
      <c r="R310" s="391"/>
      <c r="S310" s="3"/>
      <c r="T310" s="391"/>
      <c r="U310" s="3"/>
      <c r="V310" s="390"/>
      <c r="W310" s="3"/>
      <c r="X310" s="390"/>
      <c r="Y310" s="3"/>
      <c r="Z310" s="390"/>
      <c r="AA310" s="3"/>
      <c r="AB310" s="390"/>
      <c r="AC310" s="3"/>
      <c r="AD310" s="390"/>
      <c r="AE310" s="3"/>
      <c r="AF310" s="390"/>
      <c r="AG310" s="3"/>
      <c r="AH310" s="390"/>
      <c r="AI310" s="3"/>
      <c r="AJ310" s="390"/>
      <c r="AK310" s="3"/>
      <c r="AL310" s="390"/>
      <c r="AM310" s="3"/>
      <c r="AN310" s="390"/>
      <c r="AO310" s="3"/>
      <c r="AP310" s="392">
        <f t="shared" si="12"/>
        <v>0</v>
      </c>
      <c r="AQ310" s="389">
        <f t="shared" si="10"/>
        <v>0</v>
      </c>
      <c r="AR310" s="389">
        <f t="shared" si="3"/>
        <v>0</v>
      </c>
      <c r="AS310" s="389">
        <f t="shared" si="4"/>
        <v>0</v>
      </c>
      <c r="AT310" s="392" t="str">
        <f t="shared" si="5"/>
        <v/>
      </c>
    </row>
    <row r="311" ht="15.75" customHeight="1">
      <c r="A311" s="18" t="s">
        <v>21</v>
      </c>
      <c r="B311" s="68">
        <f t="shared" si="6"/>
        <v>45236</v>
      </c>
      <c r="C311" s="20">
        <v>12.0</v>
      </c>
      <c r="D311" s="20" t="s">
        <v>22</v>
      </c>
      <c r="E311" s="389"/>
      <c r="F311" s="390"/>
      <c r="G311" s="3"/>
      <c r="H311" s="390"/>
      <c r="I311" s="3"/>
      <c r="J311" s="390"/>
      <c r="K311" s="3"/>
      <c r="L311" s="390"/>
      <c r="M311" s="3"/>
      <c r="N311" s="391"/>
      <c r="O311" s="3"/>
      <c r="P311" s="391"/>
      <c r="Q311" s="3"/>
      <c r="R311" s="391"/>
      <c r="S311" s="3"/>
      <c r="T311" s="391"/>
      <c r="U311" s="3"/>
      <c r="V311" s="390"/>
      <c r="W311" s="3"/>
      <c r="X311" s="390"/>
      <c r="Y311" s="3"/>
      <c r="Z311" s="390"/>
      <c r="AA311" s="3"/>
      <c r="AB311" s="390"/>
      <c r="AC311" s="3"/>
      <c r="AD311" s="390"/>
      <c r="AE311" s="3"/>
      <c r="AF311" s="390"/>
      <c r="AG311" s="3"/>
      <c r="AH311" s="390"/>
      <c r="AI311" s="3"/>
      <c r="AJ311" s="390"/>
      <c r="AK311" s="3"/>
      <c r="AL311" s="390"/>
      <c r="AM311" s="3"/>
      <c r="AN311" s="390"/>
      <c r="AO311" s="3"/>
      <c r="AP311" s="392">
        <f t="shared" si="12"/>
        <v>0</v>
      </c>
      <c r="AQ311" s="389">
        <f t="shared" si="10"/>
        <v>0</v>
      </c>
      <c r="AR311" s="389">
        <f t="shared" si="3"/>
        <v>0</v>
      </c>
      <c r="AS311" s="389">
        <f t="shared" si="4"/>
        <v>0</v>
      </c>
      <c r="AT311" s="392" t="str">
        <f t="shared" si="5"/>
        <v/>
      </c>
    </row>
    <row r="312" ht="15.75" customHeight="1">
      <c r="A312" s="34" t="s">
        <v>23</v>
      </c>
      <c r="B312" s="35">
        <f t="shared" si="6"/>
        <v>45237</v>
      </c>
      <c r="C312" s="36">
        <v>12.0</v>
      </c>
      <c r="D312" s="36" t="s">
        <v>22</v>
      </c>
      <c r="E312" s="389"/>
      <c r="F312" s="390"/>
      <c r="G312" s="3"/>
      <c r="H312" s="390"/>
      <c r="I312" s="3"/>
      <c r="J312" s="390"/>
      <c r="K312" s="3"/>
      <c r="L312" s="390"/>
      <c r="M312" s="3"/>
      <c r="N312" s="391"/>
      <c r="O312" s="3"/>
      <c r="P312" s="391"/>
      <c r="Q312" s="3"/>
      <c r="R312" s="391"/>
      <c r="S312" s="3"/>
      <c r="T312" s="391"/>
      <c r="U312" s="3"/>
      <c r="V312" s="390"/>
      <c r="W312" s="3"/>
      <c r="X312" s="390"/>
      <c r="Y312" s="3"/>
      <c r="Z312" s="390"/>
      <c r="AA312" s="3"/>
      <c r="AB312" s="390"/>
      <c r="AC312" s="3"/>
      <c r="AD312" s="390"/>
      <c r="AE312" s="3"/>
      <c r="AF312" s="390"/>
      <c r="AG312" s="3"/>
      <c r="AH312" s="390"/>
      <c r="AI312" s="3"/>
      <c r="AJ312" s="390"/>
      <c r="AK312" s="3"/>
      <c r="AL312" s="390"/>
      <c r="AM312" s="3"/>
      <c r="AN312" s="390"/>
      <c r="AO312" s="3"/>
      <c r="AP312" s="392">
        <f t="shared" si="12"/>
        <v>0</v>
      </c>
      <c r="AQ312" s="389">
        <f t="shared" si="10"/>
        <v>0</v>
      </c>
      <c r="AR312" s="389">
        <f t="shared" si="3"/>
        <v>0</v>
      </c>
      <c r="AS312" s="389">
        <f t="shared" si="4"/>
        <v>0</v>
      </c>
      <c r="AT312" s="392" t="str">
        <f t="shared" si="5"/>
        <v/>
      </c>
    </row>
    <row r="313" ht="15.75" customHeight="1">
      <c r="A313" s="34" t="s">
        <v>24</v>
      </c>
      <c r="B313" s="35">
        <f t="shared" si="6"/>
        <v>45238</v>
      </c>
      <c r="C313" s="36">
        <v>12.0</v>
      </c>
      <c r="D313" s="36" t="s">
        <v>22</v>
      </c>
      <c r="E313" s="389"/>
      <c r="F313" s="390"/>
      <c r="G313" s="3"/>
      <c r="H313" s="390"/>
      <c r="I313" s="3"/>
      <c r="J313" s="390"/>
      <c r="K313" s="3"/>
      <c r="L313" s="390"/>
      <c r="M313" s="3"/>
      <c r="N313" s="391"/>
      <c r="O313" s="3"/>
      <c r="P313" s="391"/>
      <c r="Q313" s="3"/>
      <c r="R313" s="391"/>
      <c r="S313" s="3"/>
      <c r="T313" s="391"/>
      <c r="U313" s="3"/>
      <c r="V313" s="390"/>
      <c r="W313" s="3"/>
      <c r="X313" s="390"/>
      <c r="Y313" s="3"/>
      <c r="Z313" s="390"/>
      <c r="AA313" s="3"/>
      <c r="AB313" s="390"/>
      <c r="AC313" s="3"/>
      <c r="AD313" s="390"/>
      <c r="AE313" s="3"/>
      <c r="AF313" s="390"/>
      <c r="AG313" s="3"/>
      <c r="AH313" s="390"/>
      <c r="AI313" s="3"/>
      <c r="AJ313" s="390"/>
      <c r="AK313" s="3"/>
      <c r="AL313" s="390"/>
      <c r="AM313" s="3"/>
      <c r="AN313" s="390"/>
      <c r="AO313" s="3"/>
      <c r="AP313" s="392">
        <f t="shared" si="12"/>
        <v>0</v>
      </c>
      <c r="AQ313" s="389">
        <f t="shared" si="10"/>
        <v>0</v>
      </c>
      <c r="AR313" s="389">
        <f t="shared" si="3"/>
        <v>0</v>
      </c>
      <c r="AS313" s="389">
        <f t="shared" si="4"/>
        <v>0</v>
      </c>
      <c r="AT313" s="392" t="str">
        <f t="shared" si="5"/>
        <v/>
      </c>
    </row>
    <row r="314" ht="15.75" customHeight="1">
      <c r="A314" s="34" t="s">
        <v>25</v>
      </c>
      <c r="B314" s="35">
        <f t="shared" si="6"/>
        <v>45239</v>
      </c>
      <c r="C314" s="36">
        <v>12.0</v>
      </c>
      <c r="D314" s="36" t="s">
        <v>22</v>
      </c>
      <c r="E314" s="389"/>
      <c r="F314" s="390"/>
      <c r="G314" s="3"/>
      <c r="H314" s="390"/>
      <c r="I314" s="3"/>
      <c r="J314" s="390"/>
      <c r="K314" s="3"/>
      <c r="L314" s="390"/>
      <c r="M314" s="3"/>
      <c r="N314" s="391"/>
      <c r="O314" s="3"/>
      <c r="P314" s="391"/>
      <c r="Q314" s="3"/>
      <c r="R314" s="391"/>
      <c r="S314" s="3"/>
      <c r="T314" s="391"/>
      <c r="U314" s="3"/>
      <c r="V314" s="390"/>
      <c r="W314" s="3"/>
      <c r="X314" s="390"/>
      <c r="Y314" s="3"/>
      <c r="Z314" s="390"/>
      <c r="AA314" s="3"/>
      <c r="AB314" s="390"/>
      <c r="AC314" s="3"/>
      <c r="AD314" s="390"/>
      <c r="AE314" s="3"/>
      <c r="AF314" s="390"/>
      <c r="AG314" s="3"/>
      <c r="AH314" s="390"/>
      <c r="AI314" s="3"/>
      <c r="AJ314" s="390"/>
      <c r="AK314" s="3"/>
      <c r="AL314" s="390"/>
      <c r="AM314" s="3"/>
      <c r="AN314" s="390"/>
      <c r="AO314" s="3"/>
      <c r="AP314" s="392">
        <f t="shared" si="12"/>
        <v>0</v>
      </c>
      <c r="AQ314" s="389">
        <f t="shared" si="10"/>
        <v>0</v>
      </c>
      <c r="AR314" s="389">
        <f t="shared" si="3"/>
        <v>0</v>
      </c>
      <c r="AS314" s="389">
        <f t="shared" si="4"/>
        <v>0</v>
      </c>
      <c r="AT314" s="392" t="str">
        <f t="shared" si="5"/>
        <v/>
      </c>
    </row>
    <row r="315" ht="15.75" customHeight="1">
      <c r="A315" s="34" t="s">
        <v>26</v>
      </c>
      <c r="B315" s="35">
        <f t="shared" si="6"/>
        <v>45240</v>
      </c>
      <c r="C315" s="36">
        <v>12.0</v>
      </c>
      <c r="D315" s="36" t="s">
        <v>22</v>
      </c>
      <c r="E315" s="389"/>
      <c r="F315" s="390"/>
      <c r="G315" s="3"/>
      <c r="H315" s="390"/>
      <c r="I315" s="3"/>
      <c r="J315" s="390"/>
      <c r="K315" s="3"/>
      <c r="L315" s="390"/>
      <c r="M315" s="3"/>
      <c r="N315" s="391"/>
      <c r="O315" s="3"/>
      <c r="P315" s="391"/>
      <c r="Q315" s="3"/>
      <c r="R315" s="391"/>
      <c r="S315" s="3"/>
      <c r="T315" s="391"/>
      <c r="U315" s="3"/>
      <c r="V315" s="390"/>
      <c r="W315" s="3"/>
      <c r="X315" s="390"/>
      <c r="Y315" s="3"/>
      <c r="Z315" s="390"/>
      <c r="AA315" s="3"/>
      <c r="AB315" s="390"/>
      <c r="AC315" s="3"/>
      <c r="AD315" s="390"/>
      <c r="AE315" s="3"/>
      <c r="AF315" s="390"/>
      <c r="AG315" s="3"/>
      <c r="AH315" s="390"/>
      <c r="AI315" s="3"/>
      <c r="AJ315" s="390"/>
      <c r="AK315" s="3"/>
      <c r="AL315" s="390"/>
      <c r="AM315" s="3"/>
      <c r="AN315" s="390"/>
      <c r="AO315" s="3"/>
      <c r="AP315" s="392">
        <f t="shared" si="12"/>
        <v>0</v>
      </c>
      <c r="AQ315" s="389">
        <f t="shared" si="10"/>
        <v>0</v>
      </c>
      <c r="AR315" s="389">
        <f t="shared" si="3"/>
        <v>0</v>
      </c>
      <c r="AS315" s="389">
        <f t="shared" si="4"/>
        <v>0</v>
      </c>
      <c r="AT315" s="392" t="str">
        <f t="shared" si="5"/>
        <v/>
      </c>
    </row>
    <row r="316" ht="15.75" customHeight="1">
      <c r="A316" s="34" t="s">
        <v>27</v>
      </c>
      <c r="B316" s="35">
        <f t="shared" si="6"/>
        <v>45241</v>
      </c>
      <c r="C316" s="36">
        <v>12.0</v>
      </c>
      <c r="D316" s="36" t="s">
        <v>22</v>
      </c>
      <c r="E316" s="389"/>
      <c r="F316" s="390"/>
      <c r="G316" s="3"/>
      <c r="H316" s="390"/>
      <c r="I316" s="3"/>
      <c r="J316" s="390"/>
      <c r="K316" s="3"/>
      <c r="L316" s="390"/>
      <c r="M316" s="3"/>
      <c r="N316" s="391"/>
      <c r="O316" s="3"/>
      <c r="P316" s="391"/>
      <c r="Q316" s="3"/>
      <c r="R316" s="391"/>
      <c r="S316" s="3"/>
      <c r="T316" s="391"/>
      <c r="U316" s="3"/>
      <c r="V316" s="390"/>
      <c r="W316" s="3"/>
      <c r="X316" s="390"/>
      <c r="Y316" s="3"/>
      <c r="Z316" s="390"/>
      <c r="AA316" s="3"/>
      <c r="AB316" s="390"/>
      <c r="AC316" s="3"/>
      <c r="AD316" s="390"/>
      <c r="AE316" s="3"/>
      <c r="AF316" s="390"/>
      <c r="AG316" s="3"/>
      <c r="AH316" s="390"/>
      <c r="AI316" s="3"/>
      <c r="AJ316" s="390"/>
      <c r="AK316" s="3"/>
      <c r="AL316" s="390"/>
      <c r="AM316" s="3"/>
      <c r="AN316" s="390"/>
      <c r="AO316" s="3"/>
      <c r="AP316" s="392">
        <f t="shared" si="12"/>
        <v>0</v>
      </c>
      <c r="AQ316" s="389">
        <f t="shared" si="10"/>
        <v>0</v>
      </c>
      <c r="AR316" s="389">
        <f t="shared" si="3"/>
        <v>0</v>
      </c>
      <c r="AS316" s="389">
        <f t="shared" si="4"/>
        <v>0</v>
      </c>
      <c r="AT316" s="392" t="str">
        <f t="shared" si="5"/>
        <v/>
      </c>
    </row>
    <row r="317" ht="15.75" customHeight="1">
      <c r="A317" s="46" t="s">
        <v>28</v>
      </c>
      <c r="B317" s="47">
        <f t="shared" si="6"/>
        <v>45242</v>
      </c>
      <c r="C317" s="49">
        <v>12.0</v>
      </c>
      <c r="D317" s="49" t="s">
        <v>22</v>
      </c>
      <c r="E317" s="389"/>
      <c r="F317" s="390"/>
      <c r="G317" s="3"/>
      <c r="H317" s="390"/>
      <c r="I317" s="3"/>
      <c r="J317" s="390"/>
      <c r="K317" s="3"/>
      <c r="L317" s="390"/>
      <c r="M317" s="3"/>
      <c r="N317" s="391"/>
      <c r="O317" s="3"/>
      <c r="P317" s="391"/>
      <c r="Q317" s="3"/>
      <c r="R317" s="391"/>
      <c r="S317" s="3"/>
      <c r="T317" s="391"/>
      <c r="U317" s="3"/>
      <c r="V317" s="390"/>
      <c r="W317" s="3"/>
      <c r="X317" s="390"/>
      <c r="Y317" s="3"/>
      <c r="Z317" s="390"/>
      <c r="AA317" s="3"/>
      <c r="AB317" s="390"/>
      <c r="AC317" s="3"/>
      <c r="AD317" s="390"/>
      <c r="AE317" s="3"/>
      <c r="AF317" s="390"/>
      <c r="AG317" s="3"/>
      <c r="AH317" s="390"/>
      <c r="AI317" s="3"/>
      <c r="AJ317" s="390"/>
      <c r="AK317" s="3"/>
      <c r="AL317" s="390"/>
      <c r="AM317" s="3"/>
      <c r="AN317" s="390"/>
      <c r="AO317" s="3"/>
      <c r="AP317" s="392">
        <f t="shared" si="12"/>
        <v>0</v>
      </c>
      <c r="AQ317" s="389">
        <f t="shared" si="10"/>
        <v>0</v>
      </c>
      <c r="AR317" s="389">
        <f t="shared" si="3"/>
        <v>0</v>
      </c>
      <c r="AS317" s="389">
        <f t="shared" si="4"/>
        <v>0</v>
      </c>
      <c r="AT317" s="392" t="str">
        <f t="shared" si="5"/>
        <v/>
      </c>
    </row>
    <row r="318" ht="15.75" customHeight="1">
      <c r="A318" s="18" t="s">
        <v>21</v>
      </c>
      <c r="B318" s="68">
        <f t="shared" si="6"/>
        <v>45243</v>
      </c>
      <c r="C318" s="20">
        <v>12.0</v>
      </c>
      <c r="D318" s="20" t="s">
        <v>34</v>
      </c>
      <c r="E318" s="389"/>
      <c r="F318" s="390"/>
      <c r="G318" s="3"/>
      <c r="H318" s="390"/>
      <c r="I318" s="3"/>
      <c r="J318" s="390"/>
      <c r="K318" s="3"/>
      <c r="L318" s="390"/>
      <c r="M318" s="3"/>
      <c r="N318" s="391"/>
      <c r="O318" s="3"/>
      <c r="P318" s="391"/>
      <c r="Q318" s="3"/>
      <c r="R318" s="391"/>
      <c r="S318" s="3"/>
      <c r="T318" s="391"/>
      <c r="U318" s="3"/>
      <c r="V318" s="390"/>
      <c r="W318" s="3"/>
      <c r="X318" s="390"/>
      <c r="Y318" s="3"/>
      <c r="Z318" s="390"/>
      <c r="AA318" s="3"/>
      <c r="AB318" s="390"/>
      <c r="AC318" s="3"/>
      <c r="AD318" s="390"/>
      <c r="AE318" s="3"/>
      <c r="AF318" s="390"/>
      <c r="AG318" s="3"/>
      <c r="AH318" s="390"/>
      <c r="AI318" s="3"/>
      <c r="AJ318" s="390"/>
      <c r="AK318" s="3"/>
      <c r="AL318" s="390"/>
      <c r="AM318" s="3"/>
      <c r="AN318" s="390"/>
      <c r="AO318" s="3"/>
      <c r="AP318" s="392">
        <f t="shared" si="12"/>
        <v>0</v>
      </c>
      <c r="AQ318" s="389">
        <f t="shared" si="10"/>
        <v>0</v>
      </c>
      <c r="AR318" s="389">
        <f t="shared" si="3"/>
        <v>0</v>
      </c>
      <c r="AS318" s="389">
        <f t="shared" si="4"/>
        <v>0</v>
      </c>
      <c r="AT318" s="392" t="str">
        <f t="shared" si="5"/>
        <v/>
      </c>
    </row>
    <row r="319" ht="15.75" customHeight="1">
      <c r="A319" s="34" t="s">
        <v>23</v>
      </c>
      <c r="B319" s="35">
        <f t="shared" si="6"/>
        <v>45244</v>
      </c>
      <c r="C319" s="36">
        <v>12.0</v>
      </c>
      <c r="D319" s="36" t="s">
        <v>34</v>
      </c>
      <c r="E319" s="389"/>
      <c r="F319" s="390"/>
      <c r="G319" s="3"/>
      <c r="H319" s="390"/>
      <c r="I319" s="3"/>
      <c r="J319" s="390"/>
      <c r="K319" s="3"/>
      <c r="L319" s="390"/>
      <c r="M319" s="3"/>
      <c r="N319" s="391"/>
      <c r="O319" s="3"/>
      <c r="P319" s="391"/>
      <c r="Q319" s="3"/>
      <c r="R319" s="391"/>
      <c r="S319" s="3"/>
      <c r="T319" s="391"/>
      <c r="U319" s="3"/>
      <c r="V319" s="390"/>
      <c r="W319" s="3"/>
      <c r="X319" s="390"/>
      <c r="Y319" s="3"/>
      <c r="Z319" s="390"/>
      <c r="AA319" s="3"/>
      <c r="AB319" s="390"/>
      <c r="AC319" s="3"/>
      <c r="AD319" s="390"/>
      <c r="AE319" s="3"/>
      <c r="AF319" s="390"/>
      <c r="AG319" s="3"/>
      <c r="AH319" s="390"/>
      <c r="AI319" s="3"/>
      <c r="AJ319" s="390"/>
      <c r="AK319" s="3"/>
      <c r="AL319" s="390"/>
      <c r="AM319" s="3"/>
      <c r="AN319" s="390"/>
      <c r="AO319" s="3"/>
      <c r="AP319" s="392">
        <f t="shared" si="12"/>
        <v>0</v>
      </c>
      <c r="AQ319" s="389">
        <f t="shared" si="10"/>
        <v>0</v>
      </c>
      <c r="AR319" s="389">
        <f t="shared" si="3"/>
        <v>0</v>
      </c>
      <c r="AS319" s="389">
        <f t="shared" si="4"/>
        <v>0</v>
      </c>
      <c r="AT319" s="392" t="str">
        <f t="shared" si="5"/>
        <v/>
      </c>
    </row>
    <row r="320" ht="15.75" customHeight="1">
      <c r="A320" s="34" t="s">
        <v>24</v>
      </c>
      <c r="B320" s="35">
        <f t="shared" si="6"/>
        <v>45245</v>
      </c>
      <c r="C320" s="36">
        <v>12.0</v>
      </c>
      <c r="D320" s="36" t="s">
        <v>34</v>
      </c>
      <c r="E320" s="389"/>
      <c r="F320" s="390"/>
      <c r="G320" s="3"/>
      <c r="H320" s="390"/>
      <c r="I320" s="3"/>
      <c r="J320" s="390"/>
      <c r="K320" s="3"/>
      <c r="L320" s="390"/>
      <c r="M320" s="3"/>
      <c r="N320" s="391"/>
      <c r="O320" s="3"/>
      <c r="P320" s="391"/>
      <c r="Q320" s="3"/>
      <c r="R320" s="391"/>
      <c r="S320" s="3"/>
      <c r="T320" s="391"/>
      <c r="U320" s="3"/>
      <c r="V320" s="390"/>
      <c r="W320" s="3"/>
      <c r="X320" s="390"/>
      <c r="Y320" s="3"/>
      <c r="Z320" s="390"/>
      <c r="AA320" s="3"/>
      <c r="AB320" s="390"/>
      <c r="AC320" s="3"/>
      <c r="AD320" s="390"/>
      <c r="AE320" s="3"/>
      <c r="AF320" s="390"/>
      <c r="AG320" s="3"/>
      <c r="AH320" s="390"/>
      <c r="AI320" s="3"/>
      <c r="AJ320" s="390"/>
      <c r="AK320" s="3"/>
      <c r="AL320" s="390"/>
      <c r="AM320" s="3"/>
      <c r="AN320" s="390"/>
      <c r="AO320" s="3"/>
      <c r="AP320" s="392">
        <f t="shared" si="12"/>
        <v>0</v>
      </c>
      <c r="AQ320" s="389">
        <f t="shared" si="10"/>
        <v>0</v>
      </c>
      <c r="AR320" s="389">
        <f t="shared" si="3"/>
        <v>0</v>
      </c>
      <c r="AS320" s="389">
        <f t="shared" si="4"/>
        <v>0</v>
      </c>
      <c r="AT320" s="392" t="str">
        <f t="shared" si="5"/>
        <v/>
      </c>
    </row>
    <row r="321" ht="15.75" customHeight="1">
      <c r="A321" s="34" t="s">
        <v>25</v>
      </c>
      <c r="B321" s="35">
        <f t="shared" si="6"/>
        <v>45246</v>
      </c>
      <c r="C321" s="36">
        <v>12.0</v>
      </c>
      <c r="D321" s="36" t="s">
        <v>34</v>
      </c>
      <c r="E321" s="389"/>
      <c r="F321" s="390"/>
      <c r="G321" s="3"/>
      <c r="H321" s="390"/>
      <c r="I321" s="3"/>
      <c r="J321" s="390"/>
      <c r="K321" s="3"/>
      <c r="L321" s="390"/>
      <c r="M321" s="3"/>
      <c r="N321" s="391"/>
      <c r="O321" s="3"/>
      <c r="P321" s="391"/>
      <c r="Q321" s="3"/>
      <c r="R321" s="391"/>
      <c r="S321" s="3"/>
      <c r="T321" s="391"/>
      <c r="U321" s="3"/>
      <c r="V321" s="390"/>
      <c r="W321" s="3"/>
      <c r="X321" s="390"/>
      <c r="Y321" s="3"/>
      <c r="Z321" s="390"/>
      <c r="AA321" s="3"/>
      <c r="AB321" s="390"/>
      <c r="AC321" s="3"/>
      <c r="AD321" s="390"/>
      <c r="AE321" s="3"/>
      <c r="AF321" s="390"/>
      <c r="AG321" s="3"/>
      <c r="AH321" s="390"/>
      <c r="AI321" s="3"/>
      <c r="AJ321" s="390"/>
      <c r="AK321" s="3"/>
      <c r="AL321" s="390"/>
      <c r="AM321" s="3"/>
      <c r="AN321" s="390"/>
      <c r="AO321" s="3"/>
      <c r="AP321" s="392">
        <f t="shared" si="12"/>
        <v>0</v>
      </c>
      <c r="AQ321" s="389">
        <f t="shared" si="10"/>
        <v>0</v>
      </c>
      <c r="AR321" s="389">
        <f t="shared" si="3"/>
        <v>0</v>
      </c>
      <c r="AS321" s="389">
        <f t="shared" si="4"/>
        <v>0</v>
      </c>
      <c r="AT321" s="392" t="str">
        <f t="shared" si="5"/>
        <v/>
      </c>
    </row>
    <row r="322" ht="15.75" customHeight="1">
      <c r="A322" s="34" t="s">
        <v>26</v>
      </c>
      <c r="B322" s="35">
        <f t="shared" si="6"/>
        <v>45247</v>
      </c>
      <c r="C322" s="36">
        <v>12.0</v>
      </c>
      <c r="D322" s="36" t="s">
        <v>34</v>
      </c>
      <c r="E322" s="389"/>
      <c r="F322" s="390"/>
      <c r="G322" s="3"/>
      <c r="H322" s="390"/>
      <c r="I322" s="3"/>
      <c r="J322" s="390"/>
      <c r="K322" s="3"/>
      <c r="L322" s="390"/>
      <c r="M322" s="3"/>
      <c r="N322" s="391"/>
      <c r="O322" s="3"/>
      <c r="P322" s="391"/>
      <c r="Q322" s="3"/>
      <c r="R322" s="391"/>
      <c r="S322" s="3"/>
      <c r="T322" s="391"/>
      <c r="U322" s="3"/>
      <c r="V322" s="390"/>
      <c r="W322" s="3"/>
      <c r="X322" s="390"/>
      <c r="Y322" s="3"/>
      <c r="Z322" s="390"/>
      <c r="AA322" s="3"/>
      <c r="AB322" s="390"/>
      <c r="AC322" s="3"/>
      <c r="AD322" s="390"/>
      <c r="AE322" s="3"/>
      <c r="AF322" s="390"/>
      <c r="AG322" s="3"/>
      <c r="AH322" s="390"/>
      <c r="AI322" s="3"/>
      <c r="AJ322" s="390"/>
      <c r="AK322" s="3"/>
      <c r="AL322" s="390"/>
      <c r="AM322" s="3"/>
      <c r="AN322" s="390"/>
      <c r="AO322" s="3"/>
      <c r="AP322" s="392">
        <f t="shared" si="12"/>
        <v>0</v>
      </c>
      <c r="AQ322" s="389">
        <f t="shared" si="10"/>
        <v>0</v>
      </c>
      <c r="AR322" s="389">
        <f t="shared" si="3"/>
        <v>0</v>
      </c>
      <c r="AS322" s="389">
        <f t="shared" si="4"/>
        <v>0</v>
      </c>
      <c r="AT322" s="392" t="str">
        <f t="shared" si="5"/>
        <v/>
      </c>
    </row>
    <row r="323" ht="15.75" customHeight="1">
      <c r="A323" s="34" t="s">
        <v>27</v>
      </c>
      <c r="B323" s="35">
        <f t="shared" si="6"/>
        <v>45248</v>
      </c>
      <c r="C323" s="36">
        <v>12.0</v>
      </c>
      <c r="D323" s="36" t="s">
        <v>34</v>
      </c>
      <c r="E323" s="389"/>
      <c r="F323" s="390"/>
      <c r="G323" s="3"/>
      <c r="H323" s="390"/>
      <c r="I323" s="3"/>
      <c r="J323" s="390"/>
      <c r="K323" s="3"/>
      <c r="L323" s="390"/>
      <c r="M323" s="3"/>
      <c r="N323" s="391"/>
      <c r="O323" s="3"/>
      <c r="P323" s="391"/>
      <c r="Q323" s="3"/>
      <c r="R323" s="391"/>
      <c r="S323" s="3"/>
      <c r="T323" s="391"/>
      <c r="U323" s="3"/>
      <c r="V323" s="390"/>
      <c r="W323" s="3"/>
      <c r="X323" s="390"/>
      <c r="Y323" s="3"/>
      <c r="Z323" s="390"/>
      <c r="AA323" s="3"/>
      <c r="AB323" s="390"/>
      <c r="AC323" s="3"/>
      <c r="AD323" s="390"/>
      <c r="AE323" s="3"/>
      <c r="AF323" s="390"/>
      <c r="AG323" s="3"/>
      <c r="AH323" s="390"/>
      <c r="AI323" s="3"/>
      <c r="AJ323" s="390"/>
      <c r="AK323" s="3"/>
      <c r="AL323" s="390"/>
      <c r="AM323" s="3"/>
      <c r="AN323" s="390"/>
      <c r="AO323" s="3"/>
      <c r="AP323" s="392">
        <f t="shared" si="12"/>
        <v>0</v>
      </c>
      <c r="AQ323" s="389">
        <f t="shared" si="10"/>
        <v>0</v>
      </c>
      <c r="AR323" s="389">
        <f t="shared" si="3"/>
        <v>0</v>
      </c>
      <c r="AS323" s="389">
        <f t="shared" si="4"/>
        <v>0</v>
      </c>
      <c r="AT323" s="392" t="str">
        <f t="shared" si="5"/>
        <v/>
      </c>
    </row>
    <row r="324" ht="15.75" customHeight="1">
      <c r="A324" s="46" t="s">
        <v>28</v>
      </c>
      <c r="B324" s="47">
        <f t="shared" si="6"/>
        <v>45249</v>
      </c>
      <c r="C324" s="49">
        <v>12.0</v>
      </c>
      <c r="D324" s="49" t="s">
        <v>34</v>
      </c>
      <c r="E324" s="389"/>
      <c r="F324" s="390"/>
      <c r="G324" s="3"/>
      <c r="H324" s="390"/>
      <c r="I324" s="3"/>
      <c r="J324" s="390"/>
      <c r="K324" s="3"/>
      <c r="L324" s="390"/>
      <c r="M324" s="3"/>
      <c r="N324" s="391"/>
      <c r="O324" s="3"/>
      <c r="P324" s="391"/>
      <c r="Q324" s="3"/>
      <c r="R324" s="391"/>
      <c r="S324" s="3"/>
      <c r="T324" s="391"/>
      <c r="U324" s="3"/>
      <c r="V324" s="390"/>
      <c r="W324" s="3"/>
      <c r="X324" s="390"/>
      <c r="Y324" s="3"/>
      <c r="Z324" s="390"/>
      <c r="AA324" s="3"/>
      <c r="AB324" s="390"/>
      <c r="AC324" s="3"/>
      <c r="AD324" s="390"/>
      <c r="AE324" s="3"/>
      <c r="AF324" s="390"/>
      <c r="AG324" s="3"/>
      <c r="AH324" s="390"/>
      <c r="AI324" s="3"/>
      <c r="AJ324" s="390"/>
      <c r="AK324" s="3"/>
      <c r="AL324" s="390"/>
      <c r="AM324" s="3"/>
      <c r="AN324" s="390"/>
      <c r="AO324" s="3"/>
      <c r="AP324" s="392">
        <f t="shared" si="12"/>
        <v>0</v>
      </c>
      <c r="AQ324" s="389">
        <f t="shared" si="10"/>
        <v>0</v>
      </c>
      <c r="AR324" s="389">
        <f t="shared" si="3"/>
        <v>0</v>
      </c>
      <c r="AS324" s="389">
        <f t="shared" si="4"/>
        <v>0</v>
      </c>
      <c r="AT324" s="392" t="str">
        <f t="shared" si="5"/>
        <v/>
      </c>
    </row>
    <row r="325" ht="15.75" customHeight="1">
      <c r="A325" s="18" t="s">
        <v>21</v>
      </c>
      <c r="B325" s="68">
        <f t="shared" si="6"/>
        <v>45250</v>
      </c>
      <c r="C325" s="20">
        <v>12.0</v>
      </c>
      <c r="D325" s="20" t="s">
        <v>36</v>
      </c>
      <c r="E325" s="389"/>
      <c r="F325" s="390"/>
      <c r="G325" s="3"/>
      <c r="H325" s="390"/>
      <c r="I325" s="3"/>
      <c r="J325" s="390"/>
      <c r="K325" s="3"/>
      <c r="L325" s="390"/>
      <c r="M325" s="3"/>
      <c r="N325" s="391"/>
      <c r="O325" s="3"/>
      <c r="P325" s="391"/>
      <c r="Q325" s="3"/>
      <c r="R325" s="391"/>
      <c r="S325" s="3"/>
      <c r="T325" s="391"/>
      <c r="U325" s="3"/>
      <c r="V325" s="390"/>
      <c r="W325" s="3"/>
      <c r="X325" s="390"/>
      <c r="Y325" s="3"/>
      <c r="Z325" s="390"/>
      <c r="AA325" s="3"/>
      <c r="AB325" s="390"/>
      <c r="AC325" s="3"/>
      <c r="AD325" s="390"/>
      <c r="AE325" s="3"/>
      <c r="AF325" s="390"/>
      <c r="AG325" s="3"/>
      <c r="AH325" s="390"/>
      <c r="AI325" s="3"/>
      <c r="AJ325" s="390"/>
      <c r="AK325" s="3"/>
      <c r="AL325" s="390"/>
      <c r="AM325" s="3"/>
      <c r="AN325" s="390"/>
      <c r="AO325" s="3"/>
      <c r="AP325" s="392">
        <f t="shared" si="12"/>
        <v>0</v>
      </c>
      <c r="AQ325" s="389">
        <f t="shared" si="10"/>
        <v>0</v>
      </c>
      <c r="AR325" s="389">
        <f t="shared" si="3"/>
        <v>0</v>
      </c>
      <c r="AS325" s="389">
        <f t="shared" si="4"/>
        <v>0</v>
      </c>
      <c r="AT325" s="392" t="str">
        <f t="shared" si="5"/>
        <v/>
      </c>
    </row>
    <row r="326" ht="15.75" customHeight="1">
      <c r="A326" s="34" t="s">
        <v>23</v>
      </c>
      <c r="B326" s="35">
        <f t="shared" si="6"/>
        <v>45251</v>
      </c>
      <c r="C326" s="36">
        <v>12.0</v>
      </c>
      <c r="D326" s="36" t="s">
        <v>36</v>
      </c>
      <c r="E326" s="389"/>
      <c r="F326" s="390"/>
      <c r="G326" s="3"/>
      <c r="H326" s="390"/>
      <c r="I326" s="3"/>
      <c r="J326" s="390"/>
      <c r="K326" s="3"/>
      <c r="L326" s="390"/>
      <c r="M326" s="3"/>
      <c r="N326" s="391"/>
      <c r="O326" s="3"/>
      <c r="P326" s="391"/>
      <c r="Q326" s="3"/>
      <c r="R326" s="391"/>
      <c r="S326" s="3"/>
      <c r="T326" s="391"/>
      <c r="U326" s="3"/>
      <c r="V326" s="390"/>
      <c r="W326" s="3"/>
      <c r="X326" s="390"/>
      <c r="Y326" s="3"/>
      <c r="Z326" s="390"/>
      <c r="AA326" s="3"/>
      <c r="AB326" s="390"/>
      <c r="AC326" s="3"/>
      <c r="AD326" s="390"/>
      <c r="AE326" s="3"/>
      <c r="AF326" s="390"/>
      <c r="AG326" s="3"/>
      <c r="AH326" s="390"/>
      <c r="AI326" s="3"/>
      <c r="AJ326" s="390"/>
      <c r="AK326" s="3"/>
      <c r="AL326" s="390"/>
      <c r="AM326" s="3"/>
      <c r="AN326" s="390"/>
      <c r="AO326" s="3"/>
      <c r="AP326" s="392">
        <f t="shared" si="12"/>
        <v>0</v>
      </c>
      <c r="AQ326" s="389">
        <f t="shared" si="10"/>
        <v>0</v>
      </c>
      <c r="AR326" s="389">
        <f t="shared" si="3"/>
        <v>0</v>
      </c>
      <c r="AS326" s="389">
        <f t="shared" si="4"/>
        <v>0</v>
      </c>
      <c r="AT326" s="392" t="str">
        <f t="shared" si="5"/>
        <v/>
      </c>
    </row>
    <row r="327" ht="15.75" customHeight="1">
      <c r="A327" s="34" t="s">
        <v>24</v>
      </c>
      <c r="B327" s="35">
        <f t="shared" si="6"/>
        <v>45252</v>
      </c>
      <c r="C327" s="36">
        <v>12.0</v>
      </c>
      <c r="D327" s="36" t="s">
        <v>36</v>
      </c>
      <c r="E327" s="389"/>
      <c r="F327" s="390"/>
      <c r="G327" s="3"/>
      <c r="H327" s="390"/>
      <c r="I327" s="3"/>
      <c r="J327" s="390"/>
      <c r="K327" s="3"/>
      <c r="L327" s="390"/>
      <c r="M327" s="3"/>
      <c r="N327" s="391"/>
      <c r="O327" s="3"/>
      <c r="P327" s="391"/>
      <c r="Q327" s="3"/>
      <c r="R327" s="391"/>
      <c r="S327" s="3"/>
      <c r="T327" s="391"/>
      <c r="U327" s="3"/>
      <c r="V327" s="390"/>
      <c r="W327" s="3"/>
      <c r="X327" s="390"/>
      <c r="Y327" s="3"/>
      <c r="Z327" s="390"/>
      <c r="AA327" s="3"/>
      <c r="AB327" s="390"/>
      <c r="AC327" s="3"/>
      <c r="AD327" s="390"/>
      <c r="AE327" s="3"/>
      <c r="AF327" s="390"/>
      <c r="AG327" s="3"/>
      <c r="AH327" s="390"/>
      <c r="AI327" s="3"/>
      <c r="AJ327" s="390"/>
      <c r="AK327" s="3"/>
      <c r="AL327" s="390"/>
      <c r="AM327" s="3"/>
      <c r="AN327" s="390"/>
      <c r="AO327" s="3"/>
      <c r="AP327" s="392">
        <f t="shared" si="12"/>
        <v>0</v>
      </c>
      <c r="AQ327" s="389">
        <f t="shared" si="10"/>
        <v>0</v>
      </c>
      <c r="AR327" s="389">
        <f t="shared" si="3"/>
        <v>0</v>
      </c>
      <c r="AS327" s="389">
        <f t="shared" si="4"/>
        <v>0</v>
      </c>
      <c r="AT327" s="392" t="str">
        <f t="shared" si="5"/>
        <v/>
      </c>
    </row>
    <row r="328" ht="15.75" customHeight="1">
      <c r="A328" s="34" t="s">
        <v>25</v>
      </c>
      <c r="B328" s="35">
        <f t="shared" si="6"/>
        <v>45253</v>
      </c>
      <c r="C328" s="36">
        <v>12.0</v>
      </c>
      <c r="D328" s="36" t="s">
        <v>36</v>
      </c>
      <c r="E328" s="389"/>
      <c r="F328" s="390"/>
      <c r="G328" s="3"/>
      <c r="H328" s="390"/>
      <c r="I328" s="3"/>
      <c r="J328" s="390"/>
      <c r="K328" s="3"/>
      <c r="L328" s="390"/>
      <c r="M328" s="3"/>
      <c r="N328" s="391"/>
      <c r="O328" s="3"/>
      <c r="P328" s="391"/>
      <c r="Q328" s="3"/>
      <c r="R328" s="391"/>
      <c r="S328" s="3"/>
      <c r="T328" s="391"/>
      <c r="U328" s="3"/>
      <c r="V328" s="390"/>
      <c r="W328" s="3"/>
      <c r="X328" s="390"/>
      <c r="Y328" s="3"/>
      <c r="Z328" s="390"/>
      <c r="AA328" s="3"/>
      <c r="AB328" s="390"/>
      <c r="AC328" s="3"/>
      <c r="AD328" s="390"/>
      <c r="AE328" s="3"/>
      <c r="AF328" s="390"/>
      <c r="AG328" s="3"/>
      <c r="AH328" s="390"/>
      <c r="AI328" s="3"/>
      <c r="AJ328" s="390"/>
      <c r="AK328" s="3"/>
      <c r="AL328" s="390"/>
      <c r="AM328" s="3"/>
      <c r="AN328" s="390"/>
      <c r="AO328" s="3"/>
      <c r="AP328" s="392">
        <f t="shared" si="12"/>
        <v>0</v>
      </c>
      <c r="AQ328" s="389">
        <f t="shared" si="10"/>
        <v>0</v>
      </c>
      <c r="AR328" s="389">
        <f t="shared" si="3"/>
        <v>0</v>
      </c>
      <c r="AS328" s="389">
        <f t="shared" si="4"/>
        <v>0</v>
      </c>
      <c r="AT328" s="392" t="str">
        <f t="shared" si="5"/>
        <v/>
      </c>
    </row>
    <row r="329" ht="15.75" customHeight="1">
      <c r="A329" s="34" t="s">
        <v>26</v>
      </c>
      <c r="B329" s="35">
        <f t="shared" si="6"/>
        <v>45254</v>
      </c>
      <c r="C329" s="36">
        <v>12.0</v>
      </c>
      <c r="D329" s="36" t="s">
        <v>36</v>
      </c>
      <c r="E329" s="389"/>
      <c r="F329" s="390"/>
      <c r="G329" s="3"/>
      <c r="H329" s="390"/>
      <c r="I329" s="3"/>
      <c r="J329" s="390"/>
      <c r="K329" s="3"/>
      <c r="L329" s="390"/>
      <c r="M329" s="3"/>
      <c r="N329" s="391"/>
      <c r="O329" s="3"/>
      <c r="P329" s="391"/>
      <c r="Q329" s="3"/>
      <c r="R329" s="391"/>
      <c r="S329" s="3"/>
      <c r="T329" s="391"/>
      <c r="U329" s="3"/>
      <c r="V329" s="390"/>
      <c r="W329" s="3"/>
      <c r="X329" s="390"/>
      <c r="Y329" s="3"/>
      <c r="Z329" s="390"/>
      <c r="AA329" s="3"/>
      <c r="AB329" s="390"/>
      <c r="AC329" s="3"/>
      <c r="AD329" s="390"/>
      <c r="AE329" s="3"/>
      <c r="AF329" s="390"/>
      <c r="AG329" s="3"/>
      <c r="AH329" s="390"/>
      <c r="AI329" s="3"/>
      <c r="AJ329" s="390"/>
      <c r="AK329" s="3"/>
      <c r="AL329" s="390"/>
      <c r="AM329" s="3"/>
      <c r="AN329" s="390"/>
      <c r="AO329" s="3"/>
      <c r="AP329" s="392">
        <f t="shared" si="12"/>
        <v>0</v>
      </c>
      <c r="AQ329" s="389">
        <f t="shared" si="10"/>
        <v>0</v>
      </c>
      <c r="AR329" s="389">
        <f t="shared" si="3"/>
        <v>0</v>
      </c>
      <c r="AS329" s="389">
        <f t="shared" si="4"/>
        <v>0</v>
      </c>
      <c r="AT329" s="392" t="str">
        <f t="shared" si="5"/>
        <v/>
      </c>
    </row>
    <row r="330" ht="15.75" customHeight="1">
      <c r="A330" s="34" t="s">
        <v>27</v>
      </c>
      <c r="B330" s="35">
        <f t="shared" si="6"/>
        <v>45255</v>
      </c>
      <c r="C330" s="36">
        <v>12.0</v>
      </c>
      <c r="D330" s="36" t="s">
        <v>36</v>
      </c>
      <c r="E330" s="389"/>
      <c r="F330" s="390"/>
      <c r="G330" s="3"/>
      <c r="H330" s="390"/>
      <c r="I330" s="3"/>
      <c r="J330" s="390"/>
      <c r="K330" s="3"/>
      <c r="L330" s="390"/>
      <c r="M330" s="3"/>
      <c r="N330" s="391"/>
      <c r="O330" s="3"/>
      <c r="P330" s="391"/>
      <c r="Q330" s="3"/>
      <c r="R330" s="391"/>
      <c r="S330" s="3"/>
      <c r="T330" s="391"/>
      <c r="U330" s="3"/>
      <c r="V330" s="390"/>
      <c r="W330" s="3"/>
      <c r="X330" s="390"/>
      <c r="Y330" s="3"/>
      <c r="Z330" s="390"/>
      <c r="AA330" s="3"/>
      <c r="AB330" s="390"/>
      <c r="AC330" s="3"/>
      <c r="AD330" s="390"/>
      <c r="AE330" s="3"/>
      <c r="AF330" s="390"/>
      <c r="AG330" s="3"/>
      <c r="AH330" s="390"/>
      <c r="AI330" s="3"/>
      <c r="AJ330" s="390"/>
      <c r="AK330" s="3"/>
      <c r="AL330" s="390"/>
      <c r="AM330" s="3"/>
      <c r="AN330" s="390"/>
      <c r="AO330" s="3"/>
      <c r="AP330" s="392">
        <f t="shared" si="12"/>
        <v>0</v>
      </c>
      <c r="AQ330" s="389">
        <f t="shared" si="10"/>
        <v>0</v>
      </c>
      <c r="AR330" s="389">
        <f t="shared" si="3"/>
        <v>0</v>
      </c>
      <c r="AS330" s="389">
        <f t="shared" si="4"/>
        <v>0</v>
      </c>
      <c r="AT330" s="392" t="str">
        <f t="shared" si="5"/>
        <v/>
      </c>
    </row>
    <row r="331" ht="15.75" customHeight="1">
      <c r="A331" s="46" t="s">
        <v>28</v>
      </c>
      <c r="B331" s="47">
        <f t="shared" si="6"/>
        <v>45256</v>
      </c>
      <c r="C331" s="49">
        <v>12.0</v>
      </c>
      <c r="D331" s="49" t="s">
        <v>36</v>
      </c>
      <c r="E331" s="389"/>
      <c r="F331" s="390"/>
      <c r="G331" s="3"/>
      <c r="H331" s="390"/>
      <c r="I331" s="3"/>
      <c r="J331" s="390"/>
      <c r="K331" s="3"/>
      <c r="L331" s="390"/>
      <c r="M331" s="3"/>
      <c r="N331" s="391"/>
      <c r="O331" s="3"/>
      <c r="P331" s="391"/>
      <c r="Q331" s="3"/>
      <c r="R331" s="391"/>
      <c r="S331" s="3"/>
      <c r="T331" s="391"/>
      <c r="U331" s="3"/>
      <c r="V331" s="390"/>
      <c r="W331" s="3"/>
      <c r="X331" s="390"/>
      <c r="Y331" s="3"/>
      <c r="Z331" s="390"/>
      <c r="AA331" s="3"/>
      <c r="AB331" s="390"/>
      <c r="AC331" s="3"/>
      <c r="AD331" s="390"/>
      <c r="AE331" s="3"/>
      <c r="AF331" s="390"/>
      <c r="AG331" s="3"/>
      <c r="AH331" s="390"/>
      <c r="AI331" s="3"/>
      <c r="AJ331" s="390"/>
      <c r="AK331" s="3"/>
      <c r="AL331" s="390"/>
      <c r="AM331" s="3"/>
      <c r="AN331" s="390"/>
      <c r="AO331" s="3"/>
      <c r="AP331" s="392">
        <f t="shared" si="12"/>
        <v>0</v>
      </c>
      <c r="AQ331" s="389">
        <f t="shared" si="10"/>
        <v>0</v>
      </c>
      <c r="AR331" s="389">
        <f t="shared" si="3"/>
        <v>0</v>
      </c>
      <c r="AS331" s="389">
        <f t="shared" si="4"/>
        <v>0</v>
      </c>
      <c r="AT331" s="392" t="str">
        <f t="shared" si="5"/>
        <v/>
      </c>
    </row>
    <row r="332" ht="15.75" customHeight="1">
      <c r="A332" s="18" t="s">
        <v>21</v>
      </c>
      <c r="B332" s="68">
        <f t="shared" si="6"/>
        <v>45257</v>
      </c>
      <c r="C332" s="20">
        <v>12.0</v>
      </c>
      <c r="D332" s="20" t="s">
        <v>37</v>
      </c>
      <c r="E332" s="389"/>
      <c r="F332" s="390"/>
      <c r="G332" s="3"/>
      <c r="H332" s="390"/>
      <c r="I332" s="3"/>
      <c r="J332" s="390"/>
      <c r="K332" s="3"/>
      <c r="L332" s="390"/>
      <c r="M332" s="3"/>
      <c r="N332" s="391"/>
      <c r="O332" s="3"/>
      <c r="P332" s="391"/>
      <c r="Q332" s="3"/>
      <c r="R332" s="391"/>
      <c r="S332" s="3"/>
      <c r="T332" s="391"/>
      <c r="U332" s="3"/>
      <c r="V332" s="390"/>
      <c r="W332" s="3"/>
      <c r="X332" s="390"/>
      <c r="Y332" s="3"/>
      <c r="Z332" s="390"/>
      <c r="AA332" s="3"/>
      <c r="AB332" s="390"/>
      <c r="AC332" s="3"/>
      <c r="AD332" s="390"/>
      <c r="AE332" s="3"/>
      <c r="AF332" s="390"/>
      <c r="AG332" s="3"/>
      <c r="AH332" s="390"/>
      <c r="AI332" s="3"/>
      <c r="AJ332" s="390"/>
      <c r="AK332" s="3"/>
      <c r="AL332" s="390"/>
      <c r="AM332" s="3"/>
      <c r="AN332" s="390"/>
      <c r="AO332" s="3"/>
      <c r="AP332" s="392">
        <f t="shared" si="12"/>
        <v>0</v>
      </c>
      <c r="AQ332" s="389">
        <f t="shared" si="10"/>
        <v>0</v>
      </c>
      <c r="AR332" s="389">
        <f t="shared" si="3"/>
        <v>0</v>
      </c>
      <c r="AS332" s="389">
        <f t="shared" si="4"/>
        <v>0</v>
      </c>
      <c r="AT332" s="392" t="str">
        <f t="shared" si="5"/>
        <v/>
      </c>
    </row>
    <row r="333" ht="15.75" customHeight="1">
      <c r="A333" s="34" t="s">
        <v>23</v>
      </c>
      <c r="B333" s="35">
        <f t="shared" si="6"/>
        <v>45258</v>
      </c>
      <c r="C333" s="36">
        <v>12.0</v>
      </c>
      <c r="D333" s="36" t="s">
        <v>37</v>
      </c>
      <c r="E333" s="389"/>
      <c r="F333" s="390"/>
      <c r="G333" s="3"/>
      <c r="H333" s="390"/>
      <c r="I333" s="3"/>
      <c r="J333" s="390"/>
      <c r="K333" s="3"/>
      <c r="L333" s="390"/>
      <c r="M333" s="3"/>
      <c r="N333" s="391"/>
      <c r="O333" s="3"/>
      <c r="P333" s="391"/>
      <c r="Q333" s="3"/>
      <c r="R333" s="391"/>
      <c r="S333" s="3"/>
      <c r="T333" s="391"/>
      <c r="U333" s="3"/>
      <c r="V333" s="390"/>
      <c r="W333" s="3"/>
      <c r="X333" s="390"/>
      <c r="Y333" s="3"/>
      <c r="Z333" s="390"/>
      <c r="AA333" s="3"/>
      <c r="AB333" s="390"/>
      <c r="AC333" s="3"/>
      <c r="AD333" s="390"/>
      <c r="AE333" s="3"/>
      <c r="AF333" s="390"/>
      <c r="AG333" s="3"/>
      <c r="AH333" s="390"/>
      <c r="AI333" s="3"/>
      <c r="AJ333" s="390"/>
      <c r="AK333" s="3"/>
      <c r="AL333" s="390"/>
      <c r="AM333" s="3"/>
      <c r="AN333" s="390"/>
      <c r="AO333" s="3"/>
      <c r="AP333" s="392">
        <f t="shared" si="12"/>
        <v>0</v>
      </c>
      <c r="AQ333" s="389">
        <f t="shared" si="10"/>
        <v>0</v>
      </c>
      <c r="AR333" s="389">
        <f t="shared" si="3"/>
        <v>0</v>
      </c>
      <c r="AS333" s="389">
        <f t="shared" si="4"/>
        <v>0</v>
      </c>
      <c r="AT333" s="392" t="str">
        <f t="shared" si="5"/>
        <v/>
      </c>
    </row>
    <row r="334" ht="15.75" customHeight="1">
      <c r="A334" s="34" t="s">
        <v>24</v>
      </c>
      <c r="B334" s="35">
        <f t="shared" si="6"/>
        <v>45259</v>
      </c>
      <c r="C334" s="36">
        <v>12.0</v>
      </c>
      <c r="D334" s="36" t="s">
        <v>37</v>
      </c>
      <c r="E334" s="389"/>
      <c r="F334" s="390"/>
      <c r="G334" s="3"/>
      <c r="H334" s="390"/>
      <c r="I334" s="3"/>
      <c r="J334" s="390"/>
      <c r="K334" s="3"/>
      <c r="L334" s="390"/>
      <c r="M334" s="3"/>
      <c r="N334" s="391"/>
      <c r="O334" s="3"/>
      <c r="P334" s="391"/>
      <c r="Q334" s="3"/>
      <c r="R334" s="391"/>
      <c r="S334" s="3"/>
      <c r="T334" s="391"/>
      <c r="U334" s="3"/>
      <c r="V334" s="390"/>
      <c r="W334" s="3"/>
      <c r="X334" s="390"/>
      <c r="Y334" s="3"/>
      <c r="Z334" s="390"/>
      <c r="AA334" s="3"/>
      <c r="AB334" s="390"/>
      <c r="AC334" s="3"/>
      <c r="AD334" s="390"/>
      <c r="AE334" s="3"/>
      <c r="AF334" s="390"/>
      <c r="AG334" s="3"/>
      <c r="AH334" s="390"/>
      <c r="AI334" s="3"/>
      <c r="AJ334" s="390"/>
      <c r="AK334" s="3"/>
      <c r="AL334" s="390"/>
      <c r="AM334" s="3"/>
      <c r="AN334" s="390"/>
      <c r="AO334" s="3"/>
      <c r="AP334" s="392">
        <f t="shared" si="12"/>
        <v>0</v>
      </c>
      <c r="AQ334" s="389">
        <f t="shared" si="10"/>
        <v>0</v>
      </c>
      <c r="AR334" s="389">
        <f t="shared" si="3"/>
        <v>0</v>
      </c>
      <c r="AS334" s="389">
        <f t="shared" si="4"/>
        <v>0</v>
      </c>
      <c r="AT334" s="392" t="str">
        <f t="shared" si="5"/>
        <v/>
      </c>
    </row>
    <row r="335" ht="15.75" customHeight="1">
      <c r="A335" s="34" t="s">
        <v>25</v>
      </c>
      <c r="B335" s="35">
        <f t="shared" si="6"/>
        <v>45260</v>
      </c>
      <c r="C335" s="36">
        <v>12.0</v>
      </c>
      <c r="D335" s="36" t="s">
        <v>37</v>
      </c>
      <c r="E335" s="389"/>
      <c r="F335" s="390"/>
      <c r="G335" s="3"/>
      <c r="H335" s="390"/>
      <c r="I335" s="3"/>
      <c r="J335" s="390"/>
      <c r="K335" s="3"/>
      <c r="L335" s="390"/>
      <c r="M335" s="3"/>
      <c r="N335" s="391"/>
      <c r="O335" s="3"/>
      <c r="P335" s="391"/>
      <c r="Q335" s="3"/>
      <c r="R335" s="391"/>
      <c r="S335" s="3"/>
      <c r="T335" s="391"/>
      <c r="U335" s="3"/>
      <c r="V335" s="390"/>
      <c r="W335" s="3"/>
      <c r="X335" s="390"/>
      <c r="Y335" s="3"/>
      <c r="Z335" s="390"/>
      <c r="AA335" s="3"/>
      <c r="AB335" s="390"/>
      <c r="AC335" s="3"/>
      <c r="AD335" s="390"/>
      <c r="AE335" s="3"/>
      <c r="AF335" s="390"/>
      <c r="AG335" s="3"/>
      <c r="AH335" s="390"/>
      <c r="AI335" s="3"/>
      <c r="AJ335" s="390"/>
      <c r="AK335" s="3"/>
      <c r="AL335" s="390"/>
      <c r="AM335" s="3"/>
      <c r="AN335" s="390"/>
      <c r="AO335" s="3"/>
      <c r="AP335" s="392">
        <f t="shared" si="12"/>
        <v>0</v>
      </c>
      <c r="AQ335" s="389">
        <f t="shared" si="10"/>
        <v>0</v>
      </c>
      <c r="AR335" s="389">
        <f t="shared" si="3"/>
        <v>0</v>
      </c>
      <c r="AS335" s="389">
        <f t="shared" si="4"/>
        <v>0</v>
      </c>
      <c r="AT335" s="392" t="str">
        <f t="shared" si="5"/>
        <v/>
      </c>
    </row>
    <row r="336" ht="15.75" customHeight="1">
      <c r="A336" s="34" t="s">
        <v>26</v>
      </c>
      <c r="B336" s="35">
        <f t="shared" si="6"/>
        <v>45261</v>
      </c>
      <c r="C336" s="36">
        <v>12.0</v>
      </c>
      <c r="D336" s="36" t="s">
        <v>37</v>
      </c>
      <c r="E336" s="389"/>
      <c r="F336" s="390"/>
      <c r="G336" s="3"/>
      <c r="H336" s="390"/>
      <c r="I336" s="3"/>
      <c r="J336" s="390"/>
      <c r="K336" s="3"/>
      <c r="L336" s="390"/>
      <c r="M336" s="3"/>
      <c r="N336" s="391"/>
      <c r="O336" s="3"/>
      <c r="P336" s="391"/>
      <c r="Q336" s="3"/>
      <c r="R336" s="391"/>
      <c r="S336" s="3"/>
      <c r="T336" s="391"/>
      <c r="U336" s="3"/>
      <c r="V336" s="390"/>
      <c r="W336" s="3"/>
      <c r="X336" s="390"/>
      <c r="Y336" s="3"/>
      <c r="Z336" s="390"/>
      <c r="AA336" s="3"/>
      <c r="AB336" s="390"/>
      <c r="AC336" s="3"/>
      <c r="AD336" s="390"/>
      <c r="AE336" s="3"/>
      <c r="AF336" s="390"/>
      <c r="AG336" s="3"/>
      <c r="AH336" s="390"/>
      <c r="AI336" s="3"/>
      <c r="AJ336" s="390"/>
      <c r="AK336" s="3"/>
      <c r="AL336" s="390"/>
      <c r="AM336" s="3"/>
      <c r="AN336" s="390"/>
      <c r="AO336" s="3"/>
      <c r="AP336" s="392">
        <f t="shared" si="12"/>
        <v>0</v>
      </c>
      <c r="AQ336" s="389">
        <f t="shared" si="10"/>
        <v>0</v>
      </c>
      <c r="AR336" s="389">
        <f t="shared" si="3"/>
        <v>0</v>
      </c>
      <c r="AS336" s="389">
        <f t="shared" si="4"/>
        <v>0</v>
      </c>
      <c r="AT336" s="392" t="str">
        <f t="shared" si="5"/>
        <v/>
      </c>
    </row>
    <row r="337" ht="15.75" customHeight="1">
      <c r="A337" s="34" t="s">
        <v>27</v>
      </c>
      <c r="B337" s="35">
        <f t="shared" si="6"/>
        <v>45262</v>
      </c>
      <c r="C337" s="36">
        <v>12.0</v>
      </c>
      <c r="D337" s="36" t="s">
        <v>37</v>
      </c>
      <c r="E337" s="389"/>
      <c r="F337" s="390"/>
      <c r="G337" s="3"/>
      <c r="H337" s="390"/>
      <c r="I337" s="3"/>
      <c r="J337" s="390"/>
      <c r="K337" s="3"/>
      <c r="L337" s="390"/>
      <c r="M337" s="3"/>
      <c r="N337" s="391"/>
      <c r="O337" s="3"/>
      <c r="P337" s="391"/>
      <c r="Q337" s="3"/>
      <c r="R337" s="391"/>
      <c r="S337" s="3"/>
      <c r="T337" s="391"/>
      <c r="U337" s="3"/>
      <c r="V337" s="390"/>
      <c r="W337" s="3"/>
      <c r="X337" s="390"/>
      <c r="Y337" s="3"/>
      <c r="Z337" s="390"/>
      <c r="AA337" s="3"/>
      <c r="AB337" s="390"/>
      <c r="AC337" s="3"/>
      <c r="AD337" s="390"/>
      <c r="AE337" s="3"/>
      <c r="AF337" s="390"/>
      <c r="AG337" s="3"/>
      <c r="AH337" s="390"/>
      <c r="AI337" s="3"/>
      <c r="AJ337" s="390"/>
      <c r="AK337" s="3"/>
      <c r="AL337" s="390"/>
      <c r="AM337" s="3"/>
      <c r="AN337" s="390"/>
      <c r="AO337" s="3"/>
      <c r="AP337" s="392">
        <f t="shared" si="12"/>
        <v>0</v>
      </c>
      <c r="AQ337" s="389">
        <f t="shared" si="10"/>
        <v>0</v>
      </c>
      <c r="AR337" s="389">
        <f t="shared" si="3"/>
        <v>0</v>
      </c>
      <c r="AS337" s="389">
        <f t="shared" si="4"/>
        <v>0</v>
      </c>
      <c r="AT337" s="392" t="str">
        <f t="shared" si="5"/>
        <v/>
      </c>
    </row>
    <row r="338" ht="15.75" customHeight="1">
      <c r="A338" s="46" t="s">
        <v>28</v>
      </c>
      <c r="B338" s="47">
        <f t="shared" si="6"/>
        <v>45263</v>
      </c>
      <c r="C338" s="49">
        <v>12.0</v>
      </c>
      <c r="D338" s="49" t="s">
        <v>37</v>
      </c>
      <c r="E338" s="389"/>
      <c r="F338" s="390"/>
      <c r="G338" s="3"/>
      <c r="H338" s="390"/>
      <c r="I338" s="3"/>
      <c r="J338" s="390"/>
      <c r="K338" s="3"/>
      <c r="L338" s="390"/>
      <c r="M338" s="3"/>
      <c r="N338" s="391"/>
      <c r="O338" s="3"/>
      <c r="P338" s="391"/>
      <c r="Q338" s="3"/>
      <c r="R338" s="391"/>
      <c r="S338" s="3"/>
      <c r="T338" s="391"/>
      <c r="U338" s="3"/>
      <c r="V338" s="390"/>
      <c r="W338" s="3"/>
      <c r="X338" s="391"/>
      <c r="Y338" s="3"/>
      <c r="Z338" s="390"/>
      <c r="AA338" s="3"/>
      <c r="AB338" s="390"/>
      <c r="AC338" s="3"/>
      <c r="AD338" s="390"/>
      <c r="AE338" s="3"/>
      <c r="AF338" s="390"/>
      <c r="AG338" s="3"/>
      <c r="AH338" s="390"/>
      <c r="AI338" s="3"/>
      <c r="AJ338" s="390"/>
      <c r="AK338" s="3"/>
      <c r="AL338" s="390"/>
      <c r="AM338" s="3"/>
      <c r="AN338" s="390"/>
      <c r="AO338" s="3"/>
      <c r="AP338" s="392">
        <f t="shared" si="12"/>
        <v>0</v>
      </c>
      <c r="AQ338" s="389">
        <f t="shared" si="10"/>
        <v>0</v>
      </c>
      <c r="AR338" s="389">
        <f t="shared" si="3"/>
        <v>0</v>
      </c>
      <c r="AS338" s="389">
        <f t="shared" si="4"/>
        <v>0</v>
      </c>
      <c r="AT338" s="392" t="str">
        <f t="shared" si="5"/>
        <v/>
      </c>
    </row>
    <row r="339" ht="15.75" customHeight="1">
      <c r="A339" s="18" t="s">
        <v>21</v>
      </c>
      <c r="B339" s="68">
        <f t="shared" si="6"/>
        <v>45264</v>
      </c>
      <c r="C339" s="20">
        <v>13.0</v>
      </c>
      <c r="D339" s="20" t="s">
        <v>22</v>
      </c>
      <c r="E339" s="389"/>
      <c r="F339" s="390"/>
      <c r="G339" s="3"/>
      <c r="H339" s="390"/>
      <c r="I339" s="3"/>
      <c r="J339" s="390"/>
      <c r="K339" s="3"/>
      <c r="L339" s="390"/>
      <c r="M339" s="3"/>
      <c r="N339" s="391"/>
      <c r="O339" s="3"/>
      <c r="P339" s="391"/>
      <c r="Q339" s="3"/>
      <c r="R339" s="391"/>
      <c r="S339" s="3"/>
      <c r="T339" s="391"/>
      <c r="U339" s="3"/>
      <c r="V339" s="390"/>
      <c r="W339" s="3"/>
      <c r="X339" s="391"/>
      <c r="Y339" s="3"/>
      <c r="Z339" s="390"/>
      <c r="AA339" s="3"/>
      <c r="AB339" s="390"/>
      <c r="AC339" s="3"/>
      <c r="AD339" s="390"/>
      <c r="AE339" s="3"/>
      <c r="AF339" s="390"/>
      <c r="AG339" s="3"/>
      <c r="AH339" s="390"/>
      <c r="AI339" s="3"/>
      <c r="AJ339" s="390"/>
      <c r="AK339" s="3"/>
      <c r="AL339" s="390"/>
      <c r="AM339" s="3"/>
      <c r="AN339" s="390"/>
      <c r="AO339" s="3"/>
      <c r="AP339" s="392">
        <f t="shared" si="12"/>
        <v>0</v>
      </c>
      <c r="AQ339" s="389">
        <f t="shared" si="10"/>
        <v>0</v>
      </c>
      <c r="AR339" s="389">
        <f t="shared" si="3"/>
        <v>0</v>
      </c>
      <c r="AS339" s="389">
        <f t="shared" si="4"/>
        <v>0</v>
      </c>
      <c r="AT339" s="392" t="str">
        <f t="shared" si="5"/>
        <v/>
      </c>
    </row>
    <row r="340" ht="15.75" customHeight="1">
      <c r="A340" s="34" t="s">
        <v>23</v>
      </c>
      <c r="B340" s="35">
        <f t="shared" si="6"/>
        <v>45265</v>
      </c>
      <c r="C340" s="36">
        <v>13.0</v>
      </c>
      <c r="D340" s="36" t="s">
        <v>22</v>
      </c>
      <c r="E340" s="389"/>
      <c r="F340" s="390"/>
      <c r="G340" s="3"/>
      <c r="H340" s="390"/>
      <c r="I340" s="3"/>
      <c r="J340" s="390"/>
      <c r="K340" s="3"/>
      <c r="L340" s="390"/>
      <c r="M340" s="3"/>
      <c r="N340" s="391"/>
      <c r="O340" s="3"/>
      <c r="P340" s="391"/>
      <c r="Q340" s="3"/>
      <c r="R340" s="391"/>
      <c r="S340" s="3"/>
      <c r="T340" s="391"/>
      <c r="U340" s="3"/>
      <c r="V340" s="390"/>
      <c r="W340" s="3"/>
      <c r="X340" s="391"/>
      <c r="Y340" s="3"/>
      <c r="Z340" s="390"/>
      <c r="AA340" s="3"/>
      <c r="AB340" s="390"/>
      <c r="AC340" s="3"/>
      <c r="AD340" s="390"/>
      <c r="AE340" s="3"/>
      <c r="AF340" s="390"/>
      <c r="AG340" s="3"/>
      <c r="AH340" s="390"/>
      <c r="AI340" s="3"/>
      <c r="AJ340" s="390"/>
      <c r="AK340" s="3"/>
      <c r="AL340" s="390"/>
      <c r="AM340" s="3"/>
      <c r="AN340" s="390"/>
      <c r="AO340" s="3"/>
      <c r="AP340" s="392">
        <f t="shared" si="12"/>
        <v>0</v>
      </c>
      <c r="AQ340" s="389">
        <f t="shared" si="10"/>
        <v>0</v>
      </c>
      <c r="AR340" s="389">
        <f t="shared" si="3"/>
        <v>0</v>
      </c>
      <c r="AS340" s="389">
        <f t="shared" si="4"/>
        <v>0</v>
      </c>
      <c r="AT340" s="392" t="str">
        <f t="shared" si="5"/>
        <v/>
      </c>
    </row>
    <row r="341" ht="15.75" customHeight="1">
      <c r="A341" s="34" t="s">
        <v>24</v>
      </c>
      <c r="B341" s="35">
        <f t="shared" si="6"/>
        <v>45266</v>
      </c>
      <c r="C341" s="36">
        <v>13.0</v>
      </c>
      <c r="D341" s="36" t="s">
        <v>22</v>
      </c>
      <c r="E341" s="389"/>
      <c r="F341" s="390"/>
      <c r="G341" s="3"/>
      <c r="H341" s="390"/>
      <c r="I341" s="3"/>
      <c r="J341" s="390"/>
      <c r="K341" s="3"/>
      <c r="L341" s="390"/>
      <c r="M341" s="3"/>
      <c r="N341" s="391"/>
      <c r="O341" s="3"/>
      <c r="P341" s="391"/>
      <c r="Q341" s="3"/>
      <c r="R341" s="391"/>
      <c r="S341" s="3"/>
      <c r="T341" s="391"/>
      <c r="U341" s="3"/>
      <c r="V341" s="390"/>
      <c r="W341" s="3"/>
      <c r="X341" s="391"/>
      <c r="Y341" s="3"/>
      <c r="Z341" s="390"/>
      <c r="AA341" s="3"/>
      <c r="AB341" s="390"/>
      <c r="AC341" s="3"/>
      <c r="AD341" s="390"/>
      <c r="AE341" s="3"/>
      <c r="AF341" s="390"/>
      <c r="AG341" s="3"/>
      <c r="AH341" s="390"/>
      <c r="AI341" s="3"/>
      <c r="AJ341" s="390"/>
      <c r="AK341" s="3"/>
      <c r="AL341" s="390"/>
      <c r="AM341" s="3"/>
      <c r="AN341" s="390"/>
      <c r="AO341" s="3"/>
      <c r="AP341" s="392">
        <f t="shared" si="12"/>
        <v>0</v>
      </c>
      <c r="AQ341" s="389">
        <f t="shared" si="10"/>
        <v>0</v>
      </c>
      <c r="AR341" s="389">
        <f t="shared" si="3"/>
        <v>0</v>
      </c>
      <c r="AS341" s="389">
        <f t="shared" si="4"/>
        <v>0</v>
      </c>
      <c r="AT341" s="392" t="str">
        <f t="shared" si="5"/>
        <v/>
      </c>
    </row>
    <row r="342" ht="15.75" customHeight="1">
      <c r="A342" s="34" t="s">
        <v>25</v>
      </c>
      <c r="B342" s="35">
        <f t="shared" si="6"/>
        <v>45267</v>
      </c>
      <c r="C342" s="36">
        <v>13.0</v>
      </c>
      <c r="D342" s="36" t="s">
        <v>22</v>
      </c>
      <c r="E342" s="389"/>
      <c r="F342" s="390"/>
      <c r="G342" s="3"/>
      <c r="H342" s="390"/>
      <c r="I342" s="3"/>
      <c r="J342" s="390"/>
      <c r="K342" s="3"/>
      <c r="L342" s="390"/>
      <c r="M342" s="3"/>
      <c r="N342" s="391"/>
      <c r="O342" s="3"/>
      <c r="P342" s="391"/>
      <c r="Q342" s="3"/>
      <c r="R342" s="391"/>
      <c r="S342" s="3"/>
      <c r="T342" s="391"/>
      <c r="U342" s="3"/>
      <c r="V342" s="390"/>
      <c r="W342" s="3"/>
      <c r="X342" s="391"/>
      <c r="Y342" s="3"/>
      <c r="Z342" s="390"/>
      <c r="AA342" s="3"/>
      <c r="AB342" s="390"/>
      <c r="AC342" s="3"/>
      <c r="AD342" s="390"/>
      <c r="AE342" s="3"/>
      <c r="AF342" s="390"/>
      <c r="AG342" s="3"/>
      <c r="AH342" s="390"/>
      <c r="AI342" s="3"/>
      <c r="AJ342" s="390"/>
      <c r="AK342" s="3"/>
      <c r="AL342" s="390"/>
      <c r="AM342" s="3"/>
      <c r="AN342" s="390"/>
      <c r="AO342" s="3"/>
      <c r="AP342" s="392">
        <f t="shared" si="12"/>
        <v>0</v>
      </c>
      <c r="AQ342" s="389">
        <f t="shared" si="10"/>
        <v>0</v>
      </c>
      <c r="AR342" s="389">
        <f t="shared" si="3"/>
        <v>0</v>
      </c>
      <c r="AS342" s="389">
        <f t="shared" si="4"/>
        <v>0</v>
      </c>
      <c r="AT342" s="392" t="str">
        <f t="shared" si="5"/>
        <v/>
      </c>
    </row>
    <row r="343" ht="15.75" customHeight="1">
      <c r="A343" s="34" t="s">
        <v>26</v>
      </c>
      <c r="B343" s="35">
        <f t="shared" si="6"/>
        <v>45268</v>
      </c>
      <c r="C343" s="36">
        <v>13.0</v>
      </c>
      <c r="D343" s="36" t="s">
        <v>22</v>
      </c>
      <c r="E343" s="389"/>
      <c r="F343" s="390"/>
      <c r="G343" s="3"/>
      <c r="H343" s="390"/>
      <c r="I343" s="3"/>
      <c r="J343" s="390"/>
      <c r="K343" s="3"/>
      <c r="L343" s="390"/>
      <c r="M343" s="3"/>
      <c r="N343" s="391"/>
      <c r="O343" s="3"/>
      <c r="P343" s="391"/>
      <c r="Q343" s="3"/>
      <c r="R343" s="391"/>
      <c r="S343" s="3"/>
      <c r="T343" s="391"/>
      <c r="U343" s="3"/>
      <c r="V343" s="390"/>
      <c r="W343" s="3"/>
      <c r="X343" s="391"/>
      <c r="Y343" s="3"/>
      <c r="Z343" s="390"/>
      <c r="AA343" s="3"/>
      <c r="AB343" s="390"/>
      <c r="AC343" s="3"/>
      <c r="AD343" s="390"/>
      <c r="AE343" s="3"/>
      <c r="AF343" s="390"/>
      <c r="AG343" s="3"/>
      <c r="AH343" s="390"/>
      <c r="AI343" s="3"/>
      <c r="AJ343" s="390"/>
      <c r="AK343" s="3"/>
      <c r="AL343" s="390"/>
      <c r="AM343" s="3"/>
      <c r="AN343" s="390"/>
      <c r="AO343" s="3"/>
      <c r="AP343" s="392">
        <f t="shared" si="12"/>
        <v>0</v>
      </c>
      <c r="AQ343" s="389">
        <f t="shared" si="10"/>
        <v>0</v>
      </c>
      <c r="AR343" s="389">
        <f t="shared" si="3"/>
        <v>0</v>
      </c>
      <c r="AS343" s="389">
        <f t="shared" si="4"/>
        <v>0</v>
      </c>
      <c r="AT343" s="392" t="str">
        <f t="shared" si="5"/>
        <v/>
      </c>
    </row>
    <row r="344" ht="15.75" customHeight="1">
      <c r="A344" s="34" t="s">
        <v>27</v>
      </c>
      <c r="B344" s="35">
        <f t="shared" si="6"/>
        <v>45269</v>
      </c>
      <c r="C344" s="36">
        <v>13.0</v>
      </c>
      <c r="D344" s="36" t="s">
        <v>22</v>
      </c>
      <c r="E344" s="389"/>
      <c r="F344" s="390"/>
      <c r="G344" s="3"/>
      <c r="H344" s="390"/>
      <c r="I344" s="3"/>
      <c r="J344" s="390"/>
      <c r="K344" s="3"/>
      <c r="L344" s="390"/>
      <c r="M344" s="3"/>
      <c r="N344" s="391"/>
      <c r="O344" s="3"/>
      <c r="P344" s="391"/>
      <c r="Q344" s="3"/>
      <c r="R344" s="391"/>
      <c r="S344" s="3"/>
      <c r="T344" s="391"/>
      <c r="U344" s="3"/>
      <c r="V344" s="390"/>
      <c r="W344" s="3"/>
      <c r="X344" s="390"/>
      <c r="Y344" s="3"/>
      <c r="Z344" s="390"/>
      <c r="AA344" s="3"/>
      <c r="AB344" s="390"/>
      <c r="AC344" s="3"/>
      <c r="AD344" s="390"/>
      <c r="AE344" s="3"/>
      <c r="AF344" s="390"/>
      <c r="AG344" s="3"/>
      <c r="AH344" s="390"/>
      <c r="AI344" s="3"/>
      <c r="AJ344" s="390"/>
      <c r="AK344" s="3"/>
      <c r="AL344" s="390"/>
      <c r="AM344" s="3"/>
      <c r="AN344" s="390"/>
      <c r="AO344" s="3"/>
      <c r="AP344" s="392">
        <f t="shared" si="12"/>
        <v>0</v>
      </c>
      <c r="AQ344" s="389">
        <f t="shared" si="10"/>
        <v>0</v>
      </c>
      <c r="AR344" s="389">
        <f t="shared" si="3"/>
        <v>0</v>
      </c>
      <c r="AS344" s="389">
        <f t="shared" si="4"/>
        <v>0</v>
      </c>
      <c r="AT344" s="392" t="str">
        <f t="shared" si="5"/>
        <v/>
      </c>
    </row>
    <row r="345" ht="15.75" customHeight="1">
      <c r="A345" s="46" t="s">
        <v>28</v>
      </c>
      <c r="B345" s="47">
        <f t="shared" si="6"/>
        <v>45270</v>
      </c>
      <c r="C345" s="49">
        <v>13.0</v>
      </c>
      <c r="D345" s="49" t="s">
        <v>22</v>
      </c>
      <c r="E345" s="389"/>
      <c r="F345" s="390"/>
      <c r="G345" s="3"/>
      <c r="H345" s="390"/>
      <c r="I345" s="3"/>
      <c r="J345" s="390"/>
      <c r="K345" s="3"/>
      <c r="L345" s="390"/>
      <c r="M345" s="3"/>
      <c r="N345" s="391"/>
      <c r="O345" s="3"/>
      <c r="P345" s="391"/>
      <c r="Q345" s="3"/>
      <c r="R345" s="391"/>
      <c r="S345" s="3"/>
      <c r="T345" s="391"/>
      <c r="U345" s="3"/>
      <c r="V345" s="390"/>
      <c r="W345" s="3"/>
      <c r="X345" s="390"/>
      <c r="Y345" s="3"/>
      <c r="Z345" s="390"/>
      <c r="AA345" s="3"/>
      <c r="AB345" s="390"/>
      <c r="AC345" s="3"/>
      <c r="AD345" s="390"/>
      <c r="AE345" s="3"/>
      <c r="AF345" s="390"/>
      <c r="AG345" s="3"/>
      <c r="AH345" s="390"/>
      <c r="AI345" s="3"/>
      <c r="AJ345" s="390"/>
      <c r="AK345" s="3"/>
      <c r="AL345" s="390"/>
      <c r="AM345" s="3"/>
      <c r="AN345" s="390"/>
      <c r="AO345" s="3"/>
      <c r="AP345" s="392">
        <f t="shared" si="12"/>
        <v>0</v>
      </c>
      <c r="AQ345" s="389">
        <f t="shared" si="10"/>
        <v>0</v>
      </c>
      <c r="AR345" s="389">
        <f t="shared" si="3"/>
        <v>0</v>
      </c>
      <c r="AS345" s="389">
        <f t="shared" si="4"/>
        <v>0</v>
      </c>
      <c r="AT345" s="392" t="str">
        <f t="shared" si="5"/>
        <v/>
      </c>
    </row>
    <row r="346" ht="15.75" customHeight="1">
      <c r="A346" s="18" t="s">
        <v>21</v>
      </c>
      <c r="B346" s="68">
        <f t="shared" si="6"/>
        <v>45271</v>
      </c>
      <c r="C346" s="20">
        <v>13.0</v>
      </c>
      <c r="D346" s="20" t="s">
        <v>34</v>
      </c>
      <c r="E346" s="389"/>
      <c r="F346" s="390"/>
      <c r="G346" s="3"/>
      <c r="H346" s="390"/>
      <c r="I346" s="3"/>
      <c r="J346" s="390"/>
      <c r="K346" s="3"/>
      <c r="L346" s="390"/>
      <c r="M346" s="3"/>
      <c r="N346" s="391"/>
      <c r="O346" s="3"/>
      <c r="P346" s="391"/>
      <c r="Q346" s="3"/>
      <c r="R346" s="391"/>
      <c r="S346" s="3"/>
      <c r="T346" s="391"/>
      <c r="U346" s="3"/>
      <c r="V346" s="390"/>
      <c r="W346" s="3"/>
      <c r="X346" s="390"/>
      <c r="Y346" s="3"/>
      <c r="Z346" s="390"/>
      <c r="AA346" s="3"/>
      <c r="AB346" s="390"/>
      <c r="AC346" s="3"/>
      <c r="AD346" s="390"/>
      <c r="AE346" s="3"/>
      <c r="AF346" s="390"/>
      <c r="AG346" s="3"/>
      <c r="AH346" s="390"/>
      <c r="AI346" s="3"/>
      <c r="AJ346" s="390"/>
      <c r="AK346" s="3"/>
      <c r="AL346" s="390"/>
      <c r="AM346" s="3"/>
      <c r="AN346" s="390"/>
      <c r="AO346" s="3"/>
      <c r="AP346" s="392">
        <f t="shared" si="12"/>
        <v>0</v>
      </c>
      <c r="AQ346" s="389">
        <f t="shared" si="10"/>
        <v>0</v>
      </c>
      <c r="AR346" s="389">
        <f t="shared" si="3"/>
        <v>0</v>
      </c>
      <c r="AS346" s="389">
        <f t="shared" si="4"/>
        <v>0</v>
      </c>
      <c r="AT346" s="392" t="str">
        <f t="shared" si="5"/>
        <v/>
      </c>
    </row>
    <row r="347" ht="15.75" customHeight="1">
      <c r="A347" s="34" t="s">
        <v>23</v>
      </c>
      <c r="B347" s="35">
        <f t="shared" si="6"/>
        <v>45272</v>
      </c>
      <c r="C347" s="36">
        <v>13.0</v>
      </c>
      <c r="D347" s="36" t="s">
        <v>34</v>
      </c>
      <c r="E347" s="389"/>
      <c r="F347" s="390"/>
      <c r="G347" s="3"/>
      <c r="H347" s="390"/>
      <c r="I347" s="3"/>
      <c r="J347" s="390"/>
      <c r="K347" s="3"/>
      <c r="L347" s="390"/>
      <c r="M347" s="3"/>
      <c r="N347" s="391"/>
      <c r="O347" s="3"/>
      <c r="P347" s="391"/>
      <c r="Q347" s="3"/>
      <c r="R347" s="391"/>
      <c r="S347" s="3"/>
      <c r="T347" s="391"/>
      <c r="U347" s="3"/>
      <c r="V347" s="390"/>
      <c r="W347" s="3"/>
      <c r="X347" s="390"/>
      <c r="Y347" s="3"/>
      <c r="Z347" s="390"/>
      <c r="AA347" s="3"/>
      <c r="AB347" s="390"/>
      <c r="AC347" s="3"/>
      <c r="AD347" s="390"/>
      <c r="AE347" s="3"/>
      <c r="AF347" s="390"/>
      <c r="AG347" s="3"/>
      <c r="AH347" s="390"/>
      <c r="AI347" s="3"/>
      <c r="AJ347" s="390"/>
      <c r="AK347" s="3"/>
      <c r="AL347" s="390"/>
      <c r="AM347" s="3"/>
      <c r="AN347" s="390"/>
      <c r="AO347" s="3"/>
      <c r="AP347" s="392">
        <f t="shared" si="12"/>
        <v>0</v>
      </c>
      <c r="AQ347" s="389">
        <f t="shared" si="10"/>
        <v>0</v>
      </c>
      <c r="AR347" s="389">
        <f t="shared" si="3"/>
        <v>0</v>
      </c>
      <c r="AS347" s="389">
        <f t="shared" si="4"/>
        <v>0</v>
      </c>
      <c r="AT347" s="392" t="str">
        <f t="shared" si="5"/>
        <v/>
      </c>
    </row>
    <row r="348" ht="15.75" customHeight="1">
      <c r="A348" s="34" t="s">
        <v>24</v>
      </c>
      <c r="B348" s="35">
        <f t="shared" si="6"/>
        <v>45273</v>
      </c>
      <c r="C348" s="36">
        <v>13.0</v>
      </c>
      <c r="D348" s="36" t="s">
        <v>34</v>
      </c>
      <c r="E348" s="389"/>
      <c r="F348" s="390"/>
      <c r="G348" s="3"/>
      <c r="H348" s="390"/>
      <c r="I348" s="3"/>
      <c r="J348" s="390"/>
      <c r="K348" s="3"/>
      <c r="L348" s="390"/>
      <c r="M348" s="3"/>
      <c r="N348" s="391"/>
      <c r="O348" s="3"/>
      <c r="P348" s="391"/>
      <c r="Q348" s="3"/>
      <c r="R348" s="391"/>
      <c r="S348" s="3"/>
      <c r="T348" s="391"/>
      <c r="U348" s="3"/>
      <c r="V348" s="390"/>
      <c r="W348" s="3"/>
      <c r="X348" s="390"/>
      <c r="Y348" s="3"/>
      <c r="Z348" s="390"/>
      <c r="AA348" s="3"/>
      <c r="AB348" s="390"/>
      <c r="AC348" s="3"/>
      <c r="AD348" s="390"/>
      <c r="AE348" s="3"/>
      <c r="AF348" s="390"/>
      <c r="AG348" s="3"/>
      <c r="AH348" s="390"/>
      <c r="AI348" s="3"/>
      <c r="AJ348" s="390"/>
      <c r="AK348" s="3"/>
      <c r="AL348" s="390"/>
      <c r="AM348" s="3"/>
      <c r="AN348" s="390"/>
      <c r="AO348" s="3"/>
      <c r="AP348" s="392">
        <f t="shared" si="12"/>
        <v>0</v>
      </c>
      <c r="AQ348" s="389">
        <f t="shared" si="10"/>
        <v>0</v>
      </c>
      <c r="AR348" s="389">
        <f t="shared" si="3"/>
        <v>0</v>
      </c>
      <c r="AS348" s="389">
        <f t="shared" si="4"/>
        <v>0</v>
      </c>
      <c r="AT348" s="392" t="str">
        <f t="shared" si="5"/>
        <v/>
      </c>
    </row>
    <row r="349" ht="15.75" customHeight="1">
      <c r="A349" s="34" t="s">
        <v>25</v>
      </c>
      <c r="B349" s="35">
        <f t="shared" si="6"/>
        <v>45274</v>
      </c>
      <c r="C349" s="36">
        <v>13.0</v>
      </c>
      <c r="D349" s="36" t="s">
        <v>34</v>
      </c>
      <c r="E349" s="389"/>
      <c r="F349" s="390"/>
      <c r="G349" s="3"/>
      <c r="H349" s="390"/>
      <c r="I349" s="3"/>
      <c r="J349" s="390"/>
      <c r="K349" s="3"/>
      <c r="L349" s="390"/>
      <c r="M349" s="3"/>
      <c r="N349" s="391"/>
      <c r="O349" s="3"/>
      <c r="P349" s="391"/>
      <c r="Q349" s="3"/>
      <c r="R349" s="391"/>
      <c r="S349" s="3"/>
      <c r="T349" s="391"/>
      <c r="U349" s="3"/>
      <c r="V349" s="390"/>
      <c r="W349" s="3"/>
      <c r="X349" s="390"/>
      <c r="Y349" s="3"/>
      <c r="Z349" s="390"/>
      <c r="AA349" s="3"/>
      <c r="AB349" s="390"/>
      <c r="AC349" s="3"/>
      <c r="AD349" s="390"/>
      <c r="AE349" s="3"/>
      <c r="AF349" s="390"/>
      <c r="AG349" s="3"/>
      <c r="AH349" s="390"/>
      <c r="AI349" s="3"/>
      <c r="AJ349" s="390"/>
      <c r="AK349" s="3"/>
      <c r="AL349" s="390"/>
      <c r="AM349" s="3"/>
      <c r="AN349" s="390"/>
      <c r="AO349" s="3"/>
      <c r="AP349" s="392">
        <f t="shared" si="12"/>
        <v>0</v>
      </c>
      <c r="AQ349" s="389">
        <f t="shared" si="10"/>
        <v>0</v>
      </c>
      <c r="AR349" s="389">
        <f t="shared" si="3"/>
        <v>0</v>
      </c>
      <c r="AS349" s="389">
        <f t="shared" si="4"/>
        <v>0</v>
      </c>
      <c r="AT349" s="392" t="str">
        <f t="shared" si="5"/>
        <v/>
      </c>
    </row>
    <row r="350" ht="15.75" customHeight="1">
      <c r="A350" s="34" t="s">
        <v>26</v>
      </c>
      <c r="B350" s="35">
        <f t="shared" si="6"/>
        <v>45275</v>
      </c>
      <c r="C350" s="36">
        <v>13.0</v>
      </c>
      <c r="D350" s="36" t="s">
        <v>34</v>
      </c>
      <c r="E350" s="389"/>
      <c r="F350" s="390"/>
      <c r="G350" s="3"/>
      <c r="H350" s="390"/>
      <c r="I350" s="3"/>
      <c r="J350" s="390"/>
      <c r="K350" s="3"/>
      <c r="L350" s="390"/>
      <c r="M350" s="3"/>
      <c r="N350" s="391"/>
      <c r="O350" s="3"/>
      <c r="P350" s="391"/>
      <c r="Q350" s="3"/>
      <c r="R350" s="391"/>
      <c r="S350" s="3"/>
      <c r="T350" s="391"/>
      <c r="U350" s="3"/>
      <c r="V350" s="390"/>
      <c r="W350" s="3"/>
      <c r="X350" s="390"/>
      <c r="Y350" s="3"/>
      <c r="Z350" s="390"/>
      <c r="AA350" s="3"/>
      <c r="AB350" s="390"/>
      <c r="AC350" s="3"/>
      <c r="AD350" s="390"/>
      <c r="AE350" s="3"/>
      <c r="AF350" s="390"/>
      <c r="AG350" s="3"/>
      <c r="AH350" s="390"/>
      <c r="AI350" s="3"/>
      <c r="AJ350" s="390"/>
      <c r="AK350" s="3"/>
      <c r="AL350" s="390"/>
      <c r="AM350" s="3"/>
      <c r="AN350" s="390"/>
      <c r="AO350" s="3"/>
      <c r="AP350" s="392">
        <f t="shared" si="12"/>
        <v>0</v>
      </c>
      <c r="AQ350" s="389">
        <f t="shared" si="10"/>
        <v>0</v>
      </c>
      <c r="AR350" s="389">
        <f t="shared" si="3"/>
        <v>0</v>
      </c>
      <c r="AS350" s="389">
        <f t="shared" si="4"/>
        <v>0</v>
      </c>
      <c r="AT350" s="392" t="str">
        <f t="shared" si="5"/>
        <v/>
      </c>
    </row>
    <row r="351" ht="15.75" customHeight="1">
      <c r="A351" s="34" t="s">
        <v>27</v>
      </c>
      <c r="B351" s="35">
        <f t="shared" si="6"/>
        <v>45276</v>
      </c>
      <c r="C351" s="36">
        <v>13.0</v>
      </c>
      <c r="D351" s="36" t="s">
        <v>34</v>
      </c>
      <c r="E351" s="389"/>
      <c r="F351" s="390"/>
      <c r="G351" s="3"/>
      <c r="H351" s="390"/>
      <c r="I351" s="3"/>
      <c r="J351" s="390"/>
      <c r="K351" s="3"/>
      <c r="L351" s="390"/>
      <c r="M351" s="3"/>
      <c r="N351" s="391"/>
      <c r="O351" s="3"/>
      <c r="P351" s="391"/>
      <c r="Q351" s="3"/>
      <c r="R351" s="391"/>
      <c r="S351" s="3"/>
      <c r="T351" s="391"/>
      <c r="U351" s="3"/>
      <c r="V351" s="390"/>
      <c r="W351" s="3"/>
      <c r="X351" s="390"/>
      <c r="Y351" s="3"/>
      <c r="Z351" s="390"/>
      <c r="AA351" s="3"/>
      <c r="AB351" s="390"/>
      <c r="AC351" s="3"/>
      <c r="AD351" s="390"/>
      <c r="AE351" s="3"/>
      <c r="AF351" s="390"/>
      <c r="AG351" s="3"/>
      <c r="AH351" s="390"/>
      <c r="AI351" s="3"/>
      <c r="AJ351" s="390"/>
      <c r="AK351" s="3"/>
      <c r="AL351" s="390"/>
      <c r="AM351" s="3"/>
      <c r="AN351" s="390"/>
      <c r="AO351" s="3"/>
      <c r="AP351" s="392">
        <f t="shared" si="12"/>
        <v>0</v>
      </c>
      <c r="AQ351" s="389">
        <f t="shared" si="10"/>
        <v>0</v>
      </c>
      <c r="AR351" s="389">
        <f t="shared" si="3"/>
        <v>0</v>
      </c>
      <c r="AS351" s="389">
        <f t="shared" si="4"/>
        <v>0</v>
      </c>
      <c r="AT351" s="392" t="str">
        <f t="shared" si="5"/>
        <v/>
      </c>
    </row>
    <row r="352" ht="15.75" customHeight="1">
      <c r="A352" s="46" t="s">
        <v>28</v>
      </c>
      <c r="B352" s="47">
        <f t="shared" si="6"/>
        <v>45277</v>
      </c>
      <c r="C352" s="49">
        <v>13.0</v>
      </c>
      <c r="D352" s="49" t="s">
        <v>34</v>
      </c>
      <c r="E352" s="389"/>
      <c r="F352" s="390"/>
      <c r="G352" s="3"/>
      <c r="H352" s="390"/>
      <c r="I352" s="3"/>
      <c r="J352" s="390"/>
      <c r="K352" s="3"/>
      <c r="L352" s="390"/>
      <c r="M352" s="3"/>
      <c r="N352" s="391"/>
      <c r="O352" s="3"/>
      <c r="P352" s="391"/>
      <c r="Q352" s="3"/>
      <c r="R352" s="391"/>
      <c r="S352" s="3"/>
      <c r="T352" s="391"/>
      <c r="U352" s="3"/>
      <c r="V352" s="390"/>
      <c r="W352" s="3"/>
      <c r="X352" s="390"/>
      <c r="Y352" s="3"/>
      <c r="Z352" s="390"/>
      <c r="AA352" s="3"/>
      <c r="AB352" s="390"/>
      <c r="AC352" s="3"/>
      <c r="AD352" s="390"/>
      <c r="AE352" s="3"/>
      <c r="AF352" s="390"/>
      <c r="AG352" s="3"/>
      <c r="AH352" s="390"/>
      <c r="AI352" s="3"/>
      <c r="AJ352" s="390"/>
      <c r="AK352" s="3"/>
      <c r="AL352" s="390"/>
      <c r="AM352" s="3"/>
      <c r="AN352" s="390"/>
      <c r="AO352" s="3"/>
      <c r="AP352" s="392">
        <f t="shared" si="12"/>
        <v>0</v>
      </c>
      <c r="AQ352" s="389">
        <f t="shared" si="10"/>
        <v>0</v>
      </c>
      <c r="AR352" s="389">
        <f t="shared" si="3"/>
        <v>0</v>
      </c>
      <c r="AS352" s="389">
        <f t="shared" si="4"/>
        <v>0</v>
      </c>
      <c r="AT352" s="392" t="str">
        <f t="shared" si="5"/>
        <v/>
      </c>
    </row>
    <row r="353" ht="15.75" customHeight="1">
      <c r="A353" s="18" t="s">
        <v>21</v>
      </c>
      <c r="B353" s="68">
        <f t="shared" si="6"/>
        <v>45278</v>
      </c>
      <c r="C353" s="20">
        <v>13.0</v>
      </c>
      <c r="D353" s="20" t="s">
        <v>36</v>
      </c>
      <c r="E353" s="389"/>
      <c r="F353" s="390"/>
      <c r="G353" s="3"/>
      <c r="H353" s="390"/>
      <c r="I353" s="3"/>
      <c r="J353" s="390"/>
      <c r="K353" s="3"/>
      <c r="L353" s="390"/>
      <c r="M353" s="3"/>
      <c r="N353" s="391"/>
      <c r="O353" s="3"/>
      <c r="P353" s="391"/>
      <c r="Q353" s="3"/>
      <c r="R353" s="391"/>
      <c r="S353" s="3"/>
      <c r="T353" s="391"/>
      <c r="U353" s="3"/>
      <c r="V353" s="390"/>
      <c r="W353" s="3"/>
      <c r="X353" s="390"/>
      <c r="Y353" s="3"/>
      <c r="Z353" s="390"/>
      <c r="AA353" s="3"/>
      <c r="AB353" s="390"/>
      <c r="AC353" s="3"/>
      <c r="AD353" s="390"/>
      <c r="AE353" s="3"/>
      <c r="AF353" s="390"/>
      <c r="AG353" s="3"/>
      <c r="AH353" s="390"/>
      <c r="AI353" s="3"/>
      <c r="AJ353" s="390"/>
      <c r="AK353" s="3"/>
      <c r="AL353" s="390"/>
      <c r="AM353" s="3"/>
      <c r="AN353" s="390"/>
      <c r="AO353" s="3"/>
      <c r="AP353" s="392">
        <f t="shared" si="12"/>
        <v>0</v>
      </c>
      <c r="AQ353" s="389">
        <f t="shared" si="10"/>
        <v>0</v>
      </c>
      <c r="AR353" s="389">
        <f t="shared" si="3"/>
        <v>0</v>
      </c>
      <c r="AS353" s="389">
        <f t="shared" si="4"/>
        <v>0</v>
      </c>
      <c r="AT353" s="392" t="str">
        <f t="shared" si="5"/>
        <v/>
      </c>
    </row>
    <row r="354" ht="15.75" customHeight="1">
      <c r="A354" s="34" t="s">
        <v>23</v>
      </c>
      <c r="B354" s="35">
        <f t="shared" si="6"/>
        <v>45279</v>
      </c>
      <c r="C354" s="36">
        <v>13.0</v>
      </c>
      <c r="D354" s="36" t="s">
        <v>36</v>
      </c>
      <c r="E354" s="389"/>
      <c r="F354" s="390"/>
      <c r="G354" s="3"/>
      <c r="H354" s="390"/>
      <c r="I354" s="3"/>
      <c r="J354" s="390"/>
      <c r="K354" s="3"/>
      <c r="L354" s="390"/>
      <c r="M354" s="3"/>
      <c r="N354" s="391"/>
      <c r="O354" s="3"/>
      <c r="P354" s="391"/>
      <c r="Q354" s="3"/>
      <c r="R354" s="391"/>
      <c r="S354" s="3"/>
      <c r="T354" s="391"/>
      <c r="U354" s="3"/>
      <c r="V354" s="390"/>
      <c r="W354" s="3"/>
      <c r="X354" s="390"/>
      <c r="Y354" s="3"/>
      <c r="Z354" s="390"/>
      <c r="AA354" s="3"/>
      <c r="AB354" s="390"/>
      <c r="AC354" s="3"/>
      <c r="AD354" s="390"/>
      <c r="AE354" s="3"/>
      <c r="AF354" s="390"/>
      <c r="AG354" s="3"/>
      <c r="AH354" s="390"/>
      <c r="AI354" s="3"/>
      <c r="AJ354" s="390"/>
      <c r="AK354" s="3"/>
      <c r="AL354" s="390"/>
      <c r="AM354" s="3"/>
      <c r="AN354" s="390"/>
      <c r="AO354" s="3"/>
      <c r="AP354" s="392">
        <f t="shared" si="12"/>
        <v>0</v>
      </c>
      <c r="AQ354" s="389">
        <f t="shared" si="10"/>
        <v>0</v>
      </c>
      <c r="AR354" s="389">
        <f t="shared" si="3"/>
        <v>0</v>
      </c>
      <c r="AS354" s="389">
        <f t="shared" si="4"/>
        <v>0</v>
      </c>
      <c r="AT354" s="392" t="str">
        <f t="shared" si="5"/>
        <v/>
      </c>
    </row>
    <row r="355" ht="15.75" customHeight="1">
      <c r="A355" s="34" t="s">
        <v>24</v>
      </c>
      <c r="B355" s="35">
        <f t="shared" si="6"/>
        <v>45280</v>
      </c>
      <c r="C355" s="36">
        <v>13.0</v>
      </c>
      <c r="D355" s="36" t="s">
        <v>36</v>
      </c>
      <c r="E355" s="389"/>
      <c r="F355" s="390"/>
      <c r="G355" s="3"/>
      <c r="H355" s="390"/>
      <c r="I355" s="3"/>
      <c r="J355" s="390"/>
      <c r="K355" s="3"/>
      <c r="L355" s="390"/>
      <c r="M355" s="3"/>
      <c r="N355" s="391"/>
      <c r="O355" s="3"/>
      <c r="P355" s="391"/>
      <c r="Q355" s="3"/>
      <c r="R355" s="391"/>
      <c r="S355" s="3"/>
      <c r="T355" s="391"/>
      <c r="U355" s="3"/>
      <c r="V355" s="390"/>
      <c r="W355" s="3"/>
      <c r="X355" s="390"/>
      <c r="Y355" s="3"/>
      <c r="Z355" s="390"/>
      <c r="AA355" s="3"/>
      <c r="AB355" s="390"/>
      <c r="AC355" s="3"/>
      <c r="AD355" s="390"/>
      <c r="AE355" s="3"/>
      <c r="AF355" s="390"/>
      <c r="AG355" s="3"/>
      <c r="AH355" s="390"/>
      <c r="AI355" s="3"/>
      <c r="AJ355" s="390"/>
      <c r="AK355" s="3"/>
      <c r="AL355" s="390"/>
      <c r="AM355" s="3"/>
      <c r="AN355" s="390"/>
      <c r="AO355" s="3"/>
      <c r="AP355" s="392">
        <f t="shared" si="12"/>
        <v>0</v>
      </c>
      <c r="AQ355" s="389">
        <f t="shared" si="10"/>
        <v>0</v>
      </c>
      <c r="AR355" s="389">
        <f t="shared" si="3"/>
        <v>0</v>
      </c>
      <c r="AS355" s="389">
        <f t="shared" si="4"/>
        <v>0</v>
      </c>
      <c r="AT355" s="392" t="str">
        <f t="shared" si="5"/>
        <v/>
      </c>
    </row>
    <row r="356" ht="15.75" customHeight="1">
      <c r="A356" s="34" t="s">
        <v>25</v>
      </c>
      <c r="B356" s="35">
        <f t="shared" si="6"/>
        <v>45281</v>
      </c>
      <c r="C356" s="36">
        <v>13.0</v>
      </c>
      <c r="D356" s="36" t="s">
        <v>36</v>
      </c>
      <c r="E356" s="389"/>
      <c r="F356" s="390"/>
      <c r="G356" s="3"/>
      <c r="H356" s="390"/>
      <c r="I356" s="3"/>
      <c r="J356" s="390"/>
      <c r="K356" s="3"/>
      <c r="L356" s="390"/>
      <c r="M356" s="3"/>
      <c r="N356" s="391"/>
      <c r="O356" s="3"/>
      <c r="P356" s="391"/>
      <c r="Q356" s="3"/>
      <c r="R356" s="391"/>
      <c r="S356" s="3"/>
      <c r="T356" s="391"/>
      <c r="U356" s="3"/>
      <c r="V356" s="390"/>
      <c r="W356" s="3"/>
      <c r="X356" s="390"/>
      <c r="Y356" s="3"/>
      <c r="Z356" s="390"/>
      <c r="AA356" s="3"/>
      <c r="AB356" s="390"/>
      <c r="AC356" s="3"/>
      <c r="AD356" s="390"/>
      <c r="AE356" s="3"/>
      <c r="AF356" s="390"/>
      <c r="AG356" s="3"/>
      <c r="AH356" s="390"/>
      <c r="AI356" s="3"/>
      <c r="AJ356" s="390"/>
      <c r="AK356" s="3"/>
      <c r="AL356" s="390"/>
      <c r="AM356" s="3"/>
      <c r="AN356" s="390"/>
      <c r="AO356" s="3"/>
      <c r="AP356" s="392">
        <f t="shared" si="12"/>
        <v>0</v>
      </c>
      <c r="AQ356" s="389">
        <f t="shared" si="10"/>
        <v>0</v>
      </c>
      <c r="AR356" s="389">
        <f t="shared" si="3"/>
        <v>0</v>
      </c>
      <c r="AS356" s="389">
        <f t="shared" si="4"/>
        <v>0</v>
      </c>
      <c r="AT356" s="392" t="str">
        <f t="shared" si="5"/>
        <v/>
      </c>
    </row>
    <row r="357" ht="15.75" customHeight="1">
      <c r="A357" s="34" t="s">
        <v>26</v>
      </c>
      <c r="B357" s="35">
        <f t="shared" si="6"/>
        <v>45282</v>
      </c>
      <c r="C357" s="36">
        <v>13.0</v>
      </c>
      <c r="D357" s="36" t="s">
        <v>36</v>
      </c>
      <c r="E357" s="389"/>
      <c r="F357" s="390"/>
      <c r="G357" s="3"/>
      <c r="H357" s="390"/>
      <c r="I357" s="3"/>
      <c r="J357" s="390"/>
      <c r="K357" s="3"/>
      <c r="L357" s="390"/>
      <c r="M357" s="3"/>
      <c r="N357" s="391"/>
      <c r="O357" s="3"/>
      <c r="P357" s="391"/>
      <c r="Q357" s="3"/>
      <c r="R357" s="391"/>
      <c r="S357" s="3"/>
      <c r="T357" s="391"/>
      <c r="U357" s="3"/>
      <c r="V357" s="390"/>
      <c r="W357" s="3"/>
      <c r="X357" s="390"/>
      <c r="Y357" s="3"/>
      <c r="Z357" s="390"/>
      <c r="AA357" s="3"/>
      <c r="AB357" s="390"/>
      <c r="AC357" s="3"/>
      <c r="AD357" s="390"/>
      <c r="AE357" s="3"/>
      <c r="AF357" s="390"/>
      <c r="AG357" s="3"/>
      <c r="AH357" s="390"/>
      <c r="AI357" s="3"/>
      <c r="AJ357" s="390"/>
      <c r="AK357" s="3"/>
      <c r="AL357" s="390"/>
      <c r="AM357" s="3"/>
      <c r="AN357" s="390"/>
      <c r="AO357" s="3"/>
      <c r="AP357" s="392">
        <f t="shared" si="12"/>
        <v>0</v>
      </c>
      <c r="AQ357" s="389">
        <f t="shared" si="10"/>
        <v>0</v>
      </c>
      <c r="AR357" s="389">
        <f t="shared" si="3"/>
        <v>0</v>
      </c>
      <c r="AS357" s="389">
        <f t="shared" si="4"/>
        <v>0</v>
      </c>
      <c r="AT357" s="392" t="str">
        <f t="shared" si="5"/>
        <v/>
      </c>
    </row>
    <row r="358" ht="15.75" customHeight="1">
      <c r="A358" s="34" t="s">
        <v>27</v>
      </c>
      <c r="B358" s="35">
        <f t="shared" si="6"/>
        <v>45283</v>
      </c>
      <c r="C358" s="36">
        <v>13.0</v>
      </c>
      <c r="D358" s="36" t="s">
        <v>36</v>
      </c>
      <c r="E358" s="389"/>
      <c r="F358" s="390"/>
      <c r="G358" s="3"/>
      <c r="H358" s="390"/>
      <c r="I358" s="3"/>
      <c r="J358" s="390"/>
      <c r="K358" s="3"/>
      <c r="L358" s="390"/>
      <c r="M358" s="3"/>
      <c r="N358" s="391"/>
      <c r="O358" s="3"/>
      <c r="P358" s="391"/>
      <c r="Q358" s="3"/>
      <c r="R358" s="391"/>
      <c r="S358" s="3"/>
      <c r="T358" s="391"/>
      <c r="U358" s="3"/>
      <c r="V358" s="390"/>
      <c r="W358" s="3"/>
      <c r="X358" s="390"/>
      <c r="Y358" s="3"/>
      <c r="Z358" s="390"/>
      <c r="AA358" s="3"/>
      <c r="AB358" s="390"/>
      <c r="AC358" s="3"/>
      <c r="AD358" s="390"/>
      <c r="AE358" s="3"/>
      <c r="AF358" s="390"/>
      <c r="AG358" s="3"/>
      <c r="AH358" s="390"/>
      <c r="AI358" s="3"/>
      <c r="AJ358" s="390"/>
      <c r="AK358" s="3"/>
      <c r="AL358" s="390"/>
      <c r="AM358" s="3"/>
      <c r="AN358" s="390"/>
      <c r="AO358" s="3"/>
      <c r="AP358" s="392">
        <f t="shared" si="12"/>
        <v>0</v>
      </c>
      <c r="AQ358" s="389">
        <f t="shared" si="10"/>
        <v>0</v>
      </c>
      <c r="AR358" s="389">
        <f t="shared" si="3"/>
        <v>0</v>
      </c>
      <c r="AS358" s="389">
        <f t="shared" si="4"/>
        <v>0</v>
      </c>
      <c r="AT358" s="392" t="str">
        <f t="shared" si="5"/>
        <v/>
      </c>
    </row>
    <row r="359" ht="15.75" customHeight="1">
      <c r="A359" s="46" t="s">
        <v>28</v>
      </c>
      <c r="B359" s="47">
        <f t="shared" si="6"/>
        <v>45284</v>
      </c>
      <c r="C359" s="49">
        <v>13.0</v>
      </c>
      <c r="D359" s="49" t="s">
        <v>36</v>
      </c>
      <c r="E359" s="389"/>
      <c r="F359" s="390"/>
      <c r="G359" s="3"/>
      <c r="H359" s="390"/>
      <c r="I359" s="3"/>
      <c r="J359" s="390"/>
      <c r="K359" s="3"/>
      <c r="L359" s="390"/>
      <c r="M359" s="3"/>
      <c r="N359" s="391"/>
      <c r="O359" s="3"/>
      <c r="P359" s="391"/>
      <c r="Q359" s="3"/>
      <c r="R359" s="391"/>
      <c r="S359" s="3"/>
      <c r="T359" s="391"/>
      <c r="U359" s="3"/>
      <c r="V359" s="390"/>
      <c r="W359" s="3"/>
      <c r="X359" s="390"/>
      <c r="Y359" s="3"/>
      <c r="Z359" s="390"/>
      <c r="AA359" s="3"/>
      <c r="AB359" s="390"/>
      <c r="AC359" s="3"/>
      <c r="AD359" s="390"/>
      <c r="AE359" s="3"/>
      <c r="AF359" s="390"/>
      <c r="AG359" s="3"/>
      <c r="AH359" s="390"/>
      <c r="AI359" s="3"/>
      <c r="AJ359" s="390"/>
      <c r="AK359" s="3"/>
      <c r="AL359" s="390"/>
      <c r="AM359" s="3"/>
      <c r="AN359" s="390"/>
      <c r="AO359" s="3"/>
      <c r="AP359" s="392">
        <f t="shared" si="12"/>
        <v>0</v>
      </c>
      <c r="AQ359" s="389">
        <f t="shared" si="10"/>
        <v>0</v>
      </c>
      <c r="AR359" s="389">
        <f t="shared" si="3"/>
        <v>0</v>
      </c>
      <c r="AS359" s="389">
        <f t="shared" si="4"/>
        <v>0</v>
      </c>
      <c r="AT359" s="392" t="str">
        <f t="shared" si="5"/>
        <v/>
      </c>
    </row>
    <row r="360" ht="15.75" customHeight="1">
      <c r="A360" s="310"/>
      <c r="B360" s="311"/>
      <c r="C360" s="312"/>
      <c r="D360" s="312"/>
      <c r="E360" s="312"/>
      <c r="F360" s="312"/>
      <c r="G360" s="312"/>
      <c r="H360" s="312"/>
      <c r="I360" s="312"/>
      <c r="J360" s="312"/>
      <c r="K360" s="312"/>
      <c r="L360" s="312"/>
      <c r="M360" s="312"/>
      <c r="N360" s="312"/>
      <c r="O360" s="312"/>
      <c r="P360" s="312"/>
      <c r="Q360" s="312"/>
      <c r="R360" s="312"/>
      <c r="S360" s="312"/>
      <c r="T360" s="312"/>
      <c r="U360" s="312"/>
      <c r="V360" s="312"/>
      <c r="W360" s="312"/>
      <c r="X360" s="312"/>
      <c r="Y360" s="312"/>
      <c r="Z360" s="312"/>
      <c r="AA360" s="312"/>
      <c r="AB360" s="312"/>
      <c r="AC360" s="312"/>
      <c r="AD360" s="312"/>
      <c r="AE360" s="312"/>
      <c r="AF360" s="312"/>
      <c r="AG360" s="312"/>
      <c r="AH360" s="312"/>
      <c r="AI360" s="312"/>
      <c r="AJ360" s="312"/>
      <c r="AK360" s="312"/>
      <c r="AL360" s="312"/>
      <c r="AM360" s="312"/>
      <c r="AN360" s="312"/>
      <c r="AO360" s="312"/>
      <c r="AP360" s="313">
        <f t="shared" ref="AP360:AT360" si="13">sum(AP3:AP359)</f>
        <v>1955650.08</v>
      </c>
      <c r="AQ360" s="312">
        <f t="shared" si="13"/>
        <v>75645</v>
      </c>
      <c r="AR360" s="312">
        <f t="shared" si="13"/>
        <v>0</v>
      </c>
      <c r="AS360" s="312">
        <f t="shared" si="13"/>
        <v>78215</v>
      </c>
      <c r="AT360" s="313">
        <f t="shared" si="13"/>
        <v>5630.958941</v>
      </c>
    </row>
    <row r="361" ht="15.75" customHeight="1">
      <c r="A361" s="310"/>
      <c r="B361" s="311"/>
      <c r="C361" s="312"/>
      <c r="D361" s="312"/>
      <c r="E361" s="312"/>
      <c r="F361" s="312"/>
      <c r="G361" s="314"/>
      <c r="H361" s="312"/>
      <c r="I361" s="314"/>
      <c r="J361" s="312"/>
      <c r="K361" s="312"/>
      <c r="L361" s="312"/>
      <c r="M361" s="312"/>
      <c r="N361" s="314"/>
      <c r="O361" s="314"/>
      <c r="P361" s="314"/>
      <c r="Q361" s="314"/>
      <c r="R361" s="314"/>
      <c r="S361" s="314"/>
      <c r="T361" s="314"/>
      <c r="U361" s="314"/>
      <c r="V361" s="315"/>
      <c r="W361" s="312"/>
      <c r="X361" s="312"/>
      <c r="Y361" s="312"/>
      <c r="Z361" s="312"/>
      <c r="AA361" s="312"/>
      <c r="AB361" s="312"/>
      <c r="AC361" s="312"/>
      <c r="AD361" s="312"/>
      <c r="AE361" s="312"/>
      <c r="AF361" s="312"/>
      <c r="AG361" s="312"/>
      <c r="AH361" s="312"/>
      <c r="AI361" s="312"/>
      <c r="AJ361" s="312"/>
      <c r="AK361" s="312"/>
      <c r="AL361" s="312"/>
      <c r="AM361" s="312"/>
      <c r="AN361" s="312"/>
      <c r="AO361" s="312"/>
      <c r="AP361" s="316"/>
      <c r="AQ361" s="312"/>
      <c r="AR361" s="312"/>
      <c r="AS361" s="317"/>
      <c r="AT361" s="312"/>
    </row>
    <row r="362" ht="15.75" customHeight="1">
      <c r="A362" s="318"/>
      <c r="B362" s="312"/>
      <c r="C362" s="312"/>
      <c r="D362" s="312"/>
      <c r="E362" s="312"/>
      <c r="F362" s="312"/>
      <c r="G362" s="312"/>
      <c r="H362" s="312"/>
      <c r="I362" s="312"/>
      <c r="J362" s="312"/>
      <c r="K362" s="312"/>
      <c r="L362" s="312"/>
      <c r="M362" s="312"/>
      <c r="N362" s="312"/>
      <c r="O362" s="312"/>
      <c r="P362" s="312"/>
      <c r="Q362" s="312"/>
      <c r="R362" s="312"/>
      <c r="S362" s="312"/>
      <c r="T362" s="312"/>
      <c r="U362" s="312"/>
      <c r="V362" s="312"/>
      <c r="W362" s="312"/>
      <c r="X362" s="312"/>
      <c r="Y362" s="312"/>
      <c r="Z362" s="312"/>
      <c r="AA362" s="312"/>
      <c r="AB362" s="312"/>
      <c r="AC362" s="312"/>
      <c r="AD362" s="312"/>
      <c r="AE362" s="312"/>
      <c r="AF362" s="312"/>
      <c r="AG362" s="312"/>
      <c r="AH362" s="312"/>
      <c r="AI362" s="312"/>
      <c r="AJ362" s="312"/>
      <c r="AK362" s="312"/>
      <c r="AL362" s="312"/>
      <c r="AM362" s="312"/>
      <c r="AN362" s="312"/>
      <c r="AO362" s="312"/>
      <c r="AP362" s="312"/>
      <c r="AQ362" s="312"/>
      <c r="AR362" s="312"/>
      <c r="AS362" s="312"/>
      <c r="AT362" s="312"/>
    </row>
    <row r="363" ht="15.75" customHeight="1">
      <c r="A363" s="318"/>
      <c r="B363" s="312"/>
      <c r="C363" s="312"/>
      <c r="D363" s="312"/>
      <c r="E363" s="312"/>
      <c r="F363" s="312"/>
      <c r="G363" s="312"/>
      <c r="H363" s="312"/>
      <c r="I363" s="312"/>
      <c r="J363" s="312"/>
      <c r="K363" s="312"/>
      <c r="L363" s="312"/>
      <c r="M363" s="312"/>
      <c r="N363" s="312"/>
      <c r="O363" s="312"/>
      <c r="P363" s="312"/>
      <c r="Q363" s="312"/>
      <c r="R363" s="312"/>
      <c r="S363" s="312"/>
      <c r="T363" s="312"/>
      <c r="U363" s="312"/>
      <c r="V363" s="312"/>
      <c r="W363" s="312"/>
      <c r="X363" s="312"/>
      <c r="Y363" s="312"/>
      <c r="Z363" s="312"/>
      <c r="AA363" s="312"/>
      <c r="AB363" s="312"/>
      <c r="AC363" s="312"/>
      <c r="AD363" s="312"/>
      <c r="AE363" s="312"/>
      <c r="AF363" s="312"/>
      <c r="AG363" s="312"/>
      <c r="AH363" s="312"/>
      <c r="AI363" s="312"/>
      <c r="AJ363" s="312"/>
      <c r="AK363" s="312"/>
      <c r="AL363" s="312"/>
      <c r="AM363" s="312"/>
      <c r="AN363" s="312"/>
      <c r="AO363" s="312"/>
      <c r="AP363" s="319" t="s">
        <v>46</v>
      </c>
      <c r="AQ363" s="320" t="s">
        <v>47</v>
      </c>
      <c r="AR363" s="320" t="s">
        <v>48</v>
      </c>
      <c r="AS363" s="320" t="s">
        <v>49</v>
      </c>
      <c r="AT363" s="312"/>
    </row>
    <row r="364" ht="15.75" customHeight="1">
      <c r="A364" s="318"/>
      <c r="B364" s="312"/>
      <c r="C364" s="312"/>
      <c r="D364" s="312"/>
      <c r="E364" s="312"/>
      <c r="F364" s="312"/>
      <c r="G364" s="312"/>
      <c r="H364" s="312"/>
      <c r="I364" s="312"/>
      <c r="J364" s="312"/>
      <c r="K364" s="312"/>
      <c r="L364" s="312"/>
      <c r="M364" s="312"/>
      <c r="N364" s="312"/>
      <c r="O364" s="312"/>
      <c r="P364" s="312"/>
      <c r="Q364" s="312"/>
      <c r="R364" s="312"/>
      <c r="S364" s="312"/>
      <c r="T364" s="312"/>
      <c r="U364" s="312"/>
      <c r="V364" s="312"/>
      <c r="W364" s="312"/>
      <c r="X364" s="312"/>
      <c r="Y364" s="312"/>
      <c r="Z364" s="312"/>
      <c r="AA364" s="312"/>
      <c r="AB364" s="312"/>
      <c r="AC364" s="312"/>
      <c r="AD364" s="312"/>
      <c r="AE364" s="312"/>
      <c r="AF364" s="312"/>
      <c r="AG364" s="312"/>
      <c r="AH364" s="312"/>
      <c r="AI364" s="312"/>
      <c r="AJ364" s="312"/>
      <c r="AK364" s="312"/>
      <c r="AL364" s="312"/>
      <c r="AM364" s="312"/>
      <c r="AN364" s="312"/>
      <c r="AO364" s="312"/>
      <c r="AP364" s="319">
        <v>1.0</v>
      </c>
      <c r="AQ364" s="321">
        <f t="shared" ref="AQ364:AQ376" si="14">sumif($C$3:$C$359, AP364, $AP$3:$AP$359)</f>
        <v>37217.06667</v>
      </c>
      <c r="AR364" s="319">
        <f>sum(N3:S30)</f>
        <v>1640</v>
      </c>
      <c r="AS364" s="319">
        <v>0.0</v>
      </c>
      <c r="AT364" s="312"/>
    </row>
    <row r="365" ht="15.75" customHeight="1">
      <c r="A365" s="318"/>
      <c r="B365" s="312"/>
      <c r="C365" s="312"/>
      <c r="D365" s="312"/>
      <c r="E365" s="312"/>
      <c r="F365" s="312"/>
      <c r="G365" s="312"/>
      <c r="H365" s="312"/>
      <c r="I365" s="312"/>
      <c r="J365" s="312"/>
      <c r="K365" s="312"/>
      <c r="L365" s="312"/>
      <c r="M365" s="312"/>
      <c r="N365" s="312"/>
      <c r="O365" s="312"/>
      <c r="P365" s="312"/>
      <c r="Q365" s="312"/>
      <c r="R365" s="312"/>
      <c r="S365" s="312"/>
      <c r="T365" s="312"/>
      <c r="U365" s="312"/>
      <c r="V365" s="312"/>
      <c r="W365" s="312"/>
      <c r="X365" s="312"/>
      <c r="Y365" s="312"/>
      <c r="Z365" s="312"/>
      <c r="AA365" s="312"/>
      <c r="AB365" s="312"/>
      <c r="AC365" s="312"/>
      <c r="AD365" s="312"/>
      <c r="AE365" s="312"/>
      <c r="AF365" s="312"/>
      <c r="AG365" s="312"/>
      <c r="AH365" s="312"/>
      <c r="AI365" s="312"/>
      <c r="AJ365" s="312"/>
      <c r="AK365" s="312"/>
      <c r="AL365" s="312"/>
      <c r="AM365" s="312"/>
      <c r="AN365" s="312"/>
      <c r="AO365" s="312"/>
      <c r="AP365" s="319">
        <v>2.0</v>
      </c>
      <c r="AQ365" s="321">
        <f t="shared" si="14"/>
        <v>303991.2667</v>
      </c>
      <c r="AR365" s="319">
        <f>sum(N31:S58)</f>
        <v>6140</v>
      </c>
      <c r="AS365" s="319">
        <f>sum(F31:M58)</f>
        <v>4910</v>
      </c>
      <c r="AT365" s="312"/>
    </row>
    <row r="366" ht="15.75" customHeight="1">
      <c r="A366" s="318"/>
      <c r="B366" s="312"/>
      <c r="C366" s="312"/>
      <c r="D366" s="312"/>
      <c r="E366" s="312"/>
      <c r="F366" s="312"/>
      <c r="G366" s="312"/>
      <c r="H366" s="312"/>
      <c r="I366" s="312"/>
      <c r="J366" s="312"/>
      <c r="K366" s="312"/>
      <c r="L366" s="312"/>
      <c r="M366" s="312"/>
      <c r="N366" s="312"/>
      <c r="O366" s="312"/>
      <c r="P366" s="312"/>
      <c r="Q366" s="312"/>
      <c r="R366" s="312"/>
      <c r="S366" s="312"/>
      <c r="T366" s="312"/>
      <c r="U366" s="312"/>
      <c r="V366" s="312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  <c r="AJ366" s="312"/>
      <c r="AK366" s="312"/>
      <c r="AL366" s="312"/>
      <c r="AM366" s="312"/>
      <c r="AN366" s="312"/>
      <c r="AO366" s="312"/>
      <c r="AP366" s="319">
        <v>3.0</v>
      </c>
      <c r="AQ366" s="321">
        <f t="shared" si="14"/>
        <v>626826.88</v>
      </c>
      <c r="AR366" s="319">
        <f>sum(N59:AC86)</f>
        <v>14263</v>
      </c>
      <c r="AS366" s="319">
        <f>sum(F59:M86)</f>
        <v>8930</v>
      </c>
      <c r="AT366" s="312"/>
    </row>
    <row r="367" ht="15.75" customHeight="1">
      <c r="A367" s="318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2"/>
      <c r="S367" s="312"/>
      <c r="T367" s="312"/>
      <c r="U367" s="312"/>
      <c r="V367" s="312"/>
      <c r="W367" s="312"/>
      <c r="X367" s="312"/>
      <c r="Y367" s="312"/>
      <c r="Z367" s="312"/>
      <c r="AA367" s="312"/>
      <c r="AB367" s="312"/>
      <c r="AC367" s="312"/>
      <c r="AD367" s="312"/>
      <c r="AE367" s="312"/>
      <c r="AF367" s="312"/>
      <c r="AG367" s="312"/>
      <c r="AH367" s="312"/>
      <c r="AI367" s="312"/>
      <c r="AJ367" s="312"/>
      <c r="AK367" s="312"/>
      <c r="AL367" s="312"/>
      <c r="AM367" s="312"/>
      <c r="AN367" s="312"/>
      <c r="AO367" s="312"/>
      <c r="AP367" s="319">
        <v>4.0</v>
      </c>
      <c r="AQ367" s="321">
        <f t="shared" si="14"/>
        <v>156978.6667</v>
      </c>
      <c r="AR367" s="319">
        <f>sum(N87:AC114)</f>
        <v>7049</v>
      </c>
      <c r="AS367" s="319">
        <v>0.0</v>
      </c>
      <c r="AT367" s="312"/>
    </row>
    <row r="368" ht="15.75" customHeight="1">
      <c r="A368" s="318"/>
      <c r="B368" s="312"/>
      <c r="C368" s="312"/>
      <c r="D368" s="312"/>
      <c r="E368" s="312"/>
      <c r="F368" s="312"/>
      <c r="G368" s="312"/>
      <c r="H368" s="312"/>
      <c r="I368" s="312"/>
      <c r="J368" s="312"/>
      <c r="K368" s="312"/>
      <c r="L368" s="312"/>
      <c r="M368" s="312"/>
      <c r="N368" s="312"/>
      <c r="O368" s="312"/>
      <c r="P368" s="312"/>
      <c r="Q368" s="312"/>
      <c r="R368" s="312"/>
      <c r="S368" s="312"/>
      <c r="T368" s="312"/>
      <c r="U368" s="312"/>
      <c r="V368" s="312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  <c r="AJ368" s="312"/>
      <c r="AK368" s="312"/>
      <c r="AL368" s="312"/>
      <c r="AM368" s="312"/>
      <c r="AN368" s="312"/>
      <c r="AO368" s="312"/>
      <c r="AP368" s="319">
        <v>5.0</v>
      </c>
      <c r="AQ368" s="321">
        <f t="shared" si="14"/>
        <v>133895.8667</v>
      </c>
      <c r="AR368" s="319">
        <f>sum(N115:AC142)</f>
        <v>5752</v>
      </c>
      <c r="AS368" s="319">
        <v>0.0</v>
      </c>
      <c r="AT368" s="312"/>
    </row>
    <row r="369" ht="15.75" customHeight="1">
      <c r="A369" s="318"/>
      <c r="B369" s="312"/>
      <c r="C369" s="312"/>
      <c r="D369" s="312"/>
      <c r="E369" s="312"/>
      <c r="F369" s="312"/>
      <c r="G369" s="312"/>
      <c r="H369" s="312"/>
      <c r="I369" s="312"/>
      <c r="J369" s="312"/>
      <c r="K369" s="312"/>
      <c r="L369" s="312"/>
      <c r="M369" s="312"/>
      <c r="N369" s="312"/>
      <c r="O369" s="312"/>
      <c r="P369" s="312"/>
      <c r="Q369" s="312"/>
      <c r="R369" s="312"/>
      <c r="S369" s="312"/>
      <c r="T369" s="312"/>
      <c r="U369" s="312"/>
      <c r="V369" s="312"/>
      <c r="W369" s="312"/>
      <c r="X369" s="312"/>
      <c r="Y369" s="312"/>
      <c r="Z369" s="312"/>
      <c r="AA369" s="312"/>
      <c r="AB369" s="312"/>
      <c r="AC369" s="312"/>
      <c r="AD369" s="312"/>
      <c r="AE369" s="312"/>
      <c r="AF369" s="312"/>
      <c r="AG369" s="312"/>
      <c r="AH369" s="312"/>
      <c r="AI369" s="312"/>
      <c r="AJ369" s="312"/>
      <c r="AK369" s="312"/>
      <c r="AL369" s="312"/>
      <c r="AM369" s="312"/>
      <c r="AN369" s="312"/>
      <c r="AO369" s="312"/>
      <c r="AP369" s="319">
        <v>6.0</v>
      </c>
      <c r="AQ369" s="321">
        <f t="shared" si="14"/>
        <v>150791.7667</v>
      </c>
      <c r="AR369" s="319">
        <f>sum(N143:AC170)</f>
        <v>6485</v>
      </c>
      <c r="AS369" s="319">
        <v>0.0</v>
      </c>
      <c r="AT369" s="312"/>
    </row>
    <row r="370" ht="15.75" customHeight="1">
      <c r="A370" s="318"/>
      <c r="B370" s="312"/>
      <c r="C370" s="312"/>
      <c r="D370" s="312"/>
      <c r="E370" s="312"/>
      <c r="F370" s="312"/>
      <c r="G370" s="312"/>
      <c r="H370" s="312"/>
      <c r="I370" s="312"/>
      <c r="J370" s="312"/>
      <c r="K370" s="312"/>
      <c r="L370" s="312"/>
      <c r="M370" s="312"/>
      <c r="N370" s="312"/>
      <c r="O370" s="312"/>
      <c r="P370" s="312"/>
      <c r="Q370" s="312"/>
      <c r="R370" s="312"/>
      <c r="S370" s="312"/>
      <c r="T370" s="312"/>
      <c r="U370" s="312"/>
      <c r="V370" s="312"/>
      <c r="W370" s="312"/>
      <c r="X370" s="312"/>
      <c r="Y370" s="312"/>
      <c r="Z370" s="312"/>
      <c r="AA370" s="312"/>
      <c r="AB370" s="312"/>
      <c r="AC370" s="312"/>
      <c r="AD370" s="312"/>
      <c r="AE370" s="312"/>
      <c r="AF370" s="312"/>
      <c r="AG370" s="312"/>
      <c r="AH370" s="312"/>
      <c r="AI370" s="312"/>
      <c r="AJ370" s="312"/>
      <c r="AK370" s="312"/>
      <c r="AL370" s="312"/>
      <c r="AM370" s="312"/>
      <c r="AN370" s="312"/>
      <c r="AO370" s="312"/>
      <c r="AP370" s="319">
        <v>7.0</v>
      </c>
      <c r="AQ370" s="321">
        <f t="shared" si="14"/>
        <v>147629</v>
      </c>
      <c r="AR370" s="319">
        <f>sum(N171:AC198)</f>
        <v>6343</v>
      </c>
      <c r="AS370" s="319">
        <v>0.0</v>
      </c>
      <c r="AT370" s="312"/>
    </row>
    <row r="371" ht="15.75" customHeight="1">
      <c r="A371" s="318"/>
      <c r="B371" s="312"/>
      <c r="C371" s="312"/>
      <c r="D371" s="312"/>
      <c r="E371" s="312"/>
      <c r="F371" s="312"/>
      <c r="G371" s="312"/>
      <c r="H371" s="312"/>
      <c r="I371" s="312"/>
      <c r="J371" s="312"/>
      <c r="K371" s="312"/>
      <c r="L371" s="312"/>
      <c r="M371" s="312"/>
      <c r="N371" s="312"/>
      <c r="O371" s="312"/>
      <c r="P371" s="312"/>
      <c r="Q371" s="312"/>
      <c r="R371" s="312"/>
      <c r="S371" s="312"/>
      <c r="T371" s="312"/>
      <c r="U371" s="312"/>
      <c r="V371" s="312"/>
      <c r="W371" s="312"/>
      <c r="X371" s="312"/>
      <c r="Y371" s="312"/>
      <c r="Z371" s="312"/>
      <c r="AA371" s="312"/>
      <c r="AB371" s="312"/>
      <c r="AC371" s="312"/>
      <c r="AD371" s="312"/>
      <c r="AE371" s="312"/>
      <c r="AF371" s="312"/>
      <c r="AG371" s="312"/>
      <c r="AH371" s="312"/>
      <c r="AI371" s="312"/>
      <c r="AJ371" s="312"/>
      <c r="AK371" s="312"/>
      <c r="AL371" s="312"/>
      <c r="AM371" s="312"/>
      <c r="AN371" s="312"/>
      <c r="AO371" s="312"/>
      <c r="AP371" s="319">
        <v>8.0</v>
      </c>
      <c r="AQ371" s="321">
        <f t="shared" si="14"/>
        <v>175722.1333</v>
      </c>
      <c r="AR371" s="319">
        <f>sum(N199:AC226)</f>
        <v>7448</v>
      </c>
      <c r="AS371" s="319">
        <v>0.0</v>
      </c>
      <c r="AT371" s="312"/>
    </row>
    <row r="372" ht="15.75" customHeight="1">
      <c r="A372" s="318"/>
      <c r="B372" s="312"/>
      <c r="C372" s="312"/>
      <c r="D372" s="312"/>
      <c r="E372" s="312"/>
      <c r="F372" s="312"/>
      <c r="G372" s="312"/>
      <c r="H372" s="312"/>
      <c r="I372" s="312"/>
      <c r="J372" s="312"/>
      <c r="K372" s="312"/>
      <c r="L372" s="312"/>
      <c r="M372" s="312"/>
      <c r="N372" s="312"/>
      <c r="O372" s="312"/>
      <c r="P372" s="312"/>
      <c r="Q372" s="312"/>
      <c r="R372" s="312"/>
      <c r="S372" s="312"/>
      <c r="T372" s="312"/>
      <c r="U372" s="312"/>
      <c r="V372" s="312"/>
      <c r="W372" s="312"/>
      <c r="X372" s="312"/>
      <c r="Y372" s="312"/>
      <c r="Z372" s="312"/>
      <c r="AA372" s="312"/>
      <c r="AB372" s="312"/>
      <c r="AC372" s="312"/>
      <c r="AD372" s="312"/>
      <c r="AE372" s="312"/>
      <c r="AF372" s="312"/>
      <c r="AG372" s="312"/>
      <c r="AH372" s="312"/>
      <c r="AI372" s="312"/>
      <c r="AJ372" s="312"/>
      <c r="AK372" s="312"/>
      <c r="AL372" s="312"/>
      <c r="AM372" s="312"/>
      <c r="AN372" s="312"/>
      <c r="AO372" s="312"/>
      <c r="AP372" s="319">
        <v>9.0</v>
      </c>
      <c r="AQ372" s="321">
        <f t="shared" si="14"/>
        <v>89270.2</v>
      </c>
      <c r="AR372" s="319">
        <f>sum(N227:AC254)</f>
        <v>3795</v>
      </c>
      <c r="AS372" s="319">
        <v>0.0</v>
      </c>
      <c r="AT372" s="312"/>
    </row>
    <row r="373" ht="15.75" customHeight="1">
      <c r="A373" s="318"/>
      <c r="B373" s="312"/>
      <c r="C373" s="312"/>
      <c r="D373" s="312"/>
      <c r="E373" s="312"/>
      <c r="F373" s="312"/>
      <c r="G373" s="312"/>
      <c r="H373" s="312"/>
      <c r="I373" s="312"/>
      <c r="J373" s="312"/>
      <c r="K373" s="312"/>
      <c r="L373" s="312"/>
      <c r="M373" s="312"/>
      <c r="N373" s="312"/>
      <c r="O373" s="312"/>
      <c r="P373" s="312"/>
      <c r="Q373" s="312"/>
      <c r="R373" s="312"/>
      <c r="S373" s="312"/>
      <c r="T373" s="312"/>
      <c r="U373" s="312"/>
      <c r="V373" s="312"/>
      <c r="W373" s="312"/>
      <c r="X373" s="312"/>
      <c r="Y373" s="312"/>
      <c r="Z373" s="312"/>
      <c r="AA373" s="312"/>
      <c r="AB373" s="312"/>
      <c r="AC373" s="312"/>
      <c r="AD373" s="312"/>
      <c r="AE373" s="312"/>
      <c r="AF373" s="312"/>
      <c r="AG373" s="312"/>
      <c r="AH373" s="312"/>
      <c r="AI373" s="312"/>
      <c r="AJ373" s="312"/>
      <c r="AK373" s="312"/>
      <c r="AL373" s="312"/>
      <c r="AM373" s="312"/>
      <c r="AN373" s="312"/>
      <c r="AO373" s="312"/>
      <c r="AP373" s="319">
        <v>10.0</v>
      </c>
      <c r="AQ373" s="321">
        <f t="shared" si="14"/>
        <v>106854.9</v>
      </c>
      <c r="AR373" s="319">
        <f>sum(N255:AC282)</f>
        <v>4560</v>
      </c>
      <c r="AS373" s="319">
        <v>0.0</v>
      </c>
      <c r="AT373" s="312"/>
    </row>
    <row r="374" ht="15.75" customHeight="1">
      <c r="A374" s="318"/>
      <c r="B374" s="312"/>
      <c r="C374" s="312"/>
      <c r="D374" s="312"/>
      <c r="E374" s="312"/>
      <c r="F374" s="312"/>
      <c r="G374" s="312"/>
      <c r="H374" s="312"/>
      <c r="I374" s="312"/>
      <c r="J374" s="312"/>
      <c r="K374" s="312"/>
      <c r="L374" s="312"/>
      <c r="M374" s="312"/>
      <c r="N374" s="312"/>
      <c r="O374" s="312"/>
      <c r="P374" s="312"/>
      <c r="Q374" s="312"/>
      <c r="R374" s="312"/>
      <c r="S374" s="312"/>
      <c r="T374" s="312"/>
      <c r="U374" s="312"/>
      <c r="V374" s="312"/>
      <c r="W374" s="312"/>
      <c r="X374" s="312"/>
      <c r="Y374" s="312"/>
      <c r="Z374" s="312"/>
      <c r="AA374" s="312"/>
      <c r="AB374" s="312"/>
      <c r="AC374" s="312"/>
      <c r="AD374" s="312"/>
      <c r="AE374" s="312"/>
      <c r="AF374" s="312"/>
      <c r="AG374" s="312"/>
      <c r="AH374" s="312"/>
      <c r="AI374" s="312"/>
      <c r="AJ374" s="312"/>
      <c r="AK374" s="312"/>
      <c r="AL374" s="312"/>
      <c r="AM374" s="312"/>
      <c r="AN374" s="312"/>
      <c r="AO374" s="312"/>
      <c r="AP374" s="319">
        <v>11.0</v>
      </c>
      <c r="AQ374" s="321">
        <f t="shared" si="14"/>
        <v>20424</v>
      </c>
      <c r="AR374" s="319">
        <f>sum(N283:AC310)</f>
        <v>900</v>
      </c>
      <c r="AS374" s="319">
        <v>0.0</v>
      </c>
      <c r="AT374" s="312"/>
    </row>
    <row r="375" ht="15.75" customHeight="1">
      <c r="A375" s="318"/>
      <c r="B375" s="312"/>
      <c r="C375" s="312"/>
      <c r="D375" s="312"/>
      <c r="E375" s="312"/>
      <c r="F375" s="312"/>
      <c r="G375" s="312"/>
      <c r="H375" s="312"/>
      <c r="I375" s="312"/>
      <c r="J375" s="312"/>
      <c r="K375" s="312"/>
      <c r="L375" s="312"/>
      <c r="M375" s="312"/>
      <c r="N375" s="312"/>
      <c r="O375" s="312"/>
      <c r="P375" s="312"/>
      <c r="Q375" s="312"/>
      <c r="R375" s="312"/>
      <c r="S375" s="312"/>
      <c r="T375" s="312"/>
      <c r="U375" s="312"/>
      <c r="V375" s="312"/>
      <c r="W375" s="312"/>
      <c r="X375" s="312"/>
      <c r="Y375" s="312"/>
      <c r="Z375" s="312"/>
      <c r="AA375" s="312"/>
      <c r="AB375" s="312"/>
      <c r="AC375" s="312"/>
      <c r="AD375" s="312"/>
      <c r="AE375" s="312"/>
      <c r="AF375" s="312"/>
      <c r="AG375" s="312"/>
      <c r="AH375" s="312"/>
      <c r="AI375" s="312"/>
      <c r="AJ375" s="312"/>
      <c r="AK375" s="312"/>
      <c r="AL375" s="312"/>
      <c r="AM375" s="312"/>
      <c r="AN375" s="312"/>
      <c r="AO375" s="312"/>
      <c r="AP375" s="319">
        <v>12.0</v>
      </c>
      <c r="AQ375" s="321">
        <f t="shared" si="14"/>
        <v>0</v>
      </c>
      <c r="AR375" s="319">
        <f>sum(N311:AC338)</f>
        <v>0</v>
      </c>
      <c r="AS375" s="319">
        <v>0.0</v>
      </c>
      <c r="AT375" s="312"/>
    </row>
    <row r="376" ht="15.75" customHeight="1">
      <c r="A376" s="318"/>
      <c r="B376" s="312"/>
      <c r="C376" s="312"/>
      <c r="D376" s="312"/>
      <c r="E376" s="312"/>
      <c r="F376" s="312"/>
      <c r="G376" s="312"/>
      <c r="H376" s="312"/>
      <c r="I376" s="312"/>
      <c r="J376" s="312"/>
      <c r="K376" s="312"/>
      <c r="L376" s="312"/>
      <c r="M376" s="312"/>
      <c r="N376" s="312"/>
      <c r="O376" s="312"/>
      <c r="P376" s="312"/>
      <c r="Q376" s="312"/>
      <c r="R376" s="312"/>
      <c r="S376" s="312"/>
      <c r="T376" s="312"/>
      <c r="U376" s="312"/>
      <c r="V376" s="312"/>
      <c r="W376" s="312"/>
      <c r="X376" s="312"/>
      <c r="Y376" s="312"/>
      <c r="Z376" s="312"/>
      <c r="AA376" s="312"/>
      <c r="AB376" s="312"/>
      <c r="AC376" s="312"/>
      <c r="AD376" s="312"/>
      <c r="AE376" s="312"/>
      <c r="AF376" s="312"/>
      <c r="AG376" s="312"/>
      <c r="AH376" s="312"/>
      <c r="AI376" s="312"/>
      <c r="AJ376" s="312"/>
      <c r="AK376" s="312"/>
      <c r="AL376" s="312"/>
      <c r="AM376" s="312"/>
      <c r="AN376" s="312"/>
      <c r="AO376" s="312"/>
      <c r="AP376" s="319">
        <v>13.0</v>
      </c>
      <c r="AQ376" s="321">
        <f t="shared" si="14"/>
        <v>0</v>
      </c>
      <c r="AR376" s="319">
        <f>sum(N339:AC359)</f>
        <v>0</v>
      </c>
      <c r="AS376" s="319">
        <v>0.0</v>
      </c>
      <c r="AT376" s="312"/>
    </row>
    <row r="377" ht="15.75" customHeight="1">
      <c r="A377" s="318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2"/>
      <c r="S377" s="312"/>
      <c r="T377" s="312"/>
      <c r="U377" s="312"/>
      <c r="V377" s="312"/>
      <c r="W377" s="312"/>
      <c r="X377" s="312"/>
      <c r="Y377" s="312"/>
      <c r="Z377" s="312"/>
      <c r="AA377" s="312"/>
      <c r="AB377" s="312"/>
      <c r="AC377" s="312"/>
      <c r="AD377" s="312"/>
      <c r="AE377" s="312"/>
      <c r="AF377" s="312"/>
      <c r="AG377" s="312"/>
      <c r="AH377" s="312"/>
      <c r="AI377" s="312"/>
      <c r="AJ377" s="312"/>
      <c r="AK377" s="312"/>
      <c r="AL377" s="312"/>
      <c r="AM377" s="312"/>
      <c r="AN377" s="312"/>
      <c r="AO377" s="312"/>
      <c r="AP377" s="312"/>
      <c r="AQ377" s="312"/>
      <c r="AR377" s="312"/>
      <c r="AS377" s="312"/>
      <c r="AT377" s="312"/>
    </row>
    <row r="378" ht="15.75" customHeight="1">
      <c r="A378" s="318"/>
      <c r="B378" s="312"/>
      <c r="C378" s="312"/>
      <c r="D378" s="312"/>
      <c r="E378" s="312"/>
      <c r="F378" s="312"/>
      <c r="G378" s="312"/>
      <c r="H378" s="312"/>
      <c r="I378" s="312"/>
      <c r="J378" s="312"/>
      <c r="K378" s="312"/>
      <c r="L378" s="312"/>
      <c r="M378" s="312"/>
      <c r="N378" s="312"/>
      <c r="O378" s="312"/>
      <c r="P378" s="312"/>
      <c r="Q378" s="312"/>
      <c r="R378" s="312"/>
      <c r="S378" s="312"/>
      <c r="T378" s="312"/>
      <c r="U378" s="312"/>
      <c r="V378" s="312"/>
      <c r="W378" s="312"/>
      <c r="X378" s="312"/>
      <c r="Y378" s="312"/>
      <c r="Z378" s="312"/>
      <c r="AA378" s="312"/>
      <c r="AB378" s="312"/>
      <c r="AC378" s="312"/>
      <c r="AD378" s="312"/>
      <c r="AE378" s="312"/>
      <c r="AF378" s="312"/>
      <c r="AG378" s="312"/>
      <c r="AH378" s="312"/>
      <c r="AI378" s="312"/>
      <c r="AJ378" s="312"/>
      <c r="AK378" s="312"/>
      <c r="AL378" s="312"/>
      <c r="AM378" s="312"/>
      <c r="AN378" s="312"/>
      <c r="AO378" s="312"/>
      <c r="AP378" s="312"/>
      <c r="AQ378" s="312"/>
      <c r="AR378" s="312"/>
      <c r="AS378" s="312"/>
      <c r="AT378" s="312"/>
    </row>
    <row r="379" ht="15.75" customHeight="1">
      <c r="A379" s="318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2"/>
      <c r="S379" s="312"/>
      <c r="T379" s="312"/>
      <c r="U379" s="312"/>
      <c r="V379" s="312"/>
      <c r="W379" s="312"/>
      <c r="X379" s="312"/>
      <c r="Y379" s="312"/>
      <c r="Z379" s="312"/>
      <c r="AA379" s="312"/>
      <c r="AB379" s="312"/>
      <c r="AC379" s="312"/>
      <c r="AD379" s="312"/>
      <c r="AE379" s="312"/>
      <c r="AF379" s="312"/>
      <c r="AG379" s="312"/>
      <c r="AH379" s="312"/>
      <c r="AI379" s="312"/>
      <c r="AJ379" s="312"/>
      <c r="AK379" s="312"/>
      <c r="AL379" s="312"/>
      <c r="AM379" s="312"/>
      <c r="AN379" s="312"/>
      <c r="AO379" s="312"/>
      <c r="AP379" s="312">
        <f>sum(F3:G359)*G2 + sum(H3:K303)*K2 + sum(L3:M303)*M2</f>
        <v>464300</v>
      </c>
      <c r="AQ379" s="360" t="s">
        <v>49</v>
      </c>
      <c r="AR379" s="312"/>
      <c r="AS379" s="312"/>
      <c r="AT379" s="312"/>
    </row>
    <row r="380" ht="15.75" customHeight="1">
      <c r="A380" s="318"/>
      <c r="B380" s="312"/>
      <c r="C380" s="312"/>
      <c r="D380" s="312"/>
      <c r="E380" s="312"/>
      <c r="F380" s="312"/>
      <c r="G380" s="312"/>
      <c r="H380" s="312"/>
      <c r="I380" s="312"/>
      <c r="J380" s="312"/>
      <c r="K380" s="312"/>
      <c r="L380" s="312"/>
      <c r="M380" s="312"/>
      <c r="N380" s="312"/>
      <c r="O380" s="312"/>
      <c r="P380" s="312"/>
      <c r="Q380" s="312"/>
      <c r="R380" s="312"/>
      <c r="S380" s="312"/>
      <c r="T380" s="312"/>
      <c r="U380" s="312"/>
      <c r="V380" s="312"/>
      <c r="W380" s="312"/>
      <c r="X380" s="312"/>
      <c r="Y380" s="312"/>
      <c r="Z380" s="312"/>
      <c r="AA380" s="312"/>
      <c r="AB380" s="312"/>
      <c r="AC380" s="312"/>
      <c r="AD380" s="312"/>
      <c r="AE380" s="312"/>
      <c r="AF380" s="312"/>
      <c r="AG380" s="312"/>
      <c r="AH380" s="312"/>
      <c r="AI380" s="312"/>
      <c r="AJ380" s="312"/>
      <c r="AK380" s="312"/>
      <c r="AL380" s="312"/>
      <c r="AM380" s="312"/>
      <c r="AN380" s="312"/>
      <c r="AO380" s="312"/>
      <c r="AP380" s="313">
        <f>AP360-AP379</f>
        <v>1491350.08</v>
      </c>
      <c r="AQ380" s="312"/>
      <c r="AR380" s="312"/>
      <c r="AS380" s="312"/>
      <c r="AT380" s="312"/>
    </row>
    <row r="381" ht="15.75" customHeight="1">
      <c r="A381" s="318"/>
      <c r="B381" s="312"/>
      <c r="C381" s="312"/>
      <c r="D381" s="312"/>
      <c r="E381" s="312"/>
      <c r="F381" s="312"/>
      <c r="G381" s="312"/>
      <c r="H381" s="312"/>
      <c r="I381" s="312"/>
      <c r="J381" s="312"/>
      <c r="K381" s="312"/>
      <c r="L381" s="312"/>
      <c r="M381" s="312"/>
      <c r="N381" s="312"/>
      <c r="O381" s="312"/>
      <c r="P381" s="312"/>
      <c r="Q381" s="312"/>
      <c r="R381" s="312"/>
      <c r="S381" s="312"/>
      <c r="T381" s="312"/>
      <c r="U381" s="312"/>
      <c r="V381" s="312"/>
      <c r="W381" s="312"/>
      <c r="X381" s="312"/>
      <c r="Y381" s="312"/>
      <c r="Z381" s="312"/>
      <c r="AA381" s="312"/>
      <c r="AB381" s="312"/>
      <c r="AC381" s="312"/>
      <c r="AD381" s="312"/>
      <c r="AE381" s="312"/>
      <c r="AF381" s="312"/>
      <c r="AG381" s="312"/>
      <c r="AH381" s="312"/>
      <c r="AI381" s="312"/>
      <c r="AJ381" s="312"/>
      <c r="AK381" s="312"/>
      <c r="AL381" s="312"/>
      <c r="AM381" s="312"/>
      <c r="AN381" s="312"/>
      <c r="AO381" s="312"/>
      <c r="AP381" s="312"/>
      <c r="AQ381" s="312"/>
      <c r="AR381" s="312"/>
      <c r="AS381" s="312"/>
      <c r="AT381" s="312"/>
    </row>
    <row r="382" ht="15.75" customHeight="1">
      <c r="A382" s="318"/>
      <c r="B382" s="312"/>
      <c r="C382" s="312"/>
      <c r="D382" s="312"/>
      <c r="E382" s="312"/>
      <c r="F382" s="312"/>
      <c r="G382" s="312"/>
      <c r="H382" s="312"/>
      <c r="I382" s="312"/>
      <c r="J382" s="312"/>
      <c r="K382" s="312"/>
      <c r="L382" s="312"/>
      <c r="M382" s="312"/>
      <c r="N382" s="312"/>
      <c r="O382" s="312"/>
      <c r="P382" s="312"/>
      <c r="Q382" s="312"/>
      <c r="R382" s="312"/>
      <c r="S382" s="312"/>
      <c r="T382" s="312"/>
      <c r="U382" s="312"/>
      <c r="V382" s="312"/>
      <c r="W382" s="312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  <c r="AJ382" s="312"/>
      <c r="AK382" s="312"/>
      <c r="AL382" s="312"/>
      <c r="AM382" s="312"/>
      <c r="AN382" s="312"/>
      <c r="AO382" s="312"/>
      <c r="AP382" s="312"/>
      <c r="AQ382" s="312"/>
      <c r="AR382" s="312"/>
      <c r="AS382" s="312"/>
      <c r="AT382" s="312"/>
    </row>
    <row r="383" ht="15.75" customHeight="1">
      <c r="A383" s="318"/>
      <c r="B383" s="312"/>
      <c r="C383" s="312"/>
      <c r="D383" s="312"/>
      <c r="E383" s="312"/>
      <c r="F383" s="312"/>
      <c r="G383" s="312"/>
      <c r="H383" s="312"/>
      <c r="I383" s="312"/>
      <c r="J383" s="312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2"/>
      <c r="X383" s="312"/>
      <c r="Y383" s="312"/>
      <c r="Z383" s="312"/>
      <c r="AA383" s="312"/>
      <c r="AB383" s="312"/>
      <c r="AC383" s="312"/>
      <c r="AD383" s="312"/>
      <c r="AE383" s="312"/>
      <c r="AF383" s="312"/>
      <c r="AG383" s="312"/>
      <c r="AH383" s="312"/>
      <c r="AI383" s="312"/>
      <c r="AJ383" s="312"/>
      <c r="AK383" s="312"/>
      <c r="AL383" s="312"/>
      <c r="AM383" s="312"/>
      <c r="AN383" s="312"/>
      <c r="AO383" s="312"/>
      <c r="AP383" s="312"/>
      <c r="AQ383" s="312"/>
      <c r="AR383" s="312"/>
      <c r="AS383" s="312"/>
      <c r="AT383" s="312"/>
    </row>
    <row r="384" ht="15.75" customHeight="1">
      <c r="A384" s="318"/>
      <c r="B384" s="312"/>
      <c r="C384" s="312"/>
      <c r="D384" s="312"/>
      <c r="E384" s="312"/>
      <c r="F384" s="312"/>
      <c r="G384" s="312"/>
      <c r="H384" s="312"/>
      <c r="I384" s="312"/>
      <c r="J384" s="312"/>
      <c r="K384" s="312"/>
      <c r="L384" s="312"/>
      <c r="M384" s="312"/>
      <c r="N384" s="312"/>
      <c r="O384" s="312"/>
      <c r="P384" s="312"/>
      <c r="Q384" s="312"/>
      <c r="R384" s="312"/>
      <c r="S384" s="312"/>
      <c r="T384" s="312"/>
      <c r="U384" s="312"/>
      <c r="V384" s="312"/>
      <c r="W384" s="312"/>
      <c r="X384" s="312"/>
      <c r="Y384" s="312"/>
      <c r="Z384" s="312"/>
      <c r="AA384" s="312"/>
      <c r="AB384" s="312"/>
      <c r="AC384" s="312"/>
      <c r="AD384" s="312"/>
      <c r="AE384" s="312"/>
      <c r="AF384" s="312"/>
      <c r="AG384" s="312"/>
      <c r="AH384" s="312"/>
      <c r="AI384" s="312"/>
      <c r="AJ384" s="312"/>
      <c r="AK384" s="312"/>
      <c r="AL384" s="312"/>
      <c r="AM384" s="312"/>
      <c r="AN384" s="312"/>
      <c r="AO384" s="312"/>
      <c r="AP384" s="312"/>
      <c r="AQ384" s="312"/>
      <c r="AR384" s="312"/>
      <c r="AS384" s="312"/>
      <c r="AT384" s="312"/>
    </row>
    <row r="385" ht="15.75" customHeight="1">
      <c r="A385" s="318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2"/>
      <c r="S385" s="312"/>
      <c r="T385" s="312"/>
      <c r="U385" s="312"/>
      <c r="V385" s="312"/>
      <c r="W385" s="312"/>
      <c r="X385" s="312"/>
      <c r="Y385" s="312"/>
      <c r="Z385" s="312"/>
      <c r="AA385" s="312"/>
      <c r="AB385" s="312"/>
      <c r="AC385" s="312"/>
      <c r="AD385" s="312"/>
      <c r="AE385" s="312"/>
      <c r="AF385" s="312"/>
      <c r="AG385" s="312"/>
      <c r="AH385" s="312"/>
      <c r="AI385" s="312"/>
      <c r="AJ385" s="312"/>
      <c r="AK385" s="312"/>
      <c r="AL385" s="312"/>
      <c r="AM385" s="312"/>
      <c r="AN385" s="312"/>
      <c r="AO385" s="312"/>
      <c r="AP385" s="312"/>
      <c r="AQ385" s="312"/>
      <c r="AR385" s="312"/>
      <c r="AS385" s="312"/>
      <c r="AT385" s="312"/>
    </row>
    <row r="386" ht="15.75" customHeight="1">
      <c r="A386" s="318"/>
      <c r="B386" s="312"/>
      <c r="C386" s="312"/>
      <c r="D386" s="312"/>
      <c r="E386" s="312"/>
      <c r="F386" s="312"/>
      <c r="G386" s="312"/>
      <c r="H386" s="312"/>
      <c r="I386" s="312"/>
      <c r="J386" s="312"/>
      <c r="K386" s="312"/>
      <c r="L386" s="312"/>
      <c r="M386" s="312"/>
      <c r="N386" s="312"/>
      <c r="O386" s="312"/>
      <c r="P386" s="312"/>
      <c r="Q386" s="312"/>
      <c r="R386" s="312"/>
      <c r="S386" s="312"/>
      <c r="T386" s="312"/>
      <c r="U386" s="312"/>
      <c r="V386" s="312"/>
      <c r="W386" s="312"/>
      <c r="X386" s="312"/>
      <c r="Y386" s="312"/>
      <c r="Z386" s="312"/>
      <c r="AA386" s="312"/>
      <c r="AB386" s="312"/>
      <c r="AC386" s="312"/>
      <c r="AD386" s="312"/>
      <c r="AE386" s="312"/>
      <c r="AF386" s="312"/>
      <c r="AG386" s="312"/>
      <c r="AH386" s="312"/>
      <c r="AI386" s="312"/>
      <c r="AJ386" s="312"/>
      <c r="AK386" s="312"/>
      <c r="AL386" s="312"/>
      <c r="AM386" s="312"/>
      <c r="AN386" s="312"/>
      <c r="AO386" s="312"/>
      <c r="AP386" s="312"/>
      <c r="AQ386" s="312"/>
      <c r="AR386" s="312"/>
      <c r="AS386" s="312"/>
      <c r="AT386" s="312"/>
    </row>
    <row r="387" ht="15.75" customHeight="1">
      <c r="A387" s="318"/>
      <c r="B387" s="312"/>
      <c r="C387" s="312"/>
      <c r="D387" s="312"/>
      <c r="E387" s="312"/>
      <c r="F387" s="312"/>
      <c r="G387" s="312"/>
      <c r="H387" s="312"/>
      <c r="I387" s="312"/>
      <c r="J387" s="312"/>
      <c r="K387" s="312"/>
      <c r="L387" s="312"/>
      <c r="M387" s="312"/>
      <c r="N387" s="312"/>
      <c r="O387" s="312"/>
      <c r="P387" s="312"/>
      <c r="Q387" s="312"/>
      <c r="R387" s="312"/>
      <c r="S387" s="312"/>
      <c r="T387" s="312"/>
      <c r="U387" s="312"/>
      <c r="V387" s="312"/>
      <c r="W387" s="312"/>
      <c r="X387" s="312"/>
      <c r="Y387" s="312"/>
      <c r="Z387" s="312"/>
      <c r="AA387" s="312"/>
      <c r="AB387" s="312"/>
      <c r="AC387" s="312"/>
      <c r="AD387" s="312"/>
      <c r="AE387" s="312"/>
      <c r="AF387" s="312"/>
      <c r="AG387" s="312"/>
      <c r="AH387" s="312"/>
      <c r="AI387" s="312"/>
      <c r="AJ387" s="312"/>
      <c r="AK387" s="312"/>
      <c r="AL387" s="312"/>
      <c r="AM387" s="312"/>
      <c r="AN387" s="312"/>
      <c r="AO387" s="312"/>
      <c r="AP387" s="312"/>
      <c r="AQ387" s="312"/>
      <c r="AR387" s="312"/>
      <c r="AS387" s="312"/>
      <c r="AT387" s="312"/>
    </row>
    <row r="388" ht="15.75" customHeight="1">
      <c r="A388" s="318"/>
      <c r="B388" s="312"/>
      <c r="C388" s="312"/>
      <c r="D388" s="312"/>
      <c r="E388" s="312"/>
      <c r="F388" s="312"/>
      <c r="G388" s="312"/>
      <c r="H388" s="312"/>
      <c r="I388" s="312"/>
      <c r="J388" s="312"/>
      <c r="K388" s="312"/>
      <c r="L388" s="312"/>
      <c r="M388" s="312"/>
      <c r="N388" s="312"/>
      <c r="O388" s="312"/>
      <c r="P388" s="312"/>
      <c r="Q388" s="312"/>
      <c r="R388" s="312"/>
      <c r="S388" s="312"/>
      <c r="T388" s="312"/>
      <c r="U388" s="312"/>
      <c r="V388" s="312"/>
      <c r="W388" s="312"/>
      <c r="X388" s="312"/>
      <c r="Y388" s="312"/>
      <c r="Z388" s="312"/>
      <c r="AA388" s="312"/>
      <c r="AB388" s="312"/>
      <c r="AC388" s="312"/>
      <c r="AD388" s="312"/>
      <c r="AE388" s="312"/>
      <c r="AF388" s="312"/>
      <c r="AG388" s="312"/>
      <c r="AH388" s="312"/>
      <c r="AI388" s="312"/>
      <c r="AJ388" s="312"/>
      <c r="AK388" s="312"/>
      <c r="AL388" s="312"/>
      <c r="AM388" s="312"/>
      <c r="AN388" s="312"/>
      <c r="AO388" s="312"/>
      <c r="AP388" s="312"/>
      <c r="AQ388" s="312"/>
      <c r="AR388" s="312"/>
      <c r="AS388" s="312"/>
      <c r="AT388" s="312"/>
    </row>
    <row r="389" ht="15.75" customHeight="1">
      <c r="A389" s="318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2"/>
      <c r="S389" s="312"/>
      <c r="T389" s="312"/>
      <c r="U389" s="312"/>
      <c r="V389" s="312"/>
      <c r="W389" s="312"/>
      <c r="X389" s="312"/>
      <c r="Y389" s="312"/>
      <c r="Z389" s="312"/>
      <c r="AA389" s="312"/>
      <c r="AB389" s="312"/>
      <c r="AC389" s="312"/>
      <c r="AD389" s="312"/>
      <c r="AE389" s="312"/>
      <c r="AF389" s="312"/>
      <c r="AG389" s="312"/>
      <c r="AH389" s="312"/>
      <c r="AI389" s="312"/>
      <c r="AJ389" s="312"/>
      <c r="AK389" s="312"/>
      <c r="AL389" s="312"/>
      <c r="AM389" s="312"/>
      <c r="AN389" s="312"/>
      <c r="AO389" s="312"/>
      <c r="AP389" s="312"/>
      <c r="AQ389" s="312"/>
      <c r="AR389" s="312"/>
      <c r="AS389" s="312"/>
      <c r="AT389" s="312"/>
    </row>
    <row r="390" ht="15.75" customHeight="1">
      <c r="A390" s="318"/>
      <c r="B390" s="312"/>
      <c r="C390" s="312"/>
      <c r="D390" s="312"/>
      <c r="E390" s="312"/>
      <c r="F390" s="312"/>
      <c r="G390" s="312"/>
      <c r="H390" s="312"/>
      <c r="I390" s="312"/>
      <c r="J390" s="312"/>
      <c r="K390" s="312"/>
      <c r="L390" s="312"/>
      <c r="M390" s="312"/>
      <c r="N390" s="312"/>
      <c r="O390" s="312"/>
      <c r="P390" s="312"/>
      <c r="Q390" s="312"/>
      <c r="R390" s="312"/>
      <c r="S390" s="312"/>
      <c r="T390" s="312"/>
      <c r="U390" s="312"/>
      <c r="V390" s="312"/>
      <c r="W390" s="312"/>
      <c r="X390" s="312"/>
      <c r="Y390" s="312"/>
      <c r="Z390" s="312"/>
      <c r="AA390" s="312"/>
      <c r="AB390" s="312"/>
      <c r="AC390" s="312"/>
      <c r="AD390" s="312"/>
      <c r="AE390" s="312"/>
      <c r="AF390" s="312"/>
      <c r="AG390" s="312"/>
      <c r="AH390" s="312"/>
      <c r="AI390" s="312"/>
      <c r="AJ390" s="312"/>
      <c r="AK390" s="312"/>
      <c r="AL390" s="312"/>
      <c r="AM390" s="312"/>
      <c r="AN390" s="312"/>
      <c r="AO390" s="312"/>
      <c r="AP390" s="312"/>
      <c r="AQ390" s="312"/>
      <c r="AR390" s="312"/>
      <c r="AS390" s="312"/>
      <c r="AT390" s="312"/>
    </row>
    <row r="391" ht="15.75" customHeight="1">
      <c r="A391" s="318"/>
      <c r="B391" s="312"/>
      <c r="C391" s="312"/>
      <c r="D391" s="312"/>
      <c r="E391" s="312"/>
      <c r="F391" s="312"/>
      <c r="G391" s="312"/>
      <c r="H391" s="312"/>
      <c r="I391" s="312"/>
      <c r="J391" s="312"/>
      <c r="K391" s="312"/>
      <c r="L391" s="312"/>
      <c r="M391" s="312"/>
      <c r="N391" s="312"/>
      <c r="O391" s="312"/>
      <c r="P391" s="312"/>
      <c r="Q391" s="312"/>
      <c r="R391" s="312"/>
      <c r="S391" s="312"/>
      <c r="T391" s="312"/>
      <c r="U391" s="312"/>
      <c r="V391" s="312"/>
      <c r="W391" s="312"/>
      <c r="X391" s="312"/>
      <c r="Y391" s="312"/>
      <c r="Z391" s="312"/>
      <c r="AA391" s="312"/>
      <c r="AB391" s="312"/>
      <c r="AC391" s="312"/>
      <c r="AD391" s="312"/>
      <c r="AE391" s="312"/>
      <c r="AF391" s="312"/>
      <c r="AG391" s="312"/>
      <c r="AH391" s="312"/>
      <c r="AI391" s="312"/>
      <c r="AJ391" s="312"/>
      <c r="AK391" s="312"/>
      <c r="AL391" s="312"/>
      <c r="AM391" s="312"/>
      <c r="AN391" s="312"/>
      <c r="AO391" s="312"/>
      <c r="AP391" s="312"/>
      <c r="AQ391" s="312"/>
      <c r="AR391" s="312"/>
      <c r="AS391" s="312"/>
      <c r="AT391" s="312"/>
    </row>
    <row r="392" ht="15.75" customHeight="1">
      <c r="A392" s="318"/>
      <c r="B392" s="312"/>
      <c r="C392" s="312"/>
      <c r="D392" s="312"/>
      <c r="E392" s="312"/>
      <c r="F392" s="312"/>
      <c r="G392" s="312"/>
      <c r="H392" s="312"/>
      <c r="I392" s="312"/>
      <c r="J392" s="312"/>
      <c r="K392" s="312"/>
      <c r="L392" s="312"/>
      <c r="M392" s="312"/>
      <c r="N392" s="312"/>
      <c r="O392" s="312"/>
      <c r="P392" s="312"/>
      <c r="Q392" s="312"/>
      <c r="R392" s="312"/>
      <c r="S392" s="312"/>
      <c r="T392" s="312"/>
      <c r="U392" s="312"/>
      <c r="V392" s="312"/>
      <c r="W392" s="312"/>
      <c r="X392" s="312"/>
      <c r="Y392" s="312"/>
      <c r="Z392" s="312"/>
      <c r="AA392" s="312"/>
      <c r="AB392" s="312"/>
      <c r="AC392" s="312"/>
      <c r="AD392" s="312"/>
      <c r="AE392" s="312"/>
      <c r="AF392" s="312"/>
      <c r="AG392" s="312"/>
      <c r="AH392" s="312"/>
      <c r="AI392" s="312"/>
      <c r="AJ392" s="312"/>
      <c r="AK392" s="312"/>
      <c r="AL392" s="312"/>
      <c r="AM392" s="312"/>
      <c r="AN392" s="312"/>
      <c r="AO392" s="312"/>
      <c r="AP392" s="312"/>
      <c r="AQ392" s="312"/>
      <c r="AR392" s="312"/>
      <c r="AS392" s="312"/>
      <c r="AT392" s="312"/>
    </row>
    <row r="393" ht="15.75" customHeight="1">
      <c r="A393" s="318"/>
      <c r="B393" s="312"/>
      <c r="C393" s="312"/>
      <c r="D393" s="312"/>
      <c r="E393" s="312"/>
      <c r="F393" s="312"/>
      <c r="G393" s="312"/>
      <c r="H393" s="312"/>
      <c r="I393" s="312"/>
      <c r="J393" s="312"/>
      <c r="K393" s="312"/>
      <c r="L393" s="312"/>
      <c r="M393" s="312"/>
      <c r="N393" s="312"/>
      <c r="O393" s="312"/>
      <c r="P393" s="312"/>
      <c r="Q393" s="312"/>
      <c r="R393" s="312"/>
      <c r="S393" s="312"/>
      <c r="T393" s="312"/>
      <c r="U393" s="312"/>
      <c r="V393" s="312"/>
      <c r="W393" s="312"/>
      <c r="X393" s="312"/>
      <c r="Y393" s="312"/>
      <c r="Z393" s="312"/>
      <c r="AA393" s="312"/>
      <c r="AB393" s="312"/>
      <c r="AC393" s="312"/>
      <c r="AD393" s="312"/>
      <c r="AE393" s="312"/>
      <c r="AF393" s="312"/>
      <c r="AG393" s="312"/>
      <c r="AH393" s="312"/>
      <c r="AI393" s="312"/>
      <c r="AJ393" s="312"/>
      <c r="AK393" s="312"/>
      <c r="AL393" s="312"/>
      <c r="AM393" s="312"/>
      <c r="AN393" s="312"/>
      <c r="AO393" s="312"/>
      <c r="AP393" s="312"/>
      <c r="AQ393" s="312"/>
      <c r="AR393" s="312"/>
      <c r="AS393" s="312"/>
      <c r="AT393" s="312"/>
    </row>
    <row r="394" ht="15.75" customHeight="1">
      <c r="A394" s="318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312"/>
      <c r="AH394" s="312"/>
      <c r="AI394" s="312"/>
      <c r="AJ394" s="312"/>
      <c r="AK394" s="312"/>
      <c r="AL394" s="312"/>
      <c r="AM394" s="312"/>
      <c r="AN394" s="312"/>
      <c r="AO394" s="312"/>
      <c r="AP394" s="312"/>
      <c r="AQ394" s="312"/>
      <c r="AR394" s="312"/>
      <c r="AS394" s="312"/>
      <c r="AT394" s="312"/>
    </row>
    <row r="395" ht="15.75" customHeight="1">
      <c r="A395" s="318"/>
      <c r="B395" s="312"/>
      <c r="C395" s="312"/>
      <c r="D395" s="312"/>
      <c r="E395" s="312"/>
      <c r="F395" s="312"/>
      <c r="G395" s="312"/>
      <c r="H395" s="312"/>
      <c r="I395" s="312"/>
      <c r="J395" s="312"/>
      <c r="K395" s="312"/>
      <c r="L395" s="312"/>
      <c r="M395" s="312"/>
      <c r="N395" s="312"/>
      <c r="O395" s="312"/>
      <c r="P395" s="312"/>
      <c r="Q395" s="312"/>
      <c r="R395" s="312"/>
      <c r="S395" s="312"/>
      <c r="T395" s="312"/>
      <c r="U395" s="312"/>
      <c r="V395" s="312"/>
      <c r="W395" s="312"/>
      <c r="X395" s="312"/>
      <c r="Y395" s="312"/>
      <c r="Z395" s="312"/>
      <c r="AA395" s="312"/>
      <c r="AB395" s="312"/>
      <c r="AC395" s="312"/>
      <c r="AD395" s="312"/>
      <c r="AE395" s="312"/>
      <c r="AF395" s="312"/>
      <c r="AG395" s="312"/>
      <c r="AH395" s="312"/>
      <c r="AI395" s="312"/>
      <c r="AJ395" s="312"/>
      <c r="AK395" s="312"/>
      <c r="AL395" s="312"/>
      <c r="AM395" s="312"/>
      <c r="AN395" s="312"/>
      <c r="AO395" s="312"/>
      <c r="AP395" s="312"/>
      <c r="AQ395" s="312"/>
      <c r="AR395" s="312"/>
      <c r="AS395" s="312"/>
      <c r="AT395" s="312"/>
    </row>
    <row r="396" ht="15.75" customHeight="1">
      <c r="A396" s="318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2"/>
      <c r="S396" s="312"/>
      <c r="T396" s="312"/>
      <c r="U396" s="312"/>
      <c r="V396" s="312"/>
      <c r="W396" s="312"/>
      <c r="X396" s="312"/>
      <c r="Y396" s="312"/>
      <c r="Z396" s="312"/>
      <c r="AA396" s="312"/>
      <c r="AB396" s="312"/>
      <c r="AC396" s="312"/>
      <c r="AD396" s="312"/>
      <c r="AE396" s="312"/>
      <c r="AF396" s="312"/>
      <c r="AG396" s="312"/>
      <c r="AH396" s="312"/>
      <c r="AI396" s="312"/>
      <c r="AJ396" s="312"/>
      <c r="AK396" s="312"/>
      <c r="AL396" s="312"/>
      <c r="AM396" s="312"/>
      <c r="AN396" s="312"/>
      <c r="AO396" s="312"/>
      <c r="AP396" s="312"/>
      <c r="AQ396" s="312"/>
      <c r="AR396" s="312"/>
      <c r="AS396" s="312"/>
      <c r="AT396" s="312"/>
    </row>
    <row r="397" ht="15.75" customHeight="1">
      <c r="A397" s="318"/>
      <c r="B397" s="312"/>
      <c r="C397" s="312"/>
      <c r="D397" s="312"/>
      <c r="E397" s="312"/>
      <c r="F397" s="312"/>
      <c r="G397" s="312"/>
      <c r="H397" s="312"/>
      <c r="I397" s="312"/>
      <c r="J397" s="312"/>
      <c r="K397" s="312"/>
      <c r="L397" s="312"/>
      <c r="M397" s="312"/>
      <c r="N397" s="312"/>
      <c r="O397" s="312"/>
      <c r="P397" s="312"/>
      <c r="Q397" s="312"/>
      <c r="R397" s="312"/>
      <c r="S397" s="312"/>
      <c r="T397" s="312"/>
      <c r="U397" s="312"/>
      <c r="V397" s="312"/>
      <c r="W397" s="312"/>
      <c r="X397" s="312"/>
      <c r="Y397" s="312"/>
      <c r="Z397" s="312"/>
      <c r="AA397" s="312"/>
      <c r="AB397" s="312"/>
      <c r="AC397" s="312"/>
      <c r="AD397" s="312"/>
      <c r="AE397" s="312"/>
      <c r="AF397" s="312"/>
      <c r="AG397" s="312"/>
      <c r="AH397" s="312"/>
      <c r="AI397" s="312"/>
      <c r="AJ397" s="312"/>
      <c r="AK397" s="312"/>
      <c r="AL397" s="312"/>
      <c r="AM397" s="312"/>
      <c r="AN397" s="312"/>
      <c r="AO397" s="312"/>
      <c r="AP397" s="312"/>
      <c r="AQ397" s="312"/>
      <c r="AR397" s="312"/>
      <c r="AS397" s="312"/>
      <c r="AT397" s="312"/>
    </row>
    <row r="398" ht="15.75" customHeight="1">
      <c r="A398" s="318"/>
      <c r="B398" s="312"/>
      <c r="C398" s="312"/>
      <c r="D398" s="312"/>
      <c r="E398" s="312"/>
      <c r="F398" s="312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2"/>
      <c r="S398" s="312"/>
      <c r="T398" s="312"/>
      <c r="U398" s="312"/>
      <c r="V398" s="312"/>
      <c r="W398" s="312"/>
      <c r="X398" s="312"/>
      <c r="Y398" s="312"/>
      <c r="Z398" s="312"/>
      <c r="AA398" s="312"/>
      <c r="AB398" s="312"/>
      <c r="AC398" s="312"/>
      <c r="AD398" s="312"/>
      <c r="AE398" s="312"/>
      <c r="AF398" s="312"/>
      <c r="AG398" s="312"/>
      <c r="AH398" s="312"/>
      <c r="AI398" s="312"/>
      <c r="AJ398" s="312"/>
      <c r="AK398" s="312"/>
      <c r="AL398" s="312"/>
      <c r="AM398" s="312"/>
      <c r="AN398" s="312"/>
      <c r="AO398" s="312"/>
      <c r="AP398" s="312"/>
      <c r="AQ398" s="312"/>
      <c r="AR398" s="312"/>
      <c r="AS398" s="312"/>
      <c r="AT398" s="312"/>
    </row>
    <row r="399" ht="15.75" customHeight="1">
      <c r="A399" s="318"/>
      <c r="B399" s="312"/>
      <c r="C399" s="312"/>
      <c r="D399" s="312"/>
      <c r="E399" s="312"/>
      <c r="F399" s="312"/>
      <c r="G399" s="312"/>
      <c r="H399" s="312"/>
      <c r="I399" s="312"/>
      <c r="J399" s="312"/>
      <c r="K399" s="312"/>
      <c r="L399" s="312"/>
      <c r="M399" s="312"/>
      <c r="N399" s="312"/>
      <c r="O399" s="312"/>
      <c r="P399" s="312"/>
      <c r="Q399" s="312"/>
      <c r="R399" s="312"/>
      <c r="S399" s="312"/>
      <c r="T399" s="312"/>
      <c r="U399" s="312"/>
      <c r="V399" s="312"/>
      <c r="W399" s="312"/>
      <c r="X399" s="312"/>
      <c r="Y399" s="312"/>
      <c r="Z399" s="312"/>
      <c r="AA399" s="312"/>
      <c r="AB399" s="312"/>
      <c r="AC399" s="312"/>
      <c r="AD399" s="312"/>
      <c r="AE399" s="312"/>
      <c r="AF399" s="312"/>
      <c r="AG399" s="312"/>
      <c r="AH399" s="312"/>
      <c r="AI399" s="312"/>
      <c r="AJ399" s="312"/>
      <c r="AK399" s="312"/>
      <c r="AL399" s="312"/>
      <c r="AM399" s="312"/>
      <c r="AN399" s="312"/>
      <c r="AO399" s="312"/>
      <c r="AP399" s="312"/>
      <c r="AQ399" s="312"/>
      <c r="AR399" s="312"/>
      <c r="AS399" s="312"/>
      <c r="AT399" s="312"/>
    </row>
    <row r="400" ht="15.75" customHeight="1">
      <c r="A400" s="318"/>
      <c r="B400" s="312"/>
      <c r="C400" s="312"/>
      <c r="D400" s="312"/>
      <c r="E400" s="312"/>
      <c r="F400" s="312"/>
      <c r="G400" s="312"/>
      <c r="H400" s="312"/>
      <c r="I400" s="312"/>
      <c r="J400" s="312"/>
      <c r="K400" s="312"/>
      <c r="L400" s="312"/>
      <c r="M400" s="312"/>
      <c r="N400" s="312"/>
      <c r="O400" s="312"/>
      <c r="P400" s="312"/>
      <c r="Q400" s="312"/>
      <c r="R400" s="312"/>
      <c r="S400" s="312"/>
      <c r="T400" s="312"/>
      <c r="U400" s="312"/>
      <c r="V400" s="312"/>
      <c r="W400" s="312"/>
      <c r="X400" s="312"/>
      <c r="Y400" s="312"/>
      <c r="Z400" s="312"/>
      <c r="AA400" s="312"/>
      <c r="AB400" s="312"/>
      <c r="AC400" s="312"/>
      <c r="AD400" s="312"/>
      <c r="AE400" s="312"/>
      <c r="AF400" s="312"/>
      <c r="AG400" s="312"/>
      <c r="AH400" s="312"/>
      <c r="AI400" s="312"/>
      <c r="AJ400" s="312"/>
      <c r="AK400" s="312"/>
      <c r="AL400" s="312"/>
      <c r="AM400" s="312"/>
      <c r="AN400" s="312"/>
      <c r="AO400" s="312"/>
      <c r="AP400" s="312"/>
      <c r="AQ400" s="312"/>
      <c r="AR400" s="312"/>
      <c r="AS400" s="312"/>
      <c r="AT400" s="312"/>
    </row>
    <row r="401" ht="15.75" customHeight="1">
      <c r="A401" s="318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2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312"/>
      <c r="AH401" s="312"/>
      <c r="AI401" s="312"/>
      <c r="AJ401" s="312"/>
      <c r="AK401" s="312"/>
      <c r="AL401" s="312"/>
      <c r="AM401" s="312"/>
      <c r="AN401" s="312"/>
      <c r="AO401" s="312"/>
      <c r="AP401" s="312"/>
      <c r="AQ401" s="312"/>
      <c r="AR401" s="312"/>
      <c r="AS401" s="312"/>
      <c r="AT401" s="312"/>
    </row>
    <row r="402" ht="15.75" customHeight="1">
      <c r="A402" s="318"/>
      <c r="B402" s="312"/>
      <c r="C402" s="312"/>
      <c r="D402" s="312"/>
      <c r="E402" s="312"/>
      <c r="F402" s="312"/>
      <c r="G402" s="312"/>
      <c r="H402" s="312"/>
      <c r="I402" s="312"/>
      <c r="J402" s="312"/>
      <c r="K402" s="312"/>
      <c r="L402" s="312"/>
      <c r="M402" s="312"/>
      <c r="N402" s="312"/>
      <c r="O402" s="312"/>
      <c r="P402" s="312"/>
      <c r="Q402" s="312"/>
      <c r="R402" s="312"/>
      <c r="S402" s="312"/>
      <c r="T402" s="312"/>
      <c r="U402" s="312"/>
      <c r="V402" s="312"/>
      <c r="W402" s="312"/>
      <c r="X402" s="312"/>
      <c r="Y402" s="312"/>
      <c r="Z402" s="312"/>
      <c r="AA402" s="312"/>
      <c r="AB402" s="312"/>
      <c r="AC402" s="312"/>
      <c r="AD402" s="312"/>
      <c r="AE402" s="312"/>
      <c r="AF402" s="312"/>
      <c r="AG402" s="312"/>
      <c r="AH402" s="312"/>
      <c r="AI402" s="312"/>
      <c r="AJ402" s="312"/>
      <c r="AK402" s="312"/>
      <c r="AL402" s="312"/>
      <c r="AM402" s="312"/>
      <c r="AN402" s="312"/>
      <c r="AO402" s="312"/>
      <c r="AP402" s="312"/>
      <c r="AQ402" s="312"/>
      <c r="AR402" s="312"/>
      <c r="AS402" s="312"/>
      <c r="AT402" s="312"/>
    </row>
    <row r="403" ht="15.75" customHeight="1">
      <c r="A403" s="318"/>
      <c r="B403" s="312"/>
      <c r="C403" s="312"/>
      <c r="D403" s="312"/>
      <c r="E403" s="312"/>
      <c r="F403" s="312"/>
      <c r="G403" s="312"/>
      <c r="H403" s="312"/>
      <c r="I403" s="312"/>
      <c r="J403" s="312"/>
      <c r="K403" s="312"/>
      <c r="L403" s="312"/>
      <c r="M403" s="312"/>
      <c r="N403" s="312"/>
      <c r="O403" s="312"/>
      <c r="P403" s="312"/>
      <c r="Q403" s="312"/>
      <c r="R403" s="312"/>
      <c r="S403" s="312"/>
      <c r="T403" s="312"/>
      <c r="U403" s="312"/>
      <c r="V403" s="312"/>
      <c r="W403" s="312"/>
      <c r="X403" s="312"/>
      <c r="Y403" s="312"/>
      <c r="Z403" s="312"/>
      <c r="AA403" s="312"/>
      <c r="AB403" s="312"/>
      <c r="AC403" s="312"/>
      <c r="AD403" s="312"/>
      <c r="AE403" s="312"/>
      <c r="AF403" s="312"/>
      <c r="AG403" s="312"/>
      <c r="AH403" s="312"/>
      <c r="AI403" s="312"/>
      <c r="AJ403" s="312"/>
      <c r="AK403" s="312"/>
      <c r="AL403" s="312"/>
      <c r="AM403" s="312"/>
      <c r="AN403" s="312"/>
      <c r="AO403" s="312"/>
      <c r="AP403" s="312"/>
      <c r="AQ403" s="312"/>
      <c r="AR403" s="312"/>
      <c r="AS403" s="312"/>
      <c r="AT403" s="312"/>
    </row>
    <row r="404" ht="15.75" customHeight="1">
      <c r="A404" s="318"/>
      <c r="B404" s="312"/>
      <c r="C404" s="312"/>
      <c r="D404" s="312"/>
      <c r="E404" s="312"/>
      <c r="F404" s="312"/>
      <c r="G404" s="312"/>
      <c r="H404" s="312"/>
      <c r="I404" s="312"/>
      <c r="J404" s="312"/>
      <c r="K404" s="312"/>
      <c r="L404" s="312"/>
      <c r="M404" s="312"/>
      <c r="N404" s="312"/>
      <c r="O404" s="312"/>
      <c r="P404" s="312"/>
      <c r="Q404" s="312"/>
      <c r="R404" s="312"/>
      <c r="S404" s="312"/>
      <c r="T404" s="312"/>
      <c r="U404" s="312"/>
      <c r="V404" s="312"/>
      <c r="W404" s="312"/>
      <c r="X404" s="312"/>
      <c r="Y404" s="312"/>
      <c r="Z404" s="312"/>
      <c r="AA404" s="312"/>
      <c r="AB404" s="312"/>
      <c r="AC404" s="312"/>
      <c r="AD404" s="312"/>
      <c r="AE404" s="312"/>
      <c r="AF404" s="312"/>
      <c r="AG404" s="312"/>
      <c r="AH404" s="312"/>
      <c r="AI404" s="312"/>
      <c r="AJ404" s="312"/>
      <c r="AK404" s="312"/>
      <c r="AL404" s="312"/>
      <c r="AM404" s="312"/>
      <c r="AN404" s="312"/>
      <c r="AO404" s="312"/>
      <c r="AP404" s="312"/>
      <c r="AQ404" s="312"/>
      <c r="AR404" s="312"/>
      <c r="AS404" s="312"/>
      <c r="AT404" s="312"/>
    </row>
    <row r="405" ht="15.75" customHeight="1">
      <c r="A405" s="318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12"/>
      <c r="AJ405" s="312"/>
      <c r="AK405" s="312"/>
      <c r="AL405" s="312"/>
      <c r="AM405" s="312"/>
      <c r="AN405" s="312"/>
      <c r="AO405" s="312"/>
      <c r="AP405" s="312"/>
      <c r="AQ405" s="312"/>
      <c r="AR405" s="312"/>
      <c r="AS405" s="312"/>
      <c r="AT405" s="312"/>
    </row>
    <row r="406" ht="15.75" customHeight="1">
      <c r="A406" s="318"/>
      <c r="B406" s="312"/>
      <c r="C406" s="312"/>
      <c r="D406" s="312"/>
      <c r="E406" s="312"/>
      <c r="F406" s="312"/>
      <c r="G406" s="312"/>
      <c r="H406" s="312"/>
      <c r="I406" s="312"/>
      <c r="J406" s="312"/>
      <c r="K406" s="312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2"/>
      <c r="W406" s="312"/>
      <c r="X406" s="312"/>
      <c r="Y406" s="312"/>
      <c r="Z406" s="312"/>
      <c r="AA406" s="312"/>
      <c r="AB406" s="312"/>
      <c r="AC406" s="312"/>
      <c r="AD406" s="312"/>
      <c r="AE406" s="312"/>
      <c r="AF406" s="312"/>
      <c r="AG406" s="312"/>
      <c r="AH406" s="312"/>
      <c r="AI406" s="312"/>
      <c r="AJ406" s="312"/>
      <c r="AK406" s="312"/>
      <c r="AL406" s="312"/>
      <c r="AM406" s="312"/>
      <c r="AN406" s="312"/>
      <c r="AO406" s="312"/>
      <c r="AP406" s="312"/>
      <c r="AQ406" s="312"/>
      <c r="AR406" s="312"/>
      <c r="AS406" s="312"/>
      <c r="AT406" s="312"/>
    </row>
    <row r="407" ht="15.75" customHeight="1">
      <c r="A407" s="318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2"/>
      <c r="W407" s="312"/>
      <c r="X407" s="312"/>
      <c r="Y407" s="312"/>
      <c r="Z407" s="312"/>
      <c r="AA407" s="312"/>
      <c r="AB407" s="312"/>
      <c r="AC407" s="312"/>
      <c r="AD407" s="312"/>
      <c r="AE407" s="312"/>
      <c r="AF407" s="312"/>
      <c r="AG407" s="312"/>
      <c r="AH407" s="312"/>
      <c r="AI407" s="312"/>
      <c r="AJ407" s="312"/>
      <c r="AK407" s="312"/>
      <c r="AL407" s="312"/>
      <c r="AM407" s="312"/>
      <c r="AN407" s="312"/>
      <c r="AO407" s="312"/>
      <c r="AP407" s="312"/>
      <c r="AQ407" s="312"/>
      <c r="AR407" s="312"/>
      <c r="AS407" s="312"/>
      <c r="AT407" s="312"/>
    </row>
    <row r="408" ht="15.75" customHeight="1">
      <c r="A408" s="318"/>
      <c r="B408" s="312"/>
      <c r="C408" s="312"/>
      <c r="D408" s="312"/>
      <c r="E408" s="312"/>
      <c r="F408" s="312"/>
      <c r="G408" s="312"/>
      <c r="H408" s="312"/>
      <c r="I408" s="312"/>
      <c r="J408" s="312"/>
      <c r="K408" s="312"/>
      <c r="L408" s="312"/>
      <c r="M408" s="312"/>
      <c r="N408" s="312"/>
      <c r="O408" s="312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312"/>
      <c r="AH408" s="312"/>
      <c r="AI408" s="312"/>
      <c r="AJ408" s="312"/>
      <c r="AK408" s="312"/>
      <c r="AL408" s="312"/>
      <c r="AM408" s="312"/>
      <c r="AN408" s="312"/>
      <c r="AO408" s="312"/>
      <c r="AP408" s="312"/>
      <c r="AQ408" s="312"/>
      <c r="AR408" s="312"/>
      <c r="AS408" s="312"/>
      <c r="AT408" s="312"/>
    </row>
    <row r="409" ht="15.75" customHeight="1">
      <c r="A409" s="318"/>
      <c r="B409" s="312"/>
      <c r="C409" s="312"/>
      <c r="D409" s="312"/>
      <c r="E409" s="312"/>
      <c r="F409" s="312"/>
      <c r="G409" s="312"/>
      <c r="H409" s="312"/>
      <c r="I409" s="312"/>
      <c r="J409" s="312"/>
      <c r="K409" s="312"/>
      <c r="L409" s="312"/>
      <c r="M409" s="312"/>
      <c r="N409" s="312"/>
      <c r="O409" s="312"/>
      <c r="P409" s="312"/>
      <c r="Q409" s="312"/>
      <c r="R409" s="312"/>
      <c r="S409" s="312"/>
      <c r="T409" s="312"/>
      <c r="U409" s="312"/>
      <c r="V409" s="312"/>
      <c r="W409" s="312"/>
      <c r="X409" s="312"/>
      <c r="Y409" s="312"/>
      <c r="Z409" s="312"/>
      <c r="AA409" s="312"/>
      <c r="AB409" s="312"/>
      <c r="AC409" s="312"/>
      <c r="AD409" s="312"/>
      <c r="AE409" s="312"/>
      <c r="AF409" s="312"/>
      <c r="AG409" s="312"/>
      <c r="AH409" s="312"/>
      <c r="AI409" s="312"/>
      <c r="AJ409" s="312"/>
      <c r="AK409" s="312"/>
      <c r="AL409" s="312"/>
      <c r="AM409" s="312"/>
      <c r="AN409" s="312"/>
      <c r="AO409" s="312"/>
      <c r="AP409" s="312"/>
      <c r="AQ409" s="312"/>
      <c r="AR409" s="312"/>
      <c r="AS409" s="312"/>
      <c r="AT409" s="312"/>
    </row>
    <row r="410" ht="15.75" customHeight="1">
      <c r="A410" s="318"/>
      <c r="B410" s="312"/>
      <c r="C410" s="312"/>
      <c r="D410" s="312"/>
      <c r="E410" s="312"/>
      <c r="F410" s="312"/>
      <c r="G410" s="312"/>
      <c r="H410" s="312"/>
      <c r="I410" s="312"/>
      <c r="J410" s="312"/>
      <c r="K410" s="312"/>
      <c r="L410" s="312"/>
      <c r="M410" s="312"/>
      <c r="N410" s="312"/>
      <c r="O410" s="312"/>
      <c r="P410" s="312"/>
      <c r="Q410" s="312"/>
      <c r="R410" s="312"/>
      <c r="S410" s="312"/>
      <c r="T410" s="312"/>
      <c r="U410" s="312"/>
      <c r="V410" s="312"/>
      <c r="W410" s="312"/>
      <c r="X410" s="312"/>
      <c r="Y410" s="312"/>
      <c r="Z410" s="312"/>
      <c r="AA410" s="312"/>
      <c r="AB410" s="312"/>
      <c r="AC410" s="312"/>
      <c r="AD410" s="312"/>
      <c r="AE410" s="312"/>
      <c r="AF410" s="312"/>
      <c r="AG410" s="312"/>
      <c r="AH410" s="312"/>
      <c r="AI410" s="312"/>
      <c r="AJ410" s="312"/>
      <c r="AK410" s="312"/>
      <c r="AL410" s="312"/>
      <c r="AM410" s="312"/>
      <c r="AN410" s="312"/>
      <c r="AO410" s="312"/>
      <c r="AP410" s="312"/>
      <c r="AQ410" s="312"/>
      <c r="AR410" s="312"/>
      <c r="AS410" s="312"/>
      <c r="AT410" s="312"/>
    </row>
    <row r="411" ht="15.75" customHeight="1">
      <c r="A411" s="318"/>
      <c r="B411" s="312"/>
      <c r="C411" s="312"/>
      <c r="D411" s="312"/>
      <c r="E411" s="312"/>
      <c r="F411" s="312"/>
      <c r="G411" s="312"/>
      <c r="H411" s="312"/>
      <c r="I411" s="312"/>
      <c r="J411" s="312"/>
      <c r="K411" s="312"/>
      <c r="L411" s="312"/>
      <c r="M411" s="312"/>
      <c r="N411" s="312"/>
      <c r="O411" s="312"/>
      <c r="P411" s="312"/>
      <c r="Q411" s="312"/>
      <c r="R411" s="312"/>
      <c r="S411" s="312"/>
      <c r="T411" s="312"/>
      <c r="U411" s="312"/>
      <c r="V411" s="312"/>
      <c r="W411" s="312"/>
      <c r="X411" s="312"/>
      <c r="Y411" s="312"/>
      <c r="Z411" s="312"/>
      <c r="AA411" s="312"/>
      <c r="AB411" s="312"/>
      <c r="AC411" s="312"/>
      <c r="AD411" s="312"/>
      <c r="AE411" s="312"/>
      <c r="AF411" s="312"/>
      <c r="AG411" s="312"/>
      <c r="AH411" s="312"/>
      <c r="AI411" s="312"/>
      <c r="AJ411" s="312"/>
      <c r="AK411" s="312"/>
      <c r="AL411" s="312"/>
      <c r="AM411" s="312"/>
      <c r="AN411" s="312"/>
      <c r="AO411" s="312"/>
      <c r="AP411" s="312"/>
      <c r="AQ411" s="312"/>
      <c r="AR411" s="312"/>
      <c r="AS411" s="312"/>
      <c r="AT411" s="312"/>
    </row>
    <row r="412" ht="15.75" customHeight="1">
      <c r="A412" s="318"/>
      <c r="B412" s="312"/>
      <c r="C412" s="312"/>
      <c r="D412" s="312"/>
      <c r="E412" s="312"/>
      <c r="F412" s="312"/>
      <c r="G412" s="312"/>
      <c r="H412" s="312"/>
      <c r="I412" s="312"/>
      <c r="J412" s="312"/>
      <c r="K412" s="312"/>
      <c r="L412" s="312"/>
      <c r="M412" s="312"/>
      <c r="N412" s="312"/>
      <c r="O412" s="312"/>
      <c r="P412" s="312"/>
      <c r="Q412" s="312"/>
      <c r="R412" s="312"/>
      <c r="S412" s="312"/>
      <c r="T412" s="312"/>
      <c r="U412" s="312"/>
      <c r="V412" s="312"/>
      <c r="W412" s="312"/>
      <c r="X412" s="312"/>
      <c r="Y412" s="312"/>
      <c r="Z412" s="312"/>
      <c r="AA412" s="312"/>
      <c r="AB412" s="312"/>
      <c r="AC412" s="312"/>
      <c r="AD412" s="312"/>
      <c r="AE412" s="312"/>
      <c r="AF412" s="312"/>
      <c r="AG412" s="312"/>
      <c r="AH412" s="312"/>
      <c r="AI412" s="312"/>
      <c r="AJ412" s="312"/>
      <c r="AK412" s="312"/>
      <c r="AL412" s="312"/>
      <c r="AM412" s="312"/>
      <c r="AN412" s="312"/>
      <c r="AO412" s="312"/>
      <c r="AP412" s="312"/>
      <c r="AQ412" s="312"/>
      <c r="AR412" s="312"/>
      <c r="AS412" s="312"/>
      <c r="AT412" s="312"/>
    </row>
    <row r="413" ht="15.75" customHeight="1">
      <c r="A413" s="318"/>
      <c r="B413" s="312"/>
      <c r="C413" s="312"/>
      <c r="D413" s="312"/>
      <c r="E413" s="312"/>
      <c r="F413" s="312"/>
      <c r="G413" s="312"/>
      <c r="H413" s="312"/>
      <c r="I413" s="312"/>
      <c r="J413" s="312"/>
      <c r="K413" s="312"/>
      <c r="L413" s="312"/>
      <c r="M413" s="312"/>
      <c r="N413" s="312"/>
      <c r="O413" s="312"/>
      <c r="P413" s="312"/>
      <c r="Q413" s="312"/>
      <c r="R413" s="312"/>
      <c r="S413" s="312"/>
      <c r="T413" s="312"/>
      <c r="U413" s="312"/>
      <c r="V413" s="312"/>
      <c r="W413" s="312"/>
      <c r="X413" s="312"/>
      <c r="Y413" s="312"/>
      <c r="Z413" s="312"/>
      <c r="AA413" s="312"/>
      <c r="AB413" s="312"/>
      <c r="AC413" s="312"/>
      <c r="AD413" s="312"/>
      <c r="AE413" s="312"/>
      <c r="AF413" s="312"/>
      <c r="AG413" s="312"/>
      <c r="AH413" s="312"/>
      <c r="AI413" s="312"/>
      <c r="AJ413" s="312"/>
      <c r="AK413" s="312"/>
      <c r="AL413" s="312"/>
      <c r="AM413" s="312"/>
      <c r="AN413" s="312"/>
      <c r="AO413" s="312"/>
      <c r="AP413" s="312"/>
      <c r="AQ413" s="312"/>
      <c r="AR413" s="312"/>
      <c r="AS413" s="312"/>
      <c r="AT413" s="312"/>
    </row>
    <row r="414" ht="15.75" customHeight="1">
      <c r="A414" s="318"/>
      <c r="B414" s="312"/>
      <c r="C414" s="312"/>
      <c r="D414" s="312"/>
      <c r="E414" s="312"/>
      <c r="F414" s="312"/>
      <c r="G414" s="312"/>
      <c r="H414" s="312"/>
      <c r="I414" s="312"/>
      <c r="J414" s="312"/>
      <c r="K414" s="312"/>
      <c r="L414" s="312"/>
      <c r="M414" s="312"/>
      <c r="N414" s="312"/>
      <c r="O414" s="312"/>
      <c r="P414" s="312"/>
      <c r="Q414" s="312"/>
      <c r="R414" s="312"/>
      <c r="S414" s="312"/>
      <c r="T414" s="312"/>
      <c r="U414" s="312"/>
      <c r="V414" s="312"/>
      <c r="W414" s="312"/>
      <c r="X414" s="312"/>
      <c r="Y414" s="312"/>
      <c r="Z414" s="312"/>
      <c r="AA414" s="312"/>
      <c r="AB414" s="312"/>
      <c r="AC414" s="312"/>
      <c r="AD414" s="312"/>
      <c r="AE414" s="312"/>
      <c r="AF414" s="312"/>
      <c r="AG414" s="312"/>
      <c r="AH414" s="312"/>
      <c r="AI414" s="312"/>
      <c r="AJ414" s="312"/>
      <c r="AK414" s="312"/>
      <c r="AL414" s="312"/>
      <c r="AM414" s="312"/>
      <c r="AN414" s="312"/>
      <c r="AO414" s="312"/>
      <c r="AP414" s="312"/>
      <c r="AQ414" s="312"/>
      <c r="AR414" s="312"/>
      <c r="AS414" s="312"/>
      <c r="AT414" s="312"/>
    </row>
    <row r="415" ht="15.75" customHeight="1">
      <c r="A415" s="318"/>
      <c r="B415" s="312"/>
      <c r="C415" s="312"/>
      <c r="D415" s="312"/>
      <c r="E415" s="312"/>
      <c r="F415" s="312"/>
      <c r="G415" s="312"/>
      <c r="H415" s="312"/>
      <c r="I415" s="312"/>
      <c r="J415" s="312"/>
      <c r="K415" s="312"/>
      <c r="L415" s="312"/>
      <c r="M415" s="312"/>
      <c r="N415" s="312"/>
      <c r="O415" s="312"/>
      <c r="P415" s="312"/>
      <c r="Q415" s="312"/>
      <c r="R415" s="312"/>
      <c r="S415" s="312"/>
      <c r="T415" s="312"/>
      <c r="U415" s="312"/>
      <c r="V415" s="312"/>
      <c r="W415" s="312"/>
      <c r="X415" s="312"/>
      <c r="Y415" s="312"/>
      <c r="Z415" s="312"/>
      <c r="AA415" s="312"/>
      <c r="AB415" s="312"/>
      <c r="AC415" s="312"/>
      <c r="AD415" s="312"/>
      <c r="AE415" s="312"/>
      <c r="AF415" s="312"/>
      <c r="AG415" s="312"/>
      <c r="AH415" s="312"/>
      <c r="AI415" s="312"/>
      <c r="AJ415" s="312"/>
      <c r="AK415" s="312"/>
      <c r="AL415" s="312"/>
      <c r="AM415" s="312"/>
      <c r="AN415" s="312"/>
      <c r="AO415" s="312"/>
      <c r="AP415" s="312"/>
      <c r="AQ415" s="312"/>
      <c r="AR415" s="312"/>
      <c r="AS415" s="312"/>
      <c r="AT415" s="312"/>
    </row>
    <row r="416" ht="15.75" customHeight="1">
      <c r="A416" s="318"/>
      <c r="B416" s="312"/>
      <c r="C416" s="312"/>
      <c r="D416" s="312"/>
      <c r="E416" s="312"/>
      <c r="F416" s="312"/>
      <c r="G416" s="312"/>
      <c r="H416" s="312"/>
      <c r="I416" s="312"/>
      <c r="J416" s="312"/>
      <c r="K416" s="312"/>
      <c r="L416" s="312"/>
      <c r="M416" s="312"/>
      <c r="N416" s="312"/>
      <c r="O416" s="312"/>
      <c r="P416" s="312"/>
      <c r="Q416" s="312"/>
      <c r="R416" s="312"/>
      <c r="S416" s="312"/>
      <c r="T416" s="312"/>
      <c r="U416" s="312"/>
      <c r="V416" s="312"/>
      <c r="W416" s="312"/>
      <c r="X416" s="312"/>
      <c r="Y416" s="312"/>
      <c r="Z416" s="312"/>
      <c r="AA416" s="312"/>
      <c r="AB416" s="312"/>
      <c r="AC416" s="312"/>
      <c r="AD416" s="312"/>
      <c r="AE416" s="312"/>
      <c r="AF416" s="312"/>
      <c r="AG416" s="312"/>
      <c r="AH416" s="312"/>
      <c r="AI416" s="312"/>
      <c r="AJ416" s="312"/>
      <c r="AK416" s="312"/>
      <c r="AL416" s="312"/>
      <c r="AM416" s="312"/>
      <c r="AN416" s="312"/>
      <c r="AO416" s="312"/>
      <c r="AP416" s="312"/>
      <c r="AQ416" s="312"/>
      <c r="AR416" s="312"/>
      <c r="AS416" s="312"/>
      <c r="AT416" s="312"/>
    </row>
    <row r="417" ht="15.75" customHeight="1">
      <c r="A417" s="318"/>
      <c r="B417" s="312"/>
      <c r="C417" s="312"/>
      <c r="D417" s="312"/>
      <c r="E417" s="312"/>
      <c r="F417" s="312"/>
      <c r="G417" s="312"/>
      <c r="H417" s="312"/>
      <c r="I417" s="312"/>
      <c r="J417" s="312"/>
      <c r="K417" s="312"/>
      <c r="L417" s="312"/>
      <c r="M417" s="312"/>
      <c r="N417" s="312"/>
      <c r="O417" s="312"/>
      <c r="P417" s="312"/>
      <c r="Q417" s="312"/>
      <c r="R417" s="312"/>
      <c r="S417" s="312"/>
      <c r="T417" s="312"/>
      <c r="U417" s="312"/>
      <c r="V417" s="312"/>
      <c r="W417" s="312"/>
      <c r="X417" s="312"/>
      <c r="Y417" s="312"/>
      <c r="Z417" s="312"/>
      <c r="AA417" s="312"/>
      <c r="AB417" s="312"/>
      <c r="AC417" s="312"/>
      <c r="AD417" s="312"/>
      <c r="AE417" s="312"/>
      <c r="AF417" s="312"/>
      <c r="AG417" s="312"/>
      <c r="AH417" s="312"/>
      <c r="AI417" s="312"/>
      <c r="AJ417" s="312"/>
      <c r="AK417" s="312"/>
      <c r="AL417" s="312"/>
      <c r="AM417" s="312"/>
      <c r="AN417" s="312"/>
      <c r="AO417" s="312"/>
      <c r="AP417" s="312"/>
      <c r="AQ417" s="312"/>
      <c r="AR417" s="312"/>
      <c r="AS417" s="312"/>
      <c r="AT417" s="312"/>
    </row>
    <row r="418" ht="15.75" customHeight="1">
      <c r="A418" s="318"/>
      <c r="B418" s="312"/>
      <c r="C418" s="312"/>
      <c r="D418" s="312"/>
      <c r="E418" s="312"/>
      <c r="F418" s="312"/>
      <c r="G418" s="312"/>
      <c r="H418" s="312"/>
      <c r="I418" s="312"/>
      <c r="J418" s="312"/>
      <c r="K418" s="312"/>
      <c r="L418" s="312"/>
      <c r="M418" s="312"/>
      <c r="N418" s="312"/>
      <c r="O418" s="312"/>
      <c r="P418" s="312"/>
      <c r="Q418" s="312"/>
      <c r="R418" s="312"/>
      <c r="S418" s="312"/>
      <c r="T418" s="312"/>
      <c r="U418" s="312"/>
      <c r="V418" s="312"/>
      <c r="W418" s="312"/>
      <c r="X418" s="312"/>
      <c r="Y418" s="312"/>
      <c r="Z418" s="312"/>
      <c r="AA418" s="312"/>
      <c r="AB418" s="312"/>
      <c r="AC418" s="312"/>
      <c r="AD418" s="312"/>
      <c r="AE418" s="312"/>
      <c r="AF418" s="312"/>
      <c r="AG418" s="312"/>
      <c r="AH418" s="312"/>
      <c r="AI418" s="312"/>
      <c r="AJ418" s="312"/>
      <c r="AK418" s="312"/>
      <c r="AL418" s="312"/>
      <c r="AM418" s="312"/>
      <c r="AN418" s="312"/>
      <c r="AO418" s="312"/>
      <c r="AP418" s="312"/>
      <c r="AQ418" s="312"/>
      <c r="AR418" s="312"/>
      <c r="AS418" s="312"/>
      <c r="AT418" s="312"/>
    </row>
    <row r="419" ht="15.75" customHeight="1">
      <c r="A419" s="318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2"/>
      <c r="W419" s="312"/>
      <c r="X419" s="312"/>
      <c r="Y419" s="312"/>
      <c r="Z419" s="312"/>
      <c r="AA419" s="312"/>
      <c r="AB419" s="312"/>
      <c r="AC419" s="312"/>
      <c r="AD419" s="312"/>
      <c r="AE419" s="312"/>
      <c r="AF419" s="312"/>
      <c r="AG419" s="312"/>
      <c r="AH419" s="312"/>
      <c r="AI419" s="312"/>
      <c r="AJ419" s="312"/>
      <c r="AK419" s="312"/>
      <c r="AL419" s="312"/>
      <c r="AM419" s="312"/>
      <c r="AN419" s="312"/>
      <c r="AO419" s="312"/>
      <c r="AP419" s="312"/>
      <c r="AQ419" s="312"/>
      <c r="AR419" s="312"/>
      <c r="AS419" s="312"/>
      <c r="AT419" s="312"/>
    </row>
    <row r="420" ht="15.75" customHeight="1">
      <c r="A420" s="318"/>
      <c r="B420" s="312"/>
      <c r="C420" s="312"/>
      <c r="D420" s="312"/>
      <c r="E420" s="312"/>
      <c r="F420" s="312"/>
      <c r="G420" s="312"/>
      <c r="H420" s="312"/>
      <c r="I420" s="312"/>
      <c r="J420" s="312"/>
      <c r="K420" s="312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2"/>
      <c r="W420" s="312"/>
      <c r="X420" s="312"/>
      <c r="Y420" s="312"/>
      <c r="Z420" s="312"/>
      <c r="AA420" s="312"/>
      <c r="AB420" s="312"/>
      <c r="AC420" s="312"/>
      <c r="AD420" s="312"/>
      <c r="AE420" s="312"/>
      <c r="AF420" s="312"/>
      <c r="AG420" s="312"/>
      <c r="AH420" s="312"/>
      <c r="AI420" s="312"/>
      <c r="AJ420" s="312"/>
      <c r="AK420" s="312"/>
      <c r="AL420" s="312"/>
      <c r="AM420" s="312"/>
      <c r="AN420" s="312"/>
      <c r="AO420" s="312"/>
      <c r="AP420" s="312"/>
      <c r="AQ420" s="312"/>
      <c r="AR420" s="312"/>
      <c r="AS420" s="312"/>
      <c r="AT420" s="312"/>
    </row>
    <row r="421" ht="15.75" customHeight="1">
      <c r="A421" s="318"/>
      <c r="B421" s="312"/>
      <c r="C421" s="312"/>
      <c r="D421" s="312"/>
      <c r="E421" s="312"/>
      <c r="F421" s="312"/>
      <c r="G421" s="312"/>
      <c r="H421" s="312"/>
      <c r="I421" s="312"/>
      <c r="J421" s="312"/>
      <c r="K421" s="312"/>
      <c r="L421" s="312"/>
      <c r="M421" s="312"/>
      <c r="N421" s="312"/>
      <c r="O421" s="312"/>
      <c r="P421" s="312"/>
      <c r="Q421" s="312"/>
      <c r="R421" s="312"/>
      <c r="S421" s="312"/>
      <c r="T421" s="312"/>
      <c r="U421" s="312"/>
      <c r="V421" s="312"/>
      <c r="W421" s="312"/>
      <c r="X421" s="312"/>
      <c r="Y421" s="312"/>
      <c r="Z421" s="312"/>
      <c r="AA421" s="312"/>
      <c r="AB421" s="312"/>
      <c r="AC421" s="312"/>
      <c r="AD421" s="312"/>
      <c r="AE421" s="312"/>
      <c r="AF421" s="312"/>
      <c r="AG421" s="312"/>
      <c r="AH421" s="312"/>
      <c r="AI421" s="312"/>
      <c r="AJ421" s="312"/>
      <c r="AK421" s="312"/>
      <c r="AL421" s="312"/>
      <c r="AM421" s="312"/>
      <c r="AN421" s="312"/>
      <c r="AO421" s="312"/>
      <c r="AP421" s="312"/>
      <c r="AQ421" s="312"/>
      <c r="AR421" s="312"/>
      <c r="AS421" s="312"/>
      <c r="AT421" s="312"/>
    </row>
    <row r="422" ht="15.75" customHeight="1">
      <c r="A422" s="318"/>
      <c r="B422" s="312"/>
      <c r="C422" s="312"/>
      <c r="D422" s="312"/>
      <c r="E422" s="312"/>
      <c r="F422" s="312"/>
      <c r="G422" s="312"/>
      <c r="H422" s="312"/>
      <c r="I422" s="312"/>
      <c r="J422" s="312"/>
      <c r="K422" s="312"/>
      <c r="L422" s="312"/>
      <c r="M422" s="312"/>
      <c r="N422" s="312"/>
      <c r="O422" s="312"/>
      <c r="P422" s="312"/>
      <c r="Q422" s="312"/>
      <c r="R422" s="312"/>
      <c r="S422" s="312"/>
      <c r="T422" s="312"/>
      <c r="U422" s="312"/>
      <c r="V422" s="312"/>
      <c r="W422" s="312"/>
      <c r="X422" s="312"/>
      <c r="Y422" s="312"/>
      <c r="Z422" s="312"/>
      <c r="AA422" s="312"/>
      <c r="AB422" s="312"/>
      <c r="AC422" s="312"/>
      <c r="AD422" s="312"/>
      <c r="AE422" s="312"/>
      <c r="AF422" s="312"/>
      <c r="AG422" s="312"/>
      <c r="AH422" s="312"/>
      <c r="AI422" s="312"/>
      <c r="AJ422" s="312"/>
      <c r="AK422" s="312"/>
      <c r="AL422" s="312"/>
      <c r="AM422" s="312"/>
      <c r="AN422" s="312"/>
      <c r="AO422" s="312"/>
      <c r="AP422" s="312"/>
      <c r="AQ422" s="312"/>
      <c r="AR422" s="312"/>
      <c r="AS422" s="312"/>
      <c r="AT422" s="312"/>
    </row>
    <row r="423" ht="15.75" customHeight="1">
      <c r="A423" s="318"/>
      <c r="B423" s="312"/>
      <c r="C423" s="312"/>
      <c r="D423" s="312"/>
      <c r="E423" s="312"/>
      <c r="F423" s="312"/>
      <c r="G423" s="312"/>
      <c r="H423" s="312"/>
      <c r="I423" s="312"/>
      <c r="J423" s="312"/>
      <c r="K423" s="312"/>
      <c r="L423" s="312"/>
      <c r="M423" s="312"/>
      <c r="N423" s="312"/>
      <c r="O423" s="312"/>
      <c r="P423" s="312"/>
      <c r="Q423" s="312"/>
      <c r="R423" s="312"/>
      <c r="S423" s="312"/>
      <c r="T423" s="312"/>
      <c r="U423" s="312"/>
      <c r="V423" s="312"/>
      <c r="W423" s="312"/>
      <c r="X423" s="312"/>
      <c r="Y423" s="312"/>
      <c r="Z423" s="312"/>
      <c r="AA423" s="312"/>
      <c r="AB423" s="312"/>
      <c r="AC423" s="312"/>
      <c r="AD423" s="312"/>
      <c r="AE423" s="312"/>
      <c r="AF423" s="312"/>
      <c r="AG423" s="312"/>
      <c r="AH423" s="312"/>
      <c r="AI423" s="312"/>
      <c r="AJ423" s="312"/>
      <c r="AK423" s="312"/>
      <c r="AL423" s="312"/>
      <c r="AM423" s="312"/>
      <c r="AN423" s="312"/>
      <c r="AO423" s="312"/>
      <c r="AP423" s="312"/>
      <c r="AQ423" s="312"/>
      <c r="AR423" s="312"/>
      <c r="AS423" s="312"/>
      <c r="AT423" s="312"/>
    </row>
    <row r="424" ht="15.75" customHeight="1">
      <c r="A424" s="318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2"/>
      <c r="S424" s="312"/>
      <c r="T424" s="312"/>
      <c r="U424" s="312"/>
      <c r="V424" s="312"/>
      <c r="W424" s="312"/>
      <c r="X424" s="312"/>
      <c r="Y424" s="312"/>
      <c r="Z424" s="312"/>
      <c r="AA424" s="312"/>
      <c r="AB424" s="312"/>
      <c r="AC424" s="312"/>
      <c r="AD424" s="312"/>
      <c r="AE424" s="312"/>
      <c r="AF424" s="312"/>
      <c r="AG424" s="312"/>
      <c r="AH424" s="312"/>
      <c r="AI424" s="312"/>
      <c r="AJ424" s="312"/>
      <c r="AK424" s="312"/>
      <c r="AL424" s="312"/>
      <c r="AM424" s="312"/>
      <c r="AN424" s="312"/>
      <c r="AO424" s="312"/>
      <c r="AP424" s="312"/>
      <c r="AQ424" s="312"/>
      <c r="AR424" s="312"/>
      <c r="AS424" s="312"/>
      <c r="AT424" s="312"/>
    </row>
    <row r="425" ht="15.75" customHeight="1">
      <c r="A425" s="318"/>
      <c r="B425" s="312"/>
      <c r="C425" s="312"/>
      <c r="D425" s="312"/>
      <c r="E425" s="312"/>
      <c r="F425" s="312"/>
      <c r="G425" s="312"/>
      <c r="H425" s="312"/>
      <c r="I425" s="312"/>
      <c r="J425" s="312"/>
      <c r="K425" s="312"/>
      <c r="L425" s="312"/>
      <c r="M425" s="312"/>
      <c r="N425" s="312"/>
      <c r="O425" s="312"/>
      <c r="P425" s="312"/>
      <c r="Q425" s="312"/>
      <c r="R425" s="312"/>
      <c r="S425" s="312"/>
      <c r="T425" s="312"/>
      <c r="U425" s="312"/>
      <c r="V425" s="312"/>
      <c r="W425" s="312"/>
      <c r="X425" s="312"/>
      <c r="Y425" s="312"/>
      <c r="Z425" s="312"/>
      <c r="AA425" s="312"/>
      <c r="AB425" s="312"/>
      <c r="AC425" s="312"/>
      <c r="AD425" s="312"/>
      <c r="AE425" s="312"/>
      <c r="AF425" s="312"/>
      <c r="AG425" s="312"/>
      <c r="AH425" s="312"/>
      <c r="AI425" s="312"/>
      <c r="AJ425" s="312"/>
      <c r="AK425" s="312"/>
      <c r="AL425" s="312"/>
      <c r="AM425" s="312"/>
      <c r="AN425" s="312"/>
      <c r="AO425" s="312"/>
      <c r="AP425" s="312"/>
      <c r="AQ425" s="312"/>
      <c r="AR425" s="312"/>
      <c r="AS425" s="312"/>
      <c r="AT425" s="312"/>
    </row>
    <row r="426" ht="15.75" customHeight="1">
      <c r="A426" s="318"/>
      <c r="B426" s="312"/>
      <c r="C426" s="312"/>
      <c r="D426" s="312"/>
      <c r="E426" s="312"/>
      <c r="F426" s="312"/>
      <c r="G426" s="312"/>
      <c r="H426" s="312"/>
      <c r="I426" s="312"/>
      <c r="J426" s="312"/>
      <c r="K426" s="312"/>
      <c r="L426" s="312"/>
      <c r="M426" s="312"/>
      <c r="N426" s="312"/>
      <c r="O426" s="312"/>
      <c r="P426" s="312"/>
      <c r="Q426" s="312"/>
      <c r="R426" s="312"/>
      <c r="S426" s="312"/>
      <c r="T426" s="312"/>
      <c r="U426" s="312"/>
      <c r="V426" s="312"/>
      <c r="W426" s="312"/>
      <c r="X426" s="312"/>
      <c r="Y426" s="312"/>
      <c r="Z426" s="312"/>
      <c r="AA426" s="312"/>
      <c r="AB426" s="312"/>
      <c r="AC426" s="312"/>
      <c r="AD426" s="312"/>
      <c r="AE426" s="312"/>
      <c r="AF426" s="312"/>
      <c r="AG426" s="312"/>
      <c r="AH426" s="312"/>
      <c r="AI426" s="312"/>
      <c r="AJ426" s="312"/>
      <c r="AK426" s="312"/>
      <c r="AL426" s="312"/>
      <c r="AM426" s="312"/>
      <c r="AN426" s="312"/>
      <c r="AO426" s="312"/>
      <c r="AP426" s="312"/>
      <c r="AQ426" s="312"/>
      <c r="AR426" s="312"/>
      <c r="AS426" s="312"/>
      <c r="AT426" s="312"/>
    </row>
    <row r="427" ht="15.75" customHeight="1">
      <c r="A427" s="318"/>
      <c r="B427" s="312"/>
      <c r="C427" s="312"/>
      <c r="D427" s="312"/>
      <c r="E427" s="312"/>
      <c r="F427" s="312"/>
      <c r="G427" s="312"/>
      <c r="H427" s="312"/>
      <c r="I427" s="312"/>
      <c r="J427" s="312"/>
      <c r="K427" s="312"/>
      <c r="L427" s="312"/>
      <c r="M427" s="312"/>
      <c r="N427" s="312"/>
      <c r="O427" s="312"/>
      <c r="P427" s="312"/>
      <c r="Q427" s="312"/>
      <c r="R427" s="312"/>
      <c r="S427" s="312"/>
      <c r="T427" s="312"/>
      <c r="U427" s="312"/>
      <c r="V427" s="312"/>
      <c r="W427" s="312"/>
      <c r="X427" s="312"/>
      <c r="Y427" s="312"/>
      <c r="Z427" s="312"/>
      <c r="AA427" s="312"/>
      <c r="AB427" s="312"/>
      <c r="AC427" s="312"/>
      <c r="AD427" s="312"/>
      <c r="AE427" s="312"/>
      <c r="AF427" s="312"/>
      <c r="AG427" s="312"/>
      <c r="AH427" s="312"/>
      <c r="AI427" s="312"/>
      <c r="AJ427" s="312"/>
      <c r="AK427" s="312"/>
      <c r="AL427" s="312"/>
      <c r="AM427" s="312"/>
      <c r="AN427" s="312"/>
      <c r="AO427" s="312"/>
      <c r="AP427" s="312"/>
      <c r="AQ427" s="312"/>
      <c r="AR427" s="312"/>
      <c r="AS427" s="312"/>
      <c r="AT427" s="312"/>
    </row>
    <row r="428" ht="15.75" customHeight="1">
      <c r="A428" s="318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2"/>
      <c r="S428" s="312"/>
      <c r="T428" s="312"/>
      <c r="U428" s="312"/>
      <c r="V428" s="312"/>
      <c r="W428" s="312"/>
      <c r="X428" s="312"/>
      <c r="Y428" s="312"/>
      <c r="Z428" s="312"/>
      <c r="AA428" s="312"/>
      <c r="AB428" s="312"/>
      <c r="AC428" s="312"/>
      <c r="AD428" s="312"/>
      <c r="AE428" s="312"/>
      <c r="AF428" s="312"/>
      <c r="AG428" s="312"/>
      <c r="AH428" s="312"/>
      <c r="AI428" s="312"/>
      <c r="AJ428" s="312"/>
      <c r="AK428" s="312"/>
      <c r="AL428" s="312"/>
      <c r="AM428" s="312"/>
      <c r="AN428" s="312"/>
      <c r="AO428" s="312"/>
      <c r="AP428" s="312"/>
      <c r="AQ428" s="312"/>
      <c r="AR428" s="312"/>
      <c r="AS428" s="312"/>
      <c r="AT428" s="312"/>
    </row>
    <row r="429" ht="15.75" customHeight="1">
      <c r="A429" s="318"/>
      <c r="B429" s="312"/>
      <c r="C429" s="312"/>
      <c r="D429" s="312"/>
      <c r="E429" s="312"/>
      <c r="F429" s="312"/>
      <c r="G429" s="312"/>
      <c r="H429" s="312"/>
      <c r="I429" s="312"/>
      <c r="J429" s="312"/>
      <c r="K429" s="312"/>
      <c r="L429" s="312"/>
      <c r="M429" s="312"/>
      <c r="N429" s="312"/>
      <c r="O429" s="312"/>
      <c r="P429" s="312"/>
      <c r="Q429" s="312"/>
      <c r="R429" s="312"/>
      <c r="S429" s="312"/>
      <c r="T429" s="312"/>
      <c r="U429" s="312"/>
      <c r="V429" s="312"/>
      <c r="W429" s="312"/>
      <c r="X429" s="312"/>
      <c r="Y429" s="312"/>
      <c r="Z429" s="312"/>
      <c r="AA429" s="312"/>
      <c r="AB429" s="312"/>
      <c r="AC429" s="312"/>
      <c r="AD429" s="312"/>
      <c r="AE429" s="312"/>
      <c r="AF429" s="312"/>
      <c r="AG429" s="312"/>
      <c r="AH429" s="312"/>
      <c r="AI429" s="312"/>
      <c r="AJ429" s="312"/>
      <c r="AK429" s="312"/>
      <c r="AL429" s="312"/>
      <c r="AM429" s="312"/>
      <c r="AN429" s="312"/>
      <c r="AO429" s="312"/>
      <c r="AP429" s="312"/>
      <c r="AQ429" s="312"/>
      <c r="AR429" s="312"/>
      <c r="AS429" s="312"/>
      <c r="AT429" s="312"/>
    </row>
    <row r="430" ht="15.75" customHeight="1">
      <c r="A430" s="318"/>
      <c r="B430" s="312"/>
      <c r="C430" s="312"/>
      <c r="D430" s="312"/>
      <c r="E430" s="312"/>
      <c r="F430" s="312"/>
      <c r="G430" s="312"/>
      <c r="H430" s="312"/>
      <c r="I430" s="312"/>
      <c r="J430" s="312"/>
      <c r="K430" s="312"/>
      <c r="L430" s="312"/>
      <c r="M430" s="312"/>
      <c r="N430" s="312"/>
      <c r="O430" s="312"/>
      <c r="P430" s="312"/>
      <c r="Q430" s="312"/>
      <c r="R430" s="312"/>
      <c r="S430" s="312"/>
      <c r="T430" s="312"/>
      <c r="U430" s="312"/>
      <c r="V430" s="312"/>
      <c r="W430" s="312"/>
      <c r="X430" s="312"/>
      <c r="Y430" s="312"/>
      <c r="Z430" s="312"/>
      <c r="AA430" s="312"/>
      <c r="AB430" s="312"/>
      <c r="AC430" s="312"/>
      <c r="AD430" s="312"/>
      <c r="AE430" s="312"/>
      <c r="AF430" s="312"/>
      <c r="AG430" s="312"/>
      <c r="AH430" s="312"/>
      <c r="AI430" s="312"/>
      <c r="AJ430" s="312"/>
      <c r="AK430" s="312"/>
      <c r="AL430" s="312"/>
      <c r="AM430" s="312"/>
      <c r="AN430" s="312"/>
      <c r="AO430" s="312"/>
      <c r="AP430" s="312"/>
      <c r="AQ430" s="312"/>
      <c r="AR430" s="312"/>
      <c r="AS430" s="312"/>
      <c r="AT430" s="312"/>
    </row>
    <row r="431" ht="15.75" customHeight="1">
      <c r="A431" s="318"/>
      <c r="B431" s="312"/>
      <c r="C431" s="312"/>
      <c r="D431" s="312"/>
      <c r="E431" s="312"/>
      <c r="F431" s="312"/>
      <c r="G431" s="312"/>
      <c r="H431" s="312"/>
      <c r="I431" s="312"/>
      <c r="J431" s="312"/>
      <c r="K431" s="312"/>
      <c r="L431" s="312"/>
      <c r="M431" s="312"/>
      <c r="N431" s="312"/>
      <c r="O431" s="312"/>
      <c r="P431" s="312"/>
      <c r="Q431" s="312"/>
      <c r="R431" s="312"/>
      <c r="S431" s="312"/>
      <c r="T431" s="312"/>
      <c r="U431" s="312"/>
      <c r="V431" s="312"/>
      <c r="W431" s="312"/>
      <c r="X431" s="312"/>
      <c r="Y431" s="312"/>
      <c r="Z431" s="312"/>
      <c r="AA431" s="312"/>
      <c r="AB431" s="312"/>
      <c r="AC431" s="312"/>
      <c r="AD431" s="312"/>
      <c r="AE431" s="312"/>
      <c r="AF431" s="312"/>
      <c r="AG431" s="312"/>
      <c r="AH431" s="312"/>
      <c r="AI431" s="312"/>
      <c r="AJ431" s="312"/>
      <c r="AK431" s="312"/>
      <c r="AL431" s="312"/>
      <c r="AM431" s="312"/>
      <c r="AN431" s="312"/>
      <c r="AO431" s="312"/>
      <c r="AP431" s="312"/>
      <c r="AQ431" s="312"/>
      <c r="AR431" s="312"/>
      <c r="AS431" s="312"/>
      <c r="AT431" s="312"/>
    </row>
    <row r="432" ht="15.75" customHeight="1">
      <c r="A432" s="318"/>
      <c r="B432" s="312"/>
      <c r="C432" s="312"/>
      <c r="D432" s="312"/>
      <c r="E432" s="312"/>
      <c r="F432" s="312"/>
      <c r="G432" s="312"/>
      <c r="H432" s="312"/>
      <c r="I432" s="312"/>
      <c r="J432" s="312"/>
      <c r="K432" s="312"/>
      <c r="L432" s="312"/>
      <c r="M432" s="312"/>
      <c r="N432" s="312"/>
      <c r="O432" s="312"/>
      <c r="P432" s="312"/>
      <c r="Q432" s="312"/>
      <c r="R432" s="312"/>
      <c r="S432" s="312"/>
      <c r="T432" s="312"/>
      <c r="U432" s="312"/>
      <c r="V432" s="312"/>
      <c r="W432" s="312"/>
      <c r="X432" s="312"/>
      <c r="Y432" s="312"/>
      <c r="Z432" s="312"/>
      <c r="AA432" s="312"/>
      <c r="AB432" s="312"/>
      <c r="AC432" s="312"/>
      <c r="AD432" s="312"/>
      <c r="AE432" s="312"/>
      <c r="AF432" s="312"/>
      <c r="AG432" s="312"/>
      <c r="AH432" s="312"/>
      <c r="AI432" s="312"/>
      <c r="AJ432" s="312"/>
      <c r="AK432" s="312"/>
      <c r="AL432" s="312"/>
      <c r="AM432" s="312"/>
      <c r="AN432" s="312"/>
      <c r="AO432" s="312"/>
      <c r="AP432" s="312"/>
      <c r="AQ432" s="312"/>
      <c r="AR432" s="312"/>
      <c r="AS432" s="312"/>
      <c r="AT432" s="312"/>
    </row>
    <row r="433" ht="15.75" customHeight="1">
      <c r="A433" s="318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2"/>
      <c r="S433" s="312"/>
      <c r="T433" s="312"/>
      <c r="U433" s="312"/>
      <c r="V433" s="312"/>
      <c r="W433" s="312"/>
      <c r="X433" s="312"/>
      <c r="Y433" s="312"/>
      <c r="Z433" s="312"/>
      <c r="AA433" s="312"/>
      <c r="AB433" s="312"/>
      <c r="AC433" s="312"/>
      <c r="AD433" s="312"/>
      <c r="AE433" s="312"/>
      <c r="AF433" s="312"/>
      <c r="AG433" s="312"/>
      <c r="AH433" s="312"/>
      <c r="AI433" s="312"/>
      <c r="AJ433" s="312"/>
      <c r="AK433" s="312"/>
      <c r="AL433" s="312"/>
      <c r="AM433" s="312"/>
      <c r="AN433" s="312"/>
      <c r="AO433" s="312"/>
      <c r="AP433" s="312"/>
      <c r="AQ433" s="312"/>
      <c r="AR433" s="312"/>
      <c r="AS433" s="312"/>
      <c r="AT433" s="312"/>
    </row>
    <row r="434" ht="15.75" customHeight="1">
      <c r="A434" s="318"/>
      <c r="B434" s="312"/>
      <c r="C434" s="312"/>
      <c r="D434" s="312"/>
      <c r="E434" s="312"/>
      <c r="F434" s="312"/>
      <c r="G434" s="312"/>
      <c r="H434" s="312"/>
      <c r="I434" s="312"/>
      <c r="J434" s="312"/>
      <c r="K434" s="312"/>
      <c r="L434" s="312"/>
      <c r="M434" s="312"/>
      <c r="N434" s="312"/>
      <c r="O434" s="312"/>
      <c r="P434" s="312"/>
      <c r="Q434" s="312"/>
      <c r="R434" s="312"/>
      <c r="S434" s="312"/>
      <c r="T434" s="312"/>
      <c r="U434" s="312"/>
      <c r="V434" s="312"/>
      <c r="W434" s="312"/>
      <c r="X434" s="312"/>
      <c r="Y434" s="312"/>
      <c r="Z434" s="312"/>
      <c r="AA434" s="312"/>
      <c r="AB434" s="312"/>
      <c r="AC434" s="312"/>
      <c r="AD434" s="312"/>
      <c r="AE434" s="312"/>
      <c r="AF434" s="312"/>
      <c r="AG434" s="312"/>
      <c r="AH434" s="312"/>
      <c r="AI434" s="312"/>
      <c r="AJ434" s="312"/>
      <c r="AK434" s="312"/>
      <c r="AL434" s="312"/>
      <c r="AM434" s="312"/>
      <c r="AN434" s="312"/>
      <c r="AO434" s="312"/>
      <c r="AP434" s="312"/>
      <c r="AQ434" s="312"/>
      <c r="AR434" s="312"/>
      <c r="AS434" s="312"/>
      <c r="AT434" s="312"/>
    </row>
    <row r="435" ht="15.75" customHeight="1">
      <c r="A435" s="318"/>
      <c r="B435" s="312"/>
      <c r="C435" s="312"/>
      <c r="D435" s="312"/>
      <c r="E435" s="312"/>
      <c r="F435" s="312"/>
      <c r="G435" s="312"/>
      <c r="H435" s="312"/>
      <c r="I435" s="312"/>
      <c r="J435" s="312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2"/>
      <c r="X435" s="312"/>
      <c r="Y435" s="312"/>
      <c r="Z435" s="312"/>
      <c r="AA435" s="312"/>
      <c r="AB435" s="312"/>
      <c r="AC435" s="312"/>
      <c r="AD435" s="312"/>
      <c r="AE435" s="312"/>
      <c r="AF435" s="312"/>
      <c r="AG435" s="312"/>
      <c r="AH435" s="312"/>
      <c r="AI435" s="312"/>
      <c r="AJ435" s="312"/>
      <c r="AK435" s="312"/>
      <c r="AL435" s="312"/>
      <c r="AM435" s="312"/>
      <c r="AN435" s="312"/>
      <c r="AO435" s="312"/>
      <c r="AP435" s="312"/>
      <c r="AQ435" s="312"/>
      <c r="AR435" s="312"/>
      <c r="AS435" s="312"/>
      <c r="AT435" s="312"/>
    </row>
    <row r="436" ht="15.75" customHeight="1">
      <c r="A436" s="318"/>
      <c r="B436" s="312"/>
      <c r="C436" s="312"/>
      <c r="D436" s="312"/>
      <c r="E436" s="312"/>
      <c r="F436" s="312"/>
      <c r="G436" s="312"/>
      <c r="H436" s="312"/>
      <c r="I436" s="312"/>
      <c r="J436" s="312"/>
      <c r="K436" s="312"/>
      <c r="L436" s="312"/>
      <c r="M436" s="312"/>
      <c r="N436" s="312"/>
      <c r="O436" s="312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312"/>
      <c r="AH436" s="312"/>
      <c r="AI436" s="312"/>
      <c r="AJ436" s="312"/>
      <c r="AK436" s="312"/>
      <c r="AL436" s="312"/>
      <c r="AM436" s="312"/>
      <c r="AN436" s="312"/>
      <c r="AO436" s="312"/>
      <c r="AP436" s="312"/>
      <c r="AQ436" s="312"/>
      <c r="AR436" s="312"/>
      <c r="AS436" s="312"/>
      <c r="AT436" s="312"/>
    </row>
    <row r="437" ht="15.75" customHeight="1">
      <c r="A437" s="318"/>
      <c r="B437" s="312"/>
      <c r="C437" s="312"/>
      <c r="D437" s="312"/>
      <c r="E437" s="312"/>
      <c r="F437" s="312"/>
      <c r="G437" s="312"/>
      <c r="H437" s="312"/>
      <c r="I437" s="312"/>
      <c r="J437" s="312"/>
      <c r="K437" s="312"/>
      <c r="L437" s="312"/>
      <c r="M437" s="312"/>
      <c r="N437" s="312"/>
      <c r="O437" s="312"/>
      <c r="P437" s="312"/>
      <c r="Q437" s="312"/>
      <c r="R437" s="312"/>
      <c r="S437" s="312"/>
      <c r="T437" s="312"/>
      <c r="U437" s="312"/>
      <c r="V437" s="312"/>
      <c r="W437" s="312"/>
      <c r="X437" s="312"/>
      <c r="Y437" s="312"/>
      <c r="Z437" s="312"/>
      <c r="AA437" s="312"/>
      <c r="AB437" s="312"/>
      <c r="AC437" s="312"/>
      <c r="AD437" s="312"/>
      <c r="AE437" s="312"/>
      <c r="AF437" s="312"/>
      <c r="AG437" s="312"/>
      <c r="AH437" s="312"/>
      <c r="AI437" s="312"/>
      <c r="AJ437" s="312"/>
      <c r="AK437" s="312"/>
      <c r="AL437" s="312"/>
      <c r="AM437" s="312"/>
      <c r="AN437" s="312"/>
      <c r="AO437" s="312"/>
      <c r="AP437" s="312"/>
      <c r="AQ437" s="312"/>
      <c r="AR437" s="312"/>
      <c r="AS437" s="312"/>
      <c r="AT437" s="312"/>
    </row>
    <row r="438" ht="15.75" customHeight="1">
      <c r="A438" s="318"/>
      <c r="B438" s="312"/>
      <c r="C438" s="312"/>
      <c r="D438" s="312"/>
      <c r="E438" s="312"/>
      <c r="F438" s="312"/>
      <c r="G438" s="312"/>
      <c r="H438" s="312"/>
      <c r="I438" s="312"/>
      <c r="J438" s="312"/>
      <c r="K438" s="312"/>
      <c r="L438" s="312"/>
      <c r="M438" s="312"/>
      <c r="N438" s="312"/>
      <c r="O438" s="312"/>
      <c r="P438" s="312"/>
      <c r="Q438" s="312"/>
      <c r="R438" s="312"/>
      <c r="S438" s="312"/>
      <c r="T438" s="312"/>
      <c r="U438" s="312"/>
      <c r="V438" s="312"/>
      <c r="W438" s="312"/>
      <c r="X438" s="312"/>
      <c r="Y438" s="312"/>
      <c r="Z438" s="312"/>
      <c r="AA438" s="312"/>
      <c r="AB438" s="312"/>
      <c r="AC438" s="312"/>
      <c r="AD438" s="312"/>
      <c r="AE438" s="312"/>
      <c r="AF438" s="312"/>
      <c r="AG438" s="312"/>
      <c r="AH438" s="312"/>
      <c r="AI438" s="312"/>
      <c r="AJ438" s="312"/>
      <c r="AK438" s="312"/>
      <c r="AL438" s="312"/>
      <c r="AM438" s="312"/>
      <c r="AN438" s="312"/>
      <c r="AO438" s="312"/>
      <c r="AP438" s="312"/>
      <c r="AQ438" s="312"/>
      <c r="AR438" s="312"/>
      <c r="AS438" s="312"/>
      <c r="AT438" s="312"/>
    </row>
    <row r="439" ht="15.75" customHeight="1">
      <c r="A439" s="318"/>
      <c r="B439" s="312"/>
      <c r="C439" s="312"/>
      <c r="D439" s="312"/>
      <c r="E439" s="312"/>
      <c r="F439" s="312"/>
      <c r="G439" s="312"/>
      <c r="H439" s="312"/>
      <c r="I439" s="312"/>
      <c r="J439" s="312"/>
      <c r="K439" s="312"/>
      <c r="L439" s="312"/>
      <c r="M439" s="312"/>
      <c r="N439" s="312"/>
      <c r="O439" s="312"/>
      <c r="P439" s="312"/>
      <c r="Q439" s="312"/>
      <c r="R439" s="312"/>
      <c r="S439" s="312"/>
      <c r="T439" s="312"/>
      <c r="U439" s="312"/>
      <c r="V439" s="312"/>
      <c r="W439" s="312"/>
      <c r="X439" s="312"/>
      <c r="Y439" s="312"/>
      <c r="Z439" s="312"/>
      <c r="AA439" s="312"/>
      <c r="AB439" s="312"/>
      <c r="AC439" s="312"/>
      <c r="AD439" s="312"/>
      <c r="AE439" s="312"/>
      <c r="AF439" s="312"/>
      <c r="AG439" s="312"/>
      <c r="AH439" s="312"/>
      <c r="AI439" s="312"/>
      <c r="AJ439" s="312"/>
      <c r="AK439" s="312"/>
      <c r="AL439" s="312"/>
      <c r="AM439" s="312"/>
      <c r="AN439" s="312"/>
      <c r="AO439" s="312"/>
      <c r="AP439" s="312"/>
      <c r="AQ439" s="312"/>
      <c r="AR439" s="312"/>
      <c r="AS439" s="312"/>
      <c r="AT439" s="312"/>
    </row>
    <row r="440" ht="15.75" customHeight="1">
      <c r="A440" s="318"/>
      <c r="B440" s="312"/>
      <c r="C440" s="312"/>
      <c r="D440" s="312"/>
      <c r="E440" s="312"/>
      <c r="F440" s="312"/>
      <c r="G440" s="312"/>
      <c r="H440" s="312"/>
      <c r="I440" s="312"/>
      <c r="J440" s="312"/>
      <c r="K440" s="312"/>
      <c r="L440" s="312"/>
      <c r="M440" s="312"/>
      <c r="N440" s="312"/>
      <c r="O440" s="312"/>
      <c r="P440" s="312"/>
      <c r="Q440" s="312"/>
      <c r="R440" s="312"/>
      <c r="S440" s="312"/>
      <c r="T440" s="312"/>
      <c r="U440" s="312"/>
      <c r="V440" s="312"/>
      <c r="W440" s="312"/>
      <c r="X440" s="312"/>
      <c r="Y440" s="312"/>
      <c r="Z440" s="312"/>
      <c r="AA440" s="312"/>
      <c r="AB440" s="312"/>
      <c r="AC440" s="312"/>
      <c r="AD440" s="312"/>
      <c r="AE440" s="312"/>
      <c r="AF440" s="312"/>
      <c r="AG440" s="312"/>
      <c r="AH440" s="312"/>
      <c r="AI440" s="312"/>
      <c r="AJ440" s="312"/>
      <c r="AK440" s="312"/>
      <c r="AL440" s="312"/>
      <c r="AM440" s="312"/>
      <c r="AN440" s="312"/>
      <c r="AO440" s="312"/>
      <c r="AP440" s="312"/>
      <c r="AQ440" s="312"/>
      <c r="AR440" s="312"/>
      <c r="AS440" s="312"/>
      <c r="AT440" s="312"/>
    </row>
    <row r="441" ht="15.75" customHeight="1">
      <c r="A441" s="318"/>
      <c r="B441" s="312"/>
      <c r="C441" s="312"/>
      <c r="D441" s="312"/>
      <c r="E441" s="312"/>
      <c r="F441" s="312"/>
      <c r="G441" s="312"/>
      <c r="H441" s="312"/>
      <c r="I441" s="312"/>
      <c r="J441" s="312"/>
      <c r="K441" s="312"/>
      <c r="L441" s="312"/>
      <c r="M441" s="312"/>
      <c r="N441" s="312"/>
      <c r="O441" s="312"/>
      <c r="P441" s="312"/>
      <c r="Q441" s="312"/>
      <c r="R441" s="312"/>
      <c r="S441" s="312"/>
      <c r="T441" s="312"/>
      <c r="U441" s="312"/>
      <c r="V441" s="312"/>
      <c r="W441" s="312"/>
      <c r="X441" s="312"/>
      <c r="Y441" s="312"/>
      <c r="Z441" s="312"/>
      <c r="AA441" s="312"/>
      <c r="AB441" s="312"/>
      <c r="AC441" s="312"/>
      <c r="AD441" s="312"/>
      <c r="AE441" s="312"/>
      <c r="AF441" s="312"/>
      <c r="AG441" s="312"/>
      <c r="AH441" s="312"/>
      <c r="AI441" s="312"/>
      <c r="AJ441" s="312"/>
      <c r="AK441" s="312"/>
      <c r="AL441" s="312"/>
      <c r="AM441" s="312"/>
      <c r="AN441" s="312"/>
      <c r="AO441" s="312"/>
      <c r="AP441" s="312"/>
      <c r="AQ441" s="312"/>
      <c r="AR441" s="312"/>
      <c r="AS441" s="312"/>
      <c r="AT441" s="312"/>
    </row>
    <row r="442" ht="15.75" customHeight="1">
      <c r="A442" s="318"/>
      <c r="B442" s="312"/>
      <c r="C442" s="312"/>
      <c r="D442" s="312"/>
      <c r="E442" s="312"/>
      <c r="F442" s="312"/>
      <c r="G442" s="312"/>
      <c r="H442" s="312"/>
      <c r="I442" s="312"/>
      <c r="J442" s="312"/>
      <c r="K442" s="312"/>
      <c r="L442" s="312"/>
      <c r="M442" s="312"/>
      <c r="N442" s="312"/>
      <c r="O442" s="312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312"/>
      <c r="AH442" s="312"/>
      <c r="AI442" s="312"/>
      <c r="AJ442" s="312"/>
      <c r="AK442" s="312"/>
      <c r="AL442" s="312"/>
      <c r="AM442" s="312"/>
      <c r="AN442" s="312"/>
      <c r="AO442" s="312"/>
      <c r="AP442" s="312"/>
      <c r="AQ442" s="312"/>
      <c r="AR442" s="312"/>
      <c r="AS442" s="312"/>
      <c r="AT442" s="312"/>
    </row>
    <row r="443" ht="15.75" customHeight="1">
      <c r="A443" s="318"/>
      <c r="B443" s="312"/>
      <c r="C443" s="312"/>
      <c r="D443" s="312"/>
      <c r="E443" s="312"/>
      <c r="F443" s="312"/>
      <c r="G443" s="312"/>
      <c r="H443" s="312"/>
      <c r="I443" s="312"/>
      <c r="J443" s="312"/>
      <c r="K443" s="312"/>
      <c r="L443" s="312"/>
      <c r="M443" s="312"/>
      <c r="N443" s="312"/>
      <c r="O443" s="312"/>
      <c r="P443" s="312"/>
      <c r="Q443" s="312"/>
      <c r="R443" s="312"/>
      <c r="S443" s="312"/>
      <c r="T443" s="312"/>
      <c r="U443" s="312"/>
      <c r="V443" s="312"/>
      <c r="W443" s="312"/>
      <c r="X443" s="312"/>
      <c r="Y443" s="312"/>
      <c r="Z443" s="312"/>
      <c r="AA443" s="312"/>
      <c r="AB443" s="312"/>
      <c r="AC443" s="312"/>
      <c r="AD443" s="312"/>
      <c r="AE443" s="312"/>
      <c r="AF443" s="312"/>
      <c r="AG443" s="312"/>
      <c r="AH443" s="312"/>
      <c r="AI443" s="312"/>
      <c r="AJ443" s="312"/>
      <c r="AK443" s="312"/>
      <c r="AL443" s="312"/>
      <c r="AM443" s="312"/>
      <c r="AN443" s="312"/>
      <c r="AO443" s="312"/>
      <c r="AP443" s="312"/>
      <c r="AQ443" s="312"/>
      <c r="AR443" s="312"/>
      <c r="AS443" s="312"/>
      <c r="AT443" s="312"/>
    </row>
    <row r="444" ht="15.75" customHeight="1">
      <c r="A444" s="318"/>
      <c r="B444" s="312"/>
      <c r="C444" s="312"/>
      <c r="D444" s="312"/>
      <c r="E444" s="312"/>
      <c r="F444" s="312"/>
      <c r="G444" s="312"/>
      <c r="H444" s="312"/>
      <c r="I444" s="312"/>
      <c r="J444" s="312"/>
      <c r="K444" s="312"/>
      <c r="L444" s="312"/>
      <c r="M444" s="312"/>
      <c r="N444" s="312"/>
      <c r="O444" s="312"/>
      <c r="P444" s="312"/>
      <c r="Q444" s="312"/>
      <c r="R444" s="312"/>
      <c r="S444" s="312"/>
      <c r="T444" s="312"/>
      <c r="U444" s="312"/>
      <c r="V444" s="312"/>
      <c r="W444" s="312"/>
      <c r="X444" s="312"/>
      <c r="Y444" s="312"/>
      <c r="Z444" s="312"/>
      <c r="AA444" s="312"/>
      <c r="AB444" s="312"/>
      <c r="AC444" s="312"/>
      <c r="AD444" s="312"/>
      <c r="AE444" s="312"/>
      <c r="AF444" s="312"/>
      <c r="AG444" s="312"/>
      <c r="AH444" s="312"/>
      <c r="AI444" s="312"/>
      <c r="AJ444" s="312"/>
      <c r="AK444" s="312"/>
      <c r="AL444" s="312"/>
      <c r="AM444" s="312"/>
      <c r="AN444" s="312"/>
      <c r="AO444" s="312"/>
      <c r="AP444" s="312"/>
      <c r="AQ444" s="312"/>
      <c r="AR444" s="312"/>
      <c r="AS444" s="312"/>
      <c r="AT444" s="312"/>
    </row>
    <row r="445" ht="15.75" customHeight="1">
      <c r="A445" s="318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2"/>
      <c r="S445" s="312"/>
      <c r="T445" s="312"/>
      <c r="U445" s="312"/>
      <c r="V445" s="312"/>
      <c r="W445" s="312"/>
      <c r="X445" s="312"/>
      <c r="Y445" s="312"/>
      <c r="Z445" s="312"/>
      <c r="AA445" s="312"/>
      <c r="AB445" s="312"/>
      <c r="AC445" s="312"/>
      <c r="AD445" s="312"/>
      <c r="AE445" s="312"/>
      <c r="AF445" s="312"/>
      <c r="AG445" s="312"/>
      <c r="AH445" s="312"/>
      <c r="AI445" s="312"/>
      <c r="AJ445" s="312"/>
      <c r="AK445" s="312"/>
      <c r="AL445" s="312"/>
      <c r="AM445" s="312"/>
      <c r="AN445" s="312"/>
      <c r="AO445" s="312"/>
      <c r="AP445" s="312"/>
      <c r="AQ445" s="312"/>
      <c r="AR445" s="312"/>
      <c r="AS445" s="312"/>
      <c r="AT445" s="312"/>
    </row>
    <row r="446" ht="15.75" customHeight="1">
      <c r="A446" s="318"/>
      <c r="B446" s="312"/>
      <c r="C446" s="312"/>
      <c r="D446" s="312"/>
      <c r="E446" s="312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  <c r="AP446" s="312"/>
      <c r="AQ446" s="312"/>
      <c r="AR446" s="312"/>
      <c r="AS446" s="312"/>
      <c r="AT446" s="312"/>
    </row>
    <row r="447" ht="15.75" customHeight="1">
      <c r="A447" s="318"/>
      <c r="B447" s="312"/>
      <c r="C447" s="312"/>
      <c r="D447" s="312"/>
      <c r="E447" s="312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  <c r="AP447" s="312"/>
      <c r="AQ447" s="312"/>
      <c r="AR447" s="312"/>
      <c r="AS447" s="312"/>
      <c r="AT447" s="312"/>
    </row>
    <row r="448" ht="15.75" customHeight="1">
      <c r="A448" s="318"/>
      <c r="B448" s="312"/>
      <c r="C448" s="312"/>
      <c r="D448" s="312"/>
      <c r="E448" s="312"/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  <c r="AP448" s="312"/>
      <c r="AQ448" s="312"/>
      <c r="AR448" s="312"/>
      <c r="AS448" s="312"/>
      <c r="AT448" s="312"/>
    </row>
    <row r="449" ht="15.75" customHeight="1">
      <c r="A449" s="318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  <c r="AP449" s="312"/>
      <c r="AQ449" s="312"/>
      <c r="AR449" s="312"/>
      <c r="AS449" s="312"/>
      <c r="AT449" s="312"/>
    </row>
    <row r="450" ht="15.75" customHeight="1">
      <c r="A450" s="318"/>
      <c r="B450" s="312"/>
      <c r="C450" s="312"/>
      <c r="D450" s="312"/>
      <c r="E450" s="312"/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  <c r="AP450" s="312"/>
      <c r="AQ450" s="312"/>
      <c r="AR450" s="312"/>
      <c r="AS450" s="312"/>
      <c r="AT450" s="312"/>
    </row>
    <row r="451" ht="15.75" customHeight="1">
      <c r="A451" s="318"/>
      <c r="B451" s="312"/>
      <c r="C451" s="312"/>
      <c r="D451" s="312"/>
      <c r="E451" s="312"/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  <c r="AP451" s="312"/>
      <c r="AQ451" s="312"/>
      <c r="AR451" s="312"/>
      <c r="AS451" s="312"/>
      <c r="AT451" s="312"/>
    </row>
    <row r="452" ht="15.75" customHeight="1">
      <c r="A452" s="318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  <c r="AP452" s="312"/>
      <c r="AQ452" s="312"/>
      <c r="AR452" s="312"/>
      <c r="AS452" s="312"/>
      <c r="AT452" s="312"/>
    </row>
    <row r="453" ht="15.75" customHeight="1">
      <c r="A453" s="318"/>
      <c r="B453" s="312"/>
      <c r="C453" s="312"/>
      <c r="D453" s="312"/>
      <c r="E453" s="312"/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  <c r="AP453" s="312"/>
      <c r="AQ453" s="312"/>
      <c r="AR453" s="312"/>
      <c r="AS453" s="312"/>
      <c r="AT453" s="312"/>
    </row>
    <row r="454" ht="15.75" customHeight="1">
      <c r="A454" s="318"/>
      <c r="B454" s="312"/>
      <c r="C454" s="312"/>
      <c r="D454" s="312"/>
      <c r="E454" s="312"/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  <c r="AP454" s="312"/>
      <c r="AQ454" s="312"/>
      <c r="AR454" s="312"/>
      <c r="AS454" s="312"/>
      <c r="AT454" s="312"/>
    </row>
    <row r="455" ht="15.75" customHeight="1">
      <c r="A455" s="318"/>
      <c r="B455" s="312"/>
      <c r="C455" s="312"/>
      <c r="D455" s="312"/>
      <c r="E455" s="312"/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  <c r="AP455" s="312"/>
      <c r="AQ455" s="312"/>
      <c r="AR455" s="312"/>
      <c r="AS455" s="312"/>
      <c r="AT455" s="312"/>
    </row>
    <row r="456" ht="15.75" customHeight="1">
      <c r="A456" s="318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  <c r="AP456" s="312"/>
      <c r="AQ456" s="312"/>
      <c r="AR456" s="312"/>
      <c r="AS456" s="312"/>
      <c r="AT456" s="312"/>
    </row>
    <row r="457" ht="15.75" customHeight="1">
      <c r="A457" s="318"/>
      <c r="B457" s="312"/>
      <c r="C457" s="312"/>
      <c r="D457" s="312"/>
      <c r="E457" s="312"/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  <c r="AP457" s="312"/>
      <c r="AQ457" s="312"/>
      <c r="AR457" s="312"/>
      <c r="AS457" s="312"/>
      <c r="AT457" s="312"/>
    </row>
    <row r="458" ht="15.75" customHeight="1">
      <c r="A458" s="318"/>
      <c r="B458" s="312"/>
      <c r="C458" s="312"/>
      <c r="D458" s="312"/>
      <c r="E458" s="312"/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  <c r="AP458" s="312"/>
      <c r="AQ458" s="312"/>
      <c r="AR458" s="312"/>
      <c r="AS458" s="312"/>
      <c r="AT458" s="312"/>
    </row>
    <row r="459" ht="15.75" customHeight="1">
      <c r="A459" s="318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  <c r="AP459" s="312"/>
      <c r="AQ459" s="312"/>
      <c r="AR459" s="312"/>
      <c r="AS459" s="312"/>
      <c r="AT459" s="312"/>
    </row>
    <row r="460" ht="15.75" customHeight="1">
      <c r="A460" s="318"/>
      <c r="B460" s="312"/>
      <c r="C460" s="312"/>
      <c r="D460" s="312"/>
      <c r="E460" s="312"/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  <c r="AP460" s="312"/>
      <c r="AQ460" s="312"/>
      <c r="AR460" s="312"/>
      <c r="AS460" s="312"/>
      <c r="AT460" s="312"/>
    </row>
    <row r="461" ht="15.75" customHeight="1">
      <c r="A461" s="318"/>
      <c r="B461" s="312"/>
      <c r="C461" s="312"/>
      <c r="D461" s="312"/>
      <c r="E461" s="312"/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  <c r="AP461" s="312"/>
      <c r="AQ461" s="312"/>
      <c r="AR461" s="312"/>
      <c r="AS461" s="312"/>
      <c r="AT461" s="312"/>
    </row>
    <row r="462" ht="15.75" customHeight="1">
      <c r="A462" s="318"/>
      <c r="B462" s="312"/>
      <c r="C462" s="312"/>
      <c r="D462" s="312"/>
      <c r="E462" s="312"/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  <c r="AP462" s="312"/>
      <c r="AQ462" s="312"/>
      <c r="AR462" s="312"/>
      <c r="AS462" s="312"/>
      <c r="AT462" s="312"/>
    </row>
    <row r="463" ht="15.75" customHeight="1">
      <c r="A463" s="318"/>
      <c r="B463" s="312"/>
      <c r="C463" s="312"/>
      <c r="D463" s="312"/>
      <c r="E463" s="312"/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  <c r="AP463" s="312"/>
      <c r="AQ463" s="312"/>
      <c r="AR463" s="312"/>
      <c r="AS463" s="312"/>
      <c r="AT463" s="312"/>
    </row>
    <row r="464" ht="15.75" customHeight="1">
      <c r="A464" s="318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  <c r="AP464" s="312"/>
      <c r="AQ464" s="312"/>
      <c r="AR464" s="312"/>
      <c r="AS464" s="312"/>
      <c r="AT464" s="312"/>
    </row>
    <row r="465" ht="15.75" customHeight="1">
      <c r="A465" s="318"/>
      <c r="B465" s="312"/>
      <c r="C465" s="312"/>
      <c r="D465" s="312"/>
      <c r="E465" s="312"/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  <c r="AP465" s="312"/>
      <c r="AQ465" s="312"/>
      <c r="AR465" s="312"/>
      <c r="AS465" s="312"/>
      <c r="AT465" s="312"/>
    </row>
    <row r="466" ht="15.75" customHeight="1">
      <c r="A466" s="318"/>
      <c r="B466" s="312"/>
      <c r="C466" s="312"/>
      <c r="D466" s="312"/>
      <c r="E466" s="312"/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  <c r="AP466" s="312"/>
      <c r="AQ466" s="312"/>
      <c r="AR466" s="312"/>
      <c r="AS466" s="312"/>
      <c r="AT466" s="312"/>
    </row>
    <row r="467" ht="15.75" customHeight="1">
      <c r="A467" s="318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  <c r="AP467" s="312"/>
      <c r="AQ467" s="312"/>
      <c r="AR467" s="312"/>
      <c r="AS467" s="312"/>
      <c r="AT467" s="312"/>
    </row>
    <row r="468" ht="15.75" customHeight="1">
      <c r="A468" s="318"/>
      <c r="B468" s="312"/>
      <c r="C468" s="312"/>
      <c r="D468" s="312"/>
      <c r="E468" s="312"/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  <c r="AP468" s="312"/>
      <c r="AQ468" s="312"/>
      <c r="AR468" s="312"/>
      <c r="AS468" s="312"/>
      <c r="AT468" s="312"/>
    </row>
    <row r="469" ht="15.75" customHeight="1">
      <c r="A469" s="318"/>
      <c r="B469" s="312"/>
      <c r="C469" s="312"/>
      <c r="D469" s="312"/>
      <c r="E469" s="312"/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  <c r="AP469" s="312"/>
      <c r="AQ469" s="312"/>
      <c r="AR469" s="312"/>
      <c r="AS469" s="312"/>
      <c r="AT469" s="312"/>
    </row>
    <row r="470" ht="15.75" customHeight="1">
      <c r="A470" s="318"/>
      <c r="B470" s="312"/>
      <c r="C470" s="312"/>
      <c r="D470" s="312"/>
      <c r="E470" s="312"/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  <c r="AP470" s="312"/>
      <c r="AQ470" s="312"/>
      <c r="AR470" s="312"/>
      <c r="AS470" s="312"/>
      <c r="AT470" s="312"/>
    </row>
    <row r="471" ht="15.75" customHeight="1">
      <c r="A471" s="318"/>
      <c r="B471" s="312"/>
      <c r="C471" s="312"/>
      <c r="D471" s="312"/>
      <c r="E471" s="312"/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  <c r="AP471" s="312"/>
      <c r="AQ471" s="312"/>
      <c r="AR471" s="312"/>
      <c r="AS471" s="312"/>
      <c r="AT471" s="312"/>
    </row>
    <row r="472" ht="15.75" customHeight="1">
      <c r="A472" s="318"/>
      <c r="B472" s="312"/>
      <c r="C472" s="312"/>
      <c r="D472" s="312"/>
      <c r="E472" s="312"/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  <c r="AP472" s="312"/>
      <c r="AQ472" s="312"/>
      <c r="AR472" s="312"/>
      <c r="AS472" s="312"/>
      <c r="AT472" s="312"/>
    </row>
    <row r="473" ht="15.75" customHeight="1">
      <c r="A473" s="318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  <c r="AP473" s="312"/>
      <c r="AQ473" s="312"/>
      <c r="AR473" s="312"/>
      <c r="AS473" s="312"/>
      <c r="AT473" s="312"/>
    </row>
    <row r="474" ht="15.75" customHeight="1">
      <c r="A474" s="318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  <c r="AP474" s="312"/>
      <c r="AQ474" s="312"/>
      <c r="AR474" s="312"/>
      <c r="AS474" s="312"/>
      <c r="AT474" s="312"/>
    </row>
    <row r="475" ht="15.75" customHeight="1">
      <c r="A475" s="318"/>
      <c r="B475" s="312"/>
      <c r="C475" s="312"/>
      <c r="D475" s="312"/>
      <c r="E475" s="312"/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  <c r="AP475" s="312"/>
      <c r="AQ475" s="312"/>
      <c r="AR475" s="312"/>
      <c r="AS475" s="312"/>
      <c r="AT475" s="312"/>
    </row>
    <row r="476" ht="15.75" customHeight="1">
      <c r="A476" s="318"/>
      <c r="B476" s="312"/>
      <c r="C476" s="312"/>
      <c r="D476" s="312"/>
      <c r="E476" s="312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  <c r="AP476" s="312"/>
      <c r="AQ476" s="312"/>
      <c r="AR476" s="312"/>
      <c r="AS476" s="312"/>
      <c r="AT476" s="312"/>
    </row>
    <row r="477" ht="15.75" customHeight="1">
      <c r="A477" s="318"/>
      <c r="B477" s="312"/>
      <c r="C477" s="312"/>
      <c r="D477" s="312"/>
      <c r="E477" s="312"/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  <c r="AP477" s="312"/>
      <c r="AQ477" s="312"/>
      <c r="AR477" s="312"/>
      <c r="AS477" s="312"/>
      <c r="AT477" s="312"/>
    </row>
    <row r="478" ht="15.75" customHeight="1">
      <c r="A478" s="318"/>
      <c r="B478" s="312"/>
      <c r="C478" s="312"/>
      <c r="D478" s="312"/>
      <c r="E478" s="312"/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  <c r="AP478" s="312"/>
      <c r="AQ478" s="312"/>
      <c r="AR478" s="312"/>
      <c r="AS478" s="312"/>
      <c r="AT478" s="312"/>
    </row>
    <row r="479" ht="15.75" customHeight="1">
      <c r="A479" s="318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  <c r="AP479" s="312"/>
      <c r="AQ479" s="312"/>
      <c r="AR479" s="312"/>
      <c r="AS479" s="312"/>
      <c r="AT479" s="312"/>
    </row>
    <row r="480" ht="15.75" customHeight="1">
      <c r="A480" s="318"/>
      <c r="B480" s="312"/>
      <c r="C480" s="312"/>
      <c r="D480" s="312"/>
      <c r="E480" s="312"/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  <c r="AP480" s="312"/>
      <c r="AQ480" s="312"/>
      <c r="AR480" s="312"/>
      <c r="AS480" s="312"/>
      <c r="AT480" s="312"/>
    </row>
    <row r="481" ht="15.75" customHeight="1">
      <c r="A481" s="318"/>
      <c r="B481" s="312"/>
      <c r="C481" s="312"/>
      <c r="D481" s="312"/>
      <c r="E481" s="312"/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  <c r="AP481" s="312"/>
      <c r="AQ481" s="312"/>
      <c r="AR481" s="312"/>
      <c r="AS481" s="312"/>
      <c r="AT481" s="312"/>
    </row>
    <row r="482" ht="15.75" customHeight="1">
      <c r="A482" s="318"/>
      <c r="B482" s="312"/>
      <c r="C482" s="312"/>
      <c r="D482" s="312"/>
      <c r="E482" s="312"/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  <c r="AP482" s="312"/>
      <c r="AQ482" s="312"/>
      <c r="AR482" s="312"/>
      <c r="AS482" s="312"/>
      <c r="AT482" s="312"/>
    </row>
    <row r="483" ht="15.75" customHeight="1">
      <c r="A483" s="318"/>
      <c r="B483" s="312"/>
      <c r="C483" s="312"/>
      <c r="D483" s="312"/>
      <c r="E483" s="312"/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  <c r="AP483" s="312"/>
      <c r="AQ483" s="312"/>
      <c r="AR483" s="312"/>
      <c r="AS483" s="312"/>
      <c r="AT483" s="312"/>
    </row>
    <row r="484" ht="15.75" customHeight="1">
      <c r="A484" s="318"/>
      <c r="B484" s="312"/>
      <c r="C484" s="312"/>
      <c r="D484" s="312"/>
      <c r="E484" s="312"/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  <c r="AP484" s="312"/>
      <c r="AQ484" s="312"/>
      <c r="AR484" s="312"/>
      <c r="AS484" s="312"/>
      <c r="AT484" s="312"/>
    </row>
    <row r="485" ht="15.75" customHeight="1">
      <c r="A485" s="318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  <c r="AP485" s="312"/>
      <c r="AQ485" s="312"/>
      <c r="AR485" s="312"/>
      <c r="AS485" s="312"/>
      <c r="AT485" s="312"/>
    </row>
    <row r="486" ht="15.75" customHeight="1">
      <c r="A486" s="318"/>
      <c r="B486" s="312"/>
      <c r="C486" s="312"/>
      <c r="D486" s="312"/>
      <c r="E486" s="312"/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  <c r="AP486" s="312"/>
      <c r="AQ486" s="312"/>
      <c r="AR486" s="312"/>
      <c r="AS486" s="312"/>
      <c r="AT486" s="312"/>
    </row>
    <row r="487" ht="15.75" customHeight="1">
      <c r="A487" s="318"/>
      <c r="B487" s="312"/>
      <c r="C487" s="312"/>
      <c r="D487" s="312"/>
      <c r="E487" s="312"/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  <c r="AP487" s="312"/>
      <c r="AQ487" s="312"/>
      <c r="AR487" s="312"/>
      <c r="AS487" s="312"/>
      <c r="AT487" s="312"/>
    </row>
    <row r="488" ht="15.75" customHeight="1">
      <c r="A488" s="318"/>
      <c r="B488" s="312"/>
      <c r="C488" s="312"/>
      <c r="D488" s="312"/>
      <c r="E488" s="312"/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  <c r="AP488" s="312"/>
      <c r="AQ488" s="312"/>
      <c r="AR488" s="312"/>
      <c r="AS488" s="312"/>
      <c r="AT488" s="312"/>
    </row>
    <row r="489" ht="15.75" customHeight="1">
      <c r="A489" s="318"/>
      <c r="B489" s="312"/>
      <c r="C489" s="312"/>
      <c r="D489" s="312"/>
      <c r="E489" s="312"/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  <c r="AP489" s="312"/>
      <c r="AQ489" s="312"/>
      <c r="AR489" s="312"/>
      <c r="AS489" s="312"/>
      <c r="AT489" s="312"/>
    </row>
    <row r="490" ht="15.75" customHeight="1">
      <c r="A490" s="318"/>
      <c r="B490" s="312"/>
      <c r="C490" s="312"/>
      <c r="D490" s="312"/>
      <c r="E490" s="312"/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  <c r="AP490" s="312"/>
      <c r="AQ490" s="312"/>
      <c r="AR490" s="312"/>
      <c r="AS490" s="312"/>
      <c r="AT490" s="312"/>
    </row>
    <row r="491" ht="15.75" customHeight="1">
      <c r="A491" s="318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  <c r="AP491" s="312"/>
      <c r="AQ491" s="312"/>
      <c r="AR491" s="312"/>
      <c r="AS491" s="312"/>
      <c r="AT491" s="312"/>
    </row>
    <row r="492" ht="15.75" customHeight="1">
      <c r="A492" s="318"/>
      <c r="B492" s="312"/>
      <c r="C492" s="312"/>
      <c r="D492" s="312"/>
      <c r="E492" s="312"/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  <c r="AP492" s="312"/>
      <c r="AQ492" s="312"/>
      <c r="AR492" s="312"/>
      <c r="AS492" s="312"/>
      <c r="AT492" s="312"/>
    </row>
    <row r="493" ht="15.75" customHeight="1">
      <c r="A493" s="318"/>
      <c r="B493" s="312"/>
      <c r="C493" s="312"/>
      <c r="D493" s="312"/>
      <c r="E493" s="312"/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  <c r="AP493" s="312"/>
      <c r="AQ493" s="312"/>
      <c r="AR493" s="312"/>
      <c r="AS493" s="312"/>
      <c r="AT493" s="312"/>
    </row>
    <row r="494" ht="15.75" customHeight="1">
      <c r="A494" s="318"/>
      <c r="B494" s="312"/>
      <c r="C494" s="312"/>
      <c r="D494" s="312"/>
      <c r="E494" s="312"/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  <c r="AP494" s="312"/>
      <c r="AQ494" s="312"/>
      <c r="AR494" s="312"/>
      <c r="AS494" s="312"/>
      <c r="AT494" s="312"/>
    </row>
    <row r="495" ht="15.75" customHeight="1">
      <c r="A495" s="318"/>
      <c r="B495" s="312"/>
      <c r="C495" s="312"/>
      <c r="D495" s="312"/>
      <c r="E495" s="312"/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  <c r="AP495" s="312"/>
      <c r="AQ495" s="312"/>
      <c r="AR495" s="312"/>
      <c r="AS495" s="312"/>
      <c r="AT495" s="312"/>
    </row>
    <row r="496" ht="15.75" customHeight="1">
      <c r="A496" s="318"/>
      <c r="B496" s="312"/>
      <c r="C496" s="312"/>
      <c r="D496" s="312"/>
      <c r="E496" s="312"/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  <c r="AP496" s="312"/>
      <c r="AQ496" s="312"/>
      <c r="AR496" s="312"/>
      <c r="AS496" s="312"/>
      <c r="AT496" s="312"/>
    </row>
    <row r="497" ht="15.75" customHeight="1">
      <c r="A497" s="318"/>
      <c r="B497" s="312"/>
      <c r="C497" s="312"/>
      <c r="D497" s="312"/>
      <c r="E497" s="312"/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  <c r="AP497" s="312"/>
      <c r="AQ497" s="312"/>
      <c r="AR497" s="312"/>
      <c r="AS497" s="312"/>
      <c r="AT497" s="312"/>
    </row>
    <row r="498" ht="15.75" customHeight="1">
      <c r="A498" s="318"/>
      <c r="B498" s="312"/>
      <c r="C498" s="312"/>
      <c r="D498" s="312"/>
      <c r="E498" s="312"/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  <c r="AP498" s="312"/>
      <c r="AQ498" s="312"/>
      <c r="AR498" s="312"/>
      <c r="AS498" s="312"/>
      <c r="AT498" s="312"/>
    </row>
    <row r="499" ht="15.75" customHeight="1">
      <c r="A499" s="318"/>
      <c r="B499" s="312"/>
      <c r="C499" s="312"/>
      <c r="D499" s="312"/>
      <c r="E499" s="312"/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  <c r="AP499" s="312"/>
      <c r="AQ499" s="312"/>
      <c r="AR499" s="312"/>
      <c r="AS499" s="312"/>
      <c r="AT499" s="312"/>
    </row>
    <row r="500" ht="15.75" customHeight="1">
      <c r="A500" s="318"/>
      <c r="B500" s="312"/>
      <c r="C500" s="312"/>
      <c r="D500" s="312"/>
      <c r="E500" s="312"/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  <c r="AP500" s="312"/>
      <c r="AQ500" s="312"/>
      <c r="AR500" s="312"/>
      <c r="AS500" s="312"/>
      <c r="AT500" s="312"/>
    </row>
    <row r="501" ht="15.75" customHeight="1">
      <c r="A501" s="318"/>
      <c r="B501" s="312"/>
      <c r="C501" s="312"/>
      <c r="D501" s="312"/>
      <c r="E501" s="312"/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  <c r="AP501" s="312"/>
      <c r="AQ501" s="312"/>
      <c r="AR501" s="312"/>
      <c r="AS501" s="312"/>
      <c r="AT501" s="312"/>
    </row>
    <row r="502" ht="15.75" customHeight="1">
      <c r="A502" s="318"/>
      <c r="B502" s="312"/>
      <c r="C502" s="312"/>
      <c r="D502" s="312"/>
      <c r="E502" s="312"/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  <c r="AP502" s="312"/>
      <c r="AQ502" s="312"/>
      <c r="AR502" s="312"/>
      <c r="AS502" s="312"/>
      <c r="AT502" s="312"/>
    </row>
    <row r="503" ht="15.75" customHeight="1">
      <c r="A503" s="318"/>
      <c r="B503" s="312"/>
      <c r="C503" s="312"/>
      <c r="D503" s="312"/>
      <c r="E503" s="312"/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  <c r="AP503" s="312"/>
      <c r="AQ503" s="312"/>
      <c r="AR503" s="312"/>
      <c r="AS503" s="312"/>
      <c r="AT503" s="312"/>
    </row>
    <row r="504" ht="15.75" customHeight="1">
      <c r="A504" s="318"/>
      <c r="B504" s="312"/>
      <c r="C504" s="312"/>
      <c r="D504" s="312"/>
      <c r="E504" s="312"/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  <c r="AP504" s="312"/>
      <c r="AQ504" s="312"/>
      <c r="AR504" s="312"/>
      <c r="AS504" s="312"/>
      <c r="AT504" s="312"/>
    </row>
    <row r="505" ht="15.75" customHeight="1">
      <c r="A505" s="318"/>
      <c r="B505" s="312"/>
      <c r="C505" s="312"/>
      <c r="D505" s="312"/>
      <c r="E505" s="312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  <c r="AP505" s="312"/>
      <c r="AQ505" s="312"/>
      <c r="AR505" s="312"/>
      <c r="AS505" s="312"/>
      <c r="AT505" s="312"/>
    </row>
    <row r="506" ht="15.75" customHeight="1">
      <c r="A506" s="318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  <c r="AP506" s="312"/>
      <c r="AQ506" s="312"/>
      <c r="AR506" s="312"/>
      <c r="AS506" s="312"/>
      <c r="AT506" s="312"/>
    </row>
    <row r="507" ht="15.75" customHeight="1">
      <c r="A507" s="318"/>
      <c r="B507" s="312"/>
      <c r="C507" s="312"/>
      <c r="D507" s="312"/>
      <c r="E507" s="312"/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  <c r="AP507" s="312"/>
      <c r="AQ507" s="312"/>
      <c r="AR507" s="312"/>
      <c r="AS507" s="312"/>
      <c r="AT507" s="312"/>
    </row>
    <row r="508" ht="15.75" customHeight="1">
      <c r="A508" s="318"/>
      <c r="B508" s="312"/>
      <c r="C508" s="312"/>
      <c r="D508" s="312"/>
      <c r="E508" s="312"/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  <c r="AP508" s="312"/>
      <c r="AQ508" s="312"/>
      <c r="AR508" s="312"/>
      <c r="AS508" s="312"/>
      <c r="AT508" s="312"/>
    </row>
    <row r="509" ht="15.75" customHeight="1">
      <c r="A509" s="318"/>
      <c r="B509" s="312"/>
      <c r="C509" s="312"/>
      <c r="D509" s="312"/>
      <c r="E509" s="312"/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  <c r="AP509" s="312"/>
      <c r="AQ509" s="312"/>
      <c r="AR509" s="312"/>
      <c r="AS509" s="312"/>
      <c r="AT509" s="312"/>
    </row>
    <row r="510" ht="15.75" customHeight="1">
      <c r="A510" s="318"/>
      <c r="B510" s="312"/>
      <c r="C510" s="312"/>
      <c r="D510" s="312"/>
      <c r="E510" s="312"/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  <c r="AP510" s="312"/>
      <c r="AQ510" s="312"/>
      <c r="AR510" s="312"/>
      <c r="AS510" s="312"/>
      <c r="AT510" s="312"/>
    </row>
    <row r="511" ht="15.75" customHeight="1">
      <c r="A511" s="318"/>
      <c r="B511" s="312"/>
      <c r="C511" s="312"/>
      <c r="D511" s="312"/>
      <c r="E511" s="312"/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  <c r="AP511" s="312"/>
      <c r="AQ511" s="312"/>
      <c r="AR511" s="312"/>
      <c r="AS511" s="312"/>
      <c r="AT511" s="312"/>
    </row>
    <row r="512" ht="15.75" customHeight="1">
      <c r="A512" s="318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  <c r="AP512" s="312"/>
      <c r="AQ512" s="312"/>
      <c r="AR512" s="312"/>
      <c r="AS512" s="312"/>
      <c r="AT512" s="312"/>
    </row>
    <row r="513" ht="15.75" customHeight="1">
      <c r="A513" s="318"/>
      <c r="B513" s="312"/>
      <c r="C513" s="312"/>
      <c r="D513" s="312"/>
      <c r="E513" s="312"/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  <c r="AP513" s="312"/>
      <c r="AQ513" s="312"/>
      <c r="AR513" s="312"/>
      <c r="AS513" s="312"/>
      <c r="AT513" s="312"/>
    </row>
    <row r="514" ht="15.75" customHeight="1">
      <c r="A514" s="318"/>
      <c r="B514" s="312"/>
      <c r="C514" s="312"/>
      <c r="D514" s="312"/>
      <c r="E514" s="312"/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  <c r="AP514" s="312"/>
      <c r="AQ514" s="312"/>
      <c r="AR514" s="312"/>
      <c r="AS514" s="312"/>
      <c r="AT514" s="312"/>
    </row>
    <row r="515" ht="15.75" customHeight="1">
      <c r="A515" s="318"/>
      <c r="B515" s="312"/>
      <c r="C515" s="312"/>
      <c r="D515" s="312"/>
      <c r="E515" s="312"/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  <c r="AP515" s="312"/>
      <c r="AQ515" s="312"/>
      <c r="AR515" s="312"/>
      <c r="AS515" s="312"/>
      <c r="AT515" s="312"/>
    </row>
    <row r="516" ht="15.75" customHeight="1">
      <c r="A516" s="318"/>
      <c r="B516" s="312"/>
      <c r="C516" s="312"/>
      <c r="D516" s="312"/>
      <c r="E516" s="312"/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  <c r="AP516" s="312"/>
      <c r="AQ516" s="312"/>
      <c r="AR516" s="312"/>
      <c r="AS516" s="312"/>
      <c r="AT516" s="312"/>
    </row>
    <row r="517" ht="15.75" customHeight="1">
      <c r="A517" s="318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  <c r="AP517" s="312"/>
      <c r="AQ517" s="312"/>
      <c r="AR517" s="312"/>
      <c r="AS517" s="312"/>
      <c r="AT517" s="312"/>
    </row>
    <row r="518" ht="15.75" customHeight="1">
      <c r="A518" s="318"/>
      <c r="B518" s="312"/>
      <c r="C518" s="312"/>
      <c r="D518" s="312"/>
      <c r="E518" s="312"/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  <c r="AP518" s="312"/>
      <c r="AQ518" s="312"/>
      <c r="AR518" s="312"/>
      <c r="AS518" s="312"/>
      <c r="AT518" s="312"/>
    </row>
    <row r="519" ht="15.75" customHeight="1">
      <c r="A519" s="318"/>
      <c r="B519" s="312"/>
      <c r="C519" s="312"/>
      <c r="D519" s="312"/>
      <c r="E519" s="312"/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  <c r="AP519" s="312"/>
      <c r="AQ519" s="312"/>
      <c r="AR519" s="312"/>
      <c r="AS519" s="312"/>
      <c r="AT519" s="312"/>
    </row>
    <row r="520" ht="15.75" customHeight="1">
      <c r="A520" s="318"/>
      <c r="B520" s="312"/>
      <c r="C520" s="312"/>
      <c r="D520" s="312"/>
      <c r="E520" s="312"/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  <c r="AP520" s="312"/>
      <c r="AQ520" s="312"/>
      <c r="AR520" s="312"/>
      <c r="AS520" s="312"/>
      <c r="AT520" s="312"/>
    </row>
    <row r="521" ht="15.75" customHeight="1">
      <c r="A521" s="318"/>
      <c r="B521" s="312"/>
      <c r="C521" s="312"/>
      <c r="D521" s="312"/>
      <c r="E521" s="312"/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  <c r="AP521" s="312"/>
      <c r="AQ521" s="312"/>
      <c r="AR521" s="312"/>
      <c r="AS521" s="312"/>
      <c r="AT521" s="312"/>
    </row>
    <row r="522" ht="15.75" customHeight="1">
      <c r="A522" s="318"/>
      <c r="B522" s="312"/>
      <c r="C522" s="312"/>
      <c r="D522" s="312"/>
      <c r="E522" s="312"/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  <c r="AP522" s="312"/>
      <c r="AQ522" s="312"/>
      <c r="AR522" s="312"/>
      <c r="AS522" s="312"/>
      <c r="AT522" s="312"/>
    </row>
    <row r="523" ht="15.75" customHeight="1">
      <c r="A523" s="318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  <c r="AP523" s="312"/>
      <c r="AQ523" s="312"/>
      <c r="AR523" s="312"/>
      <c r="AS523" s="312"/>
      <c r="AT523" s="312"/>
    </row>
    <row r="524" ht="15.75" customHeight="1">
      <c r="A524" s="318"/>
      <c r="B524" s="312"/>
      <c r="C524" s="312"/>
      <c r="D524" s="312"/>
      <c r="E524" s="312"/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  <c r="AP524" s="312"/>
      <c r="AQ524" s="312"/>
      <c r="AR524" s="312"/>
      <c r="AS524" s="312"/>
      <c r="AT524" s="312"/>
    </row>
    <row r="525" ht="15.75" customHeight="1">
      <c r="A525" s="318"/>
      <c r="B525" s="312"/>
      <c r="C525" s="312"/>
      <c r="D525" s="312"/>
      <c r="E525" s="312"/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  <c r="AP525" s="312"/>
      <c r="AQ525" s="312"/>
      <c r="AR525" s="312"/>
      <c r="AS525" s="312"/>
      <c r="AT525" s="312"/>
    </row>
    <row r="526" ht="15.75" customHeight="1">
      <c r="A526" s="318"/>
      <c r="B526" s="312"/>
      <c r="C526" s="312"/>
      <c r="D526" s="312"/>
      <c r="E526" s="312"/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  <c r="AP526" s="312"/>
      <c r="AQ526" s="312"/>
      <c r="AR526" s="312"/>
      <c r="AS526" s="312"/>
      <c r="AT526" s="312"/>
    </row>
    <row r="527" ht="15.75" customHeight="1">
      <c r="A527" s="318"/>
      <c r="B527" s="312"/>
      <c r="C527" s="312"/>
      <c r="D527" s="312"/>
      <c r="E527" s="312"/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  <c r="AP527" s="312"/>
      <c r="AQ527" s="312"/>
      <c r="AR527" s="312"/>
      <c r="AS527" s="312"/>
      <c r="AT527" s="312"/>
    </row>
    <row r="528" ht="15.75" customHeight="1">
      <c r="A528" s="318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  <c r="AP528" s="312"/>
      <c r="AQ528" s="312"/>
      <c r="AR528" s="312"/>
      <c r="AS528" s="312"/>
      <c r="AT528" s="312"/>
    </row>
    <row r="529" ht="15.75" customHeight="1">
      <c r="A529" s="318"/>
      <c r="B529" s="312"/>
      <c r="C529" s="312"/>
      <c r="D529" s="312"/>
      <c r="E529" s="312"/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  <c r="AP529" s="312"/>
      <c r="AQ529" s="312"/>
      <c r="AR529" s="312"/>
      <c r="AS529" s="312"/>
      <c r="AT529" s="312"/>
    </row>
    <row r="530" ht="15.75" customHeight="1">
      <c r="A530" s="318"/>
      <c r="B530" s="312"/>
      <c r="C530" s="312"/>
      <c r="D530" s="312"/>
      <c r="E530" s="312"/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  <c r="AP530" s="312"/>
      <c r="AQ530" s="312"/>
      <c r="AR530" s="312"/>
      <c r="AS530" s="312"/>
      <c r="AT530" s="312"/>
    </row>
    <row r="531" ht="15.75" customHeight="1">
      <c r="A531" s="318"/>
      <c r="B531" s="312"/>
      <c r="C531" s="312"/>
      <c r="D531" s="312"/>
      <c r="E531" s="312"/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  <c r="AP531" s="312"/>
      <c r="AQ531" s="312"/>
      <c r="AR531" s="312"/>
      <c r="AS531" s="312"/>
      <c r="AT531" s="312"/>
    </row>
    <row r="532" ht="15.75" customHeight="1">
      <c r="A532" s="318"/>
      <c r="B532" s="312"/>
      <c r="C532" s="312"/>
      <c r="D532" s="312"/>
      <c r="E532" s="312"/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  <c r="AP532" s="312"/>
      <c r="AQ532" s="312"/>
      <c r="AR532" s="312"/>
      <c r="AS532" s="312"/>
      <c r="AT532" s="312"/>
    </row>
    <row r="533" ht="15.75" customHeight="1">
      <c r="A533" s="318"/>
      <c r="B533" s="312"/>
      <c r="C533" s="312"/>
      <c r="D533" s="312"/>
      <c r="E533" s="312"/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  <c r="AP533" s="312"/>
      <c r="AQ533" s="312"/>
      <c r="AR533" s="312"/>
      <c r="AS533" s="312"/>
      <c r="AT533" s="312"/>
    </row>
    <row r="534" ht="15.75" customHeight="1">
      <c r="A534" s="318"/>
      <c r="B534" s="312"/>
      <c r="C534" s="312"/>
      <c r="D534" s="312"/>
      <c r="E534" s="312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  <c r="AP534" s="312"/>
      <c r="AQ534" s="312"/>
      <c r="AR534" s="312"/>
      <c r="AS534" s="312"/>
      <c r="AT534" s="312"/>
    </row>
    <row r="535" ht="15.75" customHeight="1">
      <c r="A535" s="318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  <c r="AP535" s="312"/>
      <c r="AQ535" s="312"/>
      <c r="AR535" s="312"/>
      <c r="AS535" s="312"/>
      <c r="AT535" s="312"/>
    </row>
    <row r="536" ht="15.75" customHeight="1">
      <c r="A536" s="318"/>
      <c r="B536" s="312"/>
      <c r="C536" s="312"/>
      <c r="D536" s="312"/>
      <c r="E536" s="312"/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  <c r="AP536" s="312"/>
      <c r="AQ536" s="312"/>
      <c r="AR536" s="312"/>
      <c r="AS536" s="312"/>
      <c r="AT536" s="312"/>
    </row>
    <row r="537" ht="15.75" customHeight="1">
      <c r="A537" s="318"/>
      <c r="B537" s="312"/>
      <c r="C537" s="312"/>
      <c r="D537" s="312"/>
      <c r="E537" s="312"/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  <c r="AP537" s="312"/>
      <c r="AQ537" s="312"/>
      <c r="AR537" s="312"/>
      <c r="AS537" s="312"/>
      <c r="AT537" s="312"/>
    </row>
    <row r="538" ht="15.75" customHeight="1">
      <c r="A538" s="318"/>
      <c r="B538" s="312"/>
      <c r="C538" s="312"/>
      <c r="D538" s="312"/>
      <c r="E538" s="312"/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  <c r="AP538" s="312"/>
      <c r="AQ538" s="312"/>
      <c r="AR538" s="312"/>
      <c r="AS538" s="312"/>
      <c r="AT538" s="312"/>
    </row>
    <row r="539" ht="15.75" customHeight="1">
      <c r="A539" s="318"/>
      <c r="B539" s="312"/>
      <c r="C539" s="312"/>
      <c r="D539" s="312"/>
      <c r="E539" s="312"/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  <c r="AP539" s="312"/>
      <c r="AQ539" s="312"/>
      <c r="AR539" s="312"/>
      <c r="AS539" s="312"/>
      <c r="AT539" s="312"/>
    </row>
    <row r="540" ht="15.75" customHeight="1">
      <c r="A540" s="318"/>
      <c r="B540" s="312"/>
      <c r="C540" s="312"/>
      <c r="D540" s="312"/>
      <c r="E540" s="312"/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  <c r="AP540" s="312"/>
      <c r="AQ540" s="312"/>
      <c r="AR540" s="312"/>
      <c r="AS540" s="312"/>
      <c r="AT540" s="312"/>
    </row>
    <row r="541" ht="15.75" customHeight="1">
      <c r="A541" s="318"/>
      <c r="B541" s="312"/>
      <c r="C541" s="312"/>
      <c r="D541" s="312"/>
      <c r="E541" s="312"/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  <c r="AP541" s="312"/>
      <c r="AQ541" s="312"/>
      <c r="AR541" s="312"/>
      <c r="AS541" s="312"/>
      <c r="AT541" s="312"/>
    </row>
    <row r="542" ht="15.75" customHeight="1">
      <c r="A542" s="318"/>
      <c r="B542" s="312"/>
      <c r="C542" s="312"/>
      <c r="D542" s="312"/>
      <c r="E542" s="312"/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  <c r="AP542" s="312"/>
      <c r="AQ542" s="312"/>
      <c r="AR542" s="312"/>
      <c r="AS542" s="312"/>
      <c r="AT542" s="312"/>
    </row>
    <row r="543" ht="15.75" customHeight="1">
      <c r="A543" s="318"/>
      <c r="B543" s="312"/>
      <c r="C543" s="312"/>
      <c r="D543" s="312"/>
      <c r="E543" s="312"/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  <c r="AP543" s="312"/>
      <c r="AQ543" s="312"/>
      <c r="AR543" s="312"/>
      <c r="AS543" s="312"/>
      <c r="AT543" s="312"/>
    </row>
    <row r="544" ht="15.75" customHeight="1">
      <c r="A544" s="318"/>
      <c r="B544" s="312"/>
      <c r="C544" s="312"/>
      <c r="D544" s="312"/>
      <c r="E544" s="312"/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  <c r="AP544" s="312"/>
      <c r="AQ544" s="312"/>
      <c r="AR544" s="312"/>
      <c r="AS544" s="312"/>
      <c r="AT544" s="312"/>
    </row>
    <row r="545" ht="15.75" customHeight="1">
      <c r="A545" s="318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  <c r="AP545" s="312"/>
      <c r="AQ545" s="312"/>
      <c r="AR545" s="312"/>
      <c r="AS545" s="312"/>
      <c r="AT545" s="312"/>
    </row>
    <row r="546" ht="15.75" customHeight="1">
      <c r="A546" s="318"/>
      <c r="B546" s="312"/>
      <c r="C546" s="312"/>
      <c r="D546" s="312"/>
      <c r="E546" s="312"/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  <c r="AP546" s="312"/>
      <c r="AQ546" s="312"/>
      <c r="AR546" s="312"/>
      <c r="AS546" s="312"/>
      <c r="AT546" s="312"/>
    </row>
    <row r="547" ht="15.75" customHeight="1">
      <c r="A547" s="318"/>
      <c r="B547" s="312"/>
      <c r="C547" s="312"/>
      <c r="D547" s="312"/>
      <c r="E547" s="312"/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  <c r="AP547" s="312"/>
      <c r="AQ547" s="312"/>
      <c r="AR547" s="312"/>
      <c r="AS547" s="312"/>
      <c r="AT547" s="312"/>
    </row>
    <row r="548" ht="15.75" customHeight="1">
      <c r="A548" s="318"/>
      <c r="B548" s="312"/>
      <c r="C548" s="312"/>
      <c r="D548" s="312"/>
      <c r="E548" s="312"/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  <c r="AP548" s="312"/>
      <c r="AQ548" s="312"/>
      <c r="AR548" s="312"/>
      <c r="AS548" s="312"/>
      <c r="AT548" s="312"/>
    </row>
    <row r="549" ht="15.75" customHeight="1">
      <c r="A549" s="318"/>
      <c r="B549" s="312"/>
      <c r="C549" s="312"/>
      <c r="D549" s="312"/>
      <c r="E549" s="312"/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  <c r="AP549" s="312"/>
      <c r="AQ549" s="312"/>
      <c r="AR549" s="312"/>
      <c r="AS549" s="312"/>
      <c r="AT549" s="312"/>
    </row>
    <row r="550" ht="15.75" customHeight="1">
      <c r="A550" s="318"/>
      <c r="B550" s="312"/>
      <c r="C550" s="312"/>
      <c r="D550" s="312"/>
      <c r="E550" s="312"/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  <c r="AP550" s="312"/>
      <c r="AQ550" s="312"/>
      <c r="AR550" s="312"/>
      <c r="AS550" s="312"/>
      <c r="AT550" s="312"/>
    </row>
    <row r="551" ht="15.75" customHeight="1">
      <c r="A551" s="318"/>
      <c r="B551" s="312"/>
      <c r="C551" s="312"/>
      <c r="D551" s="312"/>
      <c r="E551" s="312"/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  <c r="AP551" s="312"/>
      <c r="AQ551" s="312"/>
      <c r="AR551" s="312"/>
      <c r="AS551" s="312"/>
      <c r="AT551" s="312"/>
    </row>
    <row r="552" ht="15.75" customHeight="1">
      <c r="A552" s="318"/>
      <c r="B552" s="312"/>
      <c r="C552" s="312"/>
      <c r="D552" s="312"/>
      <c r="E552" s="312"/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  <c r="AP552" s="312"/>
      <c r="AQ552" s="312"/>
      <c r="AR552" s="312"/>
      <c r="AS552" s="312"/>
      <c r="AT552" s="312"/>
    </row>
    <row r="553" ht="15.75" customHeight="1">
      <c r="A553" s="318"/>
      <c r="B553" s="312"/>
      <c r="C553" s="312"/>
      <c r="D553" s="312"/>
      <c r="E553" s="312"/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  <c r="AP553" s="312"/>
      <c r="AQ553" s="312"/>
      <c r="AR553" s="312"/>
      <c r="AS553" s="312"/>
      <c r="AT553" s="312"/>
    </row>
    <row r="554" ht="15.75" customHeight="1">
      <c r="A554" s="318"/>
      <c r="B554" s="312"/>
      <c r="C554" s="312"/>
      <c r="D554" s="312"/>
      <c r="E554" s="312"/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  <c r="AP554" s="312"/>
      <c r="AQ554" s="312"/>
      <c r="AR554" s="312"/>
      <c r="AS554" s="312"/>
      <c r="AT554" s="312"/>
    </row>
    <row r="555" ht="15.75" customHeight="1">
      <c r="A555" s="318"/>
      <c r="B555" s="312"/>
      <c r="C555" s="312"/>
      <c r="D555" s="312"/>
      <c r="E555" s="312"/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  <c r="AP555" s="312"/>
      <c r="AQ555" s="312"/>
      <c r="AR555" s="312"/>
      <c r="AS555" s="312"/>
      <c r="AT555" s="312"/>
    </row>
    <row r="556" ht="15.75" customHeight="1">
      <c r="A556" s="318"/>
      <c r="B556" s="312"/>
      <c r="C556" s="312"/>
      <c r="D556" s="312"/>
      <c r="E556" s="312"/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  <c r="AP556" s="312"/>
      <c r="AQ556" s="312"/>
      <c r="AR556" s="312"/>
      <c r="AS556" s="312"/>
      <c r="AT556" s="312"/>
    </row>
    <row r="557" ht="15.75" customHeight="1">
      <c r="A557" s="318"/>
      <c r="B557" s="312"/>
      <c r="C557" s="312"/>
      <c r="D557" s="312"/>
      <c r="E557" s="312"/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  <c r="AP557" s="312"/>
      <c r="AQ557" s="312"/>
      <c r="AR557" s="312"/>
      <c r="AS557" s="312"/>
      <c r="AT557" s="312"/>
    </row>
    <row r="558" ht="15.75" customHeight="1">
      <c r="A558" s="318"/>
      <c r="B558" s="312"/>
      <c r="C558" s="312"/>
      <c r="D558" s="312"/>
      <c r="E558" s="312"/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  <c r="AP558" s="312"/>
      <c r="AQ558" s="312"/>
      <c r="AR558" s="312"/>
      <c r="AS558" s="312"/>
      <c r="AT558" s="312"/>
    </row>
    <row r="559" ht="15.75" customHeight="1">
      <c r="A559" s="318"/>
      <c r="B559" s="312"/>
      <c r="C559" s="312"/>
      <c r="D559" s="312"/>
      <c r="E559" s="312"/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  <c r="AP559" s="312"/>
      <c r="AQ559" s="312"/>
      <c r="AR559" s="312"/>
      <c r="AS559" s="312"/>
      <c r="AT559" s="312"/>
    </row>
    <row r="560" ht="15.75" customHeight="1">
      <c r="A560" s="318"/>
      <c r="B560" s="312"/>
      <c r="C560" s="312"/>
      <c r="D560" s="312"/>
      <c r="E560" s="312"/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  <c r="AP560" s="312"/>
      <c r="AQ560" s="312"/>
      <c r="AR560" s="312"/>
      <c r="AS560" s="312"/>
      <c r="AT560" s="312"/>
    </row>
    <row r="561" ht="15.75" customHeight="1">
      <c r="A561" s="318"/>
      <c r="B561" s="312"/>
      <c r="C561" s="312"/>
      <c r="D561" s="312"/>
      <c r="E561" s="312"/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  <c r="AP561" s="312"/>
      <c r="AQ561" s="312"/>
      <c r="AR561" s="312"/>
      <c r="AS561" s="312"/>
      <c r="AT561" s="312"/>
    </row>
    <row r="562" ht="15.75" customHeight="1">
      <c r="A562" s="318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  <c r="AP562" s="312"/>
      <c r="AQ562" s="312"/>
      <c r="AR562" s="312"/>
      <c r="AS562" s="312"/>
      <c r="AT562" s="312"/>
    </row>
    <row r="563" ht="15.75" customHeight="1">
      <c r="A563" s="318"/>
      <c r="B563" s="312"/>
      <c r="C563" s="312"/>
      <c r="D563" s="312"/>
      <c r="E563" s="312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  <c r="AP563" s="312"/>
      <c r="AQ563" s="312"/>
      <c r="AR563" s="312"/>
      <c r="AS563" s="312"/>
      <c r="AT563" s="312"/>
    </row>
    <row r="564" ht="15.75" customHeight="1">
      <c r="A564" s="318"/>
      <c r="B564" s="312"/>
      <c r="C564" s="312"/>
      <c r="D564" s="312"/>
      <c r="E564" s="312"/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  <c r="AP564" s="312"/>
      <c r="AQ564" s="312"/>
      <c r="AR564" s="312"/>
      <c r="AS564" s="312"/>
      <c r="AT564" s="312"/>
    </row>
    <row r="565" ht="15.75" customHeight="1">
      <c r="A565" s="318"/>
      <c r="B565" s="312"/>
      <c r="C565" s="312"/>
      <c r="D565" s="312"/>
      <c r="E565" s="312"/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  <c r="AP565" s="312"/>
      <c r="AQ565" s="312"/>
      <c r="AR565" s="312"/>
      <c r="AS565" s="312"/>
      <c r="AT565" s="312"/>
    </row>
    <row r="566" ht="15.75" customHeight="1">
      <c r="A566" s="318"/>
      <c r="B566" s="312"/>
      <c r="C566" s="312"/>
      <c r="D566" s="312"/>
      <c r="E566" s="312"/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  <c r="AP566" s="312"/>
      <c r="AQ566" s="312"/>
      <c r="AR566" s="312"/>
      <c r="AS566" s="312"/>
      <c r="AT566" s="312"/>
    </row>
    <row r="567" ht="15.75" customHeight="1">
      <c r="A567" s="318"/>
      <c r="B567" s="312"/>
      <c r="C567" s="312"/>
      <c r="D567" s="312"/>
      <c r="E567" s="312"/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  <c r="AP567" s="312"/>
      <c r="AQ567" s="312"/>
      <c r="AR567" s="312"/>
      <c r="AS567" s="312"/>
      <c r="AT567" s="312"/>
    </row>
    <row r="568" ht="15.75" customHeight="1">
      <c r="A568" s="318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  <c r="AP568" s="312"/>
      <c r="AQ568" s="312"/>
      <c r="AR568" s="312"/>
      <c r="AS568" s="312"/>
      <c r="AT568" s="312"/>
    </row>
    <row r="569" ht="15.75" customHeight="1">
      <c r="A569" s="318"/>
      <c r="B569" s="312"/>
      <c r="C569" s="312"/>
      <c r="D569" s="312"/>
      <c r="E569" s="312"/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  <c r="AP569" s="312"/>
      <c r="AQ569" s="312"/>
      <c r="AR569" s="312"/>
      <c r="AS569" s="312"/>
      <c r="AT569" s="312"/>
    </row>
    <row r="570" ht="15.75" customHeight="1">
      <c r="A570" s="318"/>
      <c r="B570" s="312"/>
      <c r="C570" s="312"/>
      <c r="D570" s="312"/>
      <c r="E570" s="312"/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  <c r="AP570" s="312"/>
      <c r="AQ570" s="312"/>
      <c r="AR570" s="312"/>
      <c r="AS570" s="312"/>
      <c r="AT570" s="312"/>
    </row>
    <row r="571" ht="15.75" customHeight="1">
      <c r="A571" s="318"/>
      <c r="B571" s="312"/>
      <c r="C571" s="312"/>
      <c r="D571" s="312"/>
      <c r="E571" s="312"/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  <c r="AP571" s="312"/>
      <c r="AQ571" s="312"/>
      <c r="AR571" s="312"/>
      <c r="AS571" s="312"/>
      <c r="AT571" s="312"/>
    </row>
    <row r="572" ht="15.75" customHeight="1">
      <c r="A572" s="318"/>
      <c r="B572" s="312"/>
      <c r="C572" s="312"/>
      <c r="D572" s="312"/>
      <c r="E572" s="312"/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  <c r="AP572" s="312"/>
      <c r="AQ572" s="312"/>
      <c r="AR572" s="312"/>
      <c r="AS572" s="312"/>
      <c r="AT572" s="312"/>
    </row>
    <row r="573" ht="15.75" customHeight="1">
      <c r="A573" s="318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  <c r="AP573" s="312"/>
      <c r="AQ573" s="312"/>
      <c r="AR573" s="312"/>
      <c r="AS573" s="312"/>
      <c r="AT573" s="312"/>
    </row>
    <row r="574" ht="15.75" customHeight="1">
      <c r="A574" s="318"/>
      <c r="B574" s="312"/>
      <c r="C574" s="312"/>
      <c r="D574" s="312"/>
      <c r="E574" s="312"/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  <c r="AP574" s="312"/>
      <c r="AQ574" s="312"/>
      <c r="AR574" s="312"/>
      <c r="AS574" s="312"/>
      <c r="AT574" s="312"/>
    </row>
    <row r="575" ht="15.75" customHeight="1">
      <c r="A575" s="318"/>
      <c r="B575" s="312"/>
      <c r="C575" s="312"/>
      <c r="D575" s="312"/>
      <c r="E575" s="312"/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  <c r="AP575" s="312"/>
      <c r="AQ575" s="312"/>
      <c r="AR575" s="312"/>
      <c r="AS575" s="312"/>
      <c r="AT575" s="312"/>
    </row>
    <row r="576" ht="15.75" customHeight="1">
      <c r="A576" s="318"/>
      <c r="B576" s="312"/>
      <c r="C576" s="312"/>
      <c r="D576" s="312"/>
      <c r="E576" s="312"/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  <c r="AP576" s="312"/>
      <c r="AQ576" s="312"/>
      <c r="AR576" s="312"/>
      <c r="AS576" s="312"/>
      <c r="AT576" s="312"/>
    </row>
    <row r="577" ht="15.75" customHeight="1">
      <c r="A577" s="318"/>
      <c r="B577" s="312"/>
      <c r="C577" s="312"/>
      <c r="D577" s="312"/>
      <c r="E577" s="312"/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  <c r="AP577" s="312"/>
      <c r="AQ577" s="312"/>
      <c r="AR577" s="312"/>
      <c r="AS577" s="312"/>
      <c r="AT577" s="312"/>
    </row>
    <row r="578" ht="15.75" customHeight="1">
      <c r="A578" s="318"/>
      <c r="B578" s="312"/>
      <c r="C578" s="312"/>
      <c r="D578" s="312"/>
      <c r="E578" s="312"/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  <c r="AP578" s="312"/>
      <c r="AQ578" s="312"/>
      <c r="AR578" s="312"/>
      <c r="AS578" s="312"/>
      <c r="AT578" s="312"/>
    </row>
    <row r="579" ht="15.75" customHeight="1">
      <c r="A579" s="318"/>
      <c r="B579" s="312"/>
      <c r="C579" s="312"/>
      <c r="D579" s="312"/>
      <c r="E579" s="312"/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  <c r="AP579" s="312"/>
      <c r="AQ579" s="312"/>
      <c r="AR579" s="312"/>
      <c r="AS579" s="312"/>
      <c r="AT579" s="312"/>
    </row>
    <row r="580" ht="15.75" customHeight="1">
      <c r="A580" s="318"/>
      <c r="B580" s="312"/>
      <c r="C580" s="312"/>
      <c r="D580" s="312"/>
      <c r="E580" s="312"/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  <c r="AP580" s="312"/>
      <c r="AQ580" s="312"/>
      <c r="AR580" s="312"/>
      <c r="AS580" s="312"/>
      <c r="AT580" s="312"/>
    </row>
    <row r="581" ht="15.75" customHeight="1">
      <c r="A581" s="318"/>
      <c r="B581" s="312"/>
      <c r="C581" s="312"/>
      <c r="D581" s="312"/>
      <c r="E581" s="312"/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  <c r="AP581" s="312"/>
      <c r="AQ581" s="312"/>
      <c r="AR581" s="312"/>
      <c r="AS581" s="312"/>
      <c r="AT581" s="312"/>
    </row>
    <row r="582" ht="15.75" customHeight="1">
      <c r="A582" s="318"/>
      <c r="B582" s="312"/>
      <c r="C582" s="312"/>
      <c r="D582" s="312"/>
      <c r="E582" s="312"/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  <c r="AP582" s="312"/>
      <c r="AQ582" s="312"/>
      <c r="AR582" s="312"/>
      <c r="AS582" s="312"/>
      <c r="AT582" s="312"/>
    </row>
    <row r="583" ht="15.75" customHeight="1">
      <c r="A583" s="318"/>
      <c r="B583" s="312"/>
      <c r="C583" s="312"/>
      <c r="D583" s="312"/>
      <c r="E583" s="312"/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  <c r="AP583" s="312"/>
      <c r="AQ583" s="312"/>
      <c r="AR583" s="312"/>
      <c r="AS583" s="312"/>
      <c r="AT583" s="312"/>
    </row>
    <row r="584" ht="15.75" customHeight="1">
      <c r="A584" s="318"/>
      <c r="B584" s="312"/>
      <c r="C584" s="312"/>
      <c r="D584" s="312"/>
      <c r="E584" s="312"/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  <c r="AP584" s="312"/>
      <c r="AQ584" s="312"/>
      <c r="AR584" s="312"/>
      <c r="AS584" s="312"/>
      <c r="AT584" s="312"/>
    </row>
    <row r="585" ht="15.75" customHeight="1">
      <c r="A585" s="318"/>
      <c r="B585" s="312"/>
      <c r="C585" s="312"/>
      <c r="D585" s="312"/>
      <c r="E585" s="312"/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  <c r="AP585" s="312"/>
      <c r="AQ585" s="312"/>
      <c r="AR585" s="312"/>
      <c r="AS585" s="312"/>
      <c r="AT585" s="312"/>
    </row>
    <row r="586" ht="15.75" customHeight="1">
      <c r="A586" s="318"/>
      <c r="B586" s="312"/>
      <c r="C586" s="312"/>
      <c r="D586" s="312"/>
      <c r="E586" s="312"/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  <c r="AP586" s="312"/>
      <c r="AQ586" s="312"/>
      <c r="AR586" s="312"/>
      <c r="AS586" s="312"/>
      <c r="AT586" s="312"/>
    </row>
    <row r="587" ht="15.75" customHeight="1">
      <c r="A587" s="318"/>
      <c r="B587" s="312"/>
      <c r="C587" s="312"/>
      <c r="D587" s="312"/>
      <c r="E587" s="312"/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  <c r="AP587" s="312"/>
      <c r="AQ587" s="312"/>
      <c r="AR587" s="312"/>
      <c r="AS587" s="312"/>
      <c r="AT587" s="312"/>
    </row>
    <row r="588" ht="15.75" customHeight="1">
      <c r="A588" s="318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  <c r="AP588" s="312"/>
      <c r="AQ588" s="312"/>
      <c r="AR588" s="312"/>
      <c r="AS588" s="312"/>
      <c r="AT588" s="312"/>
    </row>
    <row r="589" ht="15.75" customHeight="1">
      <c r="A589" s="318"/>
      <c r="B589" s="312"/>
      <c r="C589" s="312"/>
      <c r="D589" s="312"/>
      <c r="E589" s="312"/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  <c r="AP589" s="312"/>
      <c r="AQ589" s="312"/>
      <c r="AR589" s="312"/>
      <c r="AS589" s="312"/>
      <c r="AT589" s="312"/>
    </row>
    <row r="590" ht="15.75" customHeight="1">
      <c r="A590" s="318"/>
      <c r="B590" s="312"/>
      <c r="C590" s="312"/>
      <c r="D590" s="312"/>
      <c r="E590" s="312"/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  <c r="AP590" s="312"/>
      <c r="AQ590" s="312"/>
      <c r="AR590" s="312"/>
      <c r="AS590" s="312"/>
      <c r="AT590" s="312"/>
    </row>
    <row r="591" ht="15.75" customHeight="1">
      <c r="A591" s="318"/>
      <c r="B591" s="312"/>
      <c r="C591" s="312"/>
      <c r="D591" s="312"/>
      <c r="E591" s="312"/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  <c r="AP591" s="312"/>
      <c r="AQ591" s="312"/>
      <c r="AR591" s="312"/>
      <c r="AS591" s="312"/>
      <c r="AT591" s="312"/>
    </row>
    <row r="592" ht="15.75" customHeight="1">
      <c r="A592" s="318"/>
      <c r="B592" s="312"/>
      <c r="C592" s="312"/>
      <c r="D592" s="312"/>
      <c r="E592" s="312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  <c r="AP592" s="312"/>
      <c r="AQ592" s="312"/>
      <c r="AR592" s="312"/>
      <c r="AS592" s="312"/>
      <c r="AT592" s="312"/>
    </row>
    <row r="593" ht="15.75" customHeight="1">
      <c r="A593" s="318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  <c r="AP593" s="312"/>
      <c r="AQ593" s="312"/>
      <c r="AR593" s="312"/>
      <c r="AS593" s="312"/>
      <c r="AT593" s="312"/>
    </row>
    <row r="594" ht="15.75" customHeight="1">
      <c r="A594" s="318"/>
      <c r="B594" s="312"/>
      <c r="C594" s="312"/>
      <c r="D594" s="312"/>
      <c r="E594" s="312"/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  <c r="AP594" s="312"/>
      <c r="AQ594" s="312"/>
      <c r="AR594" s="312"/>
      <c r="AS594" s="312"/>
      <c r="AT594" s="312"/>
    </row>
    <row r="595" ht="15.75" customHeight="1">
      <c r="A595" s="318"/>
      <c r="B595" s="312"/>
      <c r="C595" s="312"/>
      <c r="D595" s="312"/>
      <c r="E595" s="312"/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  <c r="AP595" s="312"/>
      <c r="AQ595" s="312"/>
      <c r="AR595" s="312"/>
      <c r="AS595" s="312"/>
      <c r="AT595" s="312"/>
    </row>
    <row r="596" ht="15.75" customHeight="1">
      <c r="A596" s="318"/>
      <c r="B596" s="312"/>
      <c r="C596" s="312"/>
      <c r="D596" s="312"/>
      <c r="E596" s="312"/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  <c r="AP596" s="312"/>
      <c r="AQ596" s="312"/>
      <c r="AR596" s="312"/>
      <c r="AS596" s="312"/>
      <c r="AT596" s="312"/>
    </row>
    <row r="597" ht="15.75" customHeight="1">
      <c r="A597" s="318"/>
      <c r="B597" s="312"/>
      <c r="C597" s="312"/>
      <c r="D597" s="312"/>
      <c r="E597" s="312"/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  <c r="AP597" s="312"/>
      <c r="AQ597" s="312"/>
      <c r="AR597" s="312"/>
      <c r="AS597" s="312"/>
      <c r="AT597" s="312"/>
    </row>
    <row r="598" ht="15.75" customHeight="1">
      <c r="A598" s="318"/>
      <c r="B598" s="312"/>
      <c r="C598" s="312"/>
      <c r="D598" s="312"/>
      <c r="E598" s="312"/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  <c r="AP598" s="312"/>
      <c r="AQ598" s="312"/>
      <c r="AR598" s="312"/>
      <c r="AS598" s="312"/>
      <c r="AT598" s="312"/>
    </row>
    <row r="599" ht="15.75" customHeight="1">
      <c r="A599" s="318"/>
      <c r="B599" s="312"/>
      <c r="C599" s="312"/>
      <c r="D599" s="312"/>
      <c r="E599" s="312"/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  <c r="AP599" s="312"/>
      <c r="AQ599" s="312"/>
      <c r="AR599" s="312"/>
      <c r="AS599" s="312"/>
      <c r="AT599" s="312"/>
    </row>
    <row r="600" ht="15.75" customHeight="1">
      <c r="A600" s="318"/>
      <c r="B600" s="312"/>
      <c r="C600" s="312"/>
      <c r="D600" s="312"/>
      <c r="E600" s="312"/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  <c r="AP600" s="312"/>
      <c r="AQ600" s="312"/>
      <c r="AR600" s="312"/>
      <c r="AS600" s="312"/>
      <c r="AT600" s="312"/>
    </row>
    <row r="601" ht="15.75" customHeight="1">
      <c r="A601" s="318"/>
      <c r="B601" s="312"/>
      <c r="C601" s="312"/>
      <c r="D601" s="312"/>
      <c r="E601" s="312"/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  <c r="AP601" s="312"/>
      <c r="AQ601" s="312"/>
      <c r="AR601" s="312"/>
      <c r="AS601" s="312"/>
      <c r="AT601" s="312"/>
    </row>
    <row r="602" ht="15.75" customHeight="1">
      <c r="A602" s="318"/>
      <c r="B602" s="312"/>
      <c r="C602" s="312"/>
      <c r="D602" s="312"/>
      <c r="E602" s="312"/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  <c r="AP602" s="312"/>
      <c r="AQ602" s="312"/>
      <c r="AR602" s="312"/>
      <c r="AS602" s="312"/>
      <c r="AT602" s="312"/>
    </row>
    <row r="603" ht="15.75" customHeight="1">
      <c r="A603" s="318"/>
      <c r="B603" s="312"/>
      <c r="C603" s="312"/>
      <c r="D603" s="312"/>
      <c r="E603" s="312"/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  <c r="AP603" s="312"/>
      <c r="AQ603" s="312"/>
      <c r="AR603" s="312"/>
      <c r="AS603" s="312"/>
      <c r="AT603" s="312"/>
    </row>
    <row r="604" ht="15.75" customHeight="1">
      <c r="A604" s="318"/>
      <c r="B604" s="312"/>
      <c r="C604" s="312"/>
      <c r="D604" s="312"/>
      <c r="E604" s="312"/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  <c r="AP604" s="312"/>
      <c r="AQ604" s="312"/>
      <c r="AR604" s="312"/>
      <c r="AS604" s="312"/>
      <c r="AT604" s="312"/>
    </row>
    <row r="605" ht="15.75" customHeight="1">
      <c r="A605" s="318"/>
      <c r="B605" s="312"/>
      <c r="C605" s="312"/>
      <c r="D605" s="312"/>
      <c r="E605" s="312"/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  <c r="AP605" s="312"/>
      <c r="AQ605" s="312"/>
      <c r="AR605" s="312"/>
      <c r="AS605" s="312"/>
      <c r="AT605" s="312"/>
    </row>
    <row r="606" ht="15.75" customHeight="1">
      <c r="A606" s="318"/>
      <c r="B606" s="312"/>
      <c r="C606" s="312"/>
      <c r="D606" s="312"/>
      <c r="E606" s="312"/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  <c r="AP606" s="312"/>
      <c r="AQ606" s="312"/>
      <c r="AR606" s="312"/>
      <c r="AS606" s="312"/>
      <c r="AT606" s="312"/>
    </row>
    <row r="607" ht="15.75" customHeight="1">
      <c r="A607" s="318"/>
      <c r="B607" s="312"/>
      <c r="C607" s="312"/>
      <c r="D607" s="312"/>
      <c r="E607" s="312"/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  <c r="AP607" s="312"/>
      <c r="AQ607" s="312"/>
      <c r="AR607" s="312"/>
      <c r="AS607" s="312"/>
      <c r="AT607" s="312"/>
    </row>
    <row r="608" ht="15.75" customHeight="1">
      <c r="A608" s="318"/>
      <c r="B608" s="312"/>
      <c r="C608" s="312"/>
      <c r="D608" s="312"/>
      <c r="E608" s="312"/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  <c r="AP608" s="312"/>
      <c r="AQ608" s="312"/>
      <c r="AR608" s="312"/>
      <c r="AS608" s="312"/>
      <c r="AT608" s="312"/>
    </row>
    <row r="609" ht="15.75" customHeight="1">
      <c r="A609" s="318"/>
      <c r="B609" s="312"/>
      <c r="C609" s="312"/>
      <c r="D609" s="312"/>
      <c r="E609" s="312"/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  <c r="AP609" s="312"/>
      <c r="AQ609" s="312"/>
      <c r="AR609" s="312"/>
      <c r="AS609" s="312"/>
      <c r="AT609" s="312"/>
    </row>
    <row r="610" ht="15.75" customHeight="1">
      <c r="A610" s="318"/>
      <c r="B610" s="312"/>
      <c r="C610" s="312"/>
      <c r="D610" s="312"/>
      <c r="E610" s="312"/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  <c r="AP610" s="312"/>
      <c r="AQ610" s="312"/>
      <c r="AR610" s="312"/>
      <c r="AS610" s="312"/>
      <c r="AT610" s="312"/>
    </row>
    <row r="611" ht="15.75" customHeight="1">
      <c r="A611" s="318"/>
      <c r="B611" s="312"/>
      <c r="C611" s="312"/>
      <c r="D611" s="312"/>
      <c r="E611" s="312"/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  <c r="AP611" s="312"/>
      <c r="AQ611" s="312"/>
      <c r="AR611" s="312"/>
      <c r="AS611" s="312"/>
      <c r="AT611" s="312"/>
    </row>
    <row r="612" ht="15.75" customHeight="1">
      <c r="A612" s="318"/>
      <c r="B612" s="312"/>
      <c r="C612" s="312"/>
      <c r="D612" s="312"/>
      <c r="E612" s="312"/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  <c r="AP612" s="312"/>
      <c r="AQ612" s="312"/>
      <c r="AR612" s="312"/>
      <c r="AS612" s="312"/>
      <c r="AT612" s="312"/>
    </row>
    <row r="613" ht="15.75" customHeight="1">
      <c r="A613" s="318"/>
      <c r="B613" s="312"/>
      <c r="C613" s="312"/>
      <c r="D613" s="312"/>
      <c r="E613" s="312"/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  <c r="AP613" s="312"/>
      <c r="AQ613" s="312"/>
      <c r="AR613" s="312"/>
      <c r="AS613" s="312"/>
      <c r="AT613" s="312"/>
    </row>
    <row r="614" ht="15.75" customHeight="1">
      <c r="A614" s="318"/>
      <c r="B614" s="312"/>
      <c r="C614" s="312"/>
      <c r="D614" s="312"/>
      <c r="E614" s="312"/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  <c r="AP614" s="312"/>
      <c r="AQ614" s="312"/>
      <c r="AR614" s="312"/>
      <c r="AS614" s="312"/>
      <c r="AT614" s="312"/>
    </row>
    <row r="615" ht="15.75" customHeight="1">
      <c r="A615" s="318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  <c r="AP615" s="312"/>
      <c r="AQ615" s="312"/>
      <c r="AR615" s="312"/>
      <c r="AS615" s="312"/>
      <c r="AT615" s="312"/>
    </row>
    <row r="616" ht="15.75" customHeight="1">
      <c r="A616" s="318"/>
      <c r="B616" s="312"/>
      <c r="C616" s="312"/>
      <c r="D616" s="312"/>
      <c r="E616" s="312"/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  <c r="AP616" s="312"/>
      <c r="AQ616" s="312"/>
      <c r="AR616" s="312"/>
      <c r="AS616" s="312"/>
      <c r="AT616" s="312"/>
    </row>
    <row r="617" ht="15.75" customHeight="1">
      <c r="A617" s="318"/>
      <c r="B617" s="312"/>
      <c r="C617" s="312"/>
      <c r="D617" s="312"/>
      <c r="E617" s="312"/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  <c r="AP617" s="312"/>
      <c r="AQ617" s="312"/>
      <c r="AR617" s="312"/>
      <c r="AS617" s="312"/>
      <c r="AT617" s="312"/>
    </row>
    <row r="618" ht="15.75" customHeight="1">
      <c r="A618" s="318"/>
      <c r="B618" s="312"/>
      <c r="C618" s="312"/>
      <c r="D618" s="312"/>
      <c r="E618" s="312"/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  <c r="AP618" s="312"/>
      <c r="AQ618" s="312"/>
      <c r="AR618" s="312"/>
      <c r="AS618" s="312"/>
      <c r="AT618" s="312"/>
    </row>
    <row r="619" ht="15.75" customHeight="1">
      <c r="A619" s="318"/>
      <c r="B619" s="312"/>
      <c r="C619" s="312"/>
      <c r="D619" s="312"/>
      <c r="E619" s="312"/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  <c r="AP619" s="312"/>
      <c r="AQ619" s="312"/>
      <c r="AR619" s="312"/>
      <c r="AS619" s="312"/>
      <c r="AT619" s="312"/>
    </row>
    <row r="620" ht="15.75" customHeight="1">
      <c r="A620" s="318"/>
      <c r="B620" s="312"/>
      <c r="C620" s="312"/>
      <c r="D620" s="312"/>
      <c r="E620" s="312"/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  <c r="AP620" s="312"/>
      <c r="AQ620" s="312"/>
      <c r="AR620" s="312"/>
      <c r="AS620" s="312"/>
      <c r="AT620" s="312"/>
    </row>
    <row r="621" ht="15.75" customHeight="1">
      <c r="A621" s="318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  <c r="AP621" s="312"/>
      <c r="AQ621" s="312"/>
      <c r="AR621" s="312"/>
      <c r="AS621" s="312"/>
      <c r="AT621" s="312"/>
    </row>
    <row r="622" ht="15.75" customHeight="1">
      <c r="A622" s="318"/>
      <c r="B622" s="312"/>
      <c r="C622" s="312"/>
      <c r="D622" s="312"/>
      <c r="E622" s="312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  <c r="AP622" s="312"/>
      <c r="AQ622" s="312"/>
      <c r="AR622" s="312"/>
      <c r="AS622" s="312"/>
      <c r="AT622" s="312"/>
    </row>
    <row r="623" ht="15.75" customHeight="1">
      <c r="A623" s="318"/>
      <c r="B623" s="312"/>
      <c r="C623" s="312"/>
      <c r="D623" s="312"/>
      <c r="E623" s="312"/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  <c r="AP623" s="312"/>
      <c r="AQ623" s="312"/>
      <c r="AR623" s="312"/>
      <c r="AS623" s="312"/>
      <c r="AT623" s="312"/>
    </row>
    <row r="624" ht="15.75" customHeight="1">
      <c r="A624" s="318"/>
      <c r="B624" s="312"/>
      <c r="C624" s="312"/>
      <c r="D624" s="312"/>
      <c r="E624" s="312"/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  <c r="AP624" s="312"/>
      <c r="AQ624" s="312"/>
      <c r="AR624" s="312"/>
      <c r="AS624" s="312"/>
      <c r="AT624" s="312"/>
    </row>
    <row r="625" ht="15.75" customHeight="1">
      <c r="A625" s="318"/>
      <c r="B625" s="312"/>
      <c r="C625" s="312"/>
      <c r="D625" s="312"/>
      <c r="E625" s="312"/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  <c r="AP625" s="312"/>
      <c r="AQ625" s="312"/>
      <c r="AR625" s="312"/>
      <c r="AS625" s="312"/>
      <c r="AT625" s="312"/>
    </row>
    <row r="626" ht="15.75" customHeight="1">
      <c r="A626" s="318"/>
      <c r="B626" s="312"/>
      <c r="C626" s="312"/>
      <c r="D626" s="312"/>
      <c r="E626" s="312"/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  <c r="AP626" s="312"/>
      <c r="AQ626" s="312"/>
      <c r="AR626" s="312"/>
      <c r="AS626" s="312"/>
      <c r="AT626" s="312"/>
    </row>
    <row r="627" ht="15.75" customHeight="1">
      <c r="A627" s="318"/>
      <c r="B627" s="312"/>
      <c r="C627" s="312"/>
      <c r="D627" s="312"/>
      <c r="E627" s="312"/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  <c r="AP627" s="312"/>
      <c r="AQ627" s="312"/>
      <c r="AR627" s="312"/>
      <c r="AS627" s="312"/>
      <c r="AT627" s="312"/>
    </row>
    <row r="628" ht="15.75" customHeight="1">
      <c r="A628" s="318"/>
      <c r="B628" s="312"/>
      <c r="C628" s="312"/>
      <c r="D628" s="312"/>
      <c r="E628" s="312"/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  <c r="AP628" s="312"/>
      <c r="AQ628" s="312"/>
      <c r="AR628" s="312"/>
      <c r="AS628" s="312"/>
      <c r="AT628" s="312"/>
    </row>
    <row r="629" ht="15.75" customHeight="1">
      <c r="A629" s="318"/>
      <c r="B629" s="312"/>
      <c r="C629" s="312"/>
      <c r="D629" s="312"/>
      <c r="E629" s="312"/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  <c r="AP629" s="312"/>
      <c r="AQ629" s="312"/>
      <c r="AR629" s="312"/>
      <c r="AS629" s="312"/>
      <c r="AT629" s="312"/>
    </row>
    <row r="630" ht="15.75" customHeight="1">
      <c r="A630" s="318"/>
      <c r="B630" s="312"/>
      <c r="C630" s="312"/>
      <c r="D630" s="312"/>
      <c r="E630" s="312"/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  <c r="AP630" s="312"/>
      <c r="AQ630" s="312"/>
      <c r="AR630" s="312"/>
      <c r="AS630" s="312"/>
      <c r="AT630" s="312"/>
    </row>
    <row r="631" ht="15.75" customHeight="1">
      <c r="A631" s="318"/>
      <c r="B631" s="312"/>
      <c r="C631" s="312"/>
      <c r="D631" s="312"/>
      <c r="E631" s="312"/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  <c r="AP631" s="312"/>
      <c r="AQ631" s="312"/>
      <c r="AR631" s="312"/>
      <c r="AS631" s="312"/>
      <c r="AT631" s="312"/>
    </row>
    <row r="632" ht="15.75" customHeight="1">
      <c r="A632" s="318"/>
      <c r="B632" s="312"/>
      <c r="C632" s="312"/>
      <c r="D632" s="312"/>
      <c r="E632" s="312"/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  <c r="AP632" s="312"/>
      <c r="AQ632" s="312"/>
      <c r="AR632" s="312"/>
      <c r="AS632" s="312"/>
      <c r="AT632" s="312"/>
    </row>
    <row r="633" ht="15.75" customHeight="1">
      <c r="A633" s="318"/>
      <c r="B633" s="312"/>
      <c r="C633" s="312"/>
      <c r="D633" s="312"/>
      <c r="E633" s="312"/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  <c r="AP633" s="312"/>
      <c r="AQ633" s="312"/>
      <c r="AR633" s="312"/>
      <c r="AS633" s="312"/>
      <c r="AT633" s="312"/>
    </row>
    <row r="634" ht="15.75" customHeight="1">
      <c r="A634" s="318"/>
      <c r="B634" s="312"/>
      <c r="C634" s="312"/>
      <c r="D634" s="312"/>
      <c r="E634" s="312"/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  <c r="AP634" s="312"/>
      <c r="AQ634" s="312"/>
      <c r="AR634" s="312"/>
      <c r="AS634" s="312"/>
      <c r="AT634" s="312"/>
    </row>
    <row r="635" ht="15.75" customHeight="1">
      <c r="A635" s="318"/>
      <c r="B635" s="312"/>
      <c r="C635" s="312"/>
      <c r="D635" s="312"/>
      <c r="E635" s="312"/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  <c r="AP635" s="312"/>
      <c r="AQ635" s="312"/>
      <c r="AR635" s="312"/>
      <c r="AS635" s="312"/>
      <c r="AT635" s="312"/>
    </row>
    <row r="636" ht="15.75" customHeight="1">
      <c r="A636" s="318"/>
      <c r="B636" s="312"/>
      <c r="C636" s="312"/>
      <c r="D636" s="312"/>
      <c r="E636" s="312"/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  <c r="AP636" s="312"/>
      <c r="AQ636" s="312"/>
      <c r="AR636" s="312"/>
      <c r="AS636" s="312"/>
      <c r="AT636" s="312"/>
    </row>
    <row r="637" ht="15.75" customHeight="1">
      <c r="A637" s="318"/>
      <c r="B637" s="312"/>
      <c r="C637" s="312"/>
      <c r="D637" s="312"/>
      <c r="E637" s="312"/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  <c r="AP637" s="312"/>
      <c r="AQ637" s="312"/>
      <c r="AR637" s="312"/>
      <c r="AS637" s="312"/>
      <c r="AT637" s="312"/>
    </row>
    <row r="638" ht="15.75" customHeight="1">
      <c r="A638" s="318"/>
      <c r="B638" s="312"/>
      <c r="C638" s="312"/>
      <c r="D638" s="312"/>
      <c r="E638" s="312"/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  <c r="AP638" s="312"/>
      <c r="AQ638" s="312"/>
      <c r="AR638" s="312"/>
      <c r="AS638" s="312"/>
      <c r="AT638" s="312"/>
    </row>
    <row r="639" ht="15.75" customHeight="1">
      <c r="A639" s="318"/>
      <c r="B639" s="312"/>
      <c r="C639" s="312"/>
      <c r="D639" s="312"/>
      <c r="E639" s="312"/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  <c r="AP639" s="312"/>
      <c r="AQ639" s="312"/>
      <c r="AR639" s="312"/>
      <c r="AS639" s="312"/>
      <c r="AT639" s="312"/>
    </row>
    <row r="640" ht="15.75" customHeight="1">
      <c r="A640" s="318"/>
      <c r="B640" s="312"/>
      <c r="C640" s="312"/>
      <c r="D640" s="312"/>
      <c r="E640" s="312"/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  <c r="AP640" s="312"/>
      <c r="AQ640" s="312"/>
      <c r="AR640" s="312"/>
      <c r="AS640" s="312"/>
      <c r="AT640" s="312"/>
    </row>
    <row r="641" ht="15.75" customHeight="1">
      <c r="A641" s="318"/>
      <c r="B641" s="312"/>
      <c r="C641" s="312"/>
      <c r="D641" s="312"/>
      <c r="E641" s="312"/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  <c r="AP641" s="312"/>
      <c r="AQ641" s="312"/>
      <c r="AR641" s="312"/>
      <c r="AS641" s="312"/>
      <c r="AT641" s="312"/>
    </row>
    <row r="642" ht="15.75" customHeight="1">
      <c r="A642" s="318"/>
      <c r="B642" s="312"/>
      <c r="C642" s="312"/>
      <c r="D642" s="312"/>
      <c r="E642" s="312"/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  <c r="AP642" s="312"/>
      <c r="AQ642" s="312"/>
      <c r="AR642" s="312"/>
      <c r="AS642" s="312"/>
      <c r="AT642" s="312"/>
    </row>
    <row r="643" ht="15.75" customHeight="1">
      <c r="A643" s="318"/>
      <c r="B643" s="312"/>
      <c r="C643" s="312"/>
      <c r="D643" s="312"/>
      <c r="E643" s="312"/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  <c r="AP643" s="312"/>
      <c r="AQ643" s="312"/>
      <c r="AR643" s="312"/>
      <c r="AS643" s="312"/>
      <c r="AT643" s="312"/>
    </row>
    <row r="644" ht="15.75" customHeight="1">
      <c r="A644" s="318"/>
      <c r="B644" s="312"/>
      <c r="C644" s="312"/>
      <c r="D644" s="312"/>
      <c r="E644" s="312"/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  <c r="AP644" s="312"/>
      <c r="AQ644" s="312"/>
      <c r="AR644" s="312"/>
      <c r="AS644" s="312"/>
      <c r="AT644" s="312"/>
    </row>
    <row r="645" ht="15.75" customHeight="1">
      <c r="A645" s="318"/>
      <c r="B645" s="312"/>
      <c r="C645" s="312"/>
      <c r="D645" s="312"/>
      <c r="E645" s="312"/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  <c r="AP645" s="312"/>
      <c r="AQ645" s="312"/>
      <c r="AR645" s="312"/>
      <c r="AS645" s="312"/>
      <c r="AT645" s="312"/>
    </row>
    <row r="646" ht="15.75" customHeight="1">
      <c r="A646" s="318"/>
      <c r="B646" s="312"/>
      <c r="C646" s="312"/>
      <c r="D646" s="312"/>
      <c r="E646" s="312"/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  <c r="AP646" s="312"/>
      <c r="AQ646" s="312"/>
      <c r="AR646" s="312"/>
      <c r="AS646" s="312"/>
      <c r="AT646" s="312"/>
    </row>
    <row r="647" ht="15.75" customHeight="1">
      <c r="A647" s="318"/>
      <c r="B647" s="312"/>
      <c r="C647" s="312"/>
      <c r="D647" s="312"/>
      <c r="E647" s="312"/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  <c r="AP647" s="312"/>
      <c r="AQ647" s="312"/>
      <c r="AR647" s="312"/>
      <c r="AS647" s="312"/>
      <c r="AT647" s="312"/>
    </row>
    <row r="648" ht="15.75" customHeight="1">
      <c r="A648" s="318"/>
      <c r="B648" s="312"/>
      <c r="C648" s="312"/>
      <c r="D648" s="312"/>
      <c r="E648" s="312"/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  <c r="AP648" s="312"/>
      <c r="AQ648" s="312"/>
      <c r="AR648" s="312"/>
      <c r="AS648" s="312"/>
      <c r="AT648" s="312"/>
    </row>
    <row r="649" ht="15.75" customHeight="1">
      <c r="A649" s="318"/>
      <c r="B649" s="312"/>
      <c r="C649" s="312"/>
      <c r="D649" s="312"/>
      <c r="E649" s="312"/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  <c r="AP649" s="312"/>
      <c r="AQ649" s="312"/>
      <c r="AR649" s="312"/>
      <c r="AS649" s="312"/>
      <c r="AT649" s="312"/>
    </row>
    <row r="650" ht="15.75" customHeight="1">
      <c r="A650" s="318"/>
      <c r="B650" s="312"/>
      <c r="C650" s="312"/>
      <c r="D650" s="312"/>
      <c r="E650" s="312"/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  <c r="AP650" s="312"/>
      <c r="AQ650" s="312"/>
      <c r="AR650" s="312"/>
      <c r="AS650" s="312"/>
      <c r="AT650" s="312"/>
    </row>
    <row r="651" ht="15.75" customHeight="1">
      <c r="A651" s="318"/>
      <c r="B651" s="312"/>
      <c r="C651" s="312"/>
      <c r="D651" s="312"/>
      <c r="E651" s="312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  <c r="AP651" s="312"/>
      <c r="AQ651" s="312"/>
      <c r="AR651" s="312"/>
      <c r="AS651" s="312"/>
      <c r="AT651" s="312"/>
    </row>
    <row r="652" ht="15.75" customHeight="1">
      <c r="A652" s="318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  <c r="AP652" s="312"/>
      <c r="AQ652" s="312"/>
      <c r="AR652" s="312"/>
      <c r="AS652" s="312"/>
      <c r="AT652" s="312"/>
    </row>
    <row r="653" ht="15.75" customHeight="1">
      <c r="A653" s="318"/>
      <c r="B653" s="312"/>
      <c r="C653" s="312"/>
      <c r="D653" s="312"/>
      <c r="E653" s="312"/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  <c r="AP653" s="312"/>
      <c r="AQ653" s="312"/>
      <c r="AR653" s="312"/>
      <c r="AS653" s="312"/>
      <c r="AT653" s="312"/>
    </row>
    <row r="654" ht="15.75" customHeight="1">
      <c r="A654" s="318"/>
      <c r="B654" s="312"/>
      <c r="C654" s="312"/>
      <c r="D654" s="312"/>
      <c r="E654" s="312"/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  <c r="AP654" s="312"/>
      <c r="AQ654" s="312"/>
      <c r="AR654" s="312"/>
      <c r="AS654" s="312"/>
      <c r="AT654" s="312"/>
    </row>
    <row r="655" ht="15.75" customHeight="1">
      <c r="A655" s="318"/>
      <c r="B655" s="312"/>
      <c r="C655" s="312"/>
      <c r="D655" s="312"/>
      <c r="E655" s="312"/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  <c r="AP655" s="312"/>
      <c r="AQ655" s="312"/>
      <c r="AR655" s="312"/>
      <c r="AS655" s="312"/>
      <c r="AT655" s="312"/>
    </row>
    <row r="656" ht="15.75" customHeight="1">
      <c r="A656" s="318"/>
      <c r="B656" s="312"/>
      <c r="C656" s="312"/>
      <c r="D656" s="312"/>
      <c r="E656" s="312"/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  <c r="AP656" s="312"/>
      <c r="AQ656" s="312"/>
      <c r="AR656" s="312"/>
      <c r="AS656" s="312"/>
      <c r="AT656" s="312"/>
    </row>
    <row r="657" ht="15.75" customHeight="1">
      <c r="A657" s="318"/>
      <c r="B657" s="312"/>
      <c r="C657" s="312"/>
      <c r="D657" s="312"/>
      <c r="E657" s="312"/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  <c r="AP657" s="312"/>
      <c r="AQ657" s="312"/>
      <c r="AR657" s="312"/>
      <c r="AS657" s="312"/>
      <c r="AT657" s="312"/>
    </row>
    <row r="658" ht="15.75" customHeight="1">
      <c r="A658" s="318"/>
      <c r="B658" s="312"/>
      <c r="C658" s="312"/>
      <c r="D658" s="312"/>
      <c r="E658" s="312"/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  <c r="AP658" s="312"/>
      <c r="AQ658" s="312"/>
      <c r="AR658" s="312"/>
      <c r="AS658" s="312"/>
      <c r="AT658" s="312"/>
    </row>
    <row r="659" ht="15.75" customHeight="1">
      <c r="A659" s="318"/>
      <c r="B659" s="312"/>
      <c r="C659" s="312"/>
      <c r="D659" s="312"/>
      <c r="E659" s="312"/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  <c r="AP659" s="312"/>
      <c r="AQ659" s="312"/>
      <c r="AR659" s="312"/>
      <c r="AS659" s="312"/>
      <c r="AT659" s="312"/>
    </row>
    <row r="660" ht="15.75" customHeight="1">
      <c r="A660" s="318"/>
      <c r="B660" s="312"/>
      <c r="C660" s="312"/>
      <c r="D660" s="312"/>
      <c r="E660" s="312"/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  <c r="AP660" s="312"/>
      <c r="AQ660" s="312"/>
      <c r="AR660" s="312"/>
      <c r="AS660" s="312"/>
      <c r="AT660" s="312"/>
    </row>
    <row r="661" ht="15.75" customHeight="1">
      <c r="A661" s="318"/>
      <c r="B661" s="312"/>
      <c r="C661" s="312"/>
      <c r="D661" s="312"/>
      <c r="E661" s="312"/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  <c r="AP661" s="312"/>
      <c r="AQ661" s="312"/>
      <c r="AR661" s="312"/>
      <c r="AS661" s="312"/>
      <c r="AT661" s="312"/>
    </row>
    <row r="662" ht="15.75" customHeight="1">
      <c r="A662" s="318"/>
      <c r="B662" s="312"/>
      <c r="C662" s="312"/>
      <c r="D662" s="312"/>
      <c r="E662" s="312"/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  <c r="AP662" s="312"/>
      <c r="AQ662" s="312"/>
      <c r="AR662" s="312"/>
      <c r="AS662" s="312"/>
      <c r="AT662" s="312"/>
    </row>
    <row r="663" ht="15.75" customHeight="1">
      <c r="A663" s="318"/>
      <c r="B663" s="312"/>
      <c r="C663" s="312"/>
      <c r="D663" s="312"/>
      <c r="E663" s="312"/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  <c r="AP663" s="312"/>
      <c r="AQ663" s="312"/>
      <c r="AR663" s="312"/>
      <c r="AS663" s="312"/>
      <c r="AT663" s="312"/>
    </row>
    <row r="664" ht="15.75" customHeight="1">
      <c r="A664" s="318"/>
      <c r="B664" s="312"/>
      <c r="C664" s="312"/>
      <c r="D664" s="312"/>
      <c r="E664" s="312"/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  <c r="AP664" s="312"/>
      <c r="AQ664" s="312"/>
      <c r="AR664" s="312"/>
      <c r="AS664" s="312"/>
      <c r="AT664" s="312"/>
    </row>
    <row r="665" ht="15.75" customHeight="1">
      <c r="A665" s="318"/>
      <c r="B665" s="312"/>
      <c r="C665" s="312"/>
      <c r="D665" s="312"/>
      <c r="E665" s="312"/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  <c r="AP665" s="312"/>
      <c r="AQ665" s="312"/>
      <c r="AR665" s="312"/>
      <c r="AS665" s="312"/>
      <c r="AT665" s="312"/>
    </row>
    <row r="666" ht="15.75" customHeight="1">
      <c r="A666" s="318"/>
      <c r="B666" s="312"/>
      <c r="C666" s="312"/>
      <c r="D666" s="312"/>
      <c r="E666" s="312"/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  <c r="AP666" s="312"/>
      <c r="AQ666" s="312"/>
      <c r="AR666" s="312"/>
      <c r="AS666" s="312"/>
      <c r="AT666" s="312"/>
    </row>
    <row r="667" ht="15.75" customHeight="1">
      <c r="A667" s="318"/>
      <c r="B667" s="312"/>
      <c r="C667" s="312"/>
      <c r="D667" s="312"/>
      <c r="E667" s="312"/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  <c r="AP667" s="312"/>
      <c r="AQ667" s="312"/>
      <c r="AR667" s="312"/>
      <c r="AS667" s="312"/>
      <c r="AT667" s="312"/>
    </row>
    <row r="668" ht="15.75" customHeight="1">
      <c r="A668" s="318"/>
      <c r="B668" s="312"/>
      <c r="C668" s="312"/>
      <c r="D668" s="312"/>
      <c r="E668" s="312"/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  <c r="AP668" s="312"/>
      <c r="AQ668" s="312"/>
      <c r="AR668" s="312"/>
      <c r="AS668" s="312"/>
      <c r="AT668" s="312"/>
    </row>
    <row r="669" ht="15.75" customHeight="1">
      <c r="A669" s="318"/>
      <c r="B669" s="312"/>
      <c r="C669" s="312"/>
      <c r="D669" s="312"/>
      <c r="E669" s="312"/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  <c r="AP669" s="312"/>
      <c r="AQ669" s="312"/>
      <c r="AR669" s="312"/>
      <c r="AS669" s="312"/>
      <c r="AT669" s="312"/>
    </row>
    <row r="670" ht="15.75" customHeight="1">
      <c r="A670" s="318"/>
      <c r="B670" s="312"/>
      <c r="C670" s="312"/>
      <c r="D670" s="312"/>
      <c r="E670" s="312"/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  <c r="AP670" s="312"/>
      <c r="AQ670" s="312"/>
      <c r="AR670" s="312"/>
      <c r="AS670" s="312"/>
      <c r="AT670" s="312"/>
    </row>
    <row r="671" ht="15.75" customHeight="1">
      <c r="A671" s="318"/>
      <c r="B671" s="312"/>
      <c r="C671" s="312"/>
      <c r="D671" s="312"/>
      <c r="E671" s="312"/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  <c r="AP671" s="312"/>
      <c r="AQ671" s="312"/>
      <c r="AR671" s="312"/>
      <c r="AS671" s="312"/>
      <c r="AT671" s="312"/>
    </row>
    <row r="672" ht="15.75" customHeight="1">
      <c r="A672" s="318"/>
      <c r="B672" s="312"/>
      <c r="C672" s="312"/>
      <c r="D672" s="312"/>
      <c r="E672" s="312"/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  <c r="AP672" s="312"/>
      <c r="AQ672" s="312"/>
      <c r="AR672" s="312"/>
      <c r="AS672" s="312"/>
      <c r="AT672" s="312"/>
    </row>
    <row r="673" ht="15.75" customHeight="1">
      <c r="A673" s="318"/>
      <c r="B673" s="312"/>
      <c r="C673" s="312"/>
      <c r="D673" s="312"/>
      <c r="E673" s="312"/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  <c r="AP673" s="312"/>
      <c r="AQ673" s="312"/>
      <c r="AR673" s="312"/>
      <c r="AS673" s="312"/>
      <c r="AT673" s="312"/>
    </row>
    <row r="674" ht="15.75" customHeight="1">
      <c r="A674" s="318"/>
      <c r="B674" s="312"/>
      <c r="C674" s="312"/>
      <c r="D674" s="312"/>
      <c r="E674" s="312"/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  <c r="AP674" s="312"/>
      <c r="AQ674" s="312"/>
      <c r="AR674" s="312"/>
      <c r="AS674" s="312"/>
      <c r="AT674" s="312"/>
    </row>
    <row r="675" ht="15.75" customHeight="1">
      <c r="A675" s="318"/>
      <c r="B675" s="312"/>
      <c r="C675" s="312"/>
      <c r="D675" s="312"/>
      <c r="E675" s="312"/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  <c r="AP675" s="312"/>
      <c r="AQ675" s="312"/>
      <c r="AR675" s="312"/>
      <c r="AS675" s="312"/>
      <c r="AT675" s="312"/>
    </row>
    <row r="676" ht="15.75" customHeight="1">
      <c r="A676" s="318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  <c r="AP676" s="312"/>
      <c r="AQ676" s="312"/>
      <c r="AR676" s="312"/>
      <c r="AS676" s="312"/>
      <c r="AT676" s="312"/>
    </row>
    <row r="677" ht="15.75" customHeight="1">
      <c r="A677" s="318"/>
      <c r="B677" s="312"/>
      <c r="C677" s="312"/>
      <c r="D677" s="312"/>
      <c r="E677" s="312"/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  <c r="AP677" s="312"/>
      <c r="AQ677" s="312"/>
      <c r="AR677" s="312"/>
      <c r="AS677" s="312"/>
      <c r="AT677" s="312"/>
    </row>
    <row r="678" ht="15.75" customHeight="1">
      <c r="A678" s="318"/>
      <c r="B678" s="312"/>
      <c r="C678" s="312"/>
      <c r="D678" s="312"/>
      <c r="E678" s="312"/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  <c r="AP678" s="312"/>
      <c r="AQ678" s="312"/>
      <c r="AR678" s="312"/>
      <c r="AS678" s="312"/>
      <c r="AT678" s="312"/>
    </row>
    <row r="679" ht="15.75" customHeight="1">
      <c r="A679" s="318"/>
      <c r="B679" s="312"/>
      <c r="C679" s="312"/>
      <c r="D679" s="312"/>
      <c r="E679" s="312"/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  <c r="AP679" s="312"/>
      <c r="AQ679" s="312"/>
      <c r="AR679" s="312"/>
      <c r="AS679" s="312"/>
      <c r="AT679" s="312"/>
    </row>
    <row r="680" ht="15.75" customHeight="1">
      <c r="A680" s="318"/>
      <c r="B680" s="312"/>
      <c r="C680" s="312"/>
      <c r="D680" s="312"/>
      <c r="E680" s="312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  <c r="AP680" s="312"/>
      <c r="AQ680" s="312"/>
      <c r="AR680" s="312"/>
      <c r="AS680" s="312"/>
      <c r="AT680" s="312"/>
    </row>
    <row r="681" ht="15.75" customHeight="1">
      <c r="A681" s="318"/>
      <c r="B681" s="312"/>
      <c r="C681" s="312"/>
      <c r="D681" s="312"/>
      <c r="E681" s="312"/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  <c r="AP681" s="312"/>
      <c r="AQ681" s="312"/>
      <c r="AR681" s="312"/>
      <c r="AS681" s="312"/>
      <c r="AT681" s="312"/>
    </row>
    <row r="682" ht="15.75" customHeight="1">
      <c r="A682" s="318"/>
      <c r="B682" s="312"/>
      <c r="C682" s="312"/>
      <c r="D682" s="312"/>
      <c r="E682" s="312"/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  <c r="AP682" s="312"/>
      <c r="AQ682" s="312"/>
      <c r="AR682" s="312"/>
      <c r="AS682" s="312"/>
      <c r="AT682" s="312"/>
    </row>
    <row r="683" ht="15.75" customHeight="1">
      <c r="A683" s="318"/>
      <c r="B683" s="312"/>
      <c r="C683" s="312"/>
      <c r="D683" s="312"/>
      <c r="E683" s="312"/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  <c r="AP683" s="312"/>
      <c r="AQ683" s="312"/>
      <c r="AR683" s="312"/>
      <c r="AS683" s="312"/>
      <c r="AT683" s="312"/>
    </row>
    <row r="684" ht="15.75" customHeight="1">
      <c r="A684" s="318"/>
      <c r="B684" s="312"/>
      <c r="C684" s="312"/>
      <c r="D684" s="312"/>
      <c r="E684" s="312"/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  <c r="AP684" s="312"/>
      <c r="AQ684" s="312"/>
      <c r="AR684" s="312"/>
      <c r="AS684" s="312"/>
      <c r="AT684" s="312"/>
    </row>
    <row r="685" ht="15.75" customHeight="1">
      <c r="A685" s="318"/>
      <c r="B685" s="312"/>
      <c r="C685" s="312"/>
      <c r="D685" s="312"/>
      <c r="E685" s="312"/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  <c r="AP685" s="312"/>
      <c r="AQ685" s="312"/>
      <c r="AR685" s="312"/>
      <c r="AS685" s="312"/>
      <c r="AT685" s="312"/>
    </row>
    <row r="686" ht="15.75" customHeight="1">
      <c r="A686" s="318"/>
      <c r="B686" s="312"/>
      <c r="C686" s="312"/>
      <c r="D686" s="312"/>
      <c r="E686" s="312"/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  <c r="AP686" s="312"/>
      <c r="AQ686" s="312"/>
      <c r="AR686" s="312"/>
      <c r="AS686" s="312"/>
      <c r="AT686" s="312"/>
    </row>
    <row r="687" ht="15.75" customHeight="1">
      <c r="A687" s="318"/>
      <c r="B687" s="312"/>
      <c r="C687" s="312"/>
      <c r="D687" s="312"/>
      <c r="E687" s="312"/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  <c r="AP687" s="312"/>
      <c r="AQ687" s="312"/>
      <c r="AR687" s="312"/>
      <c r="AS687" s="312"/>
      <c r="AT687" s="312"/>
    </row>
    <row r="688" ht="15.75" customHeight="1">
      <c r="A688" s="318"/>
      <c r="B688" s="312"/>
      <c r="C688" s="312"/>
      <c r="D688" s="312"/>
      <c r="E688" s="312"/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  <c r="AP688" s="312"/>
      <c r="AQ688" s="312"/>
      <c r="AR688" s="312"/>
      <c r="AS688" s="312"/>
      <c r="AT688" s="312"/>
    </row>
    <row r="689" ht="15.75" customHeight="1">
      <c r="A689" s="318"/>
      <c r="B689" s="312"/>
      <c r="C689" s="312"/>
      <c r="D689" s="312"/>
      <c r="E689" s="312"/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  <c r="AP689" s="312"/>
      <c r="AQ689" s="312"/>
      <c r="AR689" s="312"/>
      <c r="AS689" s="312"/>
      <c r="AT689" s="312"/>
    </row>
    <row r="690" ht="15.75" customHeight="1">
      <c r="A690" s="318"/>
      <c r="B690" s="312"/>
      <c r="C690" s="312"/>
      <c r="D690" s="312"/>
      <c r="E690" s="312"/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  <c r="AP690" s="312"/>
      <c r="AQ690" s="312"/>
      <c r="AR690" s="312"/>
      <c r="AS690" s="312"/>
      <c r="AT690" s="312"/>
    </row>
    <row r="691" ht="15.75" customHeight="1">
      <c r="A691" s="318"/>
      <c r="B691" s="312"/>
      <c r="C691" s="312"/>
      <c r="D691" s="312"/>
      <c r="E691" s="312"/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  <c r="AP691" s="312"/>
      <c r="AQ691" s="312"/>
      <c r="AR691" s="312"/>
      <c r="AS691" s="312"/>
      <c r="AT691" s="312"/>
    </row>
    <row r="692" ht="15.75" customHeight="1">
      <c r="A692" s="318"/>
      <c r="B692" s="312"/>
      <c r="C692" s="312"/>
      <c r="D692" s="312"/>
      <c r="E692" s="312"/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  <c r="AP692" s="312"/>
      <c r="AQ692" s="312"/>
      <c r="AR692" s="312"/>
      <c r="AS692" s="312"/>
      <c r="AT692" s="312"/>
    </row>
    <row r="693" ht="15.75" customHeight="1">
      <c r="A693" s="318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  <c r="AP693" s="312"/>
      <c r="AQ693" s="312"/>
      <c r="AR693" s="312"/>
      <c r="AS693" s="312"/>
      <c r="AT693" s="312"/>
    </row>
    <row r="694" ht="15.75" customHeight="1">
      <c r="A694" s="318"/>
      <c r="B694" s="312"/>
      <c r="C694" s="312"/>
      <c r="D694" s="312"/>
      <c r="E694" s="312"/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  <c r="AP694" s="312"/>
      <c r="AQ694" s="312"/>
      <c r="AR694" s="312"/>
      <c r="AS694" s="312"/>
      <c r="AT694" s="312"/>
    </row>
    <row r="695" ht="15.75" customHeight="1">
      <c r="A695" s="318"/>
      <c r="B695" s="312"/>
      <c r="C695" s="312"/>
      <c r="D695" s="312"/>
      <c r="E695" s="312"/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  <c r="AP695" s="312"/>
      <c r="AQ695" s="312"/>
      <c r="AR695" s="312"/>
      <c r="AS695" s="312"/>
      <c r="AT695" s="312"/>
    </row>
    <row r="696" ht="15.75" customHeight="1">
      <c r="A696" s="318"/>
      <c r="B696" s="312"/>
      <c r="C696" s="312"/>
      <c r="D696" s="312"/>
      <c r="E696" s="312"/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  <c r="AP696" s="312"/>
      <c r="AQ696" s="312"/>
      <c r="AR696" s="312"/>
      <c r="AS696" s="312"/>
      <c r="AT696" s="312"/>
    </row>
    <row r="697" ht="15.75" customHeight="1">
      <c r="A697" s="318"/>
      <c r="B697" s="312"/>
      <c r="C697" s="312"/>
      <c r="D697" s="312"/>
      <c r="E697" s="312"/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  <c r="AP697" s="312"/>
      <c r="AQ697" s="312"/>
      <c r="AR697" s="312"/>
      <c r="AS697" s="312"/>
      <c r="AT697" s="312"/>
    </row>
    <row r="698" ht="15.75" customHeight="1">
      <c r="A698" s="318"/>
      <c r="B698" s="312"/>
      <c r="C698" s="312"/>
      <c r="D698" s="312"/>
      <c r="E698" s="312"/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  <c r="AP698" s="312"/>
      <c r="AQ698" s="312"/>
      <c r="AR698" s="312"/>
      <c r="AS698" s="312"/>
      <c r="AT698" s="312"/>
    </row>
    <row r="699" ht="15.75" customHeight="1">
      <c r="A699" s="318"/>
      <c r="B699" s="312"/>
      <c r="C699" s="312"/>
      <c r="D699" s="312"/>
      <c r="E699" s="312"/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  <c r="AP699" s="312"/>
      <c r="AQ699" s="312"/>
      <c r="AR699" s="312"/>
      <c r="AS699" s="312"/>
      <c r="AT699" s="312"/>
    </row>
    <row r="700" ht="15.75" customHeight="1">
      <c r="A700" s="318"/>
      <c r="B700" s="312"/>
      <c r="C700" s="312"/>
      <c r="D700" s="312"/>
      <c r="E700" s="312"/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  <c r="AP700" s="312"/>
      <c r="AQ700" s="312"/>
      <c r="AR700" s="312"/>
      <c r="AS700" s="312"/>
      <c r="AT700" s="312"/>
    </row>
    <row r="701" ht="15.75" customHeight="1">
      <c r="A701" s="318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  <c r="AP701" s="312"/>
      <c r="AQ701" s="312"/>
      <c r="AR701" s="312"/>
      <c r="AS701" s="312"/>
      <c r="AT701" s="312"/>
    </row>
    <row r="702" ht="15.75" customHeight="1">
      <c r="A702" s="318"/>
      <c r="B702" s="312"/>
      <c r="C702" s="312"/>
      <c r="D702" s="312"/>
      <c r="E702" s="312"/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  <c r="AP702" s="312"/>
      <c r="AQ702" s="312"/>
      <c r="AR702" s="312"/>
      <c r="AS702" s="312"/>
      <c r="AT702" s="312"/>
    </row>
    <row r="703" ht="15.75" customHeight="1">
      <c r="A703" s="318"/>
      <c r="B703" s="312"/>
      <c r="C703" s="312"/>
      <c r="D703" s="312"/>
      <c r="E703" s="312"/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  <c r="AP703" s="312"/>
      <c r="AQ703" s="312"/>
      <c r="AR703" s="312"/>
      <c r="AS703" s="312"/>
      <c r="AT703" s="312"/>
    </row>
    <row r="704" ht="15.75" customHeight="1">
      <c r="A704" s="318"/>
      <c r="B704" s="312"/>
      <c r="C704" s="312"/>
      <c r="D704" s="312"/>
      <c r="E704" s="312"/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  <c r="AP704" s="312"/>
      <c r="AQ704" s="312"/>
      <c r="AR704" s="312"/>
      <c r="AS704" s="312"/>
      <c r="AT704" s="312"/>
    </row>
    <row r="705" ht="15.75" customHeight="1">
      <c r="A705" s="318"/>
      <c r="B705" s="312"/>
      <c r="C705" s="312"/>
      <c r="D705" s="312"/>
      <c r="E705" s="312"/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  <c r="AP705" s="312"/>
      <c r="AQ705" s="312"/>
      <c r="AR705" s="312"/>
      <c r="AS705" s="312"/>
      <c r="AT705" s="312"/>
    </row>
    <row r="706" ht="15.75" customHeight="1">
      <c r="A706" s="318"/>
      <c r="B706" s="312"/>
      <c r="C706" s="312"/>
      <c r="D706" s="312"/>
      <c r="E706" s="312"/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  <c r="AP706" s="312"/>
      <c r="AQ706" s="312"/>
      <c r="AR706" s="312"/>
      <c r="AS706" s="312"/>
      <c r="AT706" s="312"/>
    </row>
    <row r="707" ht="15.75" customHeight="1">
      <c r="A707" s="318"/>
      <c r="B707" s="312"/>
      <c r="C707" s="312"/>
      <c r="D707" s="312"/>
      <c r="E707" s="312"/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  <c r="AP707" s="312"/>
      <c r="AQ707" s="312"/>
      <c r="AR707" s="312"/>
      <c r="AS707" s="312"/>
      <c r="AT707" s="312"/>
    </row>
    <row r="708" ht="15.75" customHeight="1">
      <c r="A708" s="318"/>
      <c r="B708" s="312"/>
      <c r="C708" s="312"/>
      <c r="D708" s="312"/>
      <c r="E708" s="312"/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  <c r="AP708" s="312"/>
      <c r="AQ708" s="312"/>
      <c r="AR708" s="312"/>
      <c r="AS708" s="312"/>
      <c r="AT708" s="312"/>
    </row>
    <row r="709" ht="15.75" customHeight="1">
      <c r="A709" s="318"/>
      <c r="B709" s="312"/>
      <c r="C709" s="312"/>
      <c r="D709" s="312"/>
      <c r="E709" s="312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  <c r="AP709" s="312"/>
      <c r="AQ709" s="312"/>
      <c r="AR709" s="312"/>
      <c r="AS709" s="312"/>
      <c r="AT709" s="312"/>
    </row>
    <row r="710" ht="15.75" customHeight="1">
      <c r="A710" s="318"/>
      <c r="B710" s="312"/>
      <c r="C710" s="312"/>
      <c r="D710" s="312"/>
      <c r="E710" s="312"/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  <c r="AP710" s="312"/>
      <c r="AQ710" s="312"/>
      <c r="AR710" s="312"/>
      <c r="AS710" s="312"/>
      <c r="AT710" s="312"/>
    </row>
    <row r="711" ht="15.75" customHeight="1">
      <c r="A711" s="318"/>
      <c r="B711" s="312"/>
      <c r="C711" s="312"/>
      <c r="D711" s="312"/>
      <c r="E711" s="312"/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  <c r="AP711" s="312"/>
      <c r="AQ711" s="312"/>
      <c r="AR711" s="312"/>
      <c r="AS711" s="312"/>
      <c r="AT711" s="312"/>
    </row>
    <row r="712" ht="15.75" customHeight="1">
      <c r="A712" s="318"/>
      <c r="B712" s="312"/>
      <c r="C712" s="312"/>
      <c r="D712" s="312"/>
      <c r="E712" s="312"/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  <c r="AP712" s="312"/>
      <c r="AQ712" s="312"/>
      <c r="AR712" s="312"/>
      <c r="AS712" s="312"/>
      <c r="AT712" s="312"/>
    </row>
    <row r="713" ht="15.75" customHeight="1">
      <c r="A713" s="318"/>
      <c r="B713" s="312"/>
      <c r="C713" s="312"/>
      <c r="D713" s="312"/>
      <c r="E713" s="312"/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  <c r="AP713" s="312"/>
      <c r="AQ713" s="312"/>
      <c r="AR713" s="312"/>
      <c r="AS713" s="312"/>
      <c r="AT713" s="312"/>
    </row>
    <row r="714" ht="15.75" customHeight="1">
      <c r="A714" s="318"/>
      <c r="B714" s="312"/>
      <c r="C714" s="312"/>
      <c r="D714" s="312"/>
      <c r="E714" s="312"/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  <c r="AP714" s="312"/>
      <c r="AQ714" s="312"/>
      <c r="AR714" s="312"/>
      <c r="AS714" s="312"/>
      <c r="AT714" s="312"/>
    </row>
    <row r="715" ht="15.75" customHeight="1">
      <c r="A715" s="318"/>
      <c r="B715" s="312"/>
      <c r="C715" s="312"/>
      <c r="D715" s="312"/>
      <c r="E715" s="312"/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  <c r="AP715" s="312"/>
      <c r="AQ715" s="312"/>
      <c r="AR715" s="312"/>
      <c r="AS715" s="312"/>
      <c r="AT715" s="312"/>
    </row>
    <row r="716" ht="15.75" customHeight="1">
      <c r="A716" s="318"/>
      <c r="B716" s="312"/>
      <c r="C716" s="312"/>
      <c r="D716" s="312"/>
      <c r="E716" s="312"/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  <c r="AP716" s="312"/>
      <c r="AQ716" s="312"/>
      <c r="AR716" s="312"/>
      <c r="AS716" s="312"/>
      <c r="AT716" s="312"/>
    </row>
    <row r="717" ht="15.75" customHeight="1">
      <c r="A717" s="318"/>
      <c r="B717" s="312"/>
      <c r="C717" s="312"/>
      <c r="D717" s="312"/>
      <c r="E717" s="312"/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  <c r="AP717" s="312"/>
      <c r="AQ717" s="312"/>
      <c r="AR717" s="312"/>
      <c r="AS717" s="312"/>
      <c r="AT717" s="312"/>
    </row>
    <row r="718" ht="15.75" customHeight="1">
      <c r="A718" s="318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  <c r="AP718" s="312"/>
      <c r="AQ718" s="312"/>
      <c r="AR718" s="312"/>
      <c r="AS718" s="312"/>
      <c r="AT718" s="312"/>
    </row>
    <row r="719" ht="15.75" customHeight="1">
      <c r="A719" s="318"/>
      <c r="B719" s="312"/>
      <c r="C719" s="312"/>
      <c r="D719" s="312"/>
      <c r="E719" s="312"/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  <c r="AP719" s="312"/>
      <c r="AQ719" s="312"/>
      <c r="AR719" s="312"/>
      <c r="AS719" s="312"/>
      <c r="AT719" s="312"/>
    </row>
    <row r="720" ht="15.75" customHeight="1">
      <c r="A720" s="318"/>
      <c r="B720" s="312"/>
      <c r="C720" s="312"/>
      <c r="D720" s="312"/>
      <c r="E720" s="312"/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  <c r="AP720" s="312"/>
      <c r="AQ720" s="312"/>
      <c r="AR720" s="312"/>
      <c r="AS720" s="312"/>
      <c r="AT720" s="312"/>
    </row>
    <row r="721" ht="15.75" customHeight="1">
      <c r="A721" s="318"/>
      <c r="B721" s="312"/>
      <c r="C721" s="312"/>
      <c r="D721" s="312"/>
      <c r="E721" s="312"/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  <c r="AP721" s="312"/>
      <c r="AQ721" s="312"/>
      <c r="AR721" s="312"/>
      <c r="AS721" s="312"/>
      <c r="AT721" s="312"/>
    </row>
    <row r="722" ht="15.75" customHeight="1">
      <c r="A722" s="318"/>
      <c r="B722" s="312"/>
      <c r="C722" s="312"/>
      <c r="D722" s="312"/>
      <c r="E722" s="312"/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  <c r="AP722" s="312"/>
      <c r="AQ722" s="312"/>
      <c r="AR722" s="312"/>
      <c r="AS722" s="312"/>
      <c r="AT722" s="312"/>
    </row>
    <row r="723" ht="15.75" customHeight="1">
      <c r="A723" s="318"/>
      <c r="B723" s="312"/>
      <c r="C723" s="312"/>
      <c r="D723" s="312"/>
      <c r="E723" s="312"/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  <c r="AP723" s="312"/>
      <c r="AQ723" s="312"/>
      <c r="AR723" s="312"/>
      <c r="AS723" s="312"/>
      <c r="AT723" s="312"/>
    </row>
    <row r="724" ht="15.75" customHeight="1">
      <c r="A724" s="318"/>
      <c r="B724" s="312"/>
      <c r="C724" s="312"/>
      <c r="D724" s="312"/>
      <c r="E724" s="312"/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  <c r="AP724" s="312"/>
      <c r="AQ724" s="312"/>
      <c r="AR724" s="312"/>
      <c r="AS724" s="312"/>
      <c r="AT724" s="312"/>
    </row>
    <row r="725" ht="15.75" customHeight="1">
      <c r="A725" s="318"/>
      <c r="B725" s="312"/>
      <c r="C725" s="312"/>
      <c r="D725" s="312"/>
      <c r="E725" s="312"/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  <c r="AP725" s="312"/>
      <c r="AQ725" s="312"/>
      <c r="AR725" s="312"/>
      <c r="AS725" s="312"/>
      <c r="AT725" s="312"/>
    </row>
    <row r="726" ht="15.75" customHeight="1">
      <c r="A726" s="318"/>
      <c r="B726" s="312"/>
      <c r="C726" s="312"/>
      <c r="D726" s="312"/>
      <c r="E726" s="312"/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  <c r="AP726" s="312"/>
      <c r="AQ726" s="312"/>
      <c r="AR726" s="312"/>
      <c r="AS726" s="312"/>
      <c r="AT726" s="312"/>
    </row>
    <row r="727" ht="15.75" customHeight="1">
      <c r="A727" s="318"/>
      <c r="B727" s="312"/>
      <c r="C727" s="312"/>
      <c r="D727" s="312"/>
      <c r="E727" s="312"/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  <c r="AP727" s="312"/>
      <c r="AQ727" s="312"/>
      <c r="AR727" s="312"/>
      <c r="AS727" s="312"/>
      <c r="AT727" s="312"/>
    </row>
    <row r="728" ht="15.75" customHeight="1">
      <c r="A728" s="318"/>
      <c r="B728" s="312"/>
      <c r="C728" s="312"/>
      <c r="D728" s="312"/>
      <c r="E728" s="312"/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  <c r="AP728" s="312"/>
      <c r="AQ728" s="312"/>
      <c r="AR728" s="312"/>
      <c r="AS728" s="312"/>
      <c r="AT728" s="312"/>
    </row>
    <row r="729" ht="15.75" customHeight="1">
      <c r="A729" s="318"/>
      <c r="B729" s="312"/>
      <c r="C729" s="312"/>
      <c r="D729" s="312"/>
      <c r="E729" s="312"/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  <c r="AP729" s="312"/>
      <c r="AQ729" s="312"/>
      <c r="AR729" s="312"/>
      <c r="AS729" s="312"/>
      <c r="AT729" s="312"/>
    </row>
    <row r="730" ht="15.75" customHeight="1">
      <c r="A730" s="318"/>
      <c r="B730" s="312"/>
      <c r="C730" s="312"/>
      <c r="D730" s="312"/>
      <c r="E730" s="312"/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  <c r="AP730" s="312"/>
      <c r="AQ730" s="312"/>
      <c r="AR730" s="312"/>
      <c r="AS730" s="312"/>
      <c r="AT730" s="312"/>
    </row>
    <row r="731" ht="15.75" customHeight="1">
      <c r="A731" s="318"/>
      <c r="B731" s="312"/>
      <c r="C731" s="312"/>
      <c r="D731" s="312"/>
      <c r="E731" s="312"/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  <c r="AP731" s="312"/>
      <c r="AQ731" s="312"/>
      <c r="AR731" s="312"/>
      <c r="AS731" s="312"/>
      <c r="AT731" s="312"/>
    </row>
    <row r="732" ht="15.75" customHeight="1">
      <c r="A732" s="318"/>
      <c r="B732" s="312"/>
      <c r="C732" s="312"/>
      <c r="D732" s="312"/>
      <c r="E732" s="312"/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  <c r="AP732" s="312"/>
      <c r="AQ732" s="312"/>
      <c r="AR732" s="312"/>
      <c r="AS732" s="312"/>
      <c r="AT732" s="312"/>
    </row>
    <row r="733" ht="15.75" customHeight="1">
      <c r="A733" s="318"/>
      <c r="B733" s="312"/>
      <c r="C733" s="312"/>
      <c r="D733" s="312"/>
      <c r="E733" s="312"/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  <c r="AP733" s="312"/>
      <c r="AQ733" s="312"/>
      <c r="AR733" s="312"/>
      <c r="AS733" s="312"/>
      <c r="AT733" s="312"/>
    </row>
    <row r="734" ht="15.75" customHeight="1">
      <c r="A734" s="318"/>
      <c r="B734" s="312"/>
      <c r="C734" s="312"/>
      <c r="D734" s="312"/>
      <c r="E734" s="312"/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  <c r="AP734" s="312"/>
      <c r="AQ734" s="312"/>
      <c r="AR734" s="312"/>
      <c r="AS734" s="312"/>
      <c r="AT734" s="312"/>
    </row>
    <row r="735" ht="15.75" customHeight="1">
      <c r="A735" s="318"/>
      <c r="B735" s="312"/>
      <c r="C735" s="312"/>
      <c r="D735" s="312"/>
      <c r="E735" s="312"/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  <c r="AP735" s="312"/>
      <c r="AQ735" s="312"/>
      <c r="AR735" s="312"/>
      <c r="AS735" s="312"/>
      <c r="AT735" s="312"/>
    </row>
    <row r="736" ht="15.75" customHeight="1">
      <c r="A736" s="318"/>
      <c r="B736" s="312"/>
      <c r="C736" s="312"/>
      <c r="D736" s="312"/>
      <c r="E736" s="312"/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  <c r="AP736" s="312"/>
      <c r="AQ736" s="312"/>
      <c r="AR736" s="312"/>
      <c r="AS736" s="312"/>
      <c r="AT736" s="312"/>
    </row>
    <row r="737" ht="15.75" customHeight="1">
      <c r="A737" s="318"/>
      <c r="B737" s="312"/>
      <c r="C737" s="312"/>
      <c r="D737" s="312"/>
      <c r="E737" s="312"/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  <c r="AP737" s="312"/>
      <c r="AQ737" s="312"/>
      <c r="AR737" s="312"/>
      <c r="AS737" s="312"/>
      <c r="AT737" s="312"/>
    </row>
    <row r="738" ht="15.75" customHeight="1">
      <c r="A738" s="318"/>
      <c r="B738" s="312"/>
      <c r="C738" s="312"/>
      <c r="D738" s="312"/>
      <c r="E738" s="312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  <c r="AP738" s="312"/>
      <c r="AQ738" s="312"/>
      <c r="AR738" s="312"/>
      <c r="AS738" s="312"/>
      <c r="AT738" s="312"/>
    </row>
    <row r="739" ht="15.75" customHeight="1">
      <c r="A739" s="318"/>
      <c r="B739" s="312"/>
      <c r="C739" s="312"/>
      <c r="D739" s="312"/>
      <c r="E739" s="312"/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  <c r="AP739" s="312"/>
      <c r="AQ739" s="312"/>
      <c r="AR739" s="312"/>
      <c r="AS739" s="312"/>
      <c r="AT739" s="312"/>
    </row>
    <row r="740" ht="15.75" customHeight="1">
      <c r="A740" s="318"/>
      <c r="B740" s="312"/>
      <c r="C740" s="312"/>
      <c r="D740" s="312"/>
      <c r="E740" s="312"/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  <c r="AP740" s="312"/>
      <c r="AQ740" s="312"/>
      <c r="AR740" s="312"/>
      <c r="AS740" s="312"/>
      <c r="AT740" s="312"/>
    </row>
    <row r="741" ht="15.75" customHeight="1">
      <c r="A741" s="318"/>
      <c r="B741" s="312"/>
      <c r="C741" s="312"/>
      <c r="D741" s="312"/>
      <c r="E741" s="312"/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  <c r="AP741" s="312"/>
      <c r="AQ741" s="312"/>
      <c r="AR741" s="312"/>
      <c r="AS741" s="312"/>
      <c r="AT741" s="312"/>
    </row>
    <row r="742" ht="15.75" customHeight="1">
      <c r="A742" s="318"/>
      <c r="B742" s="312"/>
      <c r="C742" s="312"/>
      <c r="D742" s="312"/>
      <c r="E742" s="312"/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  <c r="AP742" s="312"/>
      <c r="AQ742" s="312"/>
      <c r="AR742" s="312"/>
      <c r="AS742" s="312"/>
      <c r="AT742" s="312"/>
    </row>
    <row r="743" ht="15.75" customHeight="1">
      <c r="A743" s="318"/>
      <c r="B743" s="312"/>
      <c r="C743" s="312"/>
      <c r="D743" s="312"/>
      <c r="E743" s="312"/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  <c r="AP743" s="312"/>
      <c r="AQ743" s="312"/>
      <c r="AR743" s="312"/>
      <c r="AS743" s="312"/>
      <c r="AT743" s="312"/>
    </row>
    <row r="744" ht="15.75" customHeight="1">
      <c r="A744" s="318"/>
      <c r="B744" s="312"/>
      <c r="C744" s="312"/>
      <c r="D744" s="312"/>
      <c r="E744" s="312"/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  <c r="AP744" s="312"/>
      <c r="AQ744" s="312"/>
      <c r="AR744" s="312"/>
      <c r="AS744" s="312"/>
      <c r="AT744" s="312"/>
    </row>
    <row r="745" ht="15.75" customHeight="1">
      <c r="A745" s="318"/>
      <c r="B745" s="312"/>
      <c r="C745" s="312"/>
      <c r="D745" s="312"/>
      <c r="E745" s="312"/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  <c r="AP745" s="312"/>
      <c r="AQ745" s="312"/>
      <c r="AR745" s="312"/>
      <c r="AS745" s="312"/>
      <c r="AT745" s="312"/>
    </row>
    <row r="746" ht="15.75" customHeight="1">
      <c r="A746" s="318"/>
      <c r="B746" s="312"/>
      <c r="C746" s="312"/>
      <c r="D746" s="312"/>
      <c r="E746" s="312"/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  <c r="AP746" s="312"/>
      <c r="AQ746" s="312"/>
      <c r="AR746" s="312"/>
      <c r="AS746" s="312"/>
      <c r="AT746" s="312"/>
    </row>
    <row r="747" ht="15.75" customHeight="1">
      <c r="A747" s="318"/>
      <c r="B747" s="312"/>
      <c r="C747" s="312"/>
      <c r="D747" s="312"/>
      <c r="E747" s="312"/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  <c r="AP747" s="312"/>
      <c r="AQ747" s="312"/>
      <c r="AR747" s="312"/>
      <c r="AS747" s="312"/>
      <c r="AT747" s="312"/>
    </row>
    <row r="748" ht="15.75" customHeight="1">
      <c r="A748" s="318"/>
      <c r="B748" s="312"/>
      <c r="C748" s="312"/>
      <c r="D748" s="312"/>
      <c r="E748" s="312"/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  <c r="AP748" s="312"/>
      <c r="AQ748" s="312"/>
      <c r="AR748" s="312"/>
      <c r="AS748" s="312"/>
      <c r="AT748" s="312"/>
    </row>
    <row r="749" ht="15.75" customHeight="1">
      <c r="A749" s="318"/>
      <c r="B749" s="312"/>
      <c r="C749" s="312"/>
      <c r="D749" s="312"/>
      <c r="E749" s="312"/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  <c r="AP749" s="312"/>
      <c r="AQ749" s="312"/>
      <c r="AR749" s="312"/>
      <c r="AS749" s="312"/>
      <c r="AT749" s="312"/>
    </row>
    <row r="750" ht="15.75" customHeight="1">
      <c r="A750" s="318"/>
      <c r="B750" s="312"/>
      <c r="C750" s="312"/>
      <c r="D750" s="312"/>
      <c r="E750" s="312"/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  <c r="AP750" s="312"/>
      <c r="AQ750" s="312"/>
      <c r="AR750" s="312"/>
      <c r="AS750" s="312"/>
      <c r="AT750" s="312"/>
    </row>
    <row r="751" ht="15.75" customHeight="1">
      <c r="A751" s="318"/>
      <c r="B751" s="312"/>
      <c r="C751" s="312"/>
      <c r="D751" s="312"/>
      <c r="E751" s="312"/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  <c r="AP751" s="312"/>
      <c r="AQ751" s="312"/>
      <c r="AR751" s="312"/>
      <c r="AS751" s="312"/>
      <c r="AT751" s="312"/>
    </row>
    <row r="752" ht="15.75" customHeight="1">
      <c r="A752" s="318"/>
      <c r="B752" s="312"/>
      <c r="C752" s="312"/>
      <c r="D752" s="312"/>
      <c r="E752" s="312"/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  <c r="AP752" s="312"/>
      <c r="AQ752" s="312"/>
      <c r="AR752" s="312"/>
      <c r="AS752" s="312"/>
      <c r="AT752" s="312"/>
    </row>
    <row r="753" ht="15.75" customHeight="1">
      <c r="A753" s="318"/>
      <c r="B753" s="312"/>
      <c r="C753" s="312"/>
      <c r="D753" s="312"/>
      <c r="E753" s="312"/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  <c r="AP753" s="312"/>
      <c r="AQ753" s="312"/>
      <c r="AR753" s="312"/>
      <c r="AS753" s="312"/>
      <c r="AT753" s="312"/>
    </row>
    <row r="754" ht="15.75" customHeight="1">
      <c r="A754" s="318"/>
      <c r="B754" s="312"/>
      <c r="C754" s="312"/>
      <c r="D754" s="312"/>
      <c r="E754" s="312"/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  <c r="AP754" s="312"/>
      <c r="AQ754" s="312"/>
      <c r="AR754" s="312"/>
      <c r="AS754" s="312"/>
      <c r="AT754" s="312"/>
    </row>
    <row r="755" ht="15.75" customHeight="1">
      <c r="A755" s="318"/>
      <c r="B755" s="312"/>
      <c r="C755" s="312"/>
      <c r="D755" s="312"/>
      <c r="E755" s="312"/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  <c r="AP755" s="312"/>
      <c r="AQ755" s="312"/>
      <c r="AR755" s="312"/>
      <c r="AS755" s="312"/>
      <c r="AT755" s="312"/>
    </row>
    <row r="756" ht="15.75" customHeight="1">
      <c r="A756" s="318"/>
      <c r="B756" s="312"/>
      <c r="C756" s="312"/>
      <c r="D756" s="312"/>
      <c r="E756" s="312"/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  <c r="AP756" s="312"/>
      <c r="AQ756" s="312"/>
      <c r="AR756" s="312"/>
      <c r="AS756" s="312"/>
      <c r="AT756" s="312"/>
    </row>
    <row r="757" ht="15.75" customHeight="1">
      <c r="A757" s="318"/>
      <c r="B757" s="312"/>
      <c r="C757" s="312"/>
      <c r="D757" s="312"/>
      <c r="E757" s="312"/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  <c r="AP757" s="312"/>
      <c r="AQ757" s="312"/>
      <c r="AR757" s="312"/>
      <c r="AS757" s="312"/>
      <c r="AT757" s="312"/>
    </row>
    <row r="758" ht="15.75" customHeight="1">
      <c r="A758" s="318"/>
      <c r="B758" s="312"/>
      <c r="C758" s="312"/>
      <c r="D758" s="312"/>
      <c r="E758" s="312"/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  <c r="AP758" s="312"/>
      <c r="AQ758" s="312"/>
      <c r="AR758" s="312"/>
      <c r="AS758" s="312"/>
      <c r="AT758" s="312"/>
    </row>
    <row r="759" ht="15.75" customHeight="1">
      <c r="A759" s="318"/>
      <c r="B759" s="312"/>
      <c r="C759" s="312"/>
      <c r="D759" s="312"/>
      <c r="E759" s="312"/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  <c r="AP759" s="312"/>
      <c r="AQ759" s="312"/>
      <c r="AR759" s="312"/>
      <c r="AS759" s="312"/>
      <c r="AT759" s="312"/>
    </row>
    <row r="760" ht="15.75" customHeight="1">
      <c r="A760" s="318"/>
      <c r="B760" s="312"/>
      <c r="C760" s="312"/>
      <c r="D760" s="312"/>
      <c r="E760" s="312"/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  <c r="AP760" s="312"/>
      <c r="AQ760" s="312"/>
      <c r="AR760" s="312"/>
      <c r="AS760" s="312"/>
      <c r="AT760" s="312"/>
    </row>
    <row r="761" ht="15.75" customHeight="1">
      <c r="A761" s="318"/>
      <c r="B761" s="312"/>
      <c r="C761" s="312"/>
      <c r="D761" s="312"/>
      <c r="E761" s="312"/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  <c r="AP761" s="312"/>
      <c r="AQ761" s="312"/>
      <c r="AR761" s="312"/>
      <c r="AS761" s="312"/>
      <c r="AT761" s="312"/>
    </row>
    <row r="762" ht="15.75" customHeight="1">
      <c r="A762" s="318"/>
      <c r="B762" s="312"/>
      <c r="C762" s="312"/>
      <c r="D762" s="312"/>
      <c r="E762" s="312"/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  <c r="AP762" s="312"/>
      <c r="AQ762" s="312"/>
      <c r="AR762" s="312"/>
      <c r="AS762" s="312"/>
      <c r="AT762" s="312"/>
    </row>
    <row r="763" ht="15.75" customHeight="1">
      <c r="A763" s="318"/>
      <c r="B763" s="312"/>
      <c r="C763" s="312"/>
      <c r="D763" s="312"/>
      <c r="E763" s="312"/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  <c r="AP763" s="312"/>
      <c r="AQ763" s="312"/>
      <c r="AR763" s="312"/>
      <c r="AS763" s="312"/>
      <c r="AT763" s="312"/>
    </row>
    <row r="764" ht="15.75" customHeight="1">
      <c r="A764" s="318"/>
      <c r="B764" s="312"/>
      <c r="C764" s="312"/>
      <c r="D764" s="312"/>
      <c r="E764" s="312"/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  <c r="AP764" s="312"/>
      <c r="AQ764" s="312"/>
      <c r="AR764" s="312"/>
      <c r="AS764" s="312"/>
      <c r="AT764" s="312"/>
    </row>
    <row r="765" ht="15.75" customHeight="1">
      <c r="A765" s="318"/>
      <c r="B765" s="312"/>
      <c r="C765" s="312"/>
      <c r="D765" s="312"/>
      <c r="E765" s="312"/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  <c r="AP765" s="312"/>
      <c r="AQ765" s="312"/>
      <c r="AR765" s="312"/>
      <c r="AS765" s="312"/>
      <c r="AT765" s="312"/>
    </row>
    <row r="766" ht="15.75" customHeight="1">
      <c r="A766" s="318"/>
      <c r="B766" s="312"/>
      <c r="C766" s="312"/>
      <c r="D766" s="312"/>
      <c r="E766" s="312"/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  <c r="AP766" s="312"/>
      <c r="AQ766" s="312"/>
      <c r="AR766" s="312"/>
      <c r="AS766" s="312"/>
      <c r="AT766" s="312"/>
    </row>
    <row r="767" ht="15.75" customHeight="1">
      <c r="A767" s="318"/>
      <c r="B767" s="312"/>
      <c r="C767" s="312"/>
      <c r="D767" s="312"/>
      <c r="E767" s="312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  <c r="AP767" s="312"/>
      <c r="AQ767" s="312"/>
      <c r="AR767" s="312"/>
      <c r="AS767" s="312"/>
      <c r="AT767" s="312"/>
    </row>
    <row r="768" ht="15.75" customHeight="1">
      <c r="A768" s="318"/>
      <c r="B768" s="312"/>
      <c r="C768" s="312"/>
      <c r="D768" s="312"/>
      <c r="E768" s="312"/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  <c r="AP768" s="312"/>
      <c r="AQ768" s="312"/>
      <c r="AR768" s="312"/>
      <c r="AS768" s="312"/>
      <c r="AT768" s="312"/>
    </row>
    <row r="769" ht="15.75" customHeight="1">
      <c r="A769" s="318"/>
      <c r="B769" s="312"/>
      <c r="C769" s="312"/>
      <c r="D769" s="312"/>
      <c r="E769" s="312"/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  <c r="AP769" s="312"/>
      <c r="AQ769" s="312"/>
      <c r="AR769" s="312"/>
      <c r="AS769" s="312"/>
      <c r="AT769" s="312"/>
    </row>
    <row r="770" ht="15.75" customHeight="1">
      <c r="A770" s="318"/>
      <c r="B770" s="312"/>
      <c r="C770" s="312"/>
      <c r="D770" s="312"/>
      <c r="E770" s="312"/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  <c r="AP770" s="312"/>
      <c r="AQ770" s="312"/>
      <c r="AR770" s="312"/>
      <c r="AS770" s="312"/>
      <c r="AT770" s="312"/>
    </row>
    <row r="771" ht="15.75" customHeight="1">
      <c r="A771" s="318"/>
      <c r="B771" s="312"/>
      <c r="C771" s="312"/>
      <c r="D771" s="312"/>
      <c r="E771" s="312"/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  <c r="AP771" s="312"/>
      <c r="AQ771" s="312"/>
      <c r="AR771" s="312"/>
      <c r="AS771" s="312"/>
      <c r="AT771" s="312"/>
    </row>
    <row r="772" ht="15.75" customHeight="1">
      <c r="A772" s="318"/>
      <c r="B772" s="312"/>
      <c r="C772" s="312"/>
      <c r="D772" s="312"/>
      <c r="E772" s="312"/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  <c r="AP772" s="312"/>
      <c r="AQ772" s="312"/>
      <c r="AR772" s="312"/>
      <c r="AS772" s="312"/>
      <c r="AT772" s="312"/>
    </row>
    <row r="773" ht="15.75" customHeight="1">
      <c r="A773" s="318"/>
      <c r="B773" s="312"/>
      <c r="C773" s="312"/>
      <c r="D773" s="312"/>
      <c r="E773" s="312"/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  <c r="AP773" s="312"/>
      <c r="AQ773" s="312"/>
      <c r="AR773" s="312"/>
      <c r="AS773" s="312"/>
      <c r="AT773" s="312"/>
    </row>
    <row r="774" ht="15.75" customHeight="1">
      <c r="A774" s="318"/>
      <c r="B774" s="312"/>
      <c r="C774" s="312"/>
      <c r="D774" s="312"/>
      <c r="E774" s="312"/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  <c r="AP774" s="312"/>
      <c r="AQ774" s="312"/>
      <c r="AR774" s="312"/>
      <c r="AS774" s="312"/>
      <c r="AT774" s="312"/>
    </row>
    <row r="775" ht="15.75" customHeight="1">
      <c r="A775" s="318"/>
      <c r="B775" s="312"/>
      <c r="C775" s="312"/>
      <c r="D775" s="312"/>
      <c r="E775" s="312"/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  <c r="AP775" s="312"/>
      <c r="AQ775" s="312"/>
      <c r="AR775" s="312"/>
      <c r="AS775" s="312"/>
      <c r="AT775" s="312"/>
    </row>
    <row r="776" ht="15.75" customHeight="1">
      <c r="A776" s="318"/>
      <c r="B776" s="312"/>
      <c r="C776" s="312"/>
      <c r="D776" s="312"/>
      <c r="E776" s="312"/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  <c r="AP776" s="312"/>
      <c r="AQ776" s="312"/>
      <c r="AR776" s="312"/>
      <c r="AS776" s="312"/>
      <c r="AT776" s="312"/>
    </row>
    <row r="777" ht="15.75" customHeight="1">
      <c r="A777" s="318"/>
      <c r="B777" s="312"/>
      <c r="C777" s="312"/>
      <c r="D777" s="312"/>
      <c r="E777" s="312"/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  <c r="AP777" s="312"/>
      <c r="AQ777" s="312"/>
      <c r="AR777" s="312"/>
      <c r="AS777" s="312"/>
      <c r="AT777" s="312"/>
    </row>
    <row r="778" ht="15.75" customHeight="1">
      <c r="A778" s="318"/>
      <c r="B778" s="312"/>
      <c r="C778" s="312"/>
      <c r="D778" s="312"/>
      <c r="E778" s="312"/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  <c r="AP778" s="312"/>
      <c r="AQ778" s="312"/>
      <c r="AR778" s="312"/>
      <c r="AS778" s="312"/>
      <c r="AT778" s="312"/>
    </row>
    <row r="779" ht="15.75" customHeight="1">
      <c r="A779" s="318"/>
      <c r="B779" s="312"/>
      <c r="C779" s="312"/>
      <c r="D779" s="312"/>
      <c r="E779" s="312"/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  <c r="AP779" s="312"/>
      <c r="AQ779" s="312"/>
      <c r="AR779" s="312"/>
      <c r="AS779" s="312"/>
      <c r="AT779" s="312"/>
    </row>
    <row r="780" ht="15.75" customHeight="1">
      <c r="A780" s="318"/>
      <c r="B780" s="312"/>
      <c r="C780" s="312"/>
      <c r="D780" s="312"/>
      <c r="E780" s="312"/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  <c r="AP780" s="312"/>
      <c r="AQ780" s="312"/>
      <c r="AR780" s="312"/>
      <c r="AS780" s="312"/>
      <c r="AT780" s="312"/>
    </row>
    <row r="781" ht="15.75" customHeight="1">
      <c r="A781" s="318"/>
      <c r="B781" s="312"/>
      <c r="C781" s="312"/>
      <c r="D781" s="312"/>
      <c r="E781" s="312"/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  <c r="AP781" s="312"/>
      <c r="AQ781" s="312"/>
      <c r="AR781" s="312"/>
      <c r="AS781" s="312"/>
      <c r="AT781" s="312"/>
    </row>
    <row r="782" ht="15.75" customHeight="1">
      <c r="A782" s="318"/>
      <c r="B782" s="312"/>
      <c r="C782" s="312"/>
      <c r="D782" s="312"/>
      <c r="E782" s="312"/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  <c r="AP782" s="312"/>
      <c r="AQ782" s="312"/>
      <c r="AR782" s="312"/>
      <c r="AS782" s="312"/>
      <c r="AT782" s="312"/>
    </row>
    <row r="783" ht="15.75" customHeight="1">
      <c r="A783" s="318"/>
      <c r="B783" s="312"/>
      <c r="C783" s="312"/>
      <c r="D783" s="312"/>
      <c r="E783" s="312"/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  <c r="AP783" s="312"/>
      <c r="AQ783" s="312"/>
      <c r="AR783" s="312"/>
      <c r="AS783" s="312"/>
      <c r="AT783" s="312"/>
    </row>
    <row r="784" ht="15.75" customHeight="1">
      <c r="A784" s="318"/>
      <c r="B784" s="312"/>
      <c r="C784" s="312"/>
      <c r="D784" s="312"/>
      <c r="E784" s="312"/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  <c r="AP784" s="312"/>
      <c r="AQ784" s="312"/>
      <c r="AR784" s="312"/>
      <c r="AS784" s="312"/>
      <c r="AT784" s="312"/>
    </row>
    <row r="785" ht="15.75" customHeight="1">
      <c r="A785" s="318"/>
      <c r="B785" s="312"/>
      <c r="C785" s="312"/>
      <c r="D785" s="312"/>
      <c r="E785" s="312"/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  <c r="AP785" s="312"/>
      <c r="AQ785" s="312"/>
      <c r="AR785" s="312"/>
      <c r="AS785" s="312"/>
      <c r="AT785" s="312"/>
    </row>
    <row r="786" ht="15.75" customHeight="1">
      <c r="A786" s="318"/>
      <c r="B786" s="312"/>
      <c r="C786" s="312"/>
      <c r="D786" s="312"/>
      <c r="E786" s="312"/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  <c r="AP786" s="312"/>
      <c r="AQ786" s="312"/>
      <c r="AR786" s="312"/>
      <c r="AS786" s="312"/>
      <c r="AT786" s="312"/>
    </row>
    <row r="787" ht="15.75" customHeight="1">
      <c r="A787" s="318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  <c r="AP787" s="312"/>
      <c r="AQ787" s="312"/>
      <c r="AR787" s="312"/>
      <c r="AS787" s="312"/>
      <c r="AT787" s="312"/>
    </row>
    <row r="788" ht="15.75" customHeight="1">
      <c r="A788" s="318"/>
      <c r="B788" s="312"/>
      <c r="C788" s="312"/>
      <c r="D788" s="312"/>
      <c r="E788" s="312"/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  <c r="AP788" s="312"/>
      <c r="AQ788" s="312"/>
      <c r="AR788" s="312"/>
      <c r="AS788" s="312"/>
      <c r="AT788" s="312"/>
    </row>
    <row r="789" ht="15.75" customHeight="1">
      <c r="A789" s="318"/>
      <c r="B789" s="312"/>
      <c r="C789" s="312"/>
      <c r="D789" s="312"/>
      <c r="E789" s="312"/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  <c r="AP789" s="312"/>
      <c r="AQ789" s="312"/>
      <c r="AR789" s="312"/>
      <c r="AS789" s="312"/>
      <c r="AT789" s="312"/>
    </row>
    <row r="790" ht="15.75" customHeight="1">
      <c r="A790" s="318"/>
      <c r="B790" s="312"/>
      <c r="C790" s="312"/>
      <c r="D790" s="312"/>
      <c r="E790" s="312"/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  <c r="AP790" s="312"/>
      <c r="AQ790" s="312"/>
      <c r="AR790" s="312"/>
      <c r="AS790" s="312"/>
      <c r="AT790" s="312"/>
    </row>
    <row r="791" ht="15.75" customHeight="1">
      <c r="A791" s="318"/>
      <c r="B791" s="312"/>
      <c r="C791" s="312"/>
      <c r="D791" s="312"/>
      <c r="E791" s="312"/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  <c r="AP791" s="312"/>
      <c r="AQ791" s="312"/>
      <c r="AR791" s="312"/>
      <c r="AS791" s="312"/>
      <c r="AT791" s="312"/>
    </row>
    <row r="792" ht="15.75" customHeight="1">
      <c r="A792" s="318"/>
      <c r="B792" s="312"/>
      <c r="C792" s="312"/>
      <c r="D792" s="312"/>
      <c r="E792" s="312"/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  <c r="AP792" s="312"/>
      <c r="AQ792" s="312"/>
      <c r="AR792" s="312"/>
      <c r="AS792" s="312"/>
      <c r="AT792" s="312"/>
    </row>
    <row r="793" ht="15.75" customHeight="1">
      <c r="A793" s="318"/>
      <c r="B793" s="312"/>
      <c r="C793" s="312"/>
      <c r="D793" s="312"/>
      <c r="E793" s="312"/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  <c r="AP793" s="312"/>
      <c r="AQ793" s="312"/>
      <c r="AR793" s="312"/>
      <c r="AS793" s="312"/>
      <c r="AT793" s="312"/>
    </row>
    <row r="794" ht="15.75" customHeight="1">
      <c r="A794" s="318"/>
      <c r="B794" s="312"/>
      <c r="C794" s="312"/>
      <c r="D794" s="312"/>
      <c r="E794" s="312"/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  <c r="AP794" s="312"/>
      <c r="AQ794" s="312"/>
      <c r="AR794" s="312"/>
      <c r="AS794" s="312"/>
      <c r="AT794" s="312"/>
    </row>
    <row r="795" ht="15.75" customHeight="1">
      <c r="A795" s="318"/>
      <c r="B795" s="312"/>
      <c r="C795" s="312"/>
      <c r="D795" s="312"/>
      <c r="E795" s="312"/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  <c r="AP795" s="312"/>
      <c r="AQ795" s="312"/>
      <c r="AR795" s="312"/>
      <c r="AS795" s="312"/>
      <c r="AT795" s="312"/>
    </row>
    <row r="796" ht="15.75" customHeight="1">
      <c r="A796" s="318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2"/>
      <c r="S796" s="312"/>
      <c r="T796" s="312"/>
      <c r="U796" s="312"/>
      <c r="V796" s="312"/>
      <c r="W796" s="312"/>
      <c r="X796" s="312"/>
      <c r="Y796" s="312"/>
      <c r="Z796" s="312"/>
      <c r="AA796" s="312"/>
      <c r="AB796" s="312"/>
      <c r="AC796" s="312"/>
      <c r="AD796" s="312"/>
      <c r="AE796" s="312"/>
      <c r="AF796" s="312"/>
      <c r="AG796" s="312"/>
      <c r="AH796" s="312"/>
      <c r="AI796" s="312"/>
      <c r="AJ796" s="312"/>
      <c r="AK796" s="312"/>
      <c r="AL796" s="312"/>
      <c r="AM796" s="312"/>
      <c r="AN796" s="312"/>
      <c r="AO796" s="312"/>
      <c r="AP796" s="312"/>
      <c r="AQ796" s="312"/>
      <c r="AR796" s="312"/>
      <c r="AS796" s="312"/>
      <c r="AT796" s="312"/>
    </row>
    <row r="797" ht="15.75" customHeight="1">
      <c r="A797" s="318"/>
      <c r="B797" s="312"/>
      <c r="C797" s="312"/>
      <c r="D797" s="312"/>
      <c r="E797" s="312"/>
      <c r="F797" s="312"/>
      <c r="G797" s="312"/>
      <c r="H797" s="312"/>
      <c r="I797" s="312"/>
      <c r="J797" s="312"/>
      <c r="K797" s="312"/>
      <c r="L797" s="312"/>
      <c r="M797" s="312"/>
      <c r="N797" s="312"/>
      <c r="O797" s="312"/>
      <c r="P797" s="312"/>
      <c r="Q797" s="312"/>
      <c r="R797" s="312"/>
      <c r="S797" s="312"/>
      <c r="T797" s="312"/>
      <c r="U797" s="312"/>
      <c r="V797" s="312"/>
      <c r="W797" s="312"/>
      <c r="X797" s="312"/>
      <c r="Y797" s="312"/>
      <c r="Z797" s="312"/>
      <c r="AA797" s="312"/>
      <c r="AB797" s="312"/>
      <c r="AC797" s="312"/>
      <c r="AD797" s="312"/>
      <c r="AE797" s="312"/>
      <c r="AF797" s="312"/>
      <c r="AG797" s="312"/>
      <c r="AH797" s="312"/>
      <c r="AI797" s="312"/>
      <c r="AJ797" s="312"/>
      <c r="AK797" s="312"/>
      <c r="AL797" s="312"/>
      <c r="AM797" s="312"/>
      <c r="AN797" s="312"/>
      <c r="AO797" s="312"/>
      <c r="AP797" s="312"/>
      <c r="AQ797" s="312"/>
      <c r="AR797" s="312"/>
      <c r="AS797" s="312"/>
      <c r="AT797" s="312"/>
    </row>
    <row r="798" ht="15.75" customHeight="1">
      <c r="A798" s="318"/>
      <c r="B798" s="312"/>
      <c r="C798" s="312"/>
      <c r="D798" s="312"/>
      <c r="E798" s="312"/>
      <c r="F798" s="312"/>
      <c r="G798" s="312"/>
      <c r="H798" s="312"/>
      <c r="I798" s="312"/>
      <c r="J798" s="312"/>
      <c r="K798" s="312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  <c r="AJ798" s="312"/>
      <c r="AK798" s="312"/>
      <c r="AL798" s="312"/>
      <c r="AM798" s="312"/>
      <c r="AN798" s="312"/>
      <c r="AO798" s="312"/>
      <c r="AP798" s="312"/>
      <c r="AQ798" s="312"/>
      <c r="AR798" s="312"/>
      <c r="AS798" s="312"/>
      <c r="AT798" s="312"/>
    </row>
    <row r="799" ht="15.75" customHeight="1">
      <c r="A799" s="318"/>
      <c r="B799" s="312"/>
      <c r="C799" s="312"/>
      <c r="D799" s="312"/>
      <c r="E799" s="312"/>
      <c r="F799" s="312"/>
      <c r="G799" s="312"/>
      <c r="H799" s="312"/>
      <c r="I799" s="312"/>
      <c r="J799" s="312"/>
      <c r="K799" s="312"/>
      <c r="L799" s="312"/>
      <c r="M799" s="312"/>
      <c r="N799" s="312"/>
      <c r="O799" s="312"/>
      <c r="P799" s="312"/>
      <c r="Q799" s="312"/>
      <c r="R799" s="312"/>
      <c r="S799" s="312"/>
      <c r="T799" s="312"/>
      <c r="U799" s="312"/>
      <c r="V799" s="312"/>
      <c r="W799" s="312"/>
      <c r="X799" s="312"/>
      <c r="Y799" s="312"/>
      <c r="Z799" s="312"/>
      <c r="AA799" s="312"/>
      <c r="AB799" s="312"/>
      <c r="AC799" s="312"/>
      <c r="AD799" s="312"/>
      <c r="AE799" s="312"/>
      <c r="AF799" s="312"/>
      <c r="AG799" s="312"/>
      <c r="AH799" s="312"/>
      <c r="AI799" s="312"/>
      <c r="AJ799" s="312"/>
      <c r="AK799" s="312"/>
      <c r="AL799" s="312"/>
      <c r="AM799" s="312"/>
      <c r="AN799" s="312"/>
      <c r="AO799" s="312"/>
      <c r="AP799" s="312"/>
      <c r="AQ799" s="312"/>
      <c r="AR799" s="312"/>
      <c r="AS799" s="312"/>
      <c r="AT799" s="312"/>
    </row>
    <row r="800" ht="15.75" customHeight="1">
      <c r="A800" s="318"/>
      <c r="B800" s="312"/>
      <c r="C800" s="312"/>
      <c r="D800" s="312"/>
      <c r="E800" s="312"/>
      <c r="F800" s="312"/>
      <c r="G800" s="312"/>
      <c r="H800" s="312"/>
      <c r="I800" s="312"/>
      <c r="J800" s="312"/>
      <c r="K800" s="312"/>
      <c r="L800" s="312"/>
      <c r="M800" s="312"/>
      <c r="N800" s="312"/>
      <c r="O800" s="312"/>
      <c r="P800" s="312"/>
      <c r="Q800" s="312"/>
      <c r="R800" s="312"/>
      <c r="S800" s="312"/>
      <c r="T800" s="312"/>
      <c r="U800" s="312"/>
      <c r="V800" s="312"/>
      <c r="W800" s="312"/>
      <c r="X800" s="312"/>
      <c r="Y800" s="312"/>
      <c r="Z800" s="312"/>
      <c r="AA800" s="312"/>
      <c r="AB800" s="312"/>
      <c r="AC800" s="312"/>
      <c r="AD800" s="312"/>
      <c r="AE800" s="312"/>
      <c r="AF800" s="312"/>
      <c r="AG800" s="312"/>
      <c r="AH800" s="312"/>
      <c r="AI800" s="312"/>
      <c r="AJ800" s="312"/>
      <c r="AK800" s="312"/>
      <c r="AL800" s="312"/>
      <c r="AM800" s="312"/>
      <c r="AN800" s="312"/>
      <c r="AO800" s="312"/>
      <c r="AP800" s="312"/>
      <c r="AQ800" s="312"/>
      <c r="AR800" s="312"/>
      <c r="AS800" s="312"/>
      <c r="AT800" s="312"/>
    </row>
    <row r="801" ht="15.75" customHeight="1">
      <c r="A801" s="318"/>
      <c r="B801" s="312"/>
      <c r="C801" s="312"/>
      <c r="D801" s="312"/>
      <c r="E801" s="312"/>
      <c r="F801" s="312"/>
      <c r="G801" s="312"/>
      <c r="H801" s="312"/>
      <c r="I801" s="312"/>
      <c r="J801" s="312"/>
      <c r="K801" s="312"/>
      <c r="L801" s="312"/>
      <c r="M801" s="312"/>
      <c r="N801" s="312"/>
      <c r="O801" s="312"/>
      <c r="P801" s="312"/>
      <c r="Q801" s="312"/>
      <c r="R801" s="312"/>
      <c r="S801" s="312"/>
      <c r="T801" s="312"/>
      <c r="U801" s="312"/>
      <c r="V801" s="312"/>
      <c r="W801" s="312"/>
      <c r="X801" s="312"/>
      <c r="Y801" s="312"/>
      <c r="Z801" s="312"/>
      <c r="AA801" s="312"/>
      <c r="AB801" s="312"/>
      <c r="AC801" s="312"/>
      <c r="AD801" s="312"/>
      <c r="AE801" s="312"/>
      <c r="AF801" s="312"/>
      <c r="AG801" s="312"/>
      <c r="AH801" s="312"/>
      <c r="AI801" s="312"/>
      <c r="AJ801" s="312"/>
      <c r="AK801" s="312"/>
      <c r="AL801" s="312"/>
      <c r="AM801" s="312"/>
      <c r="AN801" s="312"/>
      <c r="AO801" s="312"/>
      <c r="AP801" s="312"/>
      <c r="AQ801" s="312"/>
      <c r="AR801" s="312"/>
      <c r="AS801" s="312"/>
      <c r="AT801" s="312"/>
    </row>
    <row r="802" ht="15.75" customHeight="1">
      <c r="A802" s="318"/>
      <c r="B802" s="312"/>
      <c r="C802" s="312"/>
      <c r="D802" s="312"/>
      <c r="E802" s="312"/>
      <c r="F802" s="312"/>
      <c r="G802" s="312"/>
      <c r="H802" s="312"/>
      <c r="I802" s="312"/>
      <c r="J802" s="312"/>
      <c r="K802" s="312"/>
      <c r="L802" s="312"/>
      <c r="M802" s="312"/>
      <c r="N802" s="312"/>
      <c r="O802" s="312"/>
      <c r="P802" s="312"/>
      <c r="Q802" s="312"/>
      <c r="R802" s="312"/>
      <c r="S802" s="312"/>
      <c r="T802" s="312"/>
      <c r="U802" s="312"/>
      <c r="V802" s="312"/>
      <c r="W802" s="312"/>
      <c r="X802" s="312"/>
      <c r="Y802" s="312"/>
      <c r="Z802" s="312"/>
      <c r="AA802" s="312"/>
      <c r="AB802" s="312"/>
      <c r="AC802" s="312"/>
      <c r="AD802" s="312"/>
      <c r="AE802" s="312"/>
      <c r="AF802" s="312"/>
      <c r="AG802" s="312"/>
      <c r="AH802" s="312"/>
      <c r="AI802" s="312"/>
      <c r="AJ802" s="312"/>
      <c r="AK802" s="312"/>
      <c r="AL802" s="312"/>
      <c r="AM802" s="312"/>
      <c r="AN802" s="312"/>
      <c r="AO802" s="312"/>
      <c r="AP802" s="312"/>
      <c r="AQ802" s="312"/>
      <c r="AR802" s="312"/>
      <c r="AS802" s="312"/>
      <c r="AT802" s="312"/>
    </row>
    <row r="803" ht="15.75" customHeight="1">
      <c r="A803" s="318"/>
      <c r="B803" s="312"/>
      <c r="C803" s="312"/>
      <c r="D803" s="312"/>
      <c r="E803" s="312"/>
      <c r="F803" s="312"/>
      <c r="G803" s="312"/>
      <c r="H803" s="312"/>
      <c r="I803" s="312"/>
      <c r="J803" s="312"/>
      <c r="K803" s="312"/>
      <c r="L803" s="312"/>
      <c r="M803" s="312"/>
      <c r="N803" s="312"/>
      <c r="O803" s="312"/>
      <c r="P803" s="312"/>
      <c r="Q803" s="312"/>
      <c r="R803" s="312"/>
      <c r="S803" s="312"/>
      <c r="T803" s="312"/>
      <c r="U803" s="312"/>
      <c r="V803" s="312"/>
      <c r="W803" s="312"/>
      <c r="X803" s="312"/>
      <c r="Y803" s="312"/>
      <c r="Z803" s="312"/>
      <c r="AA803" s="312"/>
      <c r="AB803" s="312"/>
      <c r="AC803" s="312"/>
      <c r="AD803" s="312"/>
      <c r="AE803" s="312"/>
      <c r="AF803" s="312"/>
      <c r="AG803" s="312"/>
      <c r="AH803" s="312"/>
      <c r="AI803" s="312"/>
      <c r="AJ803" s="312"/>
      <c r="AK803" s="312"/>
      <c r="AL803" s="312"/>
      <c r="AM803" s="312"/>
      <c r="AN803" s="312"/>
      <c r="AO803" s="312"/>
      <c r="AP803" s="312"/>
      <c r="AQ803" s="312"/>
      <c r="AR803" s="312"/>
      <c r="AS803" s="312"/>
      <c r="AT803" s="312"/>
    </row>
    <row r="804" ht="15.75" customHeight="1">
      <c r="A804" s="318"/>
      <c r="B804" s="312"/>
      <c r="C804" s="312"/>
      <c r="D804" s="312"/>
      <c r="E804" s="312"/>
      <c r="F804" s="312"/>
      <c r="G804" s="312"/>
      <c r="H804" s="312"/>
      <c r="I804" s="312"/>
      <c r="J804" s="312"/>
      <c r="K804" s="312"/>
      <c r="L804" s="312"/>
      <c r="M804" s="312"/>
      <c r="N804" s="312"/>
      <c r="O804" s="312"/>
      <c r="P804" s="312"/>
      <c r="Q804" s="312"/>
      <c r="R804" s="312"/>
      <c r="S804" s="312"/>
      <c r="T804" s="312"/>
      <c r="U804" s="312"/>
      <c r="V804" s="312"/>
      <c r="W804" s="312"/>
      <c r="X804" s="312"/>
      <c r="Y804" s="312"/>
      <c r="Z804" s="312"/>
      <c r="AA804" s="312"/>
      <c r="AB804" s="312"/>
      <c r="AC804" s="312"/>
      <c r="AD804" s="312"/>
      <c r="AE804" s="312"/>
      <c r="AF804" s="312"/>
      <c r="AG804" s="312"/>
      <c r="AH804" s="312"/>
      <c r="AI804" s="312"/>
      <c r="AJ804" s="312"/>
      <c r="AK804" s="312"/>
      <c r="AL804" s="312"/>
      <c r="AM804" s="312"/>
      <c r="AN804" s="312"/>
      <c r="AO804" s="312"/>
      <c r="AP804" s="312"/>
      <c r="AQ804" s="312"/>
      <c r="AR804" s="312"/>
      <c r="AS804" s="312"/>
      <c r="AT804" s="312"/>
    </row>
    <row r="805" ht="15.75" customHeight="1">
      <c r="A805" s="318"/>
      <c r="B805" s="312"/>
      <c r="C805" s="312"/>
      <c r="D805" s="312"/>
      <c r="E805" s="312"/>
      <c r="F805" s="312"/>
      <c r="G805" s="312"/>
      <c r="H805" s="312"/>
      <c r="I805" s="312"/>
      <c r="J805" s="312"/>
      <c r="K805" s="312"/>
      <c r="L805" s="312"/>
      <c r="M805" s="312"/>
      <c r="N805" s="312"/>
      <c r="O805" s="312"/>
      <c r="P805" s="312"/>
      <c r="Q805" s="312"/>
      <c r="R805" s="312"/>
      <c r="S805" s="312"/>
      <c r="T805" s="312"/>
      <c r="U805" s="312"/>
      <c r="V805" s="312"/>
      <c r="W805" s="312"/>
      <c r="X805" s="312"/>
      <c r="Y805" s="312"/>
      <c r="Z805" s="312"/>
      <c r="AA805" s="312"/>
      <c r="AB805" s="312"/>
      <c r="AC805" s="312"/>
      <c r="AD805" s="312"/>
      <c r="AE805" s="312"/>
      <c r="AF805" s="312"/>
      <c r="AG805" s="312"/>
      <c r="AH805" s="312"/>
      <c r="AI805" s="312"/>
      <c r="AJ805" s="312"/>
      <c r="AK805" s="312"/>
      <c r="AL805" s="312"/>
      <c r="AM805" s="312"/>
      <c r="AN805" s="312"/>
      <c r="AO805" s="312"/>
      <c r="AP805" s="312"/>
      <c r="AQ805" s="312"/>
      <c r="AR805" s="312"/>
      <c r="AS805" s="312"/>
      <c r="AT805" s="312"/>
    </row>
    <row r="806" ht="15.75" customHeight="1">
      <c r="A806" s="318"/>
      <c r="B806" s="312"/>
      <c r="C806" s="312"/>
      <c r="D806" s="312"/>
      <c r="E806" s="312"/>
      <c r="F806" s="312"/>
      <c r="G806" s="312"/>
      <c r="H806" s="312"/>
      <c r="I806" s="312"/>
      <c r="J806" s="312"/>
      <c r="K806" s="312"/>
      <c r="L806" s="312"/>
      <c r="M806" s="312"/>
      <c r="N806" s="312"/>
      <c r="O806" s="312"/>
      <c r="P806" s="312"/>
      <c r="Q806" s="312"/>
      <c r="R806" s="312"/>
      <c r="S806" s="312"/>
      <c r="T806" s="312"/>
      <c r="U806" s="312"/>
      <c r="V806" s="312"/>
      <c r="W806" s="312"/>
      <c r="X806" s="312"/>
      <c r="Y806" s="312"/>
      <c r="Z806" s="312"/>
      <c r="AA806" s="312"/>
      <c r="AB806" s="312"/>
      <c r="AC806" s="312"/>
      <c r="AD806" s="312"/>
      <c r="AE806" s="312"/>
      <c r="AF806" s="312"/>
      <c r="AG806" s="312"/>
      <c r="AH806" s="312"/>
      <c r="AI806" s="312"/>
      <c r="AJ806" s="312"/>
      <c r="AK806" s="312"/>
      <c r="AL806" s="312"/>
      <c r="AM806" s="312"/>
      <c r="AN806" s="312"/>
      <c r="AO806" s="312"/>
      <c r="AP806" s="312"/>
      <c r="AQ806" s="312"/>
      <c r="AR806" s="312"/>
      <c r="AS806" s="312"/>
      <c r="AT806" s="312"/>
    </row>
    <row r="807" ht="15.75" customHeight="1">
      <c r="A807" s="318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2"/>
      <c r="S807" s="312"/>
      <c r="T807" s="312"/>
      <c r="U807" s="312"/>
      <c r="V807" s="312"/>
      <c r="W807" s="312"/>
      <c r="X807" s="312"/>
      <c r="Y807" s="312"/>
      <c r="Z807" s="312"/>
      <c r="AA807" s="312"/>
      <c r="AB807" s="312"/>
      <c r="AC807" s="312"/>
      <c r="AD807" s="312"/>
      <c r="AE807" s="312"/>
      <c r="AF807" s="312"/>
      <c r="AG807" s="312"/>
      <c r="AH807" s="312"/>
      <c r="AI807" s="312"/>
      <c r="AJ807" s="312"/>
      <c r="AK807" s="312"/>
      <c r="AL807" s="312"/>
      <c r="AM807" s="312"/>
      <c r="AN807" s="312"/>
      <c r="AO807" s="312"/>
      <c r="AP807" s="312"/>
      <c r="AQ807" s="312"/>
      <c r="AR807" s="312"/>
      <c r="AS807" s="312"/>
      <c r="AT807" s="312"/>
    </row>
    <row r="808" ht="15.75" customHeight="1">
      <c r="A808" s="318"/>
      <c r="B808" s="312"/>
      <c r="C808" s="312"/>
      <c r="D808" s="312"/>
      <c r="E808" s="312"/>
      <c r="F808" s="312"/>
      <c r="G808" s="312"/>
      <c r="H808" s="312"/>
      <c r="I808" s="312"/>
      <c r="J808" s="312"/>
      <c r="K808" s="312"/>
      <c r="L808" s="312"/>
      <c r="M808" s="312"/>
      <c r="N808" s="312"/>
      <c r="O808" s="312"/>
      <c r="P808" s="312"/>
      <c r="Q808" s="312"/>
      <c r="R808" s="312"/>
      <c r="S808" s="312"/>
      <c r="T808" s="312"/>
      <c r="U808" s="312"/>
      <c r="V808" s="312"/>
      <c r="W808" s="312"/>
      <c r="X808" s="312"/>
      <c r="Y808" s="312"/>
      <c r="Z808" s="312"/>
      <c r="AA808" s="312"/>
      <c r="AB808" s="312"/>
      <c r="AC808" s="312"/>
      <c r="AD808" s="312"/>
      <c r="AE808" s="312"/>
      <c r="AF808" s="312"/>
      <c r="AG808" s="312"/>
      <c r="AH808" s="312"/>
      <c r="AI808" s="312"/>
      <c r="AJ808" s="312"/>
      <c r="AK808" s="312"/>
      <c r="AL808" s="312"/>
      <c r="AM808" s="312"/>
      <c r="AN808" s="312"/>
      <c r="AO808" s="312"/>
      <c r="AP808" s="312"/>
      <c r="AQ808" s="312"/>
      <c r="AR808" s="312"/>
      <c r="AS808" s="312"/>
      <c r="AT808" s="312"/>
    </row>
    <row r="809" ht="15.75" customHeight="1">
      <c r="A809" s="318"/>
      <c r="B809" s="312"/>
      <c r="C809" s="312"/>
      <c r="D809" s="312"/>
      <c r="E809" s="312"/>
      <c r="F809" s="312"/>
      <c r="G809" s="312"/>
      <c r="H809" s="312"/>
      <c r="I809" s="312"/>
      <c r="J809" s="312"/>
      <c r="K809" s="312"/>
      <c r="L809" s="312"/>
      <c r="M809" s="312"/>
      <c r="N809" s="312"/>
      <c r="O809" s="312"/>
      <c r="P809" s="312"/>
      <c r="Q809" s="312"/>
      <c r="R809" s="312"/>
      <c r="S809" s="312"/>
      <c r="T809" s="312"/>
      <c r="U809" s="312"/>
      <c r="V809" s="312"/>
      <c r="W809" s="312"/>
      <c r="X809" s="312"/>
      <c r="Y809" s="312"/>
      <c r="Z809" s="312"/>
      <c r="AA809" s="312"/>
      <c r="AB809" s="312"/>
      <c r="AC809" s="312"/>
      <c r="AD809" s="312"/>
      <c r="AE809" s="312"/>
      <c r="AF809" s="312"/>
      <c r="AG809" s="312"/>
      <c r="AH809" s="312"/>
      <c r="AI809" s="312"/>
      <c r="AJ809" s="312"/>
      <c r="AK809" s="312"/>
      <c r="AL809" s="312"/>
      <c r="AM809" s="312"/>
      <c r="AN809" s="312"/>
      <c r="AO809" s="312"/>
      <c r="AP809" s="312"/>
      <c r="AQ809" s="312"/>
      <c r="AR809" s="312"/>
      <c r="AS809" s="312"/>
      <c r="AT809" s="312"/>
    </row>
    <row r="810" ht="15.75" customHeight="1">
      <c r="A810" s="318"/>
      <c r="B810" s="312"/>
      <c r="C810" s="312"/>
      <c r="D810" s="312"/>
      <c r="E810" s="312"/>
      <c r="F810" s="312"/>
      <c r="G810" s="312"/>
      <c r="H810" s="312"/>
      <c r="I810" s="312"/>
      <c r="J810" s="312"/>
      <c r="K810" s="312"/>
      <c r="L810" s="312"/>
      <c r="M810" s="312"/>
      <c r="N810" s="312"/>
      <c r="O810" s="312"/>
      <c r="P810" s="312"/>
      <c r="Q810" s="312"/>
      <c r="R810" s="312"/>
      <c r="S810" s="312"/>
      <c r="T810" s="312"/>
      <c r="U810" s="312"/>
      <c r="V810" s="312"/>
      <c r="W810" s="312"/>
      <c r="X810" s="312"/>
      <c r="Y810" s="312"/>
      <c r="Z810" s="312"/>
      <c r="AA810" s="312"/>
      <c r="AB810" s="312"/>
      <c r="AC810" s="312"/>
      <c r="AD810" s="312"/>
      <c r="AE810" s="312"/>
      <c r="AF810" s="312"/>
      <c r="AG810" s="312"/>
      <c r="AH810" s="312"/>
      <c r="AI810" s="312"/>
      <c r="AJ810" s="312"/>
      <c r="AK810" s="312"/>
      <c r="AL810" s="312"/>
      <c r="AM810" s="312"/>
      <c r="AN810" s="312"/>
      <c r="AO810" s="312"/>
      <c r="AP810" s="312"/>
      <c r="AQ810" s="312"/>
      <c r="AR810" s="312"/>
      <c r="AS810" s="312"/>
      <c r="AT810" s="312"/>
    </row>
    <row r="811" ht="15.75" customHeight="1">
      <c r="A811" s="318"/>
      <c r="B811" s="312"/>
      <c r="C811" s="312"/>
      <c r="D811" s="312"/>
      <c r="E811" s="312"/>
      <c r="F811" s="312"/>
      <c r="G811" s="312"/>
      <c r="H811" s="312"/>
      <c r="I811" s="312"/>
      <c r="J811" s="312"/>
      <c r="K811" s="312"/>
      <c r="L811" s="312"/>
      <c r="M811" s="312"/>
      <c r="N811" s="312"/>
      <c r="O811" s="312"/>
      <c r="P811" s="312"/>
      <c r="Q811" s="312"/>
      <c r="R811" s="312"/>
      <c r="S811" s="312"/>
      <c r="T811" s="312"/>
      <c r="U811" s="312"/>
      <c r="V811" s="312"/>
      <c r="W811" s="312"/>
      <c r="X811" s="312"/>
      <c r="Y811" s="312"/>
      <c r="Z811" s="312"/>
      <c r="AA811" s="312"/>
      <c r="AB811" s="312"/>
      <c r="AC811" s="312"/>
      <c r="AD811" s="312"/>
      <c r="AE811" s="312"/>
      <c r="AF811" s="312"/>
      <c r="AG811" s="312"/>
      <c r="AH811" s="312"/>
      <c r="AI811" s="312"/>
      <c r="AJ811" s="312"/>
      <c r="AK811" s="312"/>
      <c r="AL811" s="312"/>
      <c r="AM811" s="312"/>
      <c r="AN811" s="312"/>
      <c r="AO811" s="312"/>
      <c r="AP811" s="312"/>
      <c r="AQ811" s="312"/>
      <c r="AR811" s="312"/>
      <c r="AS811" s="312"/>
      <c r="AT811" s="312"/>
    </row>
    <row r="812" ht="15.75" customHeight="1">
      <c r="A812" s="318"/>
      <c r="B812" s="312"/>
      <c r="C812" s="312"/>
      <c r="D812" s="312"/>
      <c r="E812" s="312"/>
      <c r="F812" s="312"/>
      <c r="G812" s="312"/>
      <c r="H812" s="312"/>
      <c r="I812" s="312"/>
      <c r="J812" s="312"/>
      <c r="K812" s="312"/>
      <c r="L812" s="312"/>
      <c r="M812" s="312"/>
      <c r="N812" s="312"/>
      <c r="O812" s="312"/>
      <c r="P812" s="312"/>
      <c r="Q812" s="312"/>
      <c r="R812" s="312"/>
      <c r="S812" s="312"/>
      <c r="T812" s="312"/>
      <c r="U812" s="312"/>
      <c r="V812" s="312"/>
      <c r="W812" s="312"/>
      <c r="X812" s="312"/>
      <c r="Y812" s="312"/>
      <c r="Z812" s="312"/>
      <c r="AA812" s="312"/>
      <c r="AB812" s="312"/>
      <c r="AC812" s="312"/>
      <c r="AD812" s="312"/>
      <c r="AE812" s="312"/>
      <c r="AF812" s="312"/>
      <c r="AG812" s="312"/>
      <c r="AH812" s="312"/>
      <c r="AI812" s="312"/>
      <c r="AJ812" s="312"/>
      <c r="AK812" s="312"/>
      <c r="AL812" s="312"/>
      <c r="AM812" s="312"/>
      <c r="AN812" s="312"/>
      <c r="AO812" s="312"/>
      <c r="AP812" s="312"/>
      <c r="AQ812" s="312"/>
      <c r="AR812" s="312"/>
      <c r="AS812" s="312"/>
      <c r="AT812" s="312"/>
    </row>
    <row r="813" ht="15.75" customHeight="1">
      <c r="A813" s="318"/>
      <c r="B813" s="312"/>
      <c r="C813" s="312"/>
      <c r="D813" s="312"/>
      <c r="E813" s="312"/>
      <c r="F813" s="312"/>
      <c r="G813" s="312"/>
      <c r="H813" s="312"/>
      <c r="I813" s="312"/>
      <c r="J813" s="312"/>
      <c r="K813" s="312"/>
      <c r="L813" s="312"/>
      <c r="M813" s="312"/>
      <c r="N813" s="312"/>
      <c r="O813" s="312"/>
      <c r="P813" s="312"/>
      <c r="Q813" s="312"/>
      <c r="R813" s="312"/>
      <c r="S813" s="312"/>
      <c r="T813" s="312"/>
      <c r="U813" s="312"/>
      <c r="V813" s="312"/>
      <c r="W813" s="312"/>
      <c r="X813" s="312"/>
      <c r="Y813" s="312"/>
      <c r="Z813" s="312"/>
      <c r="AA813" s="312"/>
      <c r="AB813" s="312"/>
      <c r="AC813" s="312"/>
      <c r="AD813" s="312"/>
      <c r="AE813" s="312"/>
      <c r="AF813" s="312"/>
      <c r="AG813" s="312"/>
      <c r="AH813" s="312"/>
      <c r="AI813" s="312"/>
      <c r="AJ813" s="312"/>
      <c r="AK813" s="312"/>
      <c r="AL813" s="312"/>
      <c r="AM813" s="312"/>
      <c r="AN813" s="312"/>
      <c r="AO813" s="312"/>
      <c r="AP813" s="312"/>
      <c r="AQ813" s="312"/>
      <c r="AR813" s="312"/>
      <c r="AS813" s="312"/>
      <c r="AT813" s="312"/>
    </row>
    <row r="814" ht="15.75" customHeight="1">
      <c r="A814" s="318"/>
      <c r="B814" s="312"/>
      <c r="C814" s="312"/>
      <c r="D814" s="312"/>
      <c r="E814" s="312"/>
      <c r="F814" s="312"/>
      <c r="G814" s="312"/>
      <c r="H814" s="312"/>
      <c r="I814" s="312"/>
      <c r="J814" s="312"/>
      <c r="K814" s="312"/>
      <c r="L814" s="312"/>
      <c r="M814" s="312"/>
      <c r="N814" s="312"/>
      <c r="O814" s="312"/>
      <c r="P814" s="312"/>
      <c r="Q814" s="312"/>
      <c r="R814" s="312"/>
      <c r="S814" s="312"/>
      <c r="T814" s="312"/>
      <c r="U814" s="312"/>
      <c r="V814" s="312"/>
      <c r="W814" s="312"/>
      <c r="X814" s="312"/>
      <c r="Y814" s="312"/>
      <c r="Z814" s="312"/>
      <c r="AA814" s="312"/>
      <c r="AB814" s="312"/>
      <c r="AC814" s="312"/>
      <c r="AD814" s="312"/>
      <c r="AE814" s="312"/>
      <c r="AF814" s="312"/>
      <c r="AG814" s="312"/>
      <c r="AH814" s="312"/>
      <c r="AI814" s="312"/>
      <c r="AJ814" s="312"/>
      <c r="AK814" s="312"/>
      <c r="AL814" s="312"/>
      <c r="AM814" s="312"/>
      <c r="AN814" s="312"/>
      <c r="AO814" s="312"/>
      <c r="AP814" s="312"/>
      <c r="AQ814" s="312"/>
      <c r="AR814" s="312"/>
      <c r="AS814" s="312"/>
      <c r="AT814" s="312"/>
    </row>
    <row r="815" ht="15.75" customHeight="1">
      <c r="A815" s="318"/>
      <c r="B815" s="312"/>
      <c r="C815" s="312"/>
      <c r="D815" s="312"/>
      <c r="E815" s="312"/>
      <c r="F815" s="312"/>
      <c r="G815" s="312"/>
      <c r="H815" s="312"/>
      <c r="I815" s="312"/>
      <c r="J815" s="312"/>
      <c r="K815" s="312"/>
      <c r="L815" s="312"/>
      <c r="M815" s="312"/>
      <c r="N815" s="312"/>
      <c r="O815" s="312"/>
      <c r="P815" s="312"/>
      <c r="Q815" s="312"/>
      <c r="R815" s="312"/>
      <c r="S815" s="312"/>
      <c r="T815" s="312"/>
      <c r="U815" s="312"/>
      <c r="V815" s="312"/>
      <c r="W815" s="312"/>
      <c r="X815" s="312"/>
      <c r="Y815" s="312"/>
      <c r="Z815" s="312"/>
      <c r="AA815" s="312"/>
      <c r="AB815" s="312"/>
      <c r="AC815" s="312"/>
      <c r="AD815" s="312"/>
      <c r="AE815" s="312"/>
      <c r="AF815" s="312"/>
      <c r="AG815" s="312"/>
      <c r="AH815" s="312"/>
      <c r="AI815" s="312"/>
      <c r="AJ815" s="312"/>
      <c r="AK815" s="312"/>
      <c r="AL815" s="312"/>
      <c r="AM815" s="312"/>
      <c r="AN815" s="312"/>
      <c r="AO815" s="312"/>
      <c r="AP815" s="312"/>
      <c r="AQ815" s="312"/>
      <c r="AR815" s="312"/>
      <c r="AS815" s="312"/>
      <c r="AT815" s="312"/>
    </row>
    <row r="816" ht="15.75" customHeight="1">
      <c r="A816" s="318"/>
      <c r="B816" s="312"/>
      <c r="C816" s="312"/>
      <c r="D816" s="312"/>
      <c r="E816" s="312"/>
      <c r="F816" s="312"/>
      <c r="G816" s="312"/>
      <c r="H816" s="312"/>
      <c r="I816" s="312"/>
      <c r="J816" s="312"/>
      <c r="K816" s="312"/>
      <c r="L816" s="312"/>
      <c r="M816" s="312"/>
      <c r="N816" s="312"/>
      <c r="O816" s="312"/>
      <c r="P816" s="312"/>
      <c r="Q816" s="312"/>
      <c r="R816" s="312"/>
      <c r="S816" s="312"/>
      <c r="T816" s="312"/>
      <c r="U816" s="312"/>
      <c r="V816" s="312"/>
      <c r="W816" s="312"/>
      <c r="X816" s="312"/>
      <c r="Y816" s="312"/>
      <c r="Z816" s="312"/>
      <c r="AA816" s="312"/>
      <c r="AB816" s="312"/>
      <c r="AC816" s="312"/>
      <c r="AD816" s="312"/>
      <c r="AE816" s="312"/>
      <c r="AF816" s="312"/>
      <c r="AG816" s="312"/>
      <c r="AH816" s="312"/>
      <c r="AI816" s="312"/>
      <c r="AJ816" s="312"/>
      <c r="AK816" s="312"/>
      <c r="AL816" s="312"/>
      <c r="AM816" s="312"/>
      <c r="AN816" s="312"/>
      <c r="AO816" s="312"/>
      <c r="AP816" s="312"/>
      <c r="AQ816" s="312"/>
      <c r="AR816" s="312"/>
      <c r="AS816" s="312"/>
      <c r="AT816" s="312"/>
    </row>
    <row r="817" ht="15.75" customHeight="1">
      <c r="A817" s="318"/>
      <c r="B817" s="312"/>
      <c r="C817" s="312"/>
      <c r="D817" s="312"/>
      <c r="E817" s="312"/>
      <c r="F817" s="312"/>
      <c r="G817" s="312"/>
      <c r="H817" s="312"/>
      <c r="I817" s="312"/>
      <c r="J817" s="312"/>
      <c r="K817" s="312"/>
      <c r="L817" s="312"/>
      <c r="M817" s="312"/>
      <c r="N817" s="312"/>
      <c r="O817" s="312"/>
      <c r="P817" s="312"/>
      <c r="Q817" s="312"/>
      <c r="R817" s="312"/>
      <c r="S817" s="312"/>
      <c r="T817" s="312"/>
      <c r="U817" s="312"/>
      <c r="V817" s="312"/>
      <c r="W817" s="312"/>
      <c r="X817" s="312"/>
      <c r="Y817" s="312"/>
      <c r="Z817" s="312"/>
      <c r="AA817" s="312"/>
      <c r="AB817" s="312"/>
      <c r="AC817" s="312"/>
      <c r="AD817" s="312"/>
      <c r="AE817" s="312"/>
      <c r="AF817" s="312"/>
      <c r="AG817" s="312"/>
      <c r="AH817" s="312"/>
      <c r="AI817" s="312"/>
      <c r="AJ817" s="312"/>
      <c r="AK817" s="312"/>
      <c r="AL817" s="312"/>
      <c r="AM817" s="312"/>
      <c r="AN817" s="312"/>
      <c r="AO817" s="312"/>
      <c r="AP817" s="312"/>
      <c r="AQ817" s="312"/>
      <c r="AR817" s="312"/>
      <c r="AS817" s="312"/>
      <c r="AT817" s="312"/>
    </row>
    <row r="818" ht="15.75" customHeight="1">
      <c r="A818" s="318"/>
      <c r="B818" s="312"/>
      <c r="C818" s="312"/>
      <c r="D818" s="312"/>
      <c r="E818" s="312"/>
      <c r="F818" s="312"/>
      <c r="G818" s="312"/>
      <c r="H818" s="312"/>
      <c r="I818" s="312"/>
      <c r="J818" s="312"/>
      <c r="K818" s="312"/>
      <c r="L818" s="312"/>
      <c r="M818" s="312"/>
      <c r="N818" s="312"/>
      <c r="O818" s="312"/>
      <c r="P818" s="312"/>
      <c r="Q818" s="312"/>
      <c r="R818" s="312"/>
      <c r="S818" s="312"/>
      <c r="T818" s="312"/>
      <c r="U818" s="312"/>
      <c r="V818" s="312"/>
      <c r="W818" s="312"/>
      <c r="X818" s="312"/>
      <c r="Y818" s="312"/>
      <c r="Z818" s="312"/>
      <c r="AA818" s="312"/>
      <c r="AB818" s="312"/>
      <c r="AC818" s="312"/>
      <c r="AD818" s="312"/>
      <c r="AE818" s="312"/>
      <c r="AF818" s="312"/>
      <c r="AG818" s="312"/>
      <c r="AH818" s="312"/>
      <c r="AI818" s="312"/>
      <c r="AJ818" s="312"/>
      <c r="AK818" s="312"/>
      <c r="AL818" s="312"/>
      <c r="AM818" s="312"/>
      <c r="AN818" s="312"/>
      <c r="AO818" s="312"/>
      <c r="AP818" s="312"/>
      <c r="AQ818" s="312"/>
      <c r="AR818" s="312"/>
      <c r="AS818" s="312"/>
      <c r="AT818" s="312"/>
    </row>
    <row r="819" ht="15.75" customHeight="1">
      <c r="A819" s="318"/>
      <c r="B819" s="312"/>
      <c r="C819" s="312"/>
      <c r="D819" s="312"/>
      <c r="E819" s="312"/>
      <c r="F819" s="312"/>
      <c r="G819" s="312"/>
      <c r="H819" s="312"/>
      <c r="I819" s="312"/>
      <c r="J819" s="312"/>
      <c r="K819" s="312"/>
      <c r="L819" s="312"/>
      <c r="M819" s="312"/>
      <c r="N819" s="312"/>
      <c r="O819" s="312"/>
      <c r="P819" s="312"/>
      <c r="Q819" s="312"/>
      <c r="R819" s="312"/>
      <c r="S819" s="312"/>
      <c r="T819" s="312"/>
      <c r="U819" s="312"/>
      <c r="V819" s="312"/>
      <c r="W819" s="312"/>
      <c r="X819" s="312"/>
      <c r="Y819" s="312"/>
      <c r="Z819" s="312"/>
      <c r="AA819" s="312"/>
      <c r="AB819" s="312"/>
      <c r="AC819" s="312"/>
      <c r="AD819" s="312"/>
      <c r="AE819" s="312"/>
      <c r="AF819" s="312"/>
      <c r="AG819" s="312"/>
      <c r="AH819" s="312"/>
      <c r="AI819" s="312"/>
      <c r="AJ819" s="312"/>
      <c r="AK819" s="312"/>
      <c r="AL819" s="312"/>
      <c r="AM819" s="312"/>
      <c r="AN819" s="312"/>
      <c r="AO819" s="312"/>
      <c r="AP819" s="312"/>
      <c r="AQ819" s="312"/>
      <c r="AR819" s="312"/>
      <c r="AS819" s="312"/>
      <c r="AT819" s="312"/>
    </row>
    <row r="820" ht="15.75" customHeight="1">
      <c r="A820" s="318"/>
      <c r="B820" s="312"/>
      <c r="C820" s="312"/>
      <c r="D820" s="312"/>
      <c r="E820" s="312"/>
      <c r="F820" s="312"/>
      <c r="G820" s="312"/>
      <c r="H820" s="312"/>
      <c r="I820" s="312"/>
      <c r="J820" s="312"/>
      <c r="K820" s="312"/>
      <c r="L820" s="312"/>
      <c r="M820" s="312"/>
      <c r="N820" s="312"/>
      <c r="O820" s="312"/>
      <c r="P820" s="312"/>
      <c r="Q820" s="312"/>
      <c r="R820" s="312"/>
      <c r="S820" s="312"/>
      <c r="T820" s="312"/>
      <c r="U820" s="312"/>
      <c r="V820" s="312"/>
      <c r="W820" s="312"/>
      <c r="X820" s="312"/>
      <c r="Y820" s="312"/>
      <c r="Z820" s="312"/>
      <c r="AA820" s="312"/>
      <c r="AB820" s="312"/>
      <c r="AC820" s="312"/>
      <c r="AD820" s="312"/>
      <c r="AE820" s="312"/>
      <c r="AF820" s="312"/>
      <c r="AG820" s="312"/>
      <c r="AH820" s="312"/>
      <c r="AI820" s="312"/>
      <c r="AJ820" s="312"/>
      <c r="AK820" s="312"/>
      <c r="AL820" s="312"/>
      <c r="AM820" s="312"/>
      <c r="AN820" s="312"/>
      <c r="AO820" s="312"/>
      <c r="AP820" s="312"/>
      <c r="AQ820" s="312"/>
      <c r="AR820" s="312"/>
      <c r="AS820" s="312"/>
      <c r="AT820" s="312"/>
    </row>
    <row r="821" ht="15.75" customHeight="1">
      <c r="A821" s="318"/>
      <c r="B821" s="312"/>
      <c r="C821" s="312"/>
      <c r="D821" s="312"/>
      <c r="E821" s="312"/>
      <c r="F821" s="312"/>
      <c r="G821" s="312"/>
      <c r="H821" s="312"/>
      <c r="I821" s="312"/>
      <c r="J821" s="312"/>
      <c r="K821" s="312"/>
      <c r="L821" s="312"/>
      <c r="M821" s="312"/>
      <c r="N821" s="312"/>
      <c r="O821" s="312"/>
      <c r="P821" s="312"/>
      <c r="Q821" s="312"/>
      <c r="R821" s="312"/>
      <c r="S821" s="312"/>
      <c r="T821" s="312"/>
      <c r="U821" s="312"/>
      <c r="V821" s="312"/>
      <c r="W821" s="312"/>
      <c r="X821" s="312"/>
      <c r="Y821" s="312"/>
      <c r="Z821" s="312"/>
      <c r="AA821" s="312"/>
      <c r="AB821" s="312"/>
      <c r="AC821" s="312"/>
      <c r="AD821" s="312"/>
      <c r="AE821" s="312"/>
      <c r="AF821" s="312"/>
      <c r="AG821" s="312"/>
      <c r="AH821" s="312"/>
      <c r="AI821" s="312"/>
      <c r="AJ821" s="312"/>
      <c r="AK821" s="312"/>
      <c r="AL821" s="312"/>
      <c r="AM821" s="312"/>
      <c r="AN821" s="312"/>
      <c r="AO821" s="312"/>
      <c r="AP821" s="312"/>
      <c r="AQ821" s="312"/>
      <c r="AR821" s="312"/>
      <c r="AS821" s="312"/>
      <c r="AT821" s="312"/>
    </row>
    <row r="822" ht="15.75" customHeight="1">
      <c r="A822" s="318"/>
      <c r="B822" s="312"/>
      <c r="C822" s="312"/>
      <c r="D822" s="312"/>
      <c r="E822" s="312"/>
      <c r="F822" s="312"/>
      <c r="G822" s="312"/>
      <c r="H822" s="312"/>
      <c r="I822" s="312"/>
      <c r="J822" s="312"/>
      <c r="K822" s="312"/>
      <c r="L822" s="312"/>
      <c r="M822" s="312"/>
      <c r="N822" s="312"/>
      <c r="O822" s="312"/>
      <c r="P822" s="312"/>
      <c r="Q822" s="312"/>
      <c r="R822" s="312"/>
      <c r="S822" s="312"/>
      <c r="T822" s="312"/>
      <c r="U822" s="312"/>
      <c r="V822" s="312"/>
      <c r="W822" s="312"/>
      <c r="X822" s="312"/>
      <c r="Y822" s="312"/>
      <c r="Z822" s="312"/>
      <c r="AA822" s="312"/>
      <c r="AB822" s="312"/>
      <c r="AC822" s="312"/>
      <c r="AD822" s="312"/>
      <c r="AE822" s="312"/>
      <c r="AF822" s="312"/>
      <c r="AG822" s="312"/>
      <c r="AH822" s="312"/>
      <c r="AI822" s="312"/>
      <c r="AJ822" s="312"/>
      <c r="AK822" s="312"/>
      <c r="AL822" s="312"/>
      <c r="AM822" s="312"/>
      <c r="AN822" s="312"/>
      <c r="AO822" s="312"/>
      <c r="AP822" s="312"/>
      <c r="AQ822" s="312"/>
      <c r="AR822" s="312"/>
      <c r="AS822" s="312"/>
      <c r="AT822" s="312"/>
    </row>
    <row r="823" ht="15.75" customHeight="1">
      <c r="A823" s="318"/>
      <c r="B823" s="312"/>
      <c r="C823" s="312"/>
      <c r="D823" s="312"/>
      <c r="E823" s="312"/>
      <c r="F823" s="312"/>
      <c r="G823" s="312"/>
      <c r="H823" s="312"/>
      <c r="I823" s="312"/>
      <c r="J823" s="312"/>
      <c r="K823" s="312"/>
      <c r="L823" s="312"/>
      <c r="M823" s="312"/>
      <c r="N823" s="312"/>
      <c r="O823" s="312"/>
      <c r="P823" s="312"/>
      <c r="Q823" s="312"/>
      <c r="R823" s="312"/>
      <c r="S823" s="312"/>
      <c r="T823" s="312"/>
      <c r="U823" s="312"/>
      <c r="V823" s="312"/>
      <c r="W823" s="312"/>
      <c r="X823" s="312"/>
      <c r="Y823" s="312"/>
      <c r="Z823" s="312"/>
      <c r="AA823" s="312"/>
      <c r="AB823" s="312"/>
      <c r="AC823" s="312"/>
      <c r="AD823" s="312"/>
      <c r="AE823" s="312"/>
      <c r="AF823" s="312"/>
      <c r="AG823" s="312"/>
      <c r="AH823" s="312"/>
      <c r="AI823" s="312"/>
      <c r="AJ823" s="312"/>
      <c r="AK823" s="312"/>
      <c r="AL823" s="312"/>
      <c r="AM823" s="312"/>
      <c r="AN823" s="312"/>
      <c r="AO823" s="312"/>
      <c r="AP823" s="312"/>
      <c r="AQ823" s="312"/>
      <c r="AR823" s="312"/>
      <c r="AS823" s="312"/>
      <c r="AT823" s="312"/>
    </row>
    <row r="824" ht="15.75" customHeight="1">
      <c r="A824" s="318"/>
      <c r="B824" s="312"/>
      <c r="C824" s="312"/>
      <c r="D824" s="312"/>
      <c r="E824" s="312"/>
      <c r="F824" s="312"/>
      <c r="G824" s="312"/>
      <c r="H824" s="312"/>
      <c r="I824" s="312"/>
      <c r="J824" s="312"/>
      <c r="K824" s="312"/>
      <c r="L824" s="312"/>
      <c r="M824" s="312"/>
      <c r="N824" s="312"/>
      <c r="O824" s="312"/>
      <c r="P824" s="312"/>
      <c r="Q824" s="312"/>
      <c r="R824" s="312"/>
      <c r="S824" s="312"/>
      <c r="T824" s="312"/>
      <c r="U824" s="312"/>
      <c r="V824" s="312"/>
      <c r="W824" s="312"/>
      <c r="X824" s="312"/>
      <c r="Y824" s="312"/>
      <c r="Z824" s="312"/>
      <c r="AA824" s="312"/>
      <c r="AB824" s="312"/>
      <c r="AC824" s="312"/>
      <c r="AD824" s="312"/>
      <c r="AE824" s="312"/>
      <c r="AF824" s="312"/>
      <c r="AG824" s="312"/>
      <c r="AH824" s="312"/>
      <c r="AI824" s="312"/>
      <c r="AJ824" s="312"/>
      <c r="AK824" s="312"/>
      <c r="AL824" s="312"/>
      <c r="AM824" s="312"/>
      <c r="AN824" s="312"/>
      <c r="AO824" s="312"/>
      <c r="AP824" s="312"/>
      <c r="AQ824" s="312"/>
      <c r="AR824" s="312"/>
      <c r="AS824" s="312"/>
      <c r="AT824" s="312"/>
    </row>
    <row r="825" ht="15.75" customHeight="1">
      <c r="A825" s="318"/>
      <c r="B825" s="312"/>
      <c r="C825" s="312"/>
      <c r="D825" s="312"/>
      <c r="E825" s="312"/>
      <c r="F825" s="312"/>
      <c r="G825" s="312"/>
      <c r="H825" s="312"/>
      <c r="I825" s="312"/>
      <c r="J825" s="312"/>
      <c r="K825" s="312"/>
      <c r="L825" s="312"/>
      <c r="M825" s="312"/>
      <c r="N825" s="312"/>
      <c r="O825" s="312"/>
      <c r="P825" s="312"/>
      <c r="Q825" s="312"/>
      <c r="R825" s="312"/>
      <c r="S825" s="312"/>
      <c r="T825" s="312"/>
      <c r="U825" s="312"/>
      <c r="V825" s="312"/>
      <c r="W825" s="312"/>
      <c r="X825" s="312"/>
      <c r="Y825" s="312"/>
      <c r="Z825" s="312"/>
      <c r="AA825" s="312"/>
      <c r="AB825" s="312"/>
      <c r="AC825" s="312"/>
      <c r="AD825" s="312"/>
      <c r="AE825" s="312"/>
      <c r="AF825" s="312"/>
      <c r="AG825" s="312"/>
      <c r="AH825" s="312"/>
      <c r="AI825" s="312"/>
      <c r="AJ825" s="312"/>
      <c r="AK825" s="312"/>
      <c r="AL825" s="312"/>
      <c r="AM825" s="312"/>
      <c r="AN825" s="312"/>
      <c r="AO825" s="312"/>
      <c r="AP825" s="312"/>
      <c r="AQ825" s="312"/>
      <c r="AR825" s="312"/>
      <c r="AS825" s="312"/>
      <c r="AT825" s="312"/>
    </row>
    <row r="826" ht="15.75" customHeight="1">
      <c r="A826" s="318"/>
      <c r="B826" s="312"/>
      <c r="C826" s="312"/>
      <c r="D826" s="312"/>
      <c r="E826" s="312"/>
      <c r="F826" s="312"/>
      <c r="G826" s="312"/>
      <c r="H826" s="312"/>
      <c r="I826" s="312"/>
      <c r="J826" s="312"/>
      <c r="K826" s="312"/>
      <c r="L826" s="312"/>
      <c r="M826" s="312"/>
      <c r="N826" s="312"/>
      <c r="O826" s="312"/>
      <c r="P826" s="312"/>
      <c r="Q826" s="312"/>
      <c r="R826" s="312"/>
      <c r="S826" s="312"/>
      <c r="T826" s="312"/>
      <c r="U826" s="312"/>
      <c r="V826" s="312"/>
      <c r="W826" s="312"/>
      <c r="X826" s="312"/>
      <c r="Y826" s="312"/>
      <c r="Z826" s="312"/>
      <c r="AA826" s="312"/>
      <c r="AB826" s="312"/>
      <c r="AC826" s="312"/>
      <c r="AD826" s="312"/>
      <c r="AE826" s="312"/>
      <c r="AF826" s="312"/>
      <c r="AG826" s="312"/>
      <c r="AH826" s="312"/>
      <c r="AI826" s="312"/>
      <c r="AJ826" s="312"/>
      <c r="AK826" s="312"/>
      <c r="AL826" s="312"/>
      <c r="AM826" s="312"/>
      <c r="AN826" s="312"/>
      <c r="AO826" s="312"/>
      <c r="AP826" s="312"/>
      <c r="AQ826" s="312"/>
      <c r="AR826" s="312"/>
      <c r="AS826" s="312"/>
      <c r="AT826" s="312"/>
    </row>
    <row r="827" ht="15.75" customHeight="1">
      <c r="A827" s="318"/>
      <c r="B827" s="312"/>
      <c r="C827" s="312"/>
      <c r="D827" s="312"/>
      <c r="E827" s="312"/>
      <c r="F827" s="312"/>
      <c r="G827" s="312"/>
      <c r="H827" s="312"/>
      <c r="I827" s="312"/>
      <c r="J827" s="312"/>
      <c r="K827" s="312"/>
      <c r="L827" s="312"/>
      <c r="M827" s="312"/>
      <c r="N827" s="312"/>
      <c r="O827" s="312"/>
      <c r="P827" s="312"/>
      <c r="Q827" s="312"/>
      <c r="R827" s="312"/>
      <c r="S827" s="312"/>
      <c r="T827" s="312"/>
      <c r="U827" s="312"/>
      <c r="V827" s="312"/>
      <c r="W827" s="312"/>
      <c r="X827" s="312"/>
      <c r="Y827" s="312"/>
      <c r="Z827" s="312"/>
      <c r="AA827" s="312"/>
      <c r="AB827" s="312"/>
      <c r="AC827" s="312"/>
      <c r="AD827" s="312"/>
      <c r="AE827" s="312"/>
      <c r="AF827" s="312"/>
      <c r="AG827" s="312"/>
      <c r="AH827" s="312"/>
      <c r="AI827" s="312"/>
      <c r="AJ827" s="312"/>
      <c r="AK827" s="312"/>
      <c r="AL827" s="312"/>
      <c r="AM827" s="312"/>
      <c r="AN827" s="312"/>
      <c r="AO827" s="312"/>
      <c r="AP827" s="312"/>
      <c r="AQ827" s="312"/>
      <c r="AR827" s="312"/>
      <c r="AS827" s="312"/>
      <c r="AT827" s="312"/>
    </row>
    <row r="828" ht="15.75" customHeight="1">
      <c r="A828" s="318"/>
      <c r="B828" s="312"/>
      <c r="C828" s="312"/>
      <c r="D828" s="312"/>
      <c r="E828" s="312"/>
      <c r="F828" s="312"/>
      <c r="G828" s="312"/>
      <c r="H828" s="312"/>
      <c r="I828" s="312"/>
      <c r="J828" s="312"/>
      <c r="K828" s="312"/>
      <c r="L828" s="312"/>
      <c r="M828" s="312"/>
      <c r="N828" s="312"/>
      <c r="O828" s="312"/>
      <c r="P828" s="312"/>
      <c r="Q828" s="312"/>
      <c r="R828" s="312"/>
      <c r="S828" s="312"/>
      <c r="T828" s="312"/>
      <c r="U828" s="312"/>
      <c r="V828" s="312"/>
      <c r="W828" s="312"/>
      <c r="X828" s="312"/>
      <c r="Y828" s="312"/>
      <c r="Z828" s="312"/>
      <c r="AA828" s="312"/>
      <c r="AB828" s="312"/>
      <c r="AC828" s="312"/>
      <c r="AD828" s="312"/>
      <c r="AE828" s="312"/>
      <c r="AF828" s="312"/>
      <c r="AG828" s="312"/>
      <c r="AH828" s="312"/>
      <c r="AI828" s="312"/>
      <c r="AJ828" s="312"/>
      <c r="AK828" s="312"/>
      <c r="AL828" s="312"/>
      <c r="AM828" s="312"/>
      <c r="AN828" s="312"/>
      <c r="AO828" s="312"/>
      <c r="AP828" s="312"/>
      <c r="AQ828" s="312"/>
      <c r="AR828" s="312"/>
      <c r="AS828" s="312"/>
      <c r="AT828" s="312"/>
    </row>
    <row r="829" ht="15.75" customHeight="1">
      <c r="A829" s="318"/>
      <c r="B829" s="312"/>
      <c r="C829" s="312"/>
      <c r="D829" s="312"/>
      <c r="E829" s="312"/>
      <c r="F829" s="312"/>
      <c r="G829" s="312"/>
      <c r="H829" s="312"/>
      <c r="I829" s="312"/>
      <c r="J829" s="312"/>
      <c r="K829" s="312"/>
      <c r="L829" s="312"/>
      <c r="M829" s="312"/>
      <c r="N829" s="312"/>
      <c r="O829" s="312"/>
      <c r="P829" s="312"/>
      <c r="Q829" s="312"/>
      <c r="R829" s="312"/>
      <c r="S829" s="312"/>
      <c r="T829" s="312"/>
      <c r="U829" s="312"/>
      <c r="V829" s="312"/>
      <c r="W829" s="312"/>
      <c r="X829" s="312"/>
      <c r="Y829" s="312"/>
      <c r="Z829" s="312"/>
      <c r="AA829" s="312"/>
      <c r="AB829" s="312"/>
      <c r="AC829" s="312"/>
      <c r="AD829" s="312"/>
      <c r="AE829" s="312"/>
      <c r="AF829" s="312"/>
      <c r="AG829" s="312"/>
      <c r="AH829" s="312"/>
      <c r="AI829" s="312"/>
      <c r="AJ829" s="312"/>
      <c r="AK829" s="312"/>
      <c r="AL829" s="312"/>
      <c r="AM829" s="312"/>
      <c r="AN829" s="312"/>
      <c r="AO829" s="312"/>
      <c r="AP829" s="312"/>
      <c r="AQ829" s="312"/>
      <c r="AR829" s="312"/>
      <c r="AS829" s="312"/>
      <c r="AT829" s="312"/>
    </row>
    <row r="830" ht="15.75" customHeight="1">
      <c r="A830" s="318"/>
      <c r="B830" s="312"/>
      <c r="C830" s="312"/>
      <c r="D830" s="312"/>
      <c r="E830" s="312"/>
      <c r="F830" s="312"/>
      <c r="G830" s="312"/>
      <c r="H830" s="312"/>
      <c r="I830" s="312"/>
      <c r="J830" s="312"/>
      <c r="K830" s="312"/>
      <c r="L830" s="312"/>
      <c r="M830" s="312"/>
      <c r="N830" s="312"/>
      <c r="O830" s="312"/>
      <c r="P830" s="312"/>
      <c r="Q830" s="312"/>
      <c r="R830" s="312"/>
      <c r="S830" s="312"/>
      <c r="T830" s="312"/>
      <c r="U830" s="312"/>
      <c r="V830" s="312"/>
      <c r="W830" s="312"/>
      <c r="X830" s="312"/>
      <c r="Y830" s="312"/>
      <c r="Z830" s="312"/>
      <c r="AA830" s="312"/>
      <c r="AB830" s="312"/>
      <c r="AC830" s="312"/>
      <c r="AD830" s="312"/>
      <c r="AE830" s="312"/>
      <c r="AF830" s="312"/>
      <c r="AG830" s="312"/>
      <c r="AH830" s="312"/>
      <c r="AI830" s="312"/>
      <c r="AJ830" s="312"/>
      <c r="AK830" s="312"/>
      <c r="AL830" s="312"/>
      <c r="AM830" s="312"/>
      <c r="AN830" s="312"/>
      <c r="AO830" s="312"/>
      <c r="AP830" s="312"/>
      <c r="AQ830" s="312"/>
      <c r="AR830" s="312"/>
      <c r="AS830" s="312"/>
      <c r="AT830" s="312"/>
    </row>
    <row r="831" ht="15.75" customHeight="1">
      <c r="A831" s="318"/>
      <c r="B831" s="312"/>
      <c r="C831" s="312"/>
      <c r="D831" s="312"/>
      <c r="E831" s="312"/>
      <c r="F831" s="312"/>
      <c r="G831" s="312"/>
      <c r="H831" s="312"/>
      <c r="I831" s="312"/>
      <c r="J831" s="312"/>
      <c r="K831" s="312"/>
      <c r="L831" s="312"/>
      <c r="M831" s="312"/>
      <c r="N831" s="312"/>
      <c r="O831" s="312"/>
      <c r="P831" s="312"/>
      <c r="Q831" s="312"/>
      <c r="R831" s="312"/>
      <c r="S831" s="312"/>
      <c r="T831" s="312"/>
      <c r="U831" s="312"/>
      <c r="V831" s="312"/>
      <c r="W831" s="312"/>
      <c r="X831" s="312"/>
      <c r="Y831" s="312"/>
      <c r="Z831" s="312"/>
      <c r="AA831" s="312"/>
      <c r="AB831" s="312"/>
      <c r="AC831" s="312"/>
      <c r="AD831" s="312"/>
      <c r="AE831" s="312"/>
      <c r="AF831" s="312"/>
      <c r="AG831" s="312"/>
      <c r="AH831" s="312"/>
      <c r="AI831" s="312"/>
      <c r="AJ831" s="312"/>
      <c r="AK831" s="312"/>
      <c r="AL831" s="312"/>
      <c r="AM831" s="312"/>
      <c r="AN831" s="312"/>
      <c r="AO831" s="312"/>
      <c r="AP831" s="312"/>
      <c r="AQ831" s="312"/>
      <c r="AR831" s="312"/>
      <c r="AS831" s="312"/>
      <c r="AT831" s="312"/>
    </row>
    <row r="832" ht="15.75" customHeight="1">
      <c r="A832" s="318"/>
      <c r="B832" s="312"/>
      <c r="C832" s="312"/>
      <c r="D832" s="312"/>
      <c r="E832" s="312"/>
      <c r="F832" s="312"/>
      <c r="G832" s="312"/>
      <c r="H832" s="312"/>
      <c r="I832" s="312"/>
      <c r="J832" s="312"/>
      <c r="K832" s="312"/>
      <c r="L832" s="312"/>
      <c r="M832" s="312"/>
      <c r="N832" s="312"/>
      <c r="O832" s="312"/>
      <c r="P832" s="312"/>
      <c r="Q832" s="312"/>
      <c r="R832" s="312"/>
      <c r="S832" s="312"/>
      <c r="T832" s="312"/>
      <c r="U832" s="312"/>
      <c r="V832" s="312"/>
      <c r="W832" s="312"/>
      <c r="X832" s="312"/>
      <c r="Y832" s="312"/>
      <c r="Z832" s="312"/>
      <c r="AA832" s="312"/>
      <c r="AB832" s="312"/>
      <c r="AC832" s="312"/>
      <c r="AD832" s="312"/>
      <c r="AE832" s="312"/>
      <c r="AF832" s="312"/>
      <c r="AG832" s="312"/>
      <c r="AH832" s="312"/>
      <c r="AI832" s="312"/>
      <c r="AJ832" s="312"/>
      <c r="AK832" s="312"/>
      <c r="AL832" s="312"/>
      <c r="AM832" s="312"/>
      <c r="AN832" s="312"/>
      <c r="AO832" s="312"/>
      <c r="AP832" s="312"/>
      <c r="AQ832" s="312"/>
      <c r="AR832" s="312"/>
      <c r="AS832" s="312"/>
      <c r="AT832" s="312"/>
    </row>
    <row r="833" ht="15.75" customHeight="1">
      <c r="A833" s="318"/>
      <c r="B833" s="312"/>
      <c r="C833" s="312"/>
      <c r="D833" s="312"/>
      <c r="E833" s="312"/>
      <c r="F833" s="312"/>
      <c r="G833" s="312"/>
      <c r="H833" s="312"/>
      <c r="I833" s="312"/>
      <c r="J833" s="312"/>
      <c r="K833" s="312"/>
      <c r="L833" s="312"/>
      <c r="M833" s="312"/>
      <c r="N833" s="312"/>
      <c r="O833" s="312"/>
      <c r="P833" s="312"/>
      <c r="Q833" s="312"/>
      <c r="R833" s="312"/>
      <c r="S833" s="312"/>
      <c r="T833" s="312"/>
      <c r="U833" s="312"/>
      <c r="V833" s="312"/>
      <c r="W833" s="312"/>
      <c r="X833" s="312"/>
      <c r="Y833" s="312"/>
      <c r="Z833" s="312"/>
      <c r="AA833" s="312"/>
      <c r="AB833" s="312"/>
      <c r="AC833" s="312"/>
      <c r="AD833" s="312"/>
      <c r="AE833" s="312"/>
      <c r="AF833" s="312"/>
      <c r="AG833" s="312"/>
      <c r="AH833" s="312"/>
      <c r="AI833" s="312"/>
      <c r="AJ833" s="312"/>
      <c r="AK833" s="312"/>
      <c r="AL833" s="312"/>
      <c r="AM833" s="312"/>
      <c r="AN833" s="312"/>
      <c r="AO833" s="312"/>
      <c r="AP833" s="312"/>
      <c r="AQ833" s="312"/>
      <c r="AR833" s="312"/>
      <c r="AS833" s="312"/>
      <c r="AT833" s="312"/>
    </row>
    <row r="834" ht="15.75" customHeight="1">
      <c r="A834" s="318"/>
      <c r="B834" s="312"/>
      <c r="C834" s="312"/>
      <c r="D834" s="312"/>
      <c r="E834" s="312"/>
      <c r="F834" s="312"/>
      <c r="G834" s="312"/>
      <c r="H834" s="312"/>
      <c r="I834" s="312"/>
      <c r="J834" s="312"/>
      <c r="K834" s="312"/>
      <c r="L834" s="312"/>
      <c r="M834" s="312"/>
      <c r="N834" s="312"/>
      <c r="O834" s="312"/>
      <c r="P834" s="312"/>
      <c r="Q834" s="312"/>
      <c r="R834" s="312"/>
      <c r="S834" s="312"/>
      <c r="T834" s="312"/>
      <c r="U834" s="312"/>
      <c r="V834" s="312"/>
      <c r="W834" s="312"/>
      <c r="X834" s="312"/>
      <c r="Y834" s="312"/>
      <c r="Z834" s="312"/>
      <c r="AA834" s="312"/>
      <c r="AB834" s="312"/>
      <c r="AC834" s="312"/>
      <c r="AD834" s="312"/>
      <c r="AE834" s="312"/>
      <c r="AF834" s="312"/>
      <c r="AG834" s="312"/>
      <c r="AH834" s="312"/>
      <c r="AI834" s="312"/>
      <c r="AJ834" s="312"/>
      <c r="AK834" s="312"/>
      <c r="AL834" s="312"/>
      <c r="AM834" s="312"/>
      <c r="AN834" s="312"/>
      <c r="AO834" s="312"/>
      <c r="AP834" s="312"/>
      <c r="AQ834" s="312"/>
      <c r="AR834" s="312"/>
      <c r="AS834" s="312"/>
      <c r="AT834" s="312"/>
    </row>
    <row r="835" ht="15.75" customHeight="1">
      <c r="A835" s="318"/>
      <c r="B835" s="312"/>
      <c r="C835" s="312"/>
      <c r="D835" s="312"/>
      <c r="E835" s="312"/>
      <c r="F835" s="312"/>
      <c r="G835" s="312"/>
      <c r="H835" s="312"/>
      <c r="I835" s="312"/>
      <c r="J835" s="312"/>
      <c r="K835" s="312"/>
      <c r="L835" s="312"/>
      <c r="M835" s="312"/>
      <c r="N835" s="312"/>
      <c r="O835" s="312"/>
      <c r="P835" s="312"/>
      <c r="Q835" s="312"/>
      <c r="R835" s="312"/>
      <c r="S835" s="312"/>
      <c r="T835" s="312"/>
      <c r="U835" s="312"/>
      <c r="V835" s="312"/>
      <c r="W835" s="312"/>
      <c r="X835" s="312"/>
      <c r="Y835" s="312"/>
      <c r="Z835" s="312"/>
      <c r="AA835" s="312"/>
      <c r="AB835" s="312"/>
      <c r="AC835" s="312"/>
      <c r="AD835" s="312"/>
      <c r="AE835" s="312"/>
      <c r="AF835" s="312"/>
      <c r="AG835" s="312"/>
      <c r="AH835" s="312"/>
      <c r="AI835" s="312"/>
      <c r="AJ835" s="312"/>
      <c r="AK835" s="312"/>
      <c r="AL835" s="312"/>
      <c r="AM835" s="312"/>
      <c r="AN835" s="312"/>
      <c r="AO835" s="312"/>
      <c r="AP835" s="312"/>
      <c r="AQ835" s="312"/>
      <c r="AR835" s="312"/>
      <c r="AS835" s="312"/>
      <c r="AT835" s="312"/>
    </row>
    <row r="836" ht="15.75" customHeight="1">
      <c r="A836" s="318"/>
      <c r="B836" s="312"/>
      <c r="C836" s="312"/>
      <c r="D836" s="312"/>
      <c r="E836" s="312"/>
      <c r="F836" s="312"/>
      <c r="G836" s="312"/>
      <c r="H836" s="312"/>
      <c r="I836" s="312"/>
      <c r="J836" s="312"/>
      <c r="K836" s="312"/>
      <c r="L836" s="312"/>
      <c r="M836" s="312"/>
      <c r="N836" s="312"/>
      <c r="O836" s="312"/>
      <c r="P836" s="312"/>
      <c r="Q836" s="312"/>
      <c r="R836" s="312"/>
      <c r="S836" s="312"/>
      <c r="T836" s="312"/>
      <c r="U836" s="312"/>
      <c r="V836" s="312"/>
      <c r="W836" s="312"/>
      <c r="X836" s="312"/>
      <c r="Y836" s="312"/>
      <c r="Z836" s="312"/>
      <c r="AA836" s="312"/>
      <c r="AB836" s="312"/>
      <c r="AC836" s="312"/>
      <c r="AD836" s="312"/>
      <c r="AE836" s="312"/>
      <c r="AF836" s="312"/>
      <c r="AG836" s="312"/>
      <c r="AH836" s="312"/>
      <c r="AI836" s="312"/>
      <c r="AJ836" s="312"/>
      <c r="AK836" s="312"/>
      <c r="AL836" s="312"/>
      <c r="AM836" s="312"/>
      <c r="AN836" s="312"/>
      <c r="AO836" s="312"/>
      <c r="AP836" s="312"/>
      <c r="AQ836" s="312"/>
      <c r="AR836" s="312"/>
      <c r="AS836" s="312"/>
      <c r="AT836" s="312"/>
    </row>
    <row r="837" ht="15.75" customHeight="1">
      <c r="A837" s="318"/>
      <c r="B837" s="312"/>
      <c r="C837" s="312"/>
      <c r="D837" s="312"/>
      <c r="E837" s="312"/>
      <c r="F837" s="312"/>
      <c r="G837" s="312"/>
      <c r="H837" s="312"/>
      <c r="I837" s="312"/>
      <c r="J837" s="312"/>
      <c r="K837" s="312"/>
      <c r="L837" s="312"/>
      <c r="M837" s="312"/>
      <c r="N837" s="312"/>
      <c r="O837" s="312"/>
      <c r="P837" s="312"/>
      <c r="Q837" s="312"/>
      <c r="R837" s="312"/>
      <c r="S837" s="312"/>
      <c r="T837" s="312"/>
      <c r="U837" s="312"/>
      <c r="V837" s="312"/>
      <c r="W837" s="312"/>
      <c r="X837" s="312"/>
      <c r="Y837" s="312"/>
      <c r="Z837" s="312"/>
      <c r="AA837" s="312"/>
      <c r="AB837" s="312"/>
      <c r="AC837" s="312"/>
      <c r="AD837" s="312"/>
      <c r="AE837" s="312"/>
      <c r="AF837" s="312"/>
      <c r="AG837" s="312"/>
      <c r="AH837" s="312"/>
      <c r="AI837" s="312"/>
      <c r="AJ837" s="312"/>
      <c r="AK837" s="312"/>
      <c r="AL837" s="312"/>
      <c r="AM837" s="312"/>
      <c r="AN837" s="312"/>
      <c r="AO837" s="312"/>
      <c r="AP837" s="312"/>
      <c r="AQ837" s="312"/>
      <c r="AR837" s="312"/>
      <c r="AS837" s="312"/>
      <c r="AT837" s="312"/>
    </row>
    <row r="838" ht="15.75" customHeight="1">
      <c r="A838" s="318"/>
      <c r="B838" s="312"/>
      <c r="C838" s="312"/>
      <c r="D838" s="312"/>
      <c r="E838" s="312"/>
      <c r="F838" s="312"/>
      <c r="G838" s="312"/>
      <c r="H838" s="312"/>
      <c r="I838" s="312"/>
      <c r="J838" s="312"/>
      <c r="K838" s="312"/>
      <c r="L838" s="312"/>
      <c r="M838" s="312"/>
      <c r="N838" s="312"/>
      <c r="O838" s="312"/>
      <c r="P838" s="312"/>
      <c r="Q838" s="312"/>
      <c r="R838" s="312"/>
      <c r="S838" s="312"/>
      <c r="T838" s="312"/>
      <c r="U838" s="312"/>
      <c r="V838" s="312"/>
      <c r="W838" s="312"/>
      <c r="X838" s="312"/>
      <c r="Y838" s="312"/>
      <c r="Z838" s="312"/>
      <c r="AA838" s="312"/>
      <c r="AB838" s="312"/>
      <c r="AC838" s="312"/>
      <c r="AD838" s="312"/>
      <c r="AE838" s="312"/>
      <c r="AF838" s="312"/>
      <c r="AG838" s="312"/>
      <c r="AH838" s="312"/>
      <c r="AI838" s="312"/>
      <c r="AJ838" s="312"/>
      <c r="AK838" s="312"/>
      <c r="AL838" s="312"/>
      <c r="AM838" s="312"/>
      <c r="AN838" s="312"/>
      <c r="AO838" s="312"/>
      <c r="AP838" s="312"/>
      <c r="AQ838" s="312"/>
      <c r="AR838" s="312"/>
      <c r="AS838" s="312"/>
      <c r="AT838" s="312"/>
    </row>
    <row r="839" ht="15.75" customHeight="1">
      <c r="A839" s="318"/>
      <c r="B839" s="312"/>
      <c r="C839" s="312"/>
      <c r="D839" s="312"/>
      <c r="E839" s="312"/>
      <c r="F839" s="312"/>
      <c r="G839" s="312"/>
      <c r="H839" s="312"/>
      <c r="I839" s="312"/>
      <c r="J839" s="312"/>
      <c r="K839" s="312"/>
      <c r="L839" s="312"/>
      <c r="M839" s="312"/>
      <c r="N839" s="312"/>
      <c r="O839" s="312"/>
      <c r="P839" s="312"/>
      <c r="Q839" s="312"/>
      <c r="R839" s="312"/>
      <c r="S839" s="312"/>
      <c r="T839" s="312"/>
      <c r="U839" s="312"/>
      <c r="V839" s="312"/>
      <c r="W839" s="312"/>
      <c r="X839" s="312"/>
      <c r="Y839" s="312"/>
      <c r="Z839" s="312"/>
      <c r="AA839" s="312"/>
      <c r="AB839" s="312"/>
      <c r="AC839" s="312"/>
      <c r="AD839" s="312"/>
      <c r="AE839" s="312"/>
      <c r="AF839" s="312"/>
      <c r="AG839" s="312"/>
      <c r="AH839" s="312"/>
      <c r="AI839" s="312"/>
      <c r="AJ839" s="312"/>
      <c r="AK839" s="312"/>
      <c r="AL839" s="312"/>
      <c r="AM839" s="312"/>
      <c r="AN839" s="312"/>
      <c r="AO839" s="312"/>
      <c r="AP839" s="312"/>
      <c r="AQ839" s="312"/>
      <c r="AR839" s="312"/>
      <c r="AS839" s="312"/>
      <c r="AT839" s="312"/>
    </row>
    <row r="840" ht="15.75" customHeight="1">
      <c r="A840" s="318"/>
      <c r="B840" s="312"/>
      <c r="C840" s="312"/>
      <c r="D840" s="312"/>
      <c r="E840" s="312"/>
      <c r="F840" s="312"/>
      <c r="G840" s="312"/>
      <c r="H840" s="312"/>
      <c r="I840" s="312"/>
      <c r="J840" s="312"/>
      <c r="K840" s="312"/>
      <c r="L840" s="312"/>
      <c r="M840" s="312"/>
      <c r="N840" s="312"/>
      <c r="O840" s="312"/>
      <c r="P840" s="312"/>
      <c r="Q840" s="312"/>
      <c r="R840" s="312"/>
      <c r="S840" s="312"/>
      <c r="T840" s="312"/>
      <c r="U840" s="312"/>
      <c r="V840" s="312"/>
      <c r="W840" s="312"/>
      <c r="X840" s="312"/>
      <c r="Y840" s="312"/>
      <c r="Z840" s="312"/>
      <c r="AA840" s="312"/>
      <c r="AB840" s="312"/>
      <c r="AC840" s="312"/>
      <c r="AD840" s="312"/>
      <c r="AE840" s="312"/>
      <c r="AF840" s="312"/>
      <c r="AG840" s="312"/>
      <c r="AH840" s="312"/>
      <c r="AI840" s="312"/>
      <c r="AJ840" s="312"/>
      <c r="AK840" s="312"/>
      <c r="AL840" s="312"/>
      <c r="AM840" s="312"/>
      <c r="AN840" s="312"/>
      <c r="AO840" s="312"/>
      <c r="AP840" s="312"/>
      <c r="AQ840" s="312"/>
      <c r="AR840" s="312"/>
      <c r="AS840" s="312"/>
      <c r="AT840" s="312"/>
    </row>
    <row r="841" ht="15.75" customHeight="1">
      <c r="A841" s="318"/>
      <c r="B841" s="312"/>
      <c r="C841" s="312"/>
      <c r="D841" s="312"/>
      <c r="E841" s="312"/>
      <c r="F841" s="312"/>
      <c r="G841" s="312"/>
      <c r="H841" s="312"/>
      <c r="I841" s="312"/>
      <c r="J841" s="312"/>
      <c r="K841" s="312"/>
      <c r="L841" s="312"/>
      <c r="M841" s="312"/>
      <c r="N841" s="312"/>
      <c r="O841" s="312"/>
      <c r="P841" s="312"/>
      <c r="Q841" s="312"/>
      <c r="R841" s="312"/>
      <c r="S841" s="312"/>
      <c r="T841" s="312"/>
      <c r="U841" s="312"/>
      <c r="V841" s="312"/>
      <c r="W841" s="312"/>
      <c r="X841" s="312"/>
      <c r="Y841" s="312"/>
      <c r="Z841" s="312"/>
      <c r="AA841" s="312"/>
      <c r="AB841" s="312"/>
      <c r="AC841" s="312"/>
      <c r="AD841" s="312"/>
      <c r="AE841" s="312"/>
      <c r="AF841" s="312"/>
      <c r="AG841" s="312"/>
      <c r="AH841" s="312"/>
      <c r="AI841" s="312"/>
      <c r="AJ841" s="312"/>
      <c r="AK841" s="312"/>
      <c r="AL841" s="312"/>
      <c r="AM841" s="312"/>
      <c r="AN841" s="312"/>
      <c r="AO841" s="312"/>
      <c r="AP841" s="312"/>
      <c r="AQ841" s="312"/>
      <c r="AR841" s="312"/>
      <c r="AS841" s="312"/>
      <c r="AT841" s="312"/>
    </row>
    <row r="842" ht="15.75" customHeight="1">
      <c r="A842" s="318"/>
      <c r="B842" s="312"/>
      <c r="C842" s="312"/>
      <c r="D842" s="312"/>
      <c r="E842" s="312"/>
      <c r="F842" s="312"/>
      <c r="G842" s="312"/>
      <c r="H842" s="312"/>
      <c r="I842" s="312"/>
      <c r="J842" s="312"/>
      <c r="K842" s="312"/>
      <c r="L842" s="312"/>
      <c r="M842" s="312"/>
      <c r="N842" s="312"/>
      <c r="O842" s="312"/>
      <c r="P842" s="312"/>
      <c r="Q842" s="312"/>
      <c r="R842" s="312"/>
      <c r="S842" s="312"/>
      <c r="T842" s="312"/>
      <c r="U842" s="312"/>
      <c r="V842" s="312"/>
      <c r="W842" s="312"/>
      <c r="X842" s="312"/>
      <c r="Y842" s="312"/>
      <c r="Z842" s="312"/>
      <c r="AA842" s="312"/>
      <c r="AB842" s="312"/>
      <c r="AC842" s="312"/>
      <c r="AD842" s="312"/>
      <c r="AE842" s="312"/>
      <c r="AF842" s="312"/>
      <c r="AG842" s="312"/>
      <c r="AH842" s="312"/>
      <c r="AI842" s="312"/>
      <c r="AJ842" s="312"/>
      <c r="AK842" s="312"/>
      <c r="AL842" s="312"/>
      <c r="AM842" s="312"/>
      <c r="AN842" s="312"/>
      <c r="AO842" s="312"/>
      <c r="AP842" s="312"/>
      <c r="AQ842" s="312"/>
      <c r="AR842" s="312"/>
      <c r="AS842" s="312"/>
      <c r="AT842" s="312"/>
    </row>
    <row r="843" ht="15.75" customHeight="1">
      <c r="A843" s="318"/>
      <c r="B843" s="312"/>
      <c r="C843" s="312"/>
      <c r="D843" s="312"/>
      <c r="E843" s="312"/>
      <c r="F843" s="312"/>
      <c r="G843" s="312"/>
      <c r="H843" s="312"/>
      <c r="I843" s="312"/>
      <c r="J843" s="312"/>
      <c r="K843" s="312"/>
      <c r="L843" s="312"/>
      <c r="M843" s="312"/>
      <c r="N843" s="312"/>
      <c r="O843" s="312"/>
      <c r="P843" s="312"/>
      <c r="Q843" s="312"/>
      <c r="R843" s="312"/>
      <c r="S843" s="312"/>
      <c r="T843" s="312"/>
      <c r="U843" s="312"/>
      <c r="V843" s="312"/>
      <c r="W843" s="312"/>
      <c r="X843" s="312"/>
      <c r="Y843" s="312"/>
      <c r="Z843" s="312"/>
      <c r="AA843" s="312"/>
      <c r="AB843" s="312"/>
      <c r="AC843" s="312"/>
      <c r="AD843" s="312"/>
      <c r="AE843" s="312"/>
      <c r="AF843" s="312"/>
      <c r="AG843" s="312"/>
      <c r="AH843" s="312"/>
      <c r="AI843" s="312"/>
      <c r="AJ843" s="312"/>
      <c r="AK843" s="312"/>
      <c r="AL843" s="312"/>
      <c r="AM843" s="312"/>
      <c r="AN843" s="312"/>
      <c r="AO843" s="312"/>
      <c r="AP843" s="312"/>
      <c r="AQ843" s="312"/>
      <c r="AR843" s="312"/>
      <c r="AS843" s="312"/>
      <c r="AT843" s="312"/>
    </row>
    <row r="844" ht="15.75" customHeight="1">
      <c r="A844" s="318"/>
      <c r="B844" s="312"/>
      <c r="C844" s="312"/>
      <c r="D844" s="312"/>
      <c r="E844" s="312"/>
      <c r="F844" s="312"/>
      <c r="G844" s="312"/>
      <c r="H844" s="312"/>
      <c r="I844" s="312"/>
      <c r="J844" s="312"/>
      <c r="K844" s="312"/>
      <c r="L844" s="312"/>
      <c r="M844" s="312"/>
      <c r="N844" s="312"/>
      <c r="O844" s="312"/>
      <c r="P844" s="312"/>
      <c r="Q844" s="312"/>
      <c r="R844" s="312"/>
      <c r="S844" s="312"/>
      <c r="T844" s="312"/>
      <c r="U844" s="312"/>
      <c r="V844" s="312"/>
      <c r="W844" s="312"/>
      <c r="X844" s="312"/>
      <c r="Y844" s="312"/>
      <c r="Z844" s="312"/>
      <c r="AA844" s="312"/>
      <c r="AB844" s="312"/>
      <c r="AC844" s="312"/>
      <c r="AD844" s="312"/>
      <c r="AE844" s="312"/>
      <c r="AF844" s="312"/>
      <c r="AG844" s="312"/>
      <c r="AH844" s="312"/>
      <c r="AI844" s="312"/>
      <c r="AJ844" s="312"/>
      <c r="AK844" s="312"/>
      <c r="AL844" s="312"/>
      <c r="AM844" s="312"/>
      <c r="AN844" s="312"/>
      <c r="AO844" s="312"/>
      <c r="AP844" s="312"/>
      <c r="AQ844" s="312"/>
      <c r="AR844" s="312"/>
      <c r="AS844" s="312"/>
      <c r="AT844" s="312"/>
    </row>
    <row r="845" ht="15.75" customHeight="1">
      <c r="A845" s="318"/>
      <c r="B845" s="312"/>
      <c r="C845" s="312"/>
      <c r="D845" s="312"/>
      <c r="E845" s="312"/>
      <c r="F845" s="312"/>
      <c r="G845" s="312"/>
      <c r="H845" s="312"/>
      <c r="I845" s="312"/>
      <c r="J845" s="312"/>
      <c r="K845" s="312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2"/>
      <c r="AE845" s="312"/>
      <c r="AF845" s="312"/>
      <c r="AG845" s="312"/>
      <c r="AH845" s="312"/>
      <c r="AI845" s="312"/>
      <c r="AJ845" s="312"/>
      <c r="AK845" s="312"/>
      <c r="AL845" s="312"/>
      <c r="AM845" s="312"/>
      <c r="AN845" s="312"/>
      <c r="AO845" s="312"/>
      <c r="AP845" s="312"/>
      <c r="AQ845" s="312"/>
      <c r="AR845" s="312"/>
      <c r="AS845" s="312"/>
      <c r="AT845" s="312"/>
    </row>
    <row r="846" ht="15.75" customHeight="1">
      <c r="A846" s="318"/>
      <c r="B846" s="312"/>
      <c r="C846" s="312"/>
      <c r="D846" s="312"/>
      <c r="E846" s="312"/>
      <c r="F846" s="312"/>
      <c r="G846" s="312"/>
      <c r="H846" s="312"/>
      <c r="I846" s="312"/>
      <c r="J846" s="312"/>
      <c r="K846" s="312"/>
      <c r="L846" s="312"/>
      <c r="M846" s="312"/>
      <c r="N846" s="312"/>
      <c r="O846" s="312"/>
      <c r="P846" s="312"/>
      <c r="Q846" s="312"/>
      <c r="R846" s="312"/>
      <c r="S846" s="312"/>
      <c r="T846" s="312"/>
      <c r="U846" s="312"/>
      <c r="V846" s="312"/>
      <c r="W846" s="312"/>
      <c r="X846" s="312"/>
      <c r="Y846" s="312"/>
      <c r="Z846" s="312"/>
      <c r="AA846" s="312"/>
      <c r="AB846" s="312"/>
      <c r="AC846" s="312"/>
      <c r="AD846" s="312"/>
      <c r="AE846" s="312"/>
      <c r="AF846" s="312"/>
      <c r="AG846" s="312"/>
      <c r="AH846" s="312"/>
      <c r="AI846" s="312"/>
      <c r="AJ846" s="312"/>
      <c r="AK846" s="312"/>
      <c r="AL846" s="312"/>
      <c r="AM846" s="312"/>
      <c r="AN846" s="312"/>
      <c r="AO846" s="312"/>
      <c r="AP846" s="312"/>
      <c r="AQ846" s="312"/>
      <c r="AR846" s="312"/>
      <c r="AS846" s="312"/>
      <c r="AT846" s="312"/>
    </row>
    <row r="847" ht="15.75" customHeight="1">
      <c r="A847" s="318"/>
      <c r="B847" s="312"/>
      <c r="C847" s="312"/>
      <c r="D847" s="312"/>
      <c r="E847" s="312"/>
      <c r="F847" s="312"/>
      <c r="G847" s="312"/>
      <c r="H847" s="312"/>
      <c r="I847" s="312"/>
      <c r="J847" s="312"/>
      <c r="K847" s="312"/>
      <c r="L847" s="312"/>
      <c r="M847" s="312"/>
      <c r="N847" s="312"/>
      <c r="O847" s="312"/>
      <c r="P847" s="312"/>
      <c r="Q847" s="312"/>
      <c r="R847" s="312"/>
      <c r="S847" s="312"/>
      <c r="T847" s="312"/>
      <c r="U847" s="312"/>
      <c r="V847" s="312"/>
      <c r="W847" s="312"/>
      <c r="X847" s="312"/>
      <c r="Y847" s="312"/>
      <c r="Z847" s="312"/>
      <c r="AA847" s="312"/>
      <c r="AB847" s="312"/>
      <c r="AC847" s="312"/>
      <c r="AD847" s="312"/>
      <c r="AE847" s="312"/>
      <c r="AF847" s="312"/>
      <c r="AG847" s="312"/>
      <c r="AH847" s="312"/>
      <c r="AI847" s="312"/>
      <c r="AJ847" s="312"/>
      <c r="AK847" s="312"/>
      <c r="AL847" s="312"/>
      <c r="AM847" s="312"/>
      <c r="AN847" s="312"/>
      <c r="AO847" s="312"/>
      <c r="AP847" s="312"/>
      <c r="AQ847" s="312"/>
      <c r="AR847" s="312"/>
      <c r="AS847" s="312"/>
      <c r="AT847" s="312"/>
    </row>
    <row r="848" ht="15.75" customHeight="1">
      <c r="A848" s="318"/>
      <c r="B848" s="312"/>
      <c r="C848" s="312"/>
      <c r="D848" s="312"/>
      <c r="E848" s="312"/>
      <c r="F848" s="312"/>
      <c r="G848" s="312"/>
      <c r="H848" s="312"/>
      <c r="I848" s="312"/>
      <c r="J848" s="312"/>
      <c r="K848" s="312"/>
      <c r="L848" s="312"/>
      <c r="M848" s="312"/>
      <c r="N848" s="312"/>
      <c r="O848" s="312"/>
      <c r="P848" s="312"/>
      <c r="Q848" s="312"/>
      <c r="R848" s="312"/>
      <c r="S848" s="312"/>
      <c r="T848" s="312"/>
      <c r="U848" s="312"/>
      <c r="V848" s="312"/>
      <c r="W848" s="312"/>
      <c r="X848" s="312"/>
      <c r="Y848" s="312"/>
      <c r="Z848" s="312"/>
      <c r="AA848" s="312"/>
      <c r="AB848" s="312"/>
      <c r="AC848" s="312"/>
      <c r="AD848" s="312"/>
      <c r="AE848" s="312"/>
      <c r="AF848" s="312"/>
      <c r="AG848" s="312"/>
      <c r="AH848" s="312"/>
      <c r="AI848" s="312"/>
      <c r="AJ848" s="312"/>
      <c r="AK848" s="312"/>
      <c r="AL848" s="312"/>
      <c r="AM848" s="312"/>
      <c r="AN848" s="312"/>
      <c r="AO848" s="312"/>
      <c r="AP848" s="312"/>
      <c r="AQ848" s="312"/>
      <c r="AR848" s="312"/>
      <c r="AS848" s="312"/>
      <c r="AT848" s="312"/>
    </row>
    <row r="849" ht="15.75" customHeight="1">
      <c r="A849" s="318"/>
      <c r="B849" s="312"/>
      <c r="C849" s="312"/>
      <c r="D849" s="312"/>
      <c r="E849" s="312"/>
      <c r="F849" s="312"/>
      <c r="G849" s="312"/>
      <c r="H849" s="312"/>
      <c r="I849" s="312"/>
      <c r="J849" s="312"/>
      <c r="K849" s="312"/>
      <c r="L849" s="312"/>
      <c r="M849" s="312"/>
      <c r="N849" s="312"/>
      <c r="O849" s="312"/>
      <c r="P849" s="312"/>
      <c r="Q849" s="312"/>
      <c r="R849" s="312"/>
      <c r="S849" s="312"/>
      <c r="T849" s="312"/>
      <c r="U849" s="312"/>
      <c r="V849" s="312"/>
      <c r="W849" s="312"/>
      <c r="X849" s="312"/>
      <c r="Y849" s="312"/>
      <c r="Z849" s="312"/>
      <c r="AA849" s="312"/>
      <c r="AB849" s="312"/>
      <c r="AC849" s="312"/>
      <c r="AD849" s="312"/>
      <c r="AE849" s="312"/>
      <c r="AF849" s="312"/>
      <c r="AG849" s="312"/>
      <c r="AH849" s="312"/>
      <c r="AI849" s="312"/>
      <c r="AJ849" s="312"/>
      <c r="AK849" s="312"/>
      <c r="AL849" s="312"/>
      <c r="AM849" s="312"/>
      <c r="AN849" s="312"/>
      <c r="AO849" s="312"/>
      <c r="AP849" s="312"/>
      <c r="AQ849" s="312"/>
      <c r="AR849" s="312"/>
      <c r="AS849" s="312"/>
      <c r="AT849" s="312"/>
    </row>
    <row r="850" ht="15.75" customHeight="1">
      <c r="A850" s="318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2"/>
      <c r="S850" s="312"/>
      <c r="T850" s="312"/>
      <c r="U850" s="312"/>
      <c r="V850" s="312"/>
      <c r="W850" s="312"/>
      <c r="X850" s="312"/>
      <c r="Y850" s="312"/>
      <c r="Z850" s="312"/>
      <c r="AA850" s="312"/>
      <c r="AB850" s="312"/>
      <c r="AC850" s="312"/>
      <c r="AD850" s="312"/>
      <c r="AE850" s="312"/>
      <c r="AF850" s="312"/>
      <c r="AG850" s="312"/>
      <c r="AH850" s="312"/>
      <c r="AI850" s="312"/>
      <c r="AJ850" s="312"/>
      <c r="AK850" s="312"/>
      <c r="AL850" s="312"/>
      <c r="AM850" s="312"/>
      <c r="AN850" s="312"/>
      <c r="AO850" s="312"/>
      <c r="AP850" s="312"/>
      <c r="AQ850" s="312"/>
      <c r="AR850" s="312"/>
      <c r="AS850" s="312"/>
      <c r="AT850" s="312"/>
    </row>
    <row r="851" ht="15.75" customHeight="1">
      <c r="A851" s="318"/>
      <c r="B851" s="312"/>
      <c r="C851" s="312"/>
      <c r="D851" s="312"/>
      <c r="E851" s="312"/>
      <c r="F851" s="312"/>
      <c r="G851" s="312"/>
      <c r="H851" s="312"/>
      <c r="I851" s="312"/>
      <c r="J851" s="312"/>
      <c r="K851" s="312"/>
      <c r="L851" s="312"/>
      <c r="M851" s="312"/>
      <c r="N851" s="312"/>
      <c r="O851" s="312"/>
      <c r="P851" s="312"/>
      <c r="Q851" s="312"/>
      <c r="R851" s="312"/>
      <c r="S851" s="312"/>
      <c r="T851" s="312"/>
      <c r="U851" s="312"/>
      <c r="V851" s="312"/>
      <c r="W851" s="312"/>
      <c r="X851" s="312"/>
      <c r="Y851" s="312"/>
      <c r="Z851" s="312"/>
      <c r="AA851" s="312"/>
      <c r="AB851" s="312"/>
      <c r="AC851" s="312"/>
      <c r="AD851" s="312"/>
      <c r="AE851" s="312"/>
      <c r="AF851" s="312"/>
      <c r="AG851" s="312"/>
      <c r="AH851" s="312"/>
      <c r="AI851" s="312"/>
      <c r="AJ851" s="312"/>
      <c r="AK851" s="312"/>
      <c r="AL851" s="312"/>
      <c r="AM851" s="312"/>
      <c r="AN851" s="312"/>
      <c r="AO851" s="312"/>
      <c r="AP851" s="312"/>
      <c r="AQ851" s="312"/>
      <c r="AR851" s="312"/>
      <c r="AS851" s="312"/>
      <c r="AT851" s="312"/>
    </row>
    <row r="852" ht="15.75" customHeight="1">
      <c r="A852" s="318"/>
      <c r="B852" s="312"/>
      <c r="C852" s="312"/>
      <c r="D852" s="312"/>
      <c r="E852" s="312"/>
      <c r="F852" s="312"/>
      <c r="G852" s="312"/>
      <c r="H852" s="312"/>
      <c r="I852" s="312"/>
      <c r="J852" s="312"/>
      <c r="K852" s="312"/>
      <c r="L852" s="312"/>
      <c r="M852" s="312"/>
      <c r="N852" s="312"/>
      <c r="O852" s="312"/>
      <c r="P852" s="312"/>
      <c r="Q852" s="312"/>
      <c r="R852" s="312"/>
      <c r="S852" s="312"/>
      <c r="T852" s="312"/>
      <c r="U852" s="312"/>
      <c r="V852" s="312"/>
      <c r="W852" s="312"/>
      <c r="X852" s="312"/>
      <c r="Y852" s="312"/>
      <c r="Z852" s="312"/>
      <c r="AA852" s="312"/>
      <c r="AB852" s="312"/>
      <c r="AC852" s="312"/>
      <c r="AD852" s="312"/>
      <c r="AE852" s="312"/>
      <c r="AF852" s="312"/>
      <c r="AG852" s="312"/>
      <c r="AH852" s="312"/>
      <c r="AI852" s="312"/>
      <c r="AJ852" s="312"/>
      <c r="AK852" s="312"/>
      <c r="AL852" s="312"/>
      <c r="AM852" s="312"/>
      <c r="AN852" s="312"/>
      <c r="AO852" s="312"/>
      <c r="AP852" s="312"/>
      <c r="AQ852" s="312"/>
      <c r="AR852" s="312"/>
      <c r="AS852" s="312"/>
      <c r="AT852" s="312"/>
    </row>
    <row r="853" ht="15.75" customHeight="1">
      <c r="A853" s="318"/>
      <c r="B853" s="312"/>
      <c r="C853" s="312"/>
      <c r="D853" s="312"/>
      <c r="E853" s="312"/>
      <c r="F853" s="312"/>
      <c r="G853" s="312"/>
      <c r="H853" s="312"/>
      <c r="I853" s="312"/>
      <c r="J853" s="312"/>
      <c r="K853" s="312"/>
      <c r="L853" s="312"/>
      <c r="M853" s="312"/>
      <c r="N853" s="312"/>
      <c r="O853" s="312"/>
      <c r="P853" s="312"/>
      <c r="Q853" s="312"/>
      <c r="R853" s="312"/>
      <c r="S853" s="312"/>
      <c r="T853" s="312"/>
      <c r="U853" s="312"/>
      <c r="V853" s="312"/>
      <c r="W853" s="312"/>
      <c r="X853" s="312"/>
      <c r="Y853" s="312"/>
      <c r="Z853" s="312"/>
      <c r="AA853" s="312"/>
      <c r="AB853" s="312"/>
      <c r="AC853" s="312"/>
      <c r="AD853" s="312"/>
      <c r="AE853" s="312"/>
      <c r="AF853" s="312"/>
      <c r="AG853" s="312"/>
      <c r="AH853" s="312"/>
      <c r="AI853" s="312"/>
      <c r="AJ853" s="312"/>
      <c r="AK853" s="312"/>
      <c r="AL853" s="312"/>
      <c r="AM853" s="312"/>
      <c r="AN853" s="312"/>
      <c r="AO853" s="312"/>
      <c r="AP853" s="312"/>
      <c r="AQ853" s="312"/>
      <c r="AR853" s="312"/>
      <c r="AS853" s="312"/>
      <c r="AT853" s="312"/>
    </row>
    <row r="854" ht="15.75" customHeight="1">
      <c r="A854" s="318"/>
      <c r="B854" s="312"/>
      <c r="C854" s="312"/>
      <c r="D854" s="312"/>
      <c r="E854" s="312"/>
      <c r="F854" s="312"/>
      <c r="G854" s="312"/>
      <c r="H854" s="312"/>
      <c r="I854" s="312"/>
      <c r="J854" s="312"/>
      <c r="K854" s="312"/>
      <c r="L854" s="312"/>
      <c r="M854" s="312"/>
      <c r="N854" s="312"/>
      <c r="O854" s="312"/>
      <c r="P854" s="312"/>
      <c r="Q854" s="312"/>
      <c r="R854" s="312"/>
      <c r="S854" s="312"/>
      <c r="T854" s="312"/>
      <c r="U854" s="312"/>
      <c r="V854" s="312"/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312"/>
      <c r="AJ854" s="312"/>
      <c r="AK854" s="312"/>
      <c r="AL854" s="312"/>
      <c r="AM854" s="312"/>
      <c r="AN854" s="312"/>
      <c r="AO854" s="312"/>
      <c r="AP854" s="312"/>
      <c r="AQ854" s="312"/>
      <c r="AR854" s="312"/>
      <c r="AS854" s="312"/>
      <c r="AT854" s="312"/>
    </row>
    <row r="855" ht="15.75" customHeight="1">
      <c r="A855" s="318"/>
      <c r="B855" s="312"/>
      <c r="C855" s="312"/>
      <c r="D855" s="312"/>
      <c r="E855" s="312"/>
      <c r="F855" s="312"/>
      <c r="G855" s="312"/>
      <c r="H855" s="312"/>
      <c r="I855" s="312"/>
      <c r="J855" s="312"/>
      <c r="K855" s="312"/>
      <c r="L855" s="312"/>
      <c r="M855" s="312"/>
      <c r="N855" s="312"/>
      <c r="O855" s="312"/>
      <c r="P855" s="312"/>
      <c r="Q855" s="312"/>
      <c r="R855" s="312"/>
      <c r="S855" s="312"/>
      <c r="T855" s="312"/>
      <c r="U855" s="312"/>
      <c r="V855" s="312"/>
      <c r="W855" s="312"/>
      <c r="X855" s="312"/>
      <c r="Y855" s="312"/>
      <c r="Z855" s="312"/>
      <c r="AA855" s="312"/>
      <c r="AB855" s="312"/>
      <c r="AC855" s="312"/>
      <c r="AD855" s="312"/>
      <c r="AE855" s="312"/>
      <c r="AF855" s="312"/>
      <c r="AG855" s="312"/>
      <c r="AH855" s="312"/>
      <c r="AI855" s="312"/>
      <c r="AJ855" s="312"/>
      <c r="AK855" s="312"/>
      <c r="AL855" s="312"/>
      <c r="AM855" s="312"/>
      <c r="AN855" s="312"/>
      <c r="AO855" s="312"/>
      <c r="AP855" s="312"/>
      <c r="AQ855" s="312"/>
      <c r="AR855" s="312"/>
      <c r="AS855" s="312"/>
      <c r="AT855" s="312"/>
    </row>
    <row r="856" ht="15.75" customHeight="1">
      <c r="A856" s="318"/>
      <c r="B856" s="312"/>
      <c r="C856" s="312"/>
      <c r="D856" s="312"/>
      <c r="E856" s="312"/>
      <c r="F856" s="312"/>
      <c r="G856" s="312"/>
      <c r="H856" s="312"/>
      <c r="I856" s="312"/>
      <c r="J856" s="312"/>
      <c r="K856" s="312"/>
      <c r="L856" s="312"/>
      <c r="M856" s="312"/>
      <c r="N856" s="312"/>
      <c r="O856" s="312"/>
      <c r="P856" s="312"/>
      <c r="Q856" s="312"/>
      <c r="R856" s="312"/>
      <c r="S856" s="312"/>
      <c r="T856" s="312"/>
      <c r="U856" s="312"/>
      <c r="V856" s="312"/>
      <c r="W856" s="312"/>
      <c r="X856" s="312"/>
      <c r="Y856" s="312"/>
      <c r="Z856" s="312"/>
      <c r="AA856" s="312"/>
      <c r="AB856" s="312"/>
      <c r="AC856" s="312"/>
      <c r="AD856" s="312"/>
      <c r="AE856" s="312"/>
      <c r="AF856" s="312"/>
      <c r="AG856" s="312"/>
      <c r="AH856" s="312"/>
      <c r="AI856" s="312"/>
      <c r="AJ856" s="312"/>
      <c r="AK856" s="312"/>
      <c r="AL856" s="312"/>
      <c r="AM856" s="312"/>
      <c r="AN856" s="312"/>
      <c r="AO856" s="312"/>
      <c r="AP856" s="312"/>
      <c r="AQ856" s="312"/>
      <c r="AR856" s="312"/>
      <c r="AS856" s="312"/>
      <c r="AT856" s="312"/>
    </row>
    <row r="857" ht="15.75" customHeight="1">
      <c r="A857" s="318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2"/>
      <c r="S857" s="312"/>
      <c r="T857" s="312"/>
      <c r="U857" s="312"/>
      <c r="V857" s="312"/>
      <c r="W857" s="312"/>
      <c r="X857" s="312"/>
      <c r="Y857" s="312"/>
      <c r="Z857" s="312"/>
      <c r="AA857" s="312"/>
      <c r="AB857" s="312"/>
      <c r="AC857" s="312"/>
      <c r="AD857" s="312"/>
      <c r="AE857" s="312"/>
      <c r="AF857" s="312"/>
      <c r="AG857" s="312"/>
      <c r="AH857" s="312"/>
      <c r="AI857" s="312"/>
      <c r="AJ857" s="312"/>
      <c r="AK857" s="312"/>
      <c r="AL857" s="312"/>
      <c r="AM857" s="312"/>
      <c r="AN857" s="312"/>
      <c r="AO857" s="312"/>
      <c r="AP857" s="312"/>
      <c r="AQ857" s="312"/>
      <c r="AR857" s="312"/>
      <c r="AS857" s="312"/>
      <c r="AT857" s="312"/>
    </row>
    <row r="858" ht="15.75" customHeight="1">
      <c r="A858" s="318"/>
      <c r="B858" s="312"/>
      <c r="C858" s="312"/>
      <c r="D858" s="312"/>
      <c r="E858" s="312"/>
      <c r="F858" s="312"/>
      <c r="G858" s="312"/>
      <c r="H858" s="312"/>
      <c r="I858" s="312"/>
      <c r="J858" s="312"/>
      <c r="K858" s="312"/>
      <c r="L858" s="312"/>
      <c r="M858" s="312"/>
      <c r="N858" s="312"/>
      <c r="O858" s="312"/>
      <c r="P858" s="312"/>
      <c r="Q858" s="312"/>
      <c r="R858" s="312"/>
      <c r="S858" s="312"/>
      <c r="T858" s="312"/>
      <c r="U858" s="312"/>
      <c r="V858" s="312"/>
      <c r="W858" s="312"/>
      <c r="X858" s="312"/>
      <c r="Y858" s="312"/>
      <c r="Z858" s="312"/>
      <c r="AA858" s="312"/>
      <c r="AB858" s="312"/>
      <c r="AC858" s="312"/>
      <c r="AD858" s="312"/>
      <c r="AE858" s="312"/>
      <c r="AF858" s="312"/>
      <c r="AG858" s="312"/>
      <c r="AH858" s="312"/>
      <c r="AI858" s="312"/>
      <c r="AJ858" s="312"/>
      <c r="AK858" s="312"/>
      <c r="AL858" s="312"/>
      <c r="AM858" s="312"/>
      <c r="AN858" s="312"/>
      <c r="AO858" s="312"/>
      <c r="AP858" s="312"/>
      <c r="AQ858" s="312"/>
      <c r="AR858" s="312"/>
      <c r="AS858" s="312"/>
      <c r="AT858" s="312"/>
    </row>
    <row r="859" ht="15.75" customHeight="1">
      <c r="A859" s="318"/>
      <c r="B859" s="312"/>
      <c r="C859" s="312"/>
      <c r="D859" s="312"/>
      <c r="E859" s="312"/>
      <c r="F859" s="312"/>
      <c r="G859" s="312"/>
      <c r="H859" s="312"/>
      <c r="I859" s="312"/>
      <c r="J859" s="312"/>
      <c r="K859" s="312"/>
      <c r="L859" s="312"/>
      <c r="M859" s="312"/>
      <c r="N859" s="312"/>
      <c r="O859" s="312"/>
      <c r="P859" s="312"/>
      <c r="Q859" s="312"/>
      <c r="R859" s="312"/>
      <c r="S859" s="312"/>
      <c r="T859" s="312"/>
      <c r="U859" s="312"/>
      <c r="V859" s="312"/>
      <c r="W859" s="312"/>
      <c r="X859" s="312"/>
      <c r="Y859" s="312"/>
      <c r="Z859" s="312"/>
      <c r="AA859" s="312"/>
      <c r="AB859" s="312"/>
      <c r="AC859" s="312"/>
      <c r="AD859" s="312"/>
      <c r="AE859" s="312"/>
      <c r="AF859" s="312"/>
      <c r="AG859" s="312"/>
      <c r="AH859" s="312"/>
      <c r="AI859" s="312"/>
      <c r="AJ859" s="312"/>
      <c r="AK859" s="312"/>
      <c r="AL859" s="312"/>
      <c r="AM859" s="312"/>
      <c r="AN859" s="312"/>
      <c r="AO859" s="312"/>
      <c r="AP859" s="312"/>
      <c r="AQ859" s="312"/>
      <c r="AR859" s="312"/>
      <c r="AS859" s="312"/>
      <c r="AT859" s="312"/>
    </row>
    <row r="860" ht="15.75" customHeight="1">
      <c r="A860" s="318"/>
      <c r="B860" s="312"/>
      <c r="C860" s="312"/>
      <c r="D860" s="312"/>
      <c r="E860" s="312"/>
      <c r="F860" s="312"/>
      <c r="G860" s="312"/>
      <c r="H860" s="312"/>
      <c r="I860" s="312"/>
      <c r="J860" s="312"/>
      <c r="K860" s="312"/>
      <c r="L860" s="312"/>
      <c r="M860" s="312"/>
      <c r="N860" s="312"/>
      <c r="O860" s="312"/>
      <c r="P860" s="312"/>
      <c r="Q860" s="312"/>
      <c r="R860" s="312"/>
      <c r="S860" s="312"/>
      <c r="T860" s="312"/>
      <c r="U860" s="312"/>
      <c r="V860" s="312"/>
      <c r="W860" s="312"/>
      <c r="X860" s="312"/>
      <c r="Y860" s="312"/>
      <c r="Z860" s="312"/>
      <c r="AA860" s="312"/>
      <c r="AB860" s="312"/>
      <c r="AC860" s="312"/>
      <c r="AD860" s="312"/>
      <c r="AE860" s="312"/>
      <c r="AF860" s="312"/>
      <c r="AG860" s="312"/>
      <c r="AH860" s="312"/>
      <c r="AI860" s="312"/>
      <c r="AJ860" s="312"/>
      <c r="AK860" s="312"/>
      <c r="AL860" s="312"/>
      <c r="AM860" s="312"/>
      <c r="AN860" s="312"/>
      <c r="AO860" s="312"/>
      <c r="AP860" s="312"/>
      <c r="AQ860" s="312"/>
      <c r="AR860" s="312"/>
      <c r="AS860" s="312"/>
      <c r="AT860" s="312"/>
    </row>
    <row r="861" ht="15.75" customHeight="1">
      <c r="A861" s="318"/>
      <c r="B861" s="312"/>
      <c r="C861" s="312"/>
      <c r="D861" s="312"/>
      <c r="E861" s="312"/>
      <c r="F861" s="312"/>
      <c r="G861" s="312"/>
      <c r="H861" s="312"/>
      <c r="I861" s="312"/>
      <c r="J861" s="312"/>
      <c r="K861" s="312"/>
      <c r="L861" s="312"/>
      <c r="M861" s="312"/>
      <c r="N861" s="312"/>
      <c r="O861" s="312"/>
      <c r="P861" s="312"/>
      <c r="Q861" s="312"/>
      <c r="R861" s="312"/>
      <c r="S861" s="312"/>
      <c r="T861" s="312"/>
      <c r="U861" s="312"/>
      <c r="V861" s="312"/>
      <c r="W861" s="312"/>
      <c r="X861" s="312"/>
      <c r="Y861" s="312"/>
      <c r="Z861" s="312"/>
      <c r="AA861" s="312"/>
      <c r="AB861" s="312"/>
      <c r="AC861" s="312"/>
      <c r="AD861" s="312"/>
      <c r="AE861" s="312"/>
      <c r="AF861" s="312"/>
      <c r="AG861" s="312"/>
      <c r="AH861" s="312"/>
      <c r="AI861" s="312"/>
      <c r="AJ861" s="312"/>
      <c r="AK861" s="312"/>
      <c r="AL861" s="312"/>
      <c r="AM861" s="312"/>
      <c r="AN861" s="312"/>
      <c r="AO861" s="312"/>
      <c r="AP861" s="312"/>
      <c r="AQ861" s="312"/>
      <c r="AR861" s="312"/>
      <c r="AS861" s="312"/>
      <c r="AT861" s="312"/>
    </row>
    <row r="862" ht="15.75" customHeight="1">
      <c r="A862" s="318"/>
      <c r="B862" s="312"/>
      <c r="C862" s="312"/>
      <c r="D862" s="312"/>
      <c r="E862" s="312"/>
      <c r="F862" s="312"/>
      <c r="G862" s="312"/>
      <c r="H862" s="312"/>
      <c r="I862" s="312"/>
      <c r="J862" s="312"/>
      <c r="K862" s="312"/>
      <c r="L862" s="312"/>
      <c r="M862" s="312"/>
      <c r="N862" s="312"/>
      <c r="O862" s="312"/>
      <c r="P862" s="312"/>
      <c r="Q862" s="312"/>
      <c r="R862" s="312"/>
      <c r="S862" s="312"/>
      <c r="T862" s="312"/>
      <c r="U862" s="312"/>
      <c r="V862" s="312"/>
      <c r="W862" s="312"/>
      <c r="X862" s="312"/>
      <c r="Y862" s="312"/>
      <c r="Z862" s="312"/>
      <c r="AA862" s="312"/>
      <c r="AB862" s="312"/>
      <c r="AC862" s="312"/>
      <c r="AD862" s="312"/>
      <c r="AE862" s="312"/>
      <c r="AF862" s="312"/>
      <c r="AG862" s="312"/>
      <c r="AH862" s="312"/>
      <c r="AI862" s="312"/>
      <c r="AJ862" s="312"/>
      <c r="AK862" s="312"/>
      <c r="AL862" s="312"/>
      <c r="AM862" s="312"/>
      <c r="AN862" s="312"/>
      <c r="AO862" s="312"/>
      <c r="AP862" s="312"/>
      <c r="AQ862" s="312"/>
      <c r="AR862" s="312"/>
      <c r="AS862" s="312"/>
      <c r="AT862" s="312"/>
    </row>
    <row r="863" ht="15.75" customHeight="1">
      <c r="A863" s="318"/>
      <c r="B863" s="312"/>
      <c r="C863" s="312"/>
      <c r="D863" s="312"/>
      <c r="E863" s="312"/>
      <c r="F863" s="312"/>
      <c r="G863" s="312"/>
      <c r="H863" s="312"/>
      <c r="I863" s="312"/>
      <c r="J863" s="312"/>
      <c r="K863" s="312"/>
      <c r="L863" s="312"/>
      <c r="M863" s="312"/>
      <c r="N863" s="312"/>
      <c r="O863" s="312"/>
      <c r="P863" s="312"/>
      <c r="Q863" s="312"/>
      <c r="R863" s="312"/>
      <c r="S863" s="312"/>
      <c r="T863" s="312"/>
      <c r="U863" s="312"/>
      <c r="V863" s="312"/>
      <c r="W863" s="312"/>
      <c r="X863" s="312"/>
      <c r="Y863" s="312"/>
      <c r="Z863" s="312"/>
      <c r="AA863" s="312"/>
      <c r="AB863" s="312"/>
      <c r="AC863" s="312"/>
      <c r="AD863" s="312"/>
      <c r="AE863" s="312"/>
      <c r="AF863" s="312"/>
      <c r="AG863" s="312"/>
      <c r="AH863" s="312"/>
      <c r="AI863" s="312"/>
      <c r="AJ863" s="312"/>
      <c r="AK863" s="312"/>
      <c r="AL863" s="312"/>
      <c r="AM863" s="312"/>
      <c r="AN863" s="312"/>
      <c r="AO863" s="312"/>
      <c r="AP863" s="312"/>
      <c r="AQ863" s="312"/>
      <c r="AR863" s="312"/>
      <c r="AS863" s="312"/>
      <c r="AT863" s="312"/>
    </row>
    <row r="864" ht="15.75" customHeight="1">
      <c r="A864" s="318"/>
      <c r="B864" s="312"/>
      <c r="C864" s="312"/>
      <c r="D864" s="312"/>
      <c r="E864" s="312"/>
      <c r="F864" s="312"/>
      <c r="G864" s="312"/>
      <c r="H864" s="312"/>
      <c r="I864" s="312"/>
      <c r="J864" s="312"/>
      <c r="K864" s="312"/>
      <c r="L864" s="312"/>
      <c r="M864" s="312"/>
      <c r="N864" s="312"/>
      <c r="O864" s="312"/>
      <c r="P864" s="312"/>
      <c r="Q864" s="312"/>
      <c r="R864" s="312"/>
      <c r="S864" s="312"/>
      <c r="T864" s="312"/>
      <c r="U864" s="312"/>
      <c r="V864" s="312"/>
      <c r="W864" s="312"/>
      <c r="X864" s="312"/>
      <c r="Y864" s="312"/>
      <c r="Z864" s="312"/>
      <c r="AA864" s="312"/>
      <c r="AB864" s="312"/>
      <c r="AC864" s="312"/>
      <c r="AD864" s="312"/>
      <c r="AE864" s="312"/>
      <c r="AF864" s="312"/>
      <c r="AG864" s="312"/>
      <c r="AH864" s="312"/>
      <c r="AI864" s="312"/>
      <c r="AJ864" s="312"/>
      <c r="AK864" s="312"/>
      <c r="AL864" s="312"/>
      <c r="AM864" s="312"/>
      <c r="AN864" s="312"/>
      <c r="AO864" s="312"/>
      <c r="AP864" s="312"/>
      <c r="AQ864" s="312"/>
      <c r="AR864" s="312"/>
      <c r="AS864" s="312"/>
      <c r="AT864" s="312"/>
    </row>
    <row r="865" ht="15.75" customHeight="1">
      <c r="A865" s="318"/>
      <c r="B865" s="312"/>
      <c r="C865" s="312"/>
      <c r="D865" s="312"/>
      <c r="E865" s="312"/>
      <c r="F865" s="312"/>
      <c r="G865" s="312"/>
      <c r="H865" s="312"/>
      <c r="I865" s="312"/>
      <c r="J865" s="312"/>
      <c r="K865" s="312"/>
      <c r="L865" s="312"/>
      <c r="M865" s="312"/>
      <c r="N865" s="312"/>
      <c r="O865" s="312"/>
      <c r="P865" s="312"/>
      <c r="Q865" s="312"/>
      <c r="R865" s="312"/>
      <c r="S865" s="312"/>
      <c r="T865" s="312"/>
      <c r="U865" s="312"/>
      <c r="V865" s="312"/>
      <c r="W865" s="312"/>
      <c r="X865" s="312"/>
      <c r="Y865" s="312"/>
      <c r="Z865" s="312"/>
      <c r="AA865" s="312"/>
      <c r="AB865" s="312"/>
      <c r="AC865" s="312"/>
      <c r="AD865" s="312"/>
      <c r="AE865" s="312"/>
      <c r="AF865" s="312"/>
      <c r="AG865" s="312"/>
      <c r="AH865" s="312"/>
      <c r="AI865" s="312"/>
      <c r="AJ865" s="312"/>
      <c r="AK865" s="312"/>
      <c r="AL865" s="312"/>
      <c r="AM865" s="312"/>
      <c r="AN865" s="312"/>
      <c r="AO865" s="312"/>
      <c r="AP865" s="312"/>
      <c r="AQ865" s="312"/>
      <c r="AR865" s="312"/>
      <c r="AS865" s="312"/>
      <c r="AT865" s="312"/>
    </row>
    <row r="866" ht="15.75" customHeight="1">
      <c r="A866" s="318"/>
      <c r="B866" s="312"/>
      <c r="C866" s="312"/>
      <c r="D866" s="312"/>
      <c r="E866" s="312"/>
      <c r="F866" s="312"/>
      <c r="G866" s="312"/>
      <c r="H866" s="312"/>
      <c r="I866" s="312"/>
      <c r="J866" s="312"/>
      <c r="K866" s="312"/>
      <c r="L866" s="312"/>
      <c r="M866" s="312"/>
      <c r="N866" s="312"/>
      <c r="O866" s="312"/>
      <c r="P866" s="312"/>
      <c r="Q866" s="312"/>
      <c r="R866" s="312"/>
      <c r="S866" s="312"/>
      <c r="T866" s="312"/>
      <c r="U866" s="312"/>
      <c r="V866" s="312"/>
      <c r="W866" s="312"/>
      <c r="X866" s="312"/>
      <c r="Y866" s="312"/>
      <c r="Z866" s="312"/>
      <c r="AA866" s="312"/>
      <c r="AB866" s="312"/>
      <c r="AC866" s="312"/>
      <c r="AD866" s="312"/>
      <c r="AE866" s="312"/>
      <c r="AF866" s="312"/>
      <c r="AG866" s="312"/>
      <c r="AH866" s="312"/>
      <c r="AI866" s="312"/>
      <c r="AJ866" s="312"/>
      <c r="AK866" s="312"/>
      <c r="AL866" s="312"/>
      <c r="AM866" s="312"/>
      <c r="AN866" s="312"/>
      <c r="AO866" s="312"/>
      <c r="AP866" s="312"/>
      <c r="AQ866" s="312"/>
      <c r="AR866" s="312"/>
      <c r="AS866" s="312"/>
      <c r="AT866" s="312"/>
    </row>
    <row r="867" ht="15.75" customHeight="1">
      <c r="A867" s="318"/>
      <c r="B867" s="312"/>
      <c r="C867" s="312"/>
      <c r="D867" s="312"/>
      <c r="E867" s="312"/>
      <c r="F867" s="312"/>
      <c r="G867" s="312"/>
      <c r="H867" s="312"/>
      <c r="I867" s="312"/>
      <c r="J867" s="312"/>
      <c r="K867" s="312"/>
      <c r="L867" s="312"/>
      <c r="M867" s="312"/>
      <c r="N867" s="312"/>
      <c r="O867" s="312"/>
      <c r="P867" s="312"/>
      <c r="Q867" s="312"/>
      <c r="R867" s="312"/>
      <c r="S867" s="312"/>
      <c r="T867" s="312"/>
      <c r="U867" s="312"/>
      <c r="V867" s="312"/>
      <c r="W867" s="312"/>
      <c r="X867" s="312"/>
      <c r="Y867" s="312"/>
      <c r="Z867" s="312"/>
      <c r="AA867" s="312"/>
      <c r="AB867" s="312"/>
      <c r="AC867" s="312"/>
      <c r="AD867" s="312"/>
      <c r="AE867" s="312"/>
      <c r="AF867" s="312"/>
      <c r="AG867" s="312"/>
      <c r="AH867" s="312"/>
      <c r="AI867" s="312"/>
      <c r="AJ867" s="312"/>
      <c r="AK867" s="312"/>
      <c r="AL867" s="312"/>
      <c r="AM867" s="312"/>
      <c r="AN867" s="312"/>
      <c r="AO867" s="312"/>
      <c r="AP867" s="312"/>
      <c r="AQ867" s="312"/>
      <c r="AR867" s="312"/>
      <c r="AS867" s="312"/>
      <c r="AT867" s="312"/>
    </row>
    <row r="868" ht="15.75" customHeight="1">
      <c r="A868" s="318"/>
      <c r="B868" s="312"/>
      <c r="C868" s="312"/>
      <c r="D868" s="312"/>
      <c r="E868" s="312"/>
      <c r="F868" s="312"/>
      <c r="G868" s="312"/>
      <c r="H868" s="312"/>
      <c r="I868" s="312"/>
      <c r="J868" s="312"/>
      <c r="K868" s="312"/>
      <c r="L868" s="312"/>
      <c r="M868" s="312"/>
      <c r="N868" s="312"/>
      <c r="O868" s="312"/>
      <c r="P868" s="312"/>
      <c r="Q868" s="312"/>
      <c r="R868" s="312"/>
      <c r="S868" s="312"/>
      <c r="T868" s="312"/>
      <c r="U868" s="312"/>
      <c r="V868" s="312"/>
      <c r="W868" s="312"/>
      <c r="X868" s="312"/>
      <c r="Y868" s="312"/>
      <c r="Z868" s="312"/>
      <c r="AA868" s="312"/>
      <c r="AB868" s="312"/>
      <c r="AC868" s="312"/>
      <c r="AD868" s="312"/>
      <c r="AE868" s="312"/>
      <c r="AF868" s="312"/>
      <c r="AG868" s="312"/>
      <c r="AH868" s="312"/>
      <c r="AI868" s="312"/>
      <c r="AJ868" s="312"/>
      <c r="AK868" s="312"/>
      <c r="AL868" s="312"/>
      <c r="AM868" s="312"/>
      <c r="AN868" s="312"/>
      <c r="AO868" s="312"/>
      <c r="AP868" s="312"/>
      <c r="AQ868" s="312"/>
      <c r="AR868" s="312"/>
      <c r="AS868" s="312"/>
      <c r="AT868" s="312"/>
    </row>
    <row r="869" ht="15.75" customHeight="1">
      <c r="A869" s="318"/>
      <c r="B869" s="312"/>
      <c r="C869" s="312"/>
      <c r="D869" s="312"/>
      <c r="E869" s="312"/>
      <c r="F869" s="312"/>
      <c r="G869" s="312"/>
      <c r="H869" s="312"/>
      <c r="I869" s="312"/>
      <c r="J869" s="312"/>
      <c r="K869" s="312"/>
      <c r="L869" s="312"/>
      <c r="M869" s="312"/>
      <c r="N869" s="312"/>
      <c r="O869" s="312"/>
      <c r="P869" s="312"/>
      <c r="Q869" s="312"/>
      <c r="R869" s="312"/>
      <c r="S869" s="312"/>
      <c r="T869" s="312"/>
      <c r="U869" s="312"/>
      <c r="V869" s="312"/>
      <c r="W869" s="312"/>
      <c r="X869" s="312"/>
      <c r="Y869" s="312"/>
      <c r="Z869" s="312"/>
      <c r="AA869" s="312"/>
      <c r="AB869" s="312"/>
      <c r="AC869" s="312"/>
      <c r="AD869" s="312"/>
      <c r="AE869" s="312"/>
      <c r="AF869" s="312"/>
      <c r="AG869" s="312"/>
      <c r="AH869" s="312"/>
      <c r="AI869" s="312"/>
      <c r="AJ869" s="312"/>
      <c r="AK869" s="312"/>
      <c r="AL869" s="312"/>
      <c r="AM869" s="312"/>
      <c r="AN869" s="312"/>
      <c r="AO869" s="312"/>
      <c r="AP869" s="312"/>
      <c r="AQ869" s="312"/>
      <c r="AR869" s="312"/>
      <c r="AS869" s="312"/>
      <c r="AT869" s="312"/>
    </row>
    <row r="870" ht="15.75" customHeight="1">
      <c r="A870" s="318"/>
      <c r="B870" s="312"/>
      <c r="C870" s="312"/>
      <c r="D870" s="312"/>
      <c r="E870" s="312"/>
      <c r="F870" s="312"/>
      <c r="G870" s="312"/>
      <c r="H870" s="312"/>
      <c r="I870" s="312"/>
      <c r="J870" s="312"/>
      <c r="K870" s="312"/>
      <c r="L870" s="312"/>
      <c r="M870" s="312"/>
      <c r="N870" s="312"/>
      <c r="O870" s="312"/>
      <c r="P870" s="312"/>
      <c r="Q870" s="312"/>
      <c r="R870" s="312"/>
      <c r="S870" s="312"/>
      <c r="T870" s="312"/>
      <c r="U870" s="312"/>
      <c r="V870" s="312"/>
      <c r="W870" s="312"/>
      <c r="X870" s="312"/>
      <c r="Y870" s="312"/>
      <c r="Z870" s="312"/>
      <c r="AA870" s="312"/>
      <c r="AB870" s="312"/>
      <c r="AC870" s="312"/>
      <c r="AD870" s="312"/>
      <c r="AE870" s="312"/>
      <c r="AF870" s="312"/>
      <c r="AG870" s="312"/>
      <c r="AH870" s="312"/>
      <c r="AI870" s="312"/>
      <c r="AJ870" s="312"/>
      <c r="AK870" s="312"/>
      <c r="AL870" s="312"/>
      <c r="AM870" s="312"/>
      <c r="AN870" s="312"/>
      <c r="AO870" s="312"/>
      <c r="AP870" s="312"/>
      <c r="AQ870" s="312"/>
      <c r="AR870" s="312"/>
      <c r="AS870" s="312"/>
      <c r="AT870" s="312"/>
    </row>
    <row r="871" ht="15.75" customHeight="1">
      <c r="A871" s="318"/>
      <c r="B871" s="312"/>
      <c r="C871" s="312"/>
      <c r="D871" s="312"/>
      <c r="E871" s="312"/>
      <c r="F871" s="312"/>
      <c r="G871" s="312"/>
      <c r="H871" s="312"/>
      <c r="I871" s="312"/>
      <c r="J871" s="312"/>
      <c r="K871" s="312"/>
      <c r="L871" s="312"/>
      <c r="M871" s="312"/>
      <c r="N871" s="312"/>
      <c r="O871" s="312"/>
      <c r="P871" s="312"/>
      <c r="Q871" s="312"/>
      <c r="R871" s="312"/>
      <c r="S871" s="312"/>
      <c r="T871" s="312"/>
      <c r="U871" s="312"/>
      <c r="V871" s="312"/>
      <c r="W871" s="312"/>
      <c r="X871" s="312"/>
      <c r="Y871" s="312"/>
      <c r="Z871" s="312"/>
      <c r="AA871" s="312"/>
      <c r="AB871" s="312"/>
      <c r="AC871" s="312"/>
      <c r="AD871" s="312"/>
      <c r="AE871" s="312"/>
      <c r="AF871" s="312"/>
      <c r="AG871" s="312"/>
      <c r="AH871" s="312"/>
      <c r="AI871" s="312"/>
      <c r="AJ871" s="312"/>
      <c r="AK871" s="312"/>
      <c r="AL871" s="312"/>
      <c r="AM871" s="312"/>
      <c r="AN871" s="312"/>
      <c r="AO871" s="312"/>
      <c r="AP871" s="312"/>
      <c r="AQ871" s="312"/>
      <c r="AR871" s="312"/>
      <c r="AS871" s="312"/>
      <c r="AT871" s="312"/>
    </row>
    <row r="872" ht="15.75" customHeight="1">
      <c r="A872" s="318"/>
      <c r="B872" s="312"/>
      <c r="C872" s="312"/>
      <c r="D872" s="312"/>
      <c r="E872" s="312"/>
      <c r="F872" s="312"/>
      <c r="G872" s="312"/>
      <c r="H872" s="312"/>
      <c r="I872" s="312"/>
      <c r="J872" s="312"/>
      <c r="K872" s="312"/>
      <c r="L872" s="312"/>
      <c r="M872" s="312"/>
      <c r="N872" s="312"/>
      <c r="O872" s="312"/>
      <c r="P872" s="312"/>
      <c r="Q872" s="312"/>
      <c r="R872" s="312"/>
      <c r="S872" s="312"/>
      <c r="T872" s="312"/>
      <c r="U872" s="312"/>
      <c r="V872" s="312"/>
      <c r="W872" s="312"/>
      <c r="X872" s="312"/>
      <c r="Y872" s="312"/>
      <c r="Z872" s="312"/>
      <c r="AA872" s="312"/>
      <c r="AB872" s="312"/>
      <c r="AC872" s="312"/>
      <c r="AD872" s="312"/>
      <c r="AE872" s="312"/>
      <c r="AF872" s="312"/>
      <c r="AG872" s="312"/>
      <c r="AH872" s="312"/>
      <c r="AI872" s="312"/>
      <c r="AJ872" s="312"/>
      <c r="AK872" s="312"/>
      <c r="AL872" s="312"/>
      <c r="AM872" s="312"/>
      <c r="AN872" s="312"/>
      <c r="AO872" s="312"/>
      <c r="AP872" s="312"/>
      <c r="AQ872" s="312"/>
      <c r="AR872" s="312"/>
      <c r="AS872" s="312"/>
      <c r="AT872" s="312"/>
    </row>
    <row r="873" ht="15.75" customHeight="1">
      <c r="A873" s="318"/>
      <c r="B873" s="312"/>
      <c r="C873" s="312"/>
      <c r="D873" s="312"/>
      <c r="E873" s="312"/>
      <c r="F873" s="312"/>
      <c r="G873" s="312"/>
      <c r="H873" s="312"/>
      <c r="I873" s="312"/>
      <c r="J873" s="312"/>
      <c r="K873" s="312"/>
      <c r="L873" s="312"/>
      <c r="M873" s="312"/>
      <c r="N873" s="312"/>
      <c r="O873" s="312"/>
      <c r="P873" s="312"/>
      <c r="Q873" s="312"/>
      <c r="R873" s="312"/>
      <c r="S873" s="312"/>
      <c r="T873" s="312"/>
      <c r="U873" s="312"/>
      <c r="V873" s="312"/>
      <c r="W873" s="312"/>
      <c r="X873" s="312"/>
      <c r="Y873" s="312"/>
      <c r="Z873" s="312"/>
      <c r="AA873" s="312"/>
      <c r="AB873" s="312"/>
      <c r="AC873" s="312"/>
      <c r="AD873" s="312"/>
      <c r="AE873" s="312"/>
      <c r="AF873" s="312"/>
      <c r="AG873" s="312"/>
      <c r="AH873" s="312"/>
      <c r="AI873" s="312"/>
      <c r="AJ873" s="312"/>
      <c r="AK873" s="312"/>
      <c r="AL873" s="312"/>
      <c r="AM873" s="312"/>
      <c r="AN873" s="312"/>
      <c r="AO873" s="312"/>
      <c r="AP873" s="312"/>
      <c r="AQ873" s="312"/>
      <c r="AR873" s="312"/>
      <c r="AS873" s="312"/>
      <c r="AT873" s="312"/>
    </row>
    <row r="874" ht="15.75" customHeight="1">
      <c r="A874" s="318"/>
      <c r="B874" s="312"/>
      <c r="C874" s="312"/>
      <c r="D874" s="312"/>
      <c r="E874" s="312"/>
      <c r="F874" s="312"/>
      <c r="G874" s="312"/>
      <c r="H874" s="312"/>
      <c r="I874" s="312"/>
      <c r="J874" s="312"/>
      <c r="K874" s="312"/>
      <c r="L874" s="312"/>
      <c r="M874" s="312"/>
      <c r="N874" s="312"/>
      <c r="O874" s="312"/>
      <c r="P874" s="312"/>
      <c r="Q874" s="312"/>
      <c r="R874" s="312"/>
      <c r="S874" s="312"/>
      <c r="T874" s="312"/>
      <c r="U874" s="312"/>
      <c r="V874" s="312"/>
      <c r="W874" s="312"/>
      <c r="X874" s="312"/>
      <c r="Y874" s="312"/>
      <c r="Z874" s="312"/>
      <c r="AA874" s="312"/>
      <c r="AB874" s="312"/>
      <c r="AC874" s="312"/>
      <c r="AD874" s="312"/>
      <c r="AE874" s="312"/>
      <c r="AF874" s="312"/>
      <c r="AG874" s="312"/>
      <c r="AH874" s="312"/>
      <c r="AI874" s="312"/>
      <c r="AJ874" s="312"/>
      <c r="AK874" s="312"/>
      <c r="AL874" s="312"/>
      <c r="AM874" s="312"/>
      <c r="AN874" s="312"/>
      <c r="AO874" s="312"/>
      <c r="AP874" s="312"/>
      <c r="AQ874" s="312"/>
      <c r="AR874" s="312"/>
      <c r="AS874" s="312"/>
      <c r="AT874" s="312"/>
    </row>
    <row r="875" ht="15.75" customHeight="1">
      <c r="A875" s="318"/>
      <c r="B875" s="312"/>
      <c r="C875" s="312"/>
      <c r="D875" s="312"/>
      <c r="E875" s="312"/>
      <c r="F875" s="312"/>
      <c r="G875" s="312"/>
      <c r="H875" s="312"/>
      <c r="I875" s="312"/>
      <c r="J875" s="312"/>
      <c r="K875" s="312"/>
      <c r="L875" s="312"/>
      <c r="M875" s="312"/>
      <c r="N875" s="312"/>
      <c r="O875" s="312"/>
      <c r="P875" s="312"/>
      <c r="Q875" s="312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  <c r="AB875" s="312"/>
      <c r="AC875" s="312"/>
      <c r="AD875" s="312"/>
      <c r="AE875" s="312"/>
      <c r="AF875" s="312"/>
      <c r="AG875" s="312"/>
      <c r="AH875" s="312"/>
      <c r="AI875" s="312"/>
      <c r="AJ875" s="312"/>
      <c r="AK875" s="312"/>
      <c r="AL875" s="312"/>
      <c r="AM875" s="312"/>
      <c r="AN875" s="312"/>
      <c r="AO875" s="312"/>
      <c r="AP875" s="312"/>
      <c r="AQ875" s="312"/>
      <c r="AR875" s="312"/>
      <c r="AS875" s="312"/>
      <c r="AT875" s="312"/>
    </row>
    <row r="876" ht="15.75" customHeight="1">
      <c r="A876" s="318"/>
      <c r="B876" s="312"/>
      <c r="C876" s="312"/>
      <c r="D876" s="312"/>
      <c r="E876" s="312"/>
      <c r="F876" s="312"/>
      <c r="G876" s="312"/>
      <c r="H876" s="312"/>
      <c r="I876" s="312"/>
      <c r="J876" s="312"/>
      <c r="K876" s="312"/>
      <c r="L876" s="312"/>
      <c r="M876" s="312"/>
      <c r="N876" s="312"/>
      <c r="O876" s="312"/>
      <c r="P876" s="312"/>
      <c r="Q876" s="312"/>
      <c r="R876" s="312"/>
      <c r="S876" s="312"/>
      <c r="T876" s="312"/>
      <c r="U876" s="312"/>
      <c r="V876" s="312"/>
      <c r="W876" s="312"/>
      <c r="X876" s="312"/>
      <c r="Y876" s="312"/>
      <c r="Z876" s="312"/>
      <c r="AA876" s="312"/>
      <c r="AB876" s="312"/>
      <c r="AC876" s="312"/>
      <c r="AD876" s="312"/>
      <c r="AE876" s="312"/>
      <c r="AF876" s="312"/>
      <c r="AG876" s="312"/>
      <c r="AH876" s="312"/>
      <c r="AI876" s="312"/>
      <c r="AJ876" s="312"/>
      <c r="AK876" s="312"/>
      <c r="AL876" s="312"/>
      <c r="AM876" s="312"/>
      <c r="AN876" s="312"/>
      <c r="AO876" s="312"/>
      <c r="AP876" s="312"/>
      <c r="AQ876" s="312"/>
      <c r="AR876" s="312"/>
      <c r="AS876" s="312"/>
      <c r="AT876" s="312"/>
    </row>
    <row r="877" ht="15.75" customHeight="1">
      <c r="A877" s="318"/>
      <c r="B877" s="312"/>
      <c r="C877" s="312"/>
      <c r="D877" s="312"/>
      <c r="E877" s="312"/>
      <c r="F877" s="312"/>
      <c r="G877" s="312"/>
      <c r="H877" s="312"/>
      <c r="I877" s="312"/>
      <c r="J877" s="312"/>
      <c r="K877" s="312"/>
      <c r="L877" s="312"/>
      <c r="M877" s="312"/>
      <c r="N877" s="312"/>
      <c r="O877" s="312"/>
      <c r="P877" s="312"/>
      <c r="Q877" s="312"/>
      <c r="R877" s="312"/>
      <c r="S877" s="312"/>
      <c r="T877" s="312"/>
      <c r="U877" s="312"/>
      <c r="V877" s="312"/>
      <c r="W877" s="312"/>
      <c r="X877" s="312"/>
      <c r="Y877" s="312"/>
      <c r="Z877" s="312"/>
      <c r="AA877" s="312"/>
      <c r="AB877" s="312"/>
      <c r="AC877" s="312"/>
      <c r="AD877" s="312"/>
      <c r="AE877" s="312"/>
      <c r="AF877" s="312"/>
      <c r="AG877" s="312"/>
      <c r="AH877" s="312"/>
      <c r="AI877" s="312"/>
      <c r="AJ877" s="312"/>
      <c r="AK877" s="312"/>
      <c r="AL877" s="312"/>
      <c r="AM877" s="312"/>
      <c r="AN877" s="312"/>
      <c r="AO877" s="312"/>
      <c r="AP877" s="312"/>
      <c r="AQ877" s="312"/>
      <c r="AR877" s="312"/>
      <c r="AS877" s="312"/>
      <c r="AT877" s="312"/>
    </row>
    <row r="878" ht="15.75" customHeight="1">
      <c r="A878" s="318"/>
      <c r="B878" s="312"/>
      <c r="C878" s="312"/>
      <c r="D878" s="312"/>
      <c r="E878" s="312"/>
      <c r="F878" s="312"/>
      <c r="G878" s="312"/>
      <c r="H878" s="312"/>
      <c r="I878" s="312"/>
      <c r="J878" s="312"/>
      <c r="K878" s="312"/>
      <c r="L878" s="312"/>
      <c r="M878" s="312"/>
      <c r="N878" s="312"/>
      <c r="O878" s="312"/>
      <c r="P878" s="312"/>
      <c r="Q878" s="312"/>
      <c r="R878" s="312"/>
      <c r="S878" s="312"/>
      <c r="T878" s="312"/>
      <c r="U878" s="312"/>
      <c r="V878" s="312"/>
      <c r="W878" s="312"/>
      <c r="X878" s="312"/>
      <c r="Y878" s="312"/>
      <c r="Z878" s="312"/>
      <c r="AA878" s="312"/>
      <c r="AB878" s="312"/>
      <c r="AC878" s="312"/>
      <c r="AD878" s="312"/>
      <c r="AE878" s="312"/>
      <c r="AF878" s="312"/>
      <c r="AG878" s="312"/>
      <c r="AH878" s="312"/>
      <c r="AI878" s="312"/>
      <c r="AJ878" s="312"/>
      <c r="AK878" s="312"/>
      <c r="AL878" s="312"/>
      <c r="AM878" s="312"/>
      <c r="AN878" s="312"/>
      <c r="AO878" s="312"/>
      <c r="AP878" s="312"/>
      <c r="AQ878" s="312"/>
      <c r="AR878" s="312"/>
      <c r="AS878" s="312"/>
      <c r="AT878" s="312"/>
    </row>
    <row r="879" ht="15.75" customHeight="1">
      <c r="A879" s="318"/>
      <c r="B879" s="312"/>
      <c r="C879" s="312"/>
      <c r="D879" s="312"/>
      <c r="E879" s="312"/>
      <c r="F879" s="312"/>
      <c r="G879" s="312"/>
      <c r="H879" s="312"/>
      <c r="I879" s="312"/>
      <c r="J879" s="312"/>
      <c r="K879" s="312"/>
      <c r="L879" s="312"/>
      <c r="M879" s="312"/>
      <c r="N879" s="312"/>
      <c r="O879" s="312"/>
      <c r="P879" s="312"/>
      <c r="Q879" s="312"/>
      <c r="R879" s="312"/>
      <c r="S879" s="312"/>
      <c r="T879" s="312"/>
      <c r="U879" s="312"/>
      <c r="V879" s="312"/>
      <c r="W879" s="312"/>
      <c r="X879" s="312"/>
      <c r="Y879" s="312"/>
      <c r="Z879" s="312"/>
      <c r="AA879" s="312"/>
      <c r="AB879" s="312"/>
      <c r="AC879" s="312"/>
      <c r="AD879" s="312"/>
      <c r="AE879" s="312"/>
      <c r="AF879" s="312"/>
      <c r="AG879" s="312"/>
      <c r="AH879" s="312"/>
      <c r="AI879" s="312"/>
      <c r="AJ879" s="312"/>
      <c r="AK879" s="312"/>
      <c r="AL879" s="312"/>
      <c r="AM879" s="312"/>
      <c r="AN879" s="312"/>
      <c r="AO879" s="312"/>
      <c r="AP879" s="312"/>
      <c r="AQ879" s="312"/>
      <c r="AR879" s="312"/>
      <c r="AS879" s="312"/>
      <c r="AT879" s="312"/>
    </row>
    <row r="880" ht="15.75" customHeight="1">
      <c r="A880" s="318"/>
      <c r="B880" s="312"/>
      <c r="C880" s="312"/>
      <c r="D880" s="312"/>
      <c r="E880" s="312"/>
      <c r="F880" s="312"/>
      <c r="G880" s="312"/>
      <c r="H880" s="312"/>
      <c r="I880" s="312"/>
      <c r="J880" s="312"/>
      <c r="K880" s="312"/>
      <c r="L880" s="312"/>
      <c r="M880" s="312"/>
      <c r="N880" s="312"/>
      <c r="O880" s="312"/>
      <c r="P880" s="312"/>
      <c r="Q880" s="312"/>
      <c r="R880" s="312"/>
      <c r="S880" s="312"/>
      <c r="T880" s="312"/>
      <c r="U880" s="312"/>
      <c r="V880" s="312"/>
      <c r="W880" s="312"/>
      <c r="X880" s="312"/>
      <c r="Y880" s="312"/>
      <c r="Z880" s="312"/>
      <c r="AA880" s="312"/>
      <c r="AB880" s="312"/>
      <c r="AC880" s="312"/>
      <c r="AD880" s="312"/>
      <c r="AE880" s="312"/>
      <c r="AF880" s="312"/>
      <c r="AG880" s="312"/>
      <c r="AH880" s="312"/>
      <c r="AI880" s="312"/>
      <c r="AJ880" s="312"/>
      <c r="AK880" s="312"/>
      <c r="AL880" s="312"/>
      <c r="AM880" s="312"/>
      <c r="AN880" s="312"/>
      <c r="AO880" s="312"/>
      <c r="AP880" s="312"/>
      <c r="AQ880" s="312"/>
      <c r="AR880" s="312"/>
      <c r="AS880" s="312"/>
      <c r="AT880" s="312"/>
    </row>
    <row r="881" ht="15.75" customHeight="1">
      <c r="A881" s="318"/>
      <c r="B881" s="312"/>
      <c r="C881" s="312"/>
      <c r="D881" s="312"/>
      <c r="E881" s="312"/>
      <c r="F881" s="312"/>
      <c r="G881" s="312"/>
      <c r="H881" s="312"/>
      <c r="I881" s="312"/>
      <c r="J881" s="312"/>
      <c r="K881" s="312"/>
      <c r="L881" s="312"/>
      <c r="M881" s="312"/>
      <c r="N881" s="312"/>
      <c r="O881" s="312"/>
      <c r="P881" s="312"/>
      <c r="Q881" s="312"/>
      <c r="R881" s="312"/>
      <c r="S881" s="312"/>
      <c r="T881" s="312"/>
      <c r="U881" s="312"/>
      <c r="V881" s="312"/>
      <c r="W881" s="312"/>
      <c r="X881" s="312"/>
      <c r="Y881" s="312"/>
      <c r="Z881" s="312"/>
      <c r="AA881" s="312"/>
      <c r="AB881" s="312"/>
      <c r="AC881" s="312"/>
      <c r="AD881" s="312"/>
      <c r="AE881" s="312"/>
      <c r="AF881" s="312"/>
      <c r="AG881" s="312"/>
      <c r="AH881" s="312"/>
      <c r="AI881" s="312"/>
      <c r="AJ881" s="312"/>
      <c r="AK881" s="312"/>
      <c r="AL881" s="312"/>
      <c r="AM881" s="312"/>
      <c r="AN881" s="312"/>
      <c r="AO881" s="312"/>
      <c r="AP881" s="312"/>
      <c r="AQ881" s="312"/>
      <c r="AR881" s="312"/>
      <c r="AS881" s="312"/>
      <c r="AT881" s="312"/>
    </row>
    <row r="882" ht="15.75" customHeight="1">
      <c r="A882" s="318"/>
      <c r="B882" s="312"/>
      <c r="C882" s="312"/>
      <c r="D882" s="312"/>
      <c r="E882" s="312"/>
      <c r="F882" s="312"/>
      <c r="G882" s="312"/>
      <c r="H882" s="312"/>
      <c r="I882" s="312"/>
      <c r="J882" s="312"/>
      <c r="K882" s="312"/>
      <c r="L882" s="312"/>
      <c r="M882" s="312"/>
      <c r="N882" s="312"/>
      <c r="O882" s="312"/>
      <c r="P882" s="312"/>
      <c r="Q882" s="312"/>
      <c r="R882" s="312"/>
      <c r="S882" s="312"/>
      <c r="T882" s="312"/>
      <c r="U882" s="312"/>
      <c r="V882" s="312"/>
      <c r="W882" s="312"/>
      <c r="X882" s="312"/>
      <c r="Y882" s="312"/>
      <c r="Z882" s="312"/>
      <c r="AA882" s="312"/>
      <c r="AB882" s="312"/>
      <c r="AC882" s="312"/>
      <c r="AD882" s="312"/>
      <c r="AE882" s="312"/>
      <c r="AF882" s="312"/>
      <c r="AG882" s="312"/>
      <c r="AH882" s="312"/>
      <c r="AI882" s="312"/>
      <c r="AJ882" s="312"/>
      <c r="AK882" s="312"/>
      <c r="AL882" s="312"/>
      <c r="AM882" s="312"/>
      <c r="AN882" s="312"/>
      <c r="AO882" s="312"/>
      <c r="AP882" s="312"/>
      <c r="AQ882" s="312"/>
      <c r="AR882" s="312"/>
      <c r="AS882" s="312"/>
      <c r="AT882" s="312"/>
    </row>
    <row r="883" ht="15.75" customHeight="1">
      <c r="A883" s="318"/>
      <c r="B883" s="312"/>
      <c r="C883" s="312"/>
      <c r="D883" s="312"/>
      <c r="E883" s="312"/>
      <c r="F883" s="312"/>
      <c r="G883" s="312"/>
      <c r="H883" s="312"/>
      <c r="I883" s="312"/>
      <c r="J883" s="312"/>
      <c r="K883" s="312"/>
      <c r="L883" s="312"/>
      <c r="M883" s="312"/>
      <c r="N883" s="312"/>
      <c r="O883" s="312"/>
      <c r="P883" s="312"/>
      <c r="Q883" s="312"/>
      <c r="R883" s="312"/>
      <c r="S883" s="312"/>
      <c r="T883" s="312"/>
      <c r="U883" s="312"/>
      <c r="V883" s="312"/>
      <c r="W883" s="312"/>
      <c r="X883" s="312"/>
      <c r="Y883" s="312"/>
      <c r="Z883" s="312"/>
      <c r="AA883" s="312"/>
      <c r="AB883" s="312"/>
      <c r="AC883" s="312"/>
      <c r="AD883" s="312"/>
      <c r="AE883" s="312"/>
      <c r="AF883" s="312"/>
      <c r="AG883" s="312"/>
      <c r="AH883" s="312"/>
      <c r="AI883" s="312"/>
      <c r="AJ883" s="312"/>
      <c r="AK883" s="312"/>
      <c r="AL883" s="312"/>
      <c r="AM883" s="312"/>
      <c r="AN883" s="312"/>
      <c r="AO883" s="312"/>
      <c r="AP883" s="312"/>
      <c r="AQ883" s="312"/>
      <c r="AR883" s="312"/>
      <c r="AS883" s="312"/>
      <c r="AT883" s="312"/>
    </row>
    <row r="884" ht="15.75" customHeight="1">
      <c r="A884" s="318"/>
      <c r="B884" s="312"/>
      <c r="C884" s="312"/>
      <c r="D884" s="312"/>
      <c r="E884" s="312"/>
      <c r="F884" s="312"/>
      <c r="G884" s="312"/>
      <c r="H884" s="312"/>
      <c r="I884" s="312"/>
      <c r="J884" s="312"/>
      <c r="K884" s="312"/>
      <c r="L884" s="312"/>
      <c r="M884" s="312"/>
      <c r="N884" s="312"/>
      <c r="O884" s="312"/>
      <c r="P884" s="312"/>
      <c r="Q884" s="312"/>
      <c r="R884" s="312"/>
      <c r="S884" s="312"/>
      <c r="T884" s="312"/>
      <c r="U884" s="312"/>
      <c r="V884" s="312"/>
      <c r="W884" s="312"/>
      <c r="X884" s="312"/>
      <c r="Y884" s="312"/>
      <c r="Z884" s="312"/>
      <c r="AA884" s="312"/>
      <c r="AB884" s="312"/>
      <c r="AC884" s="312"/>
      <c r="AD884" s="312"/>
      <c r="AE884" s="312"/>
      <c r="AF884" s="312"/>
      <c r="AG884" s="312"/>
      <c r="AH884" s="312"/>
      <c r="AI884" s="312"/>
      <c r="AJ884" s="312"/>
      <c r="AK884" s="312"/>
      <c r="AL884" s="312"/>
      <c r="AM884" s="312"/>
      <c r="AN884" s="312"/>
      <c r="AO884" s="312"/>
      <c r="AP884" s="312"/>
      <c r="AQ884" s="312"/>
      <c r="AR884" s="312"/>
      <c r="AS884" s="312"/>
      <c r="AT884" s="312"/>
    </row>
    <row r="885" ht="15.75" customHeight="1">
      <c r="A885" s="318"/>
      <c r="B885" s="312"/>
      <c r="C885" s="312"/>
      <c r="D885" s="312"/>
      <c r="E885" s="312"/>
      <c r="F885" s="312"/>
      <c r="G885" s="312"/>
      <c r="H885" s="312"/>
      <c r="I885" s="312"/>
      <c r="J885" s="312"/>
      <c r="K885" s="312"/>
      <c r="L885" s="312"/>
      <c r="M885" s="312"/>
      <c r="N885" s="312"/>
      <c r="O885" s="312"/>
      <c r="P885" s="312"/>
      <c r="Q885" s="312"/>
      <c r="R885" s="312"/>
      <c r="S885" s="312"/>
      <c r="T885" s="312"/>
      <c r="U885" s="312"/>
      <c r="V885" s="312"/>
      <c r="W885" s="312"/>
      <c r="X885" s="312"/>
      <c r="Y885" s="312"/>
      <c r="Z885" s="312"/>
      <c r="AA885" s="312"/>
      <c r="AB885" s="312"/>
      <c r="AC885" s="312"/>
      <c r="AD885" s="312"/>
      <c r="AE885" s="312"/>
      <c r="AF885" s="312"/>
      <c r="AG885" s="312"/>
      <c r="AH885" s="312"/>
      <c r="AI885" s="312"/>
      <c r="AJ885" s="312"/>
      <c r="AK885" s="312"/>
      <c r="AL885" s="312"/>
      <c r="AM885" s="312"/>
      <c r="AN885" s="312"/>
      <c r="AO885" s="312"/>
      <c r="AP885" s="312"/>
      <c r="AQ885" s="312"/>
      <c r="AR885" s="312"/>
      <c r="AS885" s="312"/>
      <c r="AT885" s="312"/>
    </row>
    <row r="886" ht="15.75" customHeight="1">
      <c r="A886" s="318"/>
      <c r="B886" s="312"/>
      <c r="C886" s="312"/>
      <c r="D886" s="312"/>
      <c r="E886" s="312"/>
      <c r="F886" s="312"/>
      <c r="G886" s="312"/>
      <c r="H886" s="312"/>
      <c r="I886" s="312"/>
      <c r="J886" s="312"/>
      <c r="K886" s="312"/>
      <c r="L886" s="312"/>
      <c r="M886" s="312"/>
      <c r="N886" s="312"/>
      <c r="O886" s="312"/>
      <c r="P886" s="312"/>
      <c r="Q886" s="312"/>
      <c r="R886" s="312"/>
      <c r="S886" s="312"/>
      <c r="T886" s="312"/>
      <c r="U886" s="312"/>
      <c r="V886" s="312"/>
      <c r="W886" s="312"/>
      <c r="X886" s="312"/>
      <c r="Y886" s="312"/>
      <c r="Z886" s="312"/>
      <c r="AA886" s="312"/>
      <c r="AB886" s="312"/>
      <c r="AC886" s="312"/>
      <c r="AD886" s="312"/>
      <c r="AE886" s="312"/>
      <c r="AF886" s="312"/>
      <c r="AG886" s="312"/>
      <c r="AH886" s="312"/>
      <c r="AI886" s="312"/>
      <c r="AJ886" s="312"/>
      <c r="AK886" s="312"/>
      <c r="AL886" s="312"/>
      <c r="AM886" s="312"/>
      <c r="AN886" s="312"/>
      <c r="AO886" s="312"/>
      <c r="AP886" s="312"/>
      <c r="AQ886" s="312"/>
      <c r="AR886" s="312"/>
      <c r="AS886" s="312"/>
      <c r="AT886" s="312"/>
    </row>
    <row r="887" ht="15.75" customHeight="1">
      <c r="A887" s="318"/>
      <c r="B887" s="312"/>
      <c r="C887" s="312"/>
      <c r="D887" s="312"/>
      <c r="E887" s="312"/>
      <c r="F887" s="312"/>
      <c r="G887" s="312"/>
      <c r="H887" s="312"/>
      <c r="I887" s="312"/>
      <c r="J887" s="312"/>
      <c r="K887" s="312"/>
      <c r="L887" s="312"/>
      <c r="M887" s="312"/>
      <c r="N887" s="312"/>
      <c r="O887" s="312"/>
      <c r="P887" s="312"/>
      <c r="Q887" s="312"/>
      <c r="R887" s="312"/>
      <c r="S887" s="312"/>
      <c r="T887" s="312"/>
      <c r="U887" s="312"/>
      <c r="V887" s="312"/>
      <c r="W887" s="312"/>
      <c r="X887" s="312"/>
      <c r="Y887" s="312"/>
      <c r="Z887" s="312"/>
      <c r="AA887" s="312"/>
      <c r="AB887" s="312"/>
      <c r="AC887" s="312"/>
      <c r="AD887" s="312"/>
      <c r="AE887" s="312"/>
      <c r="AF887" s="312"/>
      <c r="AG887" s="312"/>
      <c r="AH887" s="312"/>
      <c r="AI887" s="312"/>
      <c r="AJ887" s="312"/>
      <c r="AK887" s="312"/>
      <c r="AL887" s="312"/>
      <c r="AM887" s="312"/>
      <c r="AN887" s="312"/>
      <c r="AO887" s="312"/>
      <c r="AP887" s="312"/>
      <c r="AQ887" s="312"/>
      <c r="AR887" s="312"/>
      <c r="AS887" s="312"/>
      <c r="AT887" s="312"/>
    </row>
    <row r="888" ht="15.75" customHeight="1">
      <c r="A888" s="318"/>
      <c r="B888" s="312"/>
      <c r="C888" s="312"/>
      <c r="D888" s="312"/>
      <c r="E888" s="312"/>
      <c r="F888" s="312"/>
      <c r="G888" s="312"/>
      <c r="H888" s="312"/>
      <c r="I888" s="312"/>
      <c r="J888" s="312"/>
      <c r="K888" s="312"/>
      <c r="L888" s="312"/>
      <c r="M888" s="312"/>
      <c r="N888" s="312"/>
      <c r="O888" s="312"/>
      <c r="P888" s="312"/>
      <c r="Q888" s="312"/>
      <c r="R888" s="312"/>
      <c r="S888" s="312"/>
      <c r="T888" s="312"/>
      <c r="U888" s="312"/>
      <c r="V888" s="312"/>
      <c r="W888" s="312"/>
      <c r="X888" s="312"/>
      <c r="Y888" s="312"/>
      <c r="Z888" s="312"/>
      <c r="AA888" s="312"/>
      <c r="AB888" s="312"/>
      <c r="AC888" s="312"/>
      <c r="AD888" s="312"/>
      <c r="AE888" s="312"/>
      <c r="AF888" s="312"/>
      <c r="AG888" s="312"/>
      <c r="AH888" s="312"/>
      <c r="AI888" s="312"/>
      <c r="AJ888" s="312"/>
      <c r="AK888" s="312"/>
      <c r="AL888" s="312"/>
      <c r="AM888" s="312"/>
      <c r="AN888" s="312"/>
      <c r="AO888" s="312"/>
      <c r="AP888" s="312"/>
      <c r="AQ888" s="312"/>
      <c r="AR888" s="312"/>
      <c r="AS888" s="312"/>
      <c r="AT888" s="312"/>
    </row>
    <row r="889" ht="15.75" customHeight="1">
      <c r="A889" s="318"/>
      <c r="B889" s="312"/>
      <c r="C889" s="312"/>
      <c r="D889" s="312"/>
      <c r="E889" s="312"/>
      <c r="F889" s="312"/>
      <c r="G889" s="312"/>
      <c r="H889" s="312"/>
      <c r="I889" s="312"/>
      <c r="J889" s="312"/>
      <c r="K889" s="312"/>
      <c r="L889" s="312"/>
      <c r="M889" s="312"/>
      <c r="N889" s="312"/>
      <c r="O889" s="312"/>
      <c r="P889" s="312"/>
      <c r="Q889" s="312"/>
      <c r="R889" s="312"/>
      <c r="S889" s="312"/>
      <c r="T889" s="312"/>
      <c r="U889" s="312"/>
      <c r="V889" s="312"/>
      <c r="W889" s="312"/>
      <c r="X889" s="312"/>
      <c r="Y889" s="312"/>
      <c r="Z889" s="312"/>
      <c r="AA889" s="312"/>
      <c r="AB889" s="312"/>
      <c r="AC889" s="312"/>
      <c r="AD889" s="312"/>
      <c r="AE889" s="312"/>
      <c r="AF889" s="312"/>
      <c r="AG889" s="312"/>
      <c r="AH889" s="312"/>
      <c r="AI889" s="312"/>
      <c r="AJ889" s="312"/>
      <c r="AK889" s="312"/>
      <c r="AL889" s="312"/>
      <c r="AM889" s="312"/>
      <c r="AN889" s="312"/>
      <c r="AO889" s="312"/>
      <c r="AP889" s="312"/>
      <c r="AQ889" s="312"/>
      <c r="AR889" s="312"/>
      <c r="AS889" s="312"/>
      <c r="AT889" s="312"/>
    </row>
    <row r="890" ht="15.75" customHeight="1">
      <c r="A890" s="318"/>
      <c r="B890" s="312"/>
      <c r="C890" s="312"/>
      <c r="D890" s="312"/>
      <c r="E890" s="312"/>
      <c r="F890" s="312"/>
      <c r="G890" s="312"/>
      <c r="H890" s="312"/>
      <c r="I890" s="312"/>
      <c r="J890" s="312"/>
      <c r="K890" s="312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2"/>
      <c r="AJ890" s="312"/>
      <c r="AK890" s="312"/>
      <c r="AL890" s="312"/>
      <c r="AM890" s="312"/>
      <c r="AN890" s="312"/>
      <c r="AO890" s="312"/>
      <c r="AP890" s="312"/>
      <c r="AQ890" s="312"/>
      <c r="AR890" s="312"/>
      <c r="AS890" s="312"/>
      <c r="AT890" s="312"/>
    </row>
    <row r="891" ht="15.75" customHeight="1">
      <c r="A891" s="318"/>
      <c r="B891" s="312"/>
      <c r="C891" s="312"/>
      <c r="D891" s="312"/>
      <c r="E891" s="312"/>
      <c r="F891" s="312"/>
      <c r="G891" s="312"/>
      <c r="H891" s="312"/>
      <c r="I891" s="312"/>
      <c r="J891" s="312"/>
      <c r="K891" s="312"/>
      <c r="L891" s="312"/>
      <c r="M891" s="312"/>
      <c r="N891" s="312"/>
      <c r="O891" s="312"/>
      <c r="P891" s="312"/>
      <c r="Q891" s="312"/>
      <c r="R891" s="312"/>
      <c r="S891" s="312"/>
      <c r="T891" s="312"/>
      <c r="U891" s="312"/>
      <c r="V891" s="312"/>
      <c r="W891" s="312"/>
      <c r="X891" s="312"/>
      <c r="Y891" s="312"/>
      <c r="Z891" s="312"/>
      <c r="AA891" s="312"/>
      <c r="AB891" s="312"/>
      <c r="AC891" s="312"/>
      <c r="AD891" s="312"/>
      <c r="AE891" s="312"/>
      <c r="AF891" s="312"/>
      <c r="AG891" s="312"/>
      <c r="AH891" s="312"/>
      <c r="AI891" s="312"/>
      <c r="AJ891" s="312"/>
      <c r="AK891" s="312"/>
      <c r="AL891" s="312"/>
      <c r="AM891" s="312"/>
      <c r="AN891" s="312"/>
      <c r="AO891" s="312"/>
      <c r="AP891" s="312"/>
      <c r="AQ891" s="312"/>
      <c r="AR891" s="312"/>
      <c r="AS891" s="312"/>
      <c r="AT891" s="312"/>
    </row>
    <row r="892" ht="15.75" customHeight="1">
      <c r="A892" s="318"/>
      <c r="B892" s="312"/>
      <c r="C892" s="312"/>
      <c r="D892" s="312"/>
      <c r="E892" s="312"/>
      <c r="F892" s="312"/>
      <c r="G892" s="312"/>
      <c r="H892" s="312"/>
      <c r="I892" s="312"/>
      <c r="J892" s="312"/>
      <c r="K892" s="312"/>
      <c r="L892" s="312"/>
      <c r="M892" s="312"/>
      <c r="N892" s="312"/>
      <c r="O892" s="312"/>
      <c r="P892" s="312"/>
      <c r="Q892" s="312"/>
      <c r="R892" s="312"/>
      <c r="S892" s="312"/>
      <c r="T892" s="312"/>
      <c r="U892" s="312"/>
      <c r="V892" s="312"/>
      <c r="W892" s="312"/>
      <c r="X892" s="312"/>
      <c r="Y892" s="312"/>
      <c r="Z892" s="312"/>
      <c r="AA892" s="312"/>
      <c r="AB892" s="312"/>
      <c r="AC892" s="312"/>
      <c r="AD892" s="312"/>
      <c r="AE892" s="312"/>
      <c r="AF892" s="312"/>
      <c r="AG892" s="312"/>
      <c r="AH892" s="312"/>
      <c r="AI892" s="312"/>
      <c r="AJ892" s="312"/>
      <c r="AK892" s="312"/>
      <c r="AL892" s="312"/>
      <c r="AM892" s="312"/>
      <c r="AN892" s="312"/>
      <c r="AO892" s="312"/>
      <c r="AP892" s="312"/>
      <c r="AQ892" s="312"/>
      <c r="AR892" s="312"/>
      <c r="AS892" s="312"/>
      <c r="AT892" s="312"/>
    </row>
    <row r="893" ht="15.75" customHeight="1">
      <c r="A893" s="318"/>
      <c r="B893" s="312"/>
      <c r="C893" s="312"/>
      <c r="D893" s="312"/>
      <c r="E893" s="312"/>
      <c r="F893" s="312"/>
      <c r="G893" s="312"/>
      <c r="H893" s="312"/>
      <c r="I893" s="312"/>
      <c r="J893" s="312"/>
      <c r="K893" s="312"/>
      <c r="L893" s="312"/>
      <c r="M893" s="312"/>
      <c r="N893" s="312"/>
      <c r="O893" s="312"/>
      <c r="P893" s="312"/>
      <c r="Q893" s="312"/>
      <c r="R893" s="312"/>
      <c r="S893" s="312"/>
      <c r="T893" s="312"/>
      <c r="U893" s="312"/>
      <c r="V893" s="312"/>
      <c r="W893" s="312"/>
      <c r="X893" s="312"/>
      <c r="Y893" s="312"/>
      <c r="Z893" s="312"/>
      <c r="AA893" s="312"/>
      <c r="AB893" s="312"/>
      <c r="AC893" s="312"/>
      <c r="AD893" s="312"/>
      <c r="AE893" s="312"/>
      <c r="AF893" s="312"/>
      <c r="AG893" s="312"/>
      <c r="AH893" s="312"/>
      <c r="AI893" s="312"/>
      <c r="AJ893" s="312"/>
      <c r="AK893" s="312"/>
      <c r="AL893" s="312"/>
      <c r="AM893" s="312"/>
      <c r="AN893" s="312"/>
      <c r="AO893" s="312"/>
      <c r="AP893" s="312"/>
      <c r="AQ893" s="312"/>
      <c r="AR893" s="312"/>
      <c r="AS893" s="312"/>
      <c r="AT893" s="312"/>
    </row>
    <row r="894" ht="15.75" customHeight="1">
      <c r="A894" s="318"/>
      <c r="B894" s="312"/>
      <c r="C894" s="312"/>
      <c r="D894" s="312"/>
      <c r="E894" s="312"/>
      <c r="F894" s="312"/>
      <c r="G894" s="312"/>
      <c r="H894" s="312"/>
      <c r="I894" s="312"/>
      <c r="J894" s="312"/>
      <c r="K894" s="312"/>
      <c r="L894" s="312"/>
      <c r="M894" s="312"/>
      <c r="N894" s="312"/>
      <c r="O894" s="312"/>
      <c r="P894" s="312"/>
      <c r="Q894" s="312"/>
      <c r="R894" s="312"/>
      <c r="S894" s="312"/>
      <c r="T894" s="312"/>
      <c r="U894" s="312"/>
      <c r="V894" s="312"/>
      <c r="W894" s="312"/>
      <c r="X894" s="312"/>
      <c r="Y894" s="312"/>
      <c r="Z894" s="312"/>
      <c r="AA894" s="312"/>
      <c r="AB894" s="312"/>
      <c r="AC894" s="312"/>
      <c r="AD894" s="312"/>
      <c r="AE894" s="312"/>
      <c r="AF894" s="312"/>
      <c r="AG894" s="312"/>
      <c r="AH894" s="312"/>
      <c r="AI894" s="312"/>
      <c r="AJ894" s="312"/>
      <c r="AK894" s="312"/>
      <c r="AL894" s="312"/>
      <c r="AM894" s="312"/>
      <c r="AN894" s="312"/>
      <c r="AO894" s="312"/>
      <c r="AP894" s="312"/>
      <c r="AQ894" s="312"/>
      <c r="AR894" s="312"/>
      <c r="AS894" s="312"/>
      <c r="AT894" s="312"/>
    </row>
    <row r="895" ht="15.75" customHeight="1">
      <c r="A895" s="318"/>
      <c r="B895" s="312"/>
      <c r="C895" s="312"/>
      <c r="D895" s="312"/>
      <c r="E895" s="312"/>
      <c r="F895" s="312"/>
      <c r="G895" s="312"/>
      <c r="H895" s="312"/>
      <c r="I895" s="312"/>
      <c r="J895" s="312"/>
      <c r="K895" s="312"/>
      <c r="L895" s="312"/>
      <c r="M895" s="312"/>
      <c r="N895" s="312"/>
      <c r="O895" s="312"/>
      <c r="P895" s="312"/>
      <c r="Q895" s="312"/>
      <c r="R895" s="312"/>
      <c r="S895" s="312"/>
      <c r="T895" s="312"/>
      <c r="U895" s="312"/>
      <c r="V895" s="312"/>
      <c r="W895" s="312"/>
      <c r="X895" s="312"/>
      <c r="Y895" s="312"/>
      <c r="Z895" s="312"/>
      <c r="AA895" s="312"/>
      <c r="AB895" s="312"/>
      <c r="AC895" s="312"/>
      <c r="AD895" s="312"/>
      <c r="AE895" s="312"/>
      <c r="AF895" s="312"/>
      <c r="AG895" s="312"/>
      <c r="AH895" s="312"/>
      <c r="AI895" s="312"/>
      <c r="AJ895" s="312"/>
      <c r="AK895" s="312"/>
      <c r="AL895" s="312"/>
      <c r="AM895" s="312"/>
      <c r="AN895" s="312"/>
      <c r="AO895" s="312"/>
      <c r="AP895" s="312"/>
      <c r="AQ895" s="312"/>
      <c r="AR895" s="312"/>
      <c r="AS895" s="312"/>
      <c r="AT895" s="312"/>
    </row>
    <row r="896" ht="15.75" customHeight="1">
      <c r="A896" s="318"/>
      <c r="B896" s="312"/>
      <c r="C896" s="312"/>
      <c r="D896" s="312"/>
      <c r="E896" s="312"/>
      <c r="F896" s="312"/>
      <c r="G896" s="312"/>
      <c r="H896" s="312"/>
      <c r="I896" s="312"/>
      <c r="J896" s="312"/>
      <c r="K896" s="312"/>
      <c r="L896" s="312"/>
      <c r="M896" s="312"/>
      <c r="N896" s="312"/>
      <c r="O896" s="312"/>
      <c r="P896" s="312"/>
      <c r="Q896" s="312"/>
      <c r="R896" s="312"/>
      <c r="S896" s="312"/>
      <c r="T896" s="312"/>
      <c r="U896" s="312"/>
      <c r="V896" s="312"/>
      <c r="W896" s="312"/>
      <c r="X896" s="312"/>
      <c r="Y896" s="312"/>
      <c r="Z896" s="312"/>
      <c r="AA896" s="312"/>
      <c r="AB896" s="312"/>
      <c r="AC896" s="312"/>
      <c r="AD896" s="312"/>
      <c r="AE896" s="312"/>
      <c r="AF896" s="312"/>
      <c r="AG896" s="312"/>
      <c r="AH896" s="312"/>
      <c r="AI896" s="312"/>
      <c r="AJ896" s="312"/>
      <c r="AK896" s="312"/>
      <c r="AL896" s="312"/>
      <c r="AM896" s="312"/>
      <c r="AN896" s="312"/>
      <c r="AO896" s="312"/>
      <c r="AP896" s="312"/>
      <c r="AQ896" s="312"/>
      <c r="AR896" s="312"/>
      <c r="AS896" s="312"/>
      <c r="AT896" s="312"/>
    </row>
    <row r="897" ht="15.75" customHeight="1">
      <c r="A897" s="318"/>
      <c r="B897" s="312"/>
      <c r="C897" s="312"/>
      <c r="D897" s="312"/>
      <c r="E897" s="312"/>
      <c r="F897" s="312"/>
      <c r="G897" s="312"/>
      <c r="H897" s="312"/>
      <c r="I897" s="312"/>
      <c r="J897" s="312"/>
      <c r="K897" s="312"/>
      <c r="L897" s="312"/>
      <c r="M897" s="312"/>
      <c r="N897" s="312"/>
      <c r="O897" s="312"/>
      <c r="P897" s="312"/>
      <c r="Q897" s="312"/>
      <c r="R897" s="312"/>
      <c r="S897" s="312"/>
      <c r="T897" s="312"/>
      <c r="U897" s="312"/>
      <c r="V897" s="312"/>
      <c r="W897" s="312"/>
      <c r="X897" s="312"/>
      <c r="Y897" s="312"/>
      <c r="Z897" s="312"/>
      <c r="AA897" s="312"/>
      <c r="AB897" s="312"/>
      <c r="AC897" s="312"/>
      <c r="AD897" s="312"/>
      <c r="AE897" s="312"/>
      <c r="AF897" s="312"/>
      <c r="AG897" s="312"/>
      <c r="AH897" s="312"/>
      <c r="AI897" s="312"/>
      <c r="AJ897" s="312"/>
      <c r="AK897" s="312"/>
      <c r="AL897" s="312"/>
      <c r="AM897" s="312"/>
      <c r="AN897" s="312"/>
      <c r="AO897" s="312"/>
      <c r="AP897" s="312"/>
      <c r="AQ897" s="312"/>
      <c r="AR897" s="312"/>
      <c r="AS897" s="312"/>
      <c r="AT897" s="312"/>
    </row>
    <row r="898" ht="15.75" customHeight="1">
      <c r="A898" s="318"/>
      <c r="B898" s="312"/>
      <c r="C898" s="312"/>
      <c r="D898" s="312"/>
      <c r="E898" s="312"/>
      <c r="F898" s="312"/>
      <c r="G898" s="312"/>
      <c r="H898" s="312"/>
      <c r="I898" s="312"/>
      <c r="J898" s="312"/>
      <c r="K898" s="312"/>
      <c r="L898" s="312"/>
      <c r="M898" s="312"/>
      <c r="N898" s="312"/>
      <c r="O898" s="312"/>
      <c r="P898" s="312"/>
      <c r="Q898" s="312"/>
      <c r="R898" s="312"/>
      <c r="S898" s="312"/>
      <c r="T898" s="312"/>
      <c r="U898" s="312"/>
      <c r="V898" s="312"/>
      <c r="W898" s="312"/>
      <c r="X898" s="312"/>
      <c r="Y898" s="312"/>
      <c r="Z898" s="312"/>
      <c r="AA898" s="312"/>
      <c r="AB898" s="312"/>
      <c r="AC898" s="312"/>
      <c r="AD898" s="312"/>
      <c r="AE898" s="312"/>
      <c r="AF898" s="312"/>
      <c r="AG898" s="312"/>
      <c r="AH898" s="312"/>
      <c r="AI898" s="312"/>
      <c r="AJ898" s="312"/>
      <c r="AK898" s="312"/>
      <c r="AL898" s="312"/>
      <c r="AM898" s="312"/>
      <c r="AN898" s="312"/>
      <c r="AO898" s="312"/>
      <c r="AP898" s="312"/>
      <c r="AQ898" s="312"/>
      <c r="AR898" s="312"/>
      <c r="AS898" s="312"/>
      <c r="AT898" s="312"/>
    </row>
    <row r="899" ht="15.75" customHeight="1">
      <c r="A899" s="318"/>
      <c r="B899" s="312"/>
      <c r="C899" s="312"/>
      <c r="D899" s="312"/>
      <c r="E899" s="312"/>
      <c r="F899" s="312"/>
      <c r="G899" s="312"/>
      <c r="H899" s="312"/>
      <c r="I899" s="312"/>
      <c r="J899" s="312"/>
      <c r="K899" s="312"/>
      <c r="L899" s="312"/>
      <c r="M899" s="312"/>
      <c r="N899" s="312"/>
      <c r="O899" s="312"/>
      <c r="P899" s="312"/>
      <c r="Q899" s="312"/>
      <c r="R899" s="312"/>
      <c r="S899" s="312"/>
      <c r="T899" s="312"/>
      <c r="U899" s="312"/>
      <c r="V899" s="312"/>
      <c r="W899" s="312"/>
      <c r="X899" s="312"/>
      <c r="Y899" s="312"/>
      <c r="Z899" s="312"/>
      <c r="AA899" s="312"/>
      <c r="AB899" s="312"/>
      <c r="AC899" s="312"/>
      <c r="AD899" s="312"/>
      <c r="AE899" s="312"/>
      <c r="AF899" s="312"/>
      <c r="AG899" s="312"/>
      <c r="AH899" s="312"/>
      <c r="AI899" s="312"/>
      <c r="AJ899" s="312"/>
      <c r="AK899" s="312"/>
      <c r="AL899" s="312"/>
      <c r="AM899" s="312"/>
      <c r="AN899" s="312"/>
      <c r="AO899" s="312"/>
      <c r="AP899" s="312"/>
      <c r="AQ899" s="312"/>
      <c r="AR899" s="312"/>
      <c r="AS899" s="312"/>
      <c r="AT899" s="312"/>
    </row>
    <row r="900" ht="15.75" customHeight="1">
      <c r="A900" s="318"/>
      <c r="B900" s="312"/>
      <c r="C900" s="312"/>
      <c r="D900" s="312"/>
      <c r="E900" s="312"/>
      <c r="F900" s="312"/>
      <c r="G900" s="312"/>
      <c r="H900" s="312"/>
      <c r="I900" s="312"/>
      <c r="J900" s="312"/>
      <c r="K900" s="312"/>
      <c r="L900" s="312"/>
      <c r="M900" s="312"/>
      <c r="N900" s="312"/>
      <c r="O900" s="312"/>
      <c r="P900" s="312"/>
      <c r="Q900" s="312"/>
      <c r="R900" s="312"/>
      <c r="S900" s="312"/>
      <c r="T900" s="312"/>
      <c r="U900" s="312"/>
      <c r="V900" s="312"/>
      <c r="W900" s="312"/>
      <c r="X900" s="312"/>
      <c r="Y900" s="312"/>
      <c r="Z900" s="312"/>
      <c r="AA900" s="312"/>
      <c r="AB900" s="312"/>
      <c r="AC900" s="312"/>
      <c r="AD900" s="312"/>
      <c r="AE900" s="312"/>
      <c r="AF900" s="312"/>
      <c r="AG900" s="312"/>
      <c r="AH900" s="312"/>
      <c r="AI900" s="312"/>
      <c r="AJ900" s="312"/>
      <c r="AK900" s="312"/>
      <c r="AL900" s="312"/>
      <c r="AM900" s="312"/>
      <c r="AN900" s="312"/>
      <c r="AO900" s="312"/>
      <c r="AP900" s="312"/>
      <c r="AQ900" s="312"/>
      <c r="AR900" s="312"/>
      <c r="AS900" s="312"/>
      <c r="AT900" s="312"/>
    </row>
    <row r="901" ht="15.75" customHeight="1">
      <c r="A901" s="318"/>
      <c r="B901" s="312"/>
      <c r="C901" s="312"/>
      <c r="D901" s="312"/>
      <c r="E901" s="312"/>
      <c r="F901" s="312"/>
      <c r="G901" s="312"/>
      <c r="H901" s="312"/>
      <c r="I901" s="312"/>
      <c r="J901" s="312"/>
      <c r="K901" s="312"/>
      <c r="L901" s="312"/>
      <c r="M901" s="312"/>
      <c r="N901" s="312"/>
      <c r="O901" s="312"/>
      <c r="P901" s="312"/>
      <c r="Q901" s="312"/>
      <c r="R901" s="312"/>
      <c r="S901" s="312"/>
      <c r="T901" s="312"/>
      <c r="U901" s="312"/>
      <c r="V901" s="312"/>
      <c r="W901" s="312"/>
      <c r="X901" s="312"/>
      <c r="Y901" s="312"/>
      <c r="Z901" s="312"/>
      <c r="AA901" s="312"/>
      <c r="AB901" s="312"/>
      <c r="AC901" s="312"/>
      <c r="AD901" s="312"/>
      <c r="AE901" s="312"/>
      <c r="AF901" s="312"/>
      <c r="AG901" s="312"/>
      <c r="AH901" s="312"/>
      <c r="AI901" s="312"/>
      <c r="AJ901" s="312"/>
      <c r="AK901" s="312"/>
      <c r="AL901" s="312"/>
      <c r="AM901" s="312"/>
      <c r="AN901" s="312"/>
      <c r="AO901" s="312"/>
      <c r="AP901" s="312"/>
      <c r="AQ901" s="312"/>
      <c r="AR901" s="312"/>
      <c r="AS901" s="312"/>
      <c r="AT901" s="312"/>
    </row>
    <row r="902" ht="15.75" customHeight="1">
      <c r="A902" s="318"/>
      <c r="B902" s="312"/>
      <c r="C902" s="312"/>
      <c r="D902" s="312"/>
      <c r="E902" s="312"/>
      <c r="F902" s="312"/>
      <c r="G902" s="312"/>
      <c r="H902" s="312"/>
      <c r="I902" s="312"/>
      <c r="J902" s="312"/>
      <c r="K902" s="312"/>
      <c r="L902" s="312"/>
      <c r="M902" s="312"/>
      <c r="N902" s="312"/>
      <c r="O902" s="312"/>
      <c r="P902" s="312"/>
      <c r="Q902" s="312"/>
      <c r="R902" s="312"/>
      <c r="S902" s="312"/>
      <c r="T902" s="312"/>
      <c r="U902" s="312"/>
      <c r="V902" s="312"/>
      <c r="W902" s="312"/>
      <c r="X902" s="312"/>
      <c r="Y902" s="312"/>
      <c r="Z902" s="312"/>
      <c r="AA902" s="312"/>
      <c r="AB902" s="312"/>
      <c r="AC902" s="312"/>
      <c r="AD902" s="312"/>
      <c r="AE902" s="312"/>
      <c r="AF902" s="312"/>
      <c r="AG902" s="312"/>
      <c r="AH902" s="312"/>
      <c r="AI902" s="312"/>
      <c r="AJ902" s="312"/>
      <c r="AK902" s="312"/>
      <c r="AL902" s="312"/>
      <c r="AM902" s="312"/>
      <c r="AN902" s="312"/>
      <c r="AO902" s="312"/>
      <c r="AP902" s="312"/>
      <c r="AQ902" s="312"/>
      <c r="AR902" s="312"/>
      <c r="AS902" s="312"/>
      <c r="AT902" s="312"/>
    </row>
    <row r="903" ht="15.75" customHeight="1">
      <c r="A903" s="318"/>
      <c r="B903" s="312"/>
      <c r="C903" s="312"/>
      <c r="D903" s="312"/>
      <c r="E903" s="312"/>
      <c r="F903" s="312"/>
      <c r="G903" s="312"/>
      <c r="H903" s="312"/>
      <c r="I903" s="312"/>
      <c r="J903" s="312"/>
      <c r="K903" s="312"/>
      <c r="L903" s="312"/>
      <c r="M903" s="312"/>
      <c r="N903" s="312"/>
      <c r="O903" s="312"/>
      <c r="P903" s="312"/>
      <c r="Q903" s="312"/>
      <c r="R903" s="312"/>
      <c r="S903" s="312"/>
      <c r="T903" s="312"/>
      <c r="U903" s="312"/>
      <c r="V903" s="312"/>
      <c r="W903" s="312"/>
      <c r="X903" s="312"/>
      <c r="Y903" s="312"/>
      <c r="Z903" s="312"/>
      <c r="AA903" s="312"/>
      <c r="AB903" s="312"/>
      <c r="AC903" s="312"/>
      <c r="AD903" s="312"/>
      <c r="AE903" s="312"/>
      <c r="AF903" s="312"/>
      <c r="AG903" s="312"/>
      <c r="AH903" s="312"/>
      <c r="AI903" s="312"/>
      <c r="AJ903" s="312"/>
      <c r="AK903" s="312"/>
      <c r="AL903" s="312"/>
      <c r="AM903" s="312"/>
      <c r="AN903" s="312"/>
      <c r="AO903" s="312"/>
      <c r="AP903" s="312"/>
      <c r="AQ903" s="312"/>
      <c r="AR903" s="312"/>
      <c r="AS903" s="312"/>
      <c r="AT903" s="312"/>
    </row>
    <row r="904" ht="15.75" customHeight="1">
      <c r="A904" s="318"/>
      <c r="B904" s="312"/>
      <c r="C904" s="312"/>
      <c r="D904" s="312"/>
      <c r="E904" s="312"/>
      <c r="F904" s="312"/>
      <c r="G904" s="312"/>
      <c r="H904" s="312"/>
      <c r="I904" s="312"/>
      <c r="J904" s="312"/>
      <c r="K904" s="312"/>
      <c r="L904" s="312"/>
      <c r="M904" s="312"/>
      <c r="N904" s="312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2"/>
      <c r="AB904" s="312"/>
      <c r="AC904" s="312"/>
      <c r="AD904" s="312"/>
      <c r="AE904" s="312"/>
      <c r="AF904" s="312"/>
      <c r="AG904" s="312"/>
      <c r="AH904" s="312"/>
      <c r="AI904" s="312"/>
      <c r="AJ904" s="312"/>
      <c r="AK904" s="312"/>
      <c r="AL904" s="312"/>
      <c r="AM904" s="312"/>
      <c r="AN904" s="312"/>
      <c r="AO904" s="312"/>
      <c r="AP904" s="312"/>
      <c r="AQ904" s="312"/>
      <c r="AR904" s="312"/>
      <c r="AS904" s="312"/>
      <c r="AT904" s="312"/>
    </row>
    <row r="905" ht="15.75" customHeight="1">
      <c r="A905" s="318"/>
      <c r="B905" s="312"/>
      <c r="C905" s="312"/>
      <c r="D905" s="312"/>
      <c r="E905" s="312"/>
      <c r="F905" s="312"/>
      <c r="G905" s="312"/>
      <c r="H905" s="312"/>
      <c r="I905" s="312"/>
      <c r="J905" s="312"/>
      <c r="K905" s="312"/>
      <c r="L905" s="312"/>
      <c r="M905" s="312"/>
      <c r="N905" s="312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2"/>
      <c r="AB905" s="312"/>
      <c r="AC905" s="312"/>
      <c r="AD905" s="312"/>
      <c r="AE905" s="312"/>
      <c r="AF905" s="312"/>
      <c r="AG905" s="312"/>
      <c r="AH905" s="312"/>
      <c r="AI905" s="312"/>
      <c r="AJ905" s="312"/>
      <c r="AK905" s="312"/>
      <c r="AL905" s="312"/>
      <c r="AM905" s="312"/>
      <c r="AN905" s="312"/>
      <c r="AO905" s="312"/>
      <c r="AP905" s="312"/>
      <c r="AQ905" s="312"/>
      <c r="AR905" s="312"/>
      <c r="AS905" s="312"/>
      <c r="AT905" s="312"/>
    </row>
    <row r="906" ht="15.75" customHeight="1">
      <c r="A906" s="318"/>
      <c r="B906" s="312"/>
      <c r="C906" s="312"/>
      <c r="D906" s="312"/>
      <c r="E906" s="312"/>
      <c r="F906" s="312"/>
      <c r="G906" s="312"/>
      <c r="H906" s="312"/>
      <c r="I906" s="312"/>
      <c r="J906" s="312"/>
      <c r="K906" s="312"/>
      <c r="L906" s="312"/>
      <c r="M906" s="312"/>
      <c r="N906" s="312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2"/>
      <c r="AB906" s="312"/>
      <c r="AC906" s="312"/>
      <c r="AD906" s="312"/>
      <c r="AE906" s="312"/>
      <c r="AF906" s="312"/>
      <c r="AG906" s="312"/>
      <c r="AH906" s="312"/>
      <c r="AI906" s="312"/>
      <c r="AJ906" s="312"/>
      <c r="AK906" s="312"/>
      <c r="AL906" s="312"/>
      <c r="AM906" s="312"/>
      <c r="AN906" s="312"/>
      <c r="AO906" s="312"/>
      <c r="AP906" s="312"/>
      <c r="AQ906" s="312"/>
      <c r="AR906" s="312"/>
      <c r="AS906" s="312"/>
      <c r="AT906" s="312"/>
    </row>
    <row r="907" ht="15.75" customHeight="1">
      <c r="A907" s="318"/>
      <c r="B907" s="312"/>
      <c r="C907" s="312"/>
      <c r="D907" s="312"/>
      <c r="E907" s="312"/>
      <c r="F907" s="312"/>
      <c r="G907" s="312"/>
      <c r="H907" s="312"/>
      <c r="I907" s="312"/>
      <c r="J907" s="312"/>
      <c r="K907" s="312"/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2"/>
      <c r="AB907" s="312"/>
      <c r="AC907" s="312"/>
      <c r="AD907" s="312"/>
      <c r="AE907" s="312"/>
      <c r="AF907" s="312"/>
      <c r="AG907" s="312"/>
      <c r="AH907" s="312"/>
      <c r="AI907" s="312"/>
      <c r="AJ907" s="312"/>
      <c r="AK907" s="312"/>
      <c r="AL907" s="312"/>
      <c r="AM907" s="312"/>
      <c r="AN907" s="312"/>
      <c r="AO907" s="312"/>
      <c r="AP907" s="312"/>
      <c r="AQ907" s="312"/>
      <c r="AR907" s="312"/>
      <c r="AS907" s="312"/>
      <c r="AT907" s="312"/>
    </row>
    <row r="908" ht="15.75" customHeight="1">
      <c r="A908" s="318"/>
      <c r="B908" s="312"/>
      <c r="C908" s="312"/>
      <c r="D908" s="312"/>
      <c r="E908" s="312"/>
      <c r="F908" s="312"/>
      <c r="G908" s="312"/>
      <c r="H908" s="312"/>
      <c r="I908" s="312"/>
      <c r="J908" s="312"/>
      <c r="K908" s="312"/>
      <c r="L908" s="312"/>
      <c r="M908" s="312"/>
      <c r="N908" s="312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2"/>
      <c r="AB908" s="312"/>
      <c r="AC908" s="312"/>
      <c r="AD908" s="312"/>
      <c r="AE908" s="312"/>
      <c r="AF908" s="312"/>
      <c r="AG908" s="312"/>
      <c r="AH908" s="312"/>
      <c r="AI908" s="312"/>
      <c r="AJ908" s="312"/>
      <c r="AK908" s="312"/>
      <c r="AL908" s="312"/>
      <c r="AM908" s="312"/>
      <c r="AN908" s="312"/>
      <c r="AO908" s="312"/>
      <c r="AP908" s="312"/>
      <c r="AQ908" s="312"/>
      <c r="AR908" s="312"/>
      <c r="AS908" s="312"/>
      <c r="AT908" s="312"/>
    </row>
    <row r="909" ht="15.75" customHeight="1">
      <c r="A909" s="318"/>
      <c r="B909" s="312"/>
      <c r="C909" s="312"/>
      <c r="D909" s="312"/>
      <c r="E909" s="312"/>
      <c r="F909" s="312"/>
      <c r="G909" s="312"/>
      <c r="H909" s="312"/>
      <c r="I909" s="312"/>
      <c r="J909" s="312"/>
      <c r="K909" s="312"/>
      <c r="L909" s="312"/>
      <c r="M909" s="312"/>
      <c r="N909" s="312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2"/>
      <c r="AB909" s="312"/>
      <c r="AC909" s="312"/>
      <c r="AD909" s="312"/>
      <c r="AE909" s="312"/>
      <c r="AF909" s="312"/>
      <c r="AG909" s="312"/>
      <c r="AH909" s="312"/>
      <c r="AI909" s="312"/>
      <c r="AJ909" s="312"/>
      <c r="AK909" s="312"/>
      <c r="AL909" s="312"/>
      <c r="AM909" s="312"/>
      <c r="AN909" s="312"/>
      <c r="AO909" s="312"/>
      <c r="AP909" s="312"/>
      <c r="AQ909" s="312"/>
      <c r="AR909" s="312"/>
      <c r="AS909" s="312"/>
      <c r="AT909" s="312"/>
    </row>
    <row r="910" ht="15.75" customHeight="1">
      <c r="A910" s="318"/>
      <c r="B910" s="312"/>
      <c r="C910" s="312"/>
      <c r="D910" s="312"/>
      <c r="E910" s="312"/>
      <c r="F910" s="312"/>
      <c r="G910" s="312"/>
      <c r="H910" s="312"/>
      <c r="I910" s="312"/>
      <c r="J910" s="312"/>
      <c r="K910" s="312"/>
      <c r="L910" s="312"/>
      <c r="M910" s="312"/>
      <c r="N910" s="312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2"/>
      <c r="AB910" s="312"/>
      <c r="AC910" s="312"/>
      <c r="AD910" s="312"/>
      <c r="AE910" s="312"/>
      <c r="AF910" s="312"/>
      <c r="AG910" s="312"/>
      <c r="AH910" s="312"/>
      <c r="AI910" s="312"/>
      <c r="AJ910" s="312"/>
      <c r="AK910" s="312"/>
      <c r="AL910" s="312"/>
      <c r="AM910" s="312"/>
      <c r="AN910" s="312"/>
      <c r="AO910" s="312"/>
      <c r="AP910" s="312"/>
      <c r="AQ910" s="312"/>
      <c r="AR910" s="312"/>
      <c r="AS910" s="312"/>
      <c r="AT910" s="312"/>
    </row>
    <row r="911" ht="15.75" customHeight="1">
      <c r="A911" s="318"/>
      <c r="B911" s="312"/>
      <c r="C911" s="312"/>
      <c r="D911" s="312"/>
      <c r="E911" s="312"/>
      <c r="F911" s="312"/>
      <c r="G911" s="312"/>
      <c r="H911" s="312"/>
      <c r="I911" s="312"/>
      <c r="J911" s="312"/>
      <c r="K911" s="312"/>
      <c r="L911" s="312"/>
      <c r="M911" s="312"/>
      <c r="N911" s="312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2"/>
      <c r="AB911" s="312"/>
      <c r="AC911" s="312"/>
      <c r="AD911" s="312"/>
      <c r="AE911" s="312"/>
      <c r="AF911" s="312"/>
      <c r="AG911" s="312"/>
      <c r="AH911" s="312"/>
      <c r="AI911" s="312"/>
      <c r="AJ911" s="312"/>
      <c r="AK911" s="312"/>
      <c r="AL911" s="312"/>
      <c r="AM911" s="312"/>
      <c r="AN911" s="312"/>
      <c r="AO911" s="312"/>
      <c r="AP911" s="312"/>
      <c r="AQ911" s="312"/>
      <c r="AR911" s="312"/>
      <c r="AS911" s="312"/>
      <c r="AT911" s="312"/>
    </row>
    <row r="912" ht="15.75" customHeight="1">
      <c r="A912" s="318"/>
      <c r="B912" s="312"/>
      <c r="C912" s="312"/>
      <c r="D912" s="312"/>
      <c r="E912" s="312"/>
      <c r="F912" s="312"/>
      <c r="G912" s="312"/>
      <c r="H912" s="312"/>
      <c r="I912" s="312"/>
      <c r="J912" s="312"/>
      <c r="K912" s="312"/>
      <c r="L912" s="312"/>
      <c r="M912" s="312"/>
      <c r="N912" s="312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2"/>
      <c r="AB912" s="312"/>
      <c r="AC912" s="312"/>
      <c r="AD912" s="312"/>
      <c r="AE912" s="312"/>
      <c r="AF912" s="312"/>
      <c r="AG912" s="312"/>
      <c r="AH912" s="312"/>
      <c r="AI912" s="312"/>
      <c r="AJ912" s="312"/>
      <c r="AK912" s="312"/>
      <c r="AL912" s="312"/>
      <c r="AM912" s="312"/>
      <c r="AN912" s="312"/>
      <c r="AO912" s="312"/>
      <c r="AP912" s="312"/>
      <c r="AQ912" s="312"/>
      <c r="AR912" s="312"/>
      <c r="AS912" s="312"/>
      <c r="AT912" s="312"/>
    </row>
    <row r="913" ht="15.75" customHeight="1">
      <c r="A913" s="318"/>
      <c r="B913" s="312"/>
      <c r="C913" s="312"/>
      <c r="D913" s="312"/>
      <c r="E913" s="312"/>
      <c r="F913" s="312"/>
      <c r="G913" s="312"/>
      <c r="H913" s="312"/>
      <c r="I913" s="312"/>
      <c r="J913" s="312"/>
      <c r="K913" s="312"/>
      <c r="L913" s="312"/>
      <c r="M913" s="312"/>
      <c r="N913" s="312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2"/>
      <c r="AB913" s="312"/>
      <c r="AC913" s="312"/>
      <c r="AD913" s="312"/>
      <c r="AE913" s="312"/>
      <c r="AF913" s="312"/>
      <c r="AG913" s="312"/>
      <c r="AH913" s="312"/>
      <c r="AI913" s="312"/>
      <c r="AJ913" s="312"/>
      <c r="AK913" s="312"/>
      <c r="AL913" s="312"/>
      <c r="AM913" s="312"/>
      <c r="AN913" s="312"/>
      <c r="AO913" s="312"/>
      <c r="AP913" s="312"/>
      <c r="AQ913" s="312"/>
      <c r="AR913" s="312"/>
      <c r="AS913" s="312"/>
      <c r="AT913" s="312"/>
    </row>
    <row r="914" ht="15.75" customHeight="1">
      <c r="A914" s="318"/>
      <c r="B914" s="312"/>
      <c r="C914" s="312"/>
      <c r="D914" s="312"/>
      <c r="E914" s="312"/>
      <c r="F914" s="312"/>
      <c r="G914" s="312"/>
      <c r="H914" s="312"/>
      <c r="I914" s="312"/>
      <c r="J914" s="312"/>
      <c r="K914" s="312"/>
      <c r="L914" s="312"/>
      <c r="M914" s="312"/>
      <c r="N914" s="312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2"/>
      <c r="AB914" s="312"/>
      <c r="AC914" s="312"/>
      <c r="AD914" s="312"/>
      <c r="AE914" s="312"/>
      <c r="AF914" s="312"/>
      <c r="AG914" s="312"/>
      <c r="AH914" s="312"/>
      <c r="AI914" s="312"/>
      <c r="AJ914" s="312"/>
      <c r="AK914" s="312"/>
      <c r="AL914" s="312"/>
      <c r="AM914" s="312"/>
      <c r="AN914" s="312"/>
      <c r="AO914" s="312"/>
      <c r="AP914" s="312"/>
      <c r="AQ914" s="312"/>
      <c r="AR914" s="312"/>
      <c r="AS914" s="312"/>
      <c r="AT914" s="312"/>
    </row>
    <row r="915" ht="15.75" customHeight="1">
      <c r="A915" s="318"/>
      <c r="B915" s="312"/>
      <c r="C915" s="312"/>
      <c r="D915" s="312"/>
      <c r="E915" s="312"/>
      <c r="F915" s="312"/>
      <c r="G915" s="312"/>
      <c r="H915" s="312"/>
      <c r="I915" s="312"/>
      <c r="J915" s="312"/>
      <c r="K915" s="312"/>
      <c r="L915" s="312"/>
      <c r="M915" s="312"/>
      <c r="N915" s="312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2"/>
      <c r="AB915" s="312"/>
      <c r="AC915" s="312"/>
      <c r="AD915" s="312"/>
      <c r="AE915" s="312"/>
      <c r="AF915" s="312"/>
      <c r="AG915" s="312"/>
      <c r="AH915" s="312"/>
      <c r="AI915" s="312"/>
      <c r="AJ915" s="312"/>
      <c r="AK915" s="312"/>
      <c r="AL915" s="312"/>
      <c r="AM915" s="312"/>
      <c r="AN915" s="312"/>
      <c r="AO915" s="312"/>
      <c r="AP915" s="312"/>
      <c r="AQ915" s="312"/>
      <c r="AR915" s="312"/>
      <c r="AS915" s="312"/>
      <c r="AT915" s="312"/>
    </row>
    <row r="916" ht="15.75" customHeight="1">
      <c r="A916" s="318"/>
      <c r="B916" s="312"/>
      <c r="C916" s="312"/>
      <c r="D916" s="312"/>
      <c r="E916" s="312"/>
      <c r="F916" s="312"/>
      <c r="G916" s="312"/>
      <c r="H916" s="312"/>
      <c r="I916" s="312"/>
      <c r="J916" s="312"/>
      <c r="K916" s="312"/>
      <c r="L916" s="312"/>
      <c r="M916" s="312"/>
      <c r="N916" s="312"/>
      <c r="O916" s="312"/>
      <c r="P916" s="312"/>
      <c r="Q916" s="312"/>
      <c r="R916" s="312"/>
      <c r="S916" s="312"/>
      <c r="T916" s="312"/>
      <c r="U916" s="312"/>
      <c r="V916" s="312"/>
      <c r="W916" s="312"/>
      <c r="X916" s="312"/>
      <c r="Y916" s="312"/>
      <c r="Z916" s="312"/>
      <c r="AA916" s="312"/>
      <c r="AB916" s="312"/>
      <c r="AC916" s="312"/>
      <c r="AD916" s="312"/>
      <c r="AE916" s="312"/>
      <c r="AF916" s="312"/>
      <c r="AG916" s="312"/>
      <c r="AH916" s="312"/>
      <c r="AI916" s="312"/>
      <c r="AJ916" s="312"/>
      <c r="AK916" s="312"/>
      <c r="AL916" s="312"/>
      <c r="AM916" s="312"/>
      <c r="AN916" s="312"/>
      <c r="AO916" s="312"/>
      <c r="AP916" s="312"/>
      <c r="AQ916" s="312"/>
      <c r="AR916" s="312"/>
      <c r="AS916" s="312"/>
      <c r="AT916" s="312"/>
    </row>
    <row r="917" ht="15.75" customHeight="1">
      <c r="A917" s="318"/>
      <c r="B917" s="312"/>
      <c r="C917" s="312"/>
      <c r="D917" s="312"/>
      <c r="E917" s="312"/>
      <c r="F917" s="312"/>
      <c r="G917" s="312"/>
      <c r="H917" s="312"/>
      <c r="I917" s="312"/>
      <c r="J917" s="312"/>
      <c r="K917" s="312"/>
      <c r="L917" s="312"/>
      <c r="M917" s="312"/>
      <c r="N917" s="312"/>
      <c r="O917" s="312"/>
      <c r="P917" s="312"/>
      <c r="Q917" s="312"/>
      <c r="R917" s="312"/>
      <c r="S917" s="312"/>
      <c r="T917" s="312"/>
      <c r="U917" s="312"/>
      <c r="V917" s="312"/>
      <c r="W917" s="312"/>
      <c r="X917" s="312"/>
      <c r="Y917" s="312"/>
      <c r="Z917" s="312"/>
      <c r="AA917" s="312"/>
      <c r="AB917" s="312"/>
      <c r="AC917" s="312"/>
      <c r="AD917" s="312"/>
      <c r="AE917" s="312"/>
      <c r="AF917" s="312"/>
      <c r="AG917" s="312"/>
      <c r="AH917" s="312"/>
      <c r="AI917" s="312"/>
      <c r="AJ917" s="312"/>
      <c r="AK917" s="312"/>
      <c r="AL917" s="312"/>
      <c r="AM917" s="312"/>
      <c r="AN917" s="312"/>
      <c r="AO917" s="312"/>
      <c r="AP917" s="312"/>
      <c r="AQ917" s="312"/>
      <c r="AR917" s="312"/>
      <c r="AS917" s="312"/>
      <c r="AT917" s="312"/>
    </row>
    <row r="918" ht="15.75" customHeight="1">
      <c r="A918" s="318"/>
      <c r="B918" s="312"/>
      <c r="C918" s="312"/>
      <c r="D918" s="312"/>
      <c r="E918" s="312"/>
      <c r="F918" s="312"/>
      <c r="G918" s="312"/>
      <c r="H918" s="312"/>
      <c r="I918" s="312"/>
      <c r="J918" s="312"/>
      <c r="K918" s="312"/>
      <c r="L918" s="312"/>
      <c r="M918" s="312"/>
      <c r="N918" s="312"/>
      <c r="O918" s="312"/>
      <c r="P918" s="312"/>
      <c r="Q918" s="312"/>
      <c r="R918" s="312"/>
      <c r="S918" s="312"/>
      <c r="T918" s="312"/>
      <c r="U918" s="312"/>
      <c r="V918" s="312"/>
      <c r="W918" s="312"/>
      <c r="X918" s="312"/>
      <c r="Y918" s="312"/>
      <c r="Z918" s="312"/>
      <c r="AA918" s="312"/>
      <c r="AB918" s="312"/>
      <c r="AC918" s="312"/>
      <c r="AD918" s="312"/>
      <c r="AE918" s="312"/>
      <c r="AF918" s="312"/>
      <c r="AG918" s="312"/>
      <c r="AH918" s="312"/>
      <c r="AI918" s="312"/>
      <c r="AJ918" s="312"/>
      <c r="AK918" s="312"/>
      <c r="AL918" s="312"/>
      <c r="AM918" s="312"/>
      <c r="AN918" s="312"/>
      <c r="AO918" s="312"/>
      <c r="AP918" s="312"/>
      <c r="AQ918" s="312"/>
      <c r="AR918" s="312"/>
      <c r="AS918" s="312"/>
      <c r="AT918" s="312"/>
    </row>
    <row r="919" ht="15.75" customHeight="1">
      <c r="A919" s="318"/>
      <c r="B919" s="312"/>
      <c r="C919" s="312"/>
      <c r="D919" s="312"/>
      <c r="E919" s="312"/>
      <c r="F919" s="312"/>
      <c r="G919" s="312"/>
      <c r="H919" s="312"/>
      <c r="I919" s="312"/>
      <c r="J919" s="312"/>
      <c r="K919" s="312"/>
      <c r="L919" s="312"/>
      <c r="M919" s="312"/>
      <c r="N919" s="312"/>
      <c r="O919" s="312"/>
      <c r="P919" s="312"/>
      <c r="Q919" s="312"/>
      <c r="R919" s="312"/>
      <c r="S919" s="312"/>
      <c r="T919" s="312"/>
      <c r="U919" s="312"/>
      <c r="V919" s="312"/>
      <c r="W919" s="312"/>
      <c r="X919" s="312"/>
      <c r="Y919" s="312"/>
      <c r="Z919" s="312"/>
      <c r="AA919" s="312"/>
      <c r="AB919" s="312"/>
      <c r="AC919" s="312"/>
      <c r="AD919" s="312"/>
      <c r="AE919" s="312"/>
      <c r="AF919" s="312"/>
      <c r="AG919" s="312"/>
      <c r="AH919" s="312"/>
      <c r="AI919" s="312"/>
      <c r="AJ919" s="312"/>
      <c r="AK919" s="312"/>
      <c r="AL919" s="312"/>
      <c r="AM919" s="312"/>
      <c r="AN919" s="312"/>
      <c r="AO919" s="312"/>
      <c r="AP919" s="312"/>
      <c r="AQ919" s="312"/>
      <c r="AR919" s="312"/>
      <c r="AS919" s="312"/>
      <c r="AT919" s="312"/>
    </row>
    <row r="920" ht="15.75" customHeight="1">
      <c r="A920" s="318"/>
      <c r="B920" s="312"/>
      <c r="C920" s="312"/>
      <c r="D920" s="312"/>
      <c r="E920" s="312"/>
      <c r="F920" s="312"/>
      <c r="G920" s="312"/>
      <c r="H920" s="312"/>
      <c r="I920" s="312"/>
      <c r="J920" s="312"/>
      <c r="K920" s="312"/>
      <c r="L920" s="312"/>
      <c r="M920" s="312"/>
      <c r="N920" s="312"/>
      <c r="O920" s="312"/>
      <c r="P920" s="312"/>
      <c r="Q920" s="312"/>
      <c r="R920" s="312"/>
      <c r="S920" s="312"/>
      <c r="T920" s="312"/>
      <c r="U920" s="312"/>
      <c r="V920" s="312"/>
      <c r="W920" s="312"/>
      <c r="X920" s="312"/>
      <c r="Y920" s="312"/>
      <c r="Z920" s="312"/>
      <c r="AA920" s="312"/>
      <c r="AB920" s="312"/>
      <c r="AC920" s="312"/>
      <c r="AD920" s="312"/>
      <c r="AE920" s="312"/>
      <c r="AF920" s="312"/>
      <c r="AG920" s="312"/>
      <c r="AH920" s="312"/>
      <c r="AI920" s="312"/>
      <c r="AJ920" s="312"/>
      <c r="AK920" s="312"/>
      <c r="AL920" s="312"/>
      <c r="AM920" s="312"/>
      <c r="AN920" s="312"/>
      <c r="AO920" s="312"/>
      <c r="AP920" s="312"/>
      <c r="AQ920" s="312"/>
      <c r="AR920" s="312"/>
      <c r="AS920" s="312"/>
      <c r="AT920" s="312"/>
    </row>
    <row r="921" ht="15.75" customHeight="1">
      <c r="A921" s="318"/>
      <c r="B921" s="312"/>
      <c r="C921" s="312"/>
      <c r="D921" s="312"/>
      <c r="E921" s="312"/>
      <c r="F921" s="312"/>
      <c r="G921" s="312"/>
      <c r="H921" s="312"/>
      <c r="I921" s="312"/>
      <c r="J921" s="312"/>
      <c r="K921" s="312"/>
      <c r="L921" s="312"/>
      <c r="M921" s="312"/>
      <c r="N921" s="312"/>
      <c r="O921" s="312"/>
      <c r="P921" s="312"/>
      <c r="Q921" s="312"/>
      <c r="R921" s="312"/>
      <c r="S921" s="312"/>
      <c r="T921" s="312"/>
      <c r="U921" s="312"/>
      <c r="V921" s="312"/>
      <c r="W921" s="312"/>
      <c r="X921" s="312"/>
      <c r="Y921" s="312"/>
      <c r="Z921" s="312"/>
      <c r="AA921" s="312"/>
      <c r="AB921" s="312"/>
      <c r="AC921" s="312"/>
      <c r="AD921" s="312"/>
      <c r="AE921" s="312"/>
      <c r="AF921" s="312"/>
      <c r="AG921" s="312"/>
      <c r="AH921" s="312"/>
      <c r="AI921" s="312"/>
      <c r="AJ921" s="312"/>
      <c r="AK921" s="312"/>
      <c r="AL921" s="312"/>
      <c r="AM921" s="312"/>
      <c r="AN921" s="312"/>
      <c r="AO921" s="312"/>
      <c r="AP921" s="312"/>
      <c r="AQ921" s="312"/>
      <c r="AR921" s="312"/>
      <c r="AS921" s="312"/>
      <c r="AT921" s="312"/>
    </row>
    <row r="922" ht="15.75" customHeight="1">
      <c r="A922" s="318"/>
      <c r="B922" s="312"/>
      <c r="C922" s="312"/>
      <c r="D922" s="312"/>
      <c r="E922" s="312"/>
      <c r="F922" s="312"/>
      <c r="G922" s="312"/>
      <c r="H922" s="312"/>
      <c r="I922" s="312"/>
      <c r="J922" s="312"/>
      <c r="K922" s="312"/>
      <c r="L922" s="312"/>
      <c r="M922" s="312"/>
      <c r="N922" s="312"/>
      <c r="O922" s="312"/>
      <c r="P922" s="312"/>
      <c r="Q922" s="312"/>
      <c r="R922" s="312"/>
      <c r="S922" s="312"/>
      <c r="T922" s="312"/>
      <c r="U922" s="312"/>
      <c r="V922" s="312"/>
      <c r="W922" s="312"/>
      <c r="X922" s="312"/>
      <c r="Y922" s="312"/>
      <c r="Z922" s="312"/>
      <c r="AA922" s="312"/>
      <c r="AB922" s="312"/>
      <c r="AC922" s="312"/>
      <c r="AD922" s="312"/>
      <c r="AE922" s="312"/>
      <c r="AF922" s="312"/>
      <c r="AG922" s="312"/>
      <c r="AH922" s="312"/>
      <c r="AI922" s="312"/>
      <c r="AJ922" s="312"/>
      <c r="AK922" s="312"/>
      <c r="AL922" s="312"/>
      <c r="AM922" s="312"/>
      <c r="AN922" s="312"/>
      <c r="AO922" s="312"/>
      <c r="AP922" s="312"/>
      <c r="AQ922" s="312"/>
      <c r="AR922" s="312"/>
      <c r="AS922" s="312"/>
      <c r="AT922" s="312"/>
    </row>
    <row r="923" ht="15.75" customHeight="1">
      <c r="A923" s="318"/>
      <c r="B923" s="312"/>
      <c r="C923" s="312"/>
      <c r="D923" s="312"/>
      <c r="E923" s="312"/>
      <c r="F923" s="312"/>
      <c r="G923" s="312"/>
      <c r="H923" s="312"/>
      <c r="I923" s="312"/>
      <c r="J923" s="312"/>
      <c r="K923" s="312"/>
      <c r="L923" s="312"/>
      <c r="M923" s="312"/>
      <c r="N923" s="312"/>
      <c r="O923" s="312"/>
      <c r="P923" s="312"/>
      <c r="Q923" s="312"/>
      <c r="R923" s="312"/>
      <c r="S923" s="312"/>
      <c r="T923" s="312"/>
      <c r="U923" s="312"/>
      <c r="V923" s="312"/>
      <c r="W923" s="312"/>
      <c r="X923" s="312"/>
      <c r="Y923" s="312"/>
      <c r="Z923" s="312"/>
      <c r="AA923" s="312"/>
      <c r="AB923" s="312"/>
      <c r="AC923" s="312"/>
      <c r="AD923" s="312"/>
      <c r="AE923" s="312"/>
      <c r="AF923" s="312"/>
      <c r="AG923" s="312"/>
      <c r="AH923" s="312"/>
      <c r="AI923" s="312"/>
      <c r="AJ923" s="312"/>
      <c r="AK923" s="312"/>
      <c r="AL923" s="312"/>
      <c r="AM923" s="312"/>
      <c r="AN923" s="312"/>
      <c r="AO923" s="312"/>
      <c r="AP923" s="312"/>
      <c r="AQ923" s="312"/>
      <c r="AR923" s="312"/>
      <c r="AS923" s="312"/>
      <c r="AT923" s="312"/>
    </row>
    <row r="924" ht="15.75" customHeight="1">
      <c r="A924" s="318"/>
      <c r="B924" s="312"/>
      <c r="C924" s="312"/>
      <c r="D924" s="312"/>
      <c r="E924" s="312"/>
      <c r="F924" s="312"/>
      <c r="G924" s="312"/>
      <c r="H924" s="312"/>
      <c r="I924" s="312"/>
      <c r="J924" s="312"/>
      <c r="K924" s="312"/>
      <c r="L924" s="312"/>
      <c r="M924" s="312"/>
      <c r="N924" s="312"/>
      <c r="O924" s="312"/>
      <c r="P924" s="312"/>
      <c r="Q924" s="312"/>
      <c r="R924" s="312"/>
      <c r="S924" s="312"/>
      <c r="T924" s="312"/>
      <c r="U924" s="312"/>
      <c r="V924" s="312"/>
      <c r="W924" s="312"/>
      <c r="X924" s="312"/>
      <c r="Y924" s="312"/>
      <c r="Z924" s="312"/>
      <c r="AA924" s="312"/>
      <c r="AB924" s="312"/>
      <c r="AC924" s="312"/>
      <c r="AD924" s="312"/>
      <c r="AE924" s="312"/>
      <c r="AF924" s="312"/>
      <c r="AG924" s="312"/>
      <c r="AH924" s="312"/>
      <c r="AI924" s="312"/>
      <c r="AJ924" s="312"/>
      <c r="AK924" s="312"/>
      <c r="AL924" s="312"/>
      <c r="AM924" s="312"/>
      <c r="AN924" s="312"/>
      <c r="AO924" s="312"/>
      <c r="AP924" s="312"/>
      <c r="AQ924" s="312"/>
      <c r="AR924" s="312"/>
      <c r="AS924" s="312"/>
      <c r="AT924" s="312"/>
    </row>
    <row r="925" ht="15.75" customHeight="1">
      <c r="A925" s="318"/>
      <c r="B925" s="312"/>
      <c r="C925" s="312"/>
      <c r="D925" s="312"/>
      <c r="E925" s="312"/>
      <c r="F925" s="312"/>
      <c r="G925" s="312"/>
      <c r="H925" s="312"/>
      <c r="I925" s="312"/>
      <c r="J925" s="312"/>
      <c r="K925" s="312"/>
      <c r="L925" s="312"/>
      <c r="M925" s="312"/>
      <c r="N925" s="312"/>
      <c r="O925" s="312"/>
      <c r="P925" s="312"/>
      <c r="Q925" s="312"/>
      <c r="R925" s="312"/>
      <c r="S925" s="312"/>
      <c r="T925" s="312"/>
      <c r="U925" s="312"/>
      <c r="V925" s="312"/>
      <c r="W925" s="312"/>
      <c r="X925" s="312"/>
      <c r="Y925" s="312"/>
      <c r="Z925" s="312"/>
      <c r="AA925" s="312"/>
      <c r="AB925" s="312"/>
      <c r="AC925" s="312"/>
      <c r="AD925" s="312"/>
      <c r="AE925" s="312"/>
      <c r="AF925" s="312"/>
      <c r="AG925" s="312"/>
      <c r="AH925" s="312"/>
      <c r="AI925" s="312"/>
      <c r="AJ925" s="312"/>
      <c r="AK925" s="312"/>
      <c r="AL925" s="312"/>
      <c r="AM925" s="312"/>
      <c r="AN925" s="312"/>
      <c r="AO925" s="312"/>
      <c r="AP925" s="312"/>
      <c r="AQ925" s="312"/>
      <c r="AR925" s="312"/>
      <c r="AS925" s="312"/>
      <c r="AT925" s="312"/>
    </row>
    <row r="926" ht="15.75" customHeight="1">
      <c r="A926" s="318"/>
      <c r="B926" s="312"/>
      <c r="C926" s="312"/>
      <c r="D926" s="312"/>
      <c r="E926" s="312"/>
      <c r="F926" s="312"/>
      <c r="G926" s="312"/>
      <c r="H926" s="312"/>
      <c r="I926" s="312"/>
      <c r="J926" s="312"/>
      <c r="K926" s="312"/>
      <c r="L926" s="312"/>
      <c r="M926" s="312"/>
      <c r="N926" s="312"/>
      <c r="O926" s="312"/>
      <c r="P926" s="312"/>
      <c r="Q926" s="312"/>
      <c r="R926" s="312"/>
      <c r="S926" s="312"/>
      <c r="T926" s="312"/>
      <c r="U926" s="312"/>
      <c r="V926" s="312"/>
      <c r="W926" s="312"/>
      <c r="X926" s="312"/>
      <c r="Y926" s="312"/>
      <c r="Z926" s="312"/>
      <c r="AA926" s="312"/>
      <c r="AB926" s="312"/>
      <c r="AC926" s="312"/>
      <c r="AD926" s="312"/>
      <c r="AE926" s="312"/>
      <c r="AF926" s="312"/>
      <c r="AG926" s="312"/>
      <c r="AH926" s="312"/>
      <c r="AI926" s="312"/>
      <c r="AJ926" s="312"/>
      <c r="AK926" s="312"/>
      <c r="AL926" s="312"/>
      <c r="AM926" s="312"/>
      <c r="AN926" s="312"/>
      <c r="AO926" s="312"/>
      <c r="AP926" s="312"/>
      <c r="AQ926" s="312"/>
      <c r="AR926" s="312"/>
      <c r="AS926" s="312"/>
      <c r="AT926" s="312"/>
    </row>
    <row r="927" ht="15.75" customHeight="1">
      <c r="A927" s="318"/>
      <c r="B927" s="312"/>
      <c r="C927" s="312"/>
      <c r="D927" s="312"/>
      <c r="E927" s="312"/>
      <c r="F927" s="312"/>
      <c r="G927" s="312"/>
      <c r="H927" s="312"/>
      <c r="I927" s="312"/>
      <c r="J927" s="312"/>
      <c r="K927" s="312"/>
      <c r="L927" s="312"/>
      <c r="M927" s="312"/>
      <c r="N927" s="312"/>
      <c r="O927" s="312"/>
      <c r="P927" s="312"/>
      <c r="Q927" s="312"/>
      <c r="R927" s="312"/>
      <c r="S927" s="312"/>
      <c r="T927" s="312"/>
      <c r="U927" s="312"/>
      <c r="V927" s="312"/>
      <c r="W927" s="312"/>
      <c r="X927" s="312"/>
      <c r="Y927" s="312"/>
      <c r="Z927" s="312"/>
      <c r="AA927" s="312"/>
      <c r="AB927" s="312"/>
      <c r="AC927" s="312"/>
      <c r="AD927" s="312"/>
      <c r="AE927" s="312"/>
      <c r="AF927" s="312"/>
      <c r="AG927" s="312"/>
      <c r="AH927" s="312"/>
      <c r="AI927" s="312"/>
      <c r="AJ927" s="312"/>
      <c r="AK927" s="312"/>
      <c r="AL927" s="312"/>
      <c r="AM927" s="312"/>
      <c r="AN927" s="312"/>
      <c r="AO927" s="312"/>
      <c r="AP927" s="312"/>
      <c r="AQ927" s="312"/>
      <c r="AR927" s="312"/>
      <c r="AS927" s="312"/>
      <c r="AT927" s="312"/>
    </row>
    <row r="928" ht="15.75" customHeight="1">
      <c r="A928" s="318"/>
      <c r="B928" s="312"/>
      <c r="C928" s="312"/>
      <c r="D928" s="312"/>
      <c r="E928" s="312"/>
      <c r="F928" s="312"/>
      <c r="G928" s="312"/>
      <c r="H928" s="312"/>
      <c r="I928" s="312"/>
      <c r="J928" s="312"/>
      <c r="K928" s="312"/>
      <c r="L928" s="312"/>
      <c r="M928" s="312"/>
      <c r="N928" s="312"/>
      <c r="O928" s="312"/>
      <c r="P928" s="312"/>
      <c r="Q928" s="312"/>
      <c r="R928" s="312"/>
      <c r="S928" s="312"/>
      <c r="T928" s="312"/>
      <c r="U928" s="312"/>
      <c r="V928" s="312"/>
      <c r="W928" s="312"/>
      <c r="X928" s="312"/>
      <c r="Y928" s="312"/>
      <c r="Z928" s="312"/>
      <c r="AA928" s="312"/>
      <c r="AB928" s="312"/>
      <c r="AC928" s="312"/>
      <c r="AD928" s="312"/>
      <c r="AE928" s="312"/>
      <c r="AF928" s="312"/>
      <c r="AG928" s="312"/>
      <c r="AH928" s="312"/>
      <c r="AI928" s="312"/>
      <c r="AJ928" s="312"/>
      <c r="AK928" s="312"/>
      <c r="AL928" s="312"/>
      <c r="AM928" s="312"/>
      <c r="AN928" s="312"/>
      <c r="AO928" s="312"/>
      <c r="AP928" s="312"/>
      <c r="AQ928" s="312"/>
      <c r="AR928" s="312"/>
      <c r="AS928" s="312"/>
      <c r="AT928" s="312"/>
    </row>
    <row r="929" ht="15.75" customHeight="1">
      <c r="A929" s="318"/>
      <c r="B929" s="312"/>
      <c r="C929" s="312"/>
      <c r="D929" s="312"/>
      <c r="E929" s="312"/>
      <c r="F929" s="312"/>
      <c r="G929" s="312"/>
      <c r="H929" s="312"/>
      <c r="I929" s="312"/>
      <c r="J929" s="312"/>
      <c r="K929" s="312"/>
      <c r="L929" s="312"/>
      <c r="M929" s="312"/>
      <c r="N929" s="312"/>
      <c r="O929" s="312"/>
      <c r="P929" s="312"/>
      <c r="Q929" s="312"/>
      <c r="R929" s="312"/>
      <c r="S929" s="312"/>
      <c r="T929" s="312"/>
      <c r="U929" s="312"/>
      <c r="V929" s="312"/>
      <c r="W929" s="312"/>
      <c r="X929" s="312"/>
      <c r="Y929" s="312"/>
      <c r="Z929" s="312"/>
      <c r="AA929" s="312"/>
      <c r="AB929" s="312"/>
      <c r="AC929" s="312"/>
      <c r="AD929" s="312"/>
      <c r="AE929" s="312"/>
      <c r="AF929" s="312"/>
      <c r="AG929" s="312"/>
      <c r="AH929" s="312"/>
      <c r="AI929" s="312"/>
      <c r="AJ929" s="312"/>
      <c r="AK929" s="312"/>
      <c r="AL929" s="312"/>
      <c r="AM929" s="312"/>
      <c r="AN929" s="312"/>
      <c r="AO929" s="312"/>
      <c r="AP929" s="312"/>
      <c r="AQ929" s="312"/>
      <c r="AR929" s="312"/>
      <c r="AS929" s="312"/>
      <c r="AT929" s="312"/>
    </row>
    <row r="930" ht="15.75" customHeight="1">
      <c r="A930" s="318"/>
      <c r="B930" s="312"/>
      <c r="C930" s="312"/>
      <c r="D930" s="312"/>
      <c r="E930" s="312"/>
      <c r="F930" s="312"/>
      <c r="G930" s="312"/>
      <c r="H930" s="312"/>
      <c r="I930" s="312"/>
      <c r="J930" s="312"/>
      <c r="K930" s="312"/>
      <c r="L930" s="312"/>
      <c r="M930" s="312"/>
      <c r="N930" s="312"/>
      <c r="O930" s="312"/>
      <c r="P930" s="312"/>
      <c r="Q930" s="312"/>
      <c r="R930" s="312"/>
      <c r="S930" s="312"/>
      <c r="T930" s="312"/>
      <c r="U930" s="312"/>
      <c r="V930" s="312"/>
      <c r="W930" s="312"/>
      <c r="X930" s="312"/>
      <c r="Y930" s="312"/>
      <c r="Z930" s="312"/>
      <c r="AA930" s="312"/>
      <c r="AB930" s="312"/>
      <c r="AC930" s="312"/>
      <c r="AD930" s="312"/>
      <c r="AE930" s="312"/>
      <c r="AF930" s="312"/>
      <c r="AG930" s="312"/>
      <c r="AH930" s="312"/>
      <c r="AI930" s="312"/>
      <c r="AJ930" s="312"/>
      <c r="AK930" s="312"/>
      <c r="AL930" s="312"/>
      <c r="AM930" s="312"/>
      <c r="AN930" s="312"/>
      <c r="AO930" s="312"/>
      <c r="AP930" s="312"/>
      <c r="AQ930" s="312"/>
      <c r="AR930" s="312"/>
      <c r="AS930" s="312"/>
      <c r="AT930" s="312"/>
    </row>
    <row r="931" ht="15.75" customHeight="1">
      <c r="A931" s="318"/>
      <c r="B931" s="312"/>
      <c r="C931" s="312"/>
      <c r="D931" s="312"/>
      <c r="E931" s="312"/>
      <c r="F931" s="312"/>
      <c r="G931" s="312"/>
      <c r="H931" s="312"/>
      <c r="I931" s="312"/>
      <c r="J931" s="312"/>
      <c r="K931" s="312"/>
      <c r="L931" s="312"/>
      <c r="M931" s="312"/>
      <c r="N931" s="312"/>
      <c r="O931" s="312"/>
      <c r="P931" s="312"/>
      <c r="Q931" s="312"/>
      <c r="R931" s="312"/>
      <c r="S931" s="312"/>
      <c r="T931" s="312"/>
      <c r="U931" s="312"/>
      <c r="V931" s="312"/>
      <c r="W931" s="312"/>
      <c r="X931" s="312"/>
      <c r="Y931" s="312"/>
      <c r="Z931" s="312"/>
      <c r="AA931" s="312"/>
      <c r="AB931" s="312"/>
      <c r="AC931" s="312"/>
      <c r="AD931" s="312"/>
      <c r="AE931" s="312"/>
      <c r="AF931" s="312"/>
      <c r="AG931" s="312"/>
      <c r="AH931" s="312"/>
      <c r="AI931" s="312"/>
      <c r="AJ931" s="312"/>
      <c r="AK931" s="312"/>
      <c r="AL931" s="312"/>
      <c r="AM931" s="312"/>
      <c r="AN931" s="312"/>
      <c r="AO931" s="312"/>
      <c r="AP931" s="312"/>
      <c r="AQ931" s="312"/>
      <c r="AR931" s="312"/>
      <c r="AS931" s="312"/>
      <c r="AT931" s="312"/>
    </row>
    <row r="932" ht="15.75" customHeight="1">
      <c r="A932" s="318"/>
      <c r="B932" s="312"/>
      <c r="C932" s="312"/>
      <c r="D932" s="312"/>
      <c r="E932" s="312"/>
      <c r="F932" s="312"/>
      <c r="G932" s="312"/>
      <c r="H932" s="312"/>
      <c r="I932" s="312"/>
      <c r="J932" s="312"/>
      <c r="K932" s="312"/>
      <c r="L932" s="312"/>
      <c r="M932" s="312"/>
      <c r="N932" s="312"/>
      <c r="O932" s="312"/>
      <c r="P932" s="312"/>
      <c r="Q932" s="312"/>
      <c r="R932" s="312"/>
      <c r="S932" s="312"/>
      <c r="T932" s="312"/>
      <c r="U932" s="312"/>
      <c r="V932" s="312"/>
      <c r="W932" s="312"/>
      <c r="X932" s="312"/>
      <c r="Y932" s="312"/>
      <c r="Z932" s="312"/>
      <c r="AA932" s="312"/>
      <c r="AB932" s="312"/>
      <c r="AC932" s="312"/>
      <c r="AD932" s="312"/>
      <c r="AE932" s="312"/>
      <c r="AF932" s="312"/>
      <c r="AG932" s="312"/>
      <c r="AH932" s="312"/>
      <c r="AI932" s="312"/>
      <c r="AJ932" s="312"/>
      <c r="AK932" s="312"/>
      <c r="AL932" s="312"/>
      <c r="AM932" s="312"/>
      <c r="AN932" s="312"/>
      <c r="AO932" s="312"/>
      <c r="AP932" s="312"/>
      <c r="AQ932" s="312"/>
      <c r="AR932" s="312"/>
      <c r="AS932" s="312"/>
      <c r="AT932" s="312"/>
    </row>
    <row r="933" ht="15.75" customHeight="1">
      <c r="A933" s="318"/>
      <c r="B933" s="312"/>
      <c r="C933" s="312"/>
      <c r="D933" s="312"/>
      <c r="E933" s="312"/>
      <c r="F933" s="312"/>
      <c r="G933" s="312"/>
      <c r="H933" s="312"/>
      <c r="I933" s="312"/>
      <c r="J933" s="312"/>
      <c r="K933" s="312"/>
      <c r="L933" s="312"/>
      <c r="M933" s="312"/>
      <c r="N933" s="312"/>
      <c r="O933" s="312"/>
      <c r="P933" s="312"/>
      <c r="Q933" s="312"/>
      <c r="R933" s="312"/>
      <c r="S933" s="312"/>
      <c r="T933" s="312"/>
      <c r="U933" s="312"/>
      <c r="V933" s="312"/>
      <c r="W933" s="312"/>
      <c r="X933" s="312"/>
      <c r="Y933" s="312"/>
      <c r="Z933" s="312"/>
      <c r="AA933" s="312"/>
      <c r="AB933" s="312"/>
      <c r="AC933" s="312"/>
      <c r="AD933" s="312"/>
      <c r="AE933" s="312"/>
      <c r="AF933" s="312"/>
      <c r="AG933" s="312"/>
      <c r="AH933" s="312"/>
      <c r="AI933" s="312"/>
      <c r="AJ933" s="312"/>
      <c r="AK933" s="312"/>
      <c r="AL933" s="312"/>
      <c r="AM933" s="312"/>
      <c r="AN933" s="312"/>
      <c r="AO933" s="312"/>
      <c r="AP933" s="312"/>
      <c r="AQ933" s="312"/>
      <c r="AR933" s="312"/>
      <c r="AS933" s="312"/>
      <c r="AT933" s="312"/>
    </row>
    <row r="934" ht="15.75" customHeight="1">
      <c r="A934" s="318"/>
      <c r="B934" s="312"/>
      <c r="C934" s="312"/>
      <c r="D934" s="312"/>
      <c r="E934" s="312"/>
      <c r="F934" s="312"/>
      <c r="G934" s="312"/>
      <c r="H934" s="312"/>
      <c r="I934" s="312"/>
      <c r="J934" s="312"/>
      <c r="K934" s="312"/>
      <c r="L934" s="312"/>
      <c r="M934" s="312"/>
      <c r="N934" s="312"/>
      <c r="O934" s="312"/>
      <c r="P934" s="312"/>
      <c r="Q934" s="312"/>
      <c r="R934" s="312"/>
      <c r="S934" s="312"/>
      <c r="T934" s="312"/>
      <c r="U934" s="312"/>
      <c r="V934" s="312"/>
      <c r="W934" s="312"/>
      <c r="X934" s="312"/>
      <c r="Y934" s="312"/>
      <c r="Z934" s="312"/>
      <c r="AA934" s="312"/>
      <c r="AB934" s="312"/>
      <c r="AC934" s="312"/>
      <c r="AD934" s="312"/>
      <c r="AE934" s="312"/>
      <c r="AF934" s="312"/>
      <c r="AG934" s="312"/>
      <c r="AH934" s="312"/>
      <c r="AI934" s="312"/>
      <c r="AJ934" s="312"/>
      <c r="AK934" s="312"/>
      <c r="AL934" s="312"/>
      <c r="AM934" s="312"/>
      <c r="AN934" s="312"/>
      <c r="AO934" s="312"/>
      <c r="AP934" s="312"/>
      <c r="AQ934" s="312"/>
      <c r="AR934" s="312"/>
      <c r="AS934" s="312"/>
      <c r="AT934" s="312"/>
    </row>
    <row r="935" ht="15.75" customHeight="1">
      <c r="A935" s="318"/>
      <c r="B935" s="312"/>
      <c r="C935" s="312"/>
      <c r="D935" s="312"/>
      <c r="E935" s="312"/>
      <c r="F935" s="312"/>
      <c r="G935" s="312"/>
      <c r="H935" s="312"/>
      <c r="I935" s="312"/>
      <c r="J935" s="312"/>
      <c r="K935" s="312"/>
      <c r="L935" s="312"/>
      <c r="M935" s="312"/>
      <c r="N935" s="312"/>
      <c r="O935" s="312"/>
      <c r="P935" s="312"/>
      <c r="Q935" s="312"/>
      <c r="R935" s="312"/>
      <c r="S935" s="312"/>
      <c r="T935" s="312"/>
      <c r="U935" s="312"/>
      <c r="V935" s="312"/>
      <c r="W935" s="312"/>
      <c r="X935" s="312"/>
      <c r="Y935" s="312"/>
      <c r="Z935" s="312"/>
      <c r="AA935" s="312"/>
      <c r="AB935" s="312"/>
      <c r="AC935" s="312"/>
      <c r="AD935" s="312"/>
      <c r="AE935" s="312"/>
      <c r="AF935" s="312"/>
      <c r="AG935" s="312"/>
      <c r="AH935" s="312"/>
      <c r="AI935" s="312"/>
      <c r="AJ935" s="312"/>
      <c r="AK935" s="312"/>
      <c r="AL935" s="312"/>
      <c r="AM935" s="312"/>
      <c r="AN935" s="312"/>
      <c r="AO935" s="312"/>
      <c r="AP935" s="312"/>
      <c r="AQ935" s="312"/>
      <c r="AR935" s="312"/>
      <c r="AS935" s="312"/>
      <c r="AT935" s="312"/>
    </row>
    <row r="936" ht="15.75" customHeight="1">
      <c r="A936" s="318"/>
      <c r="B936" s="312"/>
      <c r="C936" s="312"/>
      <c r="D936" s="312"/>
      <c r="E936" s="312"/>
      <c r="F936" s="312"/>
      <c r="G936" s="312"/>
      <c r="H936" s="312"/>
      <c r="I936" s="312"/>
      <c r="J936" s="312"/>
      <c r="K936" s="312"/>
      <c r="L936" s="312"/>
      <c r="M936" s="312"/>
      <c r="N936" s="312"/>
      <c r="O936" s="312"/>
      <c r="P936" s="312"/>
      <c r="Q936" s="312"/>
      <c r="R936" s="312"/>
      <c r="S936" s="312"/>
      <c r="T936" s="312"/>
      <c r="U936" s="312"/>
      <c r="V936" s="312"/>
      <c r="W936" s="312"/>
      <c r="X936" s="312"/>
      <c r="Y936" s="312"/>
      <c r="Z936" s="312"/>
      <c r="AA936" s="312"/>
      <c r="AB936" s="312"/>
      <c r="AC936" s="312"/>
      <c r="AD936" s="312"/>
      <c r="AE936" s="312"/>
      <c r="AF936" s="312"/>
      <c r="AG936" s="312"/>
      <c r="AH936" s="312"/>
      <c r="AI936" s="312"/>
      <c r="AJ936" s="312"/>
      <c r="AK936" s="312"/>
      <c r="AL936" s="312"/>
      <c r="AM936" s="312"/>
      <c r="AN936" s="312"/>
      <c r="AO936" s="312"/>
      <c r="AP936" s="312"/>
      <c r="AQ936" s="312"/>
      <c r="AR936" s="312"/>
      <c r="AS936" s="312"/>
      <c r="AT936" s="312"/>
    </row>
    <row r="937" ht="15.75" customHeight="1">
      <c r="A937" s="318"/>
      <c r="B937" s="312"/>
      <c r="C937" s="312"/>
      <c r="D937" s="312"/>
      <c r="E937" s="312"/>
      <c r="F937" s="312"/>
      <c r="G937" s="312"/>
      <c r="H937" s="312"/>
      <c r="I937" s="312"/>
      <c r="J937" s="312"/>
      <c r="K937" s="312"/>
      <c r="L937" s="312"/>
      <c r="M937" s="312"/>
      <c r="N937" s="312"/>
      <c r="O937" s="312"/>
      <c r="P937" s="312"/>
      <c r="Q937" s="312"/>
      <c r="R937" s="312"/>
      <c r="S937" s="312"/>
      <c r="T937" s="312"/>
      <c r="U937" s="312"/>
      <c r="V937" s="312"/>
      <c r="W937" s="312"/>
      <c r="X937" s="312"/>
      <c r="Y937" s="312"/>
      <c r="Z937" s="312"/>
      <c r="AA937" s="312"/>
      <c r="AB937" s="312"/>
      <c r="AC937" s="312"/>
      <c r="AD937" s="312"/>
      <c r="AE937" s="312"/>
      <c r="AF937" s="312"/>
      <c r="AG937" s="312"/>
      <c r="AH937" s="312"/>
      <c r="AI937" s="312"/>
      <c r="AJ937" s="312"/>
      <c r="AK937" s="312"/>
      <c r="AL937" s="312"/>
      <c r="AM937" s="312"/>
      <c r="AN937" s="312"/>
      <c r="AO937" s="312"/>
      <c r="AP937" s="312"/>
      <c r="AQ937" s="312"/>
      <c r="AR937" s="312"/>
      <c r="AS937" s="312"/>
      <c r="AT937" s="312"/>
    </row>
    <row r="938" ht="15.75" customHeight="1">
      <c r="A938" s="318"/>
      <c r="B938" s="312"/>
      <c r="C938" s="312"/>
      <c r="D938" s="312"/>
      <c r="E938" s="312"/>
      <c r="F938" s="312"/>
      <c r="G938" s="312"/>
      <c r="H938" s="312"/>
      <c r="I938" s="312"/>
      <c r="J938" s="312"/>
      <c r="K938" s="312"/>
      <c r="L938" s="312"/>
      <c r="M938" s="312"/>
      <c r="N938" s="312"/>
      <c r="O938" s="312"/>
      <c r="P938" s="312"/>
      <c r="Q938" s="312"/>
      <c r="R938" s="312"/>
      <c r="S938" s="312"/>
      <c r="T938" s="312"/>
      <c r="U938" s="312"/>
      <c r="V938" s="312"/>
      <c r="W938" s="312"/>
      <c r="X938" s="312"/>
      <c r="Y938" s="312"/>
      <c r="Z938" s="312"/>
      <c r="AA938" s="312"/>
      <c r="AB938" s="312"/>
      <c r="AC938" s="312"/>
      <c r="AD938" s="312"/>
      <c r="AE938" s="312"/>
      <c r="AF938" s="312"/>
      <c r="AG938" s="312"/>
      <c r="AH938" s="312"/>
      <c r="AI938" s="312"/>
      <c r="AJ938" s="312"/>
      <c r="AK938" s="312"/>
      <c r="AL938" s="312"/>
      <c r="AM938" s="312"/>
      <c r="AN938" s="312"/>
      <c r="AO938" s="312"/>
      <c r="AP938" s="312"/>
      <c r="AQ938" s="312"/>
      <c r="AR938" s="312"/>
      <c r="AS938" s="312"/>
      <c r="AT938" s="312"/>
    </row>
    <row r="939" ht="15.75" customHeight="1">
      <c r="A939" s="318"/>
      <c r="B939" s="312"/>
      <c r="C939" s="312"/>
      <c r="D939" s="312"/>
      <c r="E939" s="312"/>
      <c r="F939" s="312"/>
      <c r="G939" s="312"/>
      <c r="H939" s="312"/>
      <c r="I939" s="312"/>
      <c r="J939" s="312"/>
      <c r="K939" s="312"/>
      <c r="L939" s="312"/>
      <c r="M939" s="312"/>
      <c r="N939" s="312"/>
      <c r="O939" s="312"/>
      <c r="P939" s="312"/>
      <c r="Q939" s="312"/>
      <c r="R939" s="312"/>
      <c r="S939" s="312"/>
      <c r="T939" s="312"/>
      <c r="U939" s="312"/>
      <c r="V939" s="312"/>
      <c r="W939" s="312"/>
      <c r="X939" s="312"/>
      <c r="Y939" s="312"/>
      <c r="Z939" s="312"/>
      <c r="AA939" s="312"/>
      <c r="AB939" s="312"/>
      <c r="AC939" s="312"/>
      <c r="AD939" s="312"/>
      <c r="AE939" s="312"/>
      <c r="AF939" s="312"/>
      <c r="AG939" s="312"/>
      <c r="AH939" s="312"/>
      <c r="AI939" s="312"/>
      <c r="AJ939" s="312"/>
      <c r="AK939" s="312"/>
      <c r="AL939" s="312"/>
      <c r="AM939" s="312"/>
      <c r="AN939" s="312"/>
      <c r="AO939" s="312"/>
      <c r="AP939" s="312"/>
      <c r="AQ939" s="312"/>
      <c r="AR939" s="312"/>
      <c r="AS939" s="312"/>
      <c r="AT939" s="312"/>
    </row>
    <row r="940" ht="15.75" customHeight="1">
      <c r="A940" s="318"/>
      <c r="B940" s="312"/>
      <c r="C940" s="312"/>
      <c r="D940" s="312"/>
      <c r="E940" s="312"/>
      <c r="F940" s="312"/>
      <c r="G940" s="312"/>
      <c r="H940" s="312"/>
      <c r="I940" s="312"/>
      <c r="J940" s="312"/>
      <c r="K940" s="312"/>
      <c r="L940" s="312"/>
      <c r="M940" s="312"/>
      <c r="N940" s="312"/>
      <c r="O940" s="312"/>
      <c r="P940" s="312"/>
      <c r="Q940" s="312"/>
      <c r="R940" s="312"/>
      <c r="S940" s="312"/>
      <c r="T940" s="312"/>
      <c r="U940" s="312"/>
      <c r="V940" s="312"/>
      <c r="W940" s="312"/>
      <c r="X940" s="312"/>
      <c r="Y940" s="312"/>
      <c r="Z940" s="312"/>
      <c r="AA940" s="312"/>
      <c r="AB940" s="312"/>
      <c r="AC940" s="312"/>
      <c r="AD940" s="312"/>
      <c r="AE940" s="312"/>
      <c r="AF940" s="312"/>
      <c r="AG940" s="312"/>
      <c r="AH940" s="312"/>
      <c r="AI940" s="312"/>
      <c r="AJ940" s="312"/>
      <c r="AK940" s="312"/>
      <c r="AL940" s="312"/>
      <c r="AM940" s="312"/>
      <c r="AN940" s="312"/>
      <c r="AO940" s="312"/>
      <c r="AP940" s="312"/>
      <c r="AQ940" s="312"/>
      <c r="AR940" s="312"/>
      <c r="AS940" s="312"/>
      <c r="AT940" s="312"/>
    </row>
    <row r="941" ht="15.75" customHeight="1">
      <c r="A941" s="318"/>
      <c r="B941" s="312"/>
      <c r="C941" s="312"/>
      <c r="D941" s="312"/>
      <c r="E941" s="312"/>
      <c r="F941" s="312"/>
      <c r="G941" s="312"/>
      <c r="H941" s="312"/>
      <c r="I941" s="312"/>
      <c r="J941" s="312"/>
      <c r="K941" s="312"/>
      <c r="L941" s="312"/>
      <c r="M941" s="312"/>
      <c r="N941" s="312"/>
      <c r="O941" s="312"/>
      <c r="P941" s="312"/>
      <c r="Q941" s="312"/>
      <c r="R941" s="312"/>
      <c r="S941" s="312"/>
      <c r="T941" s="312"/>
      <c r="U941" s="312"/>
      <c r="V941" s="312"/>
      <c r="W941" s="312"/>
      <c r="X941" s="312"/>
      <c r="Y941" s="312"/>
      <c r="Z941" s="312"/>
      <c r="AA941" s="312"/>
      <c r="AB941" s="312"/>
      <c r="AC941" s="312"/>
      <c r="AD941" s="312"/>
      <c r="AE941" s="312"/>
      <c r="AF941" s="312"/>
      <c r="AG941" s="312"/>
      <c r="AH941" s="312"/>
      <c r="AI941" s="312"/>
      <c r="AJ941" s="312"/>
      <c r="AK941" s="312"/>
      <c r="AL941" s="312"/>
      <c r="AM941" s="312"/>
      <c r="AN941" s="312"/>
      <c r="AO941" s="312"/>
      <c r="AP941" s="312"/>
      <c r="AQ941" s="312"/>
      <c r="AR941" s="312"/>
      <c r="AS941" s="312"/>
      <c r="AT941" s="312"/>
    </row>
    <row r="942" ht="15.75" customHeight="1">
      <c r="A942" s="318"/>
      <c r="B942" s="312"/>
      <c r="C942" s="312"/>
      <c r="D942" s="312"/>
      <c r="E942" s="312"/>
      <c r="F942" s="312"/>
      <c r="G942" s="312"/>
      <c r="H942" s="312"/>
      <c r="I942" s="312"/>
      <c r="J942" s="312"/>
      <c r="K942" s="312"/>
      <c r="L942" s="312"/>
      <c r="M942" s="312"/>
      <c r="N942" s="312"/>
      <c r="O942" s="312"/>
      <c r="P942" s="312"/>
      <c r="Q942" s="312"/>
      <c r="R942" s="312"/>
      <c r="S942" s="312"/>
      <c r="T942" s="312"/>
      <c r="U942" s="312"/>
      <c r="V942" s="312"/>
      <c r="W942" s="312"/>
      <c r="X942" s="312"/>
      <c r="Y942" s="312"/>
      <c r="Z942" s="312"/>
      <c r="AA942" s="312"/>
      <c r="AB942" s="312"/>
      <c r="AC942" s="312"/>
      <c r="AD942" s="312"/>
      <c r="AE942" s="312"/>
      <c r="AF942" s="312"/>
      <c r="AG942" s="312"/>
      <c r="AH942" s="312"/>
      <c r="AI942" s="312"/>
      <c r="AJ942" s="312"/>
      <c r="AK942" s="312"/>
      <c r="AL942" s="312"/>
      <c r="AM942" s="312"/>
      <c r="AN942" s="312"/>
      <c r="AO942" s="312"/>
      <c r="AP942" s="312"/>
      <c r="AQ942" s="312"/>
      <c r="AR942" s="312"/>
      <c r="AS942" s="312"/>
      <c r="AT942" s="312"/>
    </row>
    <row r="943" ht="15.75" customHeight="1">
      <c r="A943" s="318"/>
      <c r="B943" s="312"/>
      <c r="C943" s="312"/>
      <c r="D943" s="312"/>
      <c r="E943" s="312"/>
      <c r="F943" s="312"/>
      <c r="G943" s="312"/>
      <c r="H943" s="312"/>
      <c r="I943" s="312"/>
      <c r="J943" s="312"/>
      <c r="K943" s="312"/>
      <c r="L943" s="312"/>
      <c r="M943" s="312"/>
      <c r="N943" s="312"/>
      <c r="O943" s="312"/>
      <c r="P943" s="312"/>
      <c r="Q943" s="312"/>
      <c r="R943" s="312"/>
      <c r="S943" s="312"/>
      <c r="T943" s="312"/>
      <c r="U943" s="312"/>
      <c r="V943" s="312"/>
      <c r="W943" s="312"/>
      <c r="X943" s="312"/>
      <c r="Y943" s="312"/>
      <c r="Z943" s="312"/>
      <c r="AA943" s="312"/>
      <c r="AB943" s="312"/>
      <c r="AC943" s="312"/>
      <c r="AD943" s="312"/>
      <c r="AE943" s="312"/>
      <c r="AF943" s="312"/>
      <c r="AG943" s="312"/>
      <c r="AH943" s="312"/>
      <c r="AI943" s="312"/>
      <c r="AJ943" s="312"/>
      <c r="AK943" s="312"/>
      <c r="AL943" s="312"/>
      <c r="AM943" s="312"/>
      <c r="AN943" s="312"/>
      <c r="AO943" s="312"/>
      <c r="AP943" s="312"/>
      <c r="AQ943" s="312"/>
      <c r="AR943" s="312"/>
      <c r="AS943" s="312"/>
      <c r="AT943" s="312"/>
    </row>
    <row r="944" ht="15.75" customHeight="1">
      <c r="A944" s="318"/>
      <c r="B944" s="312"/>
      <c r="C944" s="312"/>
      <c r="D944" s="312"/>
      <c r="E944" s="312"/>
      <c r="F944" s="312"/>
      <c r="G944" s="312"/>
      <c r="H944" s="312"/>
      <c r="I944" s="312"/>
      <c r="J944" s="312"/>
      <c r="K944" s="312"/>
      <c r="L944" s="312"/>
      <c r="M944" s="312"/>
      <c r="N944" s="312"/>
      <c r="O944" s="312"/>
      <c r="P944" s="312"/>
      <c r="Q944" s="312"/>
      <c r="R944" s="312"/>
      <c r="S944" s="312"/>
      <c r="T944" s="312"/>
      <c r="U944" s="312"/>
      <c r="V944" s="312"/>
      <c r="W944" s="312"/>
      <c r="X944" s="312"/>
      <c r="Y944" s="312"/>
      <c r="Z944" s="312"/>
      <c r="AA944" s="312"/>
      <c r="AB944" s="312"/>
      <c r="AC944" s="312"/>
      <c r="AD944" s="312"/>
      <c r="AE944" s="312"/>
      <c r="AF944" s="312"/>
      <c r="AG944" s="312"/>
      <c r="AH944" s="312"/>
      <c r="AI944" s="312"/>
      <c r="AJ944" s="312"/>
      <c r="AK944" s="312"/>
      <c r="AL944" s="312"/>
      <c r="AM944" s="312"/>
      <c r="AN944" s="312"/>
      <c r="AO944" s="312"/>
      <c r="AP944" s="312"/>
      <c r="AQ944" s="312"/>
      <c r="AR944" s="312"/>
      <c r="AS944" s="312"/>
      <c r="AT944" s="312"/>
    </row>
    <row r="945" ht="15.75" customHeight="1">
      <c r="A945" s="318"/>
      <c r="B945" s="312"/>
      <c r="C945" s="312"/>
      <c r="D945" s="312"/>
      <c r="E945" s="312"/>
      <c r="F945" s="312"/>
      <c r="G945" s="312"/>
      <c r="H945" s="312"/>
      <c r="I945" s="312"/>
      <c r="J945" s="312"/>
      <c r="K945" s="312"/>
      <c r="L945" s="312"/>
      <c r="M945" s="312"/>
      <c r="N945" s="312"/>
      <c r="O945" s="312"/>
      <c r="P945" s="312"/>
      <c r="Q945" s="312"/>
      <c r="R945" s="312"/>
      <c r="S945" s="312"/>
      <c r="T945" s="312"/>
      <c r="U945" s="312"/>
      <c r="V945" s="312"/>
      <c r="W945" s="312"/>
      <c r="X945" s="312"/>
      <c r="Y945" s="312"/>
      <c r="Z945" s="312"/>
      <c r="AA945" s="312"/>
      <c r="AB945" s="312"/>
      <c r="AC945" s="312"/>
      <c r="AD945" s="312"/>
      <c r="AE945" s="312"/>
      <c r="AF945" s="312"/>
      <c r="AG945" s="312"/>
      <c r="AH945" s="312"/>
      <c r="AI945" s="312"/>
      <c r="AJ945" s="312"/>
      <c r="AK945" s="312"/>
      <c r="AL945" s="312"/>
      <c r="AM945" s="312"/>
      <c r="AN945" s="312"/>
      <c r="AO945" s="312"/>
      <c r="AP945" s="312"/>
      <c r="AQ945" s="312"/>
      <c r="AR945" s="312"/>
      <c r="AS945" s="312"/>
      <c r="AT945" s="312"/>
    </row>
    <row r="946" ht="15.75" customHeight="1">
      <c r="A946" s="318"/>
      <c r="B946" s="312"/>
      <c r="C946" s="312"/>
      <c r="D946" s="312"/>
      <c r="E946" s="312"/>
      <c r="F946" s="312"/>
      <c r="G946" s="312"/>
      <c r="H946" s="312"/>
      <c r="I946" s="312"/>
      <c r="J946" s="312"/>
      <c r="K946" s="312"/>
      <c r="L946" s="312"/>
      <c r="M946" s="312"/>
      <c r="N946" s="312"/>
      <c r="O946" s="312"/>
      <c r="P946" s="312"/>
      <c r="Q946" s="312"/>
      <c r="R946" s="312"/>
      <c r="S946" s="312"/>
      <c r="T946" s="312"/>
      <c r="U946" s="312"/>
      <c r="V946" s="312"/>
      <c r="W946" s="312"/>
      <c r="X946" s="312"/>
      <c r="Y946" s="312"/>
      <c r="Z946" s="312"/>
      <c r="AA946" s="312"/>
      <c r="AB946" s="312"/>
      <c r="AC946" s="312"/>
      <c r="AD946" s="312"/>
      <c r="AE946" s="312"/>
      <c r="AF946" s="312"/>
      <c r="AG946" s="312"/>
      <c r="AH946" s="312"/>
      <c r="AI946" s="312"/>
      <c r="AJ946" s="312"/>
      <c r="AK946" s="312"/>
      <c r="AL946" s="312"/>
      <c r="AM946" s="312"/>
      <c r="AN946" s="312"/>
      <c r="AO946" s="312"/>
      <c r="AP946" s="312"/>
      <c r="AQ946" s="312"/>
      <c r="AR946" s="312"/>
      <c r="AS946" s="312"/>
      <c r="AT946" s="312"/>
    </row>
    <row r="947" ht="15.75" customHeight="1">
      <c r="A947" s="318"/>
      <c r="B947" s="312"/>
      <c r="C947" s="312"/>
      <c r="D947" s="312"/>
      <c r="E947" s="312"/>
      <c r="F947" s="312"/>
      <c r="G947" s="312"/>
      <c r="H947" s="312"/>
      <c r="I947" s="312"/>
      <c r="J947" s="312"/>
      <c r="K947" s="312"/>
      <c r="L947" s="312"/>
      <c r="M947" s="312"/>
      <c r="N947" s="312"/>
      <c r="O947" s="312"/>
      <c r="P947" s="312"/>
      <c r="Q947" s="312"/>
      <c r="R947" s="312"/>
      <c r="S947" s="312"/>
      <c r="T947" s="312"/>
      <c r="U947" s="312"/>
      <c r="V947" s="312"/>
      <c r="W947" s="312"/>
      <c r="X947" s="312"/>
      <c r="Y947" s="312"/>
      <c r="Z947" s="312"/>
      <c r="AA947" s="312"/>
      <c r="AB947" s="312"/>
      <c r="AC947" s="312"/>
      <c r="AD947" s="312"/>
      <c r="AE947" s="312"/>
      <c r="AF947" s="312"/>
      <c r="AG947" s="312"/>
      <c r="AH947" s="312"/>
      <c r="AI947" s="312"/>
      <c r="AJ947" s="312"/>
      <c r="AK947" s="312"/>
      <c r="AL947" s="312"/>
      <c r="AM947" s="312"/>
      <c r="AN947" s="312"/>
      <c r="AO947" s="312"/>
      <c r="AP947" s="312"/>
      <c r="AQ947" s="312"/>
      <c r="AR947" s="312"/>
      <c r="AS947" s="312"/>
      <c r="AT947" s="312"/>
    </row>
    <row r="948" ht="15.75" customHeight="1">
      <c r="A948" s="318"/>
      <c r="B948" s="312"/>
      <c r="C948" s="312"/>
      <c r="D948" s="312"/>
      <c r="E948" s="312"/>
      <c r="F948" s="312"/>
      <c r="G948" s="312"/>
      <c r="H948" s="312"/>
      <c r="I948" s="312"/>
      <c r="J948" s="312"/>
      <c r="K948" s="312"/>
      <c r="L948" s="312"/>
      <c r="M948" s="312"/>
      <c r="N948" s="312"/>
      <c r="O948" s="312"/>
      <c r="P948" s="312"/>
      <c r="Q948" s="312"/>
      <c r="R948" s="312"/>
      <c r="S948" s="312"/>
      <c r="T948" s="312"/>
      <c r="U948" s="312"/>
      <c r="V948" s="312"/>
      <c r="W948" s="312"/>
      <c r="X948" s="312"/>
      <c r="Y948" s="312"/>
      <c r="Z948" s="312"/>
      <c r="AA948" s="312"/>
      <c r="AB948" s="312"/>
      <c r="AC948" s="312"/>
      <c r="AD948" s="312"/>
      <c r="AE948" s="312"/>
      <c r="AF948" s="312"/>
      <c r="AG948" s="312"/>
      <c r="AH948" s="312"/>
      <c r="AI948" s="312"/>
      <c r="AJ948" s="312"/>
      <c r="AK948" s="312"/>
      <c r="AL948" s="312"/>
      <c r="AM948" s="312"/>
      <c r="AN948" s="312"/>
      <c r="AO948" s="312"/>
      <c r="AP948" s="312"/>
      <c r="AQ948" s="312"/>
      <c r="AR948" s="312"/>
      <c r="AS948" s="312"/>
      <c r="AT948" s="312"/>
    </row>
    <row r="949" ht="15.75" customHeight="1">
      <c r="A949" s="318"/>
      <c r="B949" s="312"/>
      <c r="C949" s="312"/>
      <c r="D949" s="312"/>
      <c r="E949" s="312"/>
      <c r="F949" s="312"/>
      <c r="G949" s="312"/>
      <c r="H949" s="312"/>
      <c r="I949" s="312"/>
      <c r="J949" s="312"/>
      <c r="K949" s="312"/>
      <c r="L949" s="312"/>
      <c r="M949" s="312"/>
      <c r="N949" s="312"/>
      <c r="O949" s="312"/>
      <c r="P949" s="312"/>
      <c r="Q949" s="312"/>
      <c r="R949" s="312"/>
      <c r="S949" s="312"/>
      <c r="T949" s="312"/>
      <c r="U949" s="312"/>
      <c r="V949" s="312"/>
      <c r="W949" s="312"/>
      <c r="X949" s="312"/>
      <c r="Y949" s="312"/>
      <c r="Z949" s="312"/>
      <c r="AA949" s="312"/>
      <c r="AB949" s="312"/>
      <c r="AC949" s="312"/>
      <c r="AD949" s="312"/>
      <c r="AE949" s="312"/>
      <c r="AF949" s="312"/>
      <c r="AG949" s="312"/>
      <c r="AH949" s="312"/>
      <c r="AI949" s="312"/>
      <c r="AJ949" s="312"/>
      <c r="AK949" s="312"/>
      <c r="AL949" s="312"/>
      <c r="AM949" s="312"/>
      <c r="AN949" s="312"/>
      <c r="AO949" s="312"/>
      <c r="AP949" s="312"/>
      <c r="AQ949" s="312"/>
      <c r="AR949" s="312"/>
      <c r="AS949" s="312"/>
      <c r="AT949" s="312"/>
    </row>
    <row r="950" ht="15.75" customHeight="1">
      <c r="A950" s="318"/>
      <c r="B950" s="312"/>
      <c r="C950" s="312"/>
      <c r="D950" s="312"/>
      <c r="E950" s="312"/>
      <c r="F950" s="312"/>
      <c r="G950" s="312"/>
      <c r="H950" s="312"/>
      <c r="I950" s="312"/>
      <c r="J950" s="312"/>
      <c r="K950" s="312"/>
      <c r="L950" s="312"/>
      <c r="M950" s="312"/>
      <c r="N950" s="312"/>
      <c r="O950" s="312"/>
      <c r="P950" s="312"/>
      <c r="Q950" s="312"/>
      <c r="R950" s="312"/>
      <c r="S950" s="312"/>
      <c r="T950" s="312"/>
      <c r="U950" s="312"/>
      <c r="V950" s="312"/>
      <c r="W950" s="312"/>
      <c r="X950" s="312"/>
      <c r="Y950" s="312"/>
      <c r="Z950" s="312"/>
      <c r="AA950" s="312"/>
      <c r="AB950" s="312"/>
      <c r="AC950" s="312"/>
      <c r="AD950" s="312"/>
      <c r="AE950" s="312"/>
      <c r="AF950" s="312"/>
      <c r="AG950" s="312"/>
      <c r="AH950" s="312"/>
      <c r="AI950" s="312"/>
      <c r="AJ950" s="312"/>
      <c r="AK950" s="312"/>
      <c r="AL950" s="312"/>
      <c r="AM950" s="312"/>
      <c r="AN950" s="312"/>
      <c r="AO950" s="312"/>
      <c r="AP950" s="312"/>
      <c r="AQ950" s="312"/>
      <c r="AR950" s="312"/>
      <c r="AS950" s="312"/>
      <c r="AT950" s="312"/>
    </row>
    <row r="951" ht="15.75" customHeight="1">
      <c r="A951" s="318"/>
      <c r="B951" s="312"/>
      <c r="C951" s="312"/>
      <c r="D951" s="312"/>
      <c r="E951" s="312"/>
      <c r="F951" s="312"/>
      <c r="G951" s="312"/>
      <c r="H951" s="312"/>
      <c r="I951" s="312"/>
      <c r="J951" s="312"/>
      <c r="K951" s="312"/>
      <c r="L951" s="312"/>
      <c r="M951" s="312"/>
      <c r="N951" s="312"/>
      <c r="O951" s="312"/>
      <c r="P951" s="312"/>
      <c r="Q951" s="312"/>
      <c r="R951" s="312"/>
      <c r="S951" s="312"/>
      <c r="T951" s="312"/>
      <c r="U951" s="312"/>
      <c r="V951" s="312"/>
      <c r="W951" s="312"/>
      <c r="X951" s="312"/>
      <c r="Y951" s="312"/>
      <c r="Z951" s="312"/>
      <c r="AA951" s="312"/>
      <c r="AB951" s="312"/>
      <c r="AC951" s="312"/>
      <c r="AD951" s="312"/>
      <c r="AE951" s="312"/>
      <c r="AF951" s="312"/>
      <c r="AG951" s="312"/>
      <c r="AH951" s="312"/>
      <c r="AI951" s="312"/>
      <c r="AJ951" s="312"/>
      <c r="AK951" s="312"/>
      <c r="AL951" s="312"/>
      <c r="AM951" s="312"/>
      <c r="AN951" s="312"/>
      <c r="AO951" s="312"/>
      <c r="AP951" s="312"/>
      <c r="AQ951" s="312"/>
      <c r="AR951" s="312"/>
      <c r="AS951" s="312"/>
      <c r="AT951" s="312"/>
    </row>
    <row r="952" ht="15.75" customHeight="1">
      <c r="A952" s="318"/>
      <c r="B952" s="312"/>
      <c r="C952" s="312"/>
      <c r="D952" s="312"/>
      <c r="E952" s="312"/>
      <c r="F952" s="312"/>
      <c r="G952" s="312"/>
      <c r="H952" s="312"/>
      <c r="I952" s="312"/>
      <c r="J952" s="312"/>
      <c r="K952" s="312"/>
      <c r="L952" s="312"/>
      <c r="M952" s="312"/>
      <c r="N952" s="312"/>
      <c r="O952" s="312"/>
      <c r="P952" s="312"/>
      <c r="Q952" s="312"/>
      <c r="R952" s="312"/>
      <c r="S952" s="312"/>
      <c r="T952" s="312"/>
      <c r="U952" s="312"/>
      <c r="V952" s="312"/>
      <c r="W952" s="312"/>
      <c r="X952" s="312"/>
      <c r="Y952" s="312"/>
      <c r="Z952" s="312"/>
      <c r="AA952" s="312"/>
      <c r="AB952" s="312"/>
      <c r="AC952" s="312"/>
      <c r="AD952" s="312"/>
      <c r="AE952" s="312"/>
      <c r="AF952" s="312"/>
      <c r="AG952" s="312"/>
      <c r="AH952" s="312"/>
      <c r="AI952" s="312"/>
      <c r="AJ952" s="312"/>
      <c r="AK952" s="312"/>
      <c r="AL952" s="312"/>
      <c r="AM952" s="312"/>
      <c r="AN952" s="312"/>
      <c r="AO952" s="312"/>
      <c r="AP952" s="312"/>
      <c r="AQ952" s="312"/>
      <c r="AR952" s="312"/>
      <c r="AS952" s="312"/>
      <c r="AT952" s="312"/>
    </row>
    <row r="953" ht="15.75" customHeight="1">
      <c r="A953" s="318"/>
      <c r="B953" s="312"/>
      <c r="C953" s="312"/>
      <c r="D953" s="312"/>
      <c r="E953" s="312"/>
      <c r="F953" s="312"/>
      <c r="G953" s="312"/>
      <c r="H953" s="312"/>
      <c r="I953" s="312"/>
      <c r="J953" s="312"/>
      <c r="K953" s="312"/>
      <c r="L953" s="312"/>
      <c r="M953" s="312"/>
      <c r="N953" s="312"/>
      <c r="O953" s="312"/>
      <c r="P953" s="312"/>
      <c r="Q953" s="312"/>
      <c r="R953" s="312"/>
      <c r="S953" s="312"/>
      <c r="T953" s="312"/>
      <c r="U953" s="312"/>
      <c r="V953" s="312"/>
      <c r="W953" s="312"/>
      <c r="X953" s="312"/>
      <c r="Y953" s="312"/>
      <c r="Z953" s="312"/>
      <c r="AA953" s="312"/>
      <c r="AB953" s="312"/>
      <c r="AC953" s="312"/>
      <c r="AD953" s="312"/>
      <c r="AE953" s="312"/>
      <c r="AF953" s="312"/>
      <c r="AG953" s="312"/>
      <c r="AH953" s="312"/>
      <c r="AI953" s="312"/>
      <c r="AJ953" s="312"/>
      <c r="AK953" s="312"/>
      <c r="AL953" s="312"/>
      <c r="AM953" s="312"/>
      <c r="AN953" s="312"/>
      <c r="AO953" s="312"/>
      <c r="AP953" s="312"/>
      <c r="AQ953" s="312"/>
      <c r="AR953" s="312"/>
      <c r="AS953" s="312"/>
      <c r="AT953" s="312"/>
    </row>
    <row r="954" ht="15.75" customHeight="1">
      <c r="A954" s="318"/>
      <c r="B954" s="312"/>
      <c r="C954" s="312"/>
      <c r="D954" s="312"/>
      <c r="E954" s="312"/>
      <c r="F954" s="312"/>
      <c r="G954" s="312"/>
      <c r="H954" s="312"/>
      <c r="I954" s="312"/>
      <c r="J954" s="312"/>
      <c r="K954" s="312"/>
      <c r="L954" s="312"/>
      <c r="M954" s="312"/>
      <c r="N954" s="312"/>
      <c r="O954" s="312"/>
      <c r="P954" s="312"/>
      <c r="Q954" s="312"/>
      <c r="R954" s="312"/>
      <c r="S954" s="312"/>
      <c r="T954" s="312"/>
      <c r="U954" s="312"/>
      <c r="V954" s="312"/>
      <c r="W954" s="312"/>
      <c r="X954" s="312"/>
      <c r="Y954" s="312"/>
      <c r="Z954" s="312"/>
      <c r="AA954" s="312"/>
      <c r="AB954" s="312"/>
      <c r="AC954" s="312"/>
      <c r="AD954" s="312"/>
      <c r="AE954" s="312"/>
      <c r="AF954" s="312"/>
      <c r="AG954" s="312"/>
      <c r="AH954" s="312"/>
      <c r="AI954" s="312"/>
      <c r="AJ954" s="312"/>
      <c r="AK954" s="312"/>
      <c r="AL954" s="312"/>
      <c r="AM954" s="312"/>
      <c r="AN954" s="312"/>
      <c r="AO954" s="312"/>
      <c r="AP954" s="312"/>
      <c r="AQ954" s="312"/>
      <c r="AR954" s="312"/>
      <c r="AS954" s="312"/>
      <c r="AT954" s="312"/>
    </row>
    <row r="955" ht="15.75" customHeight="1">
      <c r="A955" s="318"/>
      <c r="B955" s="312"/>
      <c r="C955" s="312"/>
      <c r="D955" s="312"/>
      <c r="E955" s="312"/>
      <c r="F955" s="312"/>
      <c r="G955" s="312"/>
      <c r="H955" s="312"/>
      <c r="I955" s="312"/>
      <c r="J955" s="312"/>
      <c r="K955" s="312"/>
      <c r="L955" s="312"/>
      <c r="M955" s="312"/>
      <c r="N955" s="312"/>
      <c r="O955" s="312"/>
      <c r="P955" s="312"/>
      <c r="Q955" s="312"/>
      <c r="R955" s="312"/>
      <c r="S955" s="312"/>
      <c r="T955" s="312"/>
      <c r="U955" s="312"/>
      <c r="V955" s="312"/>
      <c r="W955" s="312"/>
      <c r="X955" s="312"/>
      <c r="Y955" s="312"/>
      <c r="Z955" s="312"/>
      <c r="AA955" s="312"/>
      <c r="AB955" s="312"/>
      <c r="AC955" s="312"/>
      <c r="AD955" s="312"/>
      <c r="AE955" s="312"/>
      <c r="AF955" s="312"/>
      <c r="AG955" s="312"/>
      <c r="AH955" s="312"/>
      <c r="AI955" s="312"/>
      <c r="AJ955" s="312"/>
      <c r="AK955" s="312"/>
      <c r="AL955" s="312"/>
      <c r="AM955" s="312"/>
      <c r="AN955" s="312"/>
      <c r="AO955" s="312"/>
      <c r="AP955" s="312"/>
      <c r="AQ955" s="312"/>
      <c r="AR955" s="312"/>
      <c r="AS955" s="312"/>
      <c r="AT955" s="312"/>
    </row>
    <row r="956" ht="15.75" customHeight="1">
      <c r="A956" s="318"/>
      <c r="B956" s="312"/>
      <c r="C956" s="312"/>
      <c r="D956" s="312"/>
      <c r="E956" s="312"/>
      <c r="F956" s="312"/>
      <c r="G956" s="312"/>
      <c r="H956" s="312"/>
      <c r="I956" s="312"/>
      <c r="J956" s="312"/>
      <c r="K956" s="312"/>
      <c r="L956" s="312"/>
      <c r="M956" s="312"/>
      <c r="N956" s="312"/>
      <c r="O956" s="312"/>
      <c r="P956" s="312"/>
      <c r="Q956" s="312"/>
      <c r="R956" s="312"/>
      <c r="S956" s="312"/>
      <c r="T956" s="312"/>
      <c r="U956" s="312"/>
      <c r="V956" s="312"/>
      <c r="W956" s="312"/>
      <c r="X956" s="312"/>
      <c r="Y956" s="312"/>
      <c r="Z956" s="312"/>
      <c r="AA956" s="312"/>
      <c r="AB956" s="312"/>
      <c r="AC956" s="312"/>
      <c r="AD956" s="312"/>
      <c r="AE956" s="312"/>
      <c r="AF956" s="312"/>
      <c r="AG956" s="312"/>
      <c r="AH956" s="312"/>
      <c r="AI956" s="312"/>
      <c r="AJ956" s="312"/>
      <c r="AK956" s="312"/>
      <c r="AL956" s="312"/>
      <c r="AM956" s="312"/>
      <c r="AN956" s="312"/>
      <c r="AO956" s="312"/>
      <c r="AP956" s="312"/>
      <c r="AQ956" s="312"/>
      <c r="AR956" s="312"/>
      <c r="AS956" s="312"/>
      <c r="AT956" s="312"/>
    </row>
    <row r="957" ht="15.75" customHeight="1">
      <c r="A957" s="318"/>
      <c r="B957" s="312"/>
      <c r="C957" s="312"/>
      <c r="D957" s="312"/>
      <c r="E957" s="312"/>
      <c r="F957" s="312"/>
      <c r="G957" s="312"/>
      <c r="H957" s="312"/>
      <c r="I957" s="312"/>
      <c r="J957" s="312"/>
      <c r="K957" s="312"/>
      <c r="L957" s="312"/>
      <c r="M957" s="312"/>
      <c r="N957" s="312"/>
      <c r="O957" s="312"/>
      <c r="P957" s="312"/>
      <c r="Q957" s="312"/>
      <c r="R957" s="312"/>
      <c r="S957" s="312"/>
      <c r="T957" s="312"/>
      <c r="U957" s="312"/>
      <c r="V957" s="312"/>
      <c r="W957" s="312"/>
      <c r="X957" s="312"/>
      <c r="Y957" s="312"/>
      <c r="Z957" s="312"/>
      <c r="AA957" s="312"/>
      <c r="AB957" s="312"/>
      <c r="AC957" s="312"/>
      <c r="AD957" s="312"/>
      <c r="AE957" s="312"/>
      <c r="AF957" s="312"/>
      <c r="AG957" s="312"/>
      <c r="AH957" s="312"/>
      <c r="AI957" s="312"/>
      <c r="AJ957" s="312"/>
      <c r="AK957" s="312"/>
      <c r="AL957" s="312"/>
      <c r="AM957" s="312"/>
      <c r="AN957" s="312"/>
      <c r="AO957" s="312"/>
      <c r="AP957" s="312"/>
      <c r="AQ957" s="312"/>
      <c r="AR957" s="312"/>
      <c r="AS957" s="312"/>
      <c r="AT957" s="312"/>
    </row>
    <row r="958" ht="15.75" customHeight="1">
      <c r="A958" s="318"/>
      <c r="B958" s="312"/>
      <c r="C958" s="312"/>
      <c r="D958" s="312"/>
      <c r="E958" s="312"/>
      <c r="F958" s="312"/>
      <c r="G958" s="312"/>
      <c r="H958" s="312"/>
      <c r="I958" s="312"/>
      <c r="J958" s="312"/>
      <c r="K958" s="312"/>
      <c r="L958" s="312"/>
      <c r="M958" s="312"/>
      <c r="N958" s="312"/>
      <c r="O958" s="312"/>
      <c r="P958" s="312"/>
      <c r="Q958" s="312"/>
      <c r="R958" s="312"/>
      <c r="S958" s="312"/>
      <c r="T958" s="312"/>
      <c r="U958" s="312"/>
      <c r="V958" s="312"/>
      <c r="W958" s="312"/>
      <c r="X958" s="312"/>
      <c r="Y958" s="312"/>
      <c r="Z958" s="312"/>
      <c r="AA958" s="312"/>
      <c r="AB958" s="312"/>
      <c r="AC958" s="312"/>
      <c r="AD958" s="312"/>
      <c r="AE958" s="312"/>
      <c r="AF958" s="312"/>
      <c r="AG958" s="312"/>
      <c r="AH958" s="312"/>
      <c r="AI958" s="312"/>
      <c r="AJ958" s="312"/>
      <c r="AK958" s="312"/>
      <c r="AL958" s="312"/>
      <c r="AM958" s="312"/>
      <c r="AN958" s="312"/>
      <c r="AO958" s="312"/>
      <c r="AP958" s="312"/>
      <c r="AQ958" s="312"/>
      <c r="AR958" s="312"/>
      <c r="AS958" s="312"/>
      <c r="AT958" s="312"/>
    </row>
    <row r="959" ht="15.75" customHeight="1">
      <c r="A959" s="318"/>
      <c r="B959" s="312"/>
      <c r="C959" s="312"/>
      <c r="D959" s="312"/>
      <c r="E959" s="312"/>
      <c r="F959" s="312"/>
      <c r="G959" s="312"/>
      <c r="H959" s="312"/>
      <c r="I959" s="312"/>
      <c r="J959" s="312"/>
      <c r="K959" s="312"/>
      <c r="L959" s="312"/>
      <c r="M959" s="312"/>
      <c r="N959" s="312"/>
      <c r="O959" s="312"/>
      <c r="P959" s="312"/>
      <c r="Q959" s="312"/>
      <c r="R959" s="312"/>
      <c r="S959" s="312"/>
      <c r="T959" s="312"/>
      <c r="U959" s="312"/>
      <c r="V959" s="312"/>
      <c r="W959" s="312"/>
      <c r="X959" s="312"/>
      <c r="Y959" s="312"/>
      <c r="Z959" s="312"/>
      <c r="AA959" s="312"/>
      <c r="AB959" s="312"/>
      <c r="AC959" s="312"/>
      <c r="AD959" s="312"/>
      <c r="AE959" s="312"/>
      <c r="AF959" s="312"/>
      <c r="AG959" s="312"/>
      <c r="AH959" s="312"/>
      <c r="AI959" s="312"/>
      <c r="AJ959" s="312"/>
      <c r="AK959" s="312"/>
      <c r="AL959" s="312"/>
      <c r="AM959" s="312"/>
      <c r="AN959" s="312"/>
      <c r="AO959" s="312"/>
      <c r="AP959" s="312"/>
      <c r="AQ959" s="312"/>
      <c r="AR959" s="312"/>
      <c r="AS959" s="312"/>
      <c r="AT959" s="312"/>
    </row>
    <row r="960" ht="15.75" customHeight="1">
      <c r="A960" s="318"/>
      <c r="B960" s="312"/>
      <c r="C960" s="312"/>
      <c r="D960" s="312"/>
      <c r="E960" s="312"/>
      <c r="F960" s="312"/>
      <c r="G960" s="312"/>
      <c r="H960" s="312"/>
      <c r="I960" s="312"/>
      <c r="J960" s="312"/>
      <c r="K960" s="312"/>
      <c r="L960" s="312"/>
      <c r="M960" s="312"/>
      <c r="N960" s="312"/>
      <c r="O960" s="312"/>
      <c r="P960" s="312"/>
      <c r="Q960" s="312"/>
      <c r="R960" s="312"/>
      <c r="S960" s="312"/>
      <c r="T960" s="312"/>
      <c r="U960" s="312"/>
      <c r="V960" s="312"/>
      <c r="W960" s="312"/>
      <c r="X960" s="312"/>
      <c r="Y960" s="312"/>
      <c r="Z960" s="312"/>
      <c r="AA960" s="312"/>
      <c r="AB960" s="312"/>
      <c r="AC960" s="312"/>
      <c r="AD960" s="312"/>
      <c r="AE960" s="312"/>
      <c r="AF960" s="312"/>
      <c r="AG960" s="312"/>
      <c r="AH960" s="312"/>
      <c r="AI960" s="312"/>
      <c r="AJ960" s="312"/>
      <c r="AK960" s="312"/>
      <c r="AL960" s="312"/>
      <c r="AM960" s="312"/>
      <c r="AN960" s="312"/>
      <c r="AO960" s="312"/>
      <c r="AP960" s="312"/>
      <c r="AQ960" s="312"/>
      <c r="AR960" s="312"/>
      <c r="AS960" s="312"/>
      <c r="AT960" s="312"/>
    </row>
    <row r="961" ht="15.75" customHeight="1">
      <c r="A961" s="318"/>
      <c r="B961" s="312"/>
      <c r="C961" s="312"/>
      <c r="D961" s="312"/>
      <c r="E961" s="312"/>
      <c r="F961" s="312"/>
      <c r="G961" s="312"/>
      <c r="H961" s="312"/>
      <c r="I961" s="312"/>
      <c r="J961" s="312"/>
      <c r="K961" s="312"/>
      <c r="L961" s="312"/>
      <c r="M961" s="312"/>
      <c r="N961" s="312"/>
      <c r="O961" s="312"/>
      <c r="P961" s="312"/>
      <c r="Q961" s="312"/>
      <c r="R961" s="312"/>
      <c r="S961" s="312"/>
      <c r="T961" s="312"/>
      <c r="U961" s="312"/>
      <c r="V961" s="312"/>
      <c r="W961" s="312"/>
      <c r="X961" s="312"/>
      <c r="Y961" s="312"/>
      <c r="Z961" s="312"/>
      <c r="AA961" s="312"/>
      <c r="AB961" s="312"/>
      <c r="AC961" s="312"/>
      <c r="AD961" s="312"/>
      <c r="AE961" s="312"/>
      <c r="AF961" s="312"/>
      <c r="AG961" s="312"/>
      <c r="AH961" s="312"/>
      <c r="AI961" s="312"/>
      <c r="AJ961" s="312"/>
      <c r="AK961" s="312"/>
      <c r="AL961" s="312"/>
      <c r="AM961" s="312"/>
      <c r="AN961" s="312"/>
      <c r="AO961" s="312"/>
      <c r="AP961" s="312"/>
      <c r="AQ961" s="312"/>
      <c r="AR961" s="312"/>
      <c r="AS961" s="312"/>
      <c r="AT961" s="312"/>
    </row>
    <row r="962" ht="15.75" customHeight="1">
      <c r="A962" s="318"/>
      <c r="B962" s="312"/>
      <c r="C962" s="312"/>
      <c r="D962" s="312"/>
      <c r="E962" s="312"/>
      <c r="F962" s="312"/>
      <c r="G962" s="312"/>
      <c r="H962" s="312"/>
      <c r="I962" s="312"/>
      <c r="J962" s="312"/>
      <c r="K962" s="312"/>
      <c r="L962" s="312"/>
      <c r="M962" s="312"/>
      <c r="N962" s="312"/>
      <c r="O962" s="312"/>
      <c r="P962" s="312"/>
      <c r="Q962" s="312"/>
      <c r="R962" s="312"/>
      <c r="S962" s="312"/>
      <c r="T962" s="312"/>
      <c r="U962" s="312"/>
      <c r="V962" s="312"/>
      <c r="W962" s="312"/>
      <c r="X962" s="312"/>
      <c r="Y962" s="312"/>
      <c r="Z962" s="312"/>
      <c r="AA962" s="312"/>
      <c r="AB962" s="312"/>
      <c r="AC962" s="312"/>
      <c r="AD962" s="312"/>
      <c r="AE962" s="312"/>
      <c r="AF962" s="312"/>
      <c r="AG962" s="312"/>
      <c r="AH962" s="312"/>
      <c r="AI962" s="312"/>
      <c r="AJ962" s="312"/>
      <c r="AK962" s="312"/>
      <c r="AL962" s="312"/>
      <c r="AM962" s="312"/>
      <c r="AN962" s="312"/>
      <c r="AO962" s="312"/>
      <c r="AP962" s="312"/>
      <c r="AQ962" s="312"/>
      <c r="AR962" s="312"/>
      <c r="AS962" s="312"/>
      <c r="AT962" s="312"/>
    </row>
    <row r="963" ht="15.75" customHeight="1">
      <c r="A963" s="318"/>
      <c r="B963" s="312"/>
      <c r="C963" s="312"/>
      <c r="D963" s="312"/>
      <c r="E963" s="312"/>
      <c r="F963" s="312"/>
      <c r="G963" s="312"/>
      <c r="H963" s="312"/>
      <c r="I963" s="312"/>
      <c r="J963" s="312"/>
      <c r="K963" s="312"/>
      <c r="L963" s="312"/>
      <c r="M963" s="312"/>
      <c r="N963" s="312"/>
      <c r="O963" s="312"/>
      <c r="P963" s="312"/>
      <c r="Q963" s="312"/>
      <c r="R963" s="312"/>
      <c r="S963" s="312"/>
      <c r="T963" s="312"/>
      <c r="U963" s="312"/>
      <c r="V963" s="312"/>
      <c r="W963" s="312"/>
      <c r="X963" s="312"/>
      <c r="Y963" s="312"/>
      <c r="Z963" s="312"/>
      <c r="AA963" s="312"/>
      <c r="AB963" s="312"/>
      <c r="AC963" s="312"/>
      <c r="AD963" s="312"/>
      <c r="AE963" s="312"/>
      <c r="AF963" s="312"/>
      <c r="AG963" s="312"/>
      <c r="AH963" s="312"/>
      <c r="AI963" s="312"/>
      <c r="AJ963" s="312"/>
      <c r="AK963" s="312"/>
      <c r="AL963" s="312"/>
      <c r="AM963" s="312"/>
      <c r="AN963" s="312"/>
      <c r="AO963" s="312"/>
      <c r="AP963" s="312"/>
      <c r="AQ963" s="312"/>
      <c r="AR963" s="312"/>
      <c r="AS963" s="312"/>
      <c r="AT963" s="312"/>
    </row>
    <row r="964" ht="15.75" customHeight="1">
      <c r="A964" s="318"/>
      <c r="B964" s="312"/>
      <c r="C964" s="312"/>
      <c r="D964" s="312"/>
      <c r="E964" s="312"/>
      <c r="F964" s="312"/>
      <c r="G964" s="312"/>
      <c r="H964" s="312"/>
      <c r="I964" s="312"/>
      <c r="J964" s="312"/>
      <c r="K964" s="312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12"/>
      <c r="AD964" s="312"/>
      <c r="AE964" s="312"/>
      <c r="AF964" s="312"/>
      <c r="AG964" s="312"/>
      <c r="AH964" s="312"/>
      <c r="AI964" s="312"/>
      <c r="AJ964" s="312"/>
      <c r="AK964" s="312"/>
      <c r="AL964" s="312"/>
      <c r="AM964" s="312"/>
      <c r="AN964" s="312"/>
      <c r="AO964" s="312"/>
      <c r="AP964" s="312"/>
      <c r="AQ964" s="312"/>
      <c r="AR964" s="312"/>
      <c r="AS964" s="312"/>
      <c r="AT964" s="312"/>
    </row>
    <row r="965" ht="15.75" customHeight="1">
      <c r="A965" s="318"/>
      <c r="B965" s="312"/>
      <c r="C965" s="312"/>
      <c r="D965" s="312"/>
      <c r="E965" s="312"/>
      <c r="F965" s="312"/>
      <c r="G965" s="312"/>
      <c r="H965" s="312"/>
      <c r="I965" s="312"/>
      <c r="J965" s="312"/>
      <c r="K965" s="312"/>
      <c r="L965" s="312"/>
      <c r="M965" s="312"/>
      <c r="N965" s="312"/>
      <c r="O965" s="312"/>
      <c r="P965" s="312"/>
      <c r="Q965" s="312"/>
      <c r="R965" s="312"/>
      <c r="S965" s="312"/>
      <c r="T965" s="312"/>
      <c r="U965" s="312"/>
      <c r="V965" s="312"/>
      <c r="W965" s="312"/>
      <c r="X965" s="312"/>
      <c r="Y965" s="312"/>
      <c r="Z965" s="312"/>
      <c r="AA965" s="312"/>
      <c r="AB965" s="312"/>
      <c r="AC965" s="312"/>
      <c r="AD965" s="312"/>
      <c r="AE965" s="312"/>
      <c r="AF965" s="312"/>
      <c r="AG965" s="312"/>
      <c r="AH965" s="312"/>
      <c r="AI965" s="312"/>
      <c r="AJ965" s="312"/>
      <c r="AK965" s="312"/>
      <c r="AL965" s="312"/>
      <c r="AM965" s="312"/>
      <c r="AN965" s="312"/>
      <c r="AO965" s="312"/>
      <c r="AP965" s="312"/>
      <c r="AQ965" s="312"/>
      <c r="AR965" s="312"/>
      <c r="AS965" s="312"/>
      <c r="AT965" s="312"/>
    </row>
    <row r="966" ht="15.75" customHeight="1">
      <c r="A966" s="318"/>
      <c r="B966" s="312"/>
      <c r="C966" s="312"/>
      <c r="D966" s="312"/>
      <c r="E966" s="312"/>
      <c r="F966" s="312"/>
      <c r="G966" s="312"/>
      <c r="H966" s="312"/>
      <c r="I966" s="312"/>
      <c r="J966" s="312"/>
      <c r="K966" s="312"/>
      <c r="L966" s="312"/>
      <c r="M966" s="312"/>
      <c r="N966" s="312"/>
      <c r="O966" s="312"/>
      <c r="P966" s="312"/>
      <c r="Q966" s="312"/>
      <c r="R966" s="312"/>
      <c r="S966" s="312"/>
      <c r="T966" s="312"/>
      <c r="U966" s="312"/>
      <c r="V966" s="312"/>
      <c r="W966" s="312"/>
      <c r="X966" s="312"/>
      <c r="Y966" s="312"/>
      <c r="Z966" s="312"/>
      <c r="AA966" s="312"/>
      <c r="AB966" s="312"/>
      <c r="AC966" s="312"/>
      <c r="AD966" s="312"/>
      <c r="AE966" s="312"/>
      <c r="AF966" s="312"/>
      <c r="AG966" s="312"/>
      <c r="AH966" s="312"/>
      <c r="AI966" s="312"/>
      <c r="AJ966" s="312"/>
      <c r="AK966" s="312"/>
      <c r="AL966" s="312"/>
      <c r="AM966" s="312"/>
      <c r="AN966" s="312"/>
      <c r="AO966" s="312"/>
      <c r="AP966" s="312"/>
      <c r="AQ966" s="312"/>
      <c r="AR966" s="312"/>
      <c r="AS966" s="312"/>
      <c r="AT966" s="312"/>
    </row>
    <row r="967" ht="15.75" customHeight="1">
      <c r="A967" s="318"/>
      <c r="B967" s="312"/>
      <c r="C967" s="312"/>
      <c r="D967" s="312"/>
      <c r="E967" s="312"/>
      <c r="F967" s="312"/>
      <c r="G967" s="312"/>
      <c r="H967" s="312"/>
      <c r="I967" s="312"/>
      <c r="J967" s="312"/>
      <c r="K967" s="312"/>
      <c r="L967" s="312"/>
      <c r="M967" s="312"/>
      <c r="N967" s="312"/>
      <c r="O967" s="312"/>
      <c r="P967" s="312"/>
      <c r="Q967" s="312"/>
      <c r="R967" s="312"/>
      <c r="S967" s="312"/>
      <c r="T967" s="312"/>
      <c r="U967" s="312"/>
      <c r="V967" s="312"/>
      <c r="W967" s="312"/>
      <c r="X967" s="312"/>
      <c r="Y967" s="312"/>
      <c r="Z967" s="312"/>
      <c r="AA967" s="312"/>
      <c r="AB967" s="312"/>
      <c r="AC967" s="312"/>
      <c r="AD967" s="312"/>
      <c r="AE967" s="312"/>
      <c r="AF967" s="312"/>
      <c r="AG967" s="312"/>
      <c r="AH967" s="312"/>
      <c r="AI967" s="312"/>
      <c r="AJ967" s="312"/>
      <c r="AK967" s="312"/>
      <c r="AL967" s="312"/>
      <c r="AM967" s="312"/>
      <c r="AN967" s="312"/>
      <c r="AO967" s="312"/>
      <c r="AP967" s="312"/>
      <c r="AQ967" s="312"/>
      <c r="AR967" s="312"/>
      <c r="AS967" s="312"/>
      <c r="AT967" s="312"/>
    </row>
    <row r="968" ht="15.75" customHeight="1">
      <c r="A968" s="318"/>
      <c r="B968" s="312"/>
      <c r="C968" s="312"/>
      <c r="D968" s="312"/>
      <c r="E968" s="312"/>
      <c r="F968" s="312"/>
      <c r="G968" s="312"/>
      <c r="H968" s="312"/>
      <c r="I968" s="312"/>
      <c r="J968" s="312"/>
      <c r="K968" s="312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12"/>
      <c r="AD968" s="312"/>
      <c r="AE968" s="312"/>
      <c r="AF968" s="312"/>
      <c r="AG968" s="312"/>
      <c r="AH968" s="312"/>
      <c r="AI968" s="312"/>
      <c r="AJ968" s="312"/>
      <c r="AK968" s="312"/>
      <c r="AL968" s="312"/>
      <c r="AM968" s="312"/>
      <c r="AN968" s="312"/>
      <c r="AO968" s="312"/>
      <c r="AP968" s="312"/>
      <c r="AQ968" s="312"/>
      <c r="AR968" s="312"/>
      <c r="AS968" s="312"/>
      <c r="AT968" s="312"/>
    </row>
    <row r="969" ht="15.75" customHeight="1">
      <c r="A969" s="318"/>
      <c r="B969" s="312"/>
      <c r="C969" s="312"/>
      <c r="D969" s="312"/>
      <c r="E969" s="312"/>
      <c r="F969" s="312"/>
      <c r="G969" s="312"/>
      <c r="H969" s="312"/>
      <c r="I969" s="312"/>
      <c r="J969" s="312"/>
      <c r="K969" s="312"/>
      <c r="L969" s="312"/>
      <c r="M969" s="312"/>
      <c r="N969" s="312"/>
      <c r="O969" s="312"/>
      <c r="P969" s="312"/>
      <c r="Q969" s="312"/>
      <c r="R969" s="312"/>
      <c r="S969" s="312"/>
      <c r="T969" s="312"/>
      <c r="U969" s="312"/>
      <c r="V969" s="312"/>
      <c r="W969" s="312"/>
      <c r="X969" s="312"/>
      <c r="Y969" s="312"/>
      <c r="Z969" s="312"/>
      <c r="AA969" s="312"/>
      <c r="AB969" s="312"/>
      <c r="AC969" s="312"/>
      <c r="AD969" s="312"/>
      <c r="AE969" s="312"/>
      <c r="AF969" s="312"/>
      <c r="AG969" s="312"/>
      <c r="AH969" s="312"/>
      <c r="AI969" s="312"/>
      <c r="AJ969" s="312"/>
      <c r="AK969" s="312"/>
      <c r="AL969" s="312"/>
      <c r="AM969" s="312"/>
      <c r="AN969" s="312"/>
      <c r="AO969" s="312"/>
      <c r="AP969" s="312"/>
      <c r="AQ969" s="312"/>
      <c r="AR969" s="312"/>
      <c r="AS969" s="312"/>
      <c r="AT969" s="312"/>
    </row>
    <row r="970" ht="15.75" customHeight="1">
      <c r="A970" s="318"/>
      <c r="B970" s="312"/>
      <c r="C970" s="312"/>
      <c r="D970" s="312"/>
      <c r="E970" s="312"/>
      <c r="F970" s="312"/>
      <c r="G970" s="312"/>
      <c r="H970" s="312"/>
      <c r="I970" s="312"/>
      <c r="J970" s="312"/>
      <c r="K970" s="312"/>
      <c r="L970" s="312"/>
      <c r="M970" s="312"/>
      <c r="N970" s="312"/>
      <c r="O970" s="312"/>
      <c r="P970" s="312"/>
      <c r="Q970" s="312"/>
      <c r="R970" s="312"/>
      <c r="S970" s="312"/>
      <c r="T970" s="312"/>
      <c r="U970" s="312"/>
      <c r="V970" s="312"/>
      <c r="W970" s="312"/>
      <c r="X970" s="312"/>
      <c r="Y970" s="312"/>
      <c r="Z970" s="312"/>
      <c r="AA970" s="312"/>
      <c r="AB970" s="312"/>
      <c r="AC970" s="312"/>
      <c r="AD970" s="312"/>
      <c r="AE970" s="312"/>
      <c r="AF970" s="312"/>
      <c r="AG970" s="312"/>
      <c r="AH970" s="312"/>
      <c r="AI970" s="312"/>
      <c r="AJ970" s="312"/>
      <c r="AK970" s="312"/>
      <c r="AL970" s="312"/>
      <c r="AM970" s="312"/>
      <c r="AN970" s="312"/>
      <c r="AO970" s="312"/>
      <c r="AP970" s="312"/>
      <c r="AQ970" s="312"/>
      <c r="AR970" s="312"/>
      <c r="AS970" s="312"/>
      <c r="AT970" s="312"/>
    </row>
    <row r="971" ht="15.75" customHeight="1">
      <c r="A971" s="318"/>
      <c r="B971" s="312"/>
      <c r="C971" s="312"/>
      <c r="D971" s="312"/>
      <c r="E971" s="312"/>
      <c r="F971" s="312"/>
      <c r="G971" s="312"/>
      <c r="H971" s="312"/>
      <c r="I971" s="312"/>
      <c r="J971" s="312"/>
      <c r="K971" s="312"/>
      <c r="L971" s="312"/>
      <c r="M971" s="312"/>
      <c r="N971" s="312"/>
      <c r="O971" s="312"/>
      <c r="P971" s="312"/>
      <c r="Q971" s="312"/>
      <c r="R971" s="312"/>
      <c r="S971" s="312"/>
      <c r="T971" s="312"/>
      <c r="U971" s="312"/>
      <c r="V971" s="312"/>
      <c r="W971" s="312"/>
      <c r="X971" s="312"/>
      <c r="Y971" s="312"/>
      <c r="Z971" s="312"/>
      <c r="AA971" s="312"/>
      <c r="AB971" s="312"/>
      <c r="AC971" s="312"/>
      <c r="AD971" s="312"/>
      <c r="AE971" s="312"/>
      <c r="AF971" s="312"/>
      <c r="AG971" s="312"/>
      <c r="AH971" s="312"/>
      <c r="AI971" s="312"/>
      <c r="AJ971" s="312"/>
      <c r="AK971" s="312"/>
      <c r="AL971" s="312"/>
      <c r="AM971" s="312"/>
      <c r="AN971" s="312"/>
      <c r="AO971" s="312"/>
      <c r="AP971" s="312"/>
      <c r="AQ971" s="312"/>
      <c r="AR971" s="312"/>
      <c r="AS971" s="312"/>
      <c r="AT971" s="312"/>
    </row>
    <row r="972" ht="15.75" customHeight="1">
      <c r="A972" s="318"/>
      <c r="B972" s="312"/>
      <c r="C972" s="312"/>
      <c r="D972" s="312"/>
      <c r="E972" s="312"/>
      <c r="F972" s="312"/>
      <c r="G972" s="312"/>
      <c r="H972" s="312"/>
      <c r="I972" s="312"/>
      <c r="J972" s="312"/>
      <c r="K972" s="312"/>
      <c r="L972" s="312"/>
      <c r="M972" s="312"/>
      <c r="N972" s="312"/>
      <c r="O972" s="312"/>
      <c r="P972" s="312"/>
      <c r="Q972" s="312"/>
      <c r="R972" s="312"/>
      <c r="S972" s="312"/>
      <c r="T972" s="312"/>
      <c r="U972" s="312"/>
      <c r="V972" s="312"/>
      <c r="W972" s="312"/>
      <c r="X972" s="312"/>
      <c r="Y972" s="312"/>
      <c r="Z972" s="312"/>
      <c r="AA972" s="312"/>
      <c r="AB972" s="312"/>
      <c r="AC972" s="312"/>
      <c r="AD972" s="312"/>
      <c r="AE972" s="312"/>
      <c r="AF972" s="312"/>
      <c r="AG972" s="312"/>
      <c r="AH972" s="312"/>
      <c r="AI972" s="312"/>
      <c r="AJ972" s="312"/>
      <c r="AK972" s="312"/>
      <c r="AL972" s="312"/>
      <c r="AM972" s="312"/>
      <c r="AN972" s="312"/>
      <c r="AO972" s="312"/>
      <c r="AP972" s="312"/>
      <c r="AQ972" s="312"/>
      <c r="AR972" s="312"/>
      <c r="AS972" s="312"/>
      <c r="AT972" s="312"/>
    </row>
    <row r="973" ht="15.75" customHeight="1">
      <c r="A973" s="318"/>
      <c r="B973" s="312"/>
      <c r="C973" s="312"/>
      <c r="D973" s="312"/>
      <c r="E973" s="312"/>
      <c r="F973" s="312"/>
      <c r="G973" s="312"/>
      <c r="H973" s="312"/>
      <c r="I973" s="312"/>
      <c r="J973" s="312"/>
      <c r="K973" s="312"/>
      <c r="L973" s="312"/>
      <c r="M973" s="312"/>
      <c r="N973" s="312"/>
      <c r="O973" s="312"/>
      <c r="P973" s="312"/>
      <c r="Q973" s="312"/>
      <c r="R973" s="312"/>
      <c r="S973" s="312"/>
      <c r="T973" s="312"/>
      <c r="U973" s="312"/>
      <c r="V973" s="312"/>
      <c r="W973" s="312"/>
      <c r="X973" s="312"/>
      <c r="Y973" s="312"/>
      <c r="Z973" s="312"/>
      <c r="AA973" s="312"/>
      <c r="AB973" s="312"/>
      <c r="AC973" s="312"/>
      <c r="AD973" s="312"/>
      <c r="AE973" s="312"/>
      <c r="AF973" s="312"/>
      <c r="AG973" s="312"/>
      <c r="AH973" s="312"/>
      <c r="AI973" s="312"/>
      <c r="AJ973" s="312"/>
      <c r="AK973" s="312"/>
      <c r="AL973" s="312"/>
      <c r="AM973" s="312"/>
      <c r="AN973" s="312"/>
      <c r="AO973" s="312"/>
      <c r="AP973" s="312"/>
      <c r="AQ973" s="312"/>
      <c r="AR973" s="312"/>
      <c r="AS973" s="312"/>
      <c r="AT973" s="312"/>
    </row>
    <row r="974" ht="15.75" customHeight="1">
      <c r="A974" s="318"/>
      <c r="B974" s="312"/>
      <c r="C974" s="312"/>
      <c r="D974" s="312"/>
      <c r="E974" s="312"/>
      <c r="F974" s="312"/>
      <c r="G974" s="312"/>
      <c r="H974" s="312"/>
      <c r="I974" s="312"/>
      <c r="J974" s="312"/>
      <c r="K974" s="312"/>
      <c r="L974" s="312"/>
      <c r="M974" s="312"/>
      <c r="N974" s="312"/>
      <c r="O974" s="312"/>
      <c r="P974" s="312"/>
      <c r="Q974" s="312"/>
      <c r="R974" s="312"/>
      <c r="S974" s="312"/>
      <c r="T974" s="312"/>
      <c r="U974" s="312"/>
      <c r="V974" s="312"/>
      <c r="W974" s="312"/>
      <c r="X974" s="312"/>
      <c r="Y974" s="312"/>
      <c r="Z974" s="312"/>
      <c r="AA974" s="312"/>
      <c r="AB974" s="312"/>
      <c r="AC974" s="312"/>
      <c r="AD974" s="312"/>
      <c r="AE974" s="312"/>
      <c r="AF974" s="312"/>
      <c r="AG974" s="312"/>
      <c r="AH974" s="312"/>
      <c r="AI974" s="312"/>
      <c r="AJ974" s="312"/>
      <c r="AK974" s="312"/>
      <c r="AL974" s="312"/>
      <c r="AM974" s="312"/>
      <c r="AN974" s="312"/>
      <c r="AO974" s="312"/>
      <c r="AP974" s="312"/>
      <c r="AQ974" s="312"/>
      <c r="AR974" s="312"/>
      <c r="AS974" s="312"/>
      <c r="AT974" s="312"/>
    </row>
    <row r="975" ht="15.75" customHeight="1">
      <c r="A975" s="318"/>
      <c r="B975" s="312"/>
      <c r="C975" s="312"/>
      <c r="D975" s="312"/>
      <c r="E975" s="312"/>
      <c r="F975" s="312"/>
      <c r="G975" s="312"/>
      <c r="H975" s="312"/>
      <c r="I975" s="312"/>
      <c r="J975" s="312"/>
      <c r="K975" s="312"/>
      <c r="L975" s="312"/>
      <c r="M975" s="312"/>
      <c r="N975" s="312"/>
      <c r="O975" s="312"/>
      <c r="P975" s="312"/>
      <c r="Q975" s="312"/>
      <c r="R975" s="312"/>
      <c r="S975" s="312"/>
      <c r="T975" s="312"/>
      <c r="U975" s="312"/>
      <c r="V975" s="312"/>
      <c r="W975" s="312"/>
      <c r="X975" s="312"/>
      <c r="Y975" s="312"/>
      <c r="Z975" s="312"/>
      <c r="AA975" s="312"/>
      <c r="AB975" s="312"/>
      <c r="AC975" s="312"/>
      <c r="AD975" s="312"/>
      <c r="AE975" s="312"/>
      <c r="AF975" s="312"/>
      <c r="AG975" s="312"/>
      <c r="AH975" s="312"/>
      <c r="AI975" s="312"/>
      <c r="AJ975" s="312"/>
      <c r="AK975" s="312"/>
      <c r="AL975" s="312"/>
      <c r="AM975" s="312"/>
      <c r="AN975" s="312"/>
      <c r="AO975" s="312"/>
      <c r="AP975" s="312"/>
      <c r="AQ975" s="312"/>
      <c r="AR975" s="312"/>
      <c r="AS975" s="312"/>
      <c r="AT975" s="312"/>
    </row>
    <row r="976" ht="15.75" customHeight="1">
      <c r="A976" s="318"/>
      <c r="B976" s="312"/>
      <c r="C976" s="312"/>
      <c r="D976" s="312"/>
      <c r="E976" s="312"/>
      <c r="F976" s="312"/>
      <c r="G976" s="312"/>
      <c r="H976" s="312"/>
      <c r="I976" s="312"/>
      <c r="J976" s="312"/>
      <c r="K976" s="312"/>
      <c r="L976" s="312"/>
      <c r="M976" s="312"/>
      <c r="N976" s="312"/>
      <c r="O976" s="312"/>
      <c r="P976" s="312"/>
      <c r="Q976" s="312"/>
      <c r="R976" s="312"/>
      <c r="S976" s="312"/>
      <c r="T976" s="312"/>
      <c r="U976" s="312"/>
      <c r="V976" s="312"/>
      <c r="W976" s="312"/>
      <c r="X976" s="312"/>
      <c r="Y976" s="312"/>
      <c r="Z976" s="312"/>
      <c r="AA976" s="312"/>
      <c r="AB976" s="312"/>
      <c r="AC976" s="312"/>
      <c r="AD976" s="312"/>
      <c r="AE976" s="312"/>
      <c r="AF976" s="312"/>
      <c r="AG976" s="312"/>
      <c r="AH976" s="312"/>
      <c r="AI976" s="312"/>
      <c r="AJ976" s="312"/>
      <c r="AK976" s="312"/>
      <c r="AL976" s="312"/>
      <c r="AM976" s="312"/>
      <c r="AN976" s="312"/>
      <c r="AO976" s="312"/>
      <c r="AP976" s="312"/>
      <c r="AQ976" s="312"/>
      <c r="AR976" s="312"/>
      <c r="AS976" s="312"/>
      <c r="AT976" s="312"/>
    </row>
    <row r="977" ht="15.75" customHeight="1">
      <c r="A977" s="318"/>
      <c r="B977" s="312"/>
      <c r="C977" s="312"/>
      <c r="D977" s="312"/>
      <c r="E977" s="312"/>
      <c r="F977" s="312"/>
      <c r="G977" s="312"/>
      <c r="H977" s="312"/>
      <c r="I977" s="312"/>
      <c r="J977" s="312"/>
      <c r="K977" s="312"/>
      <c r="L977" s="312"/>
      <c r="M977" s="312"/>
      <c r="N977" s="312"/>
      <c r="O977" s="312"/>
      <c r="P977" s="312"/>
      <c r="Q977" s="312"/>
      <c r="R977" s="312"/>
      <c r="S977" s="312"/>
      <c r="T977" s="312"/>
      <c r="U977" s="312"/>
      <c r="V977" s="312"/>
      <c r="W977" s="312"/>
      <c r="X977" s="312"/>
      <c r="Y977" s="312"/>
      <c r="Z977" s="312"/>
      <c r="AA977" s="312"/>
      <c r="AB977" s="312"/>
      <c r="AC977" s="312"/>
      <c r="AD977" s="312"/>
      <c r="AE977" s="312"/>
      <c r="AF977" s="312"/>
      <c r="AG977" s="312"/>
      <c r="AH977" s="312"/>
      <c r="AI977" s="312"/>
      <c r="AJ977" s="312"/>
      <c r="AK977" s="312"/>
      <c r="AL977" s="312"/>
      <c r="AM977" s="312"/>
      <c r="AN977" s="312"/>
      <c r="AO977" s="312"/>
      <c r="AP977" s="312"/>
      <c r="AQ977" s="312"/>
      <c r="AR977" s="312"/>
      <c r="AS977" s="312"/>
      <c r="AT977" s="312"/>
    </row>
    <row r="978" ht="15.75" customHeight="1">
      <c r="A978" s="318"/>
      <c r="B978" s="312"/>
      <c r="C978" s="312"/>
      <c r="D978" s="312"/>
      <c r="E978" s="312"/>
      <c r="F978" s="312"/>
      <c r="G978" s="312"/>
      <c r="H978" s="312"/>
      <c r="I978" s="312"/>
      <c r="J978" s="312"/>
      <c r="K978" s="312"/>
      <c r="L978" s="312"/>
      <c r="M978" s="312"/>
      <c r="N978" s="312"/>
      <c r="O978" s="312"/>
      <c r="P978" s="312"/>
      <c r="Q978" s="312"/>
      <c r="R978" s="312"/>
      <c r="S978" s="312"/>
      <c r="T978" s="312"/>
      <c r="U978" s="312"/>
      <c r="V978" s="312"/>
      <c r="W978" s="312"/>
      <c r="X978" s="312"/>
      <c r="Y978" s="312"/>
      <c r="Z978" s="312"/>
      <c r="AA978" s="312"/>
      <c r="AB978" s="312"/>
      <c r="AC978" s="312"/>
      <c r="AD978" s="312"/>
      <c r="AE978" s="312"/>
      <c r="AF978" s="312"/>
      <c r="AG978" s="312"/>
      <c r="AH978" s="312"/>
      <c r="AI978" s="312"/>
      <c r="AJ978" s="312"/>
      <c r="AK978" s="312"/>
      <c r="AL978" s="312"/>
      <c r="AM978" s="312"/>
      <c r="AN978" s="312"/>
      <c r="AO978" s="312"/>
      <c r="AP978" s="312"/>
      <c r="AQ978" s="312"/>
      <c r="AR978" s="312"/>
      <c r="AS978" s="312"/>
      <c r="AT978" s="312"/>
    </row>
    <row r="979" ht="15.75" customHeight="1">
      <c r="A979" s="318"/>
      <c r="B979" s="312"/>
      <c r="C979" s="312"/>
      <c r="D979" s="312"/>
      <c r="E979" s="312"/>
      <c r="F979" s="312"/>
      <c r="G979" s="312"/>
      <c r="H979" s="312"/>
      <c r="I979" s="312"/>
      <c r="J979" s="312"/>
      <c r="K979" s="312"/>
      <c r="L979" s="312"/>
      <c r="M979" s="312"/>
      <c r="N979" s="312"/>
      <c r="O979" s="312"/>
      <c r="P979" s="312"/>
      <c r="Q979" s="312"/>
      <c r="R979" s="312"/>
      <c r="S979" s="312"/>
      <c r="T979" s="312"/>
      <c r="U979" s="312"/>
      <c r="V979" s="312"/>
      <c r="W979" s="312"/>
      <c r="X979" s="312"/>
      <c r="Y979" s="312"/>
      <c r="Z979" s="312"/>
      <c r="AA979" s="312"/>
      <c r="AB979" s="312"/>
      <c r="AC979" s="312"/>
      <c r="AD979" s="312"/>
      <c r="AE979" s="312"/>
      <c r="AF979" s="312"/>
      <c r="AG979" s="312"/>
      <c r="AH979" s="312"/>
      <c r="AI979" s="312"/>
      <c r="AJ979" s="312"/>
      <c r="AK979" s="312"/>
      <c r="AL979" s="312"/>
      <c r="AM979" s="312"/>
      <c r="AN979" s="312"/>
      <c r="AO979" s="312"/>
      <c r="AP979" s="312"/>
      <c r="AQ979" s="312"/>
      <c r="AR979" s="312"/>
      <c r="AS979" s="312"/>
      <c r="AT979" s="312"/>
    </row>
    <row r="980" ht="15.75" customHeight="1">
      <c r="A980" s="318"/>
      <c r="B980" s="312"/>
      <c r="C980" s="312"/>
      <c r="D980" s="312"/>
      <c r="E980" s="312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  <c r="AP980" s="312"/>
      <c r="AQ980" s="312"/>
      <c r="AR980" s="312"/>
      <c r="AS980" s="312"/>
      <c r="AT980" s="312"/>
    </row>
    <row r="981" ht="15.75" customHeight="1">
      <c r="A981" s="318"/>
      <c r="B981" s="312"/>
      <c r="C981" s="312"/>
      <c r="D981" s="312"/>
      <c r="E981" s="312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  <c r="AP981" s="312"/>
      <c r="AQ981" s="312"/>
      <c r="AR981" s="312"/>
      <c r="AS981" s="312"/>
      <c r="AT981" s="312"/>
    </row>
    <row r="982" ht="15.75" customHeight="1">
      <c r="A982" s="318"/>
      <c r="B982" s="312"/>
      <c r="C982" s="312"/>
      <c r="D982" s="312"/>
      <c r="E982" s="312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  <c r="AP982" s="312"/>
      <c r="AQ982" s="312"/>
      <c r="AR982" s="312"/>
      <c r="AS982" s="312"/>
      <c r="AT982" s="312"/>
    </row>
    <row r="983" ht="15.75" customHeight="1">
      <c r="A983" s="318"/>
      <c r="B983" s="312"/>
      <c r="C983" s="312"/>
      <c r="D983" s="312"/>
      <c r="E983" s="312"/>
      <c r="F983" s="312"/>
      <c r="G983" s="312"/>
      <c r="H983" s="312"/>
      <c r="I983" s="312"/>
      <c r="J983" s="312"/>
      <c r="K983" s="312"/>
      <c r="L983" s="312"/>
      <c r="M983" s="312"/>
      <c r="N983" s="312"/>
      <c r="O983" s="312"/>
      <c r="P983" s="312"/>
      <c r="Q983" s="312"/>
      <c r="R983" s="312"/>
      <c r="S983" s="312"/>
      <c r="T983" s="312"/>
      <c r="U983" s="312"/>
      <c r="V983" s="312"/>
      <c r="W983" s="312"/>
      <c r="X983" s="312"/>
      <c r="Y983" s="312"/>
      <c r="Z983" s="312"/>
      <c r="AA983" s="312"/>
      <c r="AB983" s="312"/>
      <c r="AC983" s="312"/>
      <c r="AD983" s="312"/>
      <c r="AE983" s="312"/>
      <c r="AF983" s="312"/>
      <c r="AG983" s="312"/>
      <c r="AH983" s="312"/>
      <c r="AI983" s="312"/>
      <c r="AJ983" s="312"/>
      <c r="AK983" s="312"/>
      <c r="AL983" s="312"/>
      <c r="AM983" s="312"/>
      <c r="AN983" s="312"/>
      <c r="AO983" s="312"/>
      <c r="AP983" s="312"/>
      <c r="AQ983" s="312"/>
      <c r="AR983" s="312"/>
      <c r="AS983" s="312"/>
      <c r="AT983" s="312"/>
    </row>
    <row r="984" ht="15.75" customHeight="1">
      <c r="A984" s="318"/>
      <c r="B984" s="312"/>
      <c r="C984" s="312"/>
      <c r="D984" s="312"/>
      <c r="E984" s="312"/>
      <c r="F984" s="312"/>
      <c r="G984" s="312"/>
      <c r="H984" s="312"/>
      <c r="I984" s="312"/>
      <c r="J984" s="312"/>
      <c r="K984" s="312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12"/>
      <c r="AJ984" s="312"/>
      <c r="AK984" s="312"/>
      <c r="AL984" s="312"/>
      <c r="AM984" s="312"/>
      <c r="AN984" s="312"/>
      <c r="AO984" s="312"/>
      <c r="AP984" s="312"/>
      <c r="AQ984" s="312"/>
      <c r="AR984" s="312"/>
      <c r="AS984" s="312"/>
      <c r="AT984" s="312"/>
    </row>
    <row r="985" ht="15.75" customHeight="1">
      <c r="A985" s="318"/>
      <c r="B985" s="312"/>
      <c r="C985" s="312"/>
      <c r="D985" s="312"/>
      <c r="E985" s="312"/>
      <c r="F985" s="312"/>
      <c r="G985" s="312"/>
      <c r="H985" s="312"/>
      <c r="I985" s="312"/>
      <c r="J985" s="312"/>
      <c r="K985" s="312"/>
      <c r="L985" s="312"/>
      <c r="M985" s="312"/>
      <c r="N985" s="312"/>
      <c r="O985" s="312"/>
      <c r="P985" s="312"/>
      <c r="Q985" s="312"/>
      <c r="R985" s="312"/>
      <c r="S985" s="312"/>
      <c r="T985" s="312"/>
      <c r="U985" s="312"/>
      <c r="V985" s="312"/>
      <c r="W985" s="312"/>
      <c r="X985" s="312"/>
      <c r="Y985" s="312"/>
      <c r="Z985" s="312"/>
      <c r="AA985" s="312"/>
      <c r="AB985" s="312"/>
      <c r="AC985" s="312"/>
      <c r="AD985" s="312"/>
      <c r="AE985" s="312"/>
      <c r="AF985" s="312"/>
      <c r="AG985" s="312"/>
      <c r="AH985" s="312"/>
      <c r="AI985" s="312"/>
      <c r="AJ985" s="312"/>
      <c r="AK985" s="312"/>
      <c r="AL985" s="312"/>
      <c r="AM985" s="312"/>
      <c r="AN985" s="312"/>
      <c r="AO985" s="312"/>
      <c r="AP985" s="312"/>
      <c r="AQ985" s="312"/>
      <c r="AR985" s="312"/>
      <c r="AS985" s="312"/>
      <c r="AT985" s="312"/>
    </row>
    <row r="986" ht="15.75" customHeight="1">
      <c r="A986" s="318"/>
      <c r="B986" s="312"/>
      <c r="C986" s="312"/>
      <c r="D986" s="312"/>
      <c r="E986" s="312"/>
      <c r="F986" s="312"/>
      <c r="G986" s="312"/>
      <c r="H986" s="312"/>
      <c r="I986" s="312"/>
      <c r="J986" s="312"/>
      <c r="K986" s="312"/>
      <c r="L986" s="312"/>
      <c r="M986" s="312"/>
      <c r="N986" s="312"/>
      <c r="O986" s="312"/>
      <c r="P986" s="312"/>
      <c r="Q986" s="312"/>
      <c r="R986" s="312"/>
      <c r="S986" s="312"/>
      <c r="T986" s="312"/>
      <c r="U986" s="312"/>
      <c r="V986" s="312"/>
      <c r="W986" s="312"/>
      <c r="X986" s="312"/>
      <c r="Y986" s="312"/>
      <c r="Z986" s="312"/>
      <c r="AA986" s="312"/>
      <c r="AB986" s="312"/>
      <c r="AC986" s="312"/>
      <c r="AD986" s="312"/>
      <c r="AE986" s="312"/>
      <c r="AF986" s="312"/>
      <c r="AG986" s="312"/>
      <c r="AH986" s="312"/>
      <c r="AI986" s="312"/>
      <c r="AJ986" s="312"/>
      <c r="AK986" s="312"/>
      <c r="AL986" s="312"/>
      <c r="AM986" s="312"/>
      <c r="AN986" s="312"/>
      <c r="AO986" s="312"/>
      <c r="AP986" s="312"/>
      <c r="AQ986" s="312"/>
      <c r="AR986" s="312"/>
      <c r="AS986" s="312"/>
      <c r="AT986" s="312"/>
    </row>
    <row r="987" ht="15.75" customHeight="1">
      <c r="A987" s="318"/>
      <c r="B987" s="312"/>
      <c r="C987" s="312"/>
      <c r="D987" s="312"/>
      <c r="E987" s="312"/>
      <c r="F987" s="312"/>
      <c r="G987" s="312"/>
      <c r="H987" s="312"/>
      <c r="I987" s="312"/>
      <c r="J987" s="312"/>
      <c r="K987" s="312"/>
      <c r="L987" s="312"/>
      <c r="M987" s="312"/>
      <c r="N987" s="312"/>
      <c r="O987" s="312"/>
      <c r="P987" s="312"/>
      <c r="Q987" s="312"/>
      <c r="R987" s="312"/>
      <c r="S987" s="312"/>
      <c r="T987" s="312"/>
      <c r="U987" s="312"/>
      <c r="V987" s="312"/>
      <c r="W987" s="312"/>
      <c r="X987" s="312"/>
      <c r="Y987" s="312"/>
      <c r="Z987" s="312"/>
      <c r="AA987" s="312"/>
      <c r="AB987" s="312"/>
      <c r="AC987" s="312"/>
      <c r="AD987" s="312"/>
      <c r="AE987" s="312"/>
      <c r="AF987" s="312"/>
      <c r="AG987" s="312"/>
      <c r="AH987" s="312"/>
      <c r="AI987" s="312"/>
      <c r="AJ987" s="312"/>
      <c r="AK987" s="312"/>
      <c r="AL987" s="312"/>
      <c r="AM987" s="312"/>
      <c r="AN987" s="312"/>
      <c r="AO987" s="312"/>
      <c r="AP987" s="312"/>
      <c r="AQ987" s="312"/>
      <c r="AR987" s="312"/>
      <c r="AS987" s="312"/>
      <c r="AT987" s="312"/>
    </row>
    <row r="988" ht="15.75" customHeight="1">
      <c r="A988" s="318"/>
      <c r="B988" s="312"/>
      <c r="C988" s="312"/>
      <c r="D988" s="312"/>
      <c r="E988" s="312"/>
      <c r="F988" s="312"/>
      <c r="G988" s="312"/>
      <c r="H988" s="312"/>
      <c r="I988" s="312"/>
      <c r="J988" s="312"/>
      <c r="K988" s="312"/>
      <c r="L988" s="312"/>
      <c r="M988" s="312"/>
      <c r="N988" s="312"/>
      <c r="O988" s="312"/>
      <c r="P988" s="312"/>
      <c r="Q988" s="312"/>
      <c r="R988" s="312"/>
      <c r="S988" s="312"/>
      <c r="T988" s="312"/>
      <c r="U988" s="312"/>
      <c r="V988" s="312"/>
      <c r="W988" s="312"/>
      <c r="X988" s="312"/>
      <c r="Y988" s="312"/>
      <c r="Z988" s="312"/>
      <c r="AA988" s="312"/>
      <c r="AB988" s="312"/>
      <c r="AC988" s="312"/>
      <c r="AD988" s="312"/>
      <c r="AE988" s="312"/>
      <c r="AF988" s="312"/>
      <c r="AG988" s="312"/>
      <c r="AH988" s="312"/>
      <c r="AI988" s="312"/>
      <c r="AJ988" s="312"/>
      <c r="AK988" s="312"/>
      <c r="AL988" s="312"/>
      <c r="AM988" s="312"/>
      <c r="AN988" s="312"/>
      <c r="AO988" s="312"/>
      <c r="AP988" s="312"/>
      <c r="AQ988" s="312"/>
      <c r="AR988" s="312"/>
      <c r="AS988" s="312"/>
      <c r="AT988" s="312"/>
    </row>
    <row r="989" ht="15.75" customHeight="1">
      <c r="A989" s="318"/>
      <c r="B989" s="312"/>
      <c r="C989" s="312"/>
      <c r="D989" s="312"/>
      <c r="E989" s="312"/>
      <c r="F989" s="312"/>
      <c r="G989" s="312"/>
      <c r="H989" s="312"/>
      <c r="I989" s="312"/>
      <c r="J989" s="312"/>
      <c r="K989" s="312"/>
      <c r="L989" s="312"/>
      <c r="M989" s="312"/>
      <c r="N989" s="312"/>
      <c r="O989" s="312"/>
      <c r="P989" s="312"/>
      <c r="Q989" s="312"/>
      <c r="R989" s="312"/>
      <c r="S989" s="312"/>
      <c r="T989" s="312"/>
      <c r="U989" s="312"/>
      <c r="V989" s="312"/>
      <c r="W989" s="312"/>
      <c r="X989" s="312"/>
      <c r="Y989" s="312"/>
      <c r="Z989" s="312"/>
      <c r="AA989" s="312"/>
      <c r="AB989" s="312"/>
      <c r="AC989" s="312"/>
      <c r="AD989" s="312"/>
      <c r="AE989" s="312"/>
      <c r="AF989" s="312"/>
      <c r="AG989" s="312"/>
      <c r="AH989" s="312"/>
      <c r="AI989" s="312"/>
      <c r="AJ989" s="312"/>
      <c r="AK989" s="312"/>
      <c r="AL989" s="312"/>
      <c r="AM989" s="312"/>
      <c r="AN989" s="312"/>
      <c r="AO989" s="312"/>
      <c r="AP989" s="312"/>
      <c r="AQ989" s="312"/>
      <c r="AR989" s="312"/>
      <c r="AS989" s="312"/>
      <c r="AT989" s="312"/>
    </row>
  </sheetData>
  <mergeCells count="6431">
    <mergeCell ref="AL3:AM3"/>
    <mergeCell ref="AN3:AO3"/>
    <mergeCell ref="A1:E1"/>
    <mergeCell ref="F1:M1"/>
    <mergeCell ref="N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37" width="3.67"/>
    <col customWidth="1" min="38" max="38" width="10.78"/>
    <col customWidth="1" min="39" max="39" width="12.33"/>
    <col customWidth="1" min="40" max="40" width="8.0"/>
    <col customWidth="1" min="41" max="41" width="11.44"/>
    <col customWidth="1" min="42" max="42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3"/>
      <c r="N1" s="5" t="s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6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  <c r="AL1" s="7" t="s">
        <v>4</v>
      </c>
      <c r="AM1" s="8"/>
      <c r="AN1" s="8"/>
      <c r="AO1" s="8"/>
      <c r="AP1" s="9"/>
    </row>
    <row r="2" ht="132.75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2" t="s">
        <v>10</v>
      </c>
      <c r="G2" s="13">
        <f>31.86+1</f>
        <v>32.86</v>
      </c>
      <c r="H2" s="14" t="s">
        <v>11</v>
      </c>
      <c r="I2" s="13">
        <f>35.3+1</f>
        <v>36.3</v>
      </c>
      <c r="J2" s="14" t="s">
        <v>12</v>
      </c>
      <c r="K2" s="13">
        <f>35.3+1</f>
        <v>36.3</v>
      </c>
      <c r="L2" s="15" t="s">
        <v>13</v>
      </c>
      <c r="M2" s="13">
        <v>0.0</v>
      </c>
      <c r="N2" s="14" t="s">
        <v>10</v>
      </c>
      <c r="O2" s="13">
        <f>15.3 + 1</f>
        <v>16.3</v>
      </c>
      <c r="P2" s="14" t="s">
        <v>11</v>
      </c>
      <c r="Q2" s="13">
        <f>18.74+1</f>
        <v>19.74</v>
      </c>
      <c r="R2" s="14" t="s">
        <v>12</v>
      </c>
      <c r="S2" s="13">
        <f>18.74+1</f>
        <v>19.74</v>
      </c>
      <c r="T2" s="15" t="s">
        <v>14</v>
      </c>
      <c r="U2" s="13">
        <f>18.74+1</f>
        <v>19.74</v>
      </c>
      <c r="V2" s="16" t="s">
        <v>15</v>
      </c>
      <c r="W2" s="16">
        <v>0.0</v>
      </c>
      <c r="X2" s="16" t="s">
        <v>15</v>
      </c>
      <c r="Y2" s="16">
        <v>0.0</v>
      </c>
      <c r="Z2" s="16" t="s">
        <v>15</v>
      </c>
      <c r="AA2" s="16">
        <v>0.0</v>
      </c>
      <c r="AB2" s="16" t="s">
        <v>15</v>
      </c>
      <c r="AC2" s="16">
        <v>0.0</v>
      </c>
      <c r="AD2" s="16" t="s">
        <v>15</v>
      </c>
      <c r="AE2" s="16">
        <v>0.0</v>
      </c>
      <c r="AF2" s="16" t="s">
        <v>15</v>
      </c>
      <c r="AG2" s="16">
        <v>0.0</v>
      </c>
      <c r="AH2" s="16" t="s">
        <v>15</v>
      </c>
      <c r="AI2" s="16">
        <v>0.0</v>
      </c>
      <c r="AJ2" s="16" t="s">
        <v>15</v>
      </c>
      <c r="AK2" s="16">
        <v>0.0</v>
      </c>
      <c r="AL2" s="17" t="s">
        <v>16</v>
      </c>
      <c r="AM2" s="17" t="s">
        <v>17</v>
      </c>
      <c r="AN2" s="17" t="s">
        <v>18</v>
      </c>
      <c r="AO2" s="17" t="s">
        <v>19</v>
      </c>
      <c r="AP2" s="17" t="s">
        <v>20</v>
      </c>
    </row>
    <row r="3" ht="15.75" customHeight="1">
      <c r="A3" s="18" t="s">
        <v>21</v>
      </c>
      <c r="B3" s="19">
        <v>44928.0</v>
      </c>
      <c r="C3" s="20">
        <v>1.0</v>
      </c>
      <c r="D3" s="21" t="s">
        <v>22</v>
      </c>
      <c r="E3" s="22"/>
      <c r="F3" s="23"/>
      <c r="H3" s="24"/>
      <c r="J3" s="24"/>
      <c r="L3" s="24"/>
      <c r="N3" s="23"/>
      <c r="P3" s="24"/>
      <c r="R3" s="24"/>
      <c r="T3" s="24"/>
      <c r="V3" s="25"/>
      <c r="X3" s="25"/>
      <c r="Y3" s="26"/>
      <c r="Z3" s="27"/>
      <c r="AB3" s="25"/>
      <c r="AD3" s="25"/>
      <c r="AF3" s="25"/>
      <c r="AH3" s="25"/>
      <c r="AJ3" s="25"/>
      <c r="AK3" s="26"/>
      <c r="AL3" s="32">
        <f t="shared" ref="AL3:AL359" si="1">(F3*G$2)+(H3*I$2)+(J3*K$2)+(N3*O$2)+(P3*Q$2)+(R3*S$2)+(T3*U$2)+(V3*W$2)+(X3*Y$2)+(Z3*AA$2)+(AB3*AC$2)+(AD3*AE$2)+(AF3*AG$2)+(AH3*AI$2)+(AJ3*AK$2)</f>
        <v>0</v>
      </c>
      <c r="AM3" s="20">
        <f t="shared" ref="AM3:AM359" si="2">sum(F3,H3,J3,L3,N3,P3,R3)</f>
        <v>0</v>
      </c>
      <c r="AN3" s="20">
        <f t="shared" ref="AN3:AN359" si="3">0</f>
        <v>0</v>
      </c>
      <c r="AO3" s="20">
        <f t="shared" ref="AO3:AO359" si="4">sum(F3:AK3)</f>
        <v>0</v>
      </c>
      <c r="AP3" s="33" t="str">
        <f t="shared" ref="AP3:AP359" si="5">iferror(AL3/AO3,"")</f>
        <v/>
      </c>
    </row>
    <row r="4" ht="15.75" customHeight="1">
      <c r="A4" s="34" t="s">
        <v>23</v>
      </c>
      <c r="B4" s="35">
        <f t="shared" ref="B4:B359" si="6">B3+1</f>
        <v>44929</v>
      </c>
      <c r="C4" s="36">
        <v>1.0</v>
      </c>
      <c r="D4" s="37" t="s">
        <v>22</v>
      </c>
      <c r="E4" s="38"/>
      <c r="F4" s="23"/>
      <c r="H4" s="24"/>
      <c r="J4" s="24"/>
      <c r="L4" s="24"/>
      <c r="N4" s="23"/>
      <c r="P4" s="24"/>
      <c r="R4" s="24"/>
      <c r="T4" s="24"/>
      <c r="V4" s="25"/>
      <c r="X4" s="25"/>
      <c r="Y4" s="26"/>
      <c r="Z4" s="27"/>
      <c r="AB4" s="25"/>
      <c r="AD4" s="25"/>
      <c r="AF4" s="25"/>
      <c r="AH4" s="25"/>
      <c r="AJ4" s="25"/>
      <c r="AK4" s="26"/>
      <c r="AL4" s="39">
        <f t="shared" si="1"/>
        <v>0</v>
      </c>
      <c r="AM4" s="36">
        <f t="shared" si="2"/>
        <v>0</v>
      </c>
      <c r="AN4" s="36">
        <f t="shared" si="3"/>
        <v>0</v>
      </c>
      <c r="AO4" s="36">
        <f t="shared" si="4"/>
        <v>0</v>
      </c>
      <c r="AP4" s="40" t="str">
        <f t="shared" si="5"/>
        <v/>
      </c>
    </row>
    <row r="5" ht="15.75" customHeight="1">
      <c r="A5" s="34" t="s">
        <v>24</v>
      </c>
      <c r="B5" s="35">
        <f t="shared" si="6"/>
        <v>44930</v>
      </c>
      <c r="C5" s="36">
        <v>1.0</v>
      </c>
      <c r="D5" s="37" t="s">
        <v>22</v>
      </c>
      <c r="E5" s="38"/>
      <c r="F5" s="23"/>
      <c r="H5" s="24"/>
      <c r="J5" s="24"/>
      <c r="L5" s="24"/>
      <c r="N5" s="23"/>
      <c r="P5" s="24"/>
      <c r="R5" s="24"/>
      <c r="T5" s="24"/>
      <c r="V5" s="25"/>
      <c r="X5" s="25"/>
      <c r="Y5" s="26"/>
      <c r="Z5" s="27"/>
      <c r="AB5" s="25"/>
      <c r="AD5" s="25"/>
      <c r="AF5" s="25"/>
      <c r="AH5" s="25"/>
      <c r="AJ5" s="25"/>
      <c r="AK5" s="26"/>
      <c r="AL5" s="39">
        <f t="shared" si="1"/>
        <v>0</v>
      </c>
      <c r="AM5" s="36">
        <f t="shared" si="2"/>
        <v>0</v>
      </c>
      <c r="AN5" s="36">
        <f t="shared" si="3"/>
        <v>0</v>
      </c>
      <c r="AO5" s="36">
        <f t="shared" si="4"/>
        <v>0</v>
      </c>
      <c r="AP5" s="40" t="str">
        <f t="shared" si="5"/>
        <v/>
      </c>
    </row>
    <row r="6" ht="15.75" customHeight="1">
      <c r="A6" s="34" t="s">
        <v>25</v>
      </c>
      <c r="B6" s="35">
        <f t="shared" si="6"/>
        <v>44931</v>
      </c>
      <c r="C6" s="36">
        <v>1.0</v>
      </c>
      <c r="D6" s="37" t="s">
        <v>22</v>
      </c>
      <c r="E6" s="38"/>
      <c r="F6" s="23"/>
      <c r="H6" s="24"/>
      <c r="J6" s="24"/>
      <c r="L6" s="24"/>
      <c r="N6" s="23"/>
      <c r="P6" s="24"/>
      <c r="R6" s="24"/>
      <c r="T6" s="24"/>
      <c r="V6" s="25"/>
      <c r="X6" s="25"/>
      <c r="Y6" s="26"/>
      <c r="Z6" s="27"/>
      <c r="AB6" s="25"/>
      <c r="AD6" s="25"/>
      <c r="AF6" s="25"/>
      <c r="AH6" s="25"/>
      <c r="AJ6" s="25"/>
      <c r="AK6" s="26"/>
      <c r="AL6" s="39">
        <f t="shared" si="1"/>
        <v>0</v>
      </c>
      <c r="AM6" s="36">
        <f t="shared" si="2"/>
        <v>0</v>
      </c>
      <c r="AN6" s="36">
        <f t="shared" si="3"/>
        <v>0</v>
      </c>
      <c r="AO6" s="36">
        <f t="shared" si="4"/>
        <v>0</v>
      </c>
      <c r="AP6" s="40" t="str">
        <f t="shared" si="5"/>
        <v/>
      </c>
    </row>
    <row r="7" ht="15.75" customHeight="1">
      <c r="A7" s="34" t="s">
        <v>26</v>
      </c>
      <c r="B7" s="35">
        <f t="shared" si="6"/>
        <v>44932</v>
      </c>
      <c r="C7" s="36">
        <v>1.0</v>
      </c>
      <c r="D7" s="37" t="s">
        <v>22</v>
      </c>
      <c r="E7" s="38"/>
      <c r="F7" s="23"/>
      <c r="H7" s="24"/>
      <c r="J7" s="24"/>
      <c r="L7" s="24"/>
      <c r="N7" s="23"/>
      <c r="P7" s="24"/>
      <c r="R7" s="24"/>
      <c r="T7" s="24"/>
      <c r="V7" s="25"/>
      <c r="X7" s="25"/>
      <c r="Y7" s="26"/>
      <c r="Z7" s="27"/>
      <c r="AB7" s="25"/>
      <c r="AD7" s="25"/>
      <c r="AF7" s="25"/>
      <c r="AH7" s="25"/>
      <c r="AJ7" s="25"/>
      <c r="AK7" s="26"/>
      <c r="AL7" s="39">
        <f t="shared" si="1"/>
        <v>0</v>
      </c>
      <c r="AM7" s="36">
        <f t="shared" si="2"/>
        <v>0</v>
      </c>
      <c r="AN7" s="36">
        <f t="shared" si="3"/>
        <v>0</v>
      </c>
      <c r="AO7" s="36">
        <f t="shared" si="4"/>
        <v>0</v>
      </c>
      <c r="AP7" s="40" t="str">
        <f t="shared" si="5"/>
        <v/>
      </c>
    </row>
    <row r="8" ht="15.75" customHeight="1">
      <c r="A8" s="34" t="s">
        <v>27</v>
      </c>
      <c r="B8" s="35">
        <f t="shared" si="6"/>
        <v>44933</v>
      </c>
      <c r="C8" s="36">
        <v>1.0</v>
      </c>
      <c r="D8" s="37" t="s">
        <v>22</v>
      </c>
      <c r="E8" s="38"/>
      <c r="F8" s="23"/>
      <c r="H8" s="24"/>
      <c r="J8" s="24"/>
      <c r="L8" s="24"/>
      <c r="N8" s="23"/>
      <c r="P8" s="24"/>
      <c r="R8" s="24"/>
      <c r="T8" s="24"/>
      <c r="V8" s="25"/>
      <c r="X8" s="25"/>
      <c r="Y8" s="26"/>
      <c r="Z8" s="27"/>
      <c r="AB8" s="25"/>
      <c r="AD8" s="25"/>
      <c r="AF8" s="25"/>
      <c r="AH8" s="25"/>
      <c r="AJ8" s="25"/>
      <c r="AK8" s="26"/>
      <c r="AL8" s="39">
        <f t="shared" si="1"/>
        <v>0</v>
      </c>
      <c r="AM8" s="36">
        <f t="shared" si="2"/>
        <v>0</v>
      </c>
      <c r="AN8" s="36">
        <f t="shared" si="3"/>
        <v>0</v>
      </c>
      <c r="AO8" s="36">
        <f t="shared" si="4"/>
        <v>0</v>
      </c>
      <c r="AP8" s="40" t="str">
        <f t="shared" si="5"/>
        <v/>
      </c>
    </row>
    <row r="9" ht="15.75" customHeight="1">
      <c r="A9" s="46" t="s">
        <v>28</v>
      </c>
      <c r="B9" s="47">
        <f t="shared" si="6"/>
        <v>44934</v>
      </c>
      <c r="C9" s="49">
        <v>1.0</v>
      </c>
      <c r="D9" s="50" t="s">
        <v>22</v>
      </c>
      <c r="E9" s="52"/>
      <c r="F9" s="23"/>
      <c r="H9" s="24"/>
      <c r="J9" s="24"/>
      <c r="L9" s="24"/>
      <c r="N9" s="53"/>
      <c r="O9" s="55"/>
      <c r="P9" s="56"/>
      <c r="Q9" s="55"/>
      <c r="R9" s="56"/>
      <c r="S9" s="55"/>
      <c r="T9" s="56"/>
      <c r="U9" s="55"/>
      <c r="V9" s="57"/>
      <c r="W9" s="55"/>
      <c r="X9" s="57"/>
      <c r="Y9" s="58"/>
      <c r="Z9" s="59"/>
      <c r="AA9" s="55"/>
      <c r="AB9" s="57"/>
      <c r="AC9" s="55"/>
      <c r="AD9" s="57"/>
      <c r="AE9" s="55"/>
      <c r="AF9" s="57"/>
      <c r="AG9" s="55"/>
      <c r="AH9" s="57"/>
      <c r="AI9" s="55"/>
      <c r="AJ9" s="57"/>
      <c r="AK9" s="58"/>
      <c r="AL9" s="64">
        <f t="shared" si="1"/>
        <v>0</v>
      </c>
      <c r="AM9" s="49">
        <f t="shared" si="2"/>
        <v>0</v>
      </c>
      <c r="AN9" s="49">
        <f t="shared" si="3"/>
        <v>0</v>
      </c>
      <c r="AO9" s="49">
        <f t="shared" si="4"/>
        <v>0</v>
      </c>
      <c r="AP9" s="66" t="str">
        <f t="shared" si="5"/>
        <v/>
      </c>
    </row>
    <row r="10" ht="15.75" customHeight="1">
      <c r="A10" s="18" t="s">
        <v>21</v>
      </c>
      <c r="B10" s="68">
        <f t="shared" si="6"/>
        <v>44935</v>
      </c>
      <c r="C10" s="20">
        <v>1.0</v>
      </c>
      <c r="D10" s="20" t="s">
        <v>34</v>
      </c>
      <c r="E10" s="22"/>
      <c r="F10" s="70"/>
      <c r="G10" s="71"/>
      <c r="H10" s="72"/>
      <c r="I10" s="71"/>
      <c r="J10" s="72"/>
      <c r="K10" s="71"/>
      <c r="L10" s="72"/>
      <c r="M10" s="73"/>
      <c r="N10" s="23"/>
      <c r="P10" s="24"/>
      <c r="R10" s="24"/>
      <c r="T10" s="24"/>
      <c r="V10" s="25"/>
      <c r="X10" s="25"/>
      <c r="Y10" s="26"/>
      <c r="Z10" s="27"/>
      <c r="AB10" s="25"/>
      <c r="AD10" s="25"/>
      <c r="AF10" s="25"/>
      <c r="AH10" s="25"/>
      <c r="AJ10" s="25"/>
      <c r="AK10" s="26"/>
      <c r="AL10" s="32">
        <f t="shared" si="1"/>
        <v>0</v>
      </c>
      <c r="AM10" s="20">
        <f t="shared" si="2"/>
        <v>0</v>
      </c>
      <c r="AN10" s="20">
        <f t="shared" si="3"/>
        <v>0</v>
      </c>
      <c r="AO10" s="20">
        <f t="shared" si="4"/>
        <v>0</v>
      </c>
      <c r="AP10" s="33" t="str">
        <f t="shared" si="5"/>
        <v/>
      </c>
    </row>
    <row r="11" ht="15.75" customHeight="1">
      <c r="A11" s="34" t="s">
        <v>23</v>
      </c>
      <c r="B11" s="35">
        <f t="shared" si="6"/>
        <v>44936</v>
      </c>
      <c r="C11" s="36">
        <v>1.0</v>
      </c>
      <c r="D11" s="36" t="s">
        <v>34</v>
      </c>
      <c r="E11" s="38"/>
      <c r="F11" s="23"/>
      <c r="H11" s="24"/>
      <c r="J11" s="24"/>
      <c r="L11" s="24"/>
      <c r="M11" s="26"/>
      <c r="N11" s="23"/>
      <c r="P11" s="24"/>
      <c r="R11" s="24"/>
      <c r="T11" s="24"/>
      <c r="V11" s="25"/>
      <c r="X11" s="25"/>
      <c r="Y11" s="26"/>
      <c r="Z11" s="27"/>
      <c r="AB11" s="25"/>
      <c r="AD11" s="25"/>
      <c r="AF11" s="25"/>
      <c r="AH11" s="25"/>
      <c r="AJ11" s="25"/>
      <c r="AK11" s="26"/>
      <c r="AL11" s="39">
        <f t="shared" si="1"/>
        <v>0</v>
      </c>
      <c r="AM11" s="36">
        <f t="shared" si="2"/>
        <v>0</v>
      </c>
      <c r="AN11" s="36">
        <f t="shared" si="3"/>
        <v>0</v>
      </c>
      <c r="AO11" s="36">
        <f t="shared" si="4"/>
        <v>0</v>
      </c>
      <c r="AP11" s="40" t="str">
        <f t="shared" si="5"/>
        <v/>
      </c>
    </row>
    <row r="12" ht="15.75" customHeight="1">
      <c r="A12" s="34" t="s">
        <v>24</v>
      </c>
      <c r="B12" s="35">
        <f t="shared" si="6"/>
        <v>44937</v>
      </c>
      <c r="C12" s="36">
        <v>1.0</v>
      </c>
      <c r="D12" s="36" t="s">
        <v>34</v>
      </c>
      <c r="E12" s="38"/>
      <c r="F12" s="23"/>
      <c r="H12" s="24"/>
      <c r="J12" s="24"/>
      <c r="L12" s="24"/>
      <c r="M12" s="26"/>
      <c r="N12" s="23"/>
      <c r="P12" s="24"/>
      <c r="R12" s="24"/>
      <c r="T12" s="24"/>
      <c r="V12" s="25"/>
      <c r="X12" s="25"/>
      <c r="Y12" s="26"/>
      <c r="Z12" s="27"/>
      <c r="AB12" s="25"/>
      <c r="AD12" s="25"/>
      <c r="AF12" s="25"/>
      <c r="AH12" s="25"/>
      <c r="AJ12" s="25"/>
      <c r="AK12" s="26"/>
      <c r="AL12" s="39">
        <f t="shared" si="1"/>
        <v>0</v>
      </c>
      <c r="AM12" s="36">
        <f t="shared" si="2"/>
        <v>0</v>
      </c>
      <c r="AN12" s="36">
        <f t="shared" si="3"/>
        <v>0</v>
      </c>
      <c r="AO12" s="36">
        <f t="shared" si="4"/>
        <v>0</v>
      </c>
      <c r="AP12" s="40" t="str">
        <f t="shared" si="5"/>
        <v/>
      </c>
    </row>
    <row r="13" ht="15.75" customHeight="1">
      <c r="A13" s="34" t="s">
        <v>25</v>
      </c>
      <c r="B13" s="35">
        <f t="shared" si="6"/>
        <v>44938</v>
      </c>
      <c r="C13" s="36">
        <v>1.0</v>
      </c>
      <c r="D13" s="36" t="s">
        <v>34</v>
      </c>
      <c r="E13" s="38"/>
      <c r="F13" s="23"/>
      <c r="H13" s="24"/>
      <c r="J13" s="24"/>
      <c r="L13" s="24"/>
      <c r="M13" s="26"/>
      <c r="N13" s="23"/>
      <c r="P13" s="24"/>
      <c r="R13" s="24"/>
      <c r="T13" s="24"/>
      <c r="V13" s="25"/>
      <c r="X13" s="25"/>
      <c r="Y13" s="26"/>
      <c r="Z13" s="27"/>
      <c r="AB13" s="25"/>
      <c r="AD13" s="25"/>
      <c r="AF13" s="25"/>
      <c r="AH13" s="25"/>
      <c r="AJ13" s="25"/>
      <c r="AK13" s="26"/>
      <c r="AL13" s="39">
        <f t="shared" si="1"/>
        <v>0</v>
      </c>
      <c r="AM13" s="36">
        <f t="shared" si="2"/>
        <v>0</v>
      </c>
      <c r="AN13" s="36">
        <f t="shared" si="3"/>
        <v>0</v>
      </c>
      <c r="AO13" s="36">
        <f t="shared" si="4"/>
        <v>0</v>
      </c>
      <c r="AP13" s="40" t="str">
        <f t="shared" si="5"/>
        <v/>
      </c>
    </row>
    <row r="14" ht="15.75" customHeight="1">
      <c r="A14" s="34" t="s">
        <v>26</v>
      </c>
      <c r="B14" s="35">
        <f t="shared" si="6"/>
        <v>44939</v>
      </c>
      <c r="C14" s="36">
        <v>1.0</v>
      </c>
      <c r="D14" s="36" t="s">
        <v>34</v>
      </c>
      <c r="E14" s="38"/>
      <c r="F14" s="23"/>
      <c r="H14" s="24"/>
      <c r="J14" s="24"/>
      <c r="L14" s="24"/>
      <c r="M14" s="26"/>
      <c r="N14" s="23"/>
      <c r="P14" s="24"/>
      <c r="R14" s="24"/>
      <c r="T14" s="24"/>
      <c r="V14" s="25"/>
      <c r="X14" s="25"/>
      <c r="Y14" s="26"/>
      <c r="Z14" s="27"/>
      <c r="AB14" s="25"/>
      <c r="AD14" s="25"/>
      <c r="AF14" s="25"/>
      <c r="AH14" s="25"/>
      <c r="AJ14" s="25"/>
      <c r="AK14" s="26"/>
      <c r="AL14" s="39">
        <f t="shared" si="1"/>
        <v>0</v>
      </c>
      <c r="AM14" s="36">
        <f t="shared" si="2"/>
        <v>0</v>
      </c>
      <c r="AN14" s="36">
        <f t="shared" si="3"/>
        <v>0</v>
      </c>
      <c r="AO14" s="36">
        <f t="shared" si="4"/>
        <v>0</v>
      </c>
      <c r="AP14" s="40" t="str">
        <f t="shared" si="5"/>
        <v/>
      </c>
    </row>
    <row r="15" ht="15.75" customHeight="1">
      <c r="A15" s="34" t="s">
        <v>27</v>
      </c>
      <c r="B15" s="35">
        <f t="shared" si="6"/>
        <v>44940</v>
      </c>
      <c r="C15" s="36">
        <v>1.0</v>
      </c>
      <c r="D15" s="36" t="s">
        <v>34</v>
      </c>
      <c r="E15" s="38"/>
      <c r="F15" s="23"/>
      <c r="H15" s="24"/>
      <c r="J15" s="24"/>
      <c r="L15" s="24"/>
      <c r="M15" s="26"/>
      <c r="N15" s="23"/>
      <c r="P15" s="24"/>
      <c r="R15" s="24"/>
      <c r="T15" s="24"/>
      <c r="V15" s="25"/>
      <c r="X15" s="25"/>
      <c r="Y15" s="26"/>
      <c r="Z15" s="27"/>
      <c r="AB15" s="25"/>
      <c r="AD15" s="25"/>
      <c r="AF15" s="25"/>
      <c r="AH15" s="25"/>
      <c r="AJ15" s="25"/>
      <c r="AK15" s="26"/>
      <c r="AL15" s="39">
        <f t="shared" si="1"/>
        <v>0</v>
      </c>
      <c r="AM15" s="36">
        <f t="shared" si="2"/>
        <v>0</v>
      </c>
      <c r="AN15" s="36">
        <f t="shared" si="3"/>
        <v>0</v>
      </c>
      <c r="AO15" s="36">
        <f t="shared" si="4"/>
        <v>0</v>
      </c>
      <c r="AP15" s="40" t="str">
        <f t="shared" si="5"/>
        <v/>
      </c>
    </row>
    <row r="16" ht="15.75" customHeight="1">
      <c r="A16" s="46" t="s">
        <v>28</v>
      </c>
      <c r="B16" s="47">
        <f t="shared" si="6"/>
        <v>44941</v>
      </c>
      <c r="C16" s="49">
        <v>1.0</v>
      </c>
      <c r="D16" s="49" t="s">
        <v>34</v>
      </c>
      <c r="E16" s="52"/>
      <c r="F16" s="53"/>
      <c r="G16" s="55"/>
      <c r="H16" s="56"/>
      <c r="I16" s="55"/>
      <c r="J16" s="56"/>
      <c r="K16" s="55"/>
      <c r="L16" s="56"/>
      <c r="M16" s="58"/>
      <c r="N16" s="53"/>
      <c r="O16" s="55"/>
      <c r="P16" s="56"/>
      <c r="Q16" s="55"/>
      <c r="R16" s="56"/>
      <c r="S16" s="55"/>
      <c r="T16" s="56"/>
      <c r="U16" s="55"/>
      <c r="V16" s="57"/>
      <c r="W16" s="55"/>
      <c r="X16" s="57"/>
      <c r="Y16" s="58"/>
      <c r="Z16" s="59"/>
      <c r="AA16" s="55"/>
      <c r="AB16" s="57"/>
      <c r="AC16" s="55"/>
      <c r="AD16" s="57"/>
      <c r="AE16" s="55"/>
      <c r="AF16" s="57"/>
      <c r="AG16" s="55"/>
      <c r="AH16" s="57"/>
      <c r="AI16" s="55"/>
      <c r="AJ16" s="57"/>
      <c r="AK16" s="58"/>
      <c r="AL16" s="64">
        <f t="shared" si="1"/>
        <v>0</v>
      </c>
      <c r="AM16" s="49">
        <f t="shared" si="2"/>
        <v>0</v>
      </c>
      <c r="AN16" s="49">
        <f t="shared" si="3"/>
        <v>0</v>
      </c>
      <c r="AO16" s="49">
        <f t="shared" si="4"/>
        <v>0</v>
      </c>
      <c r="AP16" s="66" t="str">
        <f t="shared" si="5"/>
        <v/>
      </c>
    </row>
    <row r="17" ht="15.75" customHeight="1">
      <c r="A17" s="18" t="s">
        <v>21</v>
      </c>
      <c r="B17" s="68">
        <f t="shared" si="6"/>
        <v>44942</v>
      </c>
      <c r="C17" s="20">
        <v>1.0</v>
      </c>
      <c r="D17" s="20" t="s">
        <v>36</v>
      </c>
      <c r="E17" s="22"/>
      <c r="F17" s="23"/>
      <c r="H17" s="24"/>
      <c r="J17" s="24"/>
      <c r="L17" s="24"/>
      <c r="N17" s="23"/>
      <c r="P17" s="24"/>
      <c r="R17" s="24"/>
      <c r="T17" s="24"/>
      <c r="V17" s="25"/>
      <c r="X17" s="25"/>
      <c r="Y17" s="26"/>
      <c r="Z17" s="27"/>
      <c r="AB17" s="25"/>
      <c r="AD17" s="25"/>
      <c r="AF17" s="25"/>
      <c r="AH17" s="25"/>
      <c r="AJ17" s="25"/>
      <c r="AK17" s="26"/>
      <c r="AL17" s="32">
        <f t="shared" si="1"/>
        <v>0</v>
      </c>
      <c r="AM17" s="20">
        <f t="shared" si="2"/>
        <v>0</v>
      </c>
      <c r="AN17" s="20">
        <f t="shared" si="3"/>
        <v>0</v>
      </c>
      <c r="AO17" s="20">
        <f t="shared" si="4"/>
        <v>0</v>
      </c>
      <c r="AP17" s="33" t="str">
        <f t="shared" si="5"/>
        <v/>
      </c>
    </row>
    <row r="18" ht="15.75" customHeight="1">
      <c r="A18" s="34" t="s">
        <v>23</v>
      </c>
      <c r="B18" s="35">
        <f t="shared" si="6"/>
        <v>44943</v>
      </c>
      <c r="C18" s="36">
        <v>1.0</v>
      </c>
      <c r="D18" s="36" t="s">
        <v>36</v>
      </c>
      <c r="E18" s="38"/>
      <c r="F18" s="23"/>
      <c r="H18" s="24"/>
      <c r="J18" s="24"/>
      <c r="L18" s="24"/>
      <c r="N18" s="23"/>
      <c r="P18" s="24"/>
      <c r="R18" s="24"/>
      <c r="T18" s="24"/>
      <c r="V18" s="25"/>
      <c r="X18" s="25"/>
      <c r="Y18" s="26"/>
      <c r="Z18" s="27"/>
      <c r="AB18" s="25"/>
      <c r="AD18" s="25"/>
      <c r="AF18" s="25"/>
      <c r="AH18" s="25"/>
      <c r="AJ18" s="25"/>
      <c r="AK18" s="26"/>
      <c r="AL18" s="39">
        <f t="shared" si="1"/>
        <v>0</v>
      </c>
      <c r="AM18" s="36">
        <f t="shared" si="2"/>
        <v>0</v>
      </c>
      <c r="AN18" s="36">
        <f t="shared" si="3"/>
        <v>0</v>
      </c>
      <c r="AO18" s="36">
        <f t="shared" si="4"/>
        <v>0</v>
      </c>
      <c r="AP18" s="40" t="str">
        <f t="shared" si="5"/>
        <v/>
      </c>
    </row>
    <row r="19" ht="15.75" customHeight="1">
      <c r="A19" s="34" t="s">
        <v>24</v>
      </c>
      <c r="B19" s="35">
        <f t="shared" si="6"/>
        <v>44944</v>
      </c>
      <c r="C19" s="36">
        <v>1.0</v>
      </c>
      <c r="D19" s="36" t="s">
        <v>36</v>
      </c>
      <c r="E19" s="38"/>
      <c r="F19" s="23"/>
      <c r="H19" s="24"/>
      <c r="J19" s="24"/>
      <c r="L19" s="24"/>
      <c r="N19" s="23"/>
      <c r="P19" s="24"/>
      <c r="R19" s="24"/>
      <c r="T19" s="24"/>
      <c r="V19" s="25"/>
      <c r="X19" s="25"/>
      <c r="Y19" s="26"/>
      <c r="Z19" s="27"/>
      <c r="AB19" s="25"/>
      <c r="AD19" s="25"/>
      <c r="AF19" s="25"/>
      <c r="AH19" s="25"/>
      <c r="AJ19" s="25"/>
      <c r="AK19" s="26"/>
      <c r="AL19" s="39">
        <f t="shared" si="1"/>
        <v>0</v>
      </c>
      <c r="AM19" s="36">
        <f t="shared" si="2"/>
        <v>0</v>
      </c>
      <c r="AN19" s="36">
        <f t="shared" si="3"/>
        <v>0</v>
      </c>
      <c r="AO19" s="36">
        <f t="shared" si="4"/>
        <v>0</v>
      </c>
      <c r="AP19" s="40" t="str">
        <f t="shared" si="5"/>
        <v/>
      </c>
    </row>
    <row r="20" ht="15.75" customHeight="1">
      <c r="A20" s="34" t="s">
        <v>25</v>
      </c>
      <c r="B20" s="35">
        <f t="shared" si="6"/>
        <v>44945</v>
      </c>
      <c r="C20" s="36">
        <v>1.0</v>
      </c>
      <c r="D20" s="36" t="s">
        <v>36</v>
      </c>
      <c r="E20" s="38"/>
      <c r="F20" s="23"/>
      <c r="H20" s="24"/>
      <c r="J20" s="24"/>
      <c r="L20" s="24"/>
      <c r="N20" s="23"/>
      <c r="P20" s="24"/>
      <c r="R20" s="24"/>
      <c r="T20" s="24"/>
      <c r="V20" s="25"/>
      <c r="X20" s="25"/>
      <c r="Y20" s="26"/>
      <c r="Z20" s="27"/>
      <c r="AB20" s="25"/>
      <c r="AD20" s="25"/>
      <c r="AF20" s="25"/>
      <c r="AH20" s="25"/>
      <c r="AJ20" s="25"/>
      <c r="AK20" s="26"/>
      <c r="AL20" s="39">
        <f t="shared" si="1"/>
        <v>0</v>
      </c>
      <c r="AM20" s="36">
        <f t="shared" si="2"/>
        <v>0</v>
      </c>
      <c r="AN20" s="36">
        <f t="shared" si="3"/>
        <v>0</v>
      </c>
      <c r="AO20" s="36">
        <f t="shared" si="4"/>
        <v>0</v>
      </c>
      <c r="AP20" s="40" t="str">
        <f t="shared" si="5"/>
        <v/>
      </c>
    </row>
    <row r="21" ht="15.75" customHeight="1">
      <c r="A21" s="34" t="s">
        <v>26</v>
      </c>
      <c r="B21" s="35">
        <f t="shared" si="6"/>
        <v>44946</v>
      </c>
      <c r="C21" s="36">
        <v>1.0</v>
      </c>
      <c r="D21" s="36" t="s">
        <v>36</v>
      </c>
      <c r="E21" s="38"/>
      <c r="F21" s="23"/>
      <c r="H21" s="24"/>
      <c r="J21" s="24"/>
      <c r="L21" s="24"/>
      <c r="N21" s="23"/>
      <c r="P21" s="24"/>
      <c r="R21" s="24"/>
      <c r="T21" s="24"/>
      <c r="V21" s="25"/>
      <c r="X21" s="25"/>
      <c r="Y21" s="26"/>
      <c r="Z21" s="27"/>
      <c r="AB21" s="25"/>
      <c r="AD21" s="25"/>
      <c r="AF21" s="25"/>
      <c r="AH21" s="25"/>
      <c r="AJ21" s="25"/>
      <c r="AK21" s="26"/>
      <c r="AL21" s="39">
        <f t="shared" si="1"/>
        <v>0</v>
      </c>
      <c r="AM21" s="36">
        <f t="shared" si="2"/>
        <v>0</v>
      </c>
      <c r="AN21" s="36">
        <f t="shared" si="3"/>
        <v>0</v>
      </c>
      <c r="AO21" s="36">
        <f t="shared" si="4"/>
        <v>0</v>
      </c>
      <c r="AP21" s="40" t="str">
        <f t="shared" si="5"/>
        <v/>
      </c>
    </row>
    <row r="22" ht="15.75" customHeight="1">
      <c r="A22" s="34" t="s">
        <v>27</v>
      </c>
      <c r="B22" s="35">
        <f t="shared" si="6"/>
        <v>44947</v>
      </c>
      <c r="C22" s="36">
        <v>1.0</v>
      </c>
      <c r="D22" s="36" t="s">
        <v>36</v>
      </c>
      <c r="E22" s="38"/>
      <c r="F22" s="23"/>
      <c r="H22" s="24"/>
      <c r="J22" s="24"/>
      <c r="L22" s="24"/>
      <c r="N22" s="23"/>
      <c r="P22" s="24"/>
      <c r="R22" s="24"/>
      <c r="T22" s="24"/>
      <c r="V22" s="25"/>
      <c r="X22" s="25"/>
      <c r="Y22" s="26"/>
      <c r="Z22" s="27"/>
      <c r="AB22" s="25"/>
      <c r="AD22" s="25"/>
      <c r="AF22" s="25"/>
      <c r="AH22" s="25"/>
      <c r="AJ22" s="25"/>
      <c r="AK22" s="26"/>
      <c r="AL22" s="39">
        <f t="shared" si="1"/>
        <v>0</v>
      </c>
      <c r="AM22" s="36">
        <f t="shared" si="2"/>
        <v>0</v>
      </c>
      <c r="AN22" s="36">
        <f t="shared" si="3"/>
        <v>0</v>
      </c>
      <c r="AO22" s="36">
        <f t="shared" si="4"/>
        <v>0</v>
      </c>
      <c r="AP22" s="40" t="str">
        <f t="shared" si="5"/>
        <v/>
      </c>
    </row>
    <row r="23" ht="15.75" customHeight="1">
      <c r="A23" s="46" t="s">
        <v>28</v>
      </c>
      <c r="B23" s="47">
        <f t="shared" si="6"/>
        <v>44948</v>
      </c>
      <c r="C23" s="49">
        <v>1.0</v>
      </c>
      <c r="D23" s="49" t="s">
        <v>36</v>
      </c>
      <c r="E23" s="52"/>
      <c r="F23" s="23"/>
      <c r="H23" s="24"/>
      <c r="J23" s="24"/>
      <c r="L23" s="24"/>
      <c r="N23" s="53"/>
      <c r="O23" s="55"/>
      <c r="P23" s="56"/>
      <c r="Q23" s="55"/>
      <c r="R23" s="56"/>
      <c r="S23" s="55"/>
      <c r="T23" s="56"/>
      <c r="U23" s="55"/>
      <c r="V23" s="57"/>
      <c r="W23" s="55"/>
      <c r="X23" s="57"/>
      <c r="Y23" s="58"/>
      <c r="Z23" s="59"/>
      <c r="AA23" s="55"/>
      <c r="AB23" s="57"/>
      <c r="AC23" s="55"/>
      <c r="AD23" s="57"/>
      <c r="AE23" s="55"/>
      <c r="AF23" s="57"/>
      <c r="AG23" s="55"/>
      <c r="AH23" s="57"/>
      <c r="AI23" s="55"/>
      <c r="AJ23" s="57"/>
      <c r="AK23" s="58"/>
      <c r="AL23" s="64">
        <f t="shared" si="1"/>
        <v>0</v>
      </c>
      <c r="AM23" s="49">
        <f t="shared" si="2"/>
        <v>0</v>
      </c>
      <c r="AN23" s="49">
        <f t="shared" si="3"/>
        <v>0</v>
      </c>
      <c r="AO23" s="49">
        <f t="shared" si="4"/>
        <v>0</v>
      </c>
      <c r="AP23" s="66" t="str">
        <f t="shared" si="5"/>
        <v/>
      </c>
    </row>
    <row r="24" ht="15.75" customHeight="1">
      <c r="A24" s="18" t="s">
        <v>21</v>
      </c>
      <c r="B24" s="68">
        <f t="shared" si="6"/>
        <v>44949</v>
      </c>
      <c r="C24" s="20">
        <v>1.0</v>
      </c>
      <c r="D24" s="20" t="s">
        <v>37</v>
      </c>
      <c r="E24" s="22"/>
      <c r="F24" s="70"/>
      <c r="G24" s="71"/>
      <c r="H24" s="72"/>
      <c r="I24" s="71"/>
      <c r="J24" s="72"/>
      <c r="K24" s="71"/>
      <c r="L24" s="72"/>
      <c r="M24" s="73"/>
      <c r="N24" s="23"/>
      <c r="P24" s="24"/>
      <c r="R24" s="24"/>
      <c r="T24" s="24"/>
      <c r="V24" s="25"/>
      <c r="X24" s="25"/>
      <c r="Y24" s="26"/>
      <c r="Z24" s="27"/>
      <c r="AB24" s="25"/>
      <c r="AD24" s="25"/>
      <c r="AF24" s="25"/>
      <c r="AH24" s="25"/>
      <c r="AJ24" s="25"/>
      <c r="AK24" s="26"/>
      <c r="AL24" s="32">
        <f t="shared" si="1"/>
        <v>0</v>
      </c>
      <c r="AM24" s="20">
        <f t="shared" si="2"/>
        <v>0</v>
      </c>
      <c r="AN24" s="20">
        <f t="shared" si="3"/>
        <v>0</v>
      </c>
      <c r="AO24" s="20">
        <f t="shared" si="4"/>
        <v>0</v>
      </c>
      <c r="AP24" s="33" t="str">
        <f t="shared" si="5"/>
        <v/>
      </c>
    </row>
    <row r="25" ht="15.75" customHeight="1">
      <c r="A25" s="34" t="s">
        <v>23</v>
      </c>
      <c r="B25" s="35">
        <f t="shared" si="6"/>
        <v>44950</v>
      </c>
      <c r="C25" s="36">
        <v>1.0</v>
      </c>
      <c r="D25" s="36" t="s">
        <v>37</v>
      </c>
      <c r="E25" s="38"/>
      <c r="F25" s="23"/>
      <c r="H25" s="24"/>
      <c r="J25" s="24"/>
      <c r="L25" s="24"/>
      <c r="M25" s="26"/>
      <c r="N25" s="23"/>
      <c r="P25" s="24"/>
      <c r="R25" s="24"/>
      <c r="T25" s="24"/>
      <c r="V25" s="25"/>
      <c r="X25" s="25"/>
      <c r="Y25" s="26"/>
      <c r="Z25" s="27"/>
      <c r="AB25" s="25"/>
      <c r="AD25" s="25"/>
      <c r="AF25" s="25"/>
      <c r="AH25" s="25"/>
      <c r="AJ25" s="25"/>
      <c r="AK25" s="26"/>
      <c r="AL25" s="39">
        <f t="shared" si="1"/>
        <v>0</v>
      </c>
      <c r="AM25" s="36">
        <f t="shared" si="2"/>
        <v>0</v>
      </c>
      <c r="AN25" s="36">
        <f t="shared" si="3"/>
        <v>0</v>
      </c>
      <c r="AO25" s="36">
        <f t="shared" si="4"/>
        <v>0</v>
      </c>
      <c r="AP25" s="40" t="str">
        <f t="shared" si="5"/>
        <v/>
      </c>
    </row>
    <row r="26" ht="15.75" customHeight="1">
      <c r="A26" s="34" t="s">
        <v>24</v>
      </c>
      <c r="B26" s="35">
        <f t="shared" si="6"/>
        <v>44951</v>
      </c>
      <c r="C26" s="36">
        <v>1.0</v>
      </c>
      <c r="D26" s="36" t="s">
        <v>37</v>
      </c>
      <c r="E26" s="38"/>
      <c r="F26" s="23"/>
      <c r="H26" s="24"/>
      <c r="J26" s="24"/>
      <c r="L26" s="24"/>
      <c r="M26" s="26"/>
      <c r="N26" s="23"/>
      <c r="P26" s="24"/>
      <c r="R26" s="24"/>
      <c r="T26" s="24"/>
      <c r="V26" s="25"/>
      <c r="X26" s="25"/>
      <c r="Y26" s="26"/>
      <c r="Z26" s="27"/>
      <c r="AB26" s="25"/>
      <c r="AD26" s="25"/>
      <c r="AF26" s="25"/>
      <c r="AH26" s="25"/>
      <c r="AJ26" s="25"/>
      <c r="AK26" s="26"/>
      <c r="AL26" s="39">
        <f t="shared" si="1"/>
        <v>0</v>
      </c>
      <c r="AM26" s="36">
        <f t="shared" si="2"/>
        <v>0</v>
      </c>
      <c r="AN26" s="36">
        <f t="shared" si="3"/>
        <v>0</v>
      </c>
      <c r="AO26" s="36">
        <f t="shared" si="4"/>
        <v>0</v>
      </c>
      <c r="AP26" s="40" t="str">
        <f t="shared" si="5"/>
        <v/>
      </c>
    </row>
    <row r="27" ht="15.75" customHeight="1">
      <c r="A27" s="34" t="s">
        <v>25</v>
      </c>
      <c r="B27" s="35">
        <f t="shared" si="6"/>
        <v>44952</v>
      </c>
      <c r="C27" s="36">
        <v>1.0</v>
      </c>
      <c r="D27" s="36" t="s">
        <v>37</v>
      </c>
      <c r="E27" s="38"/>
      <c r="F27" s="23"/>
      <c r="H27" s="24"/>
      <c r="J27" s="24"/>
      <c r="L27" s="24"/>
      <c r="M27" s="26"/>
      <c r="N27" s="23"/>
      <c r="P27" s="24"/>
      <c r="R27" s="24"/>
      <c r="T27" s="24"/>
      <c r="V27" s="25"/>
      <c r="X27" s="25"/>
      <c r="Y27" s="26"/>
      <c r="Z27" s="27"/>
      <c r="AB27" s="25"/>
      <c r="AD27" s="25"/>
      <c r="AF27" s="25"/>
      <c r="AH27" s="25"/>
      <c r="AJ27" s="25"/>
      <c r="AK27" s="26"/>
      <c r="AL27" s="39">
        <f t="shared" si="1"/>
        <v>0</v>
      </c>
      <c r="AM27" s="36">
        <f t="shared" si="2"/>
        <v>0</v>
      </c>
      <c r="AN27" s="36">
        <f t="shared" si="3"/>
        <v>0</v>
      </c>
      <c r="AO27" s="36">
        <f t="shared" si="4"/>
        <v>0</v>
      </c>
      <c r="AP27" s="40" t="str">
        <f t="shared" si="5"/>
        <v/>
      </c>
    </row>
    <row r="28" ht="15.75" customHeight="1">
      <c r="A28" s="34" t="s">
        <v>26</v>
      </c>
      <c r="B28" s="35">
        <f t="shared" si="6"/>
        <v>44953</v>
      </c>
      <c r="C28" s="36">
        <v>1.0</v>
      </c>
      <c r="D28" s="36" t="s">
        <v>37</v>
      </c>
      <c r="E28" s="38"/>
      <c r="F28" s="23"/>
      <c r="H28" s="24"/>
      <c r="J28" s="24"/>
      <c r="L28" s="24"/>
      <c r="M28" s="26"/>
      <c r="N28" s="23"/>
      <c r="P28" s="24"/>
      <c r="R28" s="24"/>
      <c r="T28" s="24"/>
      <c r="V28" s="25"/>
      <c r="X28" s="25"/>
      <c r="Y28" s="26"/>
      <c r="Z28" s="27"/>
      <c r="AB28" s="25"/>
      <c r="AD28" s="25"/>
      <c r="AF28" s="25"/>
      <c r="AH28" s="25"/>
      <c r="AJ28" s="25"/>
      <c r="AK28" s="26"/>
      <c r="AL28" s="39">
        <f t="shared" si="1"/>
        <v>0</v>
      </c>
      <c r="AM28" s="36">
        <f t="shared" si="2"/>
        <v>0</v>
      </c>
      <c r="AN28" s="36">
        <f t="shared" si="3"/>
        <v>0</v>
      </c>
      <c r="AO28" s="36">
        <f t="shared" si="4"/>
        <v>0</v>
      </c>
      <c r="AP28" s="40" t="str">
        <f t="shared" si="5"/>
        <v/>
      </c>
    </row>
    <row r="29" ht="15.75" customHeight="1">
      <c r="A29" s="34" t="s">
        <v>27</v>
      </c>
      <c r="B29" s="35">
        <f t="shared" si="6"/>
        <v>44954</v>
      </c>
      <c r="C29" s="36">
        <v>1.0</v>
      </c>
      <c r="D29" s="36" t="s">
        <v>37</v>
      </c>
      <c r="E29" s="38"/>
      <c r="F29" s="23"/>
      <c r="H29" s="24"/>
      <c r="J29" s="24"/>
      <c r="L29" s="24"/>
      <c r="M29" s="26"/>
      <c r="N29" s="23"/>
      <c r="P29" s="24"/>
      <c r="R29" s="24"/>
      <c r="T29" s="24"/>
      <c r="V29" s="25"/>
      <c r="X29" s="25"/>
      <c r="Y29" s="26"/>
      <c r="Z29" s="27"/>
      <c r="AB29" s="25"/>
      <c r="AD29" s="25"/>
      <c r="AF29" s="25"/>
      <c r="AH29" s="25"/>
      <c r="AJ29" s="25"/>
      <c r="AK29" s="26"/>
      <c r="AL29" s="39">
        <f t="shared" si="1"/>
        <v>0</v>
      </c>
      <c r="AM29" s="36">
        <f t="shared" si="2"/>
        <v>0</v>
      </c>
      <c r="AN29" s="36">
        <f t="shared" si="3"/>
        <v>0</v>
      </c>
      <c r="AO29" s="36">
        <f t="shared" si="4"/>
        <v>0</v>
      </c>
      <c r="AP29" s="40" t="str">
        <f t="shared" si="5"/>
        <v/>
      </c>
    </row>
    <row r="30" ht="15.75" customHeight="1">
      <c r="A30" s="46" t="s">
        <v>28</v>
      </c>
      <c r="B30" s="47">
        <f t="shared" si="6"/>
        <v>44955</v>
      </c>
      <c r="C30" s="49">
        <v>1.0</v>
      </c>
      <c r="D30" s="49" t="s">
        <v>37</v>
      </c>
      <c r="E30" s="52"/>
      <c r="F30" s="53"/>
      <c r="G30" s="55"/>
      <c r="H30" s="56"/>
      <c r="I30" s="55"/>
      <c r="J30" s="56"/>
      <c r="K30" s="55"/>
      <c r="L30" s="56"/>
      <c r="M30" s="58"/>
      <c r="N30" s="53"/>
      <c r="O30" s="55"/>
      <c r="P30" s="56"/>
      <c r="Q30" s="55"/>
      <c r="R30" s="56"/>
      <c r="S30" s="55"/>
      <c r="T30" s="56"/>
      <c r="U30" s="55"/>
      <c r="V30" s="57"/>
      <c r="W30" s="55"/>
      <c r="X30" s="57"/>
      <c r="Y30" s="58"/>
      <c r="Z30" s="59"/>
      <c r="AA30" s="55"/>
      <c r="AB30" s="57"/>
      <c r="AC30" s="55"/>
      <c r="AD30" s="57"/>
      <c r="AE30" s="55"/>
      <c r="AF30" s="57"/>
      <c r="AG30" s="55"/>
      <c r="AH30" s="57"/>
      <c r="AI30" s="55"/>
      <c r="AJ30" s="57"/>
      <c r="AK30" s="58"/>
      <c r="AL30" s="64">
        <f t="shared" si="1"/>
        <v>0</v>
      </c>
      <c r="AM30" s="49">
        <f t="shared" si="2"/>
        <v>0</v>
      </c>
      <c r="AN30" s="49">
        <f t="shared" si="3"/>
        <v>0</v>
      </c>
      <c r="AO30" s="49">
        <f t="shared" si="4"/>
        <v>0</v>
      </c>
      <c r="AP30" s="66" t="str">
        <f t="shared" si="5"/>
        <v/>
      </c>
    </row>
    <row r="31" ht="15.75" customHeight="1">
      <c r="A31" s="18" t="s">
        <v>21</v>
      </c>
      <c r="B31" s="68">
        <f t="shared" si="6"/>
        <v>44956</v>
      </c>
      <c r="C31" s="20">
        <v>2.0</v>
      </c>
      <c r="D31" s="20" t="s">
        <v>22</v>
      </c>
      <c r="E31" s="22"/>
      <c r="F31" s="70"/>
      <c r="G31" s="71"/>
      <c r="H31" s="72"/>
      <c r="I31" s="71"/>
      <c r="J31" s="72"/>
      <c r="K31" s="71"/>
      <c r="L31" s="72"/>
      <c r="M31" s="73"/>
      <c r="N31" s="23"/>
      <c r="P31" s="24"/>
      <c r="R31" s="24"/>
      <c r="T31" s="24"/>
      <c r="V31" s="25"/>
      <c r="X31" s="25"/>
      <c r="Y31" s="26"/>
      <c r="Z31" s="27"/>
      <c r="AB31" s="25"/>
      <c r="AD31" s="25"/>
      <c r="AF31" s="25"/>
      <c r="AH31" s="25"/>
      <c r="AJ31" s="25"/>
      <c r="AK31" s="26"/>
      <c r="AL31" s="32">
        <f t="shared" si="1"/>
        <v>0</v>
      </c>
      <c r="AM31" s="20">
        <f t="shared" si="2"/>
        <v>0</v>
      </c>
      <c r="AN31" s="20">
        <f t="shared" si="3"/>
        <v>0</v>
      </c>
      <c r="AO31" s="20">
        <f t="shared" si="4"/>
        <v>0</v>
      </c>
      <c r="AP31" s="33" t="str">
        <f t="shared" si="5"/>
        <v/>
      </c>
    </row>
    <row r="32" ht="15.75" customHeight="1">
      <c r="A32" s="34" t="s">
        <v>23</v>
      </c>
      <c r="B32" s="35">
        <f t="shared" si="6"/>
        <v>44957</v>
      </c>
      <c r="C32" s="36">
        <v>2.0</v>
      </c>
      <c r="D32" s="36" t="s">
        <v>22</v>
      </c>
      <c r="E32" s="38"/>
      <c r="F32" s="23"/>
      <c r="H32" s="24"/>
      <c r="J32" s="24"/>
      <c r="L32" s="24"/>
      <c r="M32" s="26"/>
      <c r="N32" s="23"/>
      <c r="P32" s="24"/>
      <c r="R32" s="24"/>
      <c r="T32" s="24"/>
      <c r="V32" s="25"/>
      <c r="X32" s="25"/>
      <c r="Y32" s="26"/>
      <c r="Z32" s="27"/>
      <c r="AB32" s="25"/>
      <c r="AD32" s="25"/>
      <c r="AF32" s="25"/>
      <c r="AH32" s="25"/>
      <c r="AJ32" s="25"/>
      <c r="AK32" s="26"/>
      <c r="AL32" s="39">
        <f t="shared" si="1"/>
        <v>0</v>
      </c>
      <c r="AM32" s="36">
        <f t="shared" si="2"/>
        <v>0</v>
      </c>
      <c r="AN32" s="36">
        <f t="shared" si="3"/>
        <v>0</v>
      </c>
      <c r="AO32" s="36">
        <f t="shared" si="4"/>
        <v>0</v>
      </c>
      <c r="AP32" s="40" t="str">
        <f t="shared" si="5"/>
        <v/>
      </c>
    </row>
    <row r="33" ht="15.75" customHeight="1">
      <c r="A33" s="34" t="s">
        <v>24</v>
      </c>
      <c r="B33" s="35">
        <f t="shared" si="6"/>
        <v>44958</v>
      </c>
      <c r="C33" s="36">
        <v>2.0</v>
      </c>
      <c r="D33" s="36" t="s">
        <v>22</v>
      </c>
      <c r="E33" s="38"/>
      <c r="F33" s="23"/>
      <c r="H33" s="24"/>
      <c r="J33" s="24"/>
      <c r="L33" s="24"/>
      <c r="M33" s="26"/>
      <c r="N33" s="23"/>
      <c r="P33" s="24"/>
      <c r="R33" s="24"/>
      <c r="T33" s="24"/>
      <c r="V33" s="25"/>
      <c r="X33" s="25"/>
      <c r="Y33" s="26"/>
      <c r="Z33" s="27"/>
      <c r="AB33" s="25"/>
      <c r="AD33" s="25"/>
      <c r="AF33" s="25"/>
      <c r="AH33" s="25"/>
      <c r="AJ33" s="25"/>
      <c r="AK33" s="26"/>
      <c r="AL33" s="39">
        <f t="shared" si="1"/>
        <v>0</v>
      </c>
      <c r="AM33" s="36">
        <f t="shared" si="2"/>
        <v>0</v>
      </c>
      <c r="AN33" s="36">
        <f t="shared" si="3"/>
        <v>0</v>
      </c>
      <c r="AO33" s="36">
        <f t="shared" si="4"/>
        <v>0</v>
      </c>
      <c r="AP33" s="40" t="str">
        <f t="shared" si="5"/>
        <v/>
      </c>
    </row>
    <row r="34" ht="15.75" customHeight="1">
      <c r="A34" s="34" t="s">
        <v>25</v>
      </c>
      <c r="B34" s="35">
        <f t="shared" si="6"/>
        <v>44959</v>
      </c>
      <c r="C34" s="36">
        <v>2.0</v>
      </c>
      <c r="D34" s="36" t="s">
        <v>22</v>
      </c>
      <c r="E34" s="38"/>
      <c r="F34" s="23"/>
      <c r="H34" s="24"/>
      <c r="J34" s="24"/>
      <c r="L34" s="24"/>
      <c r="M34" s="26"/>
      <c r="N34" s="23"/>
      <c r="P34" s="24"/>
      <c r="R34" s="24"/>
      <c r="T34" s="24"/>
      <c r="V34" s="25"/>
      <c r="X34" s="25"/>
      <c r="Y34" s="26"/>
      <c r="Z34" s="27"/>
      <c r="AB34" s="25"/>
      <c r="AD34" s="25"/>
      <c r="AF34" s="25"/>
      <c r="AH34" s="25"/>
      <c r="AJ34" s="25"/>
      <c r="AK34" s="26"/>
      <c r="AL34" s="39">
        <f t="shared" si="1"/>
        <v>0</v>
      </c>
      <c r="AM34" s="36">
        <f t="shared" si="2"/>
        <v>0</v>
      </c>
      <c r="AN34" s="36">
        <f t="shared" si="3"/>
        <v>0</v>
      </c>
      <c r="AO34" s="36">
        <f t="shared" si="4"/>
        <v>0</v>
      </c>
      <c r="AP34" s="40" t="str">
        <f t="shared" si="5"/>
        <v/>
      </c>
    </row>
    <row r="35" ht="15.75" customHeight="1">
      <c r="A35" s="34" t="s">
        <v>26</v>
      </c>
      <c r="B35" s="35">
        <f t="shared" si="6"/>
        <v>44960</v>
      </c>
      <c r="C35" s="36">
        <v>2.0</v>
      </c>
      <c r="D35" s="36" t="s">
        <v>22</v>
      </c>
      <c r="E35" s="38"/>
      <c r="F35" s="23"/>
      <c r="H35" s="24"/>
      <c r="J35" s="24"/>
      <c r="L35" s="24"/>
      <c r="M35" s="26"/>
      <c r="N35" s="23"/>
      <c r="P35" s="24"/>
      <c r="R35" s="24"/>
      <c r="T35" s="24"/>
      <c r="V35" s="25"/>
      <c r="X35" s="25"/>
      <c r="Y35" s="26"/>
      <c r="Z35" s="27"/>
      <c r="AB35" s="25"/>
      <c r="AD35" s="25"/>
      <c r="AF35" s="25"/>
      <c r="AH35" s="25"/>
      <c r="AJ35" s="25"/>
      <c r="AK35" s="26"/>
      <c r="AL35" s="39">
        <f t="shared" si="1"/>
        <v>0</v>
      </c>
      <c r="AM35" s="36">
        <f t="shared" si="2"/>
        <v>0</v>
      </c>
      <c r="AN35" s="36">
        <f t="shared" si="3"/>
        <v>0</v>
      </c>
      <c r="AO35" s="36">
        <f t="shared" si="4"/>
        <v>0</v>
      </c>
      <c r="AP35" s="40" t="str">
        <f t="shared" si="5"/>
        <v/>
      </c>
    </row>
    <row r="36" ht="15.75" customHeight="1">
      <c r="A36" s="34" t="s">
        <v>27</v>
      </c>
      <c r="B36" s="35">
        <f t="shared" si="6"/>
        <v>44961</v>
      </c>
      <c r="C36" s="36">
        <v>2.0</v>
      </c>
      <c r="D36" s="36" t="s">
        <v>22</v>
      </c>
      <c r="E36" s="38"/>
      <c r="F36" s="23"/>
      <c r="H36" s="24"/>
      <c r="J36" s="24"/>
      <c r="L36" s="24"/>
      <c r="M36" s="26"/>
      <c r="N36" s="23"/>
      <c r="P36" s="24"/>
      <c r="R36" s="24"/>
      <c r="T36" s="24"/>
      <c r="V36" s="25"/>
      <c r="X36" s="25"/>
      <c r="Y36" s="26"/>
      <c r="Z36" s="27"/>
      <c r="AB36" s="25"/>
      <c r="AD36" s="25"/>
      <c r="AF36" s="25"/>
      <c r="AH36" s="25"/>
      <c r="AJ36" s="25"/>
      <c r="AK36" s="26"/>
      <c r="AL36" s="39">
        <f t="shared" si="1"/>
        <v>0</v>
      </c>
      <c r="AM36" s="36">
        <f t="shared" si="2"/>
        <v>0</v>
      </c>
      <c r="AN36" s="36">
        <f t="shared" si="3"/>
        <v>0</v>
      </c>
      <c r="AO36" s="36">
        <f t="shared" si="4"/>
        <v>0</v>
      </c>
      <c r="AP36" s="40" t="str">
        <f t="shared" si="5"/>
        <v/>
      </c>
    </row>
    <row r="37" ht="15.75" customHeight="1">
      <c r="A37" s="46" t="s">
        <v>28</v>
      </c>
      <c r="B37" s="47">
        <f t="shared" si="6"/>
        <v>44962</v>
      </c>
      <c r="C37" s="49">
        <v>2.0</v>
      </c>
      <c r="D37" s="49" t="s">
        <v>22</v>
      </c>
      <c r="E37" s="52"/>
      <c r="F37" s="53"/>
      <c r="G37" s="55"/>
      <c r="H37" s="56"/>
      <c r="I37" s="55"/>
      <c r="J37" s="56"/>
      <c r="K37" s="55"/>
      <c r="L37" s="56"/>
      <c r="M37" s="58"/>
      <c r="N37" s="53"/>
      <c r="O37" s="55"/>
      <c r="P37" s="56"/>
      <c r="Q37" s="55"/>
      <c r="R37" s="56"/>
      <c r="S37" s="55"/>
      <c r="T37" s="56"/>
      <c r="U37" s="55"/>
      <c r="V37" s="57"/>
      <c r="W37" s="55"/>
      <c r="X37" s="57"/>
      <c r="Y37" s="58"/>
      <c r="Z37" s="59"/>
      <c r="AA37" s="55"/>
      <c r="AB37" s="57"/>
      <c r="AC37" s="55"/>
      <c r="AD37" s="57"/>
      <c r="AE37" s="55"/>
      <c r="AF37" s="57"/>
      <c r="AG37" s="55"/>
      <c r="AH37" s="57"/>
      <c r="AI37" s="55"/>
      <c r="AJ37" s="57"/>
      <c r="AK37" s="58"/>
      <c r="AL37" s="64">
        <f t="shared" si="1"/>
        <v>0</v>
      </c>
      <c r="AM37" s="49">
        <f t="shared" si="2"/>
        <v>0</v>
      </c>
      <c r="AN37" s="49">
        <f t="shared" si="3"/>
        <v>0</v>
      </c>
      <c r="AO37" s="49">
        <f t="shared" si="4"/>
        <v>0</v>
      </c>
      <c r="AP37" s="66" t="str">
        <f t="shared" si="5"/>
        <v/>
      </c>
    </row>
    <row r="38" ht="15.75" customHeight="1">
      <c r="A38" s="18" t="s">
        <v>21</v>
      </c>
      <c r="B38" s="68">
        <f t="shared" si="6"/>
        <v>44963</v>
      </c>
      <c r="C38" s="20">
        <v>2.0</v>
      </c>
      <c r="D38" s="20" t="s">
        <v>34</v>
      </c>
      <c r="E38" s="22"/>
      <c r="F38" s="70"/>
      <c r="G38" s="71"/>
      <c r="H38" s="72"/>
      <c r="I38" s="71"/>
      <c r="J38" s="72"/>
      <c r="K38" s="71"/>
      <c r="L38" s="72"/>
      <c r="M38" s="73"/>
      <c r="N38" s="23"/>
      <c r="P38" s="24"/>
      <c r="R38" s="24"/>
      <c r="T38" s="24"/>
      <c r="V38" s="25"/>
      <c r="X38" s="25"/>
      <c r="Y38" s="26"/>
      <c r="Z38" s="27"/>
      <c r="AB38" s="25"/>
      <c r="AD38" s="25"/>
      <c r="AF38" s="25"/>
      <c r="AH38" s="25"/>
      <c r="AJ38" s="25"/>
      <c r="AK38" s="26"/>
      <c r="AL38" s="32">
        <f t="shared" si="1"/>
        <v>0</v>
      </c>
      <c r="AM38" s="20">
        <f t="shared" si="2"/>
        <v>0</v>
      </c>
      <c r="AN38" s="20">
        <f t="shared" si="3"/>
        <v>0</v>
      </c>
      <c r="AO38" s="20">
        <f t="shared" si="4"/>
        <v>0</v>
      </c>
      <c r="AP38" s="33" t="str">
        <f t="shared" si="5"/>
        <v/>
      </c>
    </row>
    <row r="39" ht="15.75" customHeight="1">
      <c r="A39" s="34" t="s">
        <v>23</v>
      </c>
      <c r="B39" s="35">
        <f t="shared" si="6"/>
        <v>44964</v>
      </c>
      <c r="C39" s="36">
        <v>2.0</v>
      </c>
      <c r="D39" s="36" t="s">
        <v>34</v>
      </c>
      <c r="E39" s="38"/>
      <c r="F39" s="23"/>
      <c r="H39" s="24"/>
      <c r="J39" s="24"/>
      <c r="L39" s="24"/>
      <c r="M39" s="26"/>
      <c r="N39" s="23"/>
      <c r="P39" s="24"/>
      <c r="R39" s="24"/>
      <c r="T39" s="24"/>
      <c r="V39" s="25"/>
      <c r="X39" s="25"/>
      <c r="Y39" s="26"/>
      <c r="Z39" s="27"/>
      <c r="AB39" s="25"/>
      <c r="AD39" s="25"/>
      <c r="AF39" s="25"/>
      <c r="AH39" s="25"/>
      <c r="AJ39" s="25"/>
      <c r="AK39" s="26"/>
      <c r="AL39" s="39">
        <f t="shared" si="1"/>
        <v>0</v>
      </c>
      <c r="AM39" s="36">
        <f t="shared" si="2"/>
        <v>0</v>
      </c>
      <c r="AN39" s="36">
        <f t="shared" si="3"/>
        <v>0</v>
      </c>
      <c r="AO39" s="36">
        <f t="shared" si="4"/>
        <v>0</v>
      </c>
      <c r="AP39" s="40" t="str">
        <f t="shared" si="5"/>
        <v/>
      </c>
    </row>
    <row r="40" ht="15.75" customHeight="1">
      <c r="A40" s="34" t="s">
        <v>24</v>
      </c>
      <c r="B40" s="35">
        <f t="shared" si="6"/>
        <v>44965</v>
      </c>
      <c r="C40" s="36">
        <v>2.0</v>
      </c>
      <c r="D40" s="36" t="s">
        <v>34</v>
      </c>
      <c r="E40" s="38"/>
      <c r="F40" s="23"/>
      <c r="H40" s="24"/>
      <c r="J40" s="24"/>
      <c r="L40" s="24"/>
      <c r="M40" s="26"/>
      <c r="N40" s="23"/>
      <c r="P40" s="24"/>
      <c r="R40" s="24"/>
      <c r="T40" s="24"/>
      <c r="V40" s="25"/>
      <c r="X40" s="25"/>
      <c r="Y40" s="26"/>
      <c r="Z40" s="27"/>
      <c r="AB40" s="25"/>
      <c r="AD40" s="25"/>
      <c r="AF40" s="25"/>
      <c r="AH40" s="25"/>
      <c r="AJ40" s="25"/>
      <c r="AK40" s="26"/>
      <c r="AL40" s="39">
        <f t="shared" si="1"/>
        <v>0</v>
      </c>
      <c r="AM40" s="36">
        <f t="shared" si="2"/>
        <v>0</v>
      </c>
      <c r="AN40" s="36">
        <f t="shared" si="3"/>
        <v>0</v>
      </c>
      <c r="AO40" s="36">
        <f t="shared" si="4"/>
        <v>0</v>
      </c>
      <c r="AP40" s="40" t="str">
        <f t="shared" si="5"/>
        <v/>
      </c>
    </row>
    <row r="41" ht="15.75" customHeight="1">
      <c r="A41" s="34" t="s">
        <v>25</v>
      </c>
      <c r="B41" s="35">
        <f t="shared" si="6"/>
        <v>44966</v>
      </c>
      <c r="C41" s="36">
        <v>2.0</v>
      </c>
      <c r="D41" s="36" t="s">
        <v>34</v>
      </c>
      <c r="E41" s="38"/>
      <c r="F41" s="23"/>
      <c r="H41" s="24"/>
      <c r="J41" s="24"/>
      <c r="L41" s="24"/>
      <c r="M41" s="26"/>
      <c r="N41" s="23"/>
      <c r="P41" s="24"/>
      <c r="R41" s="24"/>
      <c r="T41" s="24"/>
      <c r="V41" s="25"/>
      <c r="X41" s="25"/>
      <c r="Y41" s="26"/>
      <c r="Z41" s="27"/>
      <c r="AB41" s="25"/>
      <c r="AD41" s="25"/>
      <c r="AF41" s="25"/>
      <c r="AH41" s="25"/>
      <c r="AJ41" s="25"/>
      <c r="AK41" s="26"/>
      <c r="AL41" s="39">
        <f t="shared" si="1"/>
        <v>0</v>
      </c>
      <c r="AM41" s="36">
        <f t="shared" si="2"/>
        <v>0</v>
      </c>
      <c r="AN41" s="36">
        <f t="shared" si="3"/>
        <v>0</v>
      </c>
      <c r="AO41" s="36">
        <f t="shared" si="4"/>
        <v>0</v>
      </c>
      <c r="AP41" s="40" t="str">
        <f t="shared" si="5"/>
        <v/>
      </c>
    </row>
    <row r="42" ht="15.75" customHeight="1">
      <c r="A42" s="34" t="s">
        <v>26</v>
      </c>
      <c r="B42" s="35">
        <f t="shared" si="6"/>
        <v>44967</v>
      </c>
      <c r="C42" s="36">
        <v>2.0</v>
      </c>
      <c r="D42" s="36" t="s">
        <v>34</v>
      </c>
      <c r="E42" s="38"/>
      <c r="F42" s="23"/>
      <c r="H42" s="24"/>
      <c r="J42" s="24"/>
      <c r="L42" s="24"/>
      <c r="M42" s="26"/>
      <c r="N42" s="23"/>
      <c r="P42" s="24"/>
      <c r="R42" s="24"/>
      <c r="T42" s="24"/>
      <c r="V42" s="25"/>
      <c r="X42" s="25"/>
      <c r="Y42" s="26"/>
      <c r="Z42" s="27"/>
      <c r="AB42" s="25"/>
      <c r="AD42" s="25"/>
      <c r="AF42" s="25"/>
      <c r="AH42" s="25"/>
      <c r="AJ42" s="25"/>
      <c r="AK42" s="26"/>
      <c r="AL42" s="39">
        <f t="shared" si="1"/>
        <v>0</v>
      </c>
      <c r="AM42" s="36">
        <f t="shared" si="2"/>
        <v>0</v>
      </c>
      <c r="AN42" s="36">
        <f t="shared" si="3"/>
        <v>0</v>
      </c>
      <c r="AO42" s="36">
        <f t="shared" si="4"/>
        <v>0</v>
      </c>
      <c r="AP42" s="40" t="str">
        <f t="shared" si="5"/>
        <v/>
      </c>
    </row>
    <row r="43" ht="15.75" customHeight="1">
      <c r="A43" s="34" t="s">
        <v>27</v>
      </c>
      <c r="B43" s="35">
        <f t="shared" si="6"/>
        <v>44968</v>
      </c>
      <c r="C43" s="36">
        <v>2.0</v>
      </c>
      <c r="D43" s="36" t="s">
        <v>34</v>
      </c>
      <c r="E43" s="38"/>
      <c r="F43" s="23"/>
      <c r="H43" s="24"/>
      <c r="J43" s="24"/>
      <c r="L43" s="24"/>
      <c r="M43" s="26"/>
      <c r="N43" s="23"/>
      <c r="P43" s="24"/>
      <c r="R43" s="24"/>
      <c r="T43" s="24"/>
      <c r="V43" s="25"/>
      <c r="X43" s="25"/>
      <c r="Y43" s="26"/>
      <c r="Z43" s="27"/>
      <c r="AB43" s="25"/>
      <c r="AD43" s="25"/>
      <c r="AF43" s="25"/>
      <c r="AH43" s="25"/>
      <c r="AJ43" s="25"/>
      <c r="AK43" s="26"/>
      <c r="AL43" s="39">
        <f t="shared" si="1"/>
        <v>0</v>
      </c>
      <c r="AM43" s="36">
        <f t="shared" si="2"/>
        <v>0</v>
      </c>
      <c r="AN43" s="36">
        <f t="shared" si="3"/>
        <v>0</v>
      </c>
      <c r="AO43" s="36">
        <f t="shared" si="4"/>
        <v>0</v>
      </c>
      <c r="AP43" s="40" t="str">
        <f t="shared" si="5"/>
        <v/>
      </c>
    </row>
    <row r="44" ht="15.75" customHeight="1">
      <c r="A44" s="46" t="s">
        <v>28</v>
      </c>
      <c r="B44" s="47">
        <f t="shared" si="6"/>
        <v>44969</v>
      </c>
      <c r="C44" s="49">
        <v>2.0</v>
      </c>
      <c r="D44" s="49" t="s">
        <v>34</v>
      </c>
      <c r="E44" s="52"/>
      <c r="F44" s="53"/>
      <c r="G44" s="55"/>
      <c r="H44" s="56"/>
      <c r="I44" s="55"/>
      <c r="J44" s="56"/>
      <c r="K44" s="55"/>
      <c r="L44" s="56"/>
      <c r="M44" s="58"/>
      <c r="N44" s="53"/>
      <c r="O44" s="55"/>
      <c r="P44" s="56"/>
      <c r="Q44" s="55"/>
      <c r="R44" s="56"/>
      <c r="S44" s="55"/>
      <c r="T44" s="56"/>
      <c r="U44" s="55"/>
      <c r="V44" s="57"/>
      <c r="W44" s="55"/>
      <c r="X44" s="57"/>
      <c r="Y44" s="58"/>
      <c r="Z44" s="59"/>
      <c r="AA44" s="55"/>
      <c r="AB44" s="57"/>
      <c r="AC44" s="55"/>
      <c r="AD44" s="57"/>
      <c r="AE44" s="55"/>
      <c r="AF44" s="57"/>
      <c r="AG44" s="55"/>
      <c r="AH44" s="57"/>
      <c r="AI44" s="55"/>
      <c r="AJ44" s="57"/>
      <c r="AK44" s="58"/>
      <c r="AL44" s="64">
        <f t="shared" si="1"/>
        <v>0</v>
      </c>
      <c r="AM44" s="49">
        <f t="shared" si="2"/>
        <v>0</v>
      </c>
      <c r="AN44" s="49">
        <f t="shared" si="3"/>
        <v>0</v>
      </c>
      <c r="AO44" s="49">
        <f t="shared" si="4"/>
        <v>0</v>
      </c>
      <c r="AP44" s="66" t="str">
        <f t="shared" si="5"/>
        <v/>
      </c>
    </row>
    <row r="45" ht="15.75" customHeight="1">
      <c r="A45" s="18" t="s">
        <v>21</v>
      </c>
      <c r="B45" s="68">
        <f t="shared" si="6"/>
        <v>44970</v>
      </c>
      <c r="C45" s="20">
        <v>2.0</v>
      </c>
      <c r="D45" s="20" t="s">
        <v>36</v>
      </c>
      <c r="E45" s="22"/>
      <c r="F45" s="70"/>
      <c r="G45" s="71"/>
      <c r="H45" s="72"/>
      <c r="I45" s="71"/>
      <c r="J45" s="72"/>
      <c r="K45" s="71"/>
      <c r="L45" s="72"/>
      <c r="M45" s="73"/>
      <c r="N45" s="23"/>
      <c r="P45" s="24"/>
      <c r="R45" s="24"/>
      <c r="T45" s="24"/>
      <c r="V45" s="25"/>
      <c r="X45" s="25"/>
      <c r="Y45" s="26"/>
      <c r="Z45" s="27"/>
      <c r="AB45" s="25"/>
      <c r="AD45" s="25"/>
      <c r="AF45" s="25"/>
      <c r="AH45" s="25"/>
      <c r="AJ45" s="25"/>
      <c r="AK45" s="26"/>
      <c r="AL45" s="32">
        <f t="shared" si="1"/>
        <v>0</v>
      </c>
      <c r="AM45" s="20">
        <f t="shared" si="2"/>
        <v>0</v>
      </c>
      <c r="AN45" s="20">
        <f t="shared" si="3"/>
        <v>0</v>
      </c>
      <c r="AO45" s="20">
        <f t="shared" si="4"/>
        <v>0</v>
      </c>
      <c r="AP45" s="33" t="str">
        <f t="shared" si="5"/>
        <v/>
      </c>
    </row>
    <row r="46" ht="15.75" customHeight="1">
      <c r="A46" s="34" t="s">
        <v>23</v>
      </c>
      <c r="B46" s="35">
        <f t="shared" si="6"/>
        <v>44971</v>
      </c>
      <c r="C46" s="36">
        <v>2.0</v>
      </c>
      <c r="D46" s="36" t="s">
        <v>36</v>
      </c>
      <c r="E46" s="38"/>
      <c r="F46" s="23"/>
      <c r="H46" s="24"/>
      <c r="J46" s="24"/>
      <c r="L46" s="24"/>
      <c r="M46" s="26"/>
      <c r="N46" s="23"/>
      <c r="P46" s="24"/>
      <c r="R46" s="24"/>
      <c r="T46" s="24"/>
      <c r="V46" s="25"/>
      <c r="X46" s="25"/>
      <c r="Y46" s="26"/>
      <c r="Z46" s="27"/>
      <c r="AB46" s="25"/>
      <c r="AD46" s="25"/>
      <c r="AF46" s="25"/>
      <c r="AH46" s="25"/>
      <c r="AJ46" s="25"/>
      <c r="AK46" s="26"/>
      <c r="AL46" s="39">
        <f t="shared" si="1"/>
        <v>0</v>
      </c>
      <c r="AM46" s="36">
        <f t="shared" si="2"/>
        <v>0</v>
      </c>
      <c r="AN46" s="36">
        <f t="shared" si="3"/>
        <v>0</v>
      </c>
      <c r="AO46" s="36">
        <f t="shared" si="4"/>
        <v>0</v>
      </c>
      <c r="AP46" s="40" t="str">
        <f t="shared" si="5"/>
        <v/>
      </c>
    </row>
    <row r="47" ht="15.75" customHeight="1">
      <c r="A47" s="34" t="s">
        <v>24</v>
      </c>
      <c r="B47" s="35">
        <f t="shared" si="6"/>
        <v>44972</v>
      </c>
      <c r="C47" s="36">
        <v>2.0</v>
      </c>
      <c r="D47" s="36" t="s">
        <v>36</v>
      </c>
      <c r="E47" s="38"/>
      <c r="F47" s="23"/>
      <c r="H47" s="24"/>
      <c r="J47" s="24"/>
      <c r="L47" s="24"/>
      <c r="M47" s="26"/>
      <c r="N47" s="23"/>
      <c r="P47" s="24"/>
      <c r="R47" s="24"/>
      <c r="T47" s="24"/>
      <c r="V47" s="25"/>
      <c r="X47" s="25"/>
      <c r="Y47" s="26"/>
      <c r="Z47" s="27"/>
      <c r="AB47" s="25"/>
      <c r="AD47" s="25"/>
      <c r="AF47" s="25"/>
      <c r="AH47" s="25"/>
      <c r="AJ47" s="25"/>
      <c r="AK47" s="26"/>
      <c r="AL47" s="39">
        <f t="shared" si="1"/>
        <v>0</v>
      </c>
      <c r="AM47" s="36">
        <f t="shared" si="2"/>
        <v>0</v>
      </c>
      <c r="AN47" s="36">
        <f t="shared" si="3"/>
        <v>0</v>
      </c>
      <c r="AO47" s="36">
        <f t="shared" si="4"/>
        <v>0</v>
      </c>
      <c r="AP47" s="40" t="str">
        <f t="shared" si="5"/>
        <v/>
      </c>
    </row>
    <row r="48" ht="15.75" customHeight="1">
      <c r="A48" s="34" t="s">
        <v>25</v>
      </c>
      <c r="B48" s="35">
        <f t="shared" si="6"/>
        <v>44973</v>
      </c>
      <c r="C48" s="36">
        <v>2.0</v>
      </c>
      <c r="D48" s="36" t="s">
        <v>36</v>
      </c>
      <c r="E48" s="38"/>
      <c r="F48" s="23"/>
      <c r="H48" s="24"/>
      <c r="J48" s="24"/>
      <c r="L48" s="24"/>
      <c r="M48" s="26"/>
      <c r="N48" s="23"/>
      <c r="P48" s="24"/>
      <c r="R48" s="24"/>
      <c r="T48" s="24"/>
      <c r="V48" s="25"/>
      <c r="X48" s="25"/>
      <c r="Y48" s="26"/>
      <c r="Z48" s="27"/>
      <c r="AB48" s="25"/>
      <c r="AD48" s="25"/>
      <c r="AF48" s="25"/>
      <c r="AH48" s="25"/>
      <c r="AJ48" s="25"/>
      <c r="AK48" s="26"/>
      <c r="AL48" s="39">
        <f t="shared" si="1"/>
        <v>0</v>
      </c>
      <c r="AM48" s="36">
        <f t="shared" si="2"/>
        <v>0</v>
      </c>
      <c r="AN48" s="36">
        <f t="shared" si="3"/>
        <v>0</v>
      </c>
      <c r="AO48" s="36">
        <f t="shared" si="4"/>
        <v>0</v>
      </c>
      <c r="AP48" s="40" t="str">
        <f t="shared" si="5"/>
        <v/>
      </c>
    </row>
    <row r="49" ht="15.75" customHeight="1">
      <c r="A49" s="34" t="s">
        <v>26</v>
      </c>
      <c r="B49" s="35">
        <f t="shared" si="6"/>
        <v>44974</v>
      </c>
      <c r="C49" s="36">
        <v>2.0</v>
      </c>
      <c r="D49" s="36" t="s">
        <v>36</v>
      </c>
      <c r="E49" s="38"/>
      <c r="F49" s="23"/>
      <c r="H49" s="24"/>
      <c r="J49" s="24"/>
      <c r="L49" s="24"/>
      <c r="M49" s="26"/>
      <c r="N49" s="23"/>
      <c r="P49" s="24"/>
      <c r="R49" s="24"/>
      <c r="T49" s="24"/>
      <c r="V49" s="25"/>
      <c r="X49" s="25"/>
      <c r="Y49" s="26"/>
      <c r="Z49" s="27"/>
      <c r="AB49" s="25"/>
      <c r="AD49" s="25"/>
      <c r="AF49" s="25"/>
      <c r="AH49" s="25"/>
      <c r="AJ49" s="25"/>
      <c r="AK49" s="26"/>
      <c r="AL49" s="39">
        <f t="shared" si="1"/>
        <v>0</v>
      </c>
      <c r="AM49" s="36">
        <f t="shared" si="2"/>
        <v>0</v>
      </c>
      <c r="AN49" s="36">
        <f t="shared" si="3"/>
        <v>0</v>
      </c>
      <c r="AO49" s="36">
        <f t="shared" si="4"/>
        <v>0</v>
      </c>
      <c r="AP49" s="40" t="str">
        <f t="shared" si="5"/>
        <v/>
      </c>
    </row>
    <row r="50" ht="15.75" customHeight="1">
      <c r="A50" s="34" t="s">
        <v>27</v>
      </c>
      <c r="B50" s="35">
        <f t="shared" si="6"/>
        <v>44975</v>
      </c>
      <c r="C50" s="36">
        <v>2.0</v>
      </c>
      <c r="D50" s="36" t="s">
        <v>36</v>
      </c>
      <c r="E50" s="38"/>
      <c r="F50" s="23"/>
      <c r="H50" s="24"/>
      <c r="J50" s="24"/>
      <c r="L50" s="24"/>
      <c r="M50" s="26"/>
      <c r="N50" s="23"/>
      <c r="P50" s="24"/>
      <c r="R50" s="24"/>
      <c r="T50" s="24"/>
      <c r="V50" s="25"/>
      <c r="X50" s="25"/>
      <c r="Y50" s="26"/>
      <c r="Z50" s="27"/>
      <c r="AB50" s="25"/>
      <c r="AD50" s="25"/>
      <c r="AF50" s="25"/>
      <c r="AH50" s="25"/>
      <c r="AJ50" s="25"/>
      <c r="AK50" s="26"/>
      <c r="AL50" s="39">
        <f t="shared" si="1"/>
        <v>0</v>
      </c>
      <c r="AM50" s="36">
        <f t="shared" si="2"/>
        <v>0</v>
      </c>
      <c r="AN50" s="36">
        <f t="shared" si="3"/>
        <v>0</v>
      </c>
      <c r="AO50" s="36">
        <f t="shared" si="4"/>
        <v>0</v>
      </c>
      <c r="AP50" s="40" t="str">
        <f t="shared" si="5"/>
        <v/>
      </c>
    </row>
    <row r="51" ht="15.75" customHeight="1">
      <c r="A51" s="46" t="s">
        <v>28</v>
      </c>
      <c r="B51" s="47">
        <f t="shared" si="6"/>
        <v>44976</v>
      </c>
      <c r="C51" s="49">
        <v>2.0</v>
      </c>
      <c r="D51" s="49" t="s">
        <v>36</v>
      </c>
      <c r="E51" s="52"/>
      <c r="F51" s="53"/>
      <c r="G51" s="55"/>
      <c r="H51" s="56"/>
      <c r="I51" s="55"/>
      <c r="J51" s="56"/>
      <c r="K51" s="55"/>
      <c r="L51" s="56"/>
      <c r="M51" s="58"/>
      <c r="N51" s="53"/>
      <c r="O51" s="55"/>
      <c r="P51" s="56"/>
      <c r="Q51" s="55"/>
      <c r="R51" s="56"/>
      <c r="S51" s="55"/>
      <c r="T51" s="56"/>
      <c r="U51" s="55"/>
      <c r="V51" s="57"/>
      <c r="W51" s="55"/>
      <c r="X51" s="57"/>
      <c r="Y51" s="58"/>
      <c r="Z51" s="59"/>
      <c r="AA51" s="55"/>
      <c r="AB51" s="57"/>
      <c r="AC51" s="55"/>
      <c r="AD51" s="57"/>
      <c r="AE51" s="55"/>
      <c r="AF51" s="57"/>
      <c r="AG51" s="55"/>
      <c r="AH51" s="57"/>
      <c r="AI51" s="55"/>
      <c r="AJ51" s="57"/>
      <c r="AK51" s="58"/>
      <c r="AL51" s="64">
        <f t="shared" si="1"/>
        <v>0</v>
      </c>
      <c r="AM51" s="49">
        <f t="shared" si="2"/>
        <v>0</v>
      </c>
      <c r="AN51" s="49">
        <f t="shared" si="3"/>
        <v>0</v>
      </c>
      <c r="AO51" s="49">
        <f t="shared" si="4"/>
        <v>0</v>
      </c>
      <c r="AP51" s="66" t="str">
        <f t="shared" si="5"/>
        <v/>
      </c>
    </row>
    <row r="52" ht="15.75" customHeight="1">
      <c r="A52" s="18" t="s">
        <v>21</v>
      </c>
      <c r="B52" s="68">
        <f t="shared" si="6"/>
        <v>44977</v>
      </c>
      <c r="C52" s="20">
        <v>2.0</v>
      </c>
      <c r="D52" s="20" t="s">
        <v>37</v>
      </c>
      <c r="E52" s="22"/>
      <c r="F52" s="70"/>
      <c r="G52" s="71"/>
      <c r="H52" s="72"/>
      <c r="I52" s="71"/>
      <c r="J52" s="72"/>
      <c r="K52" s="71"/>
      <c r="L52" s="72"/>
      <c r="M52" s="73"/>
      <c r="N52" s="23"/>
      <c r="P52" s="24"/>
      <c r="R52" s="24"/>
      <c r="T52" s="24"/>
      <c r="V52" s="25"/>
      <c r="X52" s="25"/>
      <c r="Y52" s="26"/>
      <c r="Z52" s="27"/>
      <c r="AB52" s="25"/>
      <c r="AD52" s="25"/>
      <c r="AF52" s="25"/>
      <c r="AH52" s="25"/>
      <c r="AJ52" s="25"/>
      <c r="AK52" s="26"/>
      <c r="AL52" s="32">
        <f t="shared" si="1"/>
        <v>0</v>
      </c>
      <c r="AM52" s="20">
        <f t="shared" si="2"/>
        <v>0</v>
      </c>
      <c r="AN52" s="20">
        <f t="shared" si="3"/>
        <v>0</v>
      </c>
      <c r="AO52" s="20">
        <f t="shared" si="4"/>
        <v>0</v>
      </c>
      <c r="AP52" s="33" t="str">
        <f t="shared" si="5"/>
        <v/>
      </c>
    </row>
    <row r="53" ht="15.75" customHeight="1">
      <c r="A53" s="34" t="s">
        <v>23</v>
      </c>
      <c r="B53" s="35">
        <f t="shared" si="6"/>
        <v>44978</v>
      </c>
      <c r="C53" s="36">
        <v>2.0</v>
      </c>
      <c r="D53" s="36" t="s">
        <v>37</v>
      </c>
      <c r="E53" s="38"/>
      <c r="F53" s="23"/>
      <c r="H53" s="24"/>
      <c r="J53" s="24"/>
      <c r="L53" s="24"/>
      <c r="M53" s="26"/>
      <c r="N53" s="23"/>
      <c r="P53" s="24"/>
      <c r="R53" s="24"/>
      <c r="T53" s="24"/>
      <c r="V53" s="25"/>
      <c r="X53" s="25"/>
      <c r="Y53" s="26"/>
      <c r="Z53" s="27"/>
      <c r="AB53" s="25"/>
      <c r="AD53" s="25"/>
      <c r="AF53" s="25"/>
      <c r="AH53" s="25"/>
      <c r="AJ53" s="25"/>
      <c r="AK53" s="26"/>
      <c r="AL53" s="39">
        <f t="shared" si="1"/>
        <v>0</v>
      </c>
      <c r="AM53" s="36">
        <f t="shared" si="2"/>
        <v>0</v>
      </c>
      <c r="AN53" s="36">
        <f t="shared" si="3"/>
        <v>0</v>
      </c>
      <c r="AO53" s="36">
        <f t="shared" si="4"/>
        <v>0</v>
      </c>
      <c r="AP53" s="40" t="str">
        <f t="shared" si="5"/>
        <v/>
      </c>
    </row>
    <row r="54" ht="15.75" customHeight="1">
      <c r="A54" s="34" t="s">
        <v>24</v>
      </c>
      <c r="B54" s="35">
        <f t="shared" si="6"/>
        <v>44979</v>
      </c>
      <c r="C54" s="36">
        <v>2.0</v>
      </c>
      <c r="D54" s="36" t="s">
        <v>37</v>
      </c>
      <c r="E54" s="38"/>
      <c r="F54" s="23"/>
      <c r="H54" s="24"/>
      <c r="J54" s="24"/>
      <c r="L54" s="24"/>
      <c r="M54" s="26"/>
      <c r="N54" s="23"/>
      <c r="P54" s="24"/>
      <c r="R54" s="24"/>
      <c r="T54" s="24"/>
      <c r="V54" s="25"/>
      <c r="X54" s="25"/>
      <c r="Y54" s="26"/>
      <c r="Z54" s="27"/>
      <c r="AB54" s="25"/>
      <c r="AD54" s="25"/>
      <c r="AF54" s="25"/>
      <c r="AH54" s="25"/>
      <c r="AJ54" s="25"/>
      <c r="AK54" s="26"/>
      <c r="AL54" s="39">
        <f t="shared" si="1"/>
        <v>0</v>
      </c>
      <c r="AM54" s="36">
        <f t="shared" si="2"/>
        <v>0</v>
      </c>
      <c r="AN54" s="36">
        <f t="shared" si="3"/>
        <v>0</v>
      </c>
      <c r="AO54" s="36">
        <f t="shared" si="4"/>
        <v>0</v>
      </c>
      <c r="AP54" s="40" t="str">
        <f t="shared" si="5"/>
        <v/>
      </c>
    </row>
    <row r="55" ht="15.75" customHeight="1">
      <c r="A55" s="34" t="s">
        <v>25</v>
      </c>
      <c r="B55" s="35">
        <f t="shared" si="6"/>
        <v>44980</v>
      </c>
      <c r="C55" s="36">
        <v>2.0</v>
      </c>
      <c r="D55" s="36" t="s">
        <v>37</v>
      </c>
      <c r="E55" s="38"/>
      <c r="F55" s="23"/>
      <c r="H55" s="24"/>
      <c r="J55" s="24"/>
      <c r="L55" s="24"/>
      <c r="M55" s="26"/>
      <c r="N55" s="23"/>
      <c r="P55" s="24"/>
      <c r="R55" s="24"/>
      <c r="T55" s="24"/>
      <c r="V55" s="25"/>
      <c r="X55" s="25"/>
      <c r="Y55" s="26"/>
      <c r="Z55" s="27"/>
      <c r="AB55" s="25"/>
      <c r="AD55" s="25"/>
      <c r="AF55" s="25"/>
      <c r="AH55" s="25"/>
      <c r="AJ55" s="25"/>
      <c r="AK55" s="26"/>
      <c r="AL55" s="39">
        <f t="shared" si="1"/>
        <v>0</v>
      </c>
      <c r="AM55" s="36">
        <f t="shared" si="2"/>
        <v>0</v>
      </c>
      <c r="AN55" s="36">
        <f t="shared" si="3"/>
        <v>0</v>
      </c>
      <c r="AO55" s="36">
        <f t="shared" si="4"/>
        <v>0</v>
      </c>
      <c r="AP55" s="40" t="str">
        <f t="shared" si="5"/>
        <v/>
      </c>
    </row>
    <row r="56" ht="15.75" customHeight="1">
      <c r="A56" s="34" t="s">
        <v>26</v>
      </c>
      <c r="B56" s="35">
        <f t="shared" si="6"/>
        <v>44981</v>
      </c>
      <c r="C56" s="36">
        <v>2.0</v>
      </c>
      <c r="D56" s="36" t="s">
        <v>37</v>
      </c>
      <c r="E56" s="38"/>
      <c r="F56" s="23"/>
      <c r="H56" s="24"/>
      <c r="J56" s="24"/>
      <c r="L56" s="24"/>
      <c r="M56" s="26"/>
      <c r="N56" s="23"/>
      <c r="P56" s="24"/>
      <c r="R56" s="24"/>
      <c r="T56" s="24"/>
      <c r="V56" s="25"/>
      <c r="X56" s="25"/>
      <c r="Y56" s="26"/>
      <c r="Z56" s="27"/>
      <c r="AB56" s="25"/>
      <c r="AD56" s="25"/>
      <c r="AF56" s="25"/>
      <c r="AH56" s="25"/>
      <c r="AJ56" s="25"/>
      <c r="AK56" s="26"/>
      <c r="AL56" s="39">
        <f t="shared" si="1"/>
        <v>0</v>
      </c>
      <c r="AM56" s="36">
        <f t="shared" si="2"/>
        <v>0</v>
      </c>
      <c r="AN56" s="36">
        <f t="shared" si="3"/>
        <v>0</v>
      </c>
      <c r="AO56" s="36">
        <f t="shared" si="4"/>
        <v>0</v>
      </c>
      <c r="AP56" s="40" t="str">
        <f t="shared" si="5"/>
        <v/>
      </c>
    </row>
    <row r="57" ht="15.75" customHeight="1">
      <c r="A57" s="34" t="s">
        <v>27</v>
      </c>
      <c r="B57" s="35">
        <f t="shared" si="6"/>
        <v>44982</v>
      </c>
      <c r="C57" s="36">
        <v>2.0</v>
      </c>
      <c r="D57" s="36" t="s">
        <v>37</v>
      </c>
      <c r="E57" s="38"/>
      <c r="F57" s="23"/>
      <c r="H57" s="24"/>
      <c r="J57" s="24"/>
      <c r="L57" s="24"/>
      <c r="M57" s="26"/>
      <c r="N57" s="23"/>
      <c r="P57" s="24"/>
      <c r="R57" s="24"/>
      <c r="T57" s="24"/>
      <c r="V57" s="25"/>
      <c r="X57" s="25"/>
      <c r="Y57" s="26"/>
      <c r="Z57" s="27"/>
      <c r="AB57" s="25"/>
      <c r="AD57" s="25"/>
      <c r="AF57" s="25"/>
      <c r="AH57" s="25"/>
      <c r="AJ57" s="25"/>
      <c r="AK57" s="26"/>
      <c r="AL57" s="39">
        <f t="shared" si="1"/>
        <v>0</v>
      </c>
      <c r="AM57" s="36">
        <f t="shared" si="2"/>
        <v>0</v>
      </c>
      <c r="AN57" s="36">
        <f t="shared" si="3"/>
        <v>0</v>
      </c>
      <c r="AO57" s="36">
        <f t="shared" si="4"/>
        <v>0</v>
      </c>
      <c r="AP57" s="40" t="str">
        <f t="shared" si="5"/>
        <v/>
      </c>
    </row>
    <row r="58" ht="15.75" customHeight="1">
      <c r="A58" s="46" t="s">
        <v>28</v>
      </c>
      <c r="B58" s="47">
        <f t="shared" si="6"/>
        <v>44983</v>
      </c>
      <c r="C58" s="49">
        <v>2.0</v>
      </c>
      <c r="D58" s="49" t="s">
        <v>37</v>
      </c>
      <c r="E58" s="52"/>
      <c r="F58" s="53"/>
      <c r="G58" s="55"/>
      <c r="H58" s="56"/>
      <c r="I58" s="55"/>
      <c r="J58" s="56"/>
      <c r="K58" s="55"/>
      <c r="L58" s="56"/>
      <c r="M58" s="58"/>
      <c r="N58" s="53"/>
      <c r="O58" s="55"/>
      <c r="P58" s="56"/>
      <c r="Q58" s="55"/>
      <c r="R58" s="56"/>
      <c r="S58" s="55"/>
      <c r="T58" s="56"/>
      <c r="U58" s="55"/>
      <c r="V58" s="57"/>
      <c r="W58" s="55"/>
      <c r="X58" s="57"/>
      <c r="Y58" s="58"/>
      <c r="Z58" s="59"/>
      <c r="AA58" s="55"/>
      <c r="AB58" s="57"/>
      <c r="AC58" s="55"/>
      <c r="AD58" s="57"/>
      <c r="AE58" s="55"/>
      <c r="AF58" s="57"/>
      <c r="AG58" s="55"/>
      <c r="AH58" s="57"/>
      <c r="AI58" s="55"/>
      <c r="AJ58" s="57"/>
      <c r="AK58" s="58"/>
      <c r="AL58" s="64">
        <f t="shared" si="1"/>
        <v>0</v>
      </c>
      <c r="AM58" s="49">
        <f t="shared" si="2"/>
        <v>0</v>
      </c>
      <c r="AN58" s="49">
        <f t="shared" si="3"/>
        <v>0</v>
      </c>
      <c r="AO58" s="49">
        <f t="shared" si="4"/>
        <v>0</v>
      </c>
      <c r="AP58" s="66" t="str">
        <f t="shared" si="5"/>
        <v/>
      </c>
    </row>
    <row r="59" ht="15.75" customHeight="1">
      <c r="A59" s="18" t="s">
        <v>21</v>
      </c>
      <c r="B59" s="68">
        <f t="shared" si="6"/>
        <v>44984</v>
      </c>
      <c r="C59" s="20">
        <v>3.0</v>
      </c>
      <c r="D59" s="20" t="s">
        <v>22</v>
      </c>
      <c r="E59" s="22"/>
      <c r="F59" s="70"/>
      <c r="G59" s="71"/>
      <c r="H59" s="72"/>
      <c r="I59" s="71"/>
      <c r="J59" s="72"/>
      <c r="K59" s="71"/>
      <c r="L59" s="72"/>
      <c r="M59" s="73"/>
      <c r="N59" s="23"/>
      <c r="P59" s="24"/>
      <c r="R59" s="24"/>
      <c r="T59" s="24"/>
      <c r="V59" s="25"/>
      <c r="X59" s="25"/>
      <c r="Y59" s="26"/>
      <c r="Z59" s="27"/>
      <c r="AB59" s="25"/>
      <c r="AD59" s="25"/>
      <c r="AF59" s="25"/>
      <c r="AH59" s="25"/>
      <c r="AJ59" s="25"/>
      <c r="AK59" s="26"/>
      <c r="AL59" s="32">
        <f t="shared" si="1"/>
        <v>0</v>
      </c>
      <c r="AM59" s="20">
        <f t="shared" si="2"/>
        <v>0</v>
      </c>
      <c r="AN59" s="20">
        <f t="shared" si="3"/>
        <v>0</v>
      </c>
      <c r="AO59" s="20">
        <f t="shared" si="4"/>
        <v>0</v>
      </c>
      <c r="AP59" s="33" t="str">
        <f t="shared" si="5"/>
        <v/>
      </c>
    </row>
    <row r="60" ht="15.75" customHeight="1">
      <c r="A60" s="34" t="s">
        <v>23</v>
      </c>
      <c r="B60" s="35">
        <f t="shared" si="6"/>
        <v>44985</v>
      </c>
      <c r="C60" s="36">
        <v>3.0</v>
      </c>
      <c r="D60" s="36" t="s">
        <v>22</v>
      </c>
      <c r="E60" s="38"/>
      <c r="F60" s="23"/>
      <c r="H60" s="24"/>
      <c r="J60" s="24"/>
      <c r="L60" s="24"/>
      <c r="M60" s="26"/>
      <c r="N60" s="23"/>
      <c r="P60" s="24"/>
      <c r="R60" s="24"/>
      <c r="T60" s="24"/>
      <c r="V60" s="25"/>
      <c r="X60" s="25"/>
      <c r="Y60" s="26"/>
      <c r="Z60" s="27"/>
      <c r="AB60" s="25"/>
      <c r="AD60" s="25"/>
      <c r="AF60" s="25"/>
      <c r="AH60" s="25"/>
      <c r="AJ60" s="25"/>
      <c r="AK60" s="26"/>
      <c r="AL60" s="39">
        <f t="shared" si="1"/>
        <v>0</v>
      </c>
      <c r="AM60" s="36">
        <f t="shared" si="2"/>
        <v>0</v>
      </c>
      <c r="AN60" s="36">
        <f t="shared" si="3"/>
        <v>0</v>
      </c>
      <c r="AO60" s="36">
        <f t="shared" si="4"/>
        <v>0</v>
      </c>
      <c r="AP60" s="40" t="str">
        <f t="shared" si="5"/>
        <v/>
      </c>
    </row>
    <row r="61" ht="15.75" customHeight="1">
      <c r="A61" s="34" t="s">
        <v>24</v>
      </c>
      <c r="B61" s="35">
        <f t="shared" si="6"/>
        <v>44986</v>
      </c>
      <c r="C61" s="36">
        <v>3.0</v>
      </c>
      <c r="D61" s="36" t="s">
        <v>22</v>
      </c>
      <c r="E61" s="38"/>
      <c r="F61" s="23"/>
      <c r="H61" s="24"/>
      <c r="J61" s="24"/>
      <c r="L61" s="24"/>
      <c r="M61" s="26"/>
      <c r="N61" s="23"/>
      <c r="P61" s="24"/>
      <c r="R61" s="24"/>
      <c r="T61" s="24"/>
      <c r="V61" s="25"/>
      <c r="X61" s="25"/>
      <c r="Y61" s="26"/>
      <c r="Z61" s="27"/>
      <c r="AB61" s="25"/>
      <c r="AD61" s="25"/>
      <c r="AF61" s="25"/>
      <c r="AH61" s="25"/>
      <c r="AJ61" s="25"/>
      <c r="AK61" s="26"/>
      <c r="AL61" s="39">
        <f t="shared" si="1"/>
        <v>0</v>
      </c>
      <c r="AM61" s="36">
        <f t="shared" si="2"/>
        <v>0</v>
      </c>
      <c r="AN61" s="36">
        <f t="shared" si="3"/>
        <v>0</v>
      </c>
      <c r="AO61" s="36">
        <f t="shared" si="4"/>
        <v>0</v>
      </c>
      <c r="AP61" s="40" t="str">
        <f t="shared" si="5"/>
        <v/>
      </c>
    </row>
    <row r="62" ht="15.75" customHeight="1">
      <c r="A62" s="34" t="s">
        <v>25</v>
      </c>
      <c r="B62" s="35">
        <f t="shared" si="6"/>
        <v>44987</v>
      </c>
      <c r="C62" s="36">
        <v>3.0</v>
      </c>
      <c r="D62" s="36" t="s">
        <v>22</v>
      </c>
      <c r="E62" s="38"/>
      <c r="F62" s="23"/>
      <c r="H62" s="24"/>
      <c r="J62" s="24"/>
      <c r="L62" s="24"/>
      <c r="M62" s="26"/>
      <c r="N62" s="23"/>
      <c r="P62" s="24"/>
      <c r="R62" s="24"/>
      <c r="T62" s="24"/>
      <c r="V62" s="25"/>
      <c r="X62" s="25"/>
      <c r="Y62" s="26"/>
      <c r="Z62" s="27"/>
      <c r="AB62" s="25"/>
      <c r="AD62" s="25"/>
      <c r="AF62" s="25"/>
      <c r="AH62" s="25"/>
      <c r="AJ62" s="25"/>
      <c r="AK62" s="26"/>
      <c r="AL62" s="39">
        <f t="shared" si="1"/>
        <v>0</v>
      </c>
      <c r="AM62" s="36">
        <f t="shared" si="2"/>
        <v>0</v>
      </c>
      <c r="AN62" s="36">
        <f t="shared" si="3"/>
        <v>0</v>
      </c>
      <c r="AO62" s="36">
        <f t="shared" si="4"/>
        <v>0</v>
      </c>
      <c r="AP62" s="40" t="str">
        <f t="shared" si="5"/>
        <v/>
      </c>
    </row>
    <row r="63" ht="15.75" customHeight="1">
      <c r="A63" s="34" t="s">
        <v>26</v>
      </c>
      <c r="B63" s="35">
        <f t="shared" si="6"/>
        <v>44988</v>
      </c>
      <c r="C63" s="36">
        <v>3.0</v>
      </c>
      <c r="D63" s="36" t="s">
        <v>22</v>
      </c>
      <c r="E63" s="38"/>
      <c r="F63" s="23"/>
      <c r="H63" s="24"/>
      <c r="J63" s="24"/>
      <c r="L63" s="24"/>
      <c r="M63" s="26"/>
      <c r="N63" s="23"/>
      <c r="P63" s="24"/>
      <c r="R63" s="24"/>
      <c r="T63" s="24"/>
      <c r="V63" s="25"/>
      <c r="X63" s="25"/>
      <c r="Y63" s="26"/>
      <c r="Z63" s="27"/>
      <c r="AB63" s="25"/>
      <c r="AD63" s="25"/>
      <c r="AF63" s="25"/>
      <c r="AH63" s="25"/>
      <c r="AJ63" s="25"/>
      <c r="AK63" s="26"/>
      <c r="AL63" s="39">
        <f t="shared" si="1"/>
        <v>0</v>
      </c>
      <c r="AM63" s="36">
        <f t="shared" si="2"/>
        <v>0</v>
      </c>
      <c r="AN63" s="36">
        <f t="shared" si="3"/>
        <v>0</v>
      </c>
      <c r="AO63" s="36">
        <f t="shared" si="4"/>
        <v>0</v>
      </c>
      <c r="AP63" s="40" t="str">
        <f t="shared" si="5"/>
        <v/>
      </c>
    </row>
    <row r="64" ht="15.75" customHeight="1">
      <c r="A64" s="34" t="s">
        <v>27</v>
      </c>
      <c r="B64" s="35">
        <f t="shared" si="6"/>
        <v>44989</v>
      </c>
      <c r="C64" s="36">
        <v>3.0</v>
      </c>
      <c r="D64" s="36" t="s">
        <v>22</v>
      </c>
      <c r="E64" s="38"/>
      <c r="F64" s="23"/>
      <c r="H64" s="24"/>
      <c r="J64" s="24"/>
      <c r="L64" s="24"/>
      <c r="M64" s="26"/>
      <c r="N64" s="23"/>
      <c r="P64" s="24"/>
      <c r="R64" s="24"/>
      <c r="T64" s="24"/>
      <c r="V64" s="25"/>
      <c r="X64" s="25"/>
      <c r="Y64" s="26"/>
      <c r="Z64" s="27"/>
      <c r="AB64" s="25"/>
      <c r="AD64" s="25"/>
      <c r="AF64" s="25"/>
      <c r="AH64" s="25"/>
      <c r="AJ64" s="25"/>
      <c r="AK64" s="26"/>
      <c r="AL64" s="39">
        <f t="shared" si="1"/>
        <v>0</v>
      </c>
      <c r="AM64" s="36">
        <f t="shared" si="2"/>
        <v>0</v>
      </c>
      <c r="AN64" s="36">
        <f t="shared" si="3"/>
        <v>0</v>
      </c>
      <c r="AO64" s="36">
        <f t="shared" si="4"/>
        <v>0</v>
      </c>
      <c r="AP64" s="40" t="str">
        <f t="shared" si="5"/>
        <v/>
      </c>
    </row>
    <row r="65" ht="15.75" customHeight="1">
      <c r="A65" s="46" t="s">
        <v>28</v>
      </c>
      <c r="B65" s="47">
        <f t="shared" si="6"/>
        <v>44990</v>
      </c>
      <c r="C65" s="49">
        <v>3.0</v>
      </c>
      <c r="D65" s="49" t="s">
        <v>22</v>
      </c>
      <c r="E65" s="52"/>
      <c r="F65" s="53"/>
      <c r="G65" s="55"/>
      <c r="H65" s="56"/>
      <c r="I65" s="55"/>
      <c r="J65" s="56"/>
      <c r="K65" s="55"/>
      <c r="L65" s="56"/>
      <c r="M65" s="58"/>
      <c r="N65" s="53"/>
      <c r="O65" s="55"/>
      <c r="P65" s="56"/>
      <c r="Q65" s="55"/>
      <c r="R65" s="56"/>
      <c r="S65" s="55"/>
      <c r="T65" s="56"/>
      <c r="U65" s="55"/>
      <c r="V65" s="57"/>
      <c r="W65" s="55"/>
      <c r="X65" s="57"/>
      <c r="Y65" s="58"/>
      <c r="Z65" s="59"/>
      <c r="AA65" s="55"/>
      <c r="AB65" s="57"/>
      <c r="AC65" s="55"/>
      <c r="AD65" s="57"/>
      <c r="AE65" s="55"/>
      <c r="AF65" s="57"/>
      <c r="AG65" s="55"/>
      <c r="AH65" s="57"/>
      <c r="AI65" s="55"/>
      <c r="AJ65" s="57"/>
      <c r="AK65" s="58"/>
      <c r="AL65" s="64">
        <f t="shared" si="1"/>
        <v>0</v>
      </c>
      <c r="AM65" s="49">
        <f t="shared" si="2"/>
        <v>0</v>
      </c>
      <c r="AN65" s="49">
        <f t="shared" si="3"/>
        <v>0</v>
      </c>
      <c r="AO65" s="49">
        <f t="shared" si="4"/>
        <v>0</v>
      </c>
      <c r="AP65" s="66" t="str">
        <f t="shared" si="5"/>
        <v/>
      </c>
    </row>
    <row r="66" ht="15.75" customHeight="1">
      <c r="A66" s="18" t="s">
        <v>21</v>
      </c>
      <c r="B66" s="68">
        <f t="shared" si="6"/>
        <v>44991</v>
      </c>
      <c r="C66" s="20">
        <v>3.0</v>
      </c>
      <c r="D66" s="20" t="s">
        <v>34</v>
      </c>
      <c r="E66" s="22"/>
      <c r="F66" s="70"/>
      <c r="G66" s="71"/>
      <c r="H66" s="72"/>
      <c r="I66" s="71"/>
      <c r="J66" s="72"/>
      <c r="K66" s="71"/>
      <c r="L66" s="72"/>
      <c r="M66" s="73"/>
      <c r="N66" s="23"/>
      <c r="P66" s="24"/>
      <c r="R66" s="24"/>
      <c r="T66" s="24"/>
      <c r="V66" s="25"/>
      <c r="X66" s="25"/>
      <c r="Y66" s="26"/>
      <c r="Z66" s="27"/>
      <c r="AB66" s="25"/>
      <c r="AD66" s="25"/>
      <c r="AF66" s="25"/>
      <c r="AH66" s="25"/>
      <c r="AJ66" s="25"/>
      <c r="AK66" s="26"/>
      <c r="AL66" s="32">
        <f t="shared" si="1"/>
        <v>0</v>
      </c>
      <c r="AM66" s="20">
        <f t="shared" si="2"/>
        <v>0</v>
      </c>
      <c r="AN66" s="20">
        <f t="shared" si="3"/>
        <v>0</v>
      </c>
      <c r="AO66" s="20">
        <f t="shared" si="4"/>
        <v>0</v>
      </c>
      <c r="AP66" s="33" t="str">
        <f t="shared" si="5"/>
        <v/>
      </c>
    </row>
    <row r="67" ht="15.75" customHeight="1">
      <c r="A67" s="34" t="s">
        <v>23</v>
      </c>
      <c r="B67" s="35">
        <f t="shared" si="6"/>
        <v>44992</v>
      </c>
      <c r="C67" s="36">
        <v>3.0</v>
      </c>
      <c r="D67" s="36" t="s">
        <v>34</v>
      </c>
      <c r="E67" s="38"/>
      <c r="F67" s="23"/>
      <c r="H67" s="24"/>
      <c r="J67" s="24"/>
      <c r="L67" s="24"/>
      <c r="M67" s="26"/>
      <c r="N67" s="23"/>
      <c r="P67" s="24"/>
      <c r="R67" s="24"/>
      <c r="T67" s="24"/>
      <c r="V67" s="25"/>
      <c r="X67" s="25"/>
      <c r="Y67" s="26"/>
      <c r="Z67" s="27"/>
      <c r="AB67" s="25"/>
      <c r="AD67" s="25"/>
      <c r="AF67" s="25"/>
      <c r="AH67" s="25"/>
      <c r="AJ67" s="25"/>
      <c r="AK67" s="26"/>
      <c r="AL67" s="39">
        <f t="shared" si="1"/>
        <v>0</v>
      </c>
      <c r="AM67" s="36">
        <f t="shared" si="2"/>
        <v>0</v>
      </c>
      <c r="AN67" s="36">
        <f t="shared" si="3"/>
        <v>0</v>
      </c>
      <c r="AO67" s="36">
        <f t="shared" si="4"/>
        <v>0</v>
      </c>
      <c r="AP67" s="40" t="str">
        <f t="shared" si="5"/>
        <v/>
      </c>
    </row>
    <row r="68" ht="15.75" customHeight="1">
      <c r="A68" s="34" t="s">
        <v>24</v>
      </c>
      <c r="B68" s="35">
        <f t="shared" si="6"/>
        <v>44993</v>
      </c>
      <c r="C68" s="36">
        <v>3.0</v>
      </c>
      <c r="D68" s="36" t="s">
        <v>34</v>
      </c>
      <c r="E68" s="38"/>
      <c r="F68" s="23"/>
      <c r="H68" s="24"/>
      <c r="J68" s="24"/>
      <c r="L68" s="24"/>
      <c r="M68" s="26"/>
      <c r="N68" s="23"/>
      <c r="P68" s="24"/>
      <c r="R68" s="24"/>
      <c r="T68" s="24"/>
      <c r="V68" s="25"/>
      <c r="X68" s="25"/>
      <c r="Y68" s="26"/>
      <c r="Z68" s="27"/>
      <c r="AB68" s="25"/>
      <c r="AD68" s="25"/>
      <c r="AF68" s="25"/>
      <c r="AH68" s="25"/>
      <c r="AJ68" s="25"/>
      <c r="AK68" s="26"/>
      <c r="AL68" s="39">
        <f t="shared" si="1"/>
        <v>0</v>
      </c>
      <c r="AM68" s="36">
        <f t="shared" si="2"/>
        <v>0</v>
      </c>
      <c r="AN68" s="36">
        <f t="shared" si="3"/>
        <v>0</v>
      </c>
      <c r="AO68" s="36">
        <f t="shared" si="4"/>
        <v>0</v>
      </c>
      <c r="AP68" s="40" t="str">
        <f t="shared" si="5"/>
        <v/>
      </c>
    </row>
    <row r="69" ht="15.75" customHeight="1">
      <c r="A69" s="34" t="s">
        <v>25</v>
      </c>
      <c r="B69" s="35">
        <f t="shared" si="6"/>
        <v>44994</v>
      </c>
      <c r="C69" s="36">
        <v>3.0</v>
      </c>
      <c r="D69" s="36" t="s">
        <v>34</v>
      </c>
      <c r="E69" s="38"/>
      <c r="F69" s="23"/>
      <c r="H69" s="24"/>
      <c r="J69" s="24"/>
      <c r="L69" s="24"/>
      <c r="M69" s="26"/>
      <c r="N69" s="23"/>
      <c r="P69" s="24"/>
      <c r="R69" s="24"/>
      <c r="T69" s="24"/>
      <c r="V69" s="25"/>
      <c r="X69" s="25"/>
      <c r="Y69" s="26"/>
      <c r="Z69" s="27"/>
      <c r="AB69" s="25"/>
      <c r="AD69" s="25"/>
      <c r="AF69" s="25"/>
      <c r="AH69" s="25"/>
      <c r="AJ69" s="25"/>
      <c r="AK69" s="26"/>
      <c r="AL69" s="39">
        <f t="shared" si="1"/>
        <v>0</v>
      </c>
      <c r="AM69" s="36">
        <f t="shared" si="2"/>
        <v>0</v>
      </c>
      <c r="AN69" s="36">
        <f t="shared" si="3"/>
        <v>0</v>
      </c>
      <c r="AO69" s="36">
        <f t="shared" si="4"/>
        <v>0</v>
      </c>
      <c r="AP69" s="40" t="str">
        <f t="shared" si="5"/>
        <v/>
      </c>
    </row>
    <row r="70" ht="15.75" customHeight="1">
      <c r="A70" s="34" t="s">
        <v>26</v>
      </c>
      <c r="B70" s="35">
        <f t="shared" si="6"/>
        <v>44995</v>
      </c>
      <c r="C70" s="36">
        <v>3.0</v>
      </c>
      <c r="D70" s="36" t="s">
        <v>34</v>
      </c>
      <c r="E70" s="38"/>
      <c r="F70" s="23"/>
      <c r="H70" s="24"/>
      <c r="J70" s="24"/>
      <c r="L70" s="24"/>
      <c r="M70" s="26"/>
      <c r="N70" s="23"/>
      <c r="P70" s="24"/>
      <c r="R70" s="24"/>
      <c r="T70" s="24"/>
      <c r="V70" s="25"/>
      <c r="X70" s="25"/>
      <c r="Y70" s="26"/>
      <c r="Z70" s="27"/>
      <c r="AB70" s="25"/>
      <c r="AD70" s="25"/>
      <c r="AF70" s="25"/>
      <c r="AH70" s="25"/>
      <c r="AJ70" s="25"/>
      <c r="AK70" s="26"/>
      <c r="AL70" s="39">
        <f t="shared" si="1"/>
        <v>0</v>
      </c>
      <c r="AM70" s="36">
        <f t="shared" si="2"/>
        <v>0</v>
      </c>
      <c r="AN70" s="36">
        <f t="shared" si="3"/>
        <v>0</v>
      </c>
      <c r="AO70" s="36">
        <f t="shared" si="4"/>
        <v>0</v>
      </c>
      <c r="AP70" s="40" t="str">
        <f t="shared" si="5"/>
        <v/>
      </c>
    </row>
    <row r="71" ht="15.75" customHeight="1">
      <c r="A71" s="34" t="s">
        <v>27</v>
      </c>
      <c r="B71" s="35">
        <f t="shared" si="6"/>
        <v>44996</v>
      </c>
      <c r="C71" s="36">
        <v>3.0</v>
      </c>
      <c r="D71" s="36" t="s">
        <v>34</v>
      </c>
      <c r="E71" s="38"/>
      <c r="F71" s="23"/>
      <c r="H71" s="24"/>
      <c r="J71" s="24"/>
      <c r="L71" s="24"/>
      <c r="M71" s="26"/>
      <c r="N71" s="23"/>
      <c r="P71" s="24"/>
      <c r="R71" s="24"/>
      <c r="T71" s="24"/>
      <c r="V71" s="25"/>
      <c r="X71" s="25"/>
      <c r="Y71" s="26"/>
      <c r="Z71" s="27"/>
      <c r="AB71" s="25"/>
      <c r="AD71" s="25"/>
      <c r="AF71" s="25"/>
      <c r="AH71" s="25"/>
      <c r="AJ71" s="25"/>
      <c r="AK71" s="26"/>
      <c r="AL71" s="39">
        <f t="shared" si="1"/>
        <v>0</v>
      </c>
      <c r="AM71" s="36">
        <f t="shared" si="2"/>
        <v>0</v>
      </c>
      <c r="AN71" s="36">
        <f t="shared" si="3"/>
        <v>0</v>
      </c>
      <c r="AO71" s="36">
        <f t="shared" si="4"/>
        <v>0</v>
      </c>
      <c r="AP71" s="40" t="str">
        <f t="shared" si="5"/>
        <v/>
      </c>
    </row>
    <row r="72" ht="15.75" customHeight="1">
      <c r="A72" s="46" t="s">
        <v>28</v>
      </c>
      <c r="B72" s="47">
        <f t="shared" si="6"/>
        <v>44997</v>
      </c>
      <c r="C72" s="49">
        <v>3.0</v>
      </c>
      <c r="D72" s="49" t="s">
        <v>34</v>
      </c>
      <c r="E72" s="52"/>
      <c r="F72" s="53"/>
      <c r="G72" s="55"/>
      <c r="H72" s="56"/>
      <c r="I72" s="55"/>
      <c r="J72" s="56"/>
      <c r="K72" s="55"/>
      <c r="L72" s="56"/>
      <c r="M72" s="58"/>
      <c r="N72" s="53"/>
      <c r="O72" s="55"/>
      <c r="P72" s="56"/>
      <c r="Q72" s="55"/>
      <c r="R72" s="56"/>
      <c r="S72" s="55"/>
      <c r="T72" s="56"/>
      <c r="U72" s="55"/>
      <c r="V72" s="57"/>
      <c r="W72" s="55"/>
      <c r="X72" s="57"/>
      <c r="Y72" s="58"/>
      <c r="Z72" s="59"/>
      <c r="AA72" s="55"/>
      <c r="AB72" s="57"/>
      <c r="AC72" s="55"/>
      <c r="AD72" s="57"/>
      <c r="AE72" s="55"/>
      <c r="AF72" s="57"/>
      <c r="AG72" s="55"/>
      <c r="AH72" s="57"/>
      <c r="AI72" s="55"/>
      <c r="AJ72" s="57"/>
      <c r="AK72" s="58"/>
      <c r="AL72" s="64">
        <f t="shared" si="1"/>
        <v>0</v>
      </c>
      <c r="AM72" s="49">
        <f t="shared" si="2"/>
        <v>0</v>
      </c>
      <c r="AN72" s="49">
        <f t="shared" si="3"/>
        <v>0</v>
      </c>
      <c r="AO72" s="49">
        <f t="shared" si="4"/>
        <v>0</v>
      </c>
      <c r="AP72" s="66" t="str">
        <f t="shared" si="5"/>
        <v/>
      </c>
    </row>
    <row r="73" ht="15.75" customHeight="1">
      <c r="A73" s="18" t="s">
        <v>21</v>
      </c>
      <c r="B73" s="68">
        <f t="shared" si="6"/>
        <v>44998</v>
      </c>
      <c r="C73" s="20">
        <v>3.0</v>
      </c>
      <c r="D73" s="20" t="s">
        <v>36</v>
      </c>
      <c r="E73" s="22"/>
      <c r="F73" s="70"/>
      <c r="G73" s="71"/>
      <c r="H73" s="72"/>
      <c r="I73" s="71"/>
      <c r="J73" s="72"/>
      <c r="K73" s="71"/>
      <c r="L73" s="72"/>
      <c r="M73" s="73"/>
      <c r="N73" s="23"/>
      <c r="P73" s="24"/>
      <c r="R73" s="24"/>
      <c r="T73" s="24"/>
      <c r="V73" s="25"/>
      <c r="X73" s="25"/>
      <c r="Y73" s="26"/>
      <c r="Z73" s="27"/>
      <c r="AB73" s="25"/>
      <c r="AD73" s="25"/>
      <c r="AF73" s="25"/>
      <c r="AH73" s="25"/>
      <c r="AJ73" s="25"/>
      <c r="AK73" s="26"/>
      <c r="AL73" s="32">
        <f t="shared" si="1"/>
        <v>0</v>
      </c>
      <c r="AM73" s="20">
        <f t="shared" si="2"/>
        <v>0</v>
      </c>
      <c r="AN73" s="20">
        <f t="shared" si="3"/>
        <v>0</v>
      </c>
      <c r="AO73" s="20">
        <f t="shared" si="4"/>
        <v>0</v>
      </c>
      <c r="AP73" s="33" t="str">
        <f t="shared" si="5"/>
        <v/>
      </c>
    </row>
    <row r="74" ht="15.75" customHeight="1">
      <c r="A74" s="34" t="s">
        <v>23</v>
      </c>
      <c r="B74" s="35">
        <f t="shared" si="6"/>
        <v>44999</v>
      </c>
      <c r="C74" s="36">
        <v>3.0</v>
      </c>
      <c r="D74" s="36" t="s">
        <v>36</v>
      </c>
      <c r="E74" s="38"/>
      <c r="F74" s="23"/>
      <c r="H74" s="24"/>
      <c r="J74" s="24"/>
      <c r="L74" s="24"/>
      <c r="M74" s="26"/>
      <c r="N74" s="23"/>
      <c r="P74" s="24"/>
      <c r="R74" s="24"/>
      <c r="T74" s="24"/>
      <c r="V74" s="25"/>
      <c r="X74" s="25"/>
      <c r="Y74" s="26"/>
      <c r="Z74" s="27"/>
      <c r="AB74" s="25"/>
      <c r="AD74" s="25"/>
      <c r="AF74" s="25"/>
      <c r="AH74" s="25"/>
      <c r="AJ74" s="25"/>
      <c r="AK74" s="26"/>
      <c r="AL74" s="39">
        <f t="shared" si="1"/>
        <v>0</v>
      </c>
      <c r="AM74" s="36">
        <f t="shared" si="2"/>
        <v>0</v>
      </c>
      <c r="AN74" s="36">
        <f t="shared" si="3"/>
        <v>0</v>
      </c>
      <c r="AO74" s="36">
        <f t="shared" si="4"/>
        <v>0</v>
      </c>
      <c r="AP74" s="40" t="str">
        <f t="shared" si="5"/>
        <v/>
      </c>
    </row>
    <row r="75" ht="15.75" customHeight="1">
      <c r="A75" s="34" t="s">
        <v>24</v>
      </c>
      <c r="B75" s="35">
        <f t="shared" si="6"/>
        <v>45000</v>
      </c>
      <c r="C75" s="36">
        <v>3.0</v>
      </c>
      <c r="D75" s="36" t="s">
        <v>36</v>
      </c>
      <c r="E75" s="38"/>
      <c r="F75" s="23"/>
      <c r="H75" s="24"/>
      <c r="J75" s="24"/>
      <c r="L75" s="24"/>
      <c r="M75" s="26"/>
      <c r="N75" s="23"/>
      <c r="P75" s="24"/>
      <c r="R75" s="24"/>
      <c r="T75" s="24"/>
      <c r="V75" s="25"/>
      <c r="X75" s="25"/>
      <c r="Y75" s="26"/>
      <c r="Z75" s="27"/>
      <c r="AB75" s="25"/>
      <c r="AD75" s="25"/>
      <c r="AF75" s="25"/>
      <c r="AH75" s="25"/>
      <c r="AJ75" s="25"/>
      <c r="AK75" s="26"/>
      <c r="AL75" s="39">
        <f t="shared" si="1"/>
        <v>0</v>
      </c>
      <c r="AM75" s="36">
        <f t="shared" si="2"/>
        <v>0</v>
      </c>
      <c r="AN75" s="36">
        <f t="shared" si="3"/>
        <v>0</v>
      </c>
      <c r="AO75" s="36">
        <f t="shared" si="4"/>
        <v>0</v>
      </c>
      <c r="AP75" s="40" t="str">
        <f t="shared" si="5"/>
        <v/>
      </c>
    </row>
    <row r="76" ht="15.75" customHeight="1">
      <c r="A76" s="34" t="s">
        <v>25</v>
      </c>
      <c r="B76" s="35">
        <f t="shared" si="6"/>
        <v>45001</v>
      </c>
      <c r="C76" s="36">
        <v>3.0</v>
      </c>
      <c r="D76" s="36" t="s">
        <v>36</v>
      </c>
      <c r="E76" s="38"/>
      <c r="F76" s="23"/>
      <c r="H76" s="24"/>
      <c r="J76" s="24"/>
      <c r="L76" s="24"/>
      <c r="M76" s="26"/>
      <c r="N76" s="23"/>
      <c r="P76" s="24"/>
      <c r="R76" s="24"/>
      <c r="T76" s="24"/>
      <c r="V76" s="25"/>
      <c r="X76" s="25"/>
      <c r="Y76" s="26"/>
      <c r="Z76" s="27"/>
      <c r="AB76" s="25"/>
      <c r="AD76" s="25"/>
      <c r="AF76" s="25"/>
      <c r="AH76" s="25"/>
      <c r="AJ76" s="25"/>
      <c r="AK76" s="26"/>
      <c r="AL76" s="39">
        <f t="shared" si="1"/>
        <v>0</v>
      </c>
      <c r="AM76" s="36">
        <f t="shared" si="2"/>
        <v>0</v>
      </c>
      <c r="AN76" s="36">
        <f t="shared" si="3"/>
        <v>0</v>
      </c>
      <c r="AO76" s="36">
        <f t="shared" si="4"/>
        <v>0</v>
      </c>
      <c r="AP76" s="40" t="str">
        <f t="shared" si="5"/>
        <v/>
      </c>
    </row>
    <row r="77" ht="15.75" customHeight="1">
      <c r="A77" s="34" t="s">
        <v>26</v>
      </c>
      <c r="B77" s="35">
        <f t="shared" si="6"/>
        <v>45002</v>
      </c>
      <c r="C77" s="36">
        <v>3.0</v>
      </c>
      <c r="D77" s="36" t="s">
        <v>36</v>
      </c>
      <c r="E77" s="38"/>
      <c r="F77" s="23"/>
      <c r="H77" s="24"/>
      <c r="J77" s="24"/>
      <c r="L77" s="24"/>
      <c r="M77" s="26"/>
      <c r="N77" s="23"/>
      <c r="P77" s="24"/>
      <c r="R77" s="24"/>
      <c r="T77" s="24"/>
      <c r="V77" s="25"/>
      <c r="X77" s="25"/>
      <c r="Y77" s="26"/>
      <c r="Z77" s="27"/>
      <c r="AB77" s="25"/>
      <c r="AD77" s="25"/>
      <c r="AF77" s="25"/>
      <c r="AH77" s="25"/>
      <c r="AJ77" s="25"/>
      <c r="AK77" s="26"/>
      <c r="AL77" s="39">
        <f t="shared" si="1"/>
        <v>0</v>
      </c>
      <c r="AM77" s="36">
        <f t="shared" si="2"/>
        <v>0</v>
      </c>
      <c r="AN77" s="36">
        <f t="shared" si="3"/>
        <v>0</v>
      </c>
      <c r="AO77" s="36">
        <f t="shared" si="4"/>
        <v>0</v>
      </c>
      <c r="AP77" s="40" t="str">
        <f t="shared" si="5"/>
        <v/>
      </c>
    </row>
    <row r="78" ht="15.75" customHeight="1">
      <c r="A78" s="34" t="s">
        <v>27</v>
      </c>
      <c r="B78" s="35">
        <f t="shared" si="6"/>
        <v>45003</v>
      </c>
      <c r="C78" s="36">
        <v>3.0</v>
      </c>
      <c r="D78" s="36" t="s">
        <v>36</v>
      </c>
      <c r="E78" s="38"/>
      <c r="F78" s="23"/>
      <c r="H78" s="24"/>
      <c r="J78" s="24"/>
      <c r="L78" s="24"/>
      <c r="M78" s="26"/>
      <c r="N78" s="23"/>
      <c r="P78" s="24"/>
      <c r="R78" s="24"/>
      <c r="T78" s="24"/>
      <c r="V78" s="25"/>
      <c r="X78" s="25"/>
      <c r="Y78" s="26"/>
      <c r="Z78" s="27"/>
      <c r="AB78" s="25"/>
      <c r="AD78" s="25"/>
      <c r="AF78" s="25"/>
      <c r="AH78" s="25"/>
      <c r="AJ78" s="25"/>
      <c r="AK78" s="26"/>
      <c r="AL78" s="39">
        <f t="shared" si="1"/>
        <v>0</v>
      </c>
      <c r="AM78" s="36">
        <f t="shared" si="2"/>
        <v>0</v>
      </c>
      <c r="AN78" s="36">
        <f t="shared" si="3"/>
        <v>0</v>
      </c>
      <c r="AO78" s="36">
        <f t="shared" si="4"/>
        <v>0</v>
      </c>
      <c r="AP78" s="40" t="str">
        <f t="shared" si="5"/>
        <v/>
      </c>
    </row>
    <row r="79" ht="15.75" customHeight="1">
      <c r="A79" s="46" t="s">
        <v>28</v>
      </c>
      <c r="B79" s="47">
        <f t="shared" si="6"/>
        <v>45004</v>
      </c>
      <c r="C79" s="49">
        <v>3.0</v>
      </c>
      <c r="D79" s="49" t="s">
        <v>36</v>
      </c>
      <c r="E79" s="52"/>
      <c r="F79" s="53"/>
      <c r="G79" s="55"/>
      <c r="H79" s="56"/>
      <c r="I79" s="55"/>
      <c r="J79" s="56"/>
      <c r="K79" s="55"/>
      <c r="L79" s="56"/>
      <c r="M79" s="58"/>
      <c r="N79" s="53"/>
      <c r="O79" s="55"/>
      <c r="P79" s="56"/>
      <c r="Q79" s="55"/>
      <c r="R79" s="56"/>
      <c r="S79" s="55"/>
      <c r="T79" s="56"/>
      <c r="U79" s="55"/>
      <c r="V79" s="57"/>
      <c r="W79" s="55"/>
      <c r="X79" s="57"/>
      <c r="Y79" s="58"/>
      <c r="Z79" s="59"/>
      <c r="AA79" s="55"/>
      <c r="AB79" s="57"/>
      <c r="AC79" s="55"/>
      <c r="AD79" s="57"/>
      <c r="AE79" s="55"/>
      <c r="AF79" s="57"/>
      <c r="AG79" s="55"/>
      <c r="AH79" s="57"/>
      <c r="AI79" s="55"/>
      <c r="AJ79" s="57"/>
      <c r="AK79" s="58"/>
      <c r="AL79" s="64">
        <f t="shared" si="1"/>
        <v>0</v>
      </c>
      <c r="AM79" s="49">
        <f t="shared" si="2"/>
        <v>0</v>
      </c>
      <c r="AN79" s="49">
        <f t="shared" si="3"/>
        <v>0</v>
      </c>
      <c r="AO79" s="49">
        <f t="shared" si="4"/>
        <v>0</v>
      </c>
      <c r="AP79" s="66" t="str">
        <f t="shared" si="5"/>
        <v/>
      </c>
    </row>
    <row r="80" ht="15.75" customHeight="1">
      <c r="A80" s="18" t="s">
        <v>21</v>
      </c>
      <c r="B80" s="68">
        <f t="shared" si="6"/>
        <v>45005</v>
      </c>
      <c r="C80" s="20">
        <v>3.0</v>
      </c>
      <c r="D80" s="20" t="s">
        <v>37</v>
      </c>
      <c r="E80" s="22"/>
      <c r="F80" s="70"/>
      <c r="G80" s="71"/>
      <c r="H80" s="72"/>
      <c r="I80" s="71"/>
      <c r="J80" s="72"/>
      <c r="K80" s="71"/>
      <c r="L80" s="72"/>
      <c r="M80" s="73"/>
      <c r="N80" s="23"/>
      <c r="P80" s="24"/>
      <c r="R80" s="24"/>
      <c r="T80" s="24"/>
      <c r="V80" s="25"/>
      <c r="X80" s="25"/>
      <c r="Y80" s="26"/>
      <c r="Z80" s="27"/>
      <c r="AB80" s="25"/>
      <c r="AD80" s="25"/>
      <c r="AF80" s="25"/>
      <c r="AH80" s="25"/>
      <c r="AJ80" s="25"/>
      <c r="AK80" s="26"/>
      <c r="AL80" s="32">
        <f t="shared" si="1"/>
        <v>0</v>
      </c>
      <c r="AM80" s="20">
        <f t="shared" si="2"/>
        <v>0</v>
      </c>
      <c r="AN80" s="20">
        <f t="shared" si="3"/>
        <v>0</v>
      </c>
      <c r="AO80" s="20">
        <f t="shared" si="4"/>
        <v>0</v>
      </c>
      <c r="AP80" s="33" t="str">
        <f t="shared" si="5"/>
        <v/>
      </c>
    </row>
    <row r="81" ht="15.75" customHeight="1">
      <c r="A81" s="34" t="s">
        <v>23</v>
      </c>
      <c r="B81" s="35">
        <f t="shared" si="6"/>
        <v>45006</v>
      </c>
      <c r="C81" s="36">
        <v>3.0</v>
      </c>
      <c r="D81" s="36" t="s">
        <v>37</v>
      </c>
      <c r="E81" s="38"/>
      <c r="F81" s="23"/>
      <c r="H81" s="24"/>
      <c r="J81" s="24"/>
      <c r="L81" s="24"/>
      <c r="M81" s="26"/>
      <c r="N81" s="23"/>
      <c r="P81" s="24"/>
      <c r="R81" s="24"/>
      <c r="T81" s="24"/>
      <c r="V81" s="25"/>
      <c r="X81" s="25"/>
      <c r="Y81" s="26"/>
      <c r="Z81" s="27"/>
      <c r="AB81" s="25"/>
      <c r="AD81" s="25"/>
      <c r="AF81" s="25"/>
      <c r="AH81" s="25"/>
      <c r="AJ81" s="25"/>
      <c r="AK81" s="26"/>
      <c r="AL81" s="39">
        <f t="shared" si="1"/>
        <v>0</v>
      </c>
      <c r="AM81" s="36">
        <f t="shared" si="2"/>
        <v>0</v>
      </c>
      <c r="AN81" s="36">
        <f t="shared" si="3"/>
        <v>0</v>
      </c>
      <c r="AO81" s="36">
        <f t="shared" si="4"/>
        <v>0</v>
      </c>
      <c r="AP81" s="40" t="str">
        <f t="shared" si="5"/>
        <v/>
      </c>
    </row>
    <row r="82" ht="15.75" customHeight="1">
      <c r="A82" s="34" t="s">
        <v>24</v>
      </c>
      <c r="B82" s="35">
        <f t="shared" si="6"/>
        <v>45007</v>
      </c>
      <c r="C82" s="36">
        <v>3.0</v>
      </c>
      <c r="D82" s="36" t="s">
        <v>37</v>
      </c>
      <c r="E82" s="38"/>
      <c r="F82" s="23"/>
      <c r="H82" s="24"/>
      <c r="J82" s="24"/>
      <c r="L82" s="24"/>
      <c r="M82" s="26"/>
      <c r="N82" s="23"/>
      <c r="P82" s="24"/>
      <c r="R82" s="24"/>
      <c r="T82" s="24"/>
      <c r="V82" s="25"/>
      <c r="X82" s="25"/>
      <c r="Y82" s="26"/>
      <c r="Z82" s="27"/>
      <c r="AB82" s="25"/>
      <c r="AD82" s="25"/>
      <c r="AF82" s="25"/>
      <c r="AH82" s="25"/>
      <c r="AJ82" s="25"/>
      <c r="AK82" s="26"/>
      <c r="AL82" s="39">
        <f t="shared" si="1"/>
        <v>0</v>
      </c>
      <c r="AM82" s="36">
        <f t="shared" si="2"/>
        <v>0</v>
      </c>
      <c r="AN82" s="36">
        <f t="shared" si="3"/>
        <v>0</v>
      </c>
      <c r="AO82" s="36">
        <f t="shared" si="4"/>
        <v>0</v>
      </c>
      <c r="AP82" s="40" t="str">
        <f t="shared" si="5"/>
        <v/>
      </c>
    </row>
    <row r="83" ht="15.75" customHeight="1">
      <c r="A83" s="34" t="s">
        <v>25</v>
      </c>
      <c r="B83" s="35">
        <f t="shared" si="6"/>
        <v>45008</v>
      </c>
      <c r="C83" s="36">
        <v>3.0</v>
      </c>
      <c r="D83" s="36" t="s">
        <v>37</v>
      </c>
      <c r="E83" s="38"/>
      <c r="F83" s="23"/>
      <c r="H83" s="24"/>
      <c r="J83" s="24"/>
      <c r="L83" s="24"/>
      <c r="M83" s="26"/>
      <c r="N83" s="23"/>
      <c r="P83" s="24"/>
      <c r="R83" s="24"/>
      <c r="T83" s="24"/>
      <c r="V83" s="25"/>
      <c r="X83" s="25"/>
      <c r="Y83" s="26"/>
      <c r="Z83" s="27"/>
      <c r="AB83" s="25"/>
      <c r="AD83" s="25"/>
      <c r="AF83" s="25"/>
      <c r="AH83" s="25"/>
      <c r="AJ83" s="25"/>
      <c r="AK83" s="26"/>
      <c r="AL83" s="39">
        <f t="shared" si="1"/>
        <v>0</v>
      </c>
      <c r="AM83" s="36">
        <f t="shared" si="2"/>
        <v>0</v>
      </c>
      <c r="AN83" s="36">
        <f t="shared" si="3"/>
        <v>0</v>
      </c>
      <c r="AO83" s="36">
        <f t="shared" si="4"/>
        <v>0</v>
      </c>
      <c r="AP83" s="40" t="str">
        <f t="shared" si="5"/>
        <v/>
      </c>
    </row>
    <row r="84" ht="15.75" customHeight="1">
      <c r="A84" s="34" t="s">
        <v>26</v>
      </c>
      <c r="B84" s="35">
        <f t="shared" si="6"/>
        <v>45009</v>
      </c>
      <c r="C84" s="36">
        <v>3.0</v>
      </c>
      <c r="D84" s="36" t="s">
        <v>37</v>
      </c>
      <c r="E84" s="38"/>
      <c r="F84" s="23"/>
      <c r="H84" s="24"/>
      <c r="J84" s="24"/>
      <c r="L84" s="24"/>
      <c r="M84" s="26"/>
      <c r="N84" s="23"/>
      <c r="P84" s="24"/>
      <c r="R84" s="24"/>
      <c r="T84" s="24"/>
      <c r="V84" s="25"/>
      <c r="X84" s="25"/>
      <c r="Y84" s="26"/>
      <c r="Z84" s="27"/>
      <c r="AB84" s="25"/>
      <c r="AD84" s="25"/>
      <c r="AF84" s="25"/>
      <c r="AH84" s="25"/>
      <c r="AJ84" s="25"/>
      <c r="AK84" s="26"/>
      <c r="AL84" s="39">
        <f t="shared" si="1"/>
        <v>0</v>
      </c>
      <c r="AM84" s="36">
        <f t="shared" si="2"/>
        <v>0</v>
      </c>
      <c r="AN84" s="36">
        <f t="shared" si="3"/>
        <v>0</v>
      </c>
      <c r="AO84" s="36">
        <f t="shared" si="4"/>
        <v>0</v>
      </c>
      <c r="AP84" s="40" t="str">
        <f t="shared" si="5"/>
        <v/>
      </c>
    </row>
    <row r="85" ht="15.75" customHeight="1">
      <c r="A85" s="34" t="s">
        <v>27</v>
      </c>
      <c r="B85" s="35">
        <f t="shared" si="6"/>
        <v>45010</v>
      </c>
      <c r="C85" s="36">
        <v>3.0</v>
      </c>
      <c r="D85" s="36" t="s">
        <v>37</v>
      </c>
      <c r="E85" s="38"/>
      <c r="F85" s="23"/>
      <c r="H85" s="24"/>
      <c r="J85" s="24"/>
      <c r="L85" s="24"/>
      <c r="M85" s="26"/>
      <c r="N85" s="23"/>
      <c r="P85" s="24"/>
      <c r="R85" s="24"/>
      <c r="T85" s="24"/>
      <c r="V85" s="25"/>
      <c r="X85" s="25"/>
      <c r="Y85" s="26"/>
      <c r="Z85" s="27"/>
      <c r="AB85" s="25"/>
      <c r="AD85" s="25"/>
      <c r="AF85" s="25"/>
      <c r="AH85" s="25"/>
      <c r="AJ85" s="25"/>
      <c r="AK85" s="26"/>
      <c r="AL85" s="39">
        <f t="shared" si="1"/>
        <v>0</v>
      </c>
      <c r="AM85" s="36">
        <f t="shared" si="2"/>
        <v>0</v>
      </c>
      <c r="AN85" s="36">
        <f t="shared" si="3"/>
        <v>0</v>
      </c>
      <c r="AO85" s="36">
        <f t="shared" si="4"/>
        <v>0</v>
      </c>
      <c r="AP85" s="40" t="str">
        <f t="shared" si="5"/>
        <v/>
      </c>
    </row>
    <row r="86" ht="15.75" customHeight="1">
      <c r="A86" s="46" t="s">
        <v>28</v>
      </c>
      <c r="B86" s="47">
        <f t="shared" si="6"/>
        <v>45011</v>
      </c>
      <c r="C86" s="49">
        <v>3.0</v>
      </c>
      <c r="D86" s="49" t="s">
        <v>37</v>
      </c>
      <c r="E86" s="52"/>
      <c r="F86" s="53"/>
      <c r="G86" s="55"/>
      <c r="H86" s="56"/>
      <c r="I86" s="55"/>
      <c r="J86" s="56"/>
      <c r="K86" s="55"/>
      <c r="L86" s="56"/>
      <c r="M86" s="58"/>
      <c r="N86" s="53"/>
      <c r="O86" s="55"/>
      <c r="P86" s="56"/>
      <c r="Q86" s="55"/>
      <c r="R86" s="56"/>
      <c r="S86" s="55"/>
      <c r="T86" s="56"/>
      <c r="U86" s="55"/>
      <c r="V86" s="57"/>
      <c r="W86" s="55"/>
      <c r="X86" s="57"/>
      <c r="Y86" s="58"/>
      <c r="Z86" s="59"/>
      <c r="AA86" s="55"/>
      <c r="AB86" s="57"/>
      <c r="AC86" s="55"/>
      <c r="AD86" s="57"/>
      <c r="AE86" s="55"/>
      <c r="AF86" s="57"/>
      <c r="AG86" s="55"/>
      <c r="AH86" s="57"/>
      <c r="AI86" s="55"/>
      <c r="AJ86" s="57"/>
      <c r="AK86" s="58"/>
      <c r="AL86" s="64">
        <f t="shared" si="1"/>
        <v>0</v>
      </c>
      <c r="AM86" s="49">
        <f t="shared" si="2"/>
        <v>0</v>
      </c>
      <c r="AN86" s="49">
        <f t="shared" si="3"/>
        <v>0</v>
      </c>
      <c r="AO86" s="49">
        <f t="shared" si="4"/>
        <v>0</v>
      </c>
      <c r="AP86" s="66" t="str">
        <f t="shared" si="5"/>
        <v/>
      </c>
    </row>
    <row r="87" ht="15.75" customHeight="1">
      <c r="A87" s="18" t="s">
        <v>21</v>
      </c>
      <c r="B87" s="68">
        <f t="shared" si="6"/>
        <v>45012</v>
      </c>
      <c r="C87" s="20">
        <v>4.0</v>
      </c>
      <c r="D87" s="20" t="s">
        <v>22</v>
      </c>
      <c r="E87" s="22"/>
      <c r="F87" s="27"/>
      <c r="H87" s="25"/>
      <c r="J87" s="25"/>
      <c r="L87" s="25"/>
      <c r="N87" s="23"/>
      <c r="P87" s="24"/>
      <c r="R87" s="24"/>
      <c r="T87" s="24"/>
      <c r="V87" s="25"/>
      <c r="X87" s="25"/>
      <c r="Y87" s="26"/>
      <c r="Z87" s="27"/>
      <c r="AB87" s="25"/>
      <c r="AD87" s="25"/>
      <c r="AF87" s="25"/>
      <c r="AH87" s="25"/>
      <c r="AJ87" s="25"/>
      <c r="AK87" s="26"/>
      <c r="AL87" s="32">
        <f t="shared" si="1"/>
        <v>0</v>
      </c>
      <c r="AM87" s="20">
        <f t="shared" si="2"/>
        <v>0</v>
      </c>
      <c r="AN87" s="20">
        <f t="shared" si="3"/>
        <v>0</v>
      </c>
      <c r="AO87" s="20">
        <f t="shared" si="4"/>
        <v>0</v>
      </c>
      <c r="AP87" s="33" t="str">
        <f t="shared" si="5"/>
        <v/>
      </c>
    </row>
    <row r="88" ht="15.75" customHeight="1">
      <c r="A88" s="34" t="s">
        <v>23</v>
      </c>
      <c r="B88" s="35">
        <f t="shared" si="6"/>
        <v>45013</v>
      </c>
      <c r="C88" s="36">
        <v>4.0</v>
      </c>
      <c r="D88" s="36" t="s">
        <v>22</v>
      </c>
      <c r="E88" s="38"/>
      <c r="F88" s="27"/>
      <c r="H88" s="25"/>
      <c r="J88" s="25"/>
      <c r="L88" s="25"/>
      <c r="N88" s="23"/>
      <c r="P88" s="24"/>
      <c r="R88" s="24"/>
      <c r="T88" s="24"/>
      <c r="V88" s="25"/>
      <c r="X88" s="25"/>
      <c r="Y88" s="26"/>
      <c r="Z88" s="27"/>
      <c r="AB88" s="25"/>
      <c r="AD88" s="25"/>
      <c r="AF88" s="25"/>
      <c r="AH88" s="25"/>
      <c r="AJ88" s="25"/>
      <c r="AK88" s="26"/>
      <c r="AL88" s="39">
        <f t="shared" si="1"/>
        <v>0</v>
      </c>
      <c r="AM88" s="36">
        <f t="shared" si="2"/>
        <v>0</v>
      </c>
      <c r="AN88" s="36">
        <f t="shared" si="3"/>
        <v>0</v>
      </c>
      <c r="AO88" s="36">
        <f t="shared" si="4"/>
        <v>0</v>
      </c>
      <c r="AP88" s="40" t="str">
        <f t="shared" si="5"/>
        <v/>
      </c>
    </row>
    <row r="89" ht="15.75" customHeight="1">
      <c r="A89" s="34" t="s">
        <v>24</v>
      </c>
      <c r="B89" s="35">
        <f t="shared" si="6"/>
        <v>45014</v>
      </c>
      <c r="C89" s="36">
        <v>4.0</v>
      </c>
      <c r="D89" s="36" t="s">
        <v>22</v>
      </c>
      <c r="E89" s="38"/>
      <c r="F89" s="27"/>
      <c r="H89" s="25"/>
      <c r="J89" s="25"/>
      <c r="L89" s="25"/>
      <c r="N89" s="23"/>
      <c r="P89" s="24"/>
      <c r="R89" s="24"/>
      <c r="T89" s="24"/>
      <c r="V89" s="25"/>
      <c r="X89" s="25"/>
      <c r="Y89" s="26"/>
      <c r="Z89" s="27"/>
      <c r="AB89" s="25"/>
      <c r="AD89" s="25"/>
      <c r="AF89" s="25"/>
      <c r="AH89" s="25"/>
      <c r="AJ89" s="25"/>
      <c r="AK89" s="26"/>
      <c r="AL89" s="39">
        <f t="shared" si="1"/>
        <v>0</v>
      </c>
      <c r="AM89" s="36">
        <f t="shared" si="2"/>
        <v>0</v>
      </c>
      <c r="AN89" s="36">
        <f t="shared" si="3"/>
        <v>0</v>
      </c>
      <c r="AO89" s="36">
        <f t="shared" si="4"/>
        <v>0</v>
      </c>
      <c r="AP89" s="40" t="str">
        <f t="shared" si="5"/>
        <v/>
      </c>
    </row>
    <row r="90" ht="15.75" customHeight="1">
      <c r="A90" s="34" t="s">
        <v>25</v>
      </c>
      <c r="B90" s="35">
        <f t="shared" si="6"/>
        <v>45015</v>
      </c>
      <c r="C90" s="36">
        <v>4.0</v>
      </c>
      <c r="D90" s="36" t="s">
        <v>22</v>
      </c>
      <c r="E90" s="38"/>
      <c r="F90" s="27"/>
      <c r="H90" s="25"/>
      <c r="J90" s="25"/>
      <c r="L90" s="25"/>
      <c r="N90" s="23"/>
      <c r="P90" s="24"/>
      <c r="R90" s="24"/>
      <c r="T90" s="24"/>
      <c r="V90" s="25"/>
      <c r="X90" s="25"/>
      <c r="Y90" s="26"/>
      <c r="Z90" s="27"/>
      <c r="AB90" s="25"/>
      <c r="AD90" s="25"/>
      <c r="AF90" s="25"/>
      <c r="AH90" s="25"/>
      <c r="AJ90" s="25"/>
      <c r="AK90" s="26"/>
      <c r="AL90" s="39">
        <f t="shared" si="1"/>
        <v>0</v>
      </c>
      <c r="AM90" s="36">
        <f t="shared" si="2"/>
        <v>0</v>
      </c>
      <c r="AN90" s="36">
        <f t="shared" si="3"/>
        <v>0</v>
      </c>
      <c r="AO90" s="36">
        <f t="shared" si="4"/>
        <v>0</v>
      </c>
      <c r="AP90" s="40" t="str">
        <f t="shared" si="5"/>
        <v/>
      </c>
    </row>
    <row r="91" ht="15.75" customHeight="1">
      <c r="A91" s="34" t="s">
        <v>26</v>
      </c>
      <c r="B91" s="35">
        <f t="shared" si="6"/>
        <v>45016</v>
      </c>
      <c r="C91" s="36">
        <v>4.0</v>
      </c>
      <c r="D91" s="36" t="s">
        <v>22</v>
      </c>
      <c r="E91" s="38"/>
      <c r="F91" s="27"/>
      <c r="H91" s="25"/>
      <c r="J91" s="25"/>
      <c r="L91" s="25"/>
      <c r="N91" s="23"/>
      <c r="P91" s="24"/>
      <c r="R91" s="24"/>
      <c r="T91" s="24"/>
      <c r="V91" s="25"/>
      <c r="X91" s="25"/>
      <c r="Y91" s="26"/>
      <c r="Z91" s="27"/>
      <c r="AB91" s="25"/>
      <c r="AD91" s="25"/>
      <c r="AF91" s="25"/>
      <c r="AH91" s="25"/>
      <c r="AJ91" s="25"/>
      <c r="AK91" s="26"/>
      <c r="AL91" s="39">
        <f t="shared" si="1"/>
        <v>0</v>
      </c>
      <c r="AM91" s="36">
        <f t="shared" si="2"/>
        <v>0</v>
      </c>
      <c r="AN91" s="36">
        <f t="shared" si="3"/>
        <v>0</v>
      </c>
      <c r="AO91" s="36">
        <f t="shared" si="4"/>
        <v>0</v>
      </c>
      <c r="AP91" s="40" t="str">
        <f t="shared" si="5"/>
        <v/>
      </c>
    </row>
    <row r="92" ht="15.75" customHeight="1">
      <c r="A92" s="34" t="s">
        <v>27</v>
      </c>
      <c r="B92" s="35">
        <f t="shared" si="6"/>
        <v>45017</v>
      </c>
      <c r="C92" s="36">
        <v>4.0</v>
      </c>
      <c r="D92" s="36" t="s">
        <v>22</v>
      </c>
      <c r="E92" s="38"/>
      <c r="F92" s="27"/>
      <c r="H92" s="25"/>
      <c r="J92" s="25"/>
      <c r="L92" s="25"/>
      <c r="N92" s="23"/>
      <c r="P92" s="24"/>
      <c r="R92" s="24"/>
      <c r="T92" s="24"/>
      <c r="V92" s="25"/>
      <c r="X92" s="25"/>
      <c r="Y92" s="26"/>
      <c r="Z92" s="27"/>
      <c r="AB92" s="25"/>
      <c r="AD92" s="25"/>
      <c r="AF92" s="25"/>
      <c r="AH92" s="25"/>
      <c r="AJ92" s="25"/>
      <c r="AK92" s="26"/>
      <c r="AL92" s="39">
        <f t="shared" si="1"/>
        <v>0</v>
      </c>
      <c r="AM92" s="36">
        <f t="shared" si="2"/>
        <v>0</v>
      </c>
      <c r="AN92" s="36">
        <f t="shared" si="3"/>
        <v>0</v>
      </c>
      <c r="AO92" s="36">
        <f t="shared" si="4"/>
        <v>0</v>
      </c>
      <c r="AP92" s="40" t="str">
        <f t="shared" si="5"/>
        <v/>
      </c>
    </row>
    <row r="93" ht="15.75" customHeight="1">
      <c r="A93" s="46" t="s">
        <v>28</v>
      </c>
      <c r="B93" s="47">
        <f t="shared" si="6"/>
        <v>45018</v>
      </c>
      <c r="C93" s="49">
        <v>4.0</v>
      </c>
      <c r="D93" s="49" t="s">
        <v>22</v>
      </c>
      <c r="E93" s="52"/>
      <c r="F93" s="59"/>
      <c r="G93" s="55"/>
      <c r="H93" s="57"/>
      <c r="I93" s="55"/>
      <c r="J93" s="57"/>
      <c r="K93" s="55"/>
      <c r="L93" s="57"/>
      <c r="M93" s="55"/>
      <c r="N93" s="53"/>
      <c r="O93" s="55"/>
      <c r="P93" s="56"/>
      <c r="Q93" s="55"/>
      <c r="R93" s="56"/>
      <c r="S93" s="55"/>
      <c r="T93" s="56"/>
      <c r="U93" s="55"/>
      <c r="V93" s="57"/>
      <c r="W93" s="55"/>
      <c r="X93" s="57"/>
      <c r="Y93" s="58"/>
      <c r="Z93" s="59"/>
      <c r="AA93" s="55"/>
      <c r="AB93" s="57"/>
      <c r="AC93" s="55"/>
      <c r="AD93" s="57"/>
      <c r="AE93" s="55"/>
      <c r="AF93" s="57"/>
      <c r="AG93" s="55"/>
      <c r="AH93" s="57"/>
      <c r="AI93" s="55"/>
      <c r="AJ93" s="57"/>
      <c r="AK93" s="58"/>
      <c r="AL93" s="64">
        <f t="shared" si="1"/>
        <v>0</v>
      </c>
      <c r="AM93" s="49">
        <f t="shared" si="2"/>
        <v>0</v>
      </c>
      <c r="AN93" s="49">
        <f t="shared" si="3"/>
        <v>0</v>
      </c>
      <c r="AO93" s="49">
        <f t="shared" si="4"/>
        <v>0</v>
      </c>
      <c r="AP93" s="66" t="str">
        <f t="shared" si="5"/>
        <v/>
      </c>
    </row>
    <row r="94" ht="15.75" customHeight="1">
      <c r="A94" s="18" t="s">
        <v>21</v>
      </c>
      <c r="B94" s="68">
        <f t="shared" si="6"/>
        <v>45019</v>
      </c>
      <c r="C94" s="20">
        <v>4.0</v>
      </c>
      <c r="D94" s="20" t="s">
        <v>34</v>
      </c>
      <c r="E94" s="22"/>
      <c r="F94" s="27"/>
      <c r="H94" s="25"/>
      <c r="J94" s="25"/>
      <c r="L94" s="25"/>
      <c r="N94" s="23"/>
      <c r="P94" s="24"/>
      <c r="R94" s="24"/>
      <c r="T94" s="24"/>
      <c r="V94" s="25"/>
      <c r="X94" s="25"/>
      <c r="Y94" s="26"/>
      <c r="Z94" s="27"/>
      <c r="AB94" s="25"/>
      <c r="AD94" s="25"/>
      <c r="AF94" s="25"/>
      <c r="AH94" s="25"/>
      <c r="AJ94" s="25"/>
      <c r="AK94" s="26"/>
      <c r="AL94" s="32">
        <f t="shared" si="1"/>
        <v>0</v>
      </c>
      <c r="AM94" s="20">
        <f t="shared" si="2"/>
        <v>0</v>
      </c>
      <c r="AN94" s="20">
        <f t="shared" si="3"/>
        <v>0</v>
      </c>
      <c r="AO94" s="20">
        <f t="shared" si="4"/>
        <v>0</v>
      </c>
      <c r="AP94" s="33" t="str">
        <f t="shared" si="5"/>
        <v/>
      </c>
    </row>
    <row r="95" ht="15.75" customHeight="1">
      <c r="A95" s="34" t="s">
        <v>23</v>
      </c>
      <c r="B95" s="35">
        <f t="shared" si="6"/>
        <v>45020</v>
      </c>
      <c r="C95" s="36">
        <v>4.0</v>
      </c>
      <c r="D95" s="36" t="s">
        <v>34</v>
      </c>
      <c r="E95" s="38"/>
      <c r="F95" s="27"/>
      <c r="H95" s="25"/>
      <c r="J95" s="25"/>
      <c r="L95" s="25"/>
      <c r="N95" s="23"/>
      <c r="P95" s="24"/>
      <c r="R95" s="24"/>
      <c r="T95" s="24"/>
      <c r="V95" s="25"/>
      <c r="X95" s="25"/>
      <c r="Y95" s="26"/>
      <c r="Z95" s="27"/>
      <c r="AB95" s="25"/>
      <c r="AD95" s="25"/>
      <c r="AF95" s="25"/>
      <c r="AH95" s="25"/>
      <c r="AJ95" s="25"/>
      <c r="AK95" s="26"/>
      <c r="AL95" s="39">
        <f t="shared" si="1"/>
        <v>0</v>
      </c>
      <c r="AM95" s="36">
        <f t="shared" si="2"/>
        <v>0</v>
      </c>
      <c r="AN95" s="36">
        <f t="shared" si="3"/>
        <v>0</v>
      </c>
      <c r="AO95" s="36">
        <f t="shared" si="4"/>
        <v>0</v>
      </c>
      <c r="AP95" s="40" t="str">
        <f t="shared" si="5"/>
        <v/>
      </c>
    </row>
    <row r="96" ht="15.75" customHeight="1">
      <c r="A96" s="34" t="s">
        <v>24</v>
      </c>
      <c r="B96" s="35">
        <f t="shared" si="6"/>
        <v>45021</v>
      </c>
      <c r="C96" s="36">
        <v>4.0</v>
      </c>
      <c r="D96" s="36" t="s">
        <v>34</v>
      </c>
      <c r="E96" s="38"/>
      <c r="F96" s="27"/>
      <c r="H96" s="25"/>
      <c r="J96" s="25"/>
      <c r="L96" s="25"/>
      <c r="N96" s="23"/>
      <c r="P96" s="24"/>
      <c r="R96" s="24"/>
      <c r="T96" s="24"/>
      <c r="V96" s="25"/>
      <c r="X96" s="25"/>
      <c r="Y96" s="26"/>
      <c r="Z96" s="27"/>
      <c r="AB96" s="25"/>
      <c r="AD96" s="25"/>
      <c r="AF96" s="25"/>
      <c r="AH96" s="25"/>
      <c r="AJ96" s="25"/>
      <c r="AK96" s="26"/>
      <c r="AL96" s="39">
        <f t="shared" si="1"/>
        <v>0</v>
      </c>
      <c r="AM96" s="36">
        <f t="shared" si="2"/>
        <v>0</v>
      </c>
      <c r="AN96" s="36">
        <f t="shared" si="3"/>
        <v>0</v>
      </c>
      <c r="AO96" s="36">
        <f t="shared" si="4"/>
        <v>0</v>
      </c>
      <c r="AP96" s="40" t="str">
        <f t="shared" si="5"/>
        <v/>
      </c>
    </row>
    <row r="97" ht="15.75" customHeight="1">
      <c r="A97" s="34" t="s">
        <v>25</v>
      </c>
      <c r="B97" s="35">
        <f t="shared" si="6"/>
        <v>45022</v>
      </c>
      <c r="C97" s="36">
        <v>4.0</v>
      </c>
      <c r="D97" s="36" t="s">
        <v>34</v>
      </c>
      <c r="E97" s="38"/>
      <c r="F97" s="27"/>
      <c r="H97" s="25"/>
      <c r="J97" s="25"/>
      <c r="L97" s="25"/>
      <c r="N97" s="23"/>
      <c r="P97" s="24"/>
      <c r="R97" s="24"/>
      <c r="T97" s="24"/>
      <c r="V97" s="25"/>
      <c r="X97" s="25"/>
      <c r="Y97" s="26"/>
      <c r="Z97" s="27"/>
      <c r="AB97" s="25"/>
      <c r="AD97" s="25"/>
      <c r="AF97" s="25"/>
      <c r="AH97" s="25"/>
      <c r="AJ97" s="25"/>
      <c r="AK97" s="26"/>
      <c r="AL97" s="39">
        <f t="shared" si="1"/>
        <v>0</v>
      </c>
      <c r="AM97" s="36">
        <f t="shared" si="2"/>
        <v>0</v>
      </c>
      <c r="AN97" s="36">
        <f t="shared" si="3"/>
        <v>0</v>
      </c>
      <c r="AO97" s="36">
        <f t="shared" si="4"/>
        <v>0</v>
      </c>
      <c r="AP97" s="40" t="str">
        <f t="shared" si="5"/>
        <v/>
      </c>
    </row>
    <row r="98" ht="15.75" customHeight="1">
      <c r="A98" s="34" t="s">
        <v>26</v>
      </c>
      <c r="B98" s="35">
        <f t="shared" si="6"/>
        <v>45023</v>
      </c>
      <c r="C98" s="36">
        <v>4.0</v>
      </c>
      <c r="D98" s="36" t="s">
        <v>34</v>
      </c>
      <c r="E98" s="38"/>
      <c r="F98" s="27"/>
      <c r="H98" s="25"/>
      <c r="J98" s="25"/>
      <c r="L98" s="25"/>
      <c r="N98" s="23"/>
      <c r="P98" s="24"/>
      <c r="R98" s="24"/>
      <c r="T98" s="24"/>
      <c r="V98" s="25"/>
      <c r="X98" s="25"/>
      <c r="Y98" s="26"/>
      <c r="Z98" s="27"/>
      <c r="AB98" s="25"/>
      <c r="AD98" s="25"/>
      <c r="AF98" s="25"/>
      <c r="AH98" s="25"/>
      <c r="AJ98" s="25"/>
      <c r="AK98" s="26"/>
      <c r="AL98" s="39">
        <f t="shared" si="1"/>
        <v>0</v>
      </c>
      <c r="AM98" s="36">
        <f t="shared" si="2"/>
        <v>0</v>
      </c>
      <c r="AN98" s="36">
        <f t="shared" si="3"/>
        <v>0</v>
      </c>
      <c r="AO98" s="36">
        <f t="shared" si="4"/>
        <v>0</v>
      </c>
      <c r="AP98" s="40" t="str">
        <f t="shared" si="5"/>
        <v/>
      </c>
    </row>
    <row r="99" ht="15.75" customHeight="1">
      <c r="A99" s="34" t="s">
        <v>27</v>
      </c>
      <c r="B99" s="35">
        <f t="shared" si="6"/>
        <v>45024</v>
      </c>
      <c r="C99" s="36">
        <v>4.0</v>
      </c>
      <c r="D99" s="36" t="s">
        <v>34</v>
      </c>
      <c r="E99" s="38"/>
      <c r="F99" s="27"/>
      <c r="H99" s="25"/>
      <c r="J99" s="25"/>
      <c r="L99" s="25"/>
      <c r="N99" s="23"/>
      <c r="P99" s="24"/>
      <c r="R99" s="24"/>
      <c r="T99" s="24"/>
      <c r="V99" s="25"/>
      <c r="X99" s="25"/>
      <c r="Y99" s="26"/>
      <c r="Z99" s="27"/>
      <c r="AB99" s="25"/>
      <c r="AD99" s="25"/>
      <c r="AF99" s="25"/>
      <c r="AH99" s="25"/>
      <c r="AJ99" s="25"/>
      <c r="AK99" s="26"/>
      <c r="AL99" s="39">
        <f t="shared" si="1"/>
        <v>0</v>
      </c>
      <c r="AM99" s="36">
        <f t="shared" si="2"/>
        <v>0</v>
      </c>
      <c r="AN99" s="36">
        <f t="shared" si="3"/>
        <v>0</v>
      </c>
      <c r="AO99" s="36">
        <f t="shared" si="4"/>
        <v>0</v>
      </c>
      <c r="AP99" s="40" t="str">
        <f t="shared" si="5"/>
        <v/>
      </c>
    </row>
    <row r="100" ht="15.75" customHeight="1">
      <c r="A100" s="46" t="s">
        <v>28</v>
      </c>
      <c r="B100" s="47">
        <f t="shared" si="6"/>
        <v>45025</v>
      </c>
      <c r="C100" s="49">
        <v>4.0</v>
      </c>
      <c r="D100" s="49" t="s">
        <v>34</v>
      </c>
      <c r="E100" s="52"/>
      <c r="F100" s="59"/>
      <c r="G100" s="55"/>
      <c r="H100" s="57"/>
      <c r="I100" s="55"/>
      <c r="J100" s="57"/>
      <c r="K100" s="55"/>
      <c r="L100" s="57"/>
      <c r="M100" s="55"/>
      <c r="N100" s="53"/>
      <c r="O100" s="55"/>
      <c r="P100" s="56"/>
      <c r="Q100" s="55"/>
      <c r="R100" s="56"/>
      <c r="S100" s="55"/>
      <c r="T100" s="56"/>
      <c r="U100" s="55"/>
      <c r="V100" s="57"/>
      <c r="W100" s="55"/>
      <c r="X100" s="57"/>
      <c r="Y100" s="58"/>
      <c r="Z100" s="59"/>
      <c r="AA100" s="55"/>
      <c r="AB100" s="57"/>
      <c r="AC100" s="55"/>
      <c r="AD100" s="57"/>
      <c r="AE100" s="55"/>
      <c r="AF100" s="57"/>
      <c r="AG100" s="55"/>
      <c r="AH100" s="57"/>
      <c r="AI100" s="55"/>
      <c r="AJ100" s="57"/>
      <c r="AK100" s="58"/>
      <c r="AL100" s="64">
        <f t="shared" si="1"/>
        <v>0</v>
      </c>
      <c r="AM100" s="49">
        <f t="shared" si="2"/>
        <v>0</v>
      </c>
      <c r="AN100" s="49">
        <f t="shared" si="3"/>
        <v>0</v>
      </c>
      <c r="AO100" s="49">
        <f t="shared" si="4"/>
        <v>0</v>
      </c>
      <c r="AP100" s="66" t="str">
        <f t="shared" si="5"/>
        <v/>
      </c>
    </row>
    <row r="101" ht="15.75" customHeight="1">
      <c r="A101" s="18" t="s">
        <v>21</v>
      </c>
      <c r="B101" s="68">
        <f t="shared" si="6"/>
        <v>45026</v>
      </c>
      <c r="C101" s="20">
        <v>4.0</v>
      </c>
      <c r="D101" s="20" t="s">
        <v>36</v>
      </c>
      <c r="E101" s="22"/>
      <c r="F101" s="27"/>
      <c r="H101" s="25"/>
      <c r="J101" s="25"/>
      <c r="L101" s="25"/>
      <c r="N101" s="23"/>
      <c r="P101" s="24"/>
      <c r="R101" s="24"/>
      <c r="T101" s="24"/>
      <c r="V101" s="25"/>
      <c r="X101" s="25"/>
      <c r="Y101" s="26"/>
      <c r="Z101" s="27"/>
      <c r="AB101" s="25"/>
      <c r="AD101" s="25"/>
      <c r="AF101" s="25"/>
      <c r="AH101" s="25"/>
      <c r="AJ101" s="25"/>
      <c r="AK101" s="26"/>
      <c r="AL101" s="32">
        <f t="shared" si="1"/>
        <v>0</v>
      </c>
      <c r="AM101" s="20">
        <f t="shared" si="2"/>
        <v>0</v>
      </c>
      <c r="AN101" s="20">
        <f t="shared" si="3"/>
        <v>0</v>
      </c>
      <c r="AO101" s="20">
        <f t="shared" si="4"/>
        <v>0</v>
      </c>
      <c r="AP101" s="33" t="str">
        <f t="shared" si="5"/>
        <v/>
      </c>
    </row>
    <row r="102" ht="15.75" customHeight="1">
      <c r="A102" s="34" t="s">
        <v>23</v>
      </c>
      <c r="B102" s="35">
        <f t="shared" si="6"/>
        <v>45027</v>
      </c>
      <c r="C102" s="36">
        <v>4.0</v>
      </c>
      <c r="D102" s="36" t="s">
        <v>36</v>
      </c>
      <c r="E102" s="38"/>
      <c r="F102" s="27"/>
      <c r="H102" s="25"/>
      <c r="J102" s="25"/>
      <c r="L102" s="25"/>
      <c r="N102" s="23"/>
      <c r="P102" s="24"/>
      <c r="R102" s="24"/>
      <c r="T102" s="24"/>
      <c r="V102" s="25"/>
      <c r="X102" s="25"/>
      <c r="Y102" s="26"/>
      <c r="Z102" s="27"/>
      <c r="AB102" s="25"/>
      <c r="AD102" s="25"/>
      <c r="AF102" s="25"/>
      <c r="AH102" s="25"/>
      <c r="AJ102" s="25"/>
      <c r="AK102" s="26"/>
      <c r="AL102" s="39">
        <f t="shared" si="1"/>
        <v>0</v>
      </c>
      <c r="AM102" s="36">
        <f t="shared" si="2"/>
        <v>0</v>
      </c>
      <c r="AN102" s="36">
        <f t="shared" si="3"/>
        <v>0</v>
      </c>
      <c r="AO102" s="36">
        <f t="shared" si="4"/>
        <v>0</v>
      </c>
      <c r="AP102" s="40" t="str">
        <f t="shared" si="5"/>
        <v/>
      </c>
    </row>
    <row r="103" ht="15.75" customHeight="1">
      <c r="A103" s="34" t="s">
        <v>24</v>
      </c>
      <c r="B103" s="35">
        <f t="shared" si="6"/>
        <v>45028</v>
      </c>
      <c r="C103" s="36">
        <v>4.0</v>
      </c>
      <c r="D103" s="36" t="s">
        <v>36</v>
      </c>
      <c r="E103" s="38"/>
      <c r="F103" s="27"/>
      <c r="H103" s="25"/>
      <c r="J103" s="25"/>
      <c r="L103" s="25"/>
      <c r="N103" s="23"/>
      <c r="P103" s="24"/>
      <c r="R103" s="24"/>
      <c r="T103" s="24"/>
      <c r="V103" s="25"/>
      <c r="X103" s="25"/>
      <c r="Y103" s="26"/>
      <c r="Z103" s="27"/>
      <c r="AB103" s="25"/>
      <c r="AD103" s="25"/>
      <c r="AF103" s="25"/>
      <c r="AH103" s="25"/>
      <c r="AJ103" s="25"/>
      <c r="AK103" s="26"/>
      <c r="AL103" s="39">
        <f t="shared" si="1"/>
        <v>0</v>
      </c>
      <c r="AM103" s="36">
        <f t="shared" si="2"/>
        <v>0</v>
      </c>
      <c r="AN103" s="36">
        <f t="shared" si="3"/>
        <v>0</v>
      </c>
      <c r="AO103" s="36">
        <f t="shared" si="4"/>
        <v>0</v>
      </c>
      <c r="AP103" s="40" t="str">
        <f t="shared" si="5"/>
        <v/>
      </c>
    </row>
    <row r="104" ht="15.75" customHeight="1">
      <c r="A104" s="34" t="s">
        <v>25</v>
      </c>
      <c r="B104" s="35">
        <f t="shared" si="6"/>
        <v>45029</v>
      </c>
      <c r="C104" s="36">
        <v>4.0</v>
      </c>
      <c r="D104" s="36" t="s">
        <v>36</v>
      </c>
      <c r="E104" s="38"/>
      <c r="F104" s="27"/>
      <c r="H104" s="25"/>
      <c r="J104" s="25"/>
      <c r="L104" s="25"/>
      <c r="N104" s="23"/>
      <c r="P104" s="24"/>
      <c r="R104" s="24"/>
      <c r="T104" s="24"/>
      <c r="V104" s="25"/>
      <c r="X104" s="25"/>
      <c r="Y104" s="26"/>
      <c r="Z104" s="27"/>
      <c r="AB104" s="25"/>
      <c r="AD104" s="25"/>
      <c r="AF104" s="25"/>
      <c r="AH104" s="25"/>
      <c r="AJ104" s="25"/>
      <c r="AK104" s="26"/>
      <c r="AL104" s="39">
        <f t="shared" si="1"/>
        <v>0</v>
      </c>
      <c r="AM104" s="36">
        <f t="shared" si="2"/>
        <v>0</v>
      </c>
      <c r="AN104" s="36">
        <f t="shared" si="3"/>
        <v>0</v>
      </c>
      <c r="AO104" s="36">
        <f t="shared" si="4"/>
        <v>0</v>
      </c>
      <c r="AP104" s="40" t="str">
        <f t="shared" si="5"/>
        <v/>
      </c>
    </row>
    <row r="105" ht="15.75" customHeight="1">
      <c r="A105" s="34" t="s">
        <v>26</v>
      </c>
      <c r="B105" s="35">
        <f t="shared" si="6"/>
        <v>45030</v>
      </c>
      <c r="C105" s="36">
        <v>4.0</v>
      </c>
      <c r="D105" s="36" t="s">
        <v>36</v>
      </c>
      <c r="E105" s="38"/>
      <c r="F105" s="27"/>
      <c r="H105" s="25"/>
      <c r="J105" s="25"/>
      <c r="L105" s="25"/>
      <c r="N105" s="23"/>
      <c r="P105" s="24"/>
      <c r="R105" s="24"/>
      <c r="T105" s="24"/>
      <c r="V105" s="25"/>
      <c r="X105" s="25"/>
      <c r="Y105" s="26"/>
      <c r="Z105" s="27"/>
      <c r="AB105" s="25"/>
      <c r="AD105" s="25"/>
      <c r="AF105" s="25"/>
      <c r="AH105" s="25"/>
      <c r="AJ105" s="25"/>
      <c r="AK105" s="26"/>
      <c r="AL105" s="39">
        <f t="shared" si="1"/>
        <v>0</v>
      </c>
      <c r="AM105" s="36">
        <f t="shared" si="2"/>
        <v>0</v>
      </c>
      <c r="AN105" s="36">
        <f t="shared" si="3"/>
        <v>0</v>
      </c>
      <c r="AO105" s="36">
        <f t="shared" si="4"/>
        <v>0</v>
      </c>
      <c r="AP105" s="40" t="str">
        <f t="shared" si="5"/>
        <v/>
      </c>
    </row>
    <row r="106" ht="15.75" customHeight="1">
      <c r="A106" s="34" t="s">
        <v>27</v>
      </c>
      <c r="B106" s="35">
        <f t="shared" si="6"/>
        <v>45031</v>
      </c>
      <c r="C106" s="36">
        <v>4.0</v>
      </c>
      <c r="D106" s="36" t="s">
        <v>36</v>
      </c>
      <c r="E106" s="38"/>
      <c r="F106" s="27"/>
      <c r="H106" s="25"/>
      <c r="J106" s="25"/>
      <c r="L106" s="25"/>
      <c r="N106" s="23"/>
      <c r="P106" s="24"/>
      <c r="R106" s="24"/>
      <c r="T106" s="24"/>
      <c r="V106" s="25"/>
      <c r="X106" s="25"/>
      <c r="Y106" s="26"/>
      <c r="Z106" s="27"/>
      <c r="AB106" s="25"/>
      <c r="AD106" s="25"/>
      <c r="AF106" s="25"/>
      <c r="AH106" s="25"/>
      <c r="AJ106" s="25"/>
      <c r="AK106" s="26"/>
      <c r="AL106" s="39">
        <f t="shared" si="1"/>
        <v>0</v>
      </c>
      <c r="AM106" s="36">
        <f t="shared" si="2"/>
        <v>0</v>
      </c>
      <c r="AN106" s="36">
        <f t="shared" si="3"/>
        <v>0</v>
      </c>
      <c r="AO106" s="36">
        <f t="shared" si="4"/>
        <v>0</v>
      </c>
      <c r="AP106" s="40" t="str">
        <f t="shared" si="5"/>
        <v/>
      </c>
    </row>
    <row r="107" ht="15.75" customHeight="1">
      <c r="A107" s="46" t="s">
        <v>28</v>
      </c>
      <c r="B107" s="47">
        <f t="shared" si="6"/>
        <v>45032</v>
      </c>
      <c r="C107" s="49">
        <v>4.0</v>
      </c>
      <c r="D107" s="49" t="s">
        <v>36</v>
      </c>
      <c r="E107" s="52"/>
      <c r="F107" s="59"/>
      <c r="G107" s="55"/>
      <c r="H107" s="57"/>
      <c r="I107" s="55"/>
      <c r="J107" s="57"/>
      <c r="K107" s="55"/>
      <c r="L107" s="57"/>
      <c r="M107" s="55"/>
      <c r="N107" s="53"/>
      <c r="O107" s="55"/>
      <c r="P107" s="56"/>
      <c r="Q107" s="55"/>
      <c r="R107" s="56"/>
      <c r="S107" s="55"/>
      <c r="T107" s="56"/>
      <c r="U107" s="55"/>
      <c r="V107" s="57"/>
      <c r="W107" s="55"/>
      <c r="X107" s="57"/>
      <c r="Y107" s="58"/>
      <c r="Z107" s="59"/>
      <c r="AA107" s="55"/>
      <c r="AB107" s="57"/>
      <c r="AC107" s="55"/>
      <c r="AD107" s="57"/>
      <c r="AE107" s="55"/>
      <c r="AF107" s="57"/>
      <c r="AG107" s="55"/>
      <c r="AH107" s="57"/>
      <c r="AI107" s="55"/>
      <c r="AJ107" s="57"/>
      <c r="AK107" s="58"/>
      <c r="AL107" s="64">
        <f t="shared" si="1"/>
        <v>0</v>
      </c>
      <c r="AM107" s="49">
        <f t="shared" si="2"/>
        <v>0</v>
      </c>
      <c r="AN107" s="49">
        <f t="shared" si="3"/>
        <v>0</v>
      </c>
      <c r="AO107" s="49">
        <f t="shared" si="4"/>
        <v>0</v>
      </c>
      <c r="AP107" s="66" t="str">
        <f t="shared" si="5"/>
        <v/>
      </c>
    </row>
    <row r="108" ht="15.75" customHeight="1">
      <c r="A108" s="18" t="s">
        <v>21</v>
      </c>
      <c r="B108" s="68">
        <f t="shared" si="6"/>
        <v>45033</v>
      </c>
      <c r="C108" s="20">
        <v>4.0</v>
      </c>
      <c r="D108" s="20" t="s">
        <v>37</v>
      </c>
      <c r="E108" s="22"/>
      <c r="F108" s="27"/>
      <c r="H108" s="25"/>
      <c r="J108" s="25"/>
      <c r="L108" s="25"/>
      <c r="N108" s="23"/>
      <c r="P108" s="24"/>
      <c r="R108" s="24"/>
      <c r="T108" s="24"/>
      <c r="V108" s="25"/>
      <c r="X108" s="25"/>
      <c r="Y108" s="26"/>
      <c r="Z108" s="27"/>
      <c r="AB108" s="25"/>
      <c r="AD108" s="25"/>
      <c r="AF108" s="25"/>
      <c r="AH108" s="25"/>
      <c r="AJ108" s="25"/>
      <c r="AK108" s="26"/>
      <c r="AL108" s="32">
        <f t="shared" si="1"/>
        <v>0</v>
      </c>
      <c r="AM108" s="20">
        <f t="shared" si="2"/>
        <v>0</v>
      </c>
      <c r="AN108" s="20">
        <f t="shared" si="3"/>
        <v>0</v>
      </c>
      <c r="AO108" s="20">
        <f t="shared" si="4"/>
        <v>0</v>
      </c>
      <c r="AP108" s="33" t="str">
        <f t="shared" si="5"/>
        <v/>
      </c>
    </row>
    <row r="109" ht="15.75" customHeight="1">
      <c r="A109" s="34" t="s">
        <v>23</v>
      </c>
      <c r="B109" s="35">
        <f t="shared" si="6"/>
        <v>45034</v>
      </c>
      <c r="C109" s="36">
        <v>4.0</v>
      </c>
      <c r="D109" s="36" t="s">
        <v>37</v>
      </c>
      <c r="E109" s="38"/>
      <c r="F109" s="27"/>
      <c r="H109" s="25"/>
      <c r="J109" s="25"/>
      <c r="L109" s="25"/>
      <c r="N109" s="23"/>
      <c r="P109" s="24"/>
      <c r="R109" s="24"/>
      <c r="T109" s="24"/>
      <c r="V109" s="25"/>
      <c r="X109" s="25"/>
      <c r="Y109" s="26"/>
      <c r="Z109" s="27"/>
      <c r="AB109" s="25"/>
      <c r="AD109" s="25"/>
      <c r="AF109" s="25"/>
      <c r="AH109" s="25"/>
      <c r="AJ109" s="25"/>
      <c r="AK109" s="26"/>
      <c r="AL109" s="39">
        <f t="shared" si="1"/>
        <v>0</v>
      </c>
      <c r="AM109" s="36">
        <f t="shared" si="2"/>
        <v>0</v>
      </c>
      <c r="AN109" s="36">
        <f t="shared" si="3"/>
        <v>0</v>
      </c>
      <c r="AO109" s="36">
        <f t="shared" si="4"/>
        <v>0</v>
      </c>
      <c r="AP109" s="40" t="str">
        <f t="shared" si="5"/>
        <v/>
      </c>
    </row>
    <row r="110" ht="15.75" customHeight="1">
      <c r="A110" s="34" t="s">
        <v>24</v>
      </c>
      <c r="B110" s="35">
        <f t="shared" si="6"/>
        <v>45035</v>
      </c>
      <c r="C110" s="36">
        <v>4.0</v>
      </c>
      <c r="D110" s="36" t="s">
        <v>37</v>
      </c>
      <c r="E110" s="38"/>
      <c r="F110" s="27"/>
      <c r="H110" s="25"/>
      <c r="J110" s="25"/>
      <c r="L110" s="25"/>
      <c r="N110" s="23"/>
      <c r="P110" s="24"/>
      <c r="R110" s="24"/>
      <c r="T110" s="24"/>
      <c r="V110" s="25"/>
      <c r="X110" s="25"/>
      <c r="Y110" s="26"/>
      <c r="Z110" s="27"/>
      <c r="AB110" s="25"/>
      <c r="AD110" s="25"/>
      <c r="AF110" s="25"/>
      <c r="AH110" s="25"/>
      <c r="AJ110" s="25"/>
      <c r="AK110" s="26"/>
      <c r="AL110" s="39">
        <f t="shared" si="1"/>
        <v>0</v>
      </c>
      <c r="AM110" s="36">
        <f t="shared" si="2"/>
        <v>0</v>
      </c>
      <c r="AN110" s="36">
        <f t="shared" si="3"/>
        <v>0</v>
      </c>
      <c r="AO110" s="36">
        <f t="shared" si="4"/>
        <v>0</v>
      </c>
      <c r="AP110" s="40" t="str">
        <f t="shared" si="5"/>
        <v/>
      </c>
    </row>
    <row r="111" ht="15.75" customHeight="1">
      <c r="A111" s="34" t="s">
        <v>25</v>
      </c>
      <c r="B111" s="35">
        <f t="shared" si="6"/>
        <v>45036</v>
      </c>
      <c r="C111" s="36">
        <v>4.0</v>
      </c>
      <c r="D111" s="36" t="s">
        <v>37</v>
      </c>
      <c r="E111" s="38"/>
      <c r="F111" s="27"/>
      <c r="H111" s="25"/>
      <c r="J111" s="25"/>
      <c r="L111" s="25"/>
      <c r="N111" s="23"/>
      <c r="P111" s="24"/>
      <c r="R111" s="24"/>
      <c r="T111" s="24"/>
      <c r="V111" s="25"/>
      <c r="X111" s="25"/>
      <c r="Y111" s="26"/>
      <c r="Z111" s="27"/>
      <c r="AB111" s="25"/>
      <c r="AD111" s="25"/>
      <c r="AF111" s="25"/>
      <c r="AH111" s="25"/>
      <c r="AJ111" s="25"/>
      <c r="AK111" s="26"/>
      <c r="AL111" s="39">
        <f t="shared" si="1"/>
        <v>0</v>
      </c>
      <c r="AM111" s="36">
        <f t="shared" si="2"/>
        <v>0</v>
      </c>
      <c r="AN111" s="36">
        <f t="shared" si="3"/>
        <v>0</v>
      </c>
      <c r="AO111" s="36">
        <f t="shared" si="4"/>
        <v>0</v>
      </c>
      <c r="AP111" s="40" t="str">
        <f t="shared" si="5"/>
        <v/>
      </c>
    </row>
    <row r="112" ht="15.75" customHeight="1">
      <c r="A112" s="34" t="s">
        <v>26</v>
      </c>
      <c r="B112" s="35">
        <f t="shared" si="6"/>
        <v>45037</v>
      </c>
      <c r="C112" s="36">
        <v>4.0</v>
      </c>
      <c r="D112" s="36" t="s">
        <v>37</v>
      </c>
      <c r="E112" s="38"/>
      <c r="F112" s="27"/>
      <c r="H112" s="25"/>
      <c r="J112" s="25"/>
      <c r="L112" s="25"/>
      <c r="N112" s="23"/>
      <c r="P112" s="24"/>
      <c r="R112" s="24"/>
      <c r="T112" s="24"/>
      <c r="V112" s="25"/>
      <c r="X112" s="25"/>
      <c r="Y112" s="26"/>
      <c r="Z112" s="27"/>
      <c r="AB112" s="25"/>
      <c r="AD112" s="25"/>
      <c r="AF112" s="25"/>
      <c r="AH112" s="25"/>
      <c r="AJ112" s="25"/>
      <c r="AK112" s="26"/>
      <c r="AL112" s="39">
        <f t="shared" si="1"/>
        <v>0</v>
      </c>
      <c r="AM112" s="36">
        <f t="shared" si="2"/>
        <v>0</v>
      </c>
      <c r="AN112" s="36">
        <f t="shared" si="3"/>
        <v>0</v>
      </c>
      <c r="AO112" s="36">
        <f t="shared" si="4"/>
        <v>0</v>
      </c>
      <c r="AP112" s="40" t="str">
        <f t="shared" si="5"/>
        <v/>
      </c>
    </row>
    <row r="113" ht="15.75" customHeight="1">
      <c r="A113" s="34" t="s">
        <v>27</v>
      </c>
      <c r="B113" s="35">
        <f t="shared" si="6"/>
        <v>45038</v>
      </c>
      <c r="C113" s="36">
        <v>4.0</v>
      </c>
      <c r="D113" s="36" t="s">
        <v>37</v>
      </c>
      <c r="E113" s="38"/>
      <c r="F113" s="27"/>
      <c r="H113" s="25"/>
      <c r="J113" s="25"/>
      <c r="L113" s="25"/>
      <c r="N113" s="23"/>
      <c r="P113" s="24"/>
      <c r="R113" s="24"/>
      <c r="T113" s="24"/>
      <c r="V113" s="25"/>
      <c r="X113" s="25"/>
      <c r="Y113" s="26"/>
      <c r="Z113" s="27"/>
      <c r="AB113" s="25"/>
      <c r="AD113" s="25"/>
      <c r="AF113" s="25"/>
      <c r="AH113" s="25"/>
      <c r="AJ113" s="25"/>
      <c r="AK113" s="26"/>
      <c r="AL113" s="39">
        <f t="shared" si="1"/>
        <v>0</v>
      </c>
      <c r="AM113" s="36">
        <f t="shared" si="2"/>
        <v>0</v>
      </c>
      <c r="AN113" s="36">
        <f t="shared" si="3"/>
        <v>0</v>
      </c>
      <c r="AO113" s="36">
        <f t="shared" si="4"/>
        <v>0</v>
      </c>
      <c r="AP113" s="40" t="str">
        <f t="shared" si="5"/>
        <v/>
      </c>
    </row>
    <row r="114" ht="15.75" customHeight="1">
      <c r="A114" s="46" t="s">
        <v>28</v>
      </c>
      <c r="B114" s="47">
        <f t="shared" si="6"/>
        <v>45039</v>
      </c>
      <c r="C114" s="49">
        <v>4.0</v>
      </c>
      <c r="D114" s="49" t="s">
        <v>37</v>
      </c>
      <c r="E114" s="52"/>
      <c r="F114" s="59"/>
      <c r="G114" s="55"/>
      <c r="H114" s="57"/>
      <c r="I114" s="55"/>
      <c r="J114" s="57"/>
      <c r="K114" s="55"/>
      <c r="L114" s="57"/>
      <c r="M114" s="55"/>
      <c r="N114" s="53"/>
      <c r="O114" s="55"/>
      <c r="P114" s="56"/>
      <c r="Q114" s="55"/>
      <c r="R114" s="56"/>
      <c r="S114" s="55"/>
      <c r="T114" s="56"/>
      <c r="U114" s="55"/>
      <c r="V114" s="57"/>
      <c r="W114" s="55"/>
      <c r="X114" s="57"/>
      <c r="Y114" s="58"/>
      <c r="Z114" s="59"/>
      <c r="AA114" s="55"/>
      <c r="AB114" s="57"/>
      <c r="AC114" s="55"/>
      <c r="AD114" s="57"/>
      <c r="AE114" s="55"/>
      <c r="AF114" s="57"/>
      <c r="AG114" s="55"/>
      <c r="AH114" s="57"/>
      <c r="AI114" s="55"/>
      <c r="AJ114" s="57"/>
      <c r="AK114" s="58"/>
      <c r="AL114" s="64">
        <f t="shared" si="1"/>
        <v>0</v>
      </c>
      <c r="AM114" s="49">
        <f t="shared" si="2"/>
        <v>0</v>
      </c>
      <c r="AN114" s="49">
        <f t="shared" si="3"/>
        <v>0</v>
      </c>
      <c r="AO114" s="49">
        <f t="shared" si="4"/>
        <v>0</v>
      </c>
      <c r="AP114" s="66" t="str">
        <f t="shared" si="5"/>
        <v/>
      </c>
    </row>
    <row r="115" ht="15.75" customHeight="1">
      <c r="A115" s="18" t="s">
        <v>21</v>
      </c>
      <c r="B115" s="68">
        <f t="shared" si="6"/>
        <v>45040</v>
      </c>
      <c r="C115" s="20">
        <v>5.0</v>
      </c>
      <c r="D115" s="20" t="s">
        <v>22</v>
      </c>
      <c r="E115" s="22"/>
      <c r="F115" s="27"/>
      <c r="H115" s="25"/>
      <c r="J115" s="25"/>
      <c r="L115" s="25"/>
      <c r="N115" s="23"/>
      <c r="P115" s="24"/>
      <c r="R115" s="24"/>
      <c r="T115" s="24"/>
      <c r="V115" s="25"/>
      <c r="X115" s="25"/>
      <c r="Y115" s="26"/>
      <c r="Z115" s="27"/>
      <c r="AB115" s="25"/>
      <c r="AD115" s="25"/>
      <c r="AF115" s="25"/>
      <c r="AH115" s="25"/>
      <c r="AJ115" s="25"/>
      <c r="AK115" s="26"/>
      <c r="AL115" s="32">
        <f t="shared" si="1"/>
        <v>0</v>
      </c>
      <c r="AM115" s="20">
        <f t="shared" si="2"/>
        <v>0</v>
      </c>
      <c r="AN115" s="20">
        <f t="shared" si="3"/>
        <v>0</v>
      </c>
      <c r="AO115" s="20">
        <f t="shared" si="4"/>
        <v>0</v>
      </c>
      <c r="AP115" s="33" t="str">
        <f t="shared" si="5"/>
        <v/>
      </c>
    </row>
    <row r="116" ht="15.75" customHeight="1">
      <c r="A116" s="34" t="s">
        <v>23</v>
      </c>
      <c r="B116" s="35">
        <f t="shared" si="6"/>
        <v>45041</v>
      </c>
      <c r="C116" s="36">
        <v>5.0</v>
      </c>
      <c r="D116" s="36" t="s">
        <v>22</v>
      </c>
      <c r="E116" s="38"/>
      <c r="F116" s="27"/>
      <c r="H116" s="25"/>
      <c r="J116" s="25"/>
      <c r="L116" s="25"/>
      <c r="N116" s="23"/>
      <c r="P116" s="24"/>
      <c r="R116" s="24"/>
      <c r="T116" s="24"/>
      <c r="V116" s="25"/>
      <c r="X116" s="25"/>
      <c r="Y116" s="26"/>
      <c r="Z116" s="27"/>
      <c r="AB116" s="25"/>
      <c r="AD116" s="25"/>
      <c r="AF116" s="25"/>
      <c r="AH116" s="25"/>
      <c r="AJ116" s="25"/>
      <c r="AK116" s="26"/>
      <c r="AL116" s="39">
        <f t="shared" si="1"/>
        <v>0</v>
      </c>
      <c r="AM116" s="36">
        <f t="shared" si="2"/>
        <v>0</v>
      </c>
      <c r="AN116" s="36">
        <f t="shared" si="3"/>
        <v>0</v>
      </c>
      <c r="AO116" s="36">
        <f t="shared" si="4"/>
        <v>0</v>
      </c>
      <c r="AP116" s="40" t="str">
        <f t="shared" si="5"/>
        <v/>
      </c>
    </row>
    <row r="117" ht="15.75" customHeight="1">
      <c r="A117" s="34" t="s">
        <v>24</v>
      </c>
      <c r="B117" s="35">
        <f t="shared" si="6"/>
        <v>45042</v>
      </c>
      <c r="C117" s="36">
        <v>5.0</v>
      </c>
      <c r="D117" s="36" t="s">
        <v>22</v>
      </c>
      <c r="E117" s="38"/>
      <c r="F117" s="27"/>
      <c r="H117" s="25"/>
      <c r="J117" s="25"/>
      <c r="L117" s="25"/>
      <c r="N117" s="23"/>
      <c r="P117" s="24"/>
      <c r="R117" s="24"/>
      <c r="T117" s="24"/>
      <c r="V117" s="25"/>
      <c r="X117" s="25"/>
      <c r="Y117" s="26"/>
      <c r="Z117" s="27"/>
      <c r="AB117" s="25"/>
      <c r="AD117" s="25"/>
      <c r="AF117" s="25"/>
      <c r="AH117" s="25"/>
      <c r="AJ117" s="25"/>
      <c r="AK117" s="26"/>
      <c r="AL117" s="39">
        <f t="shared" si="1"/>
        <v>0</v>
      </c>
      <c r="AM117" s="36">
        <f t="shared" si="2"/>
        <v>0</v>
      </c>
      <c r="AN117" s="36">
        <f t="shared" si="3"/>
        <v>0</v>
      </c>
      <c r="AO117" s="36">
        <f t="shared" si="4"/>
        <v>0</v>
      </c>
      <c r="AP117" s="40" t="str">
        <f t="shared" si="5"/>
        <v/>
      </c>
    </row>
    <row r="118" ht="15.75" customHeight="1">
      <c r="A118" s="34" t="s">
        <v>25</v>
      </c>
      <c r="B118" s="35">
        <f t="shared" si="6"/>
        <v>45043</v>
      </c>
      <c r="C118" s="36">
        <v>5.0</v>
      </c>
      <c r="D118" s="36" t="s">
        <v>22</v>
      </c>
      <c r="E118" s="38"/>
      <c r="F118" s="27"/>
      <c r="H118" s="25"/>
      <c r="J118" s="25"/>
      <c r="L118" s="25"/>
      <c r="N118" s="23"/>
      <c r="P118" s="24"/>
      <c r="R118" s="24"/>
      <c r="T118" s="24"/>
      <c r="V118" s="25"/>
      <c r="X118" s="25"/>
      <c r="Y118" s="26"/>
      <c r="Z118" s="27"/>
      <c r="AB118" s="25"/>
      <c r="AD118" s="25"/>
      <c r="AF118" s="25"/>
      <c r="AH118" s="25"/>
      <c r="AJ118" s="25"/>
      <c r="AK118" s="26"/>
      <c r="AL118" s="39">
        <f t="shared" si="1"/>
        <v>0</v>
      </c>
      <c r="AM118" s="36">
        <f t="shared" si="2"/>
        <v>0</v>
      </c>
      <c r="AN118" s="36">
        <f t="shared" si="3"/>
        <v>0</v>
      </c>
      <c r="AO118" s="36">
        <f t="shared" si="4"/>
        <v>0</v>
      </c>
      <c r="AP118" s="40" t="str">
        <f t="shared" si="5"/>
        <v/>
      </c>
    </row>
    <row r="119" ht="15.75" customHeight="1">
      <c r="A119" s="34" t="s">
        <v>26</v>
      </c>
      <c r="B119" s="35">
        <f t="shared" si="6"/>
        <v>45044</v>
      </c>
      <c r="C119" s="36">
        <v>5.0</v>
      </c>
      <c r="D119" s="36" t="s">
        <v>22</v>
      </c>
      <c r="E119" s="38"/>
      <c r="F119" s="27"/>
      <c r="H119" s="25"/>
      <c r="J119" s="25"/>
      <c r="L119" s="25"/>
      <c r="N119" s="23"/>
      <c r="P119" s="24"/>
      <c r="R119" s="24"/>
      <c r="T119" s="24"/>
      <c r="V119" s="25"/>
      <c r="X119" s="25"/>
      <c r="Y119" s="26"/>
      <c r="Z119" s="27"/>
      <c r="AB119" s="25"/>
      <c r="AD119" s="25"/>
      <c r="AF119" s="25"/>
      <c r="AH119" s="25"/>
      <c r="AJ119" s="25"/>
      <c r="AK119" s="26"/>
      <c r="AL119" s="39">
        <f t="shared" si="1"/>
        <v>0</v>
      </c>
      <c r="AM119" s="36">
        <f t="shared" si="2"/>
        <v>0</v>
      </c>
      <c r="AN119" s="36">
        <f t="shared" si="3"/>
        <v>0</v>
      </c>
      <c r="AO119" s="36">
        <f t="shared" si="4"/>
        <v>0</v>
      </c>
      <c r="AP119" s="40" t="str">
        <f t="shared" si="5"/>
        <v/>
      </c>
    </row>
    <row r="120" ht="15.75" customHeight="1">
      <c r="A120" s="34" t="s">
        <v>27</v>
      </c>
      <c r="B120" s="35">
        <f t="shared" si="6"/>
        <v>45045</v>
      </c>
      <c r="C120" s="36">
        <v>5.0</v>
      </c>
      <c r="D120" s="36" t="s">
        <v>22</v>
      </c>
      <c r="E120" s="38"/>
      <c r="F120" s="27"/>
      <c r="H120" s="25"/>
      <c r="J120" s="25"/>
      <c r="L120" s="25"/>
      <c r="N120" s="23"/>
      <c r="P120" s="24"/>
      <c r="R120" s="24"/>
      <c r="T120" s="24"/>
      <c r="V120" s="25"/>
      <c r="X120" s="25"/>
      <c r="Y120" s="26"/>
      <c r="Z120" s="27"/>
      <c r="AB120" s="25"/>
      <c r="AD120" s="25"/>
      <c r="AF120" s="25"/>
      <c r="AH120" s="25"/>
      <c r="AJ120" s="25"/>
      <c r="AK120" s="26"/>
      <c r="AL120" s="39">
        <f t="shared" si="1"/>
        <v>0</v>
      </c>
      <c r="AM120" s="36">
        <f t="shared" si="2"/>
        <v>0</v>
      </c>
      <c r="AN120" s="36">
        <f t="shared" si="3"/>
        <v>0</v>
      </c>
      <c r="AO120" s="36">
        <f t="shared" si="4"/>
        <v>0</v>
      </c>
      <c r="AP120" s="40" t="str">
        <f t="shared" si="5"/>
        <v/>
      </c>
    </row>
    <row r="121" ht="15.75" customHeight="1">
      <c r="A121" s="46" t="s">
        <v>28</v>
      </c>
      <c r="B121" s="47">
        <f t="shared" si="6"/>
        <v>45046</v>
      </c>
      <c r="C121" s="49">
        <v>5.0</v>
      </c>
      <c r="D121" s="49" t="s">
        <v>22</v>
      </c>
      <c r="E121" s="52"/>
      <c r="F121" s="59"/>
      <c r="G121" s="55"/>
      <c r="H121" s="57"/>
      <c r="I121" s="55"/>
      <c r="J121" s="57"/>
      <c r="K121" s="55"/>
      <c r="L121" s="57"/>
      <c r="M121" s="55"/>
      <c r="N121" s="53"/>
      <c r="O121" s="55"/>
      <c r="P121" s="56"/>
      <c r="Q121" s="55"/>
      <c r="R121" s="56"/>
      <c r="S121" s="55"/>
      <c r="T121" s="56"/>
      <c r="U121" s="55"/>
      <c r="V121" s="57"/>
      <c r="W121" s="55"/>
      <c r="X121" s="57"/>
      <c r="Y121" s="58"/>
      <c r="Z121" s="59"/>
      <c r="AA121" s="55"/>
      <c r="AB121" s="57"/>
      <c r="AC121" s="55"/>
      <c r="AD121" s="57"/>
      <c r="AE121" s="55"/>
      <c r="AF121" s="57"/>
      <c r="AG121" s="55"/>
      <c r="AH121" s="57"/>
      <c r="AI121" s="55"/>
      <c r="AJ121" s="57"/>
      <c r="AK121" s="58"/>
      <c r="AL121" s="64">
        <f t="shared" si="1"/>
        <v>0</v>
      </c>
      <c r="AM121" s="49">
        <f t="shared" si="2"/>
        <v>0</v>
      </c>
      <c r="AN121" s="49">
        <f t="shared" si="3"/>
        <v>0</v>
      </c>
      <c r="AO121" s="49">
        <f t="shared" si="4"/>
        <v>0</v>
      </c>
      <c r="AP121" s="66" t="str">
        <f t="shared" si="5"/>
        <v/>
      </c>
    </row>
    <row r="122" ht="15.75" customHeight="1">
      <c r="A122" s="18" t="s">
        <v>21</v>
      </c>
      <c r="B122" s="68">
        <f t="shared" si="6"/>
        <v>45047</v>
      </c>
      <c r="C122" s="20">
        <v>5.0</v>
      </c>
      <c r="D122" s="20" t="s">
        <v>34</v>
      </c>
      <c r="E122" s="22"/>
      <c r="F122" s="27"/>
      <c r="H122" s="25"/>
      <c r="J122" s="25"/>
      <c r="L122" s="25"/>
      <c r="N122" s="23"/>
      <c r="P122" s="24"/>
      <c r="R122" s="24"/>
      <c r="T122" s="24"/>
      <c r="V122" s="25"/>
      <c r="X122" s="25"/>
      <c r="Y122" s="26"/>
      <c r="Z122" s="27"/>
      <c r="AB122" s="25"/>
      <c r="AD122" s="25"/>
      <c r="AF122" s="25"/>
      <c r="AH122" s="25"/>
      <c r="AJ122" s="25"/>
      <c r="AK122" s="26"/>
      <c r="AL122" s="32">
        <f t="shared" si="1"/>
        <v>0</v>
      </c>
      <c r="AM122" s="20">
        <f t="shared" si="2"/>
        <v>0</v>
      </c>
      <c r="AN122" s="20">
        <f t="shared" si="3"/>
        <v>0</v>
      </c>
      <c r="AO122" s="20">
        <f t="shared" si="4"/>
        <v>0</v>
      </c>
      <c r="AP122" s="33" t="str">
        <f t="shared" si="5"/>
        <v/>
      </c>
    </row>
    <row r="123" ht="15.75" customHeight="1">
      <c r="A123" s="34" t="s">
        <v>23</v>
      </c>
      <c r="B123" s="35">
        <f t="shared" si="6"/>
        <v>45048</v>
      </c>
      <c r="C123" s="36">
        <v>5.0</v>
      </c>
      <c r="D123" s="36" t="s">
        <v>34</v>
      </c>
      <c r="E123" s="38"/>
      <c r="F123" s="27"/>
      <c r="H123" s="25"/>
      <c r="J123" s="25"/>
      <c r="L123" s="25"/>
      <c r="N123" s="23"/>
      <c r="P123" s="24"/>
      <c r="R123" s="24"/>
      <c r="T123" s="24"/>
      <c r="V123" s="25"/>
      <c r="X123" s="25"/>
      <c r="Y123" s="26"/>
      <c r="Z123" s="27"/>
      <c r="AB123" s="25"/>
      <c r="AD123" s="25"/>
      <c r="AF123" s="25"/>
      <c r="AH123" s="25"/>
      <c r="AJ123" s="25"/>
      <c r="AK123" s="26"/>
      <c r="AL123" s="39">
        <f t="shared" si="1"/>
        <v>0</v>
      </c>
      <c r="AM123" s="36">
        <f t="shared" si="2"/>
        <v>0</v>
      </c>
      <c r="AN123" s="36">
        <f t="shared" si="3"/>
        <v>0</v>
      </c>
      <c r="AO123" s="36">
        <f t="shared" si="4"/>
        <v>0</v>
      </c>
      <c r="AP123" s="40" t="str">
        <f t="shared" si="5"/>
        <v/>
      </c>
    </row>
    <row r="124" ht="15.75" customHeight="1">
      <c r="A124" s="34" t="s">
        <v>24</v>
      </c>
      <c r="B124" s="35">
        <f t="shared" si="6"/>
        <v>45049</v>
      </c>
      <c r="C124" s="36">
        <v>5.0</v>
      </c>
      <c r="D124" s="36" t="s">
        <v>34</v>
      </c>
      <c r="E124" s="38"/>
      <c r="F124" s="27"/>
      <c r="H124" s="25"/>
      <c r="J124" s="25"/>
      <c r="L124" s="25"/>
      <c r="N124" s="23"/>
      <c r="P124" s="24"/>
      <c r="R124" s="24"/>
      <c r="T124" s="24"/>
      <c r="V124" s="25"/>
      <c r="X124" s="25"/>
      <c r="Y124" s="26"/>
      <c r="Z124" s="27"/>
      <c r="AB124" s="25"/>
      <c r="AD124" s="25"/>
      <c r="AF124" s="25"/>
      <c r="AH124" s="25"/>
      <c r="AJ124" s="25"/>
      <c r="AK124" s="26"/>
      <c r="AL124" s="39">
        <f t="shared" si="1"/>
        <v>0</v>
      </c>
      <c r="AM124" s="36">
        <f t="shared" si="2"/>
        <v>0</v>
      </c>
      <c r="AN124" s="36">
        <f t="shared" si="3"/>
        <v>0</v>
      </c>
      <c r="AO124" s="36">
        <f t="shared" si="4"/>
        <v>0</v>
      </c>
      <c r="AP124" s="40" t="str">
        <f t="shared" si="5"/>
        <v/>
      </c>
    </row>
    <row r="125" ht="15.75" customHeight="1">
      <c r="A125" s="34" t="s">
        <v>25</v>
      </c>
      <c r="B125" s="35">
        <f t="shared" si="6"/>
        <v>45050</v>
      </c>
      <c r="C125" s="36">
        <v>5.0</v>
      </c>
      <c r="D125" s="36" t="s">
        <v>34</v>
      </c>
      <c r="E125" s="38"/>
      <c r="F125" s="27"/>
      <c r="H125" s="25"/>
      <c r="J125" s="25"/>
      <c r="L125" s="25"/>
      <c r="N125" s="23"/>
      <c r="P125" s="24"/>
      <c r="R125" s="24"/>
      <c r="T125" s="24"/>
      <c r="V125" s="25"/>
      <c r="X125" s="25"/>
      <c r="Y125" s="26"/>
      <c r="Z125" s="27"/>
      <c r="AB125" s="25"/>
      <c r="AD125" s="25"/>
      <c r="AF125" s="25"/>
      <c r="AH125" s="25"/>
      <c r="AJ125" s="25"/>
      <c r="AK125" s="26"/>
      <c r="AL125" s="39">
        <f t="shared" si="1"/>
        <v>0</v>
      </c>
      <c r="AM125" s="36">
        <f t="shared" si="2"/>
        <v>0</v>
      </c>
      <c r="AN125" s="36">
        <f t="shared" si="3"/>
        <v>0</v>
      </c>
      <c r="AO125" s="36">
        <f t="shared" si="4"/>
        <v>0</v>
      </c>
      <c r="AP125" s="40" t="str">
        <f t="shared" si="5"/>
        <v/>
      </c>
    </row>
    <row r="126" ht="15.75" customHeight="1">
      <c r="A126" s="34" t="s">
        <v>26</v>
      </c>
      <c r="B126" s="35">
        <f t="shared" si="6"/>
        <v>45051</v>
      </c>
      <c r="C126" s="36">
        <v>5.0</v>
      </c>
      <c r="D126" s="36" t="s">
        <v>34</v>
      </c>
      <c r="E126" s="38"/>
      <c r="F126" s="27"/>
      <c r="H126" s="25"/>
      <c r="J126" s="25"/>
      <c r="L126" s="25"/>
      <c r="N126" s="23"/>
      <c r="P126" s="24"/>
      <c r="R126" s="24"/>
      <c r="T126" s="24"/>
      <c r="V126" s="25"/>
      <c r="X126" s="25"/>
      <c r="Y126" s="26"/>
      <c r="Z126" s="27"/>
      <c r="AB126" s="25"/>
      <c r="AD126" s="25"/>
      <c r="AF126" s="25"/>
      <c r="AH126" s="25"/>
      <c r="AJ126" s="25"/>
      <c r="AK126" s="26"/>
      <c r="AL126" s="39">
        <f t="shared" si="1"/>
        <v>0</v>
      </c>
      <c r="AM126" s="36">
        <f t="shared" si="2"/>
        <v>0</v>
      </c>
      <c r="AN126" s="36">
        <f t="shared" si="3"/>
        <v>0</v>
      </c>
      <c r="AO126" s="36">
        <f t="shared" si="4"/>
        <v>0</v>
      </c>
      <c r="AP126" s="40" t="str">
        <f t="shared" si="5"/>
        <v/>
      </c>
    </row>
    <row r="127" ht="15.75" customHeight="1">
      <c r="A127" s="34" t="s">
        <v>27</v>
      </c>
      <c r="B127" s="35">
        <f t="shared" si="6"/>
        <v>45052</v>
      </c>
      <c r="C127" s="36">
        <v>5.0</v>
      </c>
      <c r="D127" s="36" t="s">
        <v>34</v>
      </c>
      <c r="E127" s="38"/>
      <c r="F127" s="27"/>
      <c r="H127" s="25"/>
      <c r="J127" s="25"/>
      <c r="L127" s="25"/>
      <c r="N127" s="23"/>
      <c r="P127" s="24"/>
      <c r="R127" s="24"/>
      <c r="T127" s="24"/>
      <c r="V127" s="25"/>
      <c r="X127" s="25"/>
      <c r="Y127" s="26"/>
      <c r="Z127" s="27"/>
      <c r="AB127" s="25"/>
      <c r="AD127" s="25"/>
      <c r="AF127" s="25"/>
      <c r="AH127" s="25"/>
      <c r="AJ127" s="25"/>
      <c r="AK127" s="26"/>
      <c r="AL127" s="39">
        <f t="shared" si="1"/>
        <v>0</v>
      </c>
      <c r="AM127" s="36">
        <f t="shared" si="2"/>
        <v>0</v>
      </c>
      <c r="AN127" s="36">
        <f t="shared" si="3"/>
        <v>0</v>
      </c>
      <c r="AO127" s="36">
        <f t="shared" si="4"/>
        <v>0</v>
      </c>
      <c r="AP127" s="40" t="str">
        <f t="shared" si="5"/>
        <v/>
      </c>
    </row>
    <row r="128" ht="15.75" customHeight="1">
      <c r="A128" s="46" t="s">
        <v>28</v>
      </c>
      <c r="B128" s="47">
        <f t="shared" si="6"/>
        <v>45053</v>
      </c>
      <c r="C128" s="49">
        <v>5.0</v>
      </c>
      <c r="D128" s="49" t="s">
        <v>34</v>
      </c>
      <c r="E128" s="52"/>
      <c r="F128" s="59"/>
      <c r="G128" s="55"/>
      <c r="H128" s="57"/>
      <c r="I128" s="55"/>
      <c r="J128" s="57"/>
      <c r="K128" s="55"/>
      <c r="L128" s="57"/>
      <c r="M128" s="55"/>
      <c r="N128" s="53"/>
      <c r="O128" s="55"/>
      <c r="P128" s="56"/>
      <c r="Q128" s="55"/>
      <c r="R128" s="56"/>
      <c r="S128" s="55"/>
      <c r="T128" s="56"/>
      <c r="U128" s="55"/>
      <c r="V128" s="57"/>
      <c r="W128" s="55"/>
      <c r="X128" s="57"/>
      <c r="Y128" s="58"/>
      <c r="Z128" s="59"/>
      <c r="AA128" s="55"/>
      <c r="AB128" s="57"/>
      <c r="AC128" s="55"/>
      <c r="AD128" s="57"/>
      <c r="AE128" s="55"/>
      <c r="AF128" s="57"/>
      <c r="AG128" s="55"/>
      <c r="AH128" s="57"/>
      <c r="AI128" s="55"/>
      <c r="AJ128" s="57"/>
      <c r="AK128" s="58"/>
      <c r="AL128" s="64">
        <f t="shared" si="1"/>
        <v>0</v>
      </c>
      <c r="AM128" s="49">
        <f t="shared" si="2"/>
        <v>0</v>
      </c>
      <c r="AN128" s="49">
        <f t="shared" si="3"/>
        <v>0</v>
      </c>
      <c r="AO128" s="49">
        <f t="shared" si="4"/>
        <v>0</v>
      </c>
      <c r="AP128" s="66" t="str">
        <f t="shared" si="5"/>
        <v/>
      </c>
    </row>
    <row r="129" ht="15.75" customHeight="1">
      <c r="A129" s="18" t="s">
        <v>21</v>
      </c>
      <c r="B129" s="68">
        <f t="shared" si="6"/>
        <v>45054</v>
      </c>
      <c r="C129" s="20">
        <v>5.0</v>
      </c>
      <c r="D129" s="20" t="s">
        <v>36</v>
      </c>
      <c r="E129" s="22"/>
      <c r="F129" s="27"/>
      <c r="H129" s="25"/>
      <c r="J129" s="25"/>
      <c r="L129" s="25"/>
      <c r="N129" s="23"/>
      <c r="P129" s="24"/>
      <c r="R129" s="24"/>
      <c r="T129" s="24"/>
      <c r="V129" s="25"/>
      <c r="X129" s="25"/>
      <c r="Y129" s="26"/>
      <c r="Z129" s="27"/>
      <c r="AB129" s="25"/>
      <c r="AD129" s="25"/>
      <c r="AF129" s="25"/>
      <c r="AH129" s="25"/>
      <c r="AJ129" s="25"/>
      <c r="AK129" s="26"/>
      <c r="AL129" s="32">
        <f t="shared" si="1"/>
        <v>0</v>
      </c>
      <c r="AM129" s="20">
        <f t="shared" si="2"/>
        <v>0</v>
      </c>
      <c r="AN129" s="20">
        <f t="shared" si="3"/>
        <v>0</v>
      </c>
      <c r="AO129" s="20">
        <f t="shared" si="4"/>
        <v>0</v>
      </c>
      <c r="AP129" s="33" t="str">
        <f t="shared" si="5"/>
        <v/>
      </c>
    </row>
    <row r="130" ht="15.75" customHeight="1">
      <c r="A130" s="34" t="s">
        <v>23</v>
      </c>
      <c r="B130" s="35">
        <f t="shared" si="6"/>
        <v>45055</v>
      </c>
      <c r="C130" s="36">
        <v>5.0</v>
      </c>
      <c r="D130" s="36" t="s">
        <v>36</v>
      </c>
      <c r="E130" s="38"/>
      <c r="F130" s="27"/>
      <c r="H130" s="25"/>
      <c r="J130" s="25"/>
      <c r="L130" s="25"/>
      <c r="N130" s="23"/>
      <c r="P130" s="24"/>
      <c r="R130" s="24"/>
      <c r="T130" s="24"/>
      <c r="V130" s="25"/>
      <c r="X130" s="25"/>
      <c r="Y130" s="26"/>
      <c r="Z130" s="27"/>
      <c r="AB130" s="25"/>
      <c r="AD130" s="25"/>
      <c r="AF130" s="25"/>
      <c r="AH130" s="25"/>
      <c r="AJ130" s="25"/>
      <c r="AK130" s="26"/>
      <c r="AL130" s="39">
        <f t="shared" si="1"/>
        <v>0</v>
      </c>
      <c r="AM130" s="36">
        <f t="shared" si="2"/>
        <v>0</v>
      </c>
      <c r="AN130" s="36">
        <f t="shared" si="3"/>
        <v>0</v>
      </c>
      <c r="AO130" s="36">
        <f t="shared" si="4"/>
        <v>0</v>
      </c>
      <c r="AP130" s="40" t="str">
        <f t="shared" si="5"/>
        <v/>
      </c>
    </row>
    <row r="131" ht="15.75" customHeight="1">
      <c r="A131" s="34" t="s">
        <v>24</v>
      </c>
      <c r="B131" s="35">
        <f t="shared" si="6"/>
        <v>45056</v>
      </c>
      <c r="C131" s="36">
        <v>5.0</v>
      </c>
      <c r="D131" s="36" t="s">
        <v>36</v>
      </c>
      <c r="E131" s="38"/>
      <c r="F131" s="27"/>
      <c r="H131" s="25"/>
      <c r="J131" s="25"/>
      <c r="L131" s="25"/>
      <c r="N131" s="23"/>
      <c r="P131" s="24"/>
      <c r="R131" s="24"/>
      <c r="T131" s="24"/>
      <c r="V131" s="25"/>
      <c r="X131" s="25"/>
      <c r="Y131" s="26"/>
      <c r="Z131" s="27"/>
      <c r="AB131" s="25"/>
      <c r="AD131" s="25"/>
      <c r="AF131" s="25"/>
      <c r="AH131" s="25"/>
      <c r="AJ131" s="25"/>
      <c r="AK131" s="26"/>
      <c r="AL131" s="39">
        <f t="shared" si="1"/>
        <v>0</v>
      </c>
      <c r="AM131" s="36">
        <f t="shared" si="2"/>
        <v>0</v>
      </c>
      <c r="AN131" s="36">
        <f t="shared" si="3"/>
        <v>0</v>
      </c>
      <c r="AO131" s="36">
        <f t="shared" si="4"/>
        <v>0</v>
      </c>
      <c r="AP131" s="40" t="str">
        <f t="shared" si="5"/>
        <v/>
      </c>
    </row>
    <row r="132" ht="15.75" customHeight="1">
      <c r="A132" s="34" t="s">
        <v>25</v>
      </c>
      <c r="B132" s="35">
        <f t="shared" si="6"/>
        <v>45057</v>
      </c>
      <c r="C132" s="36">
        <v>5.0</v>
      </c>
      <c r="D132" s="36" t="s">
        <v>36</v>
      </c>
      <c r="E132" s="38"/>
      <c r="F132" s="27"/>
      <c r="H132" s="25"/>
      <c r="J132" s="25"/>
      <c r="L132" s="25"/>
      <c r="N132" s="23"/>
      <c r="P132" s="24"/>
      <c r="R132" s="24"/>
      <c r="T132" s="24"/>
      <c r="V132" s="25"/>
      <c r="X132" s="25"/>
      <c r="Y132" s="26"/>
      <c r="Z132" s="27"/>
      <c r="AB132" s="25"/>
      <c r="AD132" s="25"/>
      <c r="AF132" s="25"/>
      <c r="AH132" s="25"/>
      <c r="AJ132" s="25"/>
      <c r="AK132" s="26"/>
      <c r="AL132" s="39">
        <f t="shared" si="1"/>
        <v>0</v>
      </c>
      <c r="AM132" s="36">
        <f t="shared" si="2"/>
        <v>0</v>
      </c>
      <c r="AN132" s="36">
        <f t="shared" si="3"/>
        <v>0</v>
      </c>
      <c r="AO132" s="36">
        <f t="shared" si="4"/>
        <v>0</v>
      </c>
      <c r="AP132" s="40" t="str">
        <f t="shared" si="5"/>
        <v/>
      </c>
    </row>
    <row r="133" ht="15.75" customHeight="1">
      <c r="A133" s="34" t="s">
        <v>26</v>
      </c>
      <c r="B133" s="35">
        <f t="shared" si="6"/>
        <v>45058</v>
      </c>
      <c r="C133" s="36">
        <v>5.0</v>
      </c>
      <c r="D133" s="36" t="s">
        <v>36</v>
      </c>
      <c r="E133" s="38"/>
      <c r="F133" s="27"/>
      <c r="H133" s="25"/>
      <c r="J133" s="25"/>
      <c r="L133" s="25"/>
      <c r="N133" s="23"/>
      <c r="P133" s="24"/>
      <c r="R133" s="24"/>
      <c r="T133" s="24"/>
      <c r="V133" s="25"/>
      <c r="X133" s="25"/>
      <c r="Y133" s="26"/>
      <c r="Z133" s="27"/>
      <c r="AB133" s="25"/>
      <c r="AD133" s="25"/>
      <c r="AF133" s="25"/>
      <c r="AH133" s="25"/>
      <c r="AJ133" s="25"/>
      <c r="AK133" s="26"/>
      <c r="AL133" s="39">
        <f t="shared" si="1"/>
        <v>0</v>
      </c>
      <c r="AM133" s="36">
        <f t="shared" si="2"/>
        <v>0</v>
      </c>
      <c r="AN133" s="36">
        <f t="shared" si="3"/>
        <v>0</v>
      </c>
      <c r="AO133" s="36">
        <f t="shared" si="4"/>
        <v>0</v>
      </c>
      <c r="AP133" s="40" t="str">
        <f t="shared" si="5"/>
        <v/>
      </c>
    </row>
    <row r="134" ht="15.75" customHeight="1">
      <c r="A134" s="34" t="s">
        <v>27</v>
      </c>
      <c r="B134" s="35">
        <f t="shared" si="6"/>
        <v>45059</v>
      </c>
      <c r="C134" s="36">
        <v>5.0</v>
      </c>
      <c r="D134" s="36" t="s">
        <v>36</v>
      </c>
      <c r="E134" s="38"/>
      <c r="F134" s="27"/>
      <c r="H134" s="25"/>
      <c r="J134" s="25"/>
      <c r="L134" s="25"/>
      <c r="N134" s="23"/>
      <c r="P134" s="24"/>
      <c r="R134" s="24"/>
      <c r="T134" s="24"/>
      <c r="V134" s="25"/>
      <c r="X134" s="25"/>
      <c r="Y134" s="26"/>
      <c r="Z134" s="27"/>
      <c r="AB134" s="25"/>
      <c r="AD134" s="25"/>
      <c r="AF134" s="25"/>
      <c r="AH134" s="25"/>
      <c r="AJ134" s="25"/>
      <c r="AK134" s="26"/>
      <c r="AL134" s="39">
        <f t="shared" si="1"/>
        <v>0</v>
      </c>
      <c r="AM134" s="36">
        <f t="shared" si="2"/>
        <v>0</v>
      </c>
      <c r="AN134" s="36">
        <f t="shared" si="3"/>
        <v>0</v>
      </c>
      <c r="AO134" s="36">
        <f t="shared" si="4"/>
        <v>0</v>
      </c>
      <c r="AP134" s="40" t="str">
        <f t="shared" si="5"/>
        <v/>
      </c>
    </row>
    <row r="135" ht="15.75" customHeight="1">
      <c r="A135" s="46" t="s">
        <v>28</v>
      </c>
      <c r="B135" s="47">
        <f t="shared" si="6"/>
        <v>45060</v>
      </c>
      <c r="C135" s="49">
        <v>5.0</v>
      </c>
      <c r="D135" s="49" t="s">
        <v>36</v>
      </c>
      <c r="E135" s="52"/>
      <c r="F135" s="59"/>
      <c r="G135" s="55"/>
      <c r="H135" s="57"/>
      <c r="I135" s="55"/>
      <c r="J135" s="57"/>
      <c r="K135" s="55"/>
      <c r="L135" s="57"/>
      <c r="M135" s="55"/>
      <c r="N135" s="53"/>
      <c r="O135" s="55"/>
      <c r="P135" s="56"/>
      <c r="Q135" s="55"/>
      <c r="R135" s="56"/>
      <c r="S135" s="55"/>
      <c r="T135" s="56"/>
      <c r="U135" s="55"/>
      <c r="V135" s="57"/>
      <c r="W135" s="55"/>
      <c r="X135" s="57"/>
      <c r="Y135" s="58"/>
      <c r="Z135" s="59"/>
      <c r="AA135" s="55"/>
      <c r="AB135" s="57"/>
      <c r="AC135" s="55"/>
      <c r="AD135" s="57"/>
      <c r="AE135" s="55"/>
      <c r="AF135" s="57"/>
      <c r="AG135" s="55"/>
      <c r="AH135" s="57"/>
      <c r="AI135" s="55"/>
      <c r="AJ135" s="57"/>
      <c r="AK135" s="58"/>
      <c r="AL135" s="64">
        <f t="shared" si="1"/>
        <v>0</v>
      </c>
      <c r="AM135" s="49">
        <f t="shared" si="2"/>
        <v>0</v>
      </c>
      <c r="AN135" s="49">
        <f t="shared" si="3"/>
        <v>0</v>
      </c>
      <c r="AO135" s="49">
        <f t="shared" si="4"/>
        <v>0</v>
      </c>
      <c r="AP135" s="66" t="str">
        <f t="shared" si="5"/>
        <v/>
      </c>
    </row>
    <row r="136" ht="15.75" customHeight="1">
      <c r="A136" s="18" t="s">
        <v>21</v>
      </c>
      <c r="B136" s="68">
        <f t="shared" si="6"/>
        <v>45061</v>
      </c>
      <c r="C136" s="20">
        <v>5.0</v>
      </c>
      <c r="D136" s="20" t="s">
        <v>37</v>
      </c>
      <c r="E136" s="22"/>
      <c r="F136" s="27"/>
      <c r="H136" s="25"/>
      <c r="J136" s="25"/>
      <c r="L136" s="25"/>
      <c r="N136" s="23"/>
      <c r="P136" s="24"/>
      <c r="R136" s="24"/>
      <c r="T136" s="24"/>
      <c r="V136" s="25"/>
      <c r="X136" s="25"/>
      <c r="Y136" s="26"/>
      <c r="Z136" s="27"/>
      <c r="AB136" s="25"/>
      <c r="AD136" s="25"/>
      <c r="AF136" s="25"/>
      <c r="AH136" s="25"/>
      <c r="AJ136" s="25"/>
      <c r="AK136" s="26"/>
      <c r="AL136" s="32">
        <f t="shared" si="1"/>
        <v>0</v>
      </c>
      <c r="AM136" s="20">
        <f t="shared" si="2"/>
        <v>0</v>
      </c>
      <c r="AN136" s="20">
        <f t="shared" si="3"/>
        <v>0</v>
      </c>
      <c r="AO136" s="20">
        <f t="shared" si="4"/>
        <v>0</v>
      </c>
      <c r="AP136" s="33" t="str">
        <f t="shared" si="5"/>
        <v/>
      </c>
    </row>
    <row r="137" ht="15.75" customHeight="1">
      <c r="A137" s="34" t="s">
        <v>23</v>
      </c>
      <c r="B137" s="35">
        <f t="shared" si="6"/>
        <v>45062</v>
      </c>
      <c r="C137" s="36">
        <v>5.0</v>
      </c>
      <c r="D137" s="36" t="s">
        <v>37</v>
      </c>
      <c r="E137" s="38"/>
      <c r="F137" s="27"/>
      <c r="H137" s="25"/>
      <c r="J137" s="25"/>
      <c r="L137" s="25"/>
      <c r="N137" s="23"/>
      <c r="P137" s="24"/>
      <c r="R137" s="24"/>
      <c r="T137" s="24"/>
      <c r="V137" s="25"/>
      <c r="X137" s="25"/>
      <c r="Y137" s="26"/>
      <c r="Z137" s="27"/>
      <c r="AB137" s="25"/>
      <c r="AD137" s="25"/>
      <c r="AF137" s="25"/>
      <c r="AH137" s="25"/>
      <c r="AJ137" s="25"/>
      <c r="AK137" s="26"/>
      <c r="AL137" s="39">
        <f t="shared" si="1"/>
        <v>0</v>
      </c>
      <c r="AM137" s="36">
        <f t="shared" si="2"/>
        <v>0</v>
      </c>
      <c r="AN137" s="36">
        <f t="shared" si="3"/>
        <v>0</v>
      </c>
      <c r="AO137" s="36">
        <f t="shared" si="4"/>
        <v>0</v>
      </c>
      <c r="AP137" s="40" t="str">
        <f t="shared" si="5"/>
        <v/>
      </c>
    </row>
    <row r="138" ht="15.75" customHeight="1">
      <c r="A138" s="34" t="s">
        <v>24</v>
      </c>
      <c r="B138" s="35">
        <f t="shared" si="6"/>
        <v>45063</v>
      </c>
      <c r="C138" s="36">
        <v>5.0</v>
      </c>
      <c r="D138" s="36" t="s">
        <v>37</v>
      </c>
      <c r="E138" s="38"/>
      <c r="F138" s="27"/>
      <c r="H138" s="25"/>
      <c r="J138" s="25"/>
      <c r="L138" s="25"/>
      <c r="N138" s="23"/>
      <c r="P138" s="24"/>
      <c r="R138" s="24"/>
      <c r="T138" s="24"/>
      <c r="V138" s="25"/>
      <c r="X138" s="25"/>
      <c r="Y138" s="26"/>
      <c r="Z138" s="27"/>
      <c r="AB138" s="25"/>
      <c r="AD138" s="25"/>
      <c r="AF138" s="25"/>
      <c r="AH138" s="25"/>
      <c r="AJ138" s="25"/>
      <c r="AK138" s="26"/>
      <c r="AL138" s="39">
        <f t="shared" si="1"/>
        <v>0</v>
      </c>
      <c r="AM138" s="36">
        <f t="shared" si="2"/>
        <v>0</v>
      </c>
      <c r="AN138" s="36">
        <f t="shared" si="3"/>
        <v>0</v>
      </c>
      <c r="AO138" s="36">
        <f t="shared" si="4"/>
        <v>0</v>
      </c>
      <c r="AP138" s="40" t="str">
        <f t="shared" si="5"/>
        <v/>
      </c>
    </row>
    <row r="139" ht="15.75" customHeight="1">
      <c r="A139" s="34" t="s">
        <v>25</v>
      </c>
      <c r="B139" s="35">
        <f t="shared" si="6"/>
        <v>45064</v>
      </c>
      <c r="C139" s="36">
        <v>5.0</v>
      </c>
      <c r="D139" s="36" t="s">
        <v>37</v>
      </c>
      <c r="E139" s="38"/>
      <c r="F139" s="27"/>
      <c r="H139" s="25"/>
      <c r="J139" s="25"/>
      <c r="L139" s="25"/>
      <c r="N139" s="23"/>
      <c r="P139" s="24"/>
      <c r="R139" s="24"/>
      <c r="T139" s="24"/>
      <c r="V139" s="25"/>
      <c r="X139" s="25"/>
      <c r="Y139" s="26"/>
      <c r="Z139" s="27"/>
      <c r="AB139" s="25"/>
      <c r="AD139" s="25"/>
      <c r="AF139" s="25"/>
      <c r="AH139" s="25"/>
      <c r="AJ139" s="25"/>
      <c r="AK139" s="26"/>
      <c r="AL139" s="39">
        <f t="shared" si="1"/>
        <v>0</v>
      </c>
      <c r="AM139" s="36">
        <f t="shared" si="2"/>
        <v>0</v>
      </c>
      <c r="AN139" s="36">
        <f t="shared" si="3"/>
        <v>0</v>
      </c>
      <c r="AO139" s="36">
        <f t="shared" si="4"/>
        <v>0</v>
      </c>
      <c r="AP139" s="40" t="str">
        <f t="shared" si="5"/>
        <v/>
      </c>
    </row>
    <row r="140" ht="15.75" customHeight="1">
      <c r="A140" s="34" t="s">
        <v>26</v>
      </c>
      <c r="B140" s="35">
        <f t="shared" si="6"/>
        <v>45065</v>
      </c>
      <c r="C140" s="36">
        <v>5.0</v>
      </c>
      <c r="D140" s="36" t="s">
        <v>37</v>
      </c>
      <c r="E140" s="38"/>
      <c r="F140" s="27"/>
      <c r="H140" s="25"/>
      <c r="J140" s="25"/>
      <c r="L140" s="25"/>
      <c r="N140" s="23"/>
      <c r="P140" s="24"/>
      <c r="R140" s="24"/>
      <c r="T140" s="24"/>
      <c r="V140" s="25"/>
      <c r="X140" s="25"/>
      <c r="Y140" s="26"/>
      <c r="Z140" s="27"/>
      <c r="AB140" s="25"/>
      <c r="AD140" s="25"/>
      <c r="AF140" s="25"/>
      <c r="AH140" s="25"/>
      <c r="AJ140" s="25"/>
      <c r="AK140" s="26"/>
      <c r="AL140" s="39">
        <f t="shared" si="1"/>
        <v>0</v>
      </c>
      <c r="AM140" s="36">
        <f t="shared" si="2"/>
        <v>0</v>
      </c>
      <c r="AN140" s="36">
        <f t="shared" si="3"/>
        <v>0</v>
      </c>
      <c r="AO140" s="36">
        <f t="shared" si="4"/>
        <v>0</v>
      </c>
      <c r="AP140" s="40" t="str">
        <f t="shared" si="5"/>
        <v/>
      </c>
    </row>
    <row r="141" ht="15.75" customHeight="1">
      <c r="A141" s="34" t="s">
        <v>27</v>
      </c>
      <c r="B141" s="35">
        <f t="shared" si="6"/>
        <v>45066</v>
      </c>
      <c r="C141" s="36">
        <v>5.0</v>
      </c>
      <c r="D141" s="36" t="s">
        <v>37</v>
      </c>
      <c r="E141" s="38"/>
      <c r="F141" s="27"/>
      <c r="H141" s="25"/>
      <c r="J141" s="25"/>
      <c r="L141" s="25"/>
      <c r="N141" s="23"/>
      <c r="P141" s="24"/>
      <c r="R141" s="24"/>
      <c r="T141" s="24"/>
      <c r="V141" s="25"/>
      <c r="X141" s="25"/>
      <c r="Y141" s="26"/>
      <c r="Z141" s="27"/>
      <c r="AB141" s="25"/>
      <c r="AD141" s="25"/>
      <c r="AF141" s="25"/>
      <c r="AH141" s="25"/>
      <c r="AJ141" s="25"/>
      <c r="AK141" s="26"/>
      <c r="AL141" s="39">
        <f t="shared" si="1"/>
        <v>0</v>
      </c>
      <c r="AM141" s="36">
        <f t="shared" si="2"/>
        <v>0</v>
      </c>
      <c r="AN141" s="36">
        <f t="shared" si="3"/>
        <v>0</v>
      </c>
      <c r="AO141" s="36">
        <f t="shared" si="4"/>
        <v>0</v>
      </c>
      <c r="AP141" s="40" t="str">
        <f t="shared" si="5"/>
        <v/>
      </c>
    </row>
    <row r="142" ht="15.75" customHeight="1">
      <c r="A142" s="46" t="s">
        <v>28</v>
      </c>
      <c r="B142" s="47">
        <f t="shared" si="6"/>
        <v>45067</v>
      </c>
      <c r="C142" s="49">
        <v>5.0</v>
      </c>
      <c r="D142" s="49" t="s">
        <v>37</v>
      </c>
      <c r="E142" s="52"/>
      <c r="F142" s="59"/>
      <c r="G142" s="55"/>
      <c r="H142" s="57"/>
      <c r="I142" s="55"/>
      <c r="J142" s="57"/>
      <c r="K142" s="55"/>
      <c r="L142" s="57"/>
      <c r="M142" s="55"/>
      <c r="N142" s="53"/>
      <c r="O142" s="55"/>
      <c r="P142" s="56"/>
      <c r="Q142" s="55"/>
      <c r="R142" s="56"/>
      <c r="S142" s="55"/>
      <c r="T142" s="56"/>
      <c r="U142" s="55"/>
      <c r="V142" s="57"/>
      <c r="W142" s="55"/>
      <c r="X142" s="57"/>
      <c r="Y142" s="58"/>
      <c r="Z142" s="59"/>
      <c r="AA142" s="55"/>
      <c r="AB142" s="57"/>
      <c r="AC142" s="55"/>
      <c r="AD142" s="57"/>
      <c r="AE142" s="55"/>
      <c r="AF142" s="57"/>
      <c r="AG142" s="55"/>
      <c r="AH142" s="57"/>
      <c r="AI142" s="55"/>
      <c r="AJ142" s="57"/>
      <c r="AK142" s="58"/>
      <c r="AL142" s="64">
        <f t="shared" si="1"/>
        <v>0</v>
      </c>
      <c r="AM142" s="49">
        <f t="shared" si="2"/>
        <v>0</v>
      </c>
      <c r="AN142" s="49">
        <f t="shared" si="3"/>
        <v>0</v>
      </c>
      <c r="AO142" s="49">
        <f t="shared" si="4"/>
        <v>0</v>
      </c>
      <c r="AP142" s="66" t="str">
        <f t="shared" si="5"/>
        <v/>
      </c>
    </row>
    <row r="143" ht="15.75" customHeight="1">
      <c r="A143" s="18" t="s">
        <v>21</v>
      </c>
      <c r="B143" s="68">
        <f t="shared" si="6"/>
        <v>45068</v>
      </c>
      <c r="C143" s="20">
        <v>6.0</v>
      </c>
      <c r="D143" s="20" t="s">
        <v>22</v>
      </c>
      <c r="E143" s="22"/>
      <c r="F143" s="27"/>
      <c r="H143" s="25"/>
      <c r="J143" s="25"/>
      <c r="L143" s="25"/>
      <c r="N143" s="23"/>
      <c r="P143" s="24"/>
      <c r="R143" s="24"/>
      <c r="T143" s="24"/>
      <c r="V143" s="25"/>
      <c r="X143" s="25"/>
      <c r="Y143" s="26"/>
      <c r="Z143" s="27"/>
      <c r="AB143" s="25"/>
      <c r="AD143" s="25"/>
      <c r="AF143" s="25"/>
      <c r="AH143" s="25"/>
      <c r="AJ143" s="25"/>
      <c r="AK143" s="26"/>
      <c r="AL143" s="32">
        <f t="shared" si="1"/>
        <v>0</v>
      </c>
      <c r="AM143" s="20">
        <f t="shared" si="2"/>
        <v>0</v>
      </c>
      <c r="AN143" s="20">
        <f t="shared" si="3"/>
        <v>0</v>
      </c>
      <c r="AO143" s="20">
        <f t="shared" si="4"/>
        <v>0</v>
      </c>
      <c r="AP143" s="33" t="str">
        <f t="shared" si="5"/>
        <v/>
      </c>
    </row>
    <row r="144" ht="15.75" customHeight="1">
      <c r="A144" s="34" t="s">
        <v>23</v>
      </c>
      <c r="B144" s="35">
        <f t="shared" si="6"/>
        <v>45069</v>
      </c>
      <c r="C144" s="36">
        <v>6.0</v>
      </c>
      <c r="D144" s="36" t="s">
        <v>22</v>
      </c>
      <c r="E144" s="38"/>
      <c r="F144" s="27"/>
      <c r="H144" s="25"/>
      <c r="J144" s="25"/>
      <c r="L144" s="25"/>
      <c r="N144" s="23"/>
      <c r="P144" s="24"/>
      <c r="R144" s="24"/>
      <c r="T144" s="24"/>
      <c r="V144" s="25"/>
      <c r="X144" s="25"/>
      <c r="Y144" s="26"/>
      <c r="Z144" s="27"/>
      <c r="AB144" s="25"/>
      <c r="AD144" s="25"/>
      <c r="AF144" s="25"/>
      <c r="AH144" s="25"/>
      <c r="AJ144" s="25"/>
      <c r="AK144" s="26"/>
      <c r="AL144" s="39">
        <f t="shared" si="1"/>
        <v>0</v>
      </c>
      <c r="AM144" s="36">
        <f t="shared" si="2"/>
        <v>0</v>
      </c>
      <c r="AN144" s="36">
        <f t="shared" si="3"/>
        <v>0</v>
      </c>
      <c r="AO144" s="36">
        <f t="shared" si="4"/>
        <v>0</v>
      </c>
      <c r="AP144" s="40" t="str">
        <f t="shared" si="5"/>
        <v/>
      </c>
    </row>
    <row r="145" ht="15.75" customHeight="1">
      <c r="A145" s="34" t="s">
        <v>24</v>
      </c>
      <c r="B145" s="35">
        <f t="shared" si="6"/>
        <v>45070</v>
      </c>
      <c r="C145" s="36">
        <v>6.0</v>
      </c>
      <c r="D145" s="36" t="s">
        <v>22</v>
      </c>
      <c r="E145" s="38"/>
      <c r="F145" s="27"/>
      <c r="H145" s="25"/>
      <c r="J145" s="25"/>
      <c r="L145" s="25"/>
      <c r="N145" s="23"/>
      <c r="P145" s="24"/>
      <c r="R145" s="24"/>
      <c r="T145" s="24"/>
      <c r="V145" s="25"/>
      <c r="X145" s="25"/>
      <c r="Y145" s="26"/>
      <c r="Z145" s="27"/>
      <c r="AB145" s="25"/>
      <c r="AD145" s="25"/>
      <c r="AF145" s="25"/>
      <c r="AH145" s="25"/>
      <c r="AJ145" s="25"/>
      <c r="AK145" s="26"/>
      <c r="AL145" s="39">
        <f t="shared" si="1"/>
        <v>0</v>
      </c>
      <c r="AM145" s="36">
        <f t="shared" si="2"/>
        <v>0</v>
      </c>
      <c r="AN145" s="36">
        <f t="shared" si="3"/>
        <v>0</v>
      </c>
      <c r="AO145" s="36">
        <f t="shared" si="4"/>
        <v>0</v>
      </c>
      <c r="AP145" s="40" t="str">
        <f t="shared" si="5"/>
        <v/>
      </c>
    </row>
    <row r="146" ht="15.75" customHeight="1">
      <c r="A146" s="34" t="s">
        <v>25</v>
      </c>
      <c r="B146" s="35">
        <f t="shared" si="6"/>
        <v>45071</v>
      </c>
      <c r="C146" s="36">
        <v>6.0</v>
      </c>
      <c r="D146" s="36" t="s">
        <v>22</v>
      </c>
      <c r="E146" s="38"/>
      <c r="F146" s="27"/>
      <c r="H146" s="25"/>
      <c r="J146" s="25"/>
      <c r="L146" s="25"/>
      <c r="N146" s="23"/>
      <c r="P146" s="24"/>
      <c r="R146" s="24"/>
      <c r="T146" s="24"/>
      <c r="V146" s="25"/>
      <c r="X146" s="25"/>
      <c r="Y146" s="26"/>
      <c r="Z146" s="27"/>
      <c r="AB146" s="25"/>
      <c r="AD146" s="25"/>
      <c r="AF146" s="25"/>
      <c r="AH146" s="25"/>
      <c r="AJ146" s="25"/>
      <c r="AK146" s="26"/>
      <c r="AL146" s="39">
        <f t="shared" si="1"/>
        <v>0</v>
      </c>
      <c r="AM146" s="36">
        <f t="shared" si="2"/>
        <v>0</v>
      </c>
      <c r="AN146" s="36">
        <f t="shared" si="3"/>
        <v>0</v>
      </c>
      <c r="AO146" s="36">
        <f t="shared" si="4"/>
        <v>0</v>
      </c>
      <c r="AP146" s="40" t="str">
        <f t="shared" si="5"/>
        <v/>
      </c>
    </row>
    <row r="147" ht="15.75" customHeight="1">
      <c r="A147" s="34" t="s">
        <v>26</v>
      </c>
      <c r="B147" s="35">
        <f t="shared" si="6"/>
        <v>45072</v>
      </c>
      <c r="C147" s="36">
        <v>6.0</v>
      </c>
      <c r="D147" s="36" t="s">
        <v>22</v>
      </c>
      <c r="E147" s="38"/>
      <c r="F147" s="27"/>
      <c r="H147" s="25"/>
      <c r="J147" s="25"/>
      <c r="L147" s="25"/>
      <c r="N147" s="23"/>
      <c r="P147" s="24"/>
      <c r="R147" s="24"/>
      <c r="T147" s="24"/>
      <c r="V147" s="25"/>
      <c r="X147" s="25"/>
      <c r="Y147" s="26"/>
      <c r="Z147" s="27"/>
      <c r="AB147" s="25"/>
      <c r="AD147" s="25"/>
      <c r="AF147" s="25"/>
      <c r="AH147" s="25"/>
      <c r="AJ147" s="25"/>
      <c r="AK147" s="26"/>
      <c r="AL147" s="39">
        <f t="shared" si="1"/>
        <v>0</v>
      </c>
      <c r="AM147" s="36">
        <f t="shared" si="2"/>
        <v>0</v>
      </c>
      <c r="AN147" s="36">
        <f t="shared" si="3"/>
        <v>0</v>
      </c>
      <c r="AO147" s="36">
        <f t="shared" si="4"/>
        <v>0</v>
      </c>
      <c r="AP147" s="40" t="str">
        <f t="shared" si="5"/>
        <v/>
      </c>
    </row>
    <row r="148" ht="15.75" customHeight="1">
      <c r="A148" s="34" t="s">
        <v>27</v>
      </c>
      <c r="B148" s="35">
        <f t="shared" si="6"/>
        <v>45073</v>
      </c>
      <c r="C148" s="36">
        <v>6.0</v>
      </c>
      <c r="D148" s="36" t="s">
        <v>22</v>
      </c>
      <c r="E148" s="38"/>
      <c r="F148" s="27"/>
      <c r="H148" s="25"/>
      <c r="J148" s="25"/>
      <c r="L148" s="25"/>
      <c r="N148" s="23"/>
      <c r="P148" s="24"/>
      <c r="R148" s="24"/>
      <c r="T148" s="24"/>
      <c r="V148" s="25"/>
      <c r="X148" s="25"/>
      <c r="Y148" s="26"/>
      <c r="Z148" s="27"/>
      <c r="AB148" s="25"/>
      <c r="AD148" s="25"/>
      <c r="AF148" s="25"/>
      <c r="AH148" s="25"/>
      <c r="AJ148" s="25"/>
      <c r="AK148" s="26"/>
      <c r="AL148" s="39">
        <f t="shared" si="1"/>
        <v>0</v>
      </c>
      <c r="AM148" s="36">
        <f t="shared" si="2"/>
        <v>0</v>
      </c>
      <c r="AN148" s="36">
        <f t="shared" si="3"/>
        <v>0</v>
      </c>
      <c r="AO148" s="36">
        <f t="shared" si="4"/>
        <v>0</v>
      </c>
      <c r="AP148" s="40" t="str">
        <f t="shared" si="5"/>
        <v/>
      </c>
    </row>
    <row r="149" ht="15.75" customHeight="1">
      <c r="A149" s="46" t="s">
        <v>28</v>
      </c>
      <c r="B149" s="47">
        <f t="shared" si="6"/>
        <v>45074</v>
      </c>
      <c r="C149" s="49">
        <v>6.0</v>
      </c>
      <c r="D149" s="49" t="s">
        <v>22</v>
      </c>
      <c r="E149" s="52"/>
      <c r="F149" s="59"/>
      <c r="G149" s="55"/>
      <c r="H149" s="57"/>
      <c r="I149" s="55"/>
      <c r="J149" s="57"/>
      <c r="K149" s="55"/>
      <c r="L149" s="57"/>
      <c r="M149" s="55"/>
      <c r="N149" s="53"/>
      <c r="O149" s="55"/>
      <c r="P149" s="56"/>
      <c r="Q149" s="55"/>
      <c r="R149" s="56"/>
      <c r="S149" s="55"/>
      <c r="T149" s="56"/>
      <c r="U149" s="55"/>
      <c r="V149" s="57"/>
      <c r="W149" s="55"/>
      <c r="X149" s="57"/>
      <c r="Y149" s="58"/>
      <c r="Z149" s="59"/>
      <c r="AA149" s="55"/>
      <c r="AB149" s="57"/>
      <c r="AC149" s="55"/>
      <c r="AD149" s="57"/>
      <c r="AE149" s="55"/>
      <c r="AF149" s="57"/>
      <c r="AG149" s="55"/>
      <c r="AH149" s="57"/>
      <c r="AI149" s="55"/>
      <c r="AJ149" s="57"/>
      <c r="AK149" s="58"/>
      <c r="AL149" s="64">
        <f t="shared" si="1"/>
        <v>0</v>
      </c>
      <c r="AM149" s="49">
        <f t="shared" si="2"/>
        <v>0</v>
      </c>
      <c r="AN149" s="49">
        <f t="shared" si="3"/>
        <v>0</v>
      </c>
      <c r="AO149" s="49">
        <f t="shared" si="4"/>
        <v>0</v>
      </c>
      <c r="AP149" s="66" t="str">
        <f t="shared" si="5"/>
        <v/>
      </c>
    </row>
    <row r="150" ht="15.75" customHeight="1">
      <c r="A150" s="18" t="s">
        <v>21</v>
      </c>
      <c r="B150" s="68">
        <f t="shared" si="6"/>
        <v>45075</v>
      </c>
      <c r="C150" s="20">
        <v>6.0</v>
      </c>
      <c r="D150" s="20" t="s">
        <v>34</v>
      </c>
      <c r="E150" s="22"/>
      <c r="F150" s="27"/>
      <c r="H150" s="25"/>
      <c r="J150" s="25"/>
      <c r="L150" s="25"/>
      <c r="N150" s="23"/>
      <c r="P150" s="24"/>
      <c r="R150" s="24"/>
      <c r="T150" s="24"/>
      <c r="V150" s="25"/>
      <c r="X150" s="25"/>
      <c r="Y150" s="26"/>
      <c r="Z150" s="27"/>
      <c r="AB150" s="25"/>
      <c r="AD150" s="25"/>
      <c r="AF150" s="25"/>
      <c r="AH150" s="25"/>
      <c r="AJ150" s="25"/>
      <c r="AK150" s="26"/>
      <c r="AL150" s="32">
        <f t="shared" si="1"/>
        <v>0</v>
      </c>
      <c r="AM150" s="20">
        <f t="shared" si="2"/>
        <v>0</v>
      </c>
      <c r="AN150" s="20">
        <f t="shared" si="3"/>
        <v>0</v>
      </c>
      <c r="AO150" s="20">
        <f t="shared" si="4"/>
        <v>0</v>
      </c>
      <c r="AP150" s="33" t="str">
        <f t="shared" si="5"/>
        <v/>
      </c>
    </row>
    <row r="151" ht="15.75" customHeight="1">
      <c r="A151" s="34" t="s">
        <v>23</v>
      </c>
      <c r="B151" s="35">
        <f t="shared" si="6"/>
        <v>45076</v>
      </c>
      <c r="C151" s="36">
        <v>6.0</v>
      </c>
      <c r="D151" s="36" t="s">
        <v>34</v>
      </c>
      <c r="E151" s="38"/>
      <c r="F151" s="27"/>
      <c r="H151" s="25"/>
      <c r="J151" s="25"/>
      <c r="L151" s="25"/>
      <c r="N151" s="23"/>
      <c r="P151" s="24"/>
      <c r="R151" s="24"/>
      <c r="T151" s="24"/>
      <c r="V151" s="25"/>
      <c r="X151" s="25"/>
      <c r="Y151" s="26"/>
      <c r="Z151" s="27"/>
      <c r="AB151" s="25"/>
      <c r="AD151" s="25"/>
      <c r="AF151" s="25"/>
      <c r="AH151" s="25"/>
      <c r="AJ151" s="25"/>
      <c r="AK151" s="26"/>
      <c r="AL151" s="39">
        <f t="shared" si="1"/>
        <v>0</v>
      </c>
      <c r="AM151" s="36">
        <f t="shared" si="2"/>
        <v>0</v>
      </c>
      <c r="AN151" s="36">
        <f t="shared" si="3"/>
        <v>0</v>
      </c>
      <c r="AO151" s="36">
        <f t="shared" si="4"/>
        <v>0</v>
      </c>
      <c r="AP151" s="40" t="str">
        <f t="shared" si="5"/>
        <v/>
      </c>
    </row>
    <row r="152" ht="15.75" customHeight="1">
      <c r="A152" s="34" t="s">
        <v>24</v>
      </c>
      <c r="B152" s="35">
        <f t="shared" si="6"/>
        <v>45077</v>
      </c>
      <c r="C152" s="36">
        <v>6.0</v>
      </c>
      <c r="D152" s="36" t="s">
        <v>34</v>
      </c>
      <c r="E152" s="38"/>
      <c r="F152" s="27"/>
      <c r="H152" s="25"/>
      <c r="J152" s="25"/>
      <c r="L152" s="25"/>
      <c r="N152" s="23"/>
      <c r="P152" s="24"/>
      <c r="R152" s="24"/>
      <c r="T152" s="24"/>
      <c r="V152" s="25"/>
      <c r="X152" s="25"/>
      <c r="Y152" s="26"/>
      <c r="Z152" s="27"/>
      <c r="AB152" s="25"/>
      <c r="AD152" s="25"/>
      <c r="AF152" s="25"/>
      <c r="AH152" s="25"/>
      <c r="AJ152" s="25"/>
      <c r="AK152" s="26"/>
      <c r="AL152" s="39">
        <f t="shared" si="1"/>
        <v>0</v>
      </c>
      <c r="AM152" s="36">
        <f t="shared" si="2"/>
        <v>0</v>
      </c>
      <c r="AN152" s="36">
        <f t="shared" si="3"/>
        <v>0</v>
      </c>
      <c r="AO152" s="36">
        <f t="shared" si="4"/>
        <v>0</v>
      </c>
      <c r="AP152" s="40" t="str">
        <f t="shared" si="5"/>
        <v/>
      </c>
    </row>
    <row r="153" ht="15.75" customHeight="1">
      <c r="A153" s="34" t="s">
        <v>25</v>
      </c>
      <c r="B153" s="35">
        <f t="shared" si="6"/>
        <v>45078</v>
      </c>
      <c r="C153" s="36">
        <v>6.0</v>
      </c>
      <c r="D153" s="36" t="s">
        <v>34</v>
      </c>
      <c r="E153" s="38"/>
      <c r="F153" s="27"/>
      <c r="H153" s="25"/>
      <c r="J153" s="25"/>
      <c r="L153" s="25"/>
      <c r="N153" s="23"/>
      <c r="P153" s="24"/>
      <c r="R153" s="24"/>
      <c r="T153" s="24"/>
      <c r="V153" s="25"/>
      <c r="X153" s="25"/>
      <c r="Y153" s="26"/>
      <c r="Z153" s="27"/>
      <c r="AB153" s="25"/>
      <c r="AD153" s="25"/>
      <c r="AF153" s="25"/>
      <c r="AH153" s="25"/>
      <c r="AJ153" s="25"/>
      <c r="AK153" s="26"/>
      <c r="AL153" s="39">
        <f t="shared" si="1"/>
        <v>0</v>
      </c>
      <c r="AM153" s="36">
        <f t="shared" si="2"/>
        <v>0</v>
      </c>
      <c r="AN153" s="36">
        <f t="shared" si="3"/>
        <v>0</v>
      </c>
      <c r="AO153" s="36">
        <f t="shared" si="4"/>
        <v>0</v>
      </c>
      <c r="AP153" s="40" t="str">
        <f t="shared" si="5"/>
        <v/>
      </c>
    </row>
    <row r="154" ht="15.75" customHeight="1">
      <c r="A154" s="34" t="s">
        <v>26</v>
      </c>
      <c r="B154" s="35">
        <f t="shared" si="6"/>
        <v>45079</v>
      </c>
      <c r="C154" s="36">
        <v>6.0</v>
      </c>
      <c r="D154" s="36" t="s">
        <v>34</v>
      </c>
      <c r="E154" s="38"/>
      <c r="F154" s="27"/>
      <c r="H154" s="25"/>
      <c r="J154" s="25"/>
      <c r="L154" s="25"/>
      <c r="N154" s="23"/>
      <c r="P154" s="24"/>
      <c r="R154" s="24"/>
      <c r="T154" s="24"/>
      <c r="V154" s="25"/>
      <c r="X154" s="25"/>
      <c r="Y154" s="26"/>
      <c r="Z154" s="27"/>
      <c r="AB154" s="25"/>
      <c r="AD154" s="25"/>
      <c r="AF154" s="25"/>
      <c r="AH154" s="25"/>
      <c r="AJ154" s="25"/>
      <c r="AK154" s="26"/>
      <c r="AL154" s="39">
        <f t="shared" si="1"/>
        <v>0</v>
      </c>
      <c r="AM154" s="36">
        <f t="shared" si="2"/>
        <v>0</v>
      </c>
      <c r="AN154" s="36">
        <f t="shared" si="3"/>
        <v>0</v>
      </c>
      <c r="AO154" s="36">
        <f t="shared" si="4"/>
        <v>0</v>
      </c>
      <c r="AP154" s="40" t="str">
        <f t="shared" si="5"/>
        <v/>
      </c>
    </row>
    <row r="155" ht="15.75" customHeight="1">
      <c r="A155" s="34" t="s">
        <v>27</v>
      </c>
      <c r="B155" s="35">
        <f t="shared" si="6"/>
        <v>45080</v>
      </c>
      <c r="C155" s="36">
        <v>6.0</v>
      </c>
      <c r="D155" s="36" t="s">
        <v>34</v>
      </c>
      <c r="E155" s="38"/>
      <c r="F155" s="27"/>
      <c r="H155" s="25"/>
      <c r="J155" s="25"/>
      <c r="L155" s="25"/>
      <c r="N155" s="23"/>
      <c r="P155" s="24"/>
      <c r="R155" s="24"/>
      <c r="T155" s="24"/>
      <c r="V155" s="25"/>
      <c r="X155" s="25"/>
      <c r="Y155" s="26"/>
      <c r="Z155" s="27"/>
      <c r="AB155" s="25"/>
      <c r="AD155" s="25"/>
      <c r="AF155" s="25"/>
      <c r="AH155" s="25"/>
      <c r="AJ155" s="25"/>
      <c r="AK155" s="26"/>
      <c r="AL155" s="39">
        <f t="shared" si="1"/>
        <v>0</v>
      </c>
      <c r="AM155" s="36">
        <f t="shared" si="2"/>
        <v>0</v>
      </c>
      <c r="AN155" s="36">
        <f t="shared" si="3"/>
        <v>0</v>
      </c>
      <c r="AO155" s="36">
        <f t="shared" si="4"/>
        <v>0</v>
      </c>
      <c r="AP155" s="40" t="str">
        <f t="shared" si="5"/>
        <v/>
      </c>
    </row>
    <row r="156" ht="15.75" customHeight="1">
      <c r="A156" s="46" t="s">
        <v>28</v>
      </c>
      <c r="B156" s="47">
        <f t="shared" si="6"/>
        <v>45081</v>
      </c>
      <c r="C156" s="49">
        <v>6.0</v>
      </c>
      <c r="D156" s="49" t="s">
        <v>34</v>
      </c>
      <c r="E156" s="52"/>
      <c r="F156" s="59"/>
      <c r="G156" s="55"/>
      <c r="H156" s="57"/>
      <c r="I156" s="55"/>
      <c r="J156" s="57"/>
      <c r="K156" s="55"/>
      <c r="L156" s="57"/>
      <c r="M156" s="55"/>
      <c r="N156" s="53"/>
      <c r="O156" s="55"/>
      <c r="P156" s="56"/>
      <c r="Q156" s="55"/>
      <c r="R156" s="56"/>
      <c r="S156" s="55"/>
      <c r="T156" s="56"/>
      <c r="U156" s="55"/>
      <c r="V156" s="57"/>
      <c r="W156" s="55"/>
      <c r="X156" s="57"/>
      <c r="Y156" s="58"/>
      <c r="Z156" s="59"/>
      <c r="AA156" s="55"/>
      <c r="AB156" s="57"/>
      <c r="AC156" s="55"/>
      <c r="AD156" s="57"/>
      <c r="AE156" s="55"/>
      <c r="AF156" s="57"/>
      <c r="AG156" s="55"/>
      <c r="AH156" s="57"/>
      <c r="AI156" s="55"/>
      <c r="AJ156" s="57"/>
      <c r="AK156" s="58"/>
      <c r="AL156" s="64">
        <f t="shared" si="1"/>
        <v>0</v>
      </c>
      <c r="AM156" s="49">
        <f t="shared" si="2"/>
        <v>0</v>
      </c>
      <c r="AN156" s="49">
        <f t="shared" si="3"/>
        <v>0</v>
      </c>
      <c r="AO156" s="49">
        <f t="shared" si="4"/>
        <v>0</v>
      </c>
      <c r="AP156" s="66" t="str">
        <f t="shared" si="5"/>
        <v/>
      </c>
    </row>
    <row r="157" ht="15.75" customHeight="1">
      <c r="A157" s="18" t="s">
        <v>21</v>
      </c>
      <c r="B157" s="68">
        <f t="shared" si="6"/>
        <v>45082</v>
      </c>
      <c r="C157" s="20">
        <v>6.0</v>
      </c>
      <c r="D157" s="20" t="s">
        <v>36</v>
      </c>
      <c r="E157" s="22"/>
      <c r="F157" s="27"/>
      <c r="H157" s="25"/>
      <c r="J157" s="25"/>
      <c r="L157" s="25"/>
      <c r="N157" s="23"/>
      <c r="P157" s="24"/>
      <c r="R157" s="24"/>
      <c r="T157" s="24"/>
      <c r="V157" s="25"/>
      <c r="X157" s="25"/>
      <c r="Y157" s="26"/>
      <c r="Z157" s="27"/>
      <c r="AB157" s="25"/>
      <c r="AD157" s="25"/>
      <c r="AF157" s="25"/>
      <c r="AH157" s="25"/>
      <c r="AJ157" s="25"/>
      <c r="AK157" s="26"/>
      <c r="AL157" s="32">
        <f t="shared" si="1"/>
        <v>0</v>
      </c>
      <c r="AM157" s="20">
        <f t="shared" si="2"/>
        <v>0</v>
      </c>
      <c r="AN157" s="20">
        <f t="shared" si="3"/>
        <v>0</v>
      </c>
      <c r="AO157" s="20">
        <f t="shared" si="4"/>
        <v>0</v>
      </c>
      <c r="AP157" s="33" t="str">
        <f t="shared" si="5"/>
        <v/>
      </c>
    </row>
    <row r="158" ht="15.75" customHeight="1">
      <c r="A158" s="34" t="s">
        <v>23</v>
      </c>
      <c r="B158" s="35">
        <f t="shared" si="6"/>
        <v>45083</v>
      </c>
      <c r="C158" s="36">
        <v>6.0</v>
      </c>
      <c r="D158" s="36" t="s">
        <v>36</v>
      </c>
      <c r="E158" s="38"/>
      <c r="F158" s="27"/>
      <c r="H158" s="25"/>
      <c r="J158" s="25"/>
      <c r="L158" s="25"/>
      <c r="N158" s="23"/>
      <c r="P158" s="24"/>
      <c r="R158" s="24"/>
      <c r="T158" s="24"/>
      <c r="V158" s="25"/>
      <c r="X158" s="25"/>
      <c r="Y158" s="26"/>
      <c r="Z158" s="27"/>
      <c r="AB158" s="25"/>
      <c r="AD158" s="25"/>
      <c r="AF158" s="25"/>
      <c r="AH158" s="25"/>
      <c r="AJ158" s="25"/>
      <c r="AK158" s="26"/>
      <c r="AL158" s="39">
        <f t="shared" si="1"/>
        <v>0</v>
      </c>
      <c r="AM158" s="36">
        <f t="shared" si="2"/>
        <v>0</v>
      </c>
      <c r="AN158" s="36">
        <f t="shared" si="3"/>
        <v>0</v>
      </c>
      <c r="AO158" s="36">
        <f t="shared" si="4"/>
        <v>0</v>
      </c>
      <c r="AP158" s="40" t="str">
        <f t="shared" si="5"/>
        <v/>
      </c>
    </row>
    <row r="159" ht="15.75" customHeight="1">
      <c r="A159" s="34" t="s">
        <v>24</v>
      </c>
      <c r="B159" s="35">
        <f t="shared" si="6"/>
        <v>45084</v>
      </c>
      <c r="C159" s="36">
        <v>6.0</v>
      </c>
      <c r="D159" s="36" t="s">
        <v>36</v>
      </c>
      <c r="E159" s="38"/>
      <c r="F159" s="27"/>
      <c r="H159" s="25"/>
      <c r="J159" s="25"/>
      <c r="L159" s="25"/>
      <c r="N159" s="23"/>
      <c r="P159" s="24"/>
      <c r="R159" s="24"/>
      <c r="T159" s="24"/>
      <c r="V159" s="25"/>
      <c r="X159" s="25"/>
      <c r="Y159" s="26"/>
      <c r="Z159" s="27"/>
      <c r="AB159" s="25"/>
      <c r="AD159" s="25"/>
      <c r="AF159" s="25"/>
      <c r="AH159" s="25"/>
      <c r="AJ159" s="25"/>
      <c r="AK159" s="26"/>
      <c r="AL159" s="39">
        <f t="shared" si="1"/>
        <v>0</v>
      </c>
      <c r="AM159" s="36">
        <f t="shared" si="2"/>
        <v>0</v>
      </c>
      <c r="AN159" s="36">
        <f t="shared" si="3"/>
        <v>0</v>
      </c>
      <c r="AO159" s="36">
        <f t="shared" si="4"/>
        <v>0</v>
      </c>
      <c r="AP159" s="40" t="str">
        <f t="shared" si="5"/>
        <v/>
      </c>
    </row>
    <row r="160" ht="15.75" customHeight="1">
      <c r="A160" s="34" t="s">
        <v>25</v>
      </c>
      <c r="B160" s="35">
        <f t="shared" si="6"/>
        <v>45085</v>
      </c>
      <c r="C160" s="36">
        <v>6.0</v>
      </c>
      <c r="D160" s="36" t="s">
        <v>36</v>
      </c>
      <c r="E160" s="38"/>
      <c r="F160" s="27"/>
      <c r="H160" s="25"/>
      <c r="J160" s="25"/>
      <c r="L160" s="25"/>
      <c r="N160" s="23"/>
      <c r="P160" s="24"/>
      <c r="R160" s="24"/>
      <c r="T160" s="24"/>
      <c r="V160" s="25"/>
      <c r="X160" s="25"/>
      <c r="Y160" s="26"/>
      <c r="Z160" s="27"/>
      <c r="AB160" s="25"/>
      <c r="AD160" s="25"/>
      <c r="AF160" s="25"/>
      <c r="AH160" s="25"/>
      <c r="AJ160" s="25"/>
      <c r="AK160" s="26"/>
      <c r="AL160" s="39">
        <f t="shared" si="1"/>
        <v>0</v>
      </c>
      <c r="AM160" s="36">
        <f t="shared" si="2"/>
        <v>0</v>
      </c>
      <c r="AN160" s="36">
        <f t="shared" si="3"/>
        <v>0</v>
      </c>
      <c r="AO160" s="36">
        <f t="shared" si="4"/>
        <v>0</v>
      </c>
      <c r="AP160" s="40" t="str">
        <f t="shared" si="5"/>
        <v/>
      </c>
    </row>
    <row r="161" ht="15.75" customHeight="1">
      <c r="A161" s="34" t="s">
        <v>26</v>
      </c>
      <c r="B161" s="35">
        <f t="shared" si="6"/>
        <v>45086</v>
      </c>
      <c r="C161" s="36">
        <v>6.0</v>
      </c>
      <c r="D161" s="36" t="s">
        <v>36</v>
      </c>
      <c r="E161" s="38"/>
      <c r="F161" s="27"/>
      <c r="H161" s="25"/>
      <c r="J161" s="25"/>
      <c r="L161" s="25"/>
      <c r="N161" s="23"/>
      <c r="P161" s="24"/>
      <c r="R161" s="24"/>
      <c r="T161" s="24"/>
      <c r="V161" s="25"/>
      <c r="X161" s="25"/>
      <c r="Y161" s="26"/>
      <c r="Z161" s="27"/>
      <c r="AB161" s="25"/>
      <c r="AD161" s="25"/>
      <c r="AF161" s="25"/>
      <c r="AH161" s="25"/>
      <c r="AJ161" s="25"/>
      <c r="AK161" s="26"/>
      <c r="AL161" s="39">
        <f t="shared" si="1"/>
        <v>0</v>
      </c>
      <c r="AM161" s="36">
        <f t="shared" si="2"/>
        <v>0</v>
      </c>
      <c r="AN161" s="36">
        <f t="shared" si="3"/>
        <v>0</v>
      </c>
      <c r="AO161" s="36">
        <f t="shared" si="4"/>
        <v>0</v>
      </c>
      <c r="AP161" s="40" t="str">
        <f t="shared" si="5"/>
        <v/>
      </c>
    </row>
    <row r="162" ht="15.75" customHeight="1">
      <c r="A162" s="34" t="s">
        <v>27</v>
      </c>
      <c r="B162" s="35">
        <f t="shared" si="6"/>
        <v>45087</v>
      </c>
      <c r="C162" s="36">
        <v>6.0</v>
      </c>
      <c r="D162" s="36" t="s">
        <v>36</v>
      </c>
      <c r="E162" s="38"/>
      <c r="F162" s="27"/>
      <c r="H162" s="25"/>
      <c r="J162" s="25"/>
      <c r="L162" s="25"/>
      <c r="N162" s="23"/>
      <c r="P162" s="24"/>
      <c r="R162" s="24"/>
      <c r="T162" s="24"/>
      <c r="V162" s="25"/>
      <c r="X162" s="25"/>
      <c r="Y162" s="26"/>
      <c r="Z162" s="27"/>
      <c r="AB162" s="25"/>
      <c r="AD162" s="25"/>
      <c r="AF162" s="25"/>
      <c r="AH162" s="25"/>
      <c r="AJ162" s="25"/>
      <c r="AK162" s="26"/>
      <c r="AL162" s="39">
        <f t="shared" si="1"/>
        <v>0</v>
      </c>
      <c r="AM162" s="36">
        <f t="shared" si="2"/>
        <v>0</v>
      </c>
      <c r="AN162" s="36">
        <f t="shared" si="3"/>
        <v>0</v>
      </c>
      <c r="AO162" s="36">
        <f t="shared" si="4"/>
        <v>0</v>
      </c>
      <c r="AP162" s="40" t="str">
        <f t="shared" si="5"/>
        <v/>
      </c>
    </row>
    <row r="163" ht="15.75" customHeight="1">
      <c r="A163" s="46" t="s">
        <v>28</v>
      </c>
      <c r="B163" s="47">
        <f t="shared" si="6"/>
        <v>45088</v>
      </c>
      <c r="C163" s="49">
        <v>6.0</v>
      </c>
      <c r="D163" s="49" t="s">
        <v>36</v>
      </c>
      <c r="E163" s="52"/>
      <c r="F163" s="59"/>
      <c r="G163" s="55"/>
      <c r="H163" s="57"/>
      <c r="I163" s="55"/>
      <c r="J163" s="57"/>
      <c r="K163" s="55"/>
      <c r="L163" s="57"/>
      <c r="M163" s="55"/>
      <c r="N163" s="53"/>
      <c r="O163" s="55"/>
      <c r="P163" s="56"/>
      <c r="Q163" s="55"/>
      <c r="R163" s="56"/>
      <c r="S163" s="55"/>
      <c r="T163" s="56"/>
      <c r="U163" s="55"/>
      <c r="V163" s="57"/>
      <c r="W163" s="55"/>
      <c r="X163" s="57"/>
      <c r="Y163" s="58"/>
      <c r="Z163" s="59"/>
      <c r="AA163" s="55"/>
      <c r="AB163" s="57"/>
      <c r="AC163" s="55"/>
      <c r="AD163" s="57"/>
      <c r="AE163" s="55"/>
      <c r="AF163" s="57"/>
      <c r="AG163" s="55"/>
      <c r="AH163" s="57"/>
      <c r="AI163" s="55"/>
      <c r="AJ163" s="57"/>
      <c r="AK163" s="58"/>
      <c r="AL163" s="64">
        <f t="shared" si="1"/>
        <v>0</v>
      </c>
      <c r="AM163" s="49">
        <f t="shared" si="2"/>
        <v>0</v>
      </c>
      <c r="AN163" s="49">
        <f t="shared" si="3"/>
        <v>0</v>
      </c>
      <c r="AO163" s="49">
        <f t="shared" si="4"/>
        <v>0</v>
      </c>
      <c r="AP163" s="66" t="str">
        <f t="shared" si="5"/>
        <v/>
      </c>
    </row>
    <row r="164" ht="15.75" customHeight="1">
      <c r="A164" s="18" t="s">
        <v>21</v>
      </c>
      <c r="B164" s="68">
        <f t="shared" si="6"/>
        <v>45089</v>
      </c>
      <c r="C164" s="20">
        <v>6.0</v>
      </c>
      <c r="D164" s="20" t="s">
        <v>37</v>
      </c>
      <c r="E164" s="22"/>
      <c r="F164" s="27"/>
      <c r="H164" s="25"/>
      <c r="J164" s="25"/>
      <c r="L164" s="25"/>
      <c r="N164" s="23"/>
      <c r="P164" s="24"/>
      <c r="R164" s="24"/>
      <c r="T164" s="24"/>
      <c r="V164" s="25"/>
      <c r="X164" s="25"/>
      <c r="Y164" s="26"/>
      <c r="Z164" s="27"/>
      <c r="AB164" s="25"/>
      <c r="AD164" s="25"/>
      <c r="AF164" s="25"/>
      <c r="AH164" s="25"/>
      <c r="AJ164" s="25"/>
      <c r="AK164" s="26"/>
      <c r="AL164" s="32">
        <f t="shared" si="1"/>
        <v>0</v>
      </c>
      <c r="AM164" s="20">
        <f t="shared" si="2"/>
        <v>0</v>
      </c>
      <c r="AN164" s="20">
        <f t="shared" si="3"/>
        <v>0</v>
      </c>
      <c r="AO164" s="20">
        <f t="shared" si="4"/>
        <v>0</v>
      </c>
      <c r="AP164" s="33" t="str">
        <f t="shared" si="5"/>
        <v/>
      </c>
    </row>
    <row r="165" ht="15.75" customHeight="1">
      <c r="A165" s="34" t="s">
        <v>23</v>
      </c>
      <c r="B165" s="35">
        <f t="shared" si="6"/>
        <v>45090</v>
      </c>
      <c r="C165" s="36">
        <v>6.0</v>
      </c>
      <c r="D165" s="36" t="s">
        <v>37</v>
      </c>
      <c r="E165" s="38"/>
      <c r="F165" s="27"/>
      <c r="H165" s="25"/>
      <c r="J165" s="25"/>
      <c r="L165" s="25"/>
      <c r="N165" s="23"/>
      <c r="P165" s="24"/>
      <c r="R165" s="24"/>
      <c r="T165" s="24"/>
      <c r="V165" s="25"/>
      <c r="X165" s="25"/>
      <c r="Y165" s="26"/>
      <c r="Z165" s="27"/>
      <c r="AB165" s="25"/>
      <c r="AD165" s="25"/>
      <c r="AF165" s="25"/>
      <c r="AH165" s="25"/>
      <c r="AJ165" s="25"/>
      <c r="AK165" s="26"/>
      <c r="AL165" s="39">
        <f t="shared" si="1"/>
        <v>0</v>
      </c>
      <c r="AM165" s="36">
        <f t="shared" si="2"/>
        <v>0</v>
      </c>
      <c r="AN165" s="36">
        <f t="shared" si="3"/>
        <v>0</v>
      </c>
      <c r="AO165" s="36">
        <f t="shared" si="4"/>
        <v>0</v>
      </c>
      <c r="AP165" s="40" t="str">
        <f t="shared" si="5"/>
        <v/>
      </c>
    </row>
    <row r="166" ht="15.75" customHeight="1">
      <c r="A166" s="34" t="s">
        <v>24</v>
      </c>
      <c r="B166" s="35">
        <f t="shared" si="6"/>
        <v>45091</v>
      </c>
      <c r="C166" s="36">
        <v>6.0</v>
      </c>
      <c r="D166" s="36" t="s">
        <v>37</v>
      </c>
      <c r="E166" s="38"/>
      <c r="F166" s="27"/>
      <c r="H166" s="25"/>
      <c r="J166" s="25"/>
      <c r="L166" s="25"/>
      <c r="N166" s="23"/>
      <c r="P166" s="24"/>
      <c r="R166" s="24"/>
      <c r="T166" s="24"/>
      <c r="V166" s="25"/>
      <c r="X166" s="25"/>
      <c r="Y166" s="26"/>
      <c r="Z166" s="27"/>
      <c r="AB166" s="25"/>
      <c r="AD166" s="25"/>
      <c r="AF166" s="25"/>
      <c r="AH166" s="25"/>
      <c r="AJ166" s="25"/>
      <c r="AK166" s="26"/>
      <c r="AL166" s="39">
        <f t="shared" si="1"/>
        <v>0</v>
      </c>
      <c r="AM166" s="36">
        <f t="shared" si="2"/>
        <v>0</v>
      </c>
      <c r="AN166" s="36">
        <f t="shared" si="3"/>
        <v>0</v>
      </c>
      <c r="AO166" s="36">
        <f t="shared" si="4"/>
        <v>0</v>
      </c>
      <c r="AP166" s="40" t="str">
        <f t="shared" si="5"/>
        <v/>
      </c>
    </row>
    <row r="167" ht="15.75" customHeight="1">
      <c r="A167" s="34" t="s">
        <v>25</v>
      </c>
      <c r="B167" s="35">
        <f t="shared" si="6"/>
        <v>45092</v>
      </c>
      <c r="C167" s="36">
        <v>6.0</v>
      </c>
      <c r="D167" s="36" t="s">
        <v>37</v>
      </c>
      <c r="E167" s="38"/>
      <c r="F167" s="27"/>
      <c r="H167" s="25"/>
      <c r="J167" s="25"/>
      <c r="L167" s="25"/>
      <c r="N167" s="23"/>
      <c r="P167" s="24"/>
      <c r="R167" s="24"/>
      <c r="T167" s="24"/>
      <c r="V167" s="25"/>
      <c r="X167" s="25"/>
      <c r="Y167" s="26"/>
      <c r="Z167" s="27"/>
      <c r="AB167" s="25"/>
      <c r="AD167" s="25"/>
      <c r="AF167" s="25"/>
      <c r="AH167" s="25"/>
      <c r="AJ167" s="25"/>
      <c r="AK167" s="26"/>
      <c r="AL167" s="39">
        <f t="shared" si="1"/>
        <v>0</v>
      </c>
      <c r="AM167" s="36">
        <f t="shared" si="2"/>
        <v>0</v>
      </c>
      <c r="AN167" s="36">
        <f t="shared" si="3"/>
        <v>0</v>
      </c>
      <c r="AO167" s="36">
        <f t="shared" si="4"/>
        <v>0</v>
      </c>
      <c r="AP167" s="40" t="str">
        <f t="shared" si="5"/>
        <v/>
      </c>
    </row>
    <row r="168" ht="15.75" customHeight="1">
      <c r="A168" s="34" t="s">
        <v>26</v>
      </c>
      <c r="B168" s="35">
        <f t="shared" si="6"/>
        <v>45093</v>
      </c>
      <c r="C168" s="36">
        <v>6.0</v>
      </c>
      <c r="D168" s="36" t="s">
        <v>37</v>
      </c>
      <c r="E168" s="38"/>
      <c r="F168" s="27"/>
      <c r="H168" s="25"/>
      <c r="J168" s="25"/>
      <c r="L168" s="25"/>
      <c r="N168" s="23"/>
      <c r="P168" s="24"/>
      <c r="R168" s="24"/>
      <c r="T168" s="24"/>
      <c r="V168" s="25"/>
      <c r="X168" s="25"/>
      <c r="Y168" s="26"/>
      <c r="Z168" s="27"/>
      <c r="AB168" s="25"/>
      <c r="AD168" s="25"/>
      <c r="AF168" s="25"/>
      <c r="AH168" s="25"/>
      <c r="AJ168" s="25"/>
      <c r="AK168" s="26"/>
      <c r="AL168" s="39">
        <f t="shared" si="1"/>
        <v>0</v>
      </c>
      <c r="AM168" s="36">
        <f t="shared" si="2"/>
        <v>0</v>
      </c>
      <c r="AN168" s="36">
        <f t="shared" si="3"/>
        <v>0</v>
      </c>
      <c r="AO168" s="36">
        <f t="shared" si="4"/>
        <v>0</v>
      </c>
      <c r="AP168" s="40" t="str">
        <f t="shared" si="5"/>
        <v/>
      </c>
    </row>
    <row r="169" ht="15.75" customHeight="1">
      <c r="A169" s="34" t="s">
        <v>27</v>
      </c>
      <c r="B169" s="35">
        <f t="shared" si="6"/>
        <v>45094</v>
      </c>
      <c r="C169" s="36">
        <v>6.0</v>
      </c>
      <c r="D169" s="36" t="s">
        <v>37</v>
      </c>
      <c r="E169" s="38"/>
      <c r="F169" s="27"/>
      <c r="H169" s="25"/>
      <c r="J169" s="25"/>
      <c r="L169" s="25"/>
      <c r="N169" s="23"/>
      <c r="P169" s="24"/>
      <c r="R169" s="24"/>
      <c r="T169" s="24"/>
      <c r="V169" s="25"/>
      <c r="X169" s="25"/>
      <c r="Y169" s="26"/>
      <c r="Z169" s="27"/>
      <c r="AB169" s="25"/>
      <c r="AD169" s="25"/>
      <c r="AF169" s="25"/>
      <c r="AH169" s="25"/>
      <c r="AJ169" s="25"/>
      <c r="AK169" s="26"/>
      <c r="AL169" s="39">
        <f t="shared" si="1"/>
        <v>0</v>
      </c>
      <c r="AM169" s="36">
        <f t="shared" si="2"/>
        <v>0</v>
      </c>
      <c r="AN169" s="36">
        <f t="shared" si="3"/>
        <v>0</v>
      </c>
      <c r="AO169" s="36">
        <f t="shared" si="4"/>
        <v>0</v>
      </c>
      <c r="AP169" s="40" t="str">
        <f t="shared" si="5"/>
        <v/>
      </c>
    </row>
    <row r="170" ht="15.75" customHeight="1">
      <c r="A170" s="46" t="s">
        <v>28</v>
      </c>
      <c r="B170" s="47">
        <f t="shared" si="6"/>
        <v>45095</v>
      </c>
      <c r="C170" s="49">
        <v>6.0</v>
      </c>
      <c r="D170" s="49" t="s">
        <v>37</v>
      </c>
      <c r="E170" s="52"/>
      <c r="F170" s="59"/>
      <c r="G170" s="55"/>
      <c r="H170" s="57"/>
      <c r="I170" s="55"/>
      <c r="J170" s="57"/>
      <c r="K170" s="55"/>
      <c r="L170" s="57"/>
      <c r="M170" s="55"/>
      <c r="N170" s="53"/>
      <c r="O170" s="55"/>
      <c r="P170" s="56"/>
      <c r="Q170" s="55"/>
      <c r="R170" s="56"/>
      <c r="S170" s="55"/>
      <c r="T170" s="56"/>
      <c r="U170" s="55"/>
      <c r="V170" s="57"/>
      <c r="W170" s="55"/>
      <c r="X170" s="57"/>
      <c r="Y170" s="58"/>
      <c r="Z170" s="59"/>
      <c r="AA170" s="55"/>
      <c r="AB170" s="57"/>
      <c r="AC170" s="55"/>
      <c r="AD170" s="57"/>
      <c r="AE170" s="55"/>
      <c r="AF170" s="57"/>
      <c r="AG170" s="55"/>
      <c r="AH170" s="57"/>
      <c r="AI170" s="55"/>
      <c r="AJ170" s="57"/>
      <c r="AK170" s="58"/>
      <c r="AL170" s="64">
        <f t="shared" si="1"/>
        <v>0</v>
      </c>
      <c r="AM170" s="49">
        <f t="shared" si="2"/>
        <v>0</v>
      </c>
      <c r="AN170" s="49">
        <f t="shared" si="3"/>
        <v>0</v>
      </c>
      <c r="AO170" s="49">
        <f t="shared" si="4"/>
        <v>0</v>
      </c>
      <c r="AP170" s="66" t="str">
        <f t="shared" si="5"/>
        <v/>
      </c>
    </row>
    <row r="171" ht="15.75" customHeight="1">
      <c r="A171" s="18" t="s">
        <v>21</v>
      </c>
      <c r="B171" s="68">
        <f t="shared" si="6"/>
        <v>45096</v>
      </c>
      <c r="C171" s="20">
        <v>7.0</v>
      </c>
      <c r="D171" s="20" t="s">
        <v>22</v>
      </c>
      <c r="E171" s="22"/>
      <c r="F171" s="27"/>
      <c r="H171" s="25"/>
      <c r="J171" s="25"/>
      <c r="L171" s="25"/>
      <c r="N171" s="23"/>
      <c r="P171" s="24"/>
      <c r="R171" s="24"/>
      <c r="T171" s="24"/>
      <c r="V171" s="25"/>
      <c r="X171" s="25"/>
      <c r="Y171" s="26"/>
      <c r="Z171" s="27"/>
      <c r="AB171" s="25"/>
      <c r="AD171" s="25"/>
      <c r="AF171" s="25"/>
      <c r="AH171" s="25"/>
      <c r="AJ171" s="25"/>
      <c r="AK171" s="26"/>
      <c r="AL171" s="32">
        <f t="shared" si="1"/>
        <v>0</v>
      </c>
      <c r="AM171" s="20">
        <f t="shared" si="2"/>
        <v>0</v>
      </c>
      <c r="AN171" s="20">
        <f t="shared" si="3"/>
        <v>0</v>
      </c>
      <c r="AO171" s="20">
        <f t="shared" si="4"/>
        <v>0</v>
      </c>
      <c r="AP171" s="33" t="str">
        <f t="shared" si="5"/>
        <v/>
      </c>
    </row>
    <row r="172" ht="15.75" customHeight="1">
      <c r="A172" s="34" t="s">
        <v>23</v>
      </c>
      <c r="B172" s="35">
        <f t="shared" si="6"/>
        <v>45097</v>
      </c>
      <c r="C172" s="36">
        <v>7.0</v>
      </c>
      <c r="D172" s="36" t="s">
        <v>22</v>
      </c>
      <c r="E172" s="38"/>
      <c r="F172" s="27"/>
      <c r="H172" s="25"/>
      <c r="J172" s="25"/>
      <c r="L172" s="25"/>
      <c r="N172" s="23"/>
      <c r="P172" s="24"/>
      <c r="R172" s="24"/>
      <c r="T172" s="24"/>
      <c r="V172" s="25"/>
      <c r="X172" s="25"/>
      <c r="Y172" s="26"/>
      <c r="Z172" s="27"/>
      <c r="AB172" s="25"/>
      <c r="AD172" s="25"/>
      <c r="AF172" s="25"/>
      <c r="AH172" s="25"/>
      <c r="AJ172" s="25"/>
      <c r="AK172" s="26"/>
      <c r="AL172" s="39">
        <f t="shared" si="1"/>
        <v>0</v>
      </c>
      <c r="AM172" s="36">
        <f t="shared" si="2"/>
        <v>0</v>
      </c>
      <c r="AN172" s="36">
        <f t="shared" si="3"/>
        <v>0</v>
      </c>
      <c r="AO172" s="36">
        <f t="shared" si="4"/>
        <v>0</v>
      </c>
      <c r="AP172" s="40" t="str">
        <f t="shared" si="5"/>
        <v/>
      </c>
    </row>
    <row r="173" ht="15.75" customHeight="1">
      <c r="A173" s="34" t="s">
        <v>24</v>
      </c>
      <c r="B173" s="35">
        <f t="shared" si="6"/>
        <v>45098</v>
      </c>
      <c r="C173" s="36">
        <v>7.0</v>
      </c>
      <c r="D173" s="36" t="s">
        <v>22</v>
      </c>
      <c r="E173" s="38"/>
      <c r="F173" s="27"/>
      <c r="H173" s="25"/>
      <c r="J173" s="25"/>
      <c r="L173" s="25"/>
      <c r="N173" s="23"/>
      <c r="P173" s="24"/>
      <c r="R173" s="24"/>
      <c r="T173" s="24"/>
      <c r="V173" s="25"/>
      <c r="X173" s="25"/>
      <c r="Y173" s="26"/>
      <c r="Z173" s="27"/>
      <c r="AB173" s="25"/>
      <c r="AD173" s="25"/>
      <c r="AF173" s="25"/>
      <c r="AH173" s="25"/>
      <c r="AJ173" s="25"/>
      <c r="AK173" s="26"/>
      <c r="AL173" s="39">
        <f t="shared" si="1"/>
        <v>0</v>
      </c>
      <c r="AM173" s="36">
        <f t="shared" si="2"/>
        <v>0</v>
      </c>
      <c r="AN173" s="36">
        <f t="shared" si="3"/>
        <v>0</v>
      </c>
      <c r="AO173" s="36">
        <f t="shared" si="4"/>
        <v>0</v>
      </c>
      <c r="AP173" s="40" t="str">
        <f t="shared" si="5"/>
        <v/>
      </c>
    </row>
    <row r="174" ht="15.75" customHeight="1">
      <c r="A174" s="34" t="s">
        <v>25</v>
      </c>
      <c r="B174" s="35">
        <f t="shared" si="6"/>
        <v>45099</v>
      </c>
      <c r="C174" s="36">
        <v>7.0</v>
      </c>
      <c r="D174" s="36" t="s">
        <v>22</v>
      </c>
      <c r="E174" s="38"/>
      <c r="F174" s="27"/>
      <c r="H174" s="25"/>
      <c r="J174" s="25"/>
      <c r="L174" s="25"/>
      <c r="N174" s="23"/>
      <c r="P174" s="24"/>
      <c r="R174" s="24"/>
      <c r="T174" s="24"/>
      <c r="V174" s="25"/>
      <c r="X174" s="25"/>
      <c r="Y174" s="26"/>
      <c r="Z174" s="27"/>
      <c r="AB174" s="25"/>
      <c r="AD174" s="25"/>
      <c r="AF174" s="25"/>
      <c r="AH174" s="25"/>
      <c r="AJ174" s="25"/>
      <c r="AK174" s="26"/>
      <c r="AL174" s="39">
        <f t="shared" si="1"/>
        <v>0</v>
      </c>
      <c r="AM174" s="36">
        <f t="shared" si="2"/>
        <v>0</v>
      </c>
      <c r="AN174" s="36">
        <f t="shared" si="3"/>
        <v>0</v>
      </c>
      <c r="AO174" s="36">
        <f t="shared" si="4"/>
        <v>0</v>
      </c>
      <c r="AP174" s="40" t="str">
        <f t="shared" si="5"/>
        <v/>
      </c>
    </row>
    <row r="175" ht="15.75" customHeight="1">
      <c r="A175" s="34" t="s">
        <v>26</v>
      </c>
      <c r="B175" s="35">
        <f t="shared" si="6"/>
        <v>45100</v>
      </c>
      <c r="C175" s="36">
        <v>7.0</v>
      </c>
      <c r="D175" s="36" t="s">
        <v>22</v>
      </c>
      <c r="E175" s="38"/>
      <c r="F175" s="27"/>
      <c r="H175" s="25"/>
      <c r="J175" s="25"/>
      <c r="L175" s="25"/>
      <c r="N175" s="23"/>
      <c r="P175" s="24"/>
      <c r="R175" s="24"/>
      <c r="T175" s="24"/>
      <c r="V175" s="25"/>
      <c r="X175" s="25"/>
      <c r="Y175" s="26"/>
      <c r="Z175" s="27"/>
      <c r="AB175" s="25"/>
      <c r="AD175" s="25"/>
      <c r="AF175" s="25"/>
      <c r="AH175" s="25"/>
      <c r="AJ175" s="25"/>
      <c r="AK175" s="26"/>
      <c r="AL175" s="39">
        <f t="shared" si="1"/>
        <v>0</v>
      </c>
      <c r="AM175" s="36">
        <f t="shared" si="2"/>
        <v>0</v>
      </c>
      <c r="AN175" s="36">
        <f t="shared" si="3"/>
        <v>0</v>
      </c>
      <c r="AO175" s="36">
        <f t="shared" si="4"/>
        <v>0</v>
      </c>
      <c r="AP175" s="40" t="str">
        <f t="shared" si="5"/>
        <v/>
      </c>
    </row>
    <row r="176" ht="15.75" customHeight="1">
      <c r="A176" s="34" t="s">
        <v>27</v>
      </c>
      <c r="B176" s="35">
        <f t="shared" si="6"/>
        <v>45101</v>
      </c>
      <c r="C176" s="36">
        <v>7.0</v>
      </c>
      <c r="D176" s="36" t="s">
        <v>22</v>
      </c>
      <c r="E176" s="38"/>
      <c r="F176" s="27"/>
      <c r="H176" s="25"/>
      <c r="J176" s="25"/>
      <c r="L176" s="25"/>
      <c r="N176" s="23"/>
      <c r="P176" s="24"/>
      <c r="R176" s="24"/>
      <c r="T176" s="24"/>
      <c r="V176" s="25"/>
      <c r="X176" s="25"/>
      <c r="Y176" s="26"/>
      <c r="Z176" s="27"/>
      <c r="AB176" s="25"/>
      <c r="AD176" s="25"/>
      <c r="AF176" s="25"/>
      <c r="AH176" s="25"/>
      <c r="AJ176" s="25"/>
      <c r="AK176" s="26"/>
      <c r="AL176" s="39">
        <f t="shared" si="1"/>
        <v>0</v>
      </c>
      <c r="AM176" s="36">
        <f t="shared" si="2"/>
        <v>0</v>
      </c>
      <c r="AN176" s="36">
        <f t="shared" si="3"/>
        <v>0</v>
      </c>
      <c r="AO176" s="36">
        <f t="shared" si="4"/>
        <v>0</v>
      </c>
      <c r="AP176" s="40" t="str">
        <f t="shared" si="5"/>
        <v/>
      </c>
    </row>
    <row r="177" ht="15.75" customHeight="1">
      <c r="A177" s="46" t="s">
        <v>28</v>
      </c>
      <c r="B177" s="47">
        <f t="shared" si="6"/>
        <v>45102</v>
      </c>
      <c r="C177" s="49">
        <v>7.0</v>
      </c>
      <c r="D177" s="49" t="s">
        <v>22</v>
      </c>
      <c r="E177" s="52"/>
      <c r="F177" s="59"/>
      <c r="G177" s="55"/>
      <c r="H177" s="57"/>
      <c r="I177" s="55"/>
      <c r="J177" s="57"/>
      <c r="K177" s="55"/>
      <c r="L177" s="57"/>
      <c r="M177" s="55"/>
      <c r="N177" s="53"/>
      <c r="O177" s="55"/>
      <c r="P177" s="56"/>
      <c r="Q177" s="55"/>
      <c r="R177" s="56"/>
      <c r="S177" s="55"/>
      <c r="T177" s="56"/>
      <c r="U177" s="55"/>
      <c r="V177" s="57"/>
      <c r="W177" s="55"/>
      <c r="X177" s="57"/>
      <c r="Y177" s="58"/>
      <c r="Z177" s="59"/>
      <c r="AA177" s="55"/>
      <c r="AB177" s="57"/>
      <c r="AC177" s="55"/>
      <c r="AD177" s="57"/>
      <c r="AE177" s="55"/>
      <c r="AF177" s="57"/>
      <c r="AG177" s="55"/>
      <c r="AH177" s="57"/>
      <c r="AI177" s="55"/>
      <c r="AJ177" s="57"/>
      <c r="AK177" s="58"/>
      <c r="AL177" s="64">
        <f t="shared" si="1"/>
        <v>0</v>
      </c>
      <c r="AM177" s="49">
        <f t="shared" si="2"/>
        <v>0</v>
      </c>
      <c r="AN177" s="49">
        <f t="shared" si="3"/>
        <v>0</v>
      </c>
      <c r="AO177" s="49">
        <f t="shared" si="4"/>
        <v>0</v>
      </c>
      <c r="AP177" s="66" t="str">
        <f t="shared" si="5"/>
        <v/>
      </c>
    </row>
    <row r="178" ht="15.75" customHeight="1">
      <c r="A178" s="18" t="s">
        <v>21</v>
      </c>
      <c r="B178" s="68">
        <f t="shared" si="6"/>
        <v>45103</v>
      </c>
      <c r="C178" s="20">
        <v>7.0</v>
      </c>
      <c r="D178" s="20" t="s">
        <v>34</v>
      </c>
      <c r="E178" s="22"/>
      <c r="F178" s="27"/>
      <c r="H178" s="25"/>
      <c r="J178" s="25"/>
      <c r="L178" s="25"/>
      <c r="N178" s="23"/>
      <c r="P178" s="24"/>
      <c r="R178" s="24"/>
      <c r="T178" s="24"/>
      <c r="V178" s="25"/>
      <c r="X178" s="25"/>
      <c r="Y178" s="26"/>
      <c r="Z178" s="27"/>
      <c r="AB178" s="25"/>
      <c r="AD178" s="25"/>
      <c r="AF178" s="25"/>
      <c r="AH178" s="25"/>
      <c r="AJ178" s="25"/>
      <c r="AK178" s="26"/>
      <c r="AL178" s="32">
        <f t="shared" si="1"/>
        <v>0</v>
      </c>
      <c r="AM178" s="20">
        <f t="shared" si="2"/>
        <v>0</v>
      </c>
      <c r="AN178" s="20">
        <f t="shared" si="3"/>
        <v>0</v>
      </c>
      <c r="AO178" s="20">
        <f t="shared" si="4"/>
        <v>0</v>
      </c>
      <c r="AP178" s="33" t="str">
        <f t="shared" si="5"/>
        <v/>
      </c>
    </row>
    <row r="179" ht="15.75" customHeight="1">
      <c r="A179" s="34" t="s">
        <v>23</v>
      </c>
      <c r="B179" s="35">
        <f t="shared" si="6"/>
        <v>45104</v>
      </c>
      <c r="C179" s="36">
        <v>7.0</v>
      </c>
      <c r="D179" s="36" t="s">
        <v>34</v>
      </c>
      <c r="E179" s="38"/>
      <c r="F179" s="27"/>
      <c r="H179" s="25"/>
      <c r="J179" s="25"/>
      <c r="L179" s="25"/>
      <c r="N179" s="23"/>
      <c r="P179" s="24"/>
      <c r="R179" s="24"/>
      <c r="T179" s="24"/>
      <c r="V179" s="25"/>
      <c r="X179" s="25"/>
      <c r="Y179" s="26"/>
      <c r="Z179" s="27"/>
      <c r="AB179" s="25"/>
      <c r="AD179" s="25"/>
      <c r="AF179" s="25"/>
      <c r="AH179" s="25"/>
      <c r="AJ179" s="25"/>
      <c r="AK179" s="26"/>
      <c r="AL179" s="39">
        <f t="shared" si="1"/>
        <v>0</v>
      </c>
      <c r="AM179" s="36">
        <f t="shared" si="2"/>
        <v>0</v>
      </c>
      <c r="AN179" s="36">
        <f t="shared" si="3"/>
        <v>0</v>
      </c>
      <c r="AO179" s="36">
        <f t="shared" si="4"/>
        <v>0</v>
      </c>
      <c r="AP179" s="40" t="str">
        <f t="shared" si="5"/>
        <v/>
      </c>
    </row>
    <row r="180" ht="15.75" customHeight="1">
      <c r="A180" s="34" t="s">
        <v>24</v>
      </c>
      <c r="B180" s="35">
        <f t="shared" si="6"/>
        <v>45105</v>
      </c>
      <c r="C180" s="36">
        <v>7.0</v>
      </c>
      <c r="D180" s="36" t="s">
        <v>34</v>
      </c>
      <c r="E180" s="38"/>
      <c r="F180" s="27"/>
      <c r="H180" s="25"/>
      <c r="J180" s="25"/>
      <c r="L180" s="25"/>
      <c r="N180" s="23"/>
      <c r="P180" s="24"/>
      <c r="R180" s="24"/>
      <c r="T180" s="24"/>
      <c r="V180" s="25"/>
      <c r="X180" s="25"/>
      <c r="Y180" s="26"/>
      <c r="Z180" s="27"/>
      <c r="AB180" s="25"/>
      <c r="AD180" s="25"/>
      <c r="AF180" s="25"/>
      <c r="AH180" s="25"/>
      <c r="AJ180" s="25"/>
      <c r="AK180" s="26"/>
      <c r="AL180" s="39">
        <f t="shared" si="1"/>
        <v>0</v>
      </c>
      <c r="AM180" s="36">
        <f t="shared" si="2"/>
        <v>0</v>
      </c>
      <c r="AN180" s="36">
        <f t="shared" si="3"/>
        <v>0</v>
      </c>
      <c r="AO180" s="36">
        <f t="shared" si="4"/>
        <v>0</v>
      </c>
      <c r="AP180" s="40" t="str">
        <f t="shared" si="5"/>
        <v/>
      </c>
    </row>
    <row r="181" ht="15.75" customHeight="1">
      <c r="A181" s="34" t="s">
        <v>25</v>
      </c>
      <c r="B181" s="35">
        <f t="shared" si="6"/>
        <v>45106</v>
      </c>
      <c r="C181" s="36">
        <v>7.0</v>
      </c>
      <c r="D181" s="36" t="s">
        <v>34</v>
      </c>
      <c r="E181" s="38"/>
      <c r="F181" s="27"/>
      <c r="H181" s="25"/>
      <c r="J181" s="25"/>
      <c r="L181" s="25"/>
      <c r="N181" s="23"/>
      <c r="P181" s="24"/>
      <c r="R181" s="24"/>
      <c r="T181" s="24"/>
      <c r="V181" s="25"/>
      <c r="X181" s="25"/>
      <c r="Y181" s="26"/>
      <c r="Z181" s="27"/>
      <c r="AB181" s="25"/>
      <c r="AD181" s="25"/>
      <c r="AF181" s="25"/>
      <c r="AH181" s="25"/>
      <c r="AJ181" s="25"/>
      <c r="AK181" s="26"/>
      <c r="AL181" s="39">
        <f t="shared" si="1"/>
        <v>0</v>
      </c>
      <c r="AM181" s="36">
        <f t="shared" si="2"/>
        <v>0</v>
      </c>
      <c r="AN181" s="36">
        <f t="shared" si="3"/>
        <v>0</v>
      </c>
      <c r="AO181" s="36">
        <f t="shared" si="4"/>
        <v>0</v>
      </c>
      <c r="AP181" s="40" t="str">
        <f t="shared" si="5"/>
        <v/>
      </c>
    </row>
    <row r="182" ht="15.75" customHeight="1">
      <c r="A182" s="34" t="s">
        <v>26</v>
      </c>
      <c r="B182" s="35">
        <f t="shared" si="6"/>
        <v>45107</v>
      </c>
      <c r="C182" s="36">
        <v>7.0</v>
      </c>
      <c r="D182" s="36" t="s">
        <v>34</v>
      </c>
      <c r="E182" s="38"/>
      <c r="F182" s="27"/>
      <c r="H182" s="25"/>
      <c r="J182" s="25"/>
      <c r="L182" s="25"/>
      <c r="N182" s="23"/>
      <c r="P182" s="24"/>
      <c r="R182" s="24"/>
      <c r="T182" s="24"/>
      <c r="V182" s="25"/>
      <c r="X182" s="25"/>
      <c r="Y182" s="26"/>
      <c r="Z182" s="27"/>
      <c r="AB182" s="25"/>
      <c r="AD182" s="25"/>
      <c r="AF182" s="25"/>
      <c r="AH182" s="25"/>
      <c r="AJ182" s="25"/>
      <c r="AK182" s="26"/>
      <c r="AL182" s="39">
        <f t="shared" si="1"/>
        <v>0</v>
      </c>
      <c r="AM182" s="36">
        <f t="shared" si="2"/>
        <v>0</v>
      </c>
      <c r="AN182" s="36">
        <f t="shared" si="3"/>
        <v>0</v>
      </c>
      <c r="AO182" s="36">
        <f t="shared" si="4"/>
        <v>0</v>
      </c>
      <c r="AP182" s="40" t="str">
        <f t="shared" si="5"/>
        <v/>
      </c>
    </row>
    <row r="183" ht="15.75" customHeight="1">
      <c r="A183" s="34" t="s">
        <v>27</v>
      </c>
      <c r="B183" s="35">
        <f t="shared" si="6"/>
        <v>45108</v>
      </c>
      <c r="C183" s="36">
        <v>7.0</v>
      </c>
      <c r="D183" s="36" t="s">
        <v>34</v>
      </c>
      <c r="E183" s="38"/>
      <c r="F183" s="27"/>
      <c r="H183" s="25"/>
      <c r="J183" s="25"/>
      <c r="L183" s="25"/>
      <c r="N183" s="23"/>
      <c r="P183" s="24"/>
      <c r="R183" s="24"/>
      <c r="T183" s="24"/>
      <c r="V183" s="25"/>
      <c r="X183" s="25"/>
      <c r="Y183" s="26"/>
      <c r="Z183" s="27"/>
      <c r="AB183" s="25"/>
      <c r="AD183" s="25"/>
      <c r="AF183" s="25"/>
      <c r="AH183" s="25"/>
      <c r="AJ183" s="25"/>
      <c r="AK183" s="26"/>
      <c r="AL183" s="39">
        <f t="shared" si="1"/>
        <v>0</v>
      </c>
      <c r="AM183" s="36">
        <f t="shared" si="2"/>
        <v>0</v>
      </c>
      <c r="AN183" s="36">
        <f t="shared" si="3"/>
        <v>0</v>
      </c>
      <c r="AO183" s="36">
        <f t="shared" si="4"/>
        <v>0</v>
      </c>
      <c r="AP183" s="40" t="str">
        <f t="shared" si="5"/>
        <v/>
      </c>
    </row>
    <row r="184" ht="15.75" customHeight="1">
      <c r="A184" s="46" t="s">
        <v>28</v>
      </c>
      <c r="B184" s="47">
        <f t="shared" si="6"/>
        <v>45109</v>
      </c>
      <c r="C184" s="49">
        <v>7.0</v>
      </c>
      <c r="D184" s="49" t="s">
        <v>34</v>
      </c>
      <c r="E184" s="52"/>
      <c r="F184" s="59"/>
      <c r="G184" s="55"/>
      <c r="H184" s="57"/>
      <c r="I184" s="55"/>
      <c r="J184" s="57"/>
      <c r="K184" s="55"/>
      <c r="L184" s="57"/>
      <c r="M184" s="55"/>
      <c r="N184" s="53"/>
      <c r="O184" s="55"/>
      <c r="P184" s="56"/>
      <c r="Q184" s="55"/>
      <c r="R184" s="56"/>
      <c r="S184" s="55"/>
      <c r="T184" s="56"/>
      <c r="U184" s="55"/>
      <c r="V184" s="57"/>
      <c r="W184" s="55"/>
      <c r="X184" s="57"/>
      <c r="Y184" s="58"/>
      <c r="Z184" s="59"/>
      <c r="AA184" s="55"/>
      <c r="AB184" s="57"/>
      <c r="AC184" s="55"/>
      <c r="AD184" s="57"/>
      <c r="AE184" s="55"/>
      <c r="AF184" s="57"/>
      <c r="AG184" s="55"/>
      <c r="AH184" s="57"/>
      <c r="AI184" s="55"/>
      <c r="AJ184" s="57"/>
      <c r="AK184" s="58"/>
      <c r="AL184" s="64">
        <f t="shared" si="1"/>
        <v>0</v>
      </c>
      <c r="AM184" s="49">
        <f t="shared" si="2"/>
        <v>0</v>
      </c>
      <c r="AN184" s="49">
        <f t="shared" si="3"/>
        <v>0</v>
      </c>
      <c r="AO184" s="49">
        <f t="shared" si="4"/>
        <v>0</v>
      </c>
      <c r="AP184" s="66" t="str">
        <f t="shared" si="5"/>
        <v/>
      </c>
    </row>
    <row r="185" ht="15.75" customHeight="1">
      <c r="A185" s="18" t="s">
        <v>21</v>
      </c>
      <c r="B185" s="68">
        <f t="shared" si="6"/>
        <v>45110</v>
      </c>
      <c r="C185" s="20">
        <v>7.0</v>
      </c>
      <c r="D185" s="20" t="s">
        <v>36</v>
      </c>
      <c r="E185" s="22"/>
      <c r="F185" s="27"/>
      <c r="H185" s="25"/>
      <c r="J185" s="25"/>
      <c r="L185" s="25"/>
      <c r="N185" s="23"/>
      <c r="P185" s="24"/>
      <c r="R185" s="24"/>
      <c r="T185" s="24"/>
      <c r="V185" s="25"/>
      <c r="X185" s="25"/>
      <c r="Y185" s="26"/>
      <c r="Z185" s="27"/>
      <c r="AB185" s="25"/>
      <c r="AD185" s="25"/>
      <c r="AF185" s="25"/>
      <c r="AH185" s="25"/>
      <c r="AJ185" s="25"/>
      <c r="AK185" s="26"/>
      <c r="AL185" s="32">
        <f t="shared" si="1"/>
        <v>0</v>
      </c>
      <c r="AM185" s="20">
        <f t="shared" si="2"/>
        <v>0</v>
      </c>
      <c r="AN185" s="20">
        <f t="shared" si="3"/>
        <v>0</v>
      </c>
      <c r="AO185" s="20">
        <f t="shared" si="4"/>
        <v>0</v>
      </c>
      <c r="AP185" s="33" t="str">
        <f t="shared" si="5"/>
        <v/>
      </c>
    </row>
    <row r="186" ht="15.75" customHeight="1">
      <c r="A186" s="34" t="s">
        <v>23</v>
      </c>
      <c r="B186" s="35">
        <f t="shared" si="6"/>
        <v>45111</v>
      </c>
      <c r="C186" s="36">
        <v>7.0</v>
      </c>
      <c r="D186" s="36" t="s">
        <v>36</v>
      </c>
      <c r="E186" s="38"/>
      <c r="F186" s="27"/>
      <c r="H186" s="25"/>
      <c r="J186" s="25"/>
      <c r="L186" s="25"/>
      <c r="N186" s="23"/>
      <c r="P186" s="24"/>
      <c r="R186" s="24"/>
      <c r="T186" s="24"/>
      <c r="V186" s="25"/>
      <c r="X186" s="25"/>
      <c r="Y186" s="26"/>
      <c r="Z186" s="27"/>
      <c r="AB186" s="25"/>
      <c r="AD186" s="25"/>
      <c r="AF186" s="25"/>
      <c r="AH186" s="25"/>
      <c r="AJ186" s="25"/>
      <c r="AK186" s="26"/>
      <c r="AL186" s="39">
        <f t="shared" si="1"/>
        <v>0</v>
      </c>
      <c r="AM186" s="36">
        <f t="shared" si="2"/>
        <v>0</v>
      </c>
      <c r="AN186" s="36">
        <f t="shared" si="3"/>
        <v>0</v>
      </c>
      <c r="AO186" s="36">
        <f t="shared" si="4"/>
        <v>0</v>
      </c>
      <c r="AP186" s="40" t="str">
        <f t="shared" si="5"/>
        <v/>
      </c>
    </row>
    <row r="187" ht="15.75" customHeight="1">
      <c r="A187" s="34" t="s">
        <v>24</v>
      </c>
      <c r="B187" s="35">
        <f t="shared" si="6"/>
        <v>45112</v>
      </c>
      <c r="C187" s="36">
        <v>7.0</v>
      </c>
      <c r="D187" s="36" t="s">
        <v>36</v>
      </c>
      <c r="E187" s="38"/>
      <c r="F187" s="27"/>
      <c r="H187" s="25"/>
      <c r="J187" s="25"/>
      <c r="L187" s="25"/>
      <c r="N187" s="23"/>
      <c r="P187" s="24"/>
      <c r="R187" s="24"/>
      <c r="T187" s="24"/>
      <c r="V187" s="25"/>
      <c r="X187" s="25"/>
      <c r="Y187" s="26"/>
      <c r="Z187" s="27"/>
      <c r="AB187" s="25"/>
      <c r="AD187" s="25"/>
      <c r="AF187" s="25"/>
      <c r="AH187" s="25"/>
      <c r="AJ187" s="25"/>
      <c r="AK187" s="26"/>
      <c r="AL187" s="39">
        <f t="shared" si="1"/>
        <v>0</v>
      </c>
      <c r="AM187" s="36">
        <f t="shared" si="2"/>
        <v>0</v>
      </c>
      <c r="AN187" s="36">
        <f t="shared" si="3"/>
        <v>0</v>
      </c>
      <c r="AO187" s="36">
        <f t="shared" si="4"/>
        <v>0</v>
      </c>
      <c r="AP187" s="40" t="str">
        <f t="shared" si="5"/>
        <v/>
      </c>
    </row>
    <row r="188" ht="15.75" customHeight="1">
      <c r="A188" s="34" t="s">
        <v>25</v>
      </c>
      <c r="B188" s="35">
        <f t="shared" si="6"/>
        <v>45113</v>
      </c>
      <c r="C188" s="36">
        <v>7.0</v>
      </c>
      <c r="D188" s="36" t="s">
        <v>36</v>
      </c>
      <c r="E188" s="38"/>
      <c r="F188" s="27"/>
      <c r="H188" s="25"/>
      <c r="J188" s="25"/>
      <c r="L188" s="25"/>
      <c r="N188" s="23"/>
      <c r="P188" s="24"/>
      <c r="R188" s="24"/>
      <c r="T188" s="24"/>
      <c r="V188" s="25"/>
      <c r="X188" s="25"/>
      <c r="Y188" s="26"/>
      <c r="Z188" s="27"/>
      <c r="AB188" s="25"/>
      <c r="AD188" s="25"/>
      <c r="AF188" s="25"/>
      <c r="AH188" s="25"/>
      <c r="AJ188" s="25"/>
      <c r="AK188" s="26"/>
      <c r="AL188" s="39">
        <f t="shared" si="1"/>
        <v>0</v>
      </c>
      <c r="AM188" s="36">
        <f t="shared" si="2"/>
        <v>0</v>
      </c>
      <c r="AN188" s="36">
        <f t="shared" si="3"/>
        <v>0</v>
      </c>
      <c r="AO188" s="36">
        <f t="shared" si="4"/>
        <v>0</v>
      </c>
      <c r="AP188" s="40" t="str">
        <f t="shared" si="5"/>
        <v/>
      </c>
    </row>
    <row r="189" ht="15.75" customHeight="1">
      <c r="A189" s="34" t="s">
        <v>26</v>
      </c>
      <c r="B189" s="35">
        <f t="shared" si="6"/>
        <v>45114</v>
      </c>
      <c r="C189" s="36">
        <v>7.0</v>
      </c>
      <c r="D189" s="36" t="s">
        <v>36</v>
      </c>
      <c r="E189" s="38"/>
      <c r="F189" s="27"/>
      <c r="H189" s="25"/>
      <c r="J189" s="25"/>
      <c r="L189" s="25"/>
      <c r="N189" s="23"/>
      <c r="P189" s="24"/>
      <c r="R189" s="24"/>
      <c r="T189" s="24"/>
      <c r="V189" s="25"/>
      <c r="X189" s="25"/>
      <c r="Y189" s="26"/>
      <c r="Z189" s="27"/>
      <c r="AB189" s="25"/>
      <c r="AD189" s="25"/>
      <c r="AF189" s="25"/>
      <c r="AH189" s="25"/>
      <c r="AJ189" s="25"/>
      <c r="AK189" s="26"/>
      <c r="AL189" s="39">
        <f t="shared" si="1"/>
        <v>0</v>
      </c>
      <c r="AM189" s="36">
        <f t="shared" si="2"/>
        <v>0</v>
      </c>
      <c r="AN189" s="36">
        <f t="shared" si="3"/>
        <v>0</v>
      </c>
      <c r="AO189" s="36">
        <f t="shared" si="4"/>
        <v>0</v>
      </c>
      <c r="AP189" s="40" t="str">
        <f t="shared" si="5"/>
        <v/>
      </c>
    </row>
    <row r="190" ht="15.75" customHeight="1">
      <c r="A190" s="34" t="s">
        <v>27</v>
      </c>
      <c r="B190" s="35">
        <f t="shared" si="6"/>
        <v>45115</v>
      </c>
      <c r="C190" s="36">
        <v>7.0</v>
      </c>
      <c r="D190" s="36" t="s">
        <v>36</v>
      </c>
      <c r="E190" s="38"/>
      <c r="F190" s="27"/>
      <c r="H190" s="25"/>
      <c r="J190" s="25"/>
      <c r="L190" s="25"/>
      <c r="N190" s="23"/>
      <c r="P190" s="24"/>
      <c r="R190" s="24"/>
      <c r="T190" s="24"/>
      <c r="V190" s="25"/>
      <c r="X190" s="25"/>
      <c r="Y190" s="26"/>
      <c r="Z190" s="27"/>
      <c r="AB190" s="25"/>
      <c r="AD190" s="25"/>
      <c r="AF190" s="25"/>
      <c r="AH190" s="25"/>
      <c r="AJ190" s="25"/>
      <c r="AK190" s="26"/>
      <c r="AL190" s="39">
        <f t="shared" si="1"/>
        <v>0</v>
      </c>
      <c r="AM190" s="36">
        <f t="shared" si="2"/>
        <v>0</v>
      </c>
      <c r="AN190" s="36">
        <f t="shared" si="3"/>
        <v>0</v>
      </c>
      <c r="AO190" s="36">
        <f t="shared" si="4"/>
        <v>0</v>
      </c>
      <c r="AP190" s="40" t="str">
        <f t="shared" si="5"/>
        <v/>
      </c>
    </row>
    <row r="191" ht="15.75" customHeight="1">
      <c r="A191" s="46" t="s">
        <v>28</v>
      </c>
      <c r="B191" s="47">
        <f t="shared" si="6"/>
        <v>45116</v>
      </c>
      <c r="C191" s="49">
        <v>7.0</v>
      </c>
      <c r="D191" s="49" t="s">
        <v>36</v>
      </c>
      <c r="E191" s="52"/>
      <c r="F191" s="59"/>
      <c r="G191" s="55"/>
      <c r="H191" s="57"/>
      <c r="I191" s="55"/>
      <c r="J191" s="57"/>
      <c r="K191" s="55"/>
      <c r="L191" s="57"/>
      <c r="M191" s="55"/>
      <c r="N191" s="53"/>
      <c r="O191" s="55"/>
      <c r="P191" s="56"/>
      <c r="Q191" s="55"/>
      <c r="R191" s="56"/>
      <c r="S191" s="55"/>
      <c r="T191" s="56"/>
      <c r="U191" s="55"/>
      <c r="V191" s="57"/>
      <c r="W191" s="55"/>
      <c r="X191" s="57"/>
      <c r="Y191" s="58"/>
      <c r="Z191" s="59"/>
      <c r="AA191" s="55"/>
      <c r="AB191" s="57"/>
      <c r="AC191" s="55"/>
      <c r="AD191" s="57"/>
      <c r="AE191" s="55"/>
      <c r="AF191" s="57"/>
      <c r="AG191" s="55"/>
      <c r="AH191" s="57"/>
      <c r="AI191" s="55"/>
      <c r="AJ191" s="57"/>
      <c r="AK191" s="58"/>
      <c r="AL191" s="64">
        <f t="shared" si="1"/>
        <v>0</v>
      </c>
      <c r="AM191" s="49">
        <f t="shared" si="2"/>
        <v>0</v>
      </c>
      <c r="AN191" s="49">
        <f t="shared" si="3"/>
        <v>0</v>
      </c>
      <c r="AO191" s="49">
        <f t="shared" si="4"/>
        <v>0</v>
      </c>
      <c r="AP191" s="66" t="str">
        <f t="shared" si="5"/>
        <v/>
      </c>
    </row>
    <row r="192" ht="15.75" customHeight="1">
      <c r="A192" s="18" t="s">
        <v>21</v>
      </c>
      <c r="B192" s="68">
        <f t="shared" si="6"/>
        <v>45117</v>
      </c>
      <c r="C192" s="20">
        <v>7.0</v>
      </c>
      <c r="D192" s="20" t="s">
        <v>37</v>
      </c>
      <c r="E192" s="22"/>
      <c r="F192" s="27"/>
      <c r="H192" s="25"/>
      <c r="J192" s="25"/>
      <c r="L192" s="25"/>
      <c r="N192" s="23"/>
      <c r="P192" s="24"/>
      <c r="R192" s="24"/>
      <c r="T192" s="24"/>
      <c r="V192" s="25"/>
      <c r="X192" s="25"/>
      <c r="Y192" s="26"/>
      <c r="Z192" s="27"/>
      <c r="AB192" s="25"/>
      <c r="AD192" s="25"/>
      <c r="AF192" s="25"/>
      <c r="AH192" s="25"/>
      <c r="AJ192" s="25"/>
      <c r="AK192" s="26"/>
      <c r="AL192" s="32">
        <f t="shared" si="1"/>
        <v>0</v>
      </c>
      <c r="AM192" s="20">
        <f t="shared" si="2"/>
        <v>0</v>
      </c>
      <c r="AN192" s="20">
        <f t="shared" si="3"/>
        <v>0</v>
      </c>
      <c r="AO192" s="20">
        <f t="shared" si="4"/>
        <v>0</v>
      </c>
      <c r="AP192" s="33" t="str">
        <f t="shared" si="5"/>
        <v/>
      </c>
    </row>
    <row r="193" ht="15.75" customHeight="1">
      <c r="A193" s="34" t="s">
        <v>23</v>
      </c>
      <c r="B193" s="35">
        <f t="shared" si="6"/>
        <v>45118</v>
      </c>
      <c r="C193" s="36">
        <v>7.0</v>
      </c>
      <c r="D193" s="36" t="s">
        <v>37</v>
      </c>
      <c r="E193" s="38"/>
      <c r="F193" s="27"/>
      <c r="H193" s="25"/>
      <c r="J193" s="25"/>
      <c r="L193" s="25"/>
      <c r="N193" s="23"/>
      <c r="P193" s="24"/>
      <c r="R193" s="24"/>
      <c r="T193" s="24"/>
      <c r="V193" s="25"/>
      <c r="X193" s="25"/>
      <c r="Y193" s="26"/>
      <c r="Z193" s="27"/>
      <c r="AB193" s="25"/>
      <c r="AD193" s="25"/>
      <c r="AF193" s="25"/>
      <c r="AH193" s="25"/>
      <c r="AJ193" s="25"/>
      <c r="AK193" s="26"/>
      <c r="AL193" s="39">
        <f t="shared" si="1"/>
        <v>0</v>
      </c>
      <c r="AM193" s="36">
        <f t="shared" si="2"/>
        <v>0</v>
      </c>
      <c r="AN193" s="36">
        <f t="shared" si="3"/>
        <v>0</v>
      </c>
      <c r="AO193" s="36">
        <f t="shared" si="4"/>
        <v>0</v>
      </c>
      <c r="AP193" s="40" t="str">
        <f t="shared" si="5"/>
        <v/>
      </c>
    </row>
    <row r="194" ht="15.75" customHeight="1">
      <c r="A194" s="34" t="s">
        <v>24</v>
      </c>
      <c r="B194" s="35">
        <f t="shared" si="6"/>
        <v>45119</v>
      </c>
      <c r="C194" s="36">
        <v>7.0</v>
      </c>
      <c r="D194" s="36" t="s">
        <v>37</v>
      </c>
      <c r="E194" s="38"/>
      <c r="F194" s="27"/>
      <c r="H194" s="25"/>
      <c r="J194" s="25"/>
      <c r="L194" s="25"/>
      <c r="N194" s="23"/>
      <c r="P194" s="24"/>
      <c r="R194" s="24"/>
      <c r="T194" s="24"/>
      <c r="V194" s="25"/>
      <c r="X194" s="25"/>
      <c r="Y194" s="26"/>
      <c r="Z194" s="27"/>
      <c r="AB194" s="25"/>
      <c r="AD194" s="25"/>
      <c r="AF194" s="25"/>
      <c r="AH194" s="25"/>
      <c r="AJ194" s="25"/>
      <c r="AK194" s="26"/>
      <c r="AL194" s="39">
        <f t="shared" si="1"/>
        <v>0</v>
      </c>
      <c r="AM194" s="36">
        <f t="shared" si="2"/>
        <v>0</v>
      </c>
      <c r="AN194" s="36">
        <f t="shared" si="3"/>
        <v>0</v>
      </c>
      <c r="AO194" s="36">
        <f t="shared" si="4"/>
        <v>0</v>
      </c>
      <c r="AP194" s="40" t="str">
        <f t="shared" si="5"/>
        <v/>
      </c>
    </row>
    <row r="195" ht="15.75" customHeight="1">
      <c r="A195" s="34" t="s">
        <v>25</v>
      </c>
      <c r="B195" s="35">
        <f t="shared" si="6"/>
        <v>45120</v>
      </c>
      <c r="C195" s="36">
        <v>7.0</v>
      </c>
      <c r="D195" s="36" t="s">
        <v>37</v>
      </c>
      <c r="E195" s="38"/>
      <c r="F195" s="27"/>
      <c r="H195" s="25"/>
      <c r="J195" s="25"/>
      <c r="L195" s="25"/>
      <c r="N195" s="23"/>
      <c r="P195" s="24"/>
      <c r="R195" s="24"/>
      <c r="T195" s="24"/>
      <c r="V195" s="25"/>
      <c r="X195" s="25"/>
      <c r="Y195" s="26"/>
      <c r="Z195" s="27"/>
      <c r="AB195" s="25"/>
      <c r="AD195" s="25"/>
      <c r="AF195" s="25"/>
      <c r="AH195" s="25"/>
      <c r="AJ195" s="25"/>
      <c r="AK195" s="26"/>
      <c r="AL195" s="39">
        <f t="shared" si="1"/>
        <v>0</v>
      </c>
      <c r="AM195" s="36">
        <f t="shared" si="2"/>
        <v>0</v>
      </c>
      <c r="AN195" s="36">
        <f t="shared" si="3"/>
        <v>0</v>
      </c>
      <c r="AO195" s="36">
        <f t="shared" si="4"/>
        <v>0</v>
      </c>
      <c r="AP195" s="40" t="str">
        <f t="shared" si="5"/>
        <v/>
      </c>
    </row>
    <row r="196" ht="15.75" customHeight="1">
      <c r="A196" s="34" t="s">
        <v>26</v>
      </c>
      <c r="B196" s="35">
        <f t="shared" si="6"/>
        <v>45121</v>
      </c>
      <c r="C196" s="36">
        <v>7.0</v>
      </c>
      <c r="D196" s="36" t="s">
        <v>37</v>
      </c>
      <c r="E196" s="38"/>
      <c r="F196" s="27"/>
      <c r="H196" s="25"/>
      <c r="J196" s="25"/>
      <c r="L196" s="25"/>
      <c r="N196" s="23"/>
      <c r="P196" s="24"/>
      <c r="R196" s="24"/>
      <c r="T196" s="24"/>
      <c r="V196" s="25"/>
      <c r="X196" s="25"/>
      <c r="Y196" s="26"/>
      <c r="Z196" s="27"/>
      <c r="AB196" s="25"/>
      <c r="AD196" s="25"/>
      <c r="AF196" s="25"/>
      <c r="AH196" s="25"/>
      <c r="AJ196" s="25"/>
      <c r="AK196" s="26"/>
      <c r="AL196" s="39">
        <f t="shared" si="1"/>
        <v>0</v>
      </c>
      <c r="AM196" s="36">
        <f t="shared" si="2"/>
        <v>0</v>
      </c>
      <c r="AN196" s="36">
        <f t="shared" si="3"/>
        <v>0</v>
      </c>
      <c r="AO196" s="36">
        <f t="shared" si="4"/>
        <v>0</v>
      </c>
      <c r="AP196" s="40" t="str">
        <f t="shared" si="5"/>
        <v/>
      </c>
    </row>
    <row r="197" ht="15.75" customHeight="1">
      <c r="A197" s="34" t="s">
        <v>27</v>
      </c>
      <c r="B197" s="35">
        <f t="shared" si="6"/>
        <v>45122</v>
      </c>
      <c r="C197" s="36">
        <v>7.0</v>
      </c>
      <c r="D197" s="36" t="s">
        <v>37</v>
      </c>
      <c r="E197" s="38"/>
      <c r="F197" s="27"/>
      <c r="H197" s="25"/>
      <c r="J197" s="25"/>
      <c r="L197" s="25"/>
      <c r="N197" s="23"/>
      <c r="P197" s="24"/>
      <c r="R197" s="24"/>
      <c r="T197" s="24"/>
      <c r="V197" s="25"/>
      <c r="X197" s="25"/>
      <c r="Y197" s="26"/>
      <c r="Z197" s="27"/>
      <c r="AB197" s="25"/>
      <c r="AD197" s="25"/>
      <c r="AF197" s="25"/>
      <c r="AH197" s="25"/>
      <c r="AJ197" s="25"/>
      <c r="AK197" s="26"/>
      <c r="AL197" s="39">
        <f t="shared" si="1"/>
        <v>0</v>
      </c>
      <c r="AM197" s="36">
        <f t="shared" si="2"/>
        <v>0</v>
      </c>
      <c r="AN197" s="36">
        <f t="shared" si="3"/>
        <v>0</v>
      </c>
      <c r="AO197" s="36">
        <f t="shared" si="4"/>
        <v>0</v>
      </c>
      <c r="AP197" s="40" t="str">
        <f t="shared" si="5"/>
        <v/>
      </c>
    </row>
    <row r="198" ht="15.75" customHeight="1">
      <c r="A198" s="46" t="s">
        <v>28</v>
      </c>
      <c r="B198" s="47">
        <f t="shared" si="6"/>
        <v>45123</v>
      </c>
      <c r="C198" s="49">
        <v>7.0</v>
      </c>
      <c r="D198" s="49" t="s">
        <v>37</v>
      </c>
      <c r="E198" s="52"/>
      <c r="F198" s="59"/>
      <c r="G198" s="55"/>
      <c r="H198" s="57"/>
      <c r="I198" s="55"/>
      <c r="J198" s="57"/>
      <c r="K198" s="55"/>
      <c r="L198" s="57"/>
      <c r="M198" s="55"/>
      <c r="N198" s="53"/>
      <c r="O198" s="55"/>
      <c r="P198" s="56"/>
      <c r="Q198" s="55"/>
      <c r="R198" s="56"/>
      <c r="S198" s="55"/>
      <c r="T198" s="56"/>
      <c r="U198" s="55"/>
      <c r="V198" s="57"/>
      <c r="W198" s="55"/>
      <c r="X198" s="57"/>
      <c r="Y198" s="58"/>
      <c r="Z198" s="59"/>
      <c r="AA198" s="55"/>
      <c r="AB198" s="57"/>
      <c r="AC198" s="55"/>
      <c r="AD198" s="57"/>
      <c r="AE198" s="55"/>
      <c r="AF198" s="57"/>
      <c r="AG198" s="55"/>
      <c r="AH198" s="57"/>
      <c r="AI198" s="55"/>
      <c r="AJ198" s="57"/>
      <c r="AK198" s="58"/>
      <c r="AL198" s="64">
        <f t="shared" si="1"/>
        <v>0</v>
      </c>
      <c r="AM198" s="49">
        <f t="shared" si="2"/>
        <v>0</v>
      </c>
      <c r="AN198" s="49">
        <f t="shared" si="3"/>
        <v>0</v>
      </c>
      <c r="AO198" s="49">
        <f t="shared" si="4"/>
        <v>0</v>
      </c>
      <c r="AP198" s="66" t="str">
        <f t="shared" si="5"/>
        <v/>
      </c>
    </row>
    <row r="199" ht="15.75" customHeight="1">
      <c r="A199" s="18" t="s">
        <v>21</v>
      </c>
      <c r="B199" s="68">
        <f t="shared" si="6"/>
        <v>45124</v>
      </c>
      <c r="C199" s="20">
        <v>8.0</v>
      </c>
      <c r="D199" s="20" t="s">
        <v>22</v>
      </c>
      <c r="E199" s="22"/>
      <c r="F199" s="27"/>
      <c r="H199" s="25"/>
      <c r="J199" s="25"/>
      <c r="L199" s="25"/>
      <c r="N199" s="23"/>
      <c r="P199" s="24"/>
      <c r="R199" s="24"/>
      <c r="T199" s="24"/>
      <c r="V199" s="25"/>
      <c r="X199" s="25"/>
      <c r="Y199" s="26"/>
      <c r="Z199" s="27"/>
      <c r="AB199" s="25"/>
      <c r="AD199" s="25"/>
      <c r="AF199" s="25"/>
      <c r="AH199" s="25"/>
      <c r="AJ199" s="25"/>
      <c r="AK199" s="26"/>
      <c r="AL199" s="32">
        <f t="shared" si="1"/>
        <v>0</v>
      </c>
      <c r="AM199" s="20">
        <f t="shared" si="2"/>
        <v>0</v>
      </c>
      <c r="AN199" s="20">
        <f t="shared" si="3"/>
        <v>0</v>
      </c>
      <c r="AO199" s="20">
        <f t="shared" si="4"/>
        <v>0</v>
      </c>
      <c r="AP199" s="33" t="str">
        <f t="shared" si="5"/>
        <v/>
      </c>
    </row>
    <row r="200" ht="15.75" customHeight="1">
      <c r="A200" s="34" t="s">
        <v>23</v>
      </c>
      <c r="B200" s="35">
        <f t="shared" si="6"/>
        <v>45125</v>
      </c>
      <c r="C200" s="36">
        <v>8.0</v>
      </c>
      <c r="D200" s="36" t="s">
        <v>22</v>
      </c>
      <c r="E200" s="38"/>
      <c r="F200" s="27"/>
      <c r="H200" s="25"/>
      <c r="J200" s="25"/>
      <c r="L200" s="25"/>
      <c r="N200" s="23"/>
      <c r="P200" s="24"/>
      <c r="R200" s="24"/>
      <c r="T200" s="24"/>
      <c r="V200" s="25"/>
      <c r="X200" s="25"/>
      <c r="Y200" s="26"/>
      <c r="Z200" s="27"/>
      <c r="AB200" s="25"/>
      <c r="AD200" s="25"/>
      <c r="AF200" s="25"/>
      <c r="AH200" s="25"/>
      <c r="AJ200" s="25"/>
      <c r="AK200" s="26"/>
      <c r="AL200" s="39">
        <f t="shared" si="1"/>
        <v>0</v>
      </c>
      <c r="AM200" s="36">
        <f t="shared" si="2"/>
        <v>0</v>
      </c>
      <c r="AN200" s="36">
        <f t="shared" si="3"/>
        <v>0</v>
      </c>
      <c r="AO200" s="36">
        <f t="shared" si="4"/>
        <v>0</v>
      </c>
      <c r="AP200" s="40" t="str">
        <f t="shared" si="5"/>
        <v/>
      </c>
    </row>
    <row r="201" ht="15.75" customHeight="1">
      <c r="A201" s="34" t="s">
        <v>24</v>
      </c>
      <c r="B201" s="35">
        <f t="shared" si="6"/>
        <v>45126</v>
      </c>
      <c r="C201" s="36">
        <v>8.0</v>
      </c>
      <c r="D201" s="36" t="s">
        <v>22</v>
      </c>
      <c r="E201" s="38"/>
      <c r="F201" s="27"/>
      <c r="H201" s="25"/>
      <c r="J201" s="25"/>
      <c r="L201" s="25"/>
      <c r="N201" s="23"/>
      <c r="P201" s="24"/>
      <c r="R201" s="24"/>
      <c r="T201" s="24"/>
      <c r="V201" s="25"/>
      <c r="X201" s="25"/>
      <c r="Y201" s="26"/>
      <c r="Z201" s="27"/>
      <c r="AB201" s="25"/>
      <c r="AD201" s="25"/>
      <c r="AF201" s="25"/>
      <c r="AH201" s="25"/>
      <c r="AJ201" s="25"/>
      <c r="AK201" s="26"/>
      <c r="AL201" s="39">
        <f t="shared" si="1"/>
        <v>0</v>
      </c>
      <c r="AM201" s="36">
        <f t="shared" si="2"/>
        <v>0</v>
      </c>
      <c r="AN201" s="36">
        <f t="shared" si="3"/>
        <v>0</v>
      </c>
      <c r="AO201" s="36">
        <f t="shared" si="4"/>
        <v>0</v>
      </c>
      <c r="AP201" s="40" t="str">
        <f t="shared" si="5"/>
        <v/>
      </c>
    </row>
    <row r="202" ht="15.75" customHeight="1">
      <c r="A202" s="34" t="s">
        <v>25</v>
      </c>
      <c r="B202" s="35">
        <f t="shared" si="6"/>
        <v>45127</v>
      </c>
      <c r="C202" s="36">
        <v>8.0</v>
      </c>
      <c r="D202" s="36" t="s">
        <v>22</v>
      </c>
      <c r="E202" s="38"/>
      <c r="F202" s="27"/>
      <c r="H202" s="25"/>
      <c r="J202" s="25"/>
      <c r="L202" s="25"/>
      <c r="N202" s="23"/>
      <c r="P202" s="24"/>
      <c r="R202" s="24"/>
      <c r="T202" s="24"/>
      <c r="V202" s="25"/>
      <c r="X202" s="25"/>
      <c r="Y202" s="26"/>
      <c r="Z202" s="27"/>
      <c r="AB202" s="25"/>
      <c r="AD202" s="25"/>
      <c r="AF202" s="25"/>
      <c r="AH202" s="25"/>
      <c r="AJ202" s="25"/>
      <c r="AK202" s="26"/>
      <c r="AL202" s="39">
        <f t="shared" si="1"/>
        <v>0</v>
      </c>
      <c r="AM202" s="36">
        <f t="shared" si="2"/>
        <v>0</v>
      </c>
      <c r="AN202" s="36">
        <f t="shared" si="3"/>
        <v>0</v>
      </c>
      <c r="AO202" s="36">
        <f t="shared" si="4"/>
        <v>0</v>
      </c>
      <c r="AP202" s="40" t="str">
        <f t="shared" si="5"/>
        <v/>
      </c>
    </row>
    <row r="203" ht="15.75" customHeight="1">
      <c r="A203" s="34" t="s">
        <v>26</v>
      </c>
      <c r="B203" s="35">
        <f t="shared" si="6"/>
        <v>45128</v>
      </c>
      <c r="C203" s="36">
        <v>8.0</v>
      </c>
      <c r="D203" s="36" t="s">
        <v>22</v>
      </c>
      <c r="E203" s="38"/>
      <c r="F203" s="27"/>
      <c r="H203" s="25"/>
      <c r="J203" s="25"/>
      <c r="L203" s="25"/>
      <c r="N203" s="23"/>
      <c r="P203" s="24"/>
      <c r="R203" s="24"/>
      <c r="T203" s="24"/>
      <c r="V203" s="25"/>
      <c r="X203" s="25"/>
      <c r="Y203" s="26"/>
      <c r="Z203" s="27"/>
      <c r="AB203" s="25"/>
      <c r="AD203" s="25"/>
      <c r="AF203" s="25"/>
      <c r="AH203" s="25"/>
      <c r="AJ203" s="25"/>
      <c r="AK203" s="26"/>
      <c r="AL203" s="39">
        <f t="shared" si="1"/>
        <v>0</v>
      </c>
      <c r="AM203" s="36">
        <f t="shared" si="2"/>
        <v>0</v>
      </c>
      <c r="AN203" s="36">
        <f t="shared" si="3"/>
        <v>0</v>
      </c>
      <c r="AO203" s="36">
        <f t="shared" si="4"/>
        <v>0</v>
      </c>
      <c r="AP203" s="40" t="str">
        <f t="shared" si="5"/>
        <v/>
      </c>
    </row>
    <row r="204" ht="15.75" customHeight="1">
      <c r="A204" s="34" t="s">
        <v>27</v>
      </c>
      <c r="B204" s="35">
        <f t="shared" si="6"/>
        <v>45129</v>
      </c>
      <c r="C204" s="36">
        <v>8.0</v>
      </c>
      <c r="D204" s="36" t="s">
        <v>22</v>
      </c>
      <c r="E204" s="38"/>
      <c r="F204" s="27"/>
      <c r="H204" s="25"/>
      <c r="J204" s="25"/>
      <c r="L204" s="25"/>
      <c r="N204" s="23"/>
      <c r="P204" s="24"/>
      <c r="R204" s="24"/>
      <c r="T204" s="24"/>
      <c r="V204" s="25"/>
      <c r="X204" s="25"/>
      <c r="Y204" s="26"/>
      <c r="Z204" s="27"/>
      <c r="AB204" s="25"/>
      <c r="AD204" s="25"/>
      <c r="AF204" s="25"/>
      <c r="AH204" s="25"/>
      <c r="AJ204" s="25"/>
      <c r="AK204" s="26"/>
      <c r="AL204" s="39">
        <f t="shared" si="1"/>
        <v>0</v>
      </c>
      <c r="AM204" s="36">
        <f t="shared" si="2"/>
        <v>0</v>
      </c>
      <c r="AN204" s="36">
        <f t="shared" si="3"/>
        <v>0</v>
      </c>
      <c r="AO204" s="36">
        <f t="shared" si="4"/>
        <v>0</v>
      </c>
      <c r="AP204" s="40" t="str">
        <f t="shared" si="5"/>
        <v/>
      </c>
    </row>
    <row r="205" ht="15.75" customHeight="1">
      <c r="A205" s="46" t="s">
        <v>28</v>
      </c>
      <c r="B205" s="47">
        <f t="shared" si="6"/>
        <v>45130</v>
      </c>
      <c r="C205" s="49">
        <v>8.0</v>
      </c>
      <c r="D205" s="49" t="s">
        <v>22</v>
      </c>
      <c r="E205" s="52"/>
      <c r="F205" s="59"/>
      <c r="G205" s="55"/>
      <c r="H205" s="57"/>
      <c r="I205" s="55"/>
      <c r="J205" s="57"/>
      <c r="K205" s="55"/>
      <c r="L205" s="57"/>
      <c r="M205" s="55"/>
      <c r="N205" s="53"/>
      <c r="O205" s="55"/>
      <c r="P205" s="56"/>
      <c r="Q205" s="55"/>
      <c r="R205" s="56"/>
      <c r="S205" s="55"/>
      <c r="T205" s="56"/>
      <c r="U205" s="55"/>
      <c r="V205" s="57"/>
      <c r="W205" s="55"/>
      <c r="X205" s="57"/>
      <c r="Y205" s="58"/>
      <c r="Z205" s="59"/>
      <c r="AA205" s="55"/>
      <c r="AB205" s="57"/>
      <c r="AC205" s="55"/>
      <c r="AD205" s="57"/>
      <c r="AE205" s="55"/>
      <c r="AF205" s="57"/>
      <c r="AG205" s="55"/>
      <c r="AH205" s="57"/>
      <c r="AI205" s="55"/>
      <c r="AJ205" s="57"/>
      <c r="AK205" s="58"/>
      <c r="AL205" s="64">
        <f t="shared" si="1"/>
        <v>0</v>
      </c>
      <c r="AM205" s="49">
        <f t="shared" si="2"/>
        <v>0</v>
      </c>
      <c r="AN205" s="49">
        <f t="shared" si="3"/>
        <v>0</v>
      </c>
      <c r="AO205" s="49">
        <f t="shared" si="4"/>
        <v>0</v>
      </c>
      <c r="AP205" s="66" t="str">
        <f t="shared" si="5"/>
        <v/>
      </c>
    </row>
    <row r="206" ht="15.75" customHeight="1">
      <c r="A206" s="18" t="s">
        <v>21</v>
      </c>
      <c r="B206" s="68">
        <f t="shared" si="6"/>
        <v>45131</v>
      </c>
      <c r="C206" s="20">
        <v>8.0</v>
      </c>
      <c r="D206" s="20" t="s">
        <v>34</v>
      </c>
      <c r="E206" s="22"/>
      <c r="F206" s="27"/>
      <c r="H206" s="25"/>
      <c r="J206" s="25"/>
      <c r="L206" s="25"/>
      <c r="N206" s="23"/>
      <c r="P206" s="24"/>
      <c r="R206" s="24"/>
      <c r="T206" s="24"/>
      <c r="V206" s="25"/>
      <c r="X206" s="25"/>
      <c r="Y206" s="26"/>
      <c r="Z206" s="27"/>
      <c r="AB206" s="25"/>
      <c r="AD206" s="25"/>
      <c r="AF206" s="25"/>
      <c r="AH206" s="25"/>
      <c r="AJ206" s="25"/>
      <c r="AK206" s="26"/>
      <c r="AL206" s="32">
        <f t="shared" si="1"/>
        <v>0</v>
      </c>
      <c r="AM206" s="20">
        <f t="shared" si="2"/>
        <v>0</v>
      </c>
      <c r="AN206" s="20">
        <f t="shared" si="3"/>
        <v>0</v>
      </c>
      <c r="AO206" s="20">
        <f t="shared" si="4"/>
        <v>0</v>
      </c>
      <c r="AP206" s="33" t="str">
        <f t="shared" si="5"/>
        <v/>
      </c>
    </row>
    <row r="207" ht="15.75" customHeight="1">
      <c r="A207" s="34" t="s">
        <v>23</v>
      </c>
      <c r="B207" s="35">
        <f t="shared" si="6"/>
        <v>45132</v>
      </c>
      <c r="C207" s="36">
        <v>8.0</v>
      </c>
      <c r="D207" s="36" t="s">
        <v>34</v>
      </c>
      <c r="E207" s="38"/>
      <c r="F207" s="27"/>
      <c r="H207" s="25"/>
      <c r="J207" s="25"/>
      <c r="L207" s="25"/>
      <c r="N207" s="23"/>
      <c r="P207" s="24"/>
      <c r="R207" s="24"/>
      <c r="T207" s="24"/>
      <c r="V207" s="25"/>
      <c r="X207" s="25"/>
      <c r="Y207" s="26"/>
      <c r="Z207" s="27"/>
      <c r="AB207" s="25"/>
      <c r="AD207" s="25"/>
      <c r="AF207" s="25"/>
      <c r="AH207" s="25"/>
      <c r="AJ207" s="25"/>
      <c r="AK207" s="26"/>
      <c r="AL207" s="39">
        <f t="shared" si="1"/>
        <v>0</v>
      </c>
      <c r="AM207" s="36">
        <f t="shared" si="2"/>
        <v>0</v>
      </c>
      <c r="AN207" s="36">
        <f t="shared" si="3"/>
        <v>0</v>
      </c>
      <c r="AO207" s="36">
        <f t="shared" si="4"/>
        <v>0</v>
      </c>
      <c r="AP207" s="40" t="str">
        <f t="shared" si="5"/>
        <v/>
      </c>
    </row>
    <row r="208" ht="15.75" customHeight="1">
      <c r="A208" s="34" t="s">
        <v>24</v>
      </c>
      <c r="B208" s="35">
        <f t="shared" si="6"/>
        <v>45133</v>
      </c>
      <c r="C208" s="36">
        <v>8.0</v>
      </c>
      <c r="D208" s="36" t="s">
        <v>34</v>
      </c>
      <c r="E208" s="38"/>
      <c r="F208" s="27"/>
      <c r="H208" s="25"/>
      <c r="J208" s="25"/>
      <c r="L208" s="25"/>
      <c r="N208" s="23"/>
      <c r="P208" s="24"/>
      <c r="R208" s="24"/>
      <c r="T208" s="24"/>
      <c r="V208" s="25"/>
      <c r="X208" s="25"/>
      <c r="Y208" s="26"/>
      <c r="Z208" s="27"/>
      <c r="AB208" s="25"/>
      <c r="AD208" s="25"/>
      <c r="AF208" s="25"/>
      <c r="AH208" s="25"/>
      <c r="AJ208" s="25"/>
      <c r="AK208" s="26"/>
      <c r="AL208" s="39">
        <f t="shared" si="1"/>
        <v>0</v>
      </c>
      <c r="AM208" s="36">
        <f t="shared" si="2"/>
        <v>0</v>
      </c>
      <c r="AN208" s="36">
        <f t="shared" si="3"/>
        <v>0</v>
      </c>
      <c r="AO208" s="36">
        <f t="shared" si="4"/>
        <v>0</v>
      </c>
      <c r="AP208" s="40" t="str">
        <f t="shared" si="5"/>
        <v/>
      </c>
    </row>
    <row r="209" ht="15.75" customHeight="1">
      <c r="A209" s="34" t="s">
        <v>25</v>
      </c>
      <c r="B209" s="35">
        <f t="shared" si="6"/>
        <v>45134</v>
      </c>
      <c r="C209" s="36">
        <v>8.0</v>
      </c>
      <c r="D209" s="36" t="s">
        <v>34</v>
      </c>
      <c r="E209" s="38"/>
      <c r="F209" s="27"/>
      <c r="H209" s="25"/>
      <c r="J209" s="25"/>
      <c r="L209" s="25"/>
      <c r="N209" s="23"/>
      <c r="P209" s="24"/>
      <c r="R209" s="24"/>
      <c r="T209" s="24"/>
      <c r="V209" s="25"/>
      <c r="X209" s="25"/>
      <c r="Y209" s="26"/>
      <c r="Z209" s="27"/>
      <c r="AB209" s="25"/>
      <c r="AD209" s="25"/>
      <c r="AF209" s="25"/>
      <c r="AH209" s="25"/>
      <c r="AJ209" s="25"/>
      <c r="AK209" s="26"/>
      <c r="AL209" s="39">
        <f t="shared" si="1"/>
        <v>0</v>
      </c>
      <c r="AM209" s="36">
        <f t="shared" si="2"/>
        <v>0</v>
      </c>
      <c r="AN209" s="36">
        <f t="shared" si="3"/>
        <v>0</v>
      </c>
      <c r="AO209" s="36">
        <f t="shared" si="4"/>
        <v>0</v>
      </c>
      <c r="AP209" s="40" t="str">
        <f t="shared" si="5"/>
        <v/>
      </c>
    </row>
    <row r="210" ht="15.75" customHeight="1">
      <c r="A210" s="34" t="s">
        <v>26</v>
      </c>
      <c r="B210" s="35">
        <f t="shared" si="6"/>
        <v>45135</v>
      </c>
      <c r="C210" s="36">
        <v>8.0</v>
      </c>
      <c r="D210" s="36" t="s">
        <v>34</v>
      </c>
      <c r="E210" s="38"/>
      <c r="F210" s="27"/>
      <c r="H210" s="25"/>
      <c r="J210" s="25"/>
      <c r="L210" s="25"/>
      <c r="N210" s="23"/>
      <c r="P210" s="24"/>
      <c r="R210" s="24"/>
      <c r="T210" s="24"/>
      <c r="V210" s="25"/>
      <c r="X210" s="25"/>
      <c r="Y210" s="26"/>
      <c r="Z210" s="27"/>
      <c r="AB210" s="25"/>
      <c r="AD210" s="25"/>
      <c r="AF210" s="25"/>
      <c r="AH210" s="25"/>
      <c r="AJ210" s="25"/>
      <c r="AK210" s="26"/>
      <c r="AL210" s="39">
        <f t="shared" si="1"/>
        <v>0</v>
      </c>
      <c r="AM210" s="36">
        <f t="shared" si="2"/>
        <v>0</v>
      </c>
      <c r="AN210" s="36">
        <f t="shared" si="3"/>
        <v>0</v>
      </c>
      <c r="AO210" s="36">
        <f t="shared" si="4"/>
        <v>0</v>
      </c>
      <c r="AP210" s="40" t="str">
        <f t="shared" si="5"/>
        <v/>
      </c>
    </row>
    <row r="211" ht="15.75" customHeight="1">
      <c r="A211" s="34" t="s">
        <v>27</v>
      </c>
      <c r="B211" s="35">
        <f t="shared" si="6"/>
        <v>45136</v>
      </c>
      <c r="C211" s="36">
        <v>8.0</v>
      </c>
      <c r="D211" s="36" t="s">
        <v>34</v>
      </c>
      <c r="E211" s="38"/>
      <c r="F211" s="27"/>
      <c r="H211" s="25"/>
      <c r="J211" s="25"/>
      <c r="L211" s="25"/>
      <c r="N211" s="23"/>
      <c r="P211" s="24"/>
      <c r="R211" s="24"/>
      <c r="T211" s="24"/>
      <c r="V211" s="25"/>
      <c r="X211" s="25"/>
      <c r="Y211" s="26"/>
      <c r="Z211" s="27"/>
      <c r="AB211" s="25"/>
      <c r="AD211" s="25"/>
      <c r="AF211" s="25"/>
      <c r="AH211" s="25"/>
      <c r="AJ211" s="25"/>
      <c r="AK211" s="26"/>
      <c r="AL211" s="39">
        <f t="shared" si="1"/>
        <v>0</v>
      </c>
      <c r="AM211" s="36">
        <f t="shared" si="2"/>
        <v>0</v>
      </c>
      <c r="AN211" s="36">
        <f t="shared" si="3"/>
        <v>0</v>
      </c>
      <c r="AO211" s="36">
        <f t="shared" si="4"/>
        <v>0</v>
      </c>
      <c r="AP211" s="40" t="str">
        <f t="shared" si="5"/>
        <v/>
      </c>
    </row>
    <row r="212" ht="15.75" customHeight="1">
      <c r="A212" s="46" t="s">
        <v>28</v>
      </c>
      <c r="B212" s="47">
        <f t="shared" si="6"/>
        <v>45137</v>
      </c>
      <c r="C212" s="49">
        <v>8.0</v>
      </c>
      <c r="D212" s="49" t="s">
        <v>34</v>
      </c>
      <c r="E212" s="52"/>
      <c r="F212" s="59"/>
      <c r="G212" s="55"/>
      <c r="H212" s="57"/>
      <c r="I212" s="55"/>
      <c r="J212" s="57"/>
      <c r="K212" s="55"/>
      <c r="L212" s="57"/>
      <c r="M212" s="55"/>
      <c r="N212" s="53"/>
      <c r="O212" s="55"/>
      <c r="P212" s="56"/>
      <c r="Q212" s="55"/>
      <c r="R212" s="56"/>
      <c r="S212" s="55"/>
      <c r="T212" s="56"/>
      <c r="U212" s="55"/>
      <c r="V212" s="57"/>
      <c r="W212" s="55"/>
      <c r="X212" s="57"/>
      <c r="Y212" s="58"/>
      <c r="Z212" s="59"/>
      <c r="AA212" s="55"/>
      <c r="AB212" s="57"/>
      <c r="AC212" s="55"/>
      <c r="AD212" s="57"/>
      <c r="AE212" s="55"/>
      <c r="AF212" s="57"/>
      <c r="AG212" s="55"/>
      <c r="AH212" s="57"/>
      <c r="AI212" s="55"/>
      <c r="AJ212" s="57"/>
      <c r="AK212" s="58"/>
      <c r="AL212" s="64">
        <f t="shared" si="1"/>
        <v>0</v>
      </c>
      <c r="AM212" s="49">
        <f t="shared" si="2"/>
        <v>0</v>
      </c>
      <c r="AN212" s="49">
        <f t="shared" si="3"/>
        <v>0</v>
      </c>
      <c r="AO212" s="49">
        <f t="shared" si="4"/>
        <v>0</v>
      </c>
      <c r="AP212" s="66" t="str">
        <f t="shared" si="5"/>
        <v/>
      </c>
    </row>
    <row r="213" ht="15.75" customHeight="1">
      <c r="A213" s="18" t="s">
        <v>21</v>
      </c>
      <c r="B213" s="68">
        <f t="shared" si="6"/>
        <v>45138</v>
      </c>
      <c r="C213" s="20">
        <v>8.0</v>
      </c>
      <c r="D213" s="20" t="s">
        <v>36</v>
      </c>
      <c r="E213" s="22"/>
      <c r="F213" s="27"/>
      <c r="H213" s="25"/>
      <c r="J213" s="25"/>
      <c r="L213" s="25"/>
      <c r="N213" s="23"/>
      <c r="P213" s="24"/>
      <c r="R213" s="24"/>
      <c r="T213" s="24"/>
      <c r="V213" s="25"/>
      <c r="X213" s="25"/>
      <c r="Y213" s="26"/>
      <c r="Z213" s="27"/>
      <c r="AB213" s="25"/>
      <c r="AD213" s="25"/>
      <c r="AF213" s="25"/>
      <c r="AH213" s="25"/>
      <c r="AJ213" s="25"/>
      <c r="AK213" s="26"/>
      <c r="AL213" s="32">
        <f t="shared" si="1"/>
        <v>0</v>
      </c>
      <c r="AM213" s="20">
        <f t="shared" si="2"/>
        <v>0</v>
      </c>
      <c r="AN213" s="20">
        <f t="shared" si="3"/>
        <v>0</v>
      </c>
      <c r="AO213" s="20">
        <f t="shared" si="4"/>
        <v>0</v>
      </c>
      <c r="AP213" s="33" t="str">
        <f t="shared" si="5"/>
        <v/>
      </c>
    </row>
    <row r="214" ht="15.75" customHeight="1">
      <c r="A214" s="34" t="s">
        <v>23</v>
      </c>
      <c r="B214" s="35">
        <f t="shared" si="6"/>
        <v>45139</v>
      </c>
      <c r="C214" s="36">
        <v>8.0</v>
      </c>
      <c r="D214" s="36" t="s">
        <v>36</v>
      </c>
      <c r="E214" s="38"/>
      <c r="F214" s="27"/>
      <c r="H214" s="25"/>
      <c r="J214" s="25"/>
      <c r="L214" s="25"/>
      <c r="N214" s="23"/>
      <c r="P214" s="24"/>
      <c r="R214" s="24"/>
      <c r="T214" s="24"/>
      <c r="V214" s="25"/>
      <c r="X214" s="25"/>
      <c r="Y214" s="26"/>
      <c r="Z214" s="27"/>
      <c r="AB214" s="25"/>
      <c r="AD214" s="25"/>
      <c r="AF214" s="25"/>
      <c r="AH214" s="25"/>
      <c r="AJ214" s="25"/>
      <c r="AK214" s="26"/>
      <c r="AL214" s="39">
        <f t="shared" si="1"/>
        <v>0</v>
      </c>
      <c r="AM214" s="36">
        <f t="shared" si="2"/>
        <v>0</v>
      </c>
      <c r="AN214" s="36">
        <f t="shared" si="3"/>
        <v>0</v>
      </c>
      <c r="AO214" s="36">
        <f t="shared" si="4"/>
        <v>0</v>
      </c>
      <c r="AP214" s="40" t="str">
        <f t="shared" si="5"/>
        <v/>
      </c>
    </row>
    <row r="215" ht="15.75" customHeight="1">
      <c r="A215" s="34" t="s">
        <v>24</v>
      </c>
      <c r="B215" s="35">
        <f t="shared" si="6"/>
        <v>45140</v>
      </c>
      <c r="C215" s="36">
        <v>8.0</v>
      </c>
      <c r="D215" s="36" t="s">
        <v>36</v>
      </c>
      <c r="E215" s="38"/>
      <c r="F215" s="27"/>
      <c r="H215" s="25"/>
      <c r="J215" s="25"/>
      <c r="L215" s="25"/>
      <c r="N215" s="23"/>
      <c r="P215" s="24"/>
      <c r="R215" s="24"/>
      <c r="T215" s="24"/>
      <c r="V215" s="25"/>
      <c r="X215" s="25"/>
      <c r="Y215" s="26"/>
      <c r="Z215" s="27"/>
      <c r="AB215" s="25"/>
      <c r="AD215" s="25"/>
      <c r="AF215" s="25"/>
      <c r="AH215" s="25"/>
      <c r="AJ215" s="25"/>
      <c r="AK215" s="26"/>
      <c r="AL215" s="39">
        <f t="shared" si="1"/>
        <v>0</v>
      </c>
      <c r="AM215" s="36">
        <f t="shared" si="2"/>
        <v>0</v>
      </c>
      <c r="AN215" s="36">
        <f t="shared" si="3"/>
        <v>0</v>
      </c>
      <c r="AO215" s="36">
        <f t="shared" si="4"/>
        <v>0</v>
      </c>
      <c r="AP215" s="40" t="str">
        <f t="shared" si="5"/>
        <v/>
      </c>
    </row>
    <row r="216" ht="15.75" customHeight="1">
      <c r="A216" s="34" t="s">
        <v>25</v>
      </c>
      <c r="B216" s="35">
        <f t="shared" si="6"/>
        <v>45141</v>
      </c>
      <c r="C216" s="36">
        <v>8.0</v>
      </c>
      <c r="D216" s="36" t="s">
        <v>36</v>
      </c>
      <c r="E216" s="38"/>
      <c r="F216" s="27"/>
      <c r="H216" s="25"/>
      <c r="J216" s="25"/>
      <c r="L216" s="25"/>
      <c r="N216" s="23"/>
      <c r="P216" s="24"/>
      <c r="R216" s="24"/>
      <c r="T216" s="24"/>
      <c r="V216" s="25"/>
      <c r="X216" s="25"/>
      <c r="Y216" s="26"/>
      <c r="Z216" s="27"/>
      <c r="AB216" s="25"/>
      <c r="AD216" s="25"/>
      <c r="AF216" s="25"/>
      <c r="AH216" s="25"/>
      <c r="AJ216" s="25"/>
      <c r="AK216" s="26"/>
      <c r="AL216" s="39">
        <f t="shared" si="1"/>
        <v>0</v>
      </c>
      <c r="AM216" s="36">
        <f t="shared" si="2"/>
        <v>0</v>
      </c>
      <c r="AN216" s="36">
        <f t="shared" si="3"/>
        <v>0</v>
      </c>
      <c r="AO216" s="36">
        <f t="shared" si="4"/>
        <v>0</v>
      </c>
      <c r="AP216" s="40" t="str">
        <f t="shared" si="5"/>
        <v/>
      </c>
    </row>
    <row r="217" ht="15.75" customHeight="1">
      <c r="A217" s="34" t="s">
        <v>26</v>
      </c>
      <c r="B217" s="35">
        <f t="shared" si="6"/>
        <v>45142</v>
      </c>
      <c r="C217" s="36">
        <v>8.0</v>
      </c>
      <c r="D217" s="36" t="s">
        <v>36</v>
      </c>
      <c r="E217" s="38"/>
      <c r="F217" s="27"/>
      <c r="H217" s="25"/>
      <c r="J217" s="25"/>
      <c r="L217" s="25"/>
      <c r="N217" s="23"/>
      <c r="P217" s="24"/>
      <c r="R217" s="24"/>
      <c r="T217" s="24"/>
      <c r="V217" s="25"/>
      <c r="X217" s="25"/>
      <c r="Y217" s="26"/>
      <c r="Z217" s="27"/>
      <c r="AB217" s="25"/>
      <c r="AD217" s="25"/>
      <c r="AF217" s="25"/>
      <c r="AH217" s="25"/>
      <c r="AJ217" s="25"/>
      <c r="AK217" s="26"/>
      <c r="AL217" s="39">
        <f t="shared" si="1"/>
        <v>0</v>
      </c>
      <c r="AM217" s="36">
        <f t="shared" si="2"/>
        <v>0</v>
      </c>
      <c r="AN217" s="36">
        <f t="shared" si="3"/>
        <v>0</v>
      </c>
      <c r="AO217" s="36">
        <f t="shared" si="4"/>
        <v>0</v>
      </c>
      <c r="AP217" s="40" t="str">
        <f t="shared" si="5"/>
        <v/>
      </c>
    </row>
    <row r="218" ht="15.75" customHeight="1">
      <c r="A218" s="34" t="s">
        <v>27</v>
      </c>
      <c r="B218" s="35">
        <f t="shared" si="6"/>
        <v>45143</v>
      </c>
      <c r="C218" s="36">
        <v>8.0</v>
      </c>
      <c r="D218" s="36" t="s">
        <v>36</v>
      </c>
      <c r="E218" s="38"/>
      <c r="F218" s="27"/>
      <c r="H218" s="25"/>
      <c r="J218" s="25"/>
      <c r="L218" s="25"/>
      <c r="N218" s="23"/>
      <c r="P218" s="24"/>
      <c r="R218" s="24"/>
      <c r="T218" s="24"/>
      <c r="V218" s="25"/>
      <c r="X218" s="25"/>
      <c r="Y218" s="26"/>
      <c r="Z218" s="27"/>
      <c r="AB218" s="25"/>
      <c r="AD218" s="25"/>
      <c r="AF218" s="25"/>
      <c r="AH218" s="25"/>
      <c r="AJ218" s="25"/>
      <c r="AK218" s="26"/>
      <c r="AL218" s="39">
        <f t="shared" si="1"/>
        <v>0</v>
      </c>
      <c r="AM218" s="36">
        <f t="shared" si="2"/>
        <v>0</v>
      </c>
      <c r="AN218" s="36">
        <f t="shared" si="3"/>
        <v>0</v>
      </c>
      <c r="AO218" s="36">
        <f t="shared" si="4"/>
        <v>0</v>
      </c>
      <c r="AP218" s="40" t="str">
        <f t="shared" si="5"/>
        <v/>
      </c>
    </row>
    <row r="219" ht="15.75" customHeight="1">
      <c r="A219" s="46" t="s">
        <v>28</v>
      </c>
      <c r="B219" s="47">
        <f t="shared" si="6"/>
        <v>45144</v>
      </c>
      <c r="C219" s="49">
        <v>8.0</v>
      </c>
      <c r="D219" s="49" t="s">
        <v>36</v>
      </c>
      <c r="E219" s="52"/>
      <c r="F219" s="59"/>
      <c r="G219" s="55"/>
      <c r="H219" s="57"/>
      <c r="I219" s="55"/>
      <c r="J219" s="57"/>
      <c r="K219" s="55"/>
      <c r="L219" s="57"/>
      <c r="M219" s="55"/>
      <c r="N219" s="53"/>
      <c r="O219" s="55"/>
      <c r="P219" s="56"/>
      <c r="Q219" s="55"/>
      <c r="R219" s="56"/>
      <c r="S219" s="55"/>
      <c r="T219" s="56"/>
      <c r="U219" s="55"/>
      <c r="V219" s="57"/>
      <c r="W219" s="55"/>
      <c r="X219" s="57"/>
      <c r="Y219" s="58"/>
      <c r="Z219" s="59"/>
      <c r="AA219" s="55"/>
      <c r="AB219" s="57"/>
      <c r="AC219" s="55"/>
      <c r="AD219" s="57"/>
      <c r="AE219" s="55"/>
      <c r="AF219" s="57"/>
      <c r="AG219" s="55"/>
      <c r="AH219" s="57"/>
      <c r="AI219" s="55"/>
      <c r="AJ219" s="57"/>
      <c r="AK219" s="58"/>
      <c r="AL219" s="64">
        <f t="shared" si="1"/>
        <v>0</v>
      </c>
      <c r="AM219" s="49">
        <f t="shared" si="2"/>
        <v>0</v>
      </c>
      <c r="AN219" s="49">
        <f t="shared" si="3"/>
        <v>0</v>
      </c>
      <c r="AO219" s="49">
        <f t="shared" si="4"/>
        <v>0</v>
      </c>
      <c r="AP219" s="66" t="str">
        <f t="shared" si="5"/>
        <v/>
      </c>
    </row>
    <row r="220" ht="15.75" customHeight="1">
      <c r="A220" s="18" t="s">
        <v>21</v>
      </c>
      <c r="B220" s="68">
        <f t="shared" si="6"/>
        <v>45145</v>
      </c>
      <c r="C220" s="20">
        <v>8.0</v>
      </c>
      <c r="D220" s="20" t="s">
        <v>37</v>
      </c>
      <c r="E220" s="22"/>
      <c r="F220" s="27"/>
      <c r="H220" s="25"/>
      <c r="J220" s="25"/>
      <c r="L220" s="25"/>
      <c r="N220" s="23"/>
      <c r="P220" s="24"/>
      <c r="R220" s="24"/>
      <c r="T220" s="24"/>
      <c r="V220" s="25"/>
      <c r="X220" s="25"/>
      <c r="Y220" s="26"/>
      <c r="Z220" s="27"/>
      <c r="AB220" s="25"/>
      <c r="AD220" s="25"/>
      <c r="AF220" s="25"/>
      <c r="AH220" s="25"/>
      <c r="AJ220" s="25"/>
      <c r="AK220" s="26"/>
      <c r="AL220" s="32">
        <f t="shared" si="1"/>
        <v>0</v>
      </c>
      <c r="AM220" s="20">
        <f t="shared" si="2"/>
        <v>0</v>
      </c>
      <c r="AN220" s="20">
        <f t="shared" si="3"/>
        <v>0</v>
      </c>
      <c r="AO220" s="20">
        <f t="shared" si="4"/>
        <v>0</v>
      </c>
      <c r="AP220" s="33" t="str">
        <f t="shared" si="5"/>
        <v/>
      </c>
    </row>
    <row r="221" ht="15.75" customHeight="1">
      <c r="A221" s="34" t="s">
        <v>23</v>
      </c>
      <c r="B221" s="35">
        <f t="shared" si="6"/>
        <v>45146</v>
      </c>
      <c r="C221" s="36">
        <v>8.0</v>
      </c>
      <c r="D221" s="36" t="s">
        <v>37</v>
      </c>
      <c r="E221" s="38"/>
      <c r="F221" s="27"/>
      <c r="H221" s="25"/>
      <c r="J221" s="25"/>
      <c r="L221" s="25"/>
      <c r="N221" s="23"/>
      <c r="P221" s="24"/>
      <c r="R221" s="24"/>
      <c r="T221" s="24"/>
      <c r="V221" s="25"/>
      <c r="X221" s="25"/>
      <c r="Y221" s="26"/>
      <c r="Z221" s="27"/>
      <c r="AB221" s="25"/>
      <c r="AD221" s="25"/>
      <c r="AF221" s="25"/>
      <c r="AH221" s="25"/>
      <c r="AJ221" s="25"/>
      <c r="AK221" s="26"/>
      <c r="AL221" s="39">
        <f t="shared" si="1"/>
        <v>0</v>
      </c>
      <c r="AM221" s="36">
        <f t="shared" si="2"/>
        <v>0</v>
      </c>
      <c r="AN221" s="36">
        <f t="shared" si="3"/>
        <v>0</v>
      </c>
      <c r="AO221" s="36">
        <f t="shared" si="4"/>
        <v>0</v>
      </c>
      <c r="AP221" s="40" t="str">
        <f t="shared" si="5"/>
        <v/>
      </c>
    </row>
    <row r="222" ht="15.75" customHeight="1">
      <c r="A222" s="34" t="s">
        <v>24</v>
      </c>
      <c r="B222" s="35">
        <f t="shared" si="6"/>
        <v>45147</v>
      </c>
      <c r="C222" s="36">
        <v>8.0</v>
      </c>
      <c r="D222" s="36" t="s">
        <v>37</v>
      </c>
      <c r="E222" s="38"/>
      <c r="F222" s="27"/>
      <c r="H222" s="25"/>
      <c r="J222" s="25"/>
      <c r="L222" s="25"/>
      <c r="N222" s="23"/>
      <c r="P222" s="24"/>
      <c r="R222" s="24"/>
      <c r="T222" s="24"/>
      <c r="V222" s="25"/>
      <c r="X222" s="25"/>
      <c r="Y222" s="26"/>
      <c r="Z222" s="27"/>
      <c r="AB222" s="25"/>
      <c r="AD222" s="25"/>
      <c r="AF222" s="25"/>
      <c r="AH222" s="25"/>
      <c r="AJ222" s="25"/>
      <c r="AK222" s="26"/>
      <c r="AL222" s="39">
        <f t="shared" si="1"/>
        <v>0</v>
      </c>
      <c r="AM222" s="36">
        <f t="shared" si="2"/>
        <v>0</v>
      </c>
      <c r="AN222" s="36">
        <f t="shared" si="3"/>
        <v>0</v>
      </c>
      <c r="AO222" s="36">
        <f t="shared" si="4"/>
        <v>0</v>
      </c>
      <c r="AP222" s="40" t="str">
        <f t="shared" si="5"/>
        <v/>
      </c>
    </row>
    <row r="223" ht="15.75" customHeight="1">
      <c r="A223" s="34" t="s">
        <v>25</v>
      </c>
      <c r="B223" s="35">
        <f t="shared" si="6"/>
        <v>45148</v>
      </c>
      <c r="C223" s="36">
        <v>8.0</v>
      </c>
      <c r="D223" s="36" t="s">
        <v>37</v>
      </c>
      <c r="E223" s="38"/>
      <c r="F223" s="27"/>
      <c r="H223" s="25"/>
      <c r="J223" s="25"/>
      <c r="L223" s="25"/>
      <c r="N223" s="23"/>
      <c r="P223" s="24"/>
      <c r="R223" s="24"/>
      <c r="T223" s="24"/>
      <c r="V223" s="25"/>
      <c r="X223" s="25"/>
      <c r="Y223" s="26"/>
      <c r="Z223" s="27"/>
      <c r="AB223" s="25"/>
      <c r="AD223" s="25"/>
      <c r="AF223" s="25"/>
      <c r="AH223" s="25"/>
      <c r="AJ223" s="25"/>
      <c r="AK223" s="26"/>
      <c r="AL223" s="39">
        <f t="shared" si="1"/>
        <v>0</v>
      </c>
      <c r="AM223" s="36">
        <f t="shared" si="2"/>
        <v>0</v>
      </c>
      <c r="AN223" s="36">
        <f t="shared" si="3"/>
        <v>0</v>
      </c>
      <c r="AO223" s="36">
        <f t="shared" si="4"/>
        <v>0</v>
      </c>
      <c r="AP223" s="40" t="str">
        <f t="shared" si="5"/>
        <v/>
      </c>
    </row>
    <row r="224" ht="15.75" customHeight="1">
      <c r="A224" s="34" t="s">
        <v>26</v>
      </c>
      <c r="B224" s="35">
        <f t="shared" si="6"/>
        <v>45149</v>
      </c>
      <c r="C224" s="36">
        <v>8.0</v>
      </c>
      <c r="D224" s="36" t="s">
        <v>37</v>
      </c>
      <c r="E224" s="38"/>
      <c r="F224" s="27"/>
      <c r="H224" s="25"/>
      <c r="J224" s="25"/>
      <c r="L224" s="25"/>
      <c r="N224" s="23"/>
      <c r="P224" s="24"/>
      <c r="R224" s="24"/>
      <c r="T224" s="24"/>
      <c r="V224" s="25"/>
      <c r="X224" s="25"/>
      <c r="Y224" s="26"/>
      <c r="Z224" s="27"/>
      <c r="AB224" s="25"/>
      <c r="AD224" s="25"/>
      <c r="AF224" s="25"/>
      <c r="AH224" s="25"/>
      <c r="AJ224" s="25"/>
      <c r="AK224" s="26"/>
      <c r="AL224" s="39">
        <f t="shared" si="1"/>
        <v>0</v>
      </c>
      <c r="AM224" s="36">
        <f t="shared" si="2"/>
        <v>0</v>
      </c>
      <c r="AN224" s="36">
        <f t="shared" si="3"/>
        <v>0</v>
      </c>
      <c r="AO224" s="36">
        <f t="shared" si="4"/>
        <v>0</v>
      </c>
      <c r="AP224" s="40" t="str">
        <f t="shared" si="5"/>
        <v/>
      </c>
    </row>
    <row r="225" ht="15.75" customHeight="1">
      <c r="A225" s="34" t="s">
        <v>27</v>
      </c>
      <c r="B225" s="35">
        <f t="shared" si="6"/>
        <v>45150</v>
      </c>
      <c r="C225" s="36">
        <v>8.0</v>
      </c>
      <c r="D225" s="36" t="s">
        <v>37</v>
      </c>
      <c r="E225" s="38"/>
      <c r="F225" s="27"/>
      <c r="H225" s="25"/>
      <c r="J225" s="25"/>
      <c r="L225" s="25"/>
      <c r="N225" s="23"/>
      <c r="P225" s="24"/>
      <c r="R225" s="24"/>
      <c r="T225" s="24"/>
      <c r="V225" s="25"/>
      <c r="X225" s="25"/>
      <c r="Y225" s="26"/>
      <c r="Z225" s="27"/>
      <c r="AB225" s="25"/>
      <c r="AD225" s="25"/>
      <c r="AF225" s="25"/>
      <c r="AH225" s="25"/>
      <c r="AJ225" s="25"/>
      <c r="AK225" s="26"/>
      <c r="AL225" s="39">
        <f t="shared" si="1"/>
        <v>0</v>
      </c>
      <c r="AM225" s="36">
        <f t="shared" si="2"/>
        <v>0</v>
      </c>
      <c r="AN225" s="36">
        <f t="shared" si="3"/>
        <v>0</v>
      </c>
      <c r="AO225" s="36">
        <f t="shared" si="4"/>
        <v>0</v>
      </c>
      <c r="AP225" s="40" t="str">
        <f t="shared" si="5"/>
        <v/>
      </c>
    </row>
    <row r="226" ht="15.75" customHeight="1">
      <c r="A226" s="46" t="s">
        <v>28</v>
      </c>
      <c r="B226" s="47">
        <f t="shared" si="6"/>
        <v>45151</v>
      </c>
      <c r="C226" s="49">
        <v>8.0</v>
      </c>
      <c r="D226" s="49" t="s">
        <v>37</v>
      </c>
      <c r="E226" s="52"/>
      <c r="F226" s="59"/>
      <c r="G226" s="55"/>
      <c r="H226" s="57"/>
      <c r="I226" s="55"/>
      <c r="J226" s="57"/>
      <c r="K226" s="55"/>
      <c r="L226" s="57"/>
      <c r="M226" s="55"/>
      <c r="N226" s="53"/>
      <c r="O226" s="55"/>
      <c r="P226" s="56"/>
      <c r="Q226" s="55"/>
      <c r="R226" s="56"/>
      <c r="S226" s="55"/>
      <c r="T226" s="56"/>
      <c r="U226" s="55"/>
      <c r="V226" s="57"/>
      <c r="W226" s="55"/>
      <c r="X226" s="57"/>
      <c r="Y226" s="58"/>
      <c r="Z226" s="59"/>
      <c r="AA226" s="55"/>
      <c r="AB226" s="57"/>
      <c r="AC226" s="55"/>
      <c r="AD226" s="57"/>
      <c r="AE226" s="55"/>
      <c r="AF226" s="57"/>
      <c r="AG226" s="55"/>
      <c r="AH226" s="57"/>
      <c r="AI226" s="55"/>
      <c r="AJ226" s="57"/>
      <c r="AK226" s="58"/>
      <c r="AL226" s="64">
        <f t="shared" si="1"/>
        <v>0</v>
      </c>
      <c r="AM226" s="49">
        <f t="shared" si="2"/>
        <v>0</v>
      </c>
      <c r="AN226" s="49">
        <f t="shared" si="3"/>
        <v>0</v>
      </c>
      <c r="AO226" s="49">
        <f t="shared" si="4"/>
        <v>0</v>
      </c>
      <c r="AP226" s="66" t="str">
        <f t="shared" si="5"/>
        <v/>
      </c>
    </row>
    <row r="227" ht="15.75" customHeight="1">
      <c r="A227" s="18" t="s">
        <v>21</v>
      </c>
      <c r="B227" s="68">
        <f t="shared" si="6"/>
        <v>45152</v>
      </c>
      <c r="C227" s="20">
        <v>9.0</v>
      </c>
      <c r="D227" s="20" t="s">
        <v>22</v>
      </c>
      <c r="E227" s="22"/>
      <c r="F227" s="27"/>
      <c r="H227" s="25"/>
      <c r="J227" s="25"/>
      <c r="L227" s="25"/>
      <c r="N227" s="23"/>
      <c r="P227" s="24"/>
      <c r="R227" s="24"/>
      <c r="T227" s="24"/>
      <c r="V227" s="25"/>
      <c r="X227" s="25"/>
      <c r="Y227" s="26"/>
      <c r="Z227" s="27"/>
      <c r="AB227" s="25"/>
      <c r="AD227" s="25"/>
      <c r="AF227" s="25"/>
      <c r="AH227" s="25"/>
      <c r="AJ227" s="25"/>
      <c r="AK227" s="26"/>
      <c r="AL227" s="32">
        <f t="shared" si="1"/>
        <v>0</v>
      </c>
      <c r="AM227" s="20">
        <f t="shared" si="2"/>
        <v>0</v>
      </c>
      <c r="AN227" s="20">
        <f t="shared" si="3"/>
        <v>0</v>
      </c>
      <c r="AO227" s="20">
        <f t="shared" si="4"/>
        <v>0</v>
      </c>
      <c r="AP227" s="33" t="str">
        <f t="shared" si="5"/>
        <v/>
      </c>
    </row>
    <row r="228" ht="15.75" customHeight="1">
      <c r="A228" s="34" t="s">
        <v>23</v>
      </c>
      <c r="B228" s="35">
        <f t="shared" si="6"/>
        <v>45153</v>
      </c>
      <c r="C228" s="36">
        <v>9.0</v>
      </c>
      <c r="D228" s="36" t="s">
        <v>22</v>
      </c>
      <c r="E228" s="38"/>
      <c r="F228" s="27"/>
      <c r="H228" s="25"/>
      <c r="J228" s="25"/>
      <c r="L228" s="25"/>
      <c r="N228" s="23"/>
      <c r="P228" s="24"/>
      <c r="R228" s="24"/>
      <c r="T228" s="24"/>
      <c r="V228" s="25"/>
      <c r="X228" s="25"/>
      <c r="Y228" s="26"/>
      <c r="Z228" s="27"/>
      <c r="AB228" s="25"/>
      <c r="AD228" s="25"/>
      <c r="AF228" s="25"/>
      <c r="AH228" s="25"/>
      <c r="AJ228" s="25"/>
      <c r="AK228" s="26"/>
      <c r="AL228" s="39">
        <f t="shared" si="1"/>
        <v>0</v>
      </c>
      <c r="AM228" s="36">
        <f t="shared" si="2"/>
        <v>0</v>
      </c>
      <c r="AN228" s="36">
        <f t="shared" si="3"/>
        <v>0</v>
      </c>
      <c r="AO228" s="36">
        <f t="shared" si="4"/>
        <v>0</v>
      </c>
      <c r="AP228" s="40" t="str">
        <f t="shared" si="5"/>
        <v/>
      </c>
    </row>
    <row r="229" ht="15.75" customHeight="1">
      <c r="A229" s="34" t="s">
        <v>24</v>
      </c>
      <c r="B229" s="35">
        <f t="shared" si="6"/>
        <v>45154</v>
      </c>
      <c r="C229" s="36">
        <v>9.0</v>
      </c>
      <c r="D229" s="36" t="s">
        <v>22</v>
      </c>
      <c r="E229" s="38"/>
      <c r="F229" s="27"/>
      <c r="H229" s="25"/>
      <c r="J229" s="25"/>
      <c r="L229" s="25"/>
      <c r="N229" s="23"/>
      <c r="P229" s="24"/>
      <c r="R229" s="24"/>
      <c r="T229" s="24"/>
      <c r="V229" s="25"/>
      <c r="X229" s="25"/>
      <c r="Y229" s="26"/>
      <c r="Z229" s="27"/>
      <c r="AB229" s="25"/>
      <c r="AD229" s="25"/>
      <c r="AF229" s="25"/>
      <c r="AH229" s="25"/>
      <c r="AJ229" s="25"/>
      <c r="AK229" s="26"/>
      <c r="AL229" s="39">
        <f t="shared" si="1"/>
        <v>0</v>
      </c>
      <c r="AM229" s="36">
        <f t="shared" si="2"/>
        <v>0</v>
      </c>
      <c r="AN229" s="36">
        <f t="shared" si="3"/>
        <v>0</v>
      </c>
      <c r="AO229" s="36">
        <f t="shared" si="4"/>
        <v>0</v>
      </c>
      <c r="AP229" s="40" t="str">
        <f t="shared" si="5"/>
        <v/>
      </c>
    </row>
    <row r="230" ht="15.75" customHeight="1">
      <c r="A230" s="34" t="s">
        <v>25</v>
      </c>
      <c r="B230" s="35">
        <f t="shared" si="6"/>
        <v>45155</v>
      </c>
      <c r="C230" s="36">
        <v>9.0</v>
      </c>
      <c r="D230" s="36" t="s">
        <v>22</v>
      </c>
      <c r="E230" s="38"/>
      <c r="F230" s="27"/>
      <c r="H230" s="25"/>
      <c r="J230" s="25"/>
      <c r="L230" s="25"/>
      <c r="N230" s="23"/>
      <c r="P230" s="24"/>
      <c r="R230" s="24"/>
      <c r="T230" s="24"/>
      <c r="V230" s="25"/>
      <c r="X230" s="25"/>
      <c r="Y230" s="26"/>
      <c r="Z230" s="27"/>
      <c r="AB230" s="25"/>
      <c r="AD230" s="25"/>
      <c r="AF230" s="25"/>
      <c r="AH230" s="25"/>
      <c r="AJ230" s="25"/>
      <c r="AK230" s="26"/>
      <c r="AL230" s="39">
        <f t="shared" si="1"/>
        <v>0</v>
      </c>
      <c r="AM230" s="36">
        <f t="shared" si="2"/>
        <v>0</v>
      </c>
      <c r="AN230" s="36">
        <f t="shared" si="3"/>
        <v>0</v>
      </c>
      <c r="AO230" s="36">
        <f t="shared" si="4"/>
        <v>0</v>
      </c>
      <c r="AP230" s="40" t="str">
        <f t="shared" si="5"/>
        <v/>
      </c>
    </row>
    <row r="231" ht="15.75" customHeight="1">
      <c r="A231" s="34" t="s">
        <v>26</v>
      </c>
      <c r="B231" s="35">
        <f t="shared" si="6"/>
        <v>45156</v>
      </c>
      <c r="C231" s="36">
        <v>9.0</v>
      </c>
      <c r="D231" s="36" t="s">
        <v>22</v>
      </c>
      <c r="E231" s="38"/>
      <c r="F231" s="27"/>
      <c r="H231" s="25"/>
      <c r="J231" s="25"/>
      <c r="L231" s="25"/>
      <c r="N231" s="23"/>
      <c r="P231" s="24"/>
      <c r="R231" s="24"/>
      <c r="T231" s="24"/>
      <c r="V231" s="25"/>
      <c r="X231" s="25"/>
      <c r="Y231" s="26"/>
      <c r="Z231" s="27"/>
      <c r="AB231" s="25"/>
      <c r="AD231" s="25"/>
      <c r="AF231" s="25"/>
      <c r="AH231" s="25"/>
      <c r="AJ231" s="25"/>
      <c r="AK231" s="26"/>
      <c r="AL231" s="39">
        <f t="shared" si="1"/>
        <v>0</v>
      </c>
      <c r="AM231" s="36">
        <f t="shared" si="2"/>
        <v>0</v>
      </c>
      <c r="AN231" s="36">
        <f t="shared" si="3"/>
        <v>0</v>
      </c>
      <c r="AO231" s="36">
        <f t="shared" si="4"/>
        <v>0</v>
      </c>
      <c r="AP231" s="40" t="str">
        <f t="shared" si="5"/>
        <v/>
      </c>
    </row>
    <row r="232" ht="15.75" customHeight="1">
      <c r="A232" s="34" t="s">
        <v>27</v>
      </c>
      <c r="B232" s="35">
        <f t="shared" si="6"/>
        <v>45157</v>
      </c>
      <c r="C232" s="36">
        <v>9.0</v>
      </c>
      <c r="D232" s="36" t="s">
        <v>22</v>
      </c>
      <c r="E232" s="38"/>
      <c r="F232" s="27"/>
      <c r="H232" s="25"/>
      <c r="J232" s="25"/>
      <c r="L232" s="25"/>
      <c r="N232" s="23"/>
      <c r="P232" s="24"/>
      <c r="R232" s="24"/>
      <c r="T232" s="24"/>
      <c r="V232" s="25"/>
      <c r="X232" s="25"/>
      <c r="Y232" s="26"/>
      <c r="Z232" s="27"/>
      <c r="AB232" s="25"/>
      <c r="AD232" s="25"/>
      <c r="AF232" s="25"/>
      <c r="AH232" s="25"/>
      <c r="AJ232" s="25"/>
      <c r="AK232" s="26"/>
      <c r="AL232" s="39">
        <f t="shared" si="1"/>
        <v>0</v>
      </c>
      <c r="AM232" s="36">
        <f t="shared" si="2"/>
        <v>0</v>
      </c>
      <c r="AN232" s="36">
        <f t="shared" si="3"/>
        <v>0</v>
      </c>
      <c r="AO232" s="36">
        <f t="shared" si="4"/>
        <v>0</v>
      </c>
      <c r="AP232" s="40" t="str">
        <f t="shared" si="5"/>
        <v/>
      </c>
    </row>
    <row r="233" ht="15.75" customHeight="1">
      <c r="A233" s="46" t="s">
        <v>28</v>
      </c>
      <c r="B233" s="47">
        <f t="shared" si="6"/>
        <v>45158</v>
      </c>
      <c r="C233" s="49">
        <v>9.0</v>
      </c>
      <c r="D233" s="49" t="s">
        <v>22</v>
      </c>
      <c r="E233" s="52"/>
      <c r="F233" s="59"/>
      <c r="G233" s="55"/>
      <c r="H233" s="57"/>
      <c r="I233" s="55"/>
      <c r="J233" s="57"/>
      <c r="K233" s="55"/>
      <c r="L233" s="57"/>
      <c r="M233" s="55"/>
      <c r="N233" s="53"/>
      <c r="O233" s="55"/>
      <c r="P233" s="56"/>
      <c r="Q233" s="55"/>
      <c r="R233" s="56"/>
      <c r="S233" s="55"/>
      <c r="T233" s="56"/>
      <c r="U233" s="55"/>
      <c r="V233" s="57"/>
      <c r="W233" s="55"/>
      <c r="X233" s="57"/>
      <c r="Y233" s="58"/>
      <c r="Z233" s="59"/>
      <c r="AA233" s="55"/>
      <c r="AB233" s="57"/>
      <c r="AC233" s="55"/>
      <c r="AD233" s="57"/>
      <c r="AE233" s="55"/>
      <c r="AF233" s="57"/>
      <c r="AG233" s="55"/>
      <c r="AH233" s="57"/>
      <c r="AI233" s="55"/>
      <c r="AJ233" s="57"/>
      <c r="AK233" s="58"/>
      <c r="AL233" s="64">
        <f t="shared" si="1"/>
        <v>0</v>
      </c>
      <c r="AM233" s="49">
        <f t="shared" si="2"/>
        <v>0</v>
      </c>
      <c r="AN233" s="49">
        <f t="shared" si="3"/>
        <v>0</v>
      </c>
      <c r="AO233" s="49">
        <f t="shared" si="4"/>
        <v>0</v>
      </c>
      <c r="AP233" s="66" t="str">
        <f t="shared" si="5"/>
        <v/>
      </c>
    </row>
    <row r="234" ht="15.75" customHeight="1">
      <c r="A234" s="18" t="s">
        <v>21</v>
      </c>
      <c r="B234" s="68">
        <f t="shared" si="6"/>
        <v>45159</v>
      </c>
      <c r="C234" s="20">
        <v>9.0</v>
      </c>
      <c r="D234" s="20" t="s">
        <v>34</v>
      </c>
      <c r="E234" s="22"/>
      <c r="F234" s="27"/>
      <c r="H234" s="25"/>
      <c r="J234" s="25"/>
      <c r="L234" s="25"/>
      <c r="N234" s="23"/>
      <c r="P234" s="24"/>
      <c r="R234" s="24"/>
      <c r="T234" s="24"/>
      <c r="V234" s="25"/>
      <c r="X234" s="25"/>
      <c r="Y234" s="26"/>
      <c r="Z234" s="27"/>
      <c r="AB234" s="25"/>
      <c r="AD234" s="25"/>
      <c r="AF234" s="25"/>
      <c r="AH234" s="25"/>
      <c r="AJ234" s="25"/>
      <c r="AK234" s="26"/>
      <c r="AL234" s="32">
        <f t="shared" si="1"/>
        <v>0</v>
      </c>
      <c r="AM234" s="20">
        <f t="shared" si="2"/>
        <v>0</v>
      </c>
      <c r="AN234" s="20">
        <f t="shared" si="3"/>
        <v>0</v>
      </c>
      <c r="AO234" s="20">
        <f t="shared" si="4"/>
        <v>0</v>
      </c>
      <c r="AP234" s="33" t="str">
        <f t="shared" si="5"/>
        <v/>
      </c>
    </row>
    <row r="235" ht="15.75" customHeight="1">
      <c r="A235" s="34" t="s">
        <v>23</v>
      </c>
      <c r="B235" s="35">
        <f t="shared" si="6"/>
        <v>45160</v>
      </c>
      <c r="C235" s="36">
        <v>9.0</v>
      </c>
      <c r="D235" s="36" t="s">
        <v>34</v>
      </c>
      <c r="E235" s="38"/>
      <c r="F235" s="27"/>
      <c r="H235" s="25"/>
      <c r="J235" s="25"/>
      <c r="L235" s="25"/>
      <c r="N235" s="23"/>
      <c r="P235" s="24"/>
      <c r="R235" s="24"/>
      <c r="T235" s="24"/>
      <c r="V235" s="25"/>
      <c r="X235" s="25"/>
      <c r="Y235" s="26"/>
      <c r="Z235" s="27"/>
      <c r="AB235" s="25"/>
      <c r="AD235" s="25"/>
      <c r="AF235" s="25"/>
      <c r="AH235" s="25"/>
      <c r="AJ235" s="25"/>
      <c r="AK235" s="26"/>
      <c r="AL235" s="39">
        <f t="shared" si="1"/>
        <v>0</v>
      </c>
      <c r="AM235" s="36">
        <f t="shared" si="2"/>
        <v>0</v>
      </c>
      <c r="AN235" s="36">
        <f t="shared" si="3"/>
        <v>0</v>
      </c>
      <c r="AO235" s="36">
        <f t="shared" si="4"/>
        <v>0</v>
      </c>
      <c r="AP235" s="40" t="str">
        <f t="shared" si="5"/>
        <v/>
      </c>
    </row>
    <row r="236" ht="15.75" customHeight="1">
      <c r="A236" s="34" t="s">
        <v>24</v>
      </c>
      <c r="B236" s="35">
        <f t="shared" si="6"/>
        <v>45161</v>
      </c>
      <c r="C236" s="36">
        <v>9.0</v>
      </c>
      <c r="D236" s="36" t="s">
        <v>34</v>
      </c>
      <c r="E236" s="38"/>
      <c r="F236" s="27"/>
      <c r="H236" s="25"/>
      <c r="J236" s="25"/>
      <c r="L236" s="25"/>
      <c r="N236" s="23"/>
      <c r="P236" s="24"/>
      <c r="R236" s="24"/>
      <c r="T236" s="24"/>
      <c r="V236" s="25"/>
      <c r="X236" s="25"/>
      <c r="Y236" s="26"/>
      <c r="Z236" s="27"/>
      <c r="AB236" s="25"/>
      <c r="AD236" s="25"/>
      <c r="AF236" s="25"/>
      <c r="AH236" s="25"/>
      <c r="AJ236" s="25"/>
      <c r="AK236" s="26"/>
      <c r="AL236" s="39">
        <f t="shared" si="1"/>
        <v>0</v>
      </c>
      <c r="AM236" s="36">
        <f t="shared" si="2"/>
        <v>0</v>
      </c>
      <c r="AN236" s="36">
        <f t="shared" si="3"/>
        <v>0</v>
      </c>
      <c r="AO236" s="36">
        <f t="shared" si="4"/>
        <v>0</v>
      </c>
      <c r="AP236" s="40" t="str">
        <f t="shared" si="5"/>
        <v/>
      </c>
    </row>
    <row r="237" ht="15.75" customHeight="1">
      <c r="A237" s="34" t="s">
        <v>25</v>
      </c>
      <c r="B237" s="35">
        <f t="shared" si="6"/>
        <v>45162</v>
      </c>
      <c r="C237" s="36">
        <v>9.0</v>
      </c>
      <c r="D237" s="36" t="s">
        <v>34</v>
      </c>
      <c r="E237" s="38"/>
      <c r="F237" s="27"/>
      <c r="H237" s="25"/>
      <c r="J237" s="25"/>
      <c r="L237" s="25"/>
      <c r="N237" s="23"/>
      <c r="P237" s="24"/>
      <c r="R237" s="24"/>
      <c r="T237" s="24"/>
      <c r="V237" s="25"/>
      <c r="X237" s="25"/>
      <c r="Y237" s="26"/>
      <c r="Z237" s="27"/>
      <c r="AB237" s="25"/>
      <c r="AD237" s="25"/>
      <c r="AF237" s="25"/>
      <c r="AH237" s="25"/>
      <c r="AJ237" s="25"/>
      <c r="AK237" s="26"/>
      <c r="AL237" s="39">
        <f t="shared" si="1"/>
        <v>0</v>
      </c>
      <c r="AM237" s="36">
        <f t="shared" si="2"/>
        <v>0</v>
      </c>
      <c r="AN237" s="36">
        <f t="shared" si="3"/>
        <v>0</v>
      </c>
      <c r="AO237" s="36">
        <f t="shared" si="4"/>
        <v>0</v>
      </c>
      <c r="AP237" s="40" t="str">
        <f t="shared" si="5"/>
        <v/>
      </c>
    </row>
    <row r="238" ht="15.75" customHeight="1">
      <c r="A238" s="34" t="s">
        <v>26</v>
      </c>
      <c r="B238" s="35">
        <f t="shared" si="6"/>
        <v>45163</v>
      </c>
      <c r="C238" s="36">
        <v>9.0</v>
      </c>
      <c r="D238" s="36" t="s">
        <v>34</v>
      </c>
      <c r="E238" s="38"/>
      <c r="F238" s="27"/>
      <c r="H238" s="25"/>
      <c r="J238" s="25"/>
      <c r="L238" s="25"/>
      <c r="N238" s="23"/>
      <c r="P238" s="24"/>
      <c r="R238" s="24"/>
      <c r="T238" s="24"/>
      <c r="V238" s="25"/>
      <c r="X238" s="25"/>
      <c r="Y238" s="26"/>
      <c r="Z238" s="27"/>
      <c r="AB238" s="25"/>
      <c r="AD238" s="25"/>
      <c r="AF238" s="25"/>
      <c r="AH238" s="25"/>
      <c r="AJ238" s="25"/>
      <c r="AK238" s="26"/>
      <c r="AL238" s="39">
        <f t="shared" si="1"/>
        <v>0</v>
      </c>
      <c r="AM238" s="36">
        <f t="shared" si="2"/>
        <v>0</v>
      </c>
      <c r="AN238" s="36">
        <f t="shared" si="3"/>
        <v>0</v>
      </c>
      <c r="AO238" s="36">
        <f t="shared" si="4"/>
        <v>0</v>
      </c>
      <c r="AP238" s="40" t="str">
        <f t="shared" si="5"/>
        <v/>
      </c>
    </row>
    <row r="239" ht="15.75" customHeight="1">
      <c r="A239" s="34" t="s">
        <v>27</v>
      </c>
      <c r="B239" s="35">
        <f t="shared" si="6"/>
        <v>45164</v>
      </c>
      <c r="C239" s="36">
        <v>9.0</v>
      </c>
      <c r="D239" s="36" t="s">
        <v>34</v>
      </c>
      <c r="E239" s="38"/>
      <c r="F239" s="27"/>
      <c r="H239" s="25"/>
      <c r="J239" s="25"/>
      <c r="L239" s="25"/>
      <c r="N239" s="23"/>
      <c r="P239" s="24"/>
      <c r="R239" s="24"/>
      <c r="T239" s="24"/>
      <c r="V239" s="25"/>
      <c r="X239" s="25"/>
      <c r="Y239" s="26"/>
      <c r="Z239" s="27"/>
      <c r="AB239" s="25"/>
      <c r="AD239" s="25"/>
      <c r="AF239" s="25"/>
      <c r="AH239" s="25"/>
      <c r="AJ239" s="25"/>
      <c r="AK239" s="26"/>
      <c r="AL239" s="39">
        <f t="shared" si="1"/>
        <v>0</v>
      </c>
      <c r="AM239" s="36">
        <f t="shared" si="2"/>
        <v>0</v>
      </c>
      <c r="AN239" s="36">
        <f t="shared" si="3"/>
        <v>0</v>
      </c>
      <c r="AO239" s="36">
        <f t="shared" si="4"/>
        <v>0</v>
      </c>
      <c r="AP239" s="40" t="str">
        <f t="shared" si="5"/>
        <v/>
      </c>
    </row>
    <row r="240" ht="15.75" customHeight="1">
      <c r="A240" s="46" t="s">
        <v>28</v>
      </c>
      <c r="B240" s="47">
        <f t="shared" si="6"/>
        <v>45165</v>
      </c>
      <c r="C240" s="49">
        <v>9.0</v>
      </c>
      <c r="D240" s="49" t="s">
        <v>34</v>
      </c>
      <c r="E240" s="52"/>
      <c r="F240" s="59"/>
      <c r="G240" s="55"/>
      <c r="H240" s="57"/>
      <c r="I240" s="55"/>
      <c r="J240" s="57"/>
      <c r="K240" s="55"/>
      <c r="L240" s="57"/>
      <c r="M240" s="55"/>
      <c r="N240" s="53"/>
      <c r="O240" s="55"/>
      <c r="P240" s="56"/>
      <c r="Q240" s="55"/>
      <c r="R240" s="56"/>
      <c r="S240" s="55"/>
      <c r="T240" s="56"/>
      <c r="U240" s="55"/>
      <c r="V240" s="57"/>
      <c r="W240" s="55"/>
      <c r="X240" s="57"/>
      <c r="Y240" s="58"/>
      <c r="Z240" s="59"/>
      <c r="AA240" s="55"/>
      <c r="AB240" s="57"/>
      <c r="AC240" s="55"/>
      <c r="AD240" s="57"/>
      <c r="AE240" s="55"/>
      <c r="AF240" s="57"/>
      <c r="AG240" s="55"/>
      <c r="AH240" s="57"/>
      <c r="AI240" s="55"/>
      <c r="AJ240" s="57"/>
      <c r="AK240" s="58"/>
      <c r="AL240" s="64">
        <f t="shared" si="1"/>
        <v>0</v>
      </c>
      <c r="AM240" s="49">
        <f t="shared" si="2"/>
        <v>0</v>
      </c>
      <c r="AN240" s="49">
        <f t="shared" si="3"/>
        <v>0</v>
      </c>
      <c r="AO240" s="49">
        <f t="shared" si="4"/>
        <v>0</v>
      </c>
      <c r="AP240" s="66" t="str">
        <f t="shared" si="5"/>
        <v/>
      </c>
    </row>
    <row r="241" ht="15.75" customHeight="1">
      <c r="A241" s="18" t="s">
        <v>21</v>
      </c>
      <c r="B241" s="68">
        <f t="shared" si="6"/>
        <v>45166</v>
      </c>
      <c r="C241" s="20">
        <v>9.0</v>
      </c>
      <c r="D241" s="20" t="s">
        <v>36</v>
      </c>
      <c r="E241" s="22"/>
      <c r="F241" s="27"/>
      <c r="H241" s="25"/>
      <c r="J241" s="25"/>
      <c r="L241" s="25"/>
      <c r="N241" s="23"/>
      <c r="P241" s="24"/>
      <c r="R241" s="24"/>
      <c r="T241" s="24"/>
      <c r="V241" s="25"/>
      <c r="X241" s="25"/>
      <c r="Y241" s="26"/>
      <c r="Z241" s="27"/>
      <c r="AB241" s="25"/>
      <c r="AD241" s="25"/>
      <c r="AF241" s="25"/>
      <c r="AH241" s="25"/>
      <c r="AJ241" s="25"/>
      <c r="AK241" s="26"/>
      <c r="AL241" s="32">
        <f t="shared" si="1"/>
        <v>0</v>
      </c>
      <c r="AM241" s="20">
        <f t="shared" si="2"/>
        <v>0</v>
      </c>
      <c r="AN241" s="20">
        <f t="shared" si="3"/>
        <v>0</v>
      </c>
      <c r="AO241" s="20">
        <f t="shared" si="4"/>
        <v>0</v>
      </c>
      <c r="AP241" s="33" t="str">
        <f t="shared" si="5"/>
        <v/>
      </c>
    </row>
    <row r="242" ht="15.75" customHeight="1">
      <c r="A242" s="34" t="s">
        <v>23</v>
      </c>
      <c r="B242" s="35">
        <f t="shared" si="6"/>
        <v>45167</v>
      </c>
      <c r="C242" s="36">
        <v>9.0</v>
      </c>
      <c r="D242" s="36" t="s">
        <v>36</v>
      </c>
      <c r="E242" s="38"/>
      <c r="F242" s="27"/>
      <c r="H242" s="25"/>
      <c r="J242" s="25"/>
      <c r="L242" s="25"/>
      <c r="N242" s="23"/>
      <c r="P242" s="24"/>
      <c r="R242" s="24"/>
      <c r="T242" s="24"/>
      <c r="V242" s="25"/>
      <c r="X242" s="25"/>
      <c r="Y242" s="26"/>
      <c r="Z242" s="27"/>
      <c r="AB242" s="25"/>
      <c r="AD242" s="25"/>
      <c r="AF242" s="25"/>
      <c r="AH242" s="25"/>
      <c r="AJ242" s="25"/>
      <c r="AK242" s="26"/>
      <c r="AL242" s="39">
        <f t="shared" si="1"/>
        <v>0</v>
      </c>
      <c r="AM242" s="36">
        <f t="shared" si="2"/>
        <v>0</v>
      </c>
      <c r="AN242" s="36">
        <f t="shared" si="3"/>
        <v>0</v>
      </c>
      <c r="AO242" s="36">
        <f t="shared" si="4"/>
        <v>0</v>
      </c>
      <c r="AP242" s="40" t="str">
        <f t="shared" si="5"/>
        <v/>
      </c>
    </row>
    <row r="243" ht="15.75" customHeight="1">
      <c r="A243" s="34" t="s">
        <v>24</v>
      </c>
      <c r="B243" s="35">
        <f t="shared" si="6"/>
        <v>45168</v>
      </c>
      <c r="C243" s="36">
        <v>9.0</v>
      </c>
      <c r="D243" s="36" t="s">
        <v>36</v>
      </c>
      <c r="E243" s="38"/>
      <c r="F243" s="27"/>
      <c r="H243" s="25"/>
      <c r="J243" s="25"/>
      <c r="L243" s="25"/>
      <c r="N243" s="23"/>
      <c r="P243" s="24"/>
      <c r="R243" s="24"/>
      <c r="T243" s="24"/>
      <c r="V243" s="25"/>
      <c r="X243" s="25"/>
      <c r="Y243" s="26"/>
      <c r="Z243" s="27"/>
      <c r="AB243" s="25"/>
      <c r="AD243" s="25"/>
      <c r="AF243" s="25"/>
      <c r="AH243" s="25"/>
      <c r="AJ243" s="25"/>
      <c r="AK243" s="26"/>
      <c r="AL243" s="39">
        <f t="shared" si="1"/>
        <v>0</v>
      </c>
      <c r="AM243" s="36">
        <f t="shared" si="2"/>
        <v>0</v>
      </c>
      <c r="AN243" s="36">
        <f t="shared" si="3"/>
        <v>0</v>
      </c>
      <c r="AO243" s="36">
        <f t="shared" si="4"/>
        <v>0</v>
      </c>
      <c r="AP243" s="40" t="str">
        <f t="shared" si="5"/>
        <v/>
      </c>
    </row>
    <row r="244" ht="15.75" customHeight="1">
      <c r="A244" s="34" t="s">
        <v>25</v>
      </c>
      <c r="B244" s="35">
        <f t="shared" si="6"/>
        <v>45169</v>
      </c>
      <c r="C244" s="36">
        <v>9.0</v>
      </c>
      <c r="D244" s="36" t="s">
        <v>36</v>
      </c>
      <c r="E244" s="38"/>
      <c r="F244" s="27"/>
      <c r="H244" s="25"/>
      <c r="J244" s="25"/>
      <c r="L244" s="25"/>
      <c r="N244" s="23"/>
      <c r="P244" s="24"/>
      <c r="R244" s="24"/>
      <c r="T244" s="24"/>
      <c r="V244" s="25"/>
      <c r="X244" s="25"/>
      <c r="Y244" s="26"/>
      <c r="Z244" s="27"/>
      <c r="AB244" s="25"/>
      <c r="AD244" s="25"/>
      <c r="AF244" s="25"/>
      <c r="AH244" s="25"/>
      <c r="AJ244" s="25"/>
      <c r="AK244" s="26"/>
      <c r="AL244" s="39">
        <f t="shared" si="1"/>
        <v>0</v>
      </c>
      <c r="AM244" s="36">
        <f t="shared" si="2"/>
        <v>0</v>
      </c>
      <c r="AN244" s="36">
        <f t="shared" si="3"/>
        <v>0</v>
      </c>
      <c r="AO244" s="36">
        <f t="shared" si="4"/>
        <v>0</v>
      </c>
      <c r="AP244" s="40" t="str">
        <f t="shared" si="5"/>
        <v/>
      </c>
    </row>
    <row r="245" ht="15.75" customHeight="1">
      <c r="A245" s="34" t="s">
        <v>26</v>
      </c>
      <c r="B245" s="35">
        <f t="shared" si="6"/>
        <v>45170</v>
      </c>
      <c r="C245" s="36">
        <v>9.0</v>
      </c>
      <c r="D245" s="36" t="s">
        <v>36</v>
      </c>
      <c r="E245" s="38"/>
      <c r="F245" s="27"/>
      <c r="H245" s="25"/>
      <c r="J245" s="25"/>
      <c r="L245" s="25"/>
      <c r="N245" s="23"/>
      <c r="P245" s="24"/>
      <c r="R245" s="24"/>
      <c r="T245" s="24"/>
      <c r="V245" s="25"/>
      <c r="X245" s="25"/>
      <c r="Y245" s="26"/>
      <c r="Z245" s="27"/>
      <c r="AB245" s="25"/>
      <c r="AD245" s="25"/>
      <c r="AF245" s="25"/>
      <c r="AH245" s="25"/>
      <c r="AJ245" s="25"/>
      <c r="AK245" s="26"/>
      <c r="AL245" s="39">
        <f t="shared" si="1"/>
        <v>0</v>
      </c>
      <c r="AM245" s="36">
        <f t="shared" si="2"/>
        <v>0</v>
      </c>
      <c r="AN245" s="36">
        <f t="shared" si="3"/>
        <v>0</v>
      </c>
      <c r="AO245" s="36">
        <f t="shared" si="4"/>
        <v>0</v>
      </c>
      <c r="AP245" s="40" t="str">
        <f t="shared" si="5"/>
        <v/>
      </c>
    </row>
    <row r="246" ht="15.75" customHeight="1">
      <c r="A246" s="34" t="s">
        <v>27</v>
      </c>
      <c r="B246" s="35">
        <f t="shared" si="6"/>
        <v>45171</v>
      </c>
      <c r="C246" s="36">
        <v>9.0</v>
      </c>
      <c r="D246" s="36" t="s">
        <v>36</v>
      </c>
      <c r="E246" s="38"/>
      <c r="F246" s="27"/>
      <c r="H246" s="25"/>
      <c r="J246" s="25"/>
      <c r="L246" s="25"/>
      <c r="N246" s="23"/>
      <c r="P246" s="24"/>
      <c r="R246" s="24"/>
      <c r="T246" s="24"/>
      <c r="V246" s="25"/>
      <c r="X246" s="25"/>
      <c r="Y246" s="26"/>
      <c r="Z246" s="27"/>
      <c r="AB246" s="25"/>
      <c r="AD246" s="25"/>
      <c r="AF246" s="25"/>
      <c r="AH246" s="25"/>
      <c r="AJ246" s="25"/>
      <c r="AK246" s="26"/>
      <c r="AL246" s="39">
        <f t="shared" si="1"/>
        <v>0</v>
      </c>
      <c r="AM246" s="36">
        <f t="shared" si="2"/>
        <v>0</v>
      </c>
      <c r="AN246" s="36">
        <f t="shared" si="3"/>
        <v>0</v>
      </c>
      <c r="AO246" s="36">
        <f t="shared" si="4"/>
        <v>0</v>
      </c>
      <c r="AP246" s="40" t="str">
        <f t="shared" si="5"/>
        <v/>
      </c>
    </row>
    <row r="247" ht="15.75" customHeight="1">
      <c r="A247" s="46" t="s">
        <v>28</v>
      </c>
      <c r="B247" s="47">
        <f t="shared" si="6"/>
        <v>45172</v>
      </c>
      <c r="C247" s="49">
        <v>9.0</v>
      </c>
      <c r="D247" s="49" t="s">
        <v>36</v>
      </c>
      <c r="E247" s="52"/>
      <c r="F247" s="59"/>
      <c r="G247" s="55"/>
      <c r="H247" s="57"/>
      <c r="I247" s="55"/>
      <c r="J247" s="57"/>
      <c r="K247" s="55"/>
      <c r="L247" s="57"/>
      <c r="M247" s="55"/>
      <c r="N247" s="53"/>
      <c r="O247" s="55"/>
      <c r="P247" s="56"/>
      <c r="Q247" s="55"/>
      <c r="R247" s="56"/>
      <c r="S247" s="55"/>
      <c r="T247" s="56"/>
      <c r="U247" s="55"/>
      <c r="V247" s="57"/>
      <c r="W247" s="55"/>
      <c r="X247" s="57"/>
      <c r="Y247" s="58"/>
      <c r="Z247" s="59"/>
      <c r="AA247" s="55"/>
      <c r="AB247" s="57"/>
      <c r="AC247" s="55"/>
      <c r="AD247" s="57"/>
      <c r="AE247" s="55"/>
      <c r="AF247" s="57"/>
      <c r="AG247" s="55"/>
      <c r="AH247" s="57"/>
      <c r="AI247" s="55"/>
      <c r="AJ247" s="57"/>
      <c r="AK247" s="58"/>
      <c r="AL247" s="64">
        <f t="shared" si="1"/>
        <v>0</v>
      </c>
      <c r="AM247" s="49">
        <f t="shared" si="2"/>
        <v>0</v>
      </c>
      <c r="AN247" s="49">
        <f t="shared" si="3"/>
        <v>0</v>
      </c>
      <c r="AO247" s="49">
        <f t="shared" si="4"/>
        <v>0</v>
      </c>
      <c r="AP247" s="66" t="str">
        <f t="shared" si="5"/>
        <v/>
      </c>
    </row>
    <row r="248" ht="15.75" customHeight="1">
      <c r="A248" s="18" t="s">
        <v>21</v>
      </c>
      <c r="B248" s="68">
        <f t="shared" si="6"/>
        <v>45173</v>
      </c>
      <c r="C248" s="20">
        <v>9.0</v>
      </c>
      <c r="D248" s="20" t="s">
        <v>37</v>
      </c>
      <c r="E248" s="22"/>
      <c r="F248" s="27"/>
      <c r="H248" s="25"/>
      <c r="J248" s="25"/>
      <c r="L248" s="25"/>
      <c r="N248" s="23"/>
      <c r="P248" s="24"/>
      <c r="R248" s="24"/>
      <c r="T248" s="24"/>
      <c r="V248" s="25"/>
      <c r="X248" s="25"/>
      <c r="Y248" s="26"/>
      <c r="Z248" s="27"/>
      <c r="AB248" s="25"/>
      <c r="AD248" s="25"/>
      <c r="AF248" s="25"/>
      <c r="AH248" s="25"/>
      <c r="AJ248" s="25"/>
      <c r="AK248" s="26"/>
      <c r="AL248" s="32">
        <f t="shared" si="1"/>
        <v>0</v>
      </c>
      <c r="AM248" s="20">
        <f t="shared" si="2"/>
        <v>0</v>
      </c>
      <c r="AN248" s="20">
        <f t="shared" si="3"/>
        <v>0</v>
      </c>
      <c r="AO248" s="20">
        <f t="shared" si="4"/>
        <v>0</v>
      </c>
      <c r="AP248" s="33" t="str">
        <f t="shared" si="5"/>
        <v/>
      </c>
    </row>
    <row r="249" ht="15.75" customHeight="1">
      <c r="A249" s="34" t="s">
        <v>23</v>
      </c>
      <c r="B249" s="35">
        <f t="shared" si="6"/>
        <v>45174</v>
      </c>
      <c r="C249" s="36">
        <v>9.0</v>
      </c>
      <c r="D249" s="36" t="s">
        <v>37</v>
      </c>
      <c r="E249" s="38"/>
      <c r="F249" s="27"/>
      <c r="H249" s="25"/>
      <c r="J249" s="25"/>
      <c r="L249" s="25"/>
      <c r="N249" s="23"/>
      <c r="P249" s="24"/>
      <c r="R249" s="24"/>
      <c r="T249" s="24"/>
      <c r="V249" s="25"/>
      <c r="X249" s="25"/>
      <c r="Y249" s="26"/>
      <c r="Z249" s="27"/>
      <c r="AB249" s="25"/>
      <c r="AD249" s="25"/>
      <c r="AF249" s="25"/>
      <c r="AH249" s="25"/>
      <c r="AJ249" s="25"/>
      <c r="AK249" s="26"/>
      <c r="AL249" s="39">
        <f t="shared" si="1"/>
        <v>0</v>
      </c>
      <c r="AM249" s="36">
        <f t="shared" si="2"/>
        <v>0</v>
      </c>
      <c r="AN249" s="36">
        <f t="shared" si="3"/>
        <v>0</v>
      </c>
      <c r="AO249" s="36">
        <f t="shared" si="4"/>
        <v>0</v>
      </c>
      <c r="AP249" s="40" t="str">
        <f t="shared" si="5"/>
        <v/>
      </c>
    </row>
    <row r="250" ht="15.75" customHeight="1">
      <c r="A250" s="34" t="s">
        <v>24</v>
      </c>
      <c r="B250" s="35">
        <f t="shared" si="6"/>
        <v>45175</v>
      </c>
      <c r="C250" s="36">
        <v>9.0</v>
      </c>
      <c r="D250" s="36" t="s">
        <v>37</v>
      </c>
      <c r="E250" s="38"/>
      <c r="F250" s="27"/>
      <c r="H250" s="25"/>
      <c r="J250" s="25"/>
      <c r="L250" s="25"/>
      <c r="N250" s="23"/>
      <c r="P250" s="24"/>
      <c r="R250" s="24"/>
      <c r="T250" s="24"/>
      <c r="V250" s="25"/>
      <c r="X250" s="25"/>
      <c r="Y250" s="26"/>
      <c r="Z250" s="27"/>
      <c r="AB250" s="25"/>
      <c r="AD250" s="25"/>
      <c r="AF250" s="25"/>
      <c r="AH250" s="25"/>
      <c r="AJ250" s="25"/>
      <c r="AK250" s="26"/>
      <c r="AL250" s="39">
        <f t="shared" si="1"/>
        <v>0</v>
      </c>
      <c r="AM250" s="36">
        <f t="shared" si="2"/>
        <v>0</v>
      </c>
      <c r="AN250" s="36">
        <f t="shared" si="3"/>
        <v>0</v>
      </c>
      <c r="AO250" s="36">
        <f t="shared" si="4"/>
        <v>0</v>
      </c>
      <c r="AP250" s="40" t="str">
        <f t="shared" si="5"/>
        <v/>
      </c>
    </row>
    <row r="251" ht="15.75" customHeight="1">
      <c r="A251" s="34" t="s">
        <v>25</v>
      </c>
      <c r="B251" s="35">
        <f t="shared" si="6"/>
        <v>45176</v>
      </c>
      <c r="C251" s="36">
        <v>9.0</v>
      </c>
      <c r="D251" s="36" t="s">
        <v>37</v>
      </c>
      <c r="E251" s="38"/>
      <c r="F251" s="27"/>
      <c r="H251" s="25"/>
      <c r="J251" s="25"/>
      <c r="L251" s="25"/>
      <c r="N251" s="23"/>
      <c r="P251" s="24"/>
      <c r="R251" s="24"/>
      <c r="T251" s="24"/>
      <c r="V251" s="25"/>
      <c r="X251" s="25"/>
      <c r="Y251" s="26"/>
      <c r="Z251" s="27"/>
      <c r="AB251" s="25"/>
      <c r="AD251" s="25"/>
      <c r="AF251" s="25"/>
      <c r="AH251" s="25"/>
      <c r="AJ251" s="25"/>
      <c r="AK251" s="26"/>
      <c r="AL251" s="39">
        <f t="shared" si="1"/>
        <v>0</v>
      </c>
      <c r="AM251" s="36">
        <f t="shared" si="2"/>
        <v>0</v>
      </c>
      <c r="AN251" s="36">
        <f t="shared" si="3"/>
        <v>0</v>
      </c>
      <c r="AO251" s="36">
        <f t="shared" si="4"/>
        <v>0</v>
      </c>
      <c r="AP251" s="40" t="str">
        <f t="shared" si="5"/>
        <v/>
      </c>
    </row>
    <row r="252" ht="15.75" customHeight="1">
      <c r="A252" s="34" t="s">
        <v>26</v>
      </c>
      <c r="B252" s="35">
        <f t="shared" si="6"/>
        <v>45177</v>
      </c>
      <c r="C252" s="36">
        <v>9.0</v>
      </c>
      <c r="D252" s="36" t="s">
        <v>37</v>
      </c>
      <c r="E252" s="38"/>
      <c r="F252" s="27"/>
      <c r="H252" s="25"/>
      <c r="J252" s="25"/>
      <c r="L252" s="25"/>
      <c r="N252" s="23"/>
      <c r="P252" s="24"/>
      <c r="R252" s="24"/>
      <c r="T252" s="24"/>
      <c r="V252" s="25"/>
      <c r="X252" s="25"/>
      <c r="Y252" s="26"/>
      <c r="Z252" s="27"/>
      <c r="AB252" s="25"/>
      <c r="AD252" s="25"/>
      <c r="AF252" s="25"/>
      <c r="AH252" s="25"/>
      <c r="AJ252" s="25"/>
      <c r="AK252" s="26"/>
      <c r="AL252" s="39">
        <f t="shared" si="1"/>
        <v>0</v>
      </c>
      <c r="AM252" s="36">
        <f t="shared" si="2"/>
        <v>0</v>
      </c>
      <c r="AN252" s="36">
        <f t="shared" si="3"/>
        <v>0</v>
      </c>
      <c r="AO252" s="36">
        <f t="shared" si="4"/>
        <v>0</v>
      </c>
      <c r="AP252" s="40" t="str">
        <f t="shared" si="5"/>
        <v/>
      </c>
    </row>
    <row r="253" ht="15.75" customHeight="1">
      <c r="A253" s="34" t="s">
        <v>27</v>
      </c>
      <c r="B253" s="35">
        <f t="shared" si="6"/>
        <v>45178</v>
      </c>
      <c r="C253" s="36">
        <v>9.0</v>
      </c>
      <c r="D253" s="36" t="s">
        <v>37</v>
      </c>
      <c r="E253" s="38"/>
      <c r="F253" s="27"/>
      <c r="H253" s="25"/>
      <c r="J253" s="25"/>
      <c r="L253" s="25"/>
      <c r="N253" s="23"/>
      <c r="P253" s="24"/>
      <c r="R253" s="24"/>
      <c r="T253" s="24"/>
      <c r="V253" s="25"/>
      <c r="X253" s="25"/>
      <c r="Y253" s="26"/>
      <c r="Z253" s="27"/>
      <c r="AB253" s="25"/>
      <c r="AD253" s="25"/>
      <c r="AF253" s="25"/>
      <c r="AH253" s="25"/>
      <c r="AJ253" s="25"/>
      <c r="AK253" s="26"/>
      <c r="AL253" s="39">
        <f t="shared" si="1"/>
        <v>0</v>
      </c>
      <c r="AM253" s="36">
        <f t="shared" si="2"/>
        <v>0</v>
      </c>
      <c r="AN253" s="36">
        <f t="shared" si="3"/>
        <v>0</v>
      </c>
      <c r="AO253" s="36">
        <f t="shared" si="4"/>
        <v>0</v>
      </c>
      <c r="AP253" s="40" t="str">
        <f t="shared" si="5"/>
        <v/>
      </c>
    </row>
    <row r="254" ht="15.75" customHeight="1">
      <c r="A254" s="46" t="s">
        <v>28</v>
      </c>
      <c r="B254" s="47">
        <f t="shared" si="6"/>
        <v>45179</v>
      </c>
      <c r="C254" s="49">
        <v>9.0</v>
      </c>
      <c r="D254" s="49" t="s">
        <v>37</v>
      </c>
      <c r="E254" s="52"/>
      <c r="F254" s="59"/>
      <c r="G254" s="55"/>
      <c r="H254" s="57"/>
      <c r="I254" s="55"/>
      <c r="J254" s="57"/>
      <c r="K254" s="55"/>
      <c r="L254" s="57"/>
      <c r="M254" s="55"/>
      <c r="N254" s="53"/>
      <c r="O254" s="55"/>
      <c r="P254" s="56"/>
      <c r="Q254" s="55"/>
      <c r="R254" s="56"/>
      <c r="S254" s="55"/>
      <c r="T254" s="56"/>
      <c r="U254" s="55"/>
      <c r="V254" s="57"/>
      <c r="W254" s="55"/>
      <c r="X254" s="57"/>
      <c r="Y254" s="58"/>
      <c r="Z254" s="59"/>
      <c r="AA254" s="55"/>
      <c r="AB254" s="57"/>
      <c r="AC254" s="55"/>
      <c r="AD254" s="57"/>
      <c r="AE254" s="55"/>
      <c r="AF254" s="57"/>
      <c r="AG254" s="55"/>
      <c r="AH254" s="57"/>
      <c r="AI254" s="55"/>
      <c r="AJ254" s="57"/>
      <c r="AK254" s="58"/>
      <c r="AL254" s="64">
        <f t="shared" si="1"/>
        <v>0</v>
      </c>
      <c r="AM254" s="49">
        <f t="shared" si="2"/>
        <v>0</v>
      </c>
      <c r="AN254" s="49">
        <f t="shared" si="3"/>
        <v>0</v>
      </c>
      <c r="AO254" s="49">
        <f t="shared" si="4"/>
        <v>0</v>
      </c>
      <c r="AP254" s="66" t="str">
        <f t="shared" si="5"/>
        <v/>
      </c>
    </row>
    <row r="255" ht="15.75" customHeight="1">
      <c r="A255" s="18" t="s">
        <v>21</v>
      </c>
      <c r="B255" s="68">
        <f t="shared" si="6"/>
        <v>45180</v>
      </c>
      <c r="C255" s="20">
        <v>10.0</v>
      </c>
      <c r="D255" s="20" t="s">
        <v>22</v>
      </c>
      <c r="E255" s="22"/>
      <c r="F255" s="27"/>
      <c r="H255" s="25"/>
      <c r="J255" s="25"/>
      <c r="L255" s="25"/>
      <c r="N255" s="23"/>
      <c r="P255" s="24"/>
      <c r="R255" s="24"/>
      <c r="T255" s="24"/>
      <c r="V255" s="25"/>
      <c r="X255" s="25"/>
      <c r="Y255" s="26"/>
      <c r="Z255" s="27"/>
      <c r="AB255" s="25"/>
      <c r="AD255" s="25"/>
      <c r="AF255" s="25"/>
      <c r="AH255" s="25"/>
      <c r="AJ255" s="25"/>
      <c r="AK255" s="26"/>
      <c r="AL255" s="32">
        <f t="shared" si="1"/>
        <v>0</v>
      </c>
      <c r="AM255" s="20">
        <f t="shared" si="2"/>
        <v>0</v>
      </c>
      <c r="AN255" s="20">
        <f t="shared" si="3"/>
        <v>0</v>
      </c>
      <c r="AO255" s="20">
        <f t="shared" si="4"/>
        <v>0</v>
      </c>
      <c r="AP255" s="33" t="str">
        <f t="shared" si="5"/>
        <v/>
      </c>
    </row>
    <row r="256" ht="15.75" customHeight="1">
      <c r="A256" s="34" t="s">
        <v>23</v>
      </c>
      <c r="B256" s="35">
        <f t="shared" si="6"/>
        <v>45181</v>
      </c>
      <c r="C256" s="36">
        <v>10.0</v>
      </c>
      <c r="D256" s="36" t="s">
        <v>22</v>
      </c>
      <c r="E256" s="38"/>
      <c r="F256" s="27"/>
      <c r="H256" s="25"/>
      <c r="J256" s="25"/>
      <c r="L256" s="25"/>
      <c r="N256" s="23"/>
      <c r="P256" s="24"/>
      <c r="R256" s="24"/>
      <c r="T256" s="24"/>
      <c r="V256" s="25"/>
      <c r="X256" s="25"/>
      <c r="Y256" s="26"/>
      <c r="Z256" s="27"/>
      <c r="AB256" s="25"/>
      <c r="AD256" s="25"/>
      <c r="AF256" s="25"/>
      <c r="AH256" s="25"/>
      <c r="AJ256" s="25"/>
      <c r="AK256" s="26"/>
      <c r="AL256" s="39">
        <f t="shared" si="1"/>
        <v>0</v>
      </c>
      <c r="AM256" s="36">
        <f t="shared" si="2"/>
        <v>0</v>
      </c>
      <c r="AN256" s="36">
        <f t="shared" si="3"/>
        <v>0</v>
      </c>
      <c r="AO256" s="36">
        <f t="shared" si="4"/>
        <v>0</v>
      </c>
      <c r="AP256" s="40" t="str">
        <f t="shared" si="5"/>
        <v/>
      </c>
    </row>
    <row r="257" ht="15.75" customHeight="1">
      <c r="A257" s="34" t="s">
        <v>24</v>
      </c>
      <c r="B257" s="35">
        <f t="shared" si="6"/>
        <v>45182</v>
      </c>
      <c r="C257" s="36">
        <v>10.0</v>
      </c>
      <c r="D257" s="36" t="s">
        <v>22</v>
      </c>
      <c r="E257" s="38"/>
      <c r="F257" s="27"/>
      <c r="H257" s="25"/>
      <c r="J257" s="25"/>
      <c r="L257" s="25"/>
      <c r="N257" s="23"/>
      <c r="P257" s="24"/>
      <c r="R257" s="24"/>
      <c r="T257" s="24"/>
      <c r="V257" s="25"/>
      <c r="X257" s="25"/>
      <c r="Y257" s="26"/>
      <c r="Z257" s="27"/>
      <c r="AB257" s="25"/>
      <c r="AD257" s="25"/>
      <c r="AF257" s="25"/>
      <c r="AH257" s="25"/>
      <c r="AJ257" s="25"/>
      <c r="AK257" s="26"/>
      <c r="AL257" s="39">
        <f t="shared" si="1"/>
        <v>0</v>
      </c>
      <c r="AM257" s="36">
        <f t="shared" si="2"/>
        <v>0</v>
      </c>
      <c r="AN257" s="36">
        <f t="shared" si="3"/>
        <v>0</v>
      </c>
      <c r="AO257" s="36">
        <f t="shared" si="4"/>
        <v>0</v>
      </c>
      <c r="AP257" s="40" t="str">
        <f t="shared" si="5"/>
        <v/>
      </c>
    </row>
    <row r="258" ht="15.75" customHeight="1">
      <c r="A258" s="34" t="s">
        <v>25</v>
      </c>
      <c r="B258" s="35">
        <f t="shared" si="6"/>
        <v>45183</v>
      </c>
      <c r="C258" s="36">
        <v>10.0</v>
      </c>
      <c r="D258" s="36" t="s">
        <v>22</v>
      </c>
      <c r="E258" s="38"/>
      <c r="F258" s="27"/>
      <c r="H258" s="25"/>
      <c r="J258" s="25"/>
      <c r="L258" s="25"/>
      <c r="N258" s="23"/>
      <c r="P258" s="24"/>
      <c r="R258" s="24"/>
      <c r="T258" s="24"/>
      <c r="V258" s="25"/>
      <c r="X258" s="25"/>
      <c r="Y258" s="26"/>
      <c r="Z258" s="27"/>
      <c r="AB258" s="25"/>
      <c r="AD258" s="25"/>
      <c r="AF258" s="25"/>
      <c r="AH258" s="25"/>
      <c r="AJ258" s="25"/>
      <c r="AK258" s="26"/>
      <c r="AL258" s="39">
        <f t="shared" si="1"/>
        <v>0</v>
      </c>
      <c r="AM258" s="36">
        <f t="shared" si="2"/>
        <v>0</v>
      </c>
      <c r="AN258" s="36">
        <f t="shared" si="3"/>
        <v>0</v>
      </c>
      <c r="AO258" s="36">
        <f t="shared" si="4"/>
        <v>0</v>
      </c>
      <c r="AP258" s="40" t="str">
        <f t="shared" si="5"/>
        <v/>
      </c>
    </row>
    <row r="259" ht="15.75" customHeight="1">
      <c r="A259" s="34" t="s">
        <v>26</v>
      </c>
      <c r="B259" s="35">
        <f t="shared" si="6"/>
        <v>45184</v>
      </c>
      <c r="C259" s="36">
        <v>10.0</v>
      </c>
      <c r="D259" s="36" t="s">
        <v>22</v>
      </c>
      <c r="E259" s="38"/>
      <c r="F259" s="27"/>
      <c r="H259" s="25"/>
      <c r="J259" s="25"/>
      <c r="L259" s="25"/>
      <c r="N259" s="23"/>
      <c r="P259" s="24"/>
      <c r="R259" s="24"/>
      <c r="T259" s="24"/>
      <c r="V259" s="25"/>
      <c r="X259" s="25"/>
      <c r="Y259" s="26"/>
      <c r="Z259" s="27"/>
      <c r="AB259" s="25"/>
      <c r="AD259" s="25"/>
      <c r="AF259" s="25"/>
      <c r="AH259" s="25"/>
      <c r="AJ259" s="25"/>
      <c r="AK259" s="26"/>
      <c r="AL259" s="39">
        <f t="shared" si="1"/>
        <v>0</v>
      </c>
      <c r="AM259" s="36">
        <f t="shared" si="2"/>
        <v>0</v>
      </c>
      <c r="AN259" s="36">
        <f t="shared" si="3"/>
        <v>0</v>
      </c>
      <c r="AO259" s="36">
        <f t="shared" si="4"/>
        <v>0</v>
      </c>
      <c r="AP259" s="40" t="str">
        <f t="shared" si="5"/>
        <v/>
      </c>
    </row>
    <row r="260" ht="15.75" customHeight="1">
      <c r="A260" s="34" t="s">
        <v>27</v>
      </c>
      <c r="B260" s="35">
        <f t="shared" si="6"/>
        <v>45185</v>
      </c>
      <c r="C260" s="36">
        <v>10.0</v>
      </c>
      <c r="D260" s="36" t="s">
        <v>22</v>
      </c>
      <c r="E260" s="38"/>
      <c r="F260" s="27"/>
      <c r="H260" s="25"/>
      <c r="J260" s="25"/>
      <c r="L260" s="25"/>
      <c r="N260" s="23"/>
      <c r="P260" s="24"/>
      <c r="R260" s="24"/>
      <c r="T260" s="24"/>
      <c r="V260" s="25"/>
      <c r="X260" s="25"/>
      <c r="Y260" s="26"/>
      <c r="Z260" s="27"/>
      <c r="AB260" s="25"/>
      <c r="AD260" s="25"/>
      <c r="AF260" s="25"/>
      <c r="AH260" s="25"/>
      <c r="AJ260" s="25"/>
      <c r="AK260" s="26"/>
      <c r="AL260" s="39">
        <f t="shared" si="1"/>
        <v>0</v>
      </c>
      <c r="AM260" s="36">
        <f t="shared" si="2"/>
        <v>0</v>
      </c>
      <c r="AN260" s="36">
        <f t="shared" si="3"/>
        <v>0</v>
      </c>
      <c r="AO260" s="36">
        <f t="shared" si="4"/>
        <v>0</v>
      </c>
      <c r="AP260" s="40" t="str">
        <f t="shared" si="5"/>
        <v/>
      </c>
    </row>
    <row r="261" ht="15.75" customHeight="1">
      <c r="A261" s="46" t="s">
        <v>28</v>
      </c>
      <c r="B261" s="47">
        <f t="shared" si="6"/>
        <v>45186</v>
      </c>
      <c r="C261" s="49">
        <v>10.0</v>
      </c>
      <c r="D261" s="49" t="s">
        <v>22</v>
      </c>
      <c r="E261" s="52"/>
      <c r="F261" s="59"/>
      <c r="G261" s="55"/>
      <c r="H261" s="57"/>
      <c r="I261" s="55"/>
      <c r="J261" s="57"/>
      <c r="K261" s="55"/>
      <c r="L261" s="57"/>
      <c r="M261" s="55"/>
      <c r="N261" s="53"/>
      <c r="O261" s="55"/>
      <c r="P261" s="56"/>
      <c r="Q261" s="55"/>
      <c r="R261" s="56"/>
      <c r="S261" s="55"/>
      <c r="T261" s="56"/>
      <c r="U261" s="55"/>
      <c r="V261" s="57"/>
      <c r="W261" s="55"/>
      <c r="X261" s="57"/>
      <c r="Y261" s="58"/>
      <c r="Z261" s="59"/>
      <c r="AA261" s="55"/>
      <c r="AB261" s="57"/>
      <c r="AC261" s="55"/>
      <c r="AD261" s="57"/>
      <c r="AE261" s="55"/>
      <c r="AF261" s="57"/>
      <c r="AG261" s="55"/>
      <c r="AH261" s="57"/>
      <c r="AI261" s="55"/>
      <c r="AJ261" s="57"/>
      <c r="AK261" s="58"/>
      <c r="AL261" s="64">
        <f t="shared" si="1"/>
        <v>0</v>
      </c>
      <c r="AM261" s="49">
        <f t="shared" si="2"/>
        <v>0</v>
      </c>
      <c r="AN261" s="49">
        <f t="shared" si="3"/>
        <v>0</v>
      </c>
      <c r="AO261" s="49">
        <f t="shared" si="4"/>
        <v>0</v>
      </c>
      <c r="AP261" s="66" t="str">
        <f t="shared" si="5"/>
        <v/>
      </c>
    </row>
    <row r="262" ht="15.75" customHeight="1">
      <c r="A262" s="18" t="s">
        <v>21</v>
      </c>
      <c r="B262" s="68">
        <f t="shared" si="6"/>
        <v>45187</v>
      </c>
      <c r="C262" s="20">
        <v>10.0</v>
      </c>
      <c r="D262" s="20" t="s">
        <v>34</v>
      </c>
      <c r="E262" s="22"/>
      <c r="F262" s="27"/>
      <c r="H262" s="25"/>
      <c r="J262" s="25"/>
      <c r="L262" s="25"/>
      <c r="N262" s="23"/>
      <c r="P262" s="24"/>
      <c r="R262" s="24"/>
      <c r="T262" s="24"/>
      <c r="V262" s="25"/>
      <c r="X262" s="25"/>
      <c r="Y262" s="26"/>
      <c r="Z262" s="27"/>
      <c r="AB262" s="25"/>
      <c r="AD262" s="25"/>
      <c r="AF262" s="25"/>
      <c r="AH262" s="25"/>
      <c r="AJ262" s="25"/>
      <c r="AK262" s="26"/>
      <c r="AL262" s="32">
        <f t="shared" si="1"/>
        <v>0</v>
      </c>
      <c r="AM262" s="20">
        <f t="shared" si="2"/>
        <v>0</v>
      </c>
      <c r="AN262" s="20">
        <f t="shared" si="3"/>
        <v>0</v>
      </c>
      <c r="AO262" s="20">
        <f t="shared" si="4"/>
        <v>0</v>
      </c>
      <c r="AP262" s="33" t="str">
        <f t="shared" si="5"/>
        <v/>
      </c>
    </row>
    <row r="263" ht="15.75" customHeight="1">
      <c r="A263" s="34" t="s">
        <v>23</v>
      </c>
      <c r="B263" s="35">
        <f t="shared" si="6"/>
        <v>45188</v>
      </c>
      <c r="C263" s="36">
        <v>10.0</v>
      </c>
      <c r="D263" s="36" t="s">
        <v>34</v>
      </c>
      <c r="E263" s="38"/>
      <c r="F263" s="27"/>
      <c r="H263" s="25"/>
      <c r="J263" s="25"/>
      <c r="L263" s="25"/>
      <c r="N263" s="23"/>
      <c r="P263" s="24"/>
      <c r="R263" s="24"/>
      <c r="T263" s="24"/>
      <c r="V263" s="25"/>
      <c r="X263" s="25"/>
      <c r="Y263" s="26"/>
      <c r="Z263" s="27"/>
      <c r="AB263" s="25"/>
      <c r="AD263" s="25"/>
      <c r="AF263" s="25"/>
      <c r="AH263" s="25"/>
      <c r="AJ263" s="25"/>
      <c r="AK263" s="26"/>
      <c r="AL263" s="39">
        <f t="shared" si="1"/>
        <v>0</v>
      </c>
      <c r="AM263" s="36">
        <f t="shared" si="2"/>
        <v>0</v>
      </c>
      <c r="AN263" s="36">
        <f t="shared" si="3"/>
        <v>0</v>
      </c>
      <c r="AO263" s="36">
        <f t="shared" si="4"/>
        <v>0</v>
      </c>
      <c r="AP263" s="40" t="str">
        <f t="shared" si="5"/>
        <v/>
      </c>
    </row>
    <row r="264" ht="15.75" customHeight="1">
      <c r="A264" s="34" t="s">
        <v>24</v>
      </c>
      <c r="B264" s="35">
        <f t="shared" si="6"/>
        <v>45189</v>
      </c>
      <c r="C264" s="36">
        <v>10.0</v>
      </c>
      <c r="D264" s="36" t="s">
        <v>34</v>
      </c>
      <c r="E264" s="38"/>
      <c r="F264" s="27"/>
      <c r="H264" s="25"/>
      <c r="J264" s="25"/>
      <c r="L264" s="25"/>
      <c r="N264" s="23"/>
      <c r="P264" s="24"/>
      <c r="R264" s="24"/>
      <c r="T264" s="24"/>
      <c r="V264" s="25"/>
      <c r="X264" s="25"/>
      <c r="Y264" s="26"/>
      <c r="Z264" s="27"/>
      <c r="AB264" s="25"/>
      <c r="AD264" s="25"/>
      <c r="AF264" s="25"/>
      <c r="AH264" s="25"/>
      <c r="AJ264" s="25"/>
      <c r="AK264" s="26"/>
      <c r="AL264" s="39">
        <f t="shared" si="1"/>
        <v>0</v>
      </c>
      <c r="AM264" s="36">
        <f t="shared" si="2"/>
        <v>0</v>
      </c>
      <c r="AN264" s="36">
        <f t="shared" si="3"/>
        <v>0</v>
      </c>
      <c r="AO264" s="36">
        <f t="shared" si="4"/>
        <v>0</v>
      </c>
      <c r="AP264" s="40" t="str">
        <f t="shared" si="5"/>
        <v/>
      </c>
    </row>
    <row r="265" ht="15.75" customHeight="1">
      <c r="A265" s="34" t="s">
        <v>25</v>
      </c>
      <c r="B265" s="35">
        <f t="shared" si="6"/>
        <v>45190</v>
      </c>
      <c r="C265" s="36">
        <v>10.0</v>
      </c>
      <c r="D265" s="36" t="s">
        <v>34</v>
      </c>
      <c r="E265" s="38"/>
      <c r="F265" s="27"/>
      <c r="H265" s="25"/>
      <c r="J265" s="25"/>
      <c r="L265" s="25"/>
      <c r="N265" s="23"/>
      <c r="P265" s="24"/>
      <c r="R265" s="24"/>
      <c r="T265" s="24"/>
      <c r="V265" s="25"/>
      <c r="X265" s="25"/>
      <c r="Y265" s="26"/>
      <c r="Z265" s="27"/>
      <c r="AB265" s="25"/>
      <c r="AD265" s="25"/>
      <c r="AF265" s="25"/>
      <c r="AH265" s="25"/>
      <c r="AJ265" s="25"/>
      <c r="AK265" s="26"/>
      <c r="AL265" s="39">
        <f t="shared" si="1"/>
        <v>0</v>
      </c>
      <c r="AM265" s="36">
        <f t="shared" si="2"/>
        <v>0</v>
      </c>
      <c r="AN265" s="36">
        <f t="shared" si="3"/>
        <v>0</v>
      </c>
      <c r="AO265" s="36">
        <f t="shared" si="4"/>
        <v>0</v>
      </c>
      <c r="AP265" s="40" t="str">
        <f t="shared" si="5"/>
        <v/>
      </c>
    </row>
    <row r="266" ht="15.75" customHeight="1">
      <c r="A266" s="34" t="s">
        <v>26</v>
      </c>
      <c r="B266" s="35">
        <f t="shared" si="6"/>
        <v>45191</v>
      </c>
      <c r="C266" s="36">
        <v>10.0</v>
      </c>
      <c r="D266" s="36" t="s">
        <v>34</v>
      </c>
      <c r="E266" s="38"/>
      <c r="F266" s="27"/>
      <c r="H266" s="25"/>
      <c r="J266" s="25"/>
      <c r="L266" s="25"/>
      <c r="N266" s="23"/>
      <c r="P266" s="24"/>
      <c r="R266" s="24"/>
      <c r="T266" s="24"/>
      <c r="V266" s="25"/>
      <c r="X266" s="25"/>
      <c r="Y266" s="26"/>
      <c r="Z266" s="27"/>
      <c r="AB266" s="25"/>
      <c r="AD266" s="25"/>
      <c r="AF266" s="25"/>
      <c r="AH266" s="25"/>
      <c r="AJ266" s="25"/>
      <c r="AK266" s="26"/>
      <c r="AL266" s="39">
        <f t="shared" si="1"/>
        <v>0</v>
      </c>
      <c r="AM266" s="36">
        <f t="shared" si="2"/>
        <v>0</v>
      </c>
      <c r="AN266" s="36">
        <f t="shared" si="3"/>
        <v>0</v>
      </c>
      <c r="AO266" s="36">
        <f t="shared" si="4"/>
        <v>0</v>
      </c>
      <c r="AP266" s="40" t="str">
        <f t="shared" si="5"/>
        <v/>
      </c>
    </row>
    <row r="267" ht="15.75" customHeight="1">
      <c r="A267" s="34" t="s">
        <v>27</v>
      </c>
      <c r="B267" s="35">
        <f t="shared" si="6"/>
        <v>45192</v>
      </c>
      <c r="C267" s="36">
        <v>10.0</v>
      </c>
      <c r="D267" s="36" t="s">
        <v>34</v>
      </c>
      <c r="E267" s="38"/>
      <c r="F267" s="27"/>
      <c r="H267" s="25"/>
      <c r="J267" s="25"/>
      <c r="L267" s="25"/>
      <c r="N267" s="23"/>
      <c r="P267" s="24"/>
      <c r="R267" s="24"/>
      <c r="T267" s="24"/>
      <c r="V267" s="25"/>
      <c r="X267" s="25"/>
      <c r="Y267" s="26"/>
      <c r="Z267" s="27"/>
      <c r="AB267" s="25"/>
      <c r="AD267" s="25"/>
      <c r="AF267" s="25"/>
      <c r="AH267" s="25"/>
      <c r="AJ267" s="25"/>
      <c r="AK267" s="26"/>
      <c r="AL267" s="39">
        <f t="shared" si="1"/>
        <v>0</v>
      </c>
      <c r="AM267" s="36">
        <f t="shared" si="2"/>
        <v>0</v>
      </c>
      <c r="AN267" s="36">
        <f t="shared" si="3"/>
        <v>0</v>
      </c>
      <c r="AO267" s="36">
        <f t="shared" si="4"/>
        <v>0</v>
      </c>
      <c r="AP267" s="40" t="str">
        <f t="shared" si="5"/>
        <v/>
      </c>
    </row>
    <row r="268" ht="15.75" customHeight="1">
      <c r="A268" s="46" t="s">
        <v>28</v>
      </c>
      <c r="B268" s="47">
        <f t="shared" si="6"/>
        <v>45193</v>
      </c>
      <c r="C268" s="49">
        <v>10.0</v>
      </c>
      <c r="D268" s="49" t="s">
        <v>34</v>
      </c>
      <c r="E268" s="52"/>
      <c r="F268" s="59"/>
      <c r="G268" s="55"/>
      <c r="H268" s="57"/>
      <c r="I268" s="55"/>
      <c r="J268" s="57"/>
      <c r="K268" s="55"/>
      <c r="L268" s="57"/>
      <c r="M268" s="55"/>
      <c r="N268" s="53"/>
      <c r="O268" s="55"/>
      <c r="P268" s="56"/>
      <c r="Q268" s="55"/>
      <c r="R268" s="56"/>
      <c r="S268" s="55"/>
      <c r="T268" s="56"/>
      <c r="U268" s="55"/>
      <c r="V268" s="57"/>
      <c r="W268" s="55"/>
      <c r="X268" s="57"/>
      <c r="Y268" s="58"/>
      <c r="Z268" s="59"/>
      <c r="AA268" s="55"/>
      <c r="AB268" s="57"/>
      <c r="AC268" s="55"/>
      <c r="AD268" s="57"/>
      <c r="AE268" s="55"/>
      <c r="AF268" s="57"/>
      <c r="AG268" s="55"/>
      <c r="AH268" s="57"/>
      <c r="AI268" s="55"/>
      <c r="AJ268" s="57"/>
      <c r="AK268" s="58"/>
      <c r="AL268" s="64">
        <f t="shared" si="1"/>
        <v>0</v>
      </c>
      <c r="AM268" s="49">
        <f t="shared" si="2"/>
        <v>0</v>
      </c>
      <c r="AN268" s="49">
        <f t="shared" si="3"/>
        <v>0</v>
      </c>
      <c r="AO268" s="49">
        <f t="shared" si="4"/>
        <v>0</v>
      </c>
      <c r="AP268" s="66" t="str">
        <f t="shared" si="5"/>
        <v/>
      </c>
    </row>
    <row r="269" ht="15.75" customHeight="1">
      <c r="A269" s="18" t="s">
        <v>21</v>
      </c>
      <c r="B269" s="68">
        <f t="shared" si="6"/>
        <v>45194</v>
      </c>
      <c r="C269" s="20">
        <v>10.0</v>
      </c>
      <c r="D269" s="20" t="s">
        <v>36</v>
      </c>
      <c r="E269" s="22"/>
      <c r="F269" s="27"/>
      <c r="H269" s="25"/>
      <c r="J269" s="25"/>
      <c r="L269" s="25"/>
      <c r="N269" s="23"/>
      <c r="P269" s="24"/>
      <c r="R269" s="24"/>
      <c r="T269" s="24"/>
      <c r="V269" s="25"/>
      <c r="X269" s="25"/>
      <c r="Y269" s="26"/>
      <c r="Z269" s="27"/>
      <c r="AB269" s="25"/>
      <c r="AD269" s="25"/>
      <c r="AF269" s="25"/>
      <c r="AH269" s="25"/>
      <c r="AJ269" s="25"/>
      <c r="AK269" s="26"/>
      <c r="AL269" s="32">
        <f t="shared" si="1"/>
        <v>0</v>
      </c>
      <c r="AM269" s="20">
        <f t="shared" si="2"/>
        <v>0</v>
      </c>
      <c r="AN269" s="20">
        <f t="shared" si="3"/>
        <v>0</v>
      </c>
      <c r="AO269" s="20">
        <f t="shared" si="4"/>
        <v>0</v>
      </c>
      <c r="AP269" s="33" t="str">
        <f t="shared" si="5"/>
        <v/>
      </c>
    </row>
    <row r="270" ht="15.75" customHeight="1">
      <c r="A270" s="34" t="s">
        <v>23</v>
      </c>
      <c r="B270" s="35">
        <f t="shared" si="6"/>
        <v>45195</v>
      </c>
      <c r="C270" s="36">
        <v>10.0</v>
      </c>
      <c r="D270" s="36" t="s">
        <v>36</v>
      </c>
      <c r="E270" s="38"/>
      <c r="F270" s="27"/>
      <c r="H270" s="25"/>
      <c r="J270" s="25"/>
      <c r="L270" s="25"/>
      <c r="N270" s="23"/>
      <c r="P270" s="24"/>
      <c r="R270" s="24"/>
      <c r="T270" s="24"/>
      <c r="V270" s="25"/>
      <c r="X270" s="25"/>
      <c r="Y270" s="26"/>
      <c r="Z270" s="27"/>
      <c r="AB270" s="25"/>
      <c r="AD270" s="25"/>
      <c r="AF270" s="25"/>
      <c r="AH270" s="25"/>
      <c r="AJ270" s="25"/>
      <c r="AK270" s="26"/>
      <c r="AL270" s="39">
        <f t="shared" si="1"/>
        <v>0</v>
      </c>
      <c r="AM270" s="36">
        <f t="shared" si="2"/>
        <v>0</v>
      </c>
      <c r="AN270" s="36">
        <f t="shared" si="3"/>
        <v>0</v>
      </c>
      <c r="AO270" s="36">
        <f t="shared" si="4"/>
        <v>0</v>
      </c>
      <c r="AP270" s="40" t="str">
        <f t="shared" si="5"/>
        <v/>
      </c>
    </row>
    <row r="271" ht="15.75" customHeight="1">
      <c r="A271" s="34" t="s">
        <v>24</v>
      </c>
      <c r="B271" s="35">
        <f t="shared" si="6"/>
        <v>45196</v>
      </c>
      <c r="C271" s="36">
        <v>10.0</v>
      </c>
      <c r="D271" s="36" t="s">
        <v>36</v>
      </c>
      <c r="E271" s="38"/>
      <c r="F271" s="27"/>
      <c r="H271" s="25"/>
      <c r="J271" s="25"/>
      <c r="L271" s="25"/>
      <c r="N271" s="23"/>
      <c r="P271" s="24"/>
      <c r="R271" s="24"/>
      <c r="T271" s="24"/>
      <c r="V271" s="25"/>
      <c r="X271" s="25"/>
      <c r="Y271" s="26"/>
      <c r="Z271" s="27"/>
      <c r="AB271" s="25"/>
      <c r="AD271" s="25"/>
      <c r="AF271" s="25"/>
      <c r="AH271" s="25"/>
      <c r="AJ271" s="25"/>
      <c r="AK271" s="26"/>
      <c r="AL271" s="39">
        <f t="shared" si="1"/>
        <v>0</v>
      </c>
      <c r="AM271" s="36">
        <f t="shared" si="2"/>
        <v>0</v>
      </c>
      <c r="AN271" s="36">
        <f t="shared" si="3"/>
        <v>0</v>
      </c>
      <c r="AO271" s="36">
        <f t="shared" si="4"/>
        <v>0</v>
      </c>
      <c r="AP271" s="40" t="str">
        <f t="shared" si="5"/>
        <v/>
      </c>
    </row>
    <row r="272" ht="15.75" customHeight="1">
      <c r="A272" s="34" t="s">
        <v>25</v>
      </c>
      <c r="B272" s="35">
        <f t="shared" si="6"/>
        <v>45197</v>
      </c>
      <c r="C272" s="36">
        <v>10.0</v>
      </c>
      <c r="D272" s="36" t="s">
        <v>36</v>
      </c>
      <c r="E272" s="38"/>
      <c r="F272" s="27"/>
      <c r="H272" s="25"/>
      <c r="J272" s="25"/>
      <c r="L272" s="25"/>
      <c r="N272" s="23"/>
      <c r="P272" s="24"/>
      <c r="R272" s="24"/>
      <c r="T272" s="24"/>
      <c r="V272" s="25"/>
      <c r="X272" s="25"/>
      <c r="Y272" s="26"/>
      <c r="Z272" s="27"/>
      <c r="AB272" s="25"/>
      <c r="AD272" s="25"/>
      <c r="AF272" s="25"/>
      <c r="AH272" s="25"/>
      <c r="AJ272" s="25"/>
      <c r="AK272" s="26"/>
      <c r="AL272" s="39">
        <f t="shared" si="1"/>
        <v>0</v>
      </c>
      <c r="AM272" s="36">
        <f t="shared" si="2"/>
        <v>0</v>
      </c>
      <c r="AN272" s="36">
        <f t="shared" si="3"/>
        <v>0</v>
      </c>
      <c r="AO272" s="36">
        <f t="shared" si="4"/>
        <v>0</v>
      </c>
      <c r="AP272" s="40" t="str">
        <f t="shared" si="5"/>
        <v/>
      </c>
    </row>
    <row r="273" ht="15.75" customHeight="1">
      <c r="A273" s="34" t="s">
        <v>26</v>
      </c>
      <c r="B273" s="35">
        <f t="shared" si="6"/>
        <v>45198</v>
      </c>
      <c r="C273" s="36">
        <v>10.0</v>
      </c>
      <c r="D273" s="36" t="s">
        <v>36</v>
      </c>
      <c r="E273" s="38"/>
      <c r="F273" s="27"/>
      <c r="H273" s="25"/>
      <c r="J273" s="25"/>
      <c r="L273" s="25"/>
      <c r="N273" s="23"/>
      <c r="P273" s="24"/>
      <c r="R273" s="24"/>
      <c r="T273" s="24"/>
      <c r="V273" s="25"/>
      <c r="X273" s="25"/>
      <c r="Y273" s="26"/>
      <c r="Z273" s="27"/>
      <c r="AB273" s="25"/>
      <c r="AD273" s="25"/>
      <c r="AF273" s="25"/>
      <c r="AH273" s="25"/>
      <c r="AJ273" s="25"/>
      <c r="AK273" s="26"/>
      <c r="AL273" s="39">
        <f t="shared" si="1"/>
        <v>0</v>
      </c>
      <c r="AM273" s="36">
        <f t="shared" si="2"/>
        <v>0</v>
      </c>
      <c r="AN273" s="36">
        <f t="shared" si="3"/>
        <v>0</v>
      </c>
      <c r="AO273" s="36">
        <f t="shared" si="4"/>
        <v>0</v>
      </c>
      <c r="AP273" s="40" t="str">
        <f t="shared" si="5"/>
        <v/>
      </c>
    </row>
    <row r="274" ht="15.75" customHeight="1">
      <c r="A274" s="34" t="s">
        <v>27</v>
      </c>
      <c r="B274" s="35">
        <f t="shared" si="6"/>
        <v>45199</v>
      </c>
      <c r="C274" s="36">
        <v>10.0</v>
      </c>
      <c r="D274" s="36" t="s">
        <v>36</v>
      </c>
      <c r="E274" s="38"/>
      <c r="F274" s="27"/>
      <c r="H274" s="25"/>
      <c r="J274" s="25"/>
      <c r="L274" s="25"/>
      <c r="N274" s="23"/>
      <c r="P274" s="24"/>
      <c r="R274" s="24"/>
      <c r="T274" s="24"/>
      <c r="V274" s="25"/>
      <c r="X274" s="25"/>
      <c r="Y274" s="26"/>
      <c r="Z274" s="27"/>
      <c r="AB274" s="25"/>
      <c r="AD274" s="25"/>
      <c r="AF274" s="25"/>
      <c r="AH274" s="25"/>
      <c r="AJ274" s="25"/>
      <c r="AK274" s="26"/>
      <c r="AL274" s="39">
        <f t="shared" si="1"/>
        <v>0</v>
      </c>
      <c r="AM274" s="36">
        <f t="shared" si="2"/>
        <v>0</v>
      </c>
      <c r="AN274" s="36">
        <f t="shared" si="3"/>
        <v>0</v>
      </c>
      <c r="AO274" s="36">
        <f t="shared" si="4"/>
        <v>0</v>
      </c>
      <c r="AP274" s="40" t="str">
        <f t="shared" si="5"/>
        <v/>
      </c>
    </row>
    <row r="275" ht="15.75" customHeight="1">
      <c r="A275" s="46" t="s">
        <v>28</v>
      </c>
      <c r="B275" s="47">
        <f t="shared" si="6"/>
        <v>45200</v>
      </c>
      <c r="C275" s="49">
        <v>10.0</v>
      </c>
      <c r="D275" s="49" t="s">
        <v>36</v>
      </c>
      <c r="E275" s="52"/>
      <c r="F275" s="59"/>
      <c r="G275" s="55"/>
      <c r="H275" s="57"/>
      <c r="I275" s="55"/>
      <c r="J275" s="57"/>
      <c r="K275" s="55"/>
      <c r="L275" s="57"/>
      <c r="M275" s="55"/>
      <c r="N275" s="53"/>
      <c r="O275" s="55"/>
      <c r="P275" s="56"/>
      <c r="Q275" s="55"/>
      <c r="R275" s="56"/>
      <c r="S275" s="55"/>
      <c r="T275" s="56"/>
      <c r="U275" s="55"/>
      <c r="V275" s="57"/>
      <c r="W275" s="55"/>
      <c r="X275" s="57"/>
      <c r="Y275" s="58"/>
      <c r="Z275" s="59"/>
      <c r="AA275" s="55"/>
      <c r="AB275" s="57"/>
      <c r="AC275" s="55"/>
      <c r="AD275" s="57"/>
      <c r="AE275" s="55"/>
      <c r="AF275" s="57"/>
      <c r="AG275" s="55"/>
      <c r="AH275" s="57"/>
      <c r="AI275" s="55"/>
      <c r="AJ275" s="57"/>
      <c r="AK275" s="58"/>
      <c r="AL275" s="64">
        <f t="shared" si="1"/>
        <v>0</v>
      </c>
      <c r="AM275" s="49">
        <f t="shared" si="2"/>
        <v>0</v>
      </c>
      <c r="AN275" s="49">
        <f t="shared" si="3"/>
        <v>0</v>
      </c>
      <c r="AO275" s="49">
        <f t="shared" si="4"/>
        <v>0</v>
      </c>
      <c r="AP275" s="66" t="str">
        <f t="shared" si="5"/>
        <v/>
      </c>
    </row>
    <row r="276" ht="15.75" customHeight="1">
      <c r="A276" s="18" t="s">
        <v>21</v>
      </c>
      <c r="B276" s="68">
        <f t="shared" si="6"/>
        <v>45201</v>
      </c>
      <c r="C276" s="20">
        <v>10.0</v>
      </c>
      <c r="D276" s="20" t="s">
        <v>37</v>
      </c>
      <c r="E276" s="22"/>
      <c r="F276" s="27"/>
      <c r="H276" s="25"/>
      <c r="J276" s="25"/>
      <c r="L276" s="25"/>
      <c r="N276" s="23"/>
      <c r="P276" s="24"/>
      <c r="R276" s="24"/>
      <c r="T276" s="24"/>
      <c r="V276" s="25"/>
      <c r="X276" s="25"/>
      <c r="Y276" s="26"/>
      <c r="Z276" s="27"/>
      <c r="AB276" s="25"/>
      <c r="AD276" s="25"/>
      <c r="AF276" s="25"/>
      <c r="AH276" s="25"/>
      <c r="AJ276" s="25"/>
      <c r="AK276" s="26"/>
      <c r="AL276" s="32">
        <f t="shared" si="1"/>
        <v>0</v>
      </c>
      <c r="AM276" s="20">
        <f t="shared" si="2"/>
        <v>0</v>
      </c>
      <c r="AN276" s="20">
        <f t="shared" si="3"/>
        <v>0</v>
      </c>
      <c r="AO276" s="20">
        <f t="shared" si="4"/>
        <v>0</v>
      </c>
      <c r="AP276" s="33" t="str">
        <f t="shared" si="5"/>
        <v/>
      </c>
    </row>
    <row r="277" ht="15.75" customHeight="1">
      <c r="A277" s="34" t="s">
        <v>23</v>
      </c>
      <c r="B277" s="35">
        <f t="shared" si="6"/>
        <v>45202</v>
      </c>
      <c r="C277" s="36">
        <v>10.0</v>
      </c>
      <c r="D277" s="36" t="s">
        <v>37</v>
      </c>
      <c r="E277" s="38"/>
      <c r="F277" s="27"/>
      <c r="H277" s="25"/>
      <c r="J277" s="25"/>
      <c r="L277" s="25"/>
      <c r="N277" s="23"/>
      <c r="P277" s="24"/>
      <c r="R277" s="24"/>
      <c r="T277" s="24"/>
      <c r="V277" s="25"/>
      <c r="X277" s="25"/>
      <c r="Y277" s="26"/>
      <c r="Z277" s="27"/>
      <c r="AB277" s="25"/>
      <c r="AD277" s="25"/>
      <c r="AF277" s="25"/>
      <c r="AH277" s="25"/>
      <c r="AJ277" s="25"/>
      <c r="AK277" s="26"/>
      <c r="AL277" s="39">
        <f t="shared" si="1"/>
        <v>0</v>
      </c>
      <c r="AM277" s="36">
        <f t="shared" si="2"/>
        <v>0</v>
      </c>
      <c r="AN277" s="36">
        <f t="shared" si="3"/>
        <v>0</v>
      </c>
      <c r="AO277" s="36">
        <f t="shared" si="4"/>
        <v>0</v>
      </c>
      <c r="AP277" s="40" t="str">
        <f t="shared" si="5"/>
        <v/>
      </c>
    </row>
    <row r="278" ht="15.75" customHeight="1">
      <c r="A278" s="34" t="s">
        <v>24</v>
      </c>
      <c r="B278" s="35">
        <f t="shared" si="6"/>
        <v>45203</v>
      </c>
      <c r="C278" s="36">
        <v>10.0</v>
      </c>
      <c r="D278" s="36" t="s">
        <v>37</v>
      </c>
      <c r="E278" s="38"/>
      <c r="F278" s="27"/>
      <c r="H278" s="25"/>
      <c r="J278" s="25"/>
      <c r="L278" s="25"/>
      <c r="N278" s="23"/>
      <c r="P278" s="24"/>
      <c r="R278" s="24"/>
      <c r="T278" s="24"/>
      <c r="V278" s="25"/>
      <c r="X278" s="25"/>
      <c r="Y278" s="26"/>
      <c r="Z278" s="27"/>
      <c r="AB278" s="25"/>
      <c r="AD278" s="25"/>
      <c r="AF278" s="25"/>
      <c r="AH278" s="25"/>
      <c r="AJ278" s="25"/>
      <c r="AK278" s="26"/>
      <c r="AL278" s="39">
        <f t="shared" si="1"/>
        <v>0</v>
      </c>
      <c r="AM278" s="36">
        <f t="shared" si="2"/>
        <v>0</v>
      </c>
      <c r="AN278" s="36">
        <f t="shared" si="3"/>
        <v>0</v>
      </c>
      <c r="AO278" s="36">
        <f t="shared" si="4"/>
        <v>0</v>
      </c>
      <c r="AP278" s="40" t="str">
        <f t="shared" si="5"/>
        <v/>
      </c>
    </row>
    <row r="279" ht="15.75" customHeight="1">
      <c r="A279" s="34" t="s">
        <v>25</v>
      </c>
      <c r="B279" s="35">
        <f t="shared" si="6"/>
        <v>45204</v>
      </c>
      <c r="C279" s="36">
        <v>10.0</v>
      </c>
      <c r="D279" s="36" t="s">
        <v>37</v>
      </c>
      <c r="E279" s="38"/>
      <c r="F279" s="27"/>
      <c r="H279" s="25"/>
      <c r="J279" s="25"/>
      <c r="L279" s="25"/>
      <c r="N279" s="23"/>
      <c r="P279" s="24"/>
      <c r="R279" s="24"/>
      <c r="T279" s="24"/>
      <c r="V279" s="25"/>
      <c r="X279" s="25"/>
      <c r="Y279" s="26"/>
      <c r="Z279" s="27"/>
      <c r="AB279" s="25"/>
      <c r="AD279" s="25"/>
      <c r="AF279" s="25"/>
      <c r="AH279" s="25"/>
      <c r="AJ279" s="25"/>
      <c r="AK279" s="26"/>
      <c r="AL279" s="39">
        <f t="shared" si="1"/>
        <v>0</v>
      </c>
      <c r="AM279" s="36">
        <f t="shared" si="2"/>
        <v>0</v>
      </c>
      <c r="AN279" s="36">
        <f t="shared" si="3"/>
        <v>0</v>
      </c>
      <c r="AO279" s="36">
        <f t="shared" si="4"/>
        <v>0</v>
      </c>
      <c r="AP279" s="40" t="str">
        <f t="shared" si="5"/>
        <v/>
      </c>
    </row>
    <row r="280" ht="15.75" customHeight="1">
      <c r="A280" s="34" t="s">
        <v>26</v>
      </c>
      <c r="B280" s="35">
        <f t="shared" si="6"/>
        <v>45205</v>
      </c>
      <c r="C280" s="36">
        <v>10.0</v>
      </c>
      <c r="D280" s="36" t="s">
        <v>37</v>
      </c>
      <c r="E280" s="38"/>
      <c r="F280" s="27"/>
      <c r="H280" s="25"/>
      <c r="J280" s="25"/>
      <c r="L280" s="25"/>
      <c r="N280" s="23"/>
      <c r="P280" s="24"/>
      <c r="R280" s="24"/>
      <c r="T280" s="24"/>
      <c r="V280" s="25"/>
      <c r="X280" s="25"/>
      <c r="Y280" s="26"/>
      <c r="Z280" s="27"/>
      <c r="AB280" s="25"/>
      <c r="AD280" s="25"/>
      <c r="AF280" s="25"/>
      <c r="AH280" s="25"/>
      <c r="AJ280" s="25"/>
      <c r="AK280" s="26"/>
      <c r="AL280" s="39">
        <f t="shared" si="1"/>
        <v>0</v>
      </c>
      <c r="AM280" s="36">
        <f t="shared" si="2"/>
        <v>0</v>
      </c>
      <c r="AN280" s="36">
        <f t="shared" si="3"/>
        <v>0</v>
      </c>
      <c r="AO280" s="36">
        <f t="shared" si="4"/>
        <v>0</v>
      </c>
      <c r="AP280" s="40" t="str">
        <f t="shared" si="5"/>
        <v/>
      </c>
    </row>
    <row r="281" ht="15.75" customHeight="1">
      <c r="A281" s="34" t="s">
        <v>27</v>
      </c>
      <c r="B281" s="35">
        <f t="shared" si="6"/>
        <v>45206</v>
      </c>
      <c r="C281" s="36">
        <v>10.0</v>
      </c>
      <c r="D281" s="36" t="s">
        <v>37</v>
      </c>
      <c r="E281" s="38"/>
      <c r="F281" s="27"/>
      <c r="H281" s="25"/>
      <c r="J281" s="25"/>
      <c r="L281" s="25"/>
      <c r="N281" s="23"/>
      <c r="P281" s="24"/>
      <c r="R281" s="24"/>
      <c r="T281" s="24"/>
      <c r="V281" s="25"/>
      <c r="X281" s="25"/>
      <c r="Y281" s="26"/>
      <c r="Z281" s="27"/>
      <c r="AB281" s="25"/>
      <c r="AD281" s="25"/>
      <c r="AF281" s="25"/>
      <c r="AH281" s="25"/>
      <c r="AJ281" s="25"/>
      <c r="AK281" s="26"/>
      <c r="AL281" s="39">
        <f t="shared" si="1"/>
        <v>0</v>
      </c>
      <c r="AM281" s="36">
        <f t="shared" si="2"/>
        <v>0</v>
      </c>
      <c r="AN281" s="36">
        <f t="shared" si="3"/>
        <v>0</v>
      </c>
      <c r="AO281" s="36">
        <f t="shared" si="4"/>
        <v>0</v>
      </c>
      <c r="AP281" s="40" t="str">
        <f t="shared" si="5"/>
        <v/>
      </c>
    </row>
    <row r="282" ht="15.75" customHeight="1">
      <c r="A282" s="46" t="s">
        <v>28</v>
      </c>
      <c r="B282" s="47">
        <f t="shared" si="6"/>
        <v>45207</v>
      </c>
      <c r="C282" s="49">
        <v>10.0</v>
      </c>
      <c r="D282" s="49" t="s">
        <v>37</v>
      </c>
      <c r="E282" s="52"/>
      <c r="F282" s="59"/>
      <c r="G282" s="55"/>
      <c r="H282" s="57"/>
      <c r="I282" s="55"/>
      <c r="J282" s="57"/>
      <c r="K282" s="55"/>
      <c r="L282" s="57"/>
      <c r="M282" s="55"/>
      <c r="N282" s="53"/>
      <c r="O282" s="55"/>
      <c r="P282" s="56"/>
      <c r="Q282" s="55"/>
      <c r="R282" s="56"/>
      <c r="S282" s="55"/>
      <c r="T282" s="56"/>
      <c r="U282" s="55"/>
      <c r="V282" s="57"/>
      <c r="W282" s="55"/>
      <c r="X282" s="57"/>
      <c r="Y282" s="58"/>
      <c r="Z282" s="59"/>
      <c r="AA282" s="55"/>
      <c r="AB282" s="57"/>
      <c r="AC282" s="55"/>
      <c r="AD282" s="57"/>
      <c r="AE282" s="55"/>
      <c r="AF282" s="57"/>
      <c r="AG282" s="55"/>
      <c r="AH282" s="57"/>
      <c r="AI282" s="55"/>
      <c r="AJ282" s="57"/>
      <c r="AK282" s="58"/>
      <c r="AL282" s="64">
        <f t="shared" si="1"/>
        <v>0</v>
      </c>
      <c r="AM282" s="49">
        <f t="shared" si="2"/>
        <v>0</v>
      </c>
      <c r="AN282" s="49">
        <f t="shared" si="3"/>
        <v>0</v>
      </c>
      <c r="AO282" s="49">
        <f t="shared" si="4"/>
        <v>0</v>
      </c>
      <c r="AP282" s="66" t="str">
        <f t="shared" si="5"/>
        <v/>
      </c>
    </row>
    <row r="283" ht="15.75" customHeight="1">
      <c r="A283" s="18" t="s">
        <v>21</v>
      </c>
      <c r="B283" s="68">
        <f t="shared" si="6"/>
        <v>45208</v>
      </c>
      <c r="C283" s="20">
        <v>11.0</v>
      </c>
      <c r="D283" s="20" t="s">
        <v>22</v>
      </c>
      <c r="E283" s="22"/>
      <c r="F283" s="27"/>
      <c r="H283" s="25"/>
      <c r="J283" s="25"/>
      <c r="L283" s="25"/>
      <c r="N283" s="23"/>
      <c r="P283" s="24"/>
      <c r="R283" s="24"/>
      <c r="T283" s="24"/>
      <c r="V283" s="25"/>
      <c r="X283" s="25"/>
      <c r="Y283" s="26"/>
      <c r="Z283" s="27"/>
      <c r="AB283" s="25"/>
      <c r="AD283" s="25"/>
      <c r="AF283" s="25"/>
      <c r="AH283" s="25"/>
      <c r="AJ283" s="25"/>
      <c r="AK283" s="26"/>
      <c r="AL283" s="32">
        <f t="shared" si="1"/>
        <v>0</v>
      </c>
      <c r="AM283" s="20">
        <f t="shared" si="2"/>
        <v>0</v>
      </c>
      <c r="AN283" s="20">
        <f t="shared" si="3"/>
        <v>0</v>
      </c>
      <c r="AO283" s="20">
        <f t="shared" si="4"/>
        <v>0</v>
      </c>
      <c r="AP283" s="33" t="str">
        <f t="shared" si="5"/>
        <v/>
      </c>
    </row>
    <row r="284" ht="15.75" customHeight="1">
      <c r="A284" s="34" t="s">
        <v>23</v>
      </c>
      <c r="B284" s="35">
        <f t="shared" si="6"/>
        <v>45209</v>
      </c>
      <c r="C284" s="36">
        <v>11.0</v>
      </c>
      <c r="D284" s="36" t="s">
        <v>22</v>
      </c>
      <c r="E284" s="38"/>
      <c r="F284" s="27"/>
      <c r="H284" s="25"/>
      <c r="J284" s="25"/>
      <c r="L284" s="25"/>
      <c r="N284" s="23"/>
      <c r="P284" s="24"/>
      <c r="R284" s="24"/>
      <c r="T284" s="24"/>
      <c r="V284" s="25"/>
      <c r="X284" s="25"/>
      <c r="Y284" s="26"/>
      <c r="Z284" s="27"/>
      <c r="AB284" s="25"/>
      <c r="AD284" s="25"/>
      <c r="AF284" s="25"/>
      <c r="AH284" s="25"/>
      <c r="AJ284" s="25"/>
      <c r="AK284" s="26"/>
      <c r="AL284" s="39">
        <f t="shared" si="1"/>
        <v>0</v>
      </c>
      <c r="AM284" s="36">
        <f t="shared" si="2"/>
        <v>0</v>
      </c>
      <c r="AN284" s="36">
        <f t="shared" si="3"/>
        <v>0</v>
      </c>
      <c r="AO284" s="36">
        <f t="shared" si="4"/>
        <v>0</v>
      </c>
      <c r="AP284" s="40" t="str">
        <f t="shared" si="5"/>
        <v/>
      </c>
    </row>
    <row r="285" ht="15.75" customHeight="1">
      <c r="A285" s="34" t="s">
        <v>24</v>
      </c>
      <c r="B285" s="35">
        <f t="shared" si="6"/>
        <v>45210</v>
      </c>
      <c r="C285" s="36">
        <v>11.0</v>
      </c>
      <c r="D285" s="36" t="s">
        <v>22</v>
      </c>
      <c r="E285" s="38"/>
      <c r="F285" s="27"/>
      <c r="H285" s="25"/>
      <c r="J285" s="25"/>
      <c r="L285" s="25"/>
      <c r="N285" s="23"/>
      <c r="P285" s="24"/>
      <c r="R285" s="24"/>
      <c r="T285" s="24"/>
      <c r="V285" s="25"/>
      <c r="X285" s="25"/>
      <c r="Y285" s="26"/>
      <c r="Z285" s="27"/>
      <c r="AB285" s="25"/>
      <c r="AD285" s="25"/>
      <c r="AF285" s="25"/>
      <c r="AH285" s="25"/>
      <c r="AJ285" s="25"/>
      <c r="AK285" s="26"/>
      <c r="AL285" s="39">
        <f t="shared" si="1"/>
        <v>0</v>
      </c>
      <c r="AM285" s="36">
        <f t="shared" si="2"/>
        <v>0</v>
      </c>
      <c r="AN285" s="36">
        <f t="shared" si="3"/>
        <v>0</v>
      </c>
      <c r="AO285" s="36">
        <f t="shared" si="4"/>
        <v>0</v>
      </c>
      <c r="AP285" s="40" t="str">
        <f t="shared" si="5"/>
        <v/>
      </c>
    </row>
    <row r="286" ht="15.75" customHeight="1">
      <c r="A286" s="34" t="s">
        <v>25</v>
      </c>
      <c r="B286" s="35">
        <f t="shared" si="6"/>
        <v>45211</v>
      </c>
      <c r="C286" s="36">
        <v>11.0</v>
      </c>
      <c r="D286" s="36" t="s">
        <v>22</v>
      </c>
      <c r="E286" s="38"/>
      <c r="F286" s="27"/>
      <c r="H286" s="25"/>
      <c r="J286" s="25"/>
      <c r="L286" s="25"/>
      <c r="N286" s="23"/>
      <c r="P286" s="24"/>
      <c r="R286" s="24"/>
      <c r="T286" s="24"/>
      <c r="V286" s="25"/>
      <c r="X286" s="25"/>
      <c r="Y286" s="26"/>
      <c r="Z286" s="27"/>
      <c r="AB286" s="25"/>
      <c r="AD286" s="25"/>
      <c r="AF286" s="25"/>
      <c r="AH286" s="25"/>
      <c r="AJ286" s="25"/>
      <c r="AK286" s="26"/>
      <c r="AL286" s="39">
        <f t="shared" si="1"/>
        <v>0</v>
      </c>
      <c r="AM286" s="36">
        <f t="shared" si="2"/>
        <v>0</v>
      </c>
      <c r="AN286" s="36">
        <f t="shared" si="3"/>
        <v>0</v>
      </c>
      <c r="AO286" s="36">
        <f t="shared" si="4"/>
        <v>0</v>
      </c>
      <c r="AP286" s="40" t="str">
        <f t="shared" si="5"/>
        <v/>
      </c>
    </row>
    <row r="287" ht="15.75" customHeight="1">
      <c r="A287" s="34" t="s">
        <v>26</v>
      </c>
      <c r="B287" s="35">
        <f t="shared" si="6"/>
        <v>45212</v>
      </c>
      <c r="C287" s="36">
        <v>11.0</v>
      </c>
      <c r="D287" s="36" t="s">
        <v>22</v>
      </c>
      <c r="E287" s="38"/>
      <c r="F287" s="27"/>
      <c r="H287" s="25"/>
      <c r="J287" s="25"/>
      <c r="L287" s="25"/>
      <c r="N287" s="23"/>
      <c r="P287" s="24"/>
      <c r="R287" s="24"/>
      <c r="T287" s="24"/>
      <c r="V287" s="25"/>
      <c r="X287" s="25"/>
      <c r="Y287" s="26"/>
      <c r="Z287" s="27"/>
      <c r="AB287" s="25"/>
      <c r="AD287" s="25"/>
      <c r="AF287" s="25"/>
      <c r="AH287" s="25"/>
      <c r="AJ287" s="25"/>
      <c r="AK287" s="26"/>
      <c r="AL287" s="39">
        <f t="shared" si="1"/>
        <v>0</v>
      </c>
      <c r="AM287" s="36">
        <f t="shared" si="2"/>
        <v>0</v>
      </c>
      <c r="AN287" s="36">
        <f t="shared" si="3"/>
        <v>0</v>
      </c>
      <c r="AO287" s="36">
        <f t="shared" si="4"/>
        <v>0</v>
      </c>
      <c r="AP287" s="40" t="str">
        <f t="shared" si="5"/>
        <v/>
      </c>
    </row>
    <row r="288" ht="15.75" customHeight="1">
      <c r="A288" s="34" t="s">
        <v>27</v>
      </c>
      <c r="B288" s="35">
        <f t="shared" si="6"/>
        <v>45213</v>
      </c>
      <c r="C288" s="36">
        <v>11.0</v>
      </c>
      <c r="D288" s="36" t="s">
        <v>22</v>
      </c>
      <c r="E288" s="38"/>
      <c r="F288" s="27"/>
      <c r="H288" s="25"/>
      <c r="J288" s="25"/>
      <c r="L288" s="25"/>
      <c r="N288" s="23"/>
      <c r="P288" s="24"/>
      <c r="R288" s="24"/>
      <c r="T288" s="24"/>
      <c r="V288" s="25"/>
      <c r="X288" s="25"/>
      <c r="Y288" s="26"/>
      <c r="Z288" s="27"/>
      <c r="AB288" s="25"/>
      <c r="AD288" s="25"/>
      <c r="AF288" s="25"/>
      <c r="AH288" s="25"/>
      <c r="AJ288" s="25"/>
      <c r="AK288" s="26"/>
      <c r="AL288" s="39">
        <f t="shared" si="1"/>
        <v>0</v>
      </c>
      <c r="AM288" s="36">
        <f t="shared" si="2"/>
        <v>0</v>
      </c>
      <c r="AN288" s="36">
        <f t="shared" si="3"/>
        <v>0</v>
      </c>
      <c r="AO288" s="36">
        <f t="shared" si="4"/>
        <v>0</v>
      </c>
      <c r="AP288" s="40" t="str">
        <f t="shared" si="5"/>
        <v/>
      </c>
    </row>
    <row r="289" ht="15.75" customHeight="1">
      <c r="A289" s="46" t="s">
        <v>28</v>
      </c>
      <c r="B289" s="47">
        <f t="shared" si="6"/>
        <v>45214</v>
      </c>
      <c r="C289" s="49">
        <v>11.0</v>
      </c>
      <c r="D289" s="49" t="s">
        <v>22</v>
      </c>
      <c r="E289" s="52"/>
      <c r="F289" s="59"/>
      <c r="G289" s="55"/>
      <c r="H289" s="57"/>
      <c r="I289" s="55"/>
      <c r="J289" s="57"/>
      <c r="K289" s="55"/>
      <c r="L289" s="57"/>
      <c r="M289" s="55"/>
      <c r="N289" s="53"/>
      <c r="O289" s="55"/>
      <c r="P289" s="56"/>
      <c r="Q289" s="55"/>
      <c r="R289" s="56"/>
      <c r="S289" s="55"/>
      <c r="T289" s="56"/>
      <c r="U289" s="55"/>
      <c r="V289" s="57"/>
      <c r="W289" s="55"/>
      <c r="X289" s="57"/>
      <c r="Y289" s="58"/>
      <c r="Z289" s="59"/>
      <c r="AA289" s="55"/>
      <c r="AB289" s="57"/>
      <c r="AC289" s="55"/>
      <c r="AD289" s="57"/>
      <c r="AE289" s="55"/>
      <c r="AF289" s="57"/>
      <c r="AG289" s="55"/>
      <c r="AH289" s="57"/>
      <c r="AI289" s="55"/>
      <c r="AJ289" s="57"/>
      <c r="AK289" s="58"/>
      <c r="AL289" s="64">
        <f t="shared" si="1"/>
        <v>0</v>
      </c>
      <c r="AM289" s="49">
        <f t="shared" si="2"/>
        <v>0</v>
      </c>
      <c r="AN289" s="49">
        <f t="shared" si="3"/>
        <v>0</v>
      </c>
      <c r="AO289" s="49">
        <f t="shared" si="4"/>
        <v>0</v>
      </c>
      <c r="AP289" s="66" t="str">
        <f t="shared" si="5"/>
        <v/>
      </c>
    </row>
    <row r="290" ht="15.75" customHeight="1">
      <c r="A290" s="18" t="s">
        <v>21</v>
      </c>
      <c r="B290" s="68">
        <f t="shared" si="6"/>
        <v>45215</v>
      </c>
      <c r="C290" s="20">
        <v>11.0</v>
      </c>
      <c r="D290" s="20" t="s">
        <v>34</v>
      </c>
      <c r="E290" s="22"/>
      <c r="F290" s="27"/>
      <c r="H290" s="25"/>
      <c r="J290" s="25"/>
      <c r="L290" s="25"/>
      <c r="N290" s="23"/>
      <c r="P290" s="24"/>
      <c r="R290" s="24"/>
      <c r="T290" s="24"/>
      <c r="V290" s="25"/>
      <c r="X290" s="25"/>
      <c r="Y290" s="26"/>
      <c r="Z290" s="27"/>
      <c r="AB290" s="25"/>
      <c r="AD290" s="25"/>
      <c r="AF290" s="25"/>
      <c r="AH290" s="25"/>
      <c r="AJ290" s="25"/>
      <c r="AK290" s="26"/>
      <c r="AL290" s="32">
        <f t="shared" si="1"/>
        <v>0</v>
      </c>
      <c r="AM290" s="20">
        <f t="shared" si="2"/>
        <v>0</v>
      </c>
      <c r="AN290" s="20">
        <f t="shared" si="3"/>
        <v>0</v>
      </c>
      <c r="AO290" s="20">
        <f t="shared" si="4"/>
        <v>0</v>
      </c>
      <c r="AP290" s="33" t="str">
        <f t="shared" si="5"/>
        <v/>
      </c>
    </row>
    <row r="291" ht="15.75" customHeight="1">
      <c r="A291" s="34" t="s">
        <v>23</v>
      </c>
      <c r="B291" s="35">
        <f t="shared" si="6"/>
        <v>45216</v>
      </c>
      <c r="C291" s="36">
        <v>11.0</v>
      </c>
      <c r="D291" s="36" t="s">
        <v>34</v>
      </c>
      <c r="E291" s="38"/>
      <c r="F291" s="27"/>
      <c r="H291" s="25"/>
      <c r="J291" s="25"/>
      <c r="L291" s="25"/>
      <c r="N291" s="23"/>
      <c r="P291" s="24"/>
      <c r="R291" s="24"/>
      <c r="T291" s="24"/>
      <c r="V291" s="25"/>
      <c r="X291" s="25"/>
      <c r="Y291" s="26"/>
      <c r="Z291" s="27"/>
      <c r="AB291" s="25"/>
      <c r="AD291" s="25"/>
      <c r="AF291" s="25"/>
      <c r="AH291" s="25"/>
      <c r="AJ291" s="25"/>
      <c r="AK291" s="26"/>
      <c r="AL291" s="39">
        <f t="shared" si="1"/>
        <v>0</v>
      </c>
      <c r="AM291" s="36">
        <f t="shared" si="2"/>
        <v>0</v>
      </c>
      <c r="AN291" s="36">
        <f t="shared" si="3"/>
        <v>0</v>
      </c>
      <c r="AO291" s="36">
        <f t="shared" si="4"/>
        <v>0</v>
      </c>
      <c r="AP291" s="40" t="str">
        <f t="shared" si="5"/>
        <v/>
      </c>
    </row>
    <row r="292" ht="15.75" customHeight="1">
      <c r="A292" s="34" t="s">
        <v>24</v>
      </c>
      <c r="B292" s="35">
        <f t="shared" si="6"/>
        <v>45217</v>
      </c>
      <c r="C292" s="36">
        <v>11.0</v>
      </c>
      <c r="D292" s="36" t="s">
        <v>34</v>
      </c>
      <c r="E292" s="38"/>
      <c r="F292" s="27"/>
      <c r="H292" s="25"/>
      <c r="J292" s="25"/>
      <c r="L292" s="25"/>
      <c r="N292" s="23"/>
      <c r="P292" s="24"/>
      <c r="R292" s="24"/>
      <c r="T292" s="24"/>
      <c r="V292" s="25"/>
      <c r="X292" s="25"/>
      <c r="Y292" s="26"/>
      <c r="Z292" s="27"/>
      <c r="AB292" s="25"/>
      <c r="AD292" s="25"/>
      <c r="AF292" s="25"/>
      <c r="AH292" s="25"/>
      <c r="AJ292" s="25"/>
      <c r="AK292" s="26"/>
      <c r="AL292" s="39">
        <f t="shared" si="1"/>
        <v>0</v>
      </c>
      <c r="AM292" s="36">
        <f t="shared" si="2"/>
        <v>0</v>
      </c>
      <c r="AN292" s="36">
        <f t="shared" si="3"/>
        <v>0</v>
      </c>
      <c r="AO292" s="36">
        <f t="shared" si="4"/>
        <v>0</v>
      </c>
      <c r="AP292" s="40" t="str">
        <f t="shared" si="5"/>
        <v/>
      </c>
    </row>
    <row r="293" ht="15.75" customHeight="1">
      <c r="A293" s="34" t="s">
        <v>25</v>
      </c>
      <c r="B293" s="35">
        <f t="shared" si="6"/>
        <v>45218</v>
      </c>
      <c r="C293" s="36">
        <v>11.0</v>
      </c>
      <c r="D293" s="36" t="s">
        <v>34</v>
      </c>
      <c r="E293" s="38"/>
      <c r="F293" s="27"/>
      <c r="H293" s="25"/>
      <c r="J293" s="25"/>
      <c r="L293" s="25"/>
      <c r="N293" s="23"/>
      <c r="P293" s="24"/>
      <c r="R293" s="24"/>
      <c r="T293" s="24"/>
      <c r="V293" s="25"/>
      <c r="X293" s="25"/>
      <c r="Y293" s="26"/>
      <c r="Z293" s="27"/>
      <c r="AB293" s="25"/>
      <c r="AD293" s="25"/>
      <c r="AF293" s="25"/>
      <c r="AH293" s="25"/>
      <c r="AJ293" s="25"/>
      <c r="AK293" s="26"/>
      <c r="AL293" s="39">
        <f t="shared" si="1"/>
        <v>0</v>
      </c>
      <c r="AM293" s="36">
        <f t="shared" si="2"/>
        <v>0</v>
      </c>
      <c r="AN293" s="36">
        <f t="shared" si="3"/>
        <v>0</v>
      </c>
      <c r="AO293" s="36">
        <f t="shared" si="4"/>
        <v>0</v>
      </c>
      <c r="AP293" s="40" t="str">
        <f t="shared" si="5"/>
        <v/>
      </c>
    </row>
    <row r="294" ht="15.75" customHeight="1">
      <c r="A294" s="34" t="s">
        <v>26</v>
      </c>
      <c r="B294" s="35">
        <f t="shared" si="6"/>
        <v>45219</v>
      </c>
      <c r="C294" s="36">
        <v>11.0</v>
      </c>
      <c r="D294" s="36" t="s">
        <v>34</v>
      </c>
      <c r="E294" s="38"/>
      <c r="F294" s="27"/>
      <c r="H294" s="25"/>
      <c r="J294" s="25"/>
      <c r="L294" s="25"/>
      <c r="N294" s="23"/>
      <c r="P294" s="24"/>
      <c r="R294" s="24"/>
      <c r="T294" s="24"/>
      <c r="V294" s="25"/>
      <c r="X294" s="25"/>
      <c r="Y294" s="26"/>
      <c r="Z294" s="27"/>
      <c r="AB294" s="25"/>
      <c r="AD294" s="25"/>
      <c r="AF294" s="25"/>
      <c r="AH294" s="25"/>
      <c r="AJ294" s="25"/>
      <c r="AK294" s="26"/>
      <c r="AL294" s="39">
        <f t="shared" si="1"/>
        <v>0</v>
      </c>
      <c r="AM294" s="36">
        <f t="shared" si="2"/>
        <v>0</v>
      </c>
      <c r="AN294" s="36">
        <f t="shared" si="3"/>
        <v>0</v>
      </c>
      <c r="AO294" s="36">
        <f t="shared" si="4"/>
        <v>0</v>
      </c>
      <c r="AP294" s="40" t="str">
        <f t="shared" si="5"/>
        <v/>
      </c>
    </row>
    <row r="295" ht="15.75" customHeight="1">
      <c r="A295" s="34" t="s">
        <v>27</v>
      </c>
      <c r="B295" s="35">
        <f t="shared" si="6"/>
        <v>45220</v>
      </c>
      <c r="C295" s="36">
        <v>11.0</v>
      </c>
      <c r="D295" s="36" t="s">
        <v>34</v>
      </c>
      <c r="E295" s="38"/>
      <c r="F295" s="27"/>
      <c r="H295" s="25"/>
      <c r="J295" s="25"/>
      <c r="L295" s="25"/>
      <c r="N295" s="23"/>
      <c r="P295" s="24"/>
      <c r="R295" s="24"/>
      <c r="T295" s="24"/>
      <c r="V295" s="25"/>
      <c r="X295" s="25"/>
      <c r="Y295" s="26"/>
      <c r="Z295" s="27"/>
      <c r="AB295" s="25"/>
      <c r="AD295" s="25"/>
      <c r="AF295" s="25"/>
      <c r="AH295" s="25"/>
      <c r="AJ295" s="25"/>
      <c r="AK295" s="26"/>
      <c r="AL295" s="39">
        <f t="shared" si="1"/>
        <v>0</v>
      </c>
      <c r="AM295" s="36">
        <f t="shared" si="2"/>
        <v>0</v>
      </c>
      <c r="AN295" s="36">
        <f t="shared" si="3"/>
        <v>0</v>
      </c>
      <c r="AO295" s="36">
        <f t="shared" si="4"/>
        <v>0</v>
      </c>
      <c r="AP295" s="40" t="str">
        <f t="shared" si="5"/>
        <v/>
      </c>
    </row>
    <row r="296" ht="15.75" customHeight="1">
      <c r="A296" s="46" t="s">
        <v>28</v>
      </c>
      <c r="B296" s="47">
        <f t="shared" si="6"/>
        <v>45221</v>
      </c>
      <c r="C296" s="49">
        <v>11.0</v>
      </c>
      <c r="D296" s="49" t="s">
        <v>34</v>
      </c>
      <c r="E296" s="52"/>
      <c r="F296" s="59"/>
      <c r="G296" s="55"/>
      <c r="H296" s="57"/>
      <c r="I296" s="55"/>
      <c r="J296" s="57"/>
      <c r="K296" s="55"/>
      <c r="L296" s="57"/>
      <c r="M296" s="55"/>
      <c r="N296" s="53"/>
      <c r="O296" s="55"/>
      <c r="P296" s="56"/>
      <c r="Q296" s="55"/>
      <c r="R296" s="56"/>
      <c r="S296" s="55"/>
      <c r="T296" s="56"/>
      <c r="U296" s="55"/>
      <c r="V296" s="57"/>
      <c r="W296" s="55"/>
      <c r="X296" s="57"/>
      <c r="Y296" s="58"/>
      <c r="Z296" s="59"/>
      <c r="AA296" s="55"/>
      <c r="AB296" s="57"/>
      <c r="AC296" s="55"/>
      <c r="AD296" s="57"/>
      <c r="AE296" s="55"/>
      <c r="AF296" s="57"/>
      <c r="AG296" s="55"/>
      <c r="AH296" s="57"/>
      <c r="AI296" s="55"/>
      <c r="AJ296" s="57"/>
      <c r="AK296" s="58"/>
      <c r="AL296" s="64">
        <f t="shared" si="1"/>
        <v>0</v>
      </c>
      <c r="AM296" s="49">
        <f t="shared" si="2"/>
        <v>0</v>
      </c>
      <c r="AN296" s="49">
        <f t="shared" si="3"/>
        <v>0</v>
      </c>
      <c r="AO296" s="49">
        <f t="shared" si="4"/>
        <v>0</v>
      </c>
      <c r="AP296" s="66" t="str">
        <f t="shared" si="5"/>
        <v/>
      </c>
    </row>
    <row r="297" ht="15.75" customHeight="1">
      <c r="A297" s="18" t="s">
        <v>21</v>
      </c>
      <c r="B297" s="68">
        <f t="shared" si="6"/>
        <v>45222</v>
      </c>
      <c r="C297" s="20">
        <v>11.0</v>
      </c>
      <c r="D297" s="20" t="s">
        <v>36</v>
      </c>
      <c r="E297" s="22"/>
      <c r="F297" s="27"/>
      <c r="H297" s="25"/>
      <c r="J297" s="25"/>
      <c r="L297" s="25"/>
      <c r="N297" s="23"/>
      <c r="P297" s="24"/>
      <c r="R297" s="24"/>
      <c r="T297" s="24"/>
      <c r="V297" s="25"/>
      <c r="X297" s="25"/>
      <c r="Y297" s="26"/>
      <c r="Z297" s="27"/>
      <c r="AB297" s="25"/>
      <c r="AD297" s="25"/>
      <c r="AF297" s="25"/>
      <c r="AH297" s="25"/>
      <c r="AJ297" s="25"/>
      <c r="AK297" s="26"/>
      <c r="AL297" s="32">
        <f t="shared" si="1"/>
        <v>0</v>
      </c>
      <c r="AM297" s="20">
        <f t="shared" si="2"/>
        <v>0</v>
      </c>
      <c r="AN297" s="20">
        <f t="shared" si="3"/>
        <v>0</v>
      </c>
      <c r="AO297" s="20">
        <f t="shared" si="4"/>
        <v>0</v>
      </c>
      <c r="AP297" s="33" t="str">
        <f t="shared" si="5"/>
        <v/>
      </c>
    </row>
    <row r="298" ht="15.75" customHeight="1">
      <c r="A298" s="34" t="s">
        <v>23</v>
      </c>
      <c r="B298" s="35">
        <f t="shared" si="6"/>
        <v>45223</v>
      </c>
      <c r="C298" s="36">
        <v>11.0</v>
      </c>
      <c r="D298" s="36" t="s">
        <v>36</v>
      </c>
      <c r="E298" s="38"/>
      <c r="F298" s="27"/>
      <c r="H298" s="25"/>
      <c r="J298" s="25"/>
      <c r="L298" s="25"/>
      <c r="N298" s="23"/>
      <c r="P298" s="24"/>
      <c r="R298" s="24"/>
      <c r="T298" s="24"/>
      <c r="V298" s="25"/>
      <c r="X298" s="25"/>
      <c r="Y298" s="26"/>
      <c r="Z298" s="27"/>
      <c r="AB298" s="25"/>
      <c r="AD298" s="25"/>
      <c r="AF298" s="25"/>
      <c r="AH298" s="25"/>
      <c r="AJ298" s="25"/>
      <c r="AK298" s="26"/>
      <c r="AL298" s="39">
        <f t="shared" si="1"/>
        <v>0</v>
      </c>
      <c r="AM298" s="36">
        <f t="shared" si="2"/>
        <v>0</v>
      </c>
      <c r="AN298" s="36">
        <f t="shared" si="3"/>
        <v>0</v>
      </c>
      <c r="AO298" s="36">
        <f t="shared" si="4"/>
        <v>0</v>
      </c>
      <c r="AP298" s="40" t="str">
        <f t="shared" si="5"/>
        <v/>
      </c>
    </row>
    <row r="299" ht="15.75" customHeight="1">
      <c r="A299" s="34" t="s">
        <v>24</v>
      </c>
      <c r="B299" s="35">
        <f t="shared" si="6"/>
        <v>45224</v>
      </c>
      <c r="C299" s="36">
        <v>11.0</v>
      </c>
      <c r="D299" s="36" t="s">
        <v>36</v>
      </c>
      <c r="E299" s="38"/>
      <c r="F299" s="27"/>
      <c r="H299" s="25"/>
      <c r="J299" s="25"/>
      <c r="L299" s="25"/>
      <c r="N299" s="23"/>
      <c r="P299" s="24"/>
      <c r="R299" s="24"/>
      <c r="T299" s="24"/>
      <c r="V299" s="25"/>
      <c r="X299" s="25"/>
      <c r="Y299" s="26"/>
      <c r="Z299" s="27"/>
      <c r="AB299" s="25"/>
      <c r="AD299" s="25"/>
      <c r="AF299" s="25"/>
      <c r="AH299" s="25"/>
      <c r="AJ299" s="25"/>
      <c r="AK299" s="26"/>
      <c r="AL299" s="39">
        <f t="shared" si="1"/>
        <v>0</v>
      </c>
      <c r="AM299" s="36">
        <f t="shared" si="2"/>
        <v>0</v>
      </c>
      <c r="AN299" s="36">
        <f t="shared" si="3"/>
        <v>0</v>
      </c>
      <c r="AO299" s="36">
        <f t="shared" si="4"/>
        <v>0</v>
      </c>
      <c r="AP299" s="40" t="str">
        <f t="shared" si="5"/>
        <v/>
      </c>
    </row>
    <row r="300" ht="15.75" customHeight="1">
      <c r="A300" s="34" t="s">
        <v>25</v>
      </c>
      <c r="B300" s="35">
        <f t="shared" si="6"/>
        <v>45225</v>
      </c>
      <c r="C300" s="36">
        <v>11.0</v>
      </c>
      <c r="D300" s="36" t="s">
        <v>36</v>
      </c>
      <c r="E300" s="38"/>
      <c r="F300" s="27"/>
      <c r="H300" s="25"/>
      <c r="J300" s="25"/>
      <c r="L300" s="25"/>
      <c r="N300" s="23"/>
      <c r="P300" s="24"/>
      <c r="R300" s="24"/>
      <c r="T300" s="24"/>
      <c r="V300" s="25"/>
      <c r="X300" s="25"/>
      <c r="Y300" s="26"/>
      <c r="Z300" s="27"/>
      <c r="AB300" s="25"/>
      <c r="AD300" s="25"/>
      <c r="AF300" s="25"/>
      <c r="AH300" s="25"/>
      <c r="AJ300" s="25"/>
      <c r="AK300" s="26"/>
      <c r="AL300" s="39">
        <f t="shared" si="1"/>
        <v>0</v>
      </c>
      <c r="AM300" s="36">
        <f t="shared" si="2"/>
        <v>0</v>
      </c>
      <c r="AN300" s="36">
        <f t="shared" si="3"/>
        <v>0</v>
      </c>
      <c r="AO300" s="36">
        <f t="shared" si="4"/>
        <v>0</v>
      </c>
      <c r="AP300" s="40" t="str">
        <f t="shared" si="5"/>
        <v/>
      </c>
    </row>
    <row r="301" ht="15.75" customHeight="1">
      <c r="A301" s="34" t="s">
        <v>26</v>
      </c>
      <c r="B301" s="35">
        <f t="shared" si="6"/>
        <v>45226</v>
      </c>
      <c r="C301" s="36">
        <v>11.0</v>
      </c>
      <c r="D301" s="36" t="s">
        <v>36</v>
      </c>
      <c r="E301" s="38"/>
      <c r="F301" s="27"/>
      <c r="H301" s="25"/>
      <c r="J301" s="25"/>
      <c r="L301" s="25"/>
      <c r="N301" s="23"/>
      <c r="P301" s="24"/>
      <c r="R301" s="24"/>
      <c r="T301" s="24"/>
      <c r="V301" s="25"/>
      <c r="X301" s="25"/>
      <c r="Y301" s="26"/>
      <c r="Z301" s="27"/>
      <c r="AB301" s="25"/>
      <c r="AD301" s="25"/>
      <c r="AF301" s="25"/>
      <c r="AH301" s="25"/>
      <c r="AJ301" s="25"/>
      <c r="AK301" s="26"/>
      <c r="AL301" s="39">
        <f t="shared" si="1"/>
        <v>0</v>
      </c>
      <c r="AM301" s="36">
        <f t="shared" si="2"/>
        <v>0</v>
      </c>
      <c r="AN301" s="36">
        <f t="shared" si="3"/>
        <v>0</v>
      </c>
      <c r="AO301" s="36">
        <f t="shared" si="4"/>
        <v>0</v>
      </c>
      <c r="AP301" s="40" t="str">
        <f t="shared" si="5"/>
        <v/>
      </c>
    </row>
    <row r="302" ht="15.75" customHeight="1">
      <c r="A302" s="34" t="s">
        <v>27</v>
      </c>
      <c r="B302" s="35">
        <f t="shared" si="6"/>
        <v>45227</v>
      </c>
      <c r="C302" s="36">
        <v>11.0</v>
      </c>
      <c r="D302" s="36" t="s">
        <v>36</v>
      </c>
      <c r="E302" s="38"/>
      <c r="F302" s="27"/>
      <c r="H302" s="25"/>
      <c r="J302" s="25"/>
      <c r="L302" s="25"/>
      <c r="N302" s="23"/>
      <c r="P302" s="24"/>
      <c r="R302" s="24"/>
      <c r="T302" s="24"/>
      <c r="V302" s="25"/>
      <c r="X302" s="25"/>
      <c r="Y302" s="26"/>
      <c r="Z302" s="27"/>
      <c r="AB302" s="25"/>
      <c r="AD302" s="25"/>
      <c r="AF302" s="25"/>
      <c r="AH302" s="25"/>
      <c r="AJ302" s="25"/>
      <c r="AK302" s="26"/>
      <c r="AL302" s="39">
        <f t="shared" si="1"/>
        <v>0</v>
      </c>
      <c r="AM302" s="36">
        <f t="shared" si="2"/>
        <v>0</v>
      </c>
      <c r="AN302" s="36">
        <f t="shared" si="3"/>
        <v>0</v>
      </c>
      <c r="AO302" s="36">
        <f t="shared" si="4"/>
        <v>0</v>
      </c>
      <c r="AP302" s="40" t="str">
        <f t="shared" si="5"/>
        <v/>
      </c>
    </row>
    <row r="303" ht="15.75" customHeight="1">
      <c r="A303" s="46" t="s">
        <v>28</v>
      </c>
      <c r="B303" s="47">
        <f t="shared" si="6"/>
        <v>45228</v>
      </c>
      <c r="C303" s="49">
        <v>11.0</v>
      </c>
      <c r="D303" s="49" t="s">
        <v>36</v>
      </c>
      <c r="E303" s="52"/>
      <c r="F303" s="59"/>
      <c r="G303" s="55"/>
      <c r="H303" s="57"/>
      <c r="I303" s="55"/>
      <c r="J303" s="57"/>
      <c r="K303" s="55"/>
      <c r="L303" s="57"/>
      <c r="M303" s="55"/>
      <c r="N303" s="53"/>
      <c r="O303" s="55"/>
      <c r="P303" s="56"/>
      <c r="Q303" s="55"/>
      <c r="R303" s="56"/>
      <c r="S303" s="55"/>
      <c r="T303" s="56"/>
      <c r="U303" s="55"/>
      <c r="V303" s="57"/>
      <c r="W303" s="55"/>
      <c r="X303" s="57"/>
      <c r="Y303" s="58"/>
      <c r="Z303" s="59"/>
      <c r="AA303" s="55"/>
      <c r="AB303" s="57"/>
      <c r="AC303" s="55"/>
      <c r="AD303" s="57"/>
      <c r="AE303" s="55"/>
      <c r="AF303" s="57"/>
      <c r="AG303" s="55"/>
      <c r="AH303" s="57"/>
      <c r="AI303" s="55"/>
      <c r="AJ303" s="57"/>
      <c r="AK303" s="58"/>
      <c r="AL303" s="64">
        <f t="shared" si="1"/>
        <v>0</v>
      </c>
      <c r="AM303" s="49">
        <f t="shared" si="2"/>
        <v>0</v>
      </c>
      <c r="AN303" s="49">
        <f t="shared" si="3"/>
        <v>0</v>
      </c>
      <c r="AO303" s="49">
        <f t="shared" si="4"/>
        <v>0</v>
      </c>
      <c r="AP303" s="66" t="str">
        <f t="shared" si="5"/>
        <v/>
      </c>
    </row>
    <row r="304" ht="15.75" customHeight="1">
      <c r="A304" s="18" t="s">
        <v>21</v>
      </c>
      <c r="B304" s="68">
        <f t="shared" si="6"/>
        <v>45229</v>
      </c>
      <c r="C304" s="20">
        <v>11.0</v>
      </c>
      <c r="D304" s="20" t="s">
        <v>37</v>
      </c>
      <c r="E304" s="22"/>
      <c r="F304" s="27"/>
      <c r="H304" s="25"/>
      <c r="J304" s="25"/>
      <c r="L304" s="25"/>
      <c r="N304" s="23"/>
      <c r="P304" s="24"/>
      <c r="R304" s="24"/>
      <c r="T304" s="24"/>
      <c r="V304" s="25"/>
      <c r="X304" s="25"/>
      <c r="Y304" s="26"/>
      <c r="Z304" s="27"/>
      <c r="AB304" s="25"/>
      <c r="AD304" s="25"/>
      <c r="AF304" s="25"/>
      <c r="AH304" s="25"/>
      <c r="AJ304" s="25"/>
      <c r="AK304" s="26"/>
      <c r="AL304" s="32">
        <f t="shared" si="1"/>
        <v>0</v>
      </c>
      <c r="AM304" s="20">
        <f t="shared" si="2"/>
        <v>0</v>
      </c>
      <c r="AN304" s="20">
        <f t="shared" si="3"/>
        <v>0</v>
      </c>
      <c r="AO304" s="20">
        <f t="shared" si="4"/>
        <v>0</v>
      </c>
      <c r="AP304" s="33" t="str">
        <f t="shared" si="5"/>
        <v/>
      </c>
    </row>
    <row r="305" ht="15.75" customHeight="1">
      <c r="A305" s="34" t="s">
        <v>23</v>
      </c>
      <c r="B305" s="35">
        <f t="shared" si="6"/>
        <v>45230</v>
      </c>
      <c r="C305" s="36">
        <v>11.0</v>
      </c>
      <c r="D305" s="36" t="s">
        <v>37</v>
      </c>
      <c r="E305" s="38"/>
      <c r="F305" s="27"/>
      <c r="H305" s="25"/>
      <c r="J305" s="25"/>
      <c r="L305" s="25"/>
      <c r="N305" s="23"/>
      <c r="P305" s="24"/>
      <c r="R305" s="24"/>
      <c r="T305" s="24"/>
      <c r="V305" s="25"/>
      <c r="X305" s="25"/>
      <c r="Y305" s="26"/>
      <c r="Z305" s="27"/>
      <c r="AB305" s="25"/>
      <c r="AD305" s="25"/>
      <c r="AF305" s="25"/>
      <c r="AH305" s="25"/>
      <c r="AJ305" s="25"/>
      <c r="AK305" s="26"/>
      <c r="AL305" s="39">
        <f t="shared" si="1"/>
        <v>0</v>
      </c>
      <c r="AM305" s="36">
        <f t="shared" si="2"/>
        <v>0</v>
      </c>
      <c r="AN305" s="36">
        <f t="shared" si="3"/>
        <v>0</v>
      </c>
      <c r="AO305" s="36">
        <f t="shared" si="4"/>
        <v>0</v>
      </c>
      <c r="AP305" s="40" t="str">
        <f t="shared" si="5"/>
        <v/>
      </c>
    </row>
    <row r="306" ht="15.75" customHeight="1">
      <c r="A306" s="34" t="s">
        <v>24</v>
      </c>
      <c r="B306" s="35">
        <f t="shared" si="6"/>
        <v>45231</v>
      </c>
      <c r="C306" s="36">
        <v>11.0</v>
      </c>
      <c r="D306" s="36" t="s">
        <v>37</v>
      </c>
      <c r="E306" s="38"/>
      <c r="F306" s="27"/>
      <c r="H306" s="25"/>
      <c r="J306" s="25"/>
      <c r="L306" s="25"/>
      <c r="N306" s="23"/>
      <c r="P306" s="24"/>
      <c r="R306" s="24"/>
      <c r="T306" s="24"/>
      <c r="V306" s="25"/>
      <c r="X306" s="25"/>
      <c r="Y306" s="26"/>
      <c r="Z306" s="27"/>
      <c r="AB306" s="25"/>
      <c r="AD306" s="25"/>
      <c r="AF306" s="25"/>
      <c r="AH306" s="25"/>
      <c r="AJ306" s="25"/>
      <c r="AK306" s="26"/>
      <c r="AL306" s="39">
        <f t="shared" si="1"/>
        <v>0</v>
      </c>
      <c r="AM306" s="36">
        <f t="shared" si="2"/>
        <v>0</v>
      </c>
      <c r="AN306" s="36">
        <f t="shared" si="3"/>
        <v>0</v>
      </c>
      <c r="AO306" s="36">
        <f t="shared" si="4"/>
        <v>0</v>
      </c>
      <c r="AP306" s="40" t="str">
        <f t="shared" si="5"/>
        <v/>
      </c>
    </row>
    <row r="307" ht="15.75" customHeight="1">
      <c r="A307" s="34" t="s">
        <v>25</v>
      </c>
      <c r="B307" s="35">
        <f t="shared" si="6"/>
        <v>45232</v>
      </c>
      <c r="C307" s="36">
        <v>11.0</v>
      </c>
      <c r="D307" s="36" t="s">
        <v>37</v>
      </c>
      <c r="E307" s="38"/>
      <c r="F307" s="27"/>
      <c r="H307" s="25"/>
      <c r="J307" s="25"/>
      <c r="L307" s="25"/>
      <c r="N307" s="23"/>
      <c r="P307" s="24"/>
      <c r="R307" s="24"/>
      <c r="T307" s="24"/>
      <c r="V307" s="25"/>
      <c r="X307" s="25"/>
      <c r="Y307" s="26"/>
      <c r="Z307" s="27"/>
      <c r="AB307" s="25"/>
      <c r="AD307" s="25"/>
      <c r="AF307" s="25"/>
      <c r="AH307" s="25"/>
      <c r="AJ307" s="25"/>
      <c r="AK307" s="26"/>
      <c r="AL307" s="39">
        <f t="shared" si="1"/>
        <v>0</v>
      </c>
      <c r="AM307" s="36">
        <f t="shared" si="2"/>
        <v>0</v>
      </c>
      <c r="AN307" s="36">
        <f t="shared" si="3"/>
        <v>0</v>
      </c>
      <c r="AO307" s="36">
        <f t="shared" si="4"/>
        <v>0</v>
      </c>
      <c r="AP307" s="40" t="str">
        <f t="shared" si="5"/>
        <v/>
      </c>
    </row>
    <row r="308" ht="15.75" customHeight="1">
      <c r="A308" s="34" t="s">
        <v>26</v>
      </c>
      <c r="B308" s="35">
        <f t="shared" si="6"/>
        <v>45233</v>
      </c>
      <c r="C308" s="36">
        <v>11.0</v>
      </c>
      <c r="D308" s="36" t="s">
        <v>37</v>
      </c>
      <c r="E308" s="38"/>
      <c r="F308" s="27"/>
      <c r="H308" s="25"/>
      <c r="J308" s="25"/>
      <c r="L308" s="25"/>
      <c r="N308" s="23"/>
      <c r="P308" s="24"/>
      <c r="R308" s="24"/>
      <c r="T308" s="24"/>
      <c r="V308" s="25"/>
      <c r="X308" s="25"/>
      <c r="Y308" s="26"/>
      <c r="Z308" s="27"/>
      <c r="AB308" s="25"/>
      <c r="AD308" s="25"/>
      <c r="AF308" s="25"/>
      <c r="AH308" s="25"/>
      <c r="AJ308" s="25"/>
      <c r="AK308" s="26"/>
      <c r="AL308" s="39">
        <f t="shared" si="1"/>
        <v>0</v>
      </c>
      <c r="AM308" s="36">
        <f t="shared" si="2"/>
        <v>0</v>
      </c>
      <c r="AN308" s="36">
        <f t="shared" si="3"/>
        <v>0</v>
      </c>
      <c r="AO308" s="36">
        <f t="shared" si="4"/>
        <v>0</v>
      </c>
      <c r="AP308" s="40" t="str">
        <f t="shared" si="5"/>
        <v/>
      </c>
    </row>
    <row r="309" ht="15.75" customHeight="1">
      <c r="A309" s="34" t="s">
        <v>27</v>
      </c>
      <c r="B309" s="35">
        <f t="shared" si="6"/>
        <v>45234</v>
      </c>
      <c r="C309" s="36">
        <v>11.0</v>
      </c>
      <c r="D309" s="36" t="s">
        <v>37</v>
      </c>
      <c r="E309" s="38"/>
      <c r="F309" s="27"/>
      <c r="H309" s="25"/>
      <c r="J309" s="25"/>
      <c r="L309" s="25"/>
      <c r="N309" s="23"/>
      <c r="P309" s="24"/>
      <c r="R309" s="24"/>
      <c r="T309" s="24"/>
      <c r="V309" s="25"/>
      <c r="X309" s="25"/>
      <c r="Y309" s="26"/>
      <c r="Z309" s="27"/>
      <c r="AB309" s="25"/>
      <c r="AD309" s="25"/>
      <c r="AF309" s="25"/>
      <c r="AH309" s="25"/>
      <c r="AJ309" s="25"/>
      <c r="AK309" s="26"/>
      <c r="AL309" s="39">
        <f t="shared" si="1"/>
        <v>0</v>
      </c>
      <c r="AM309" s="36">
        <f t="shared" si="2"/>
        <v>0</v>
      </c>
      <c r="AN309" s="36">
        <f t="shared" si="3"/>
        <v>0</v>
      </c>
      <c r="AO309" s="36">
        <f t="shared" si="4"/>
        <v>0</v>
      </c>
      <c r="AP309" s="40" t="str">
        <f t="shared" si="5"/>
        <v/>
      </c>
    </row>
    <row r="310" ht="15.75" customHeight="1">
      <c r="A310" s="46" t="s">
        <v>28</v>
      </c>
      <c r="B310" s="47">
        <f t="shared" si="6"/>
        <v>45235</v>
      </c>
      <c r="C310" s="49">
        <v>11.0</v>
      </c>
      <c r="D310" s="49" t="s">
        <v>37</v>
      </c>
      <c r="E310" s="52"/>
      <c r="F310" s="59"/>
      <c r="G310" s="55"/>
      <c r="H310" s="57"/>
      <c r="I310" s="55"/>
      <c r="J310" s="57"/>
      <c r="K310" s="55"/>
      <c r="L310" s="57"/>
      <c r="M310" s="55"/>
      <c r="N310" s="53"/>
      <c r="O310" s="55"/>
      <c r="P310" s="56"/>
      <c r="Q310" s="55"/>
      <c r="R310" s="56"/>
      <c r="S310" s="55"/>
      <c r="T310" s="56"/>
      <c r="U310" s="55"/>
      <c r="V310" s="57"/>
      <c r="W310" s="55"/>
      <c r="X310" s="57"/>
      <c r="Y310" s="58"/>
      <c r="Z310" s="59"/>
      <c r="AA310" s="55"/>
      <c r="AB310" s="57"/>
      <c r="AC310" s="55"/>
      <c r="AD310" s="57"/>
      <c r="AE310" s="55"/>
      <c r="AF310" s="57"/>
      <c r="AG310" s="55"/>
      <c r="AH310" s="57"/>
      <c r="AI310" s="55"/>
      <c r="AJ310" s="57"/>
      <c r="AK310" s="58"/>
      <c r="AL310" s="64">
        <f t="shared" si="1"/>
        <v>0</v>
      </c>
      <c r="AM310" s="49">
        <f t="shared" si="2"/>
        <v>0</v>
      </c>
      <c r="AN310" s="49">
        <f t="shared" si="3"/>
        <v>0</v>
      </c>
      <c r="AO310" s="49">
        <f t="shared" si="4"/>
        <v>0</v>
      </c>
      <c r="AP310" s="66" t="str">
        <f t="shared" si="5"/>
        <v/>
      </c>
    </row>
    <row r="311" ht="15.75" customHeight="1">
      <c r="A311" s="18" t="s">
        <v>21</v>
      </c>
      <c r="B311" s="68">
        <f t="shared" si="6"/>
        <v>45236</v>
      </c>
      <c r="C311" s="20">
        <v>12.0</v>
      </c>
      <c r="D311" s="20" t="s">
        <v>22</v>
      </c>
      <c r="E311" s="22"/>
      <c r="F311" s="27"/>
      <c r="H311" s="25"/>
      <c r="J311" s="25"/>
      <c r="L311" s="25"/>
      <c r="N311" s="23"/>
      <c r="P311" s="24"/>
      <c r="R311" s="24"/>
      <c r="T311" s="24"/>
      <c r="V311" s="25"/>
      <c r="X311" s="25"/>
      <c r="Y311" s="26"/>
      <c r="Z311" s="27"/>
      <c r="AB311" s="25"/>
      <c r="AD311" s="25"/>
      <c r="AF311" s="25"/>
      <c r="AH311" s="25"/>
      <c r="AJ311" s="25"/>
      <c r="AK311" s="26"/>
      <c r="AL311" s="32">
        <f t="shared" si="1"/>
        <v>0</v>
      </c>
      <c r="AM311" s="20">
        <f t="shared" si="2"/>
        <v>0</v>
      </c>
      <c r="AN311" s="20">
        <f t="shared" si="3"/>
        <v>0</v>
      </c>
      <c r="AO311" s="20">
        <f t="shared" si="4"/>
        <v>0</v>
      </c>
      <c r="AP311" s="33" t="str">
        <f t="shared" si="5"/>
        <v/>
      </c>
    </row>
    <row r="312" ht="15.75" customHeight="1">
      <c r="A312" s="34" t="s">
        <v>23</v>
      </c>
      <c r="B312" s="35">
        <f t="shared" si="6"/>
        <v>45237</v>
      </c>
      <c r="C312" s="36">
        <v>12.0</v>
      </c>
      <c r="D312" s="36" t="s">
        <v>22</v>
      </c>
      <c r="E312" s="38"/>
      <c r="F312" s="27"/>
      <c r="H312" s="25"/>
      <c r="J312" s="25"/>
      <c r="L312" s="25"/>
      <c r="N312" s="23"/>
      <c r="P312" s="24"/>
      <c r="R312" s="24"/>
      <c r="T312" s="24"/>
      <c r="V312" s="25"/>
      <c r="X312" s="25"/>
      <c r="Y312" s="26"/>
      <c r="Z312" s="27"/>
      <c r="AB312" s="25"/>
      <c r="AD312" s="25"/>
      <c r="AF312" s="25"/>
      <c r="AH312" s="25"/>
      <c r="AJ312" s="25"/>
      <c r="AK312" s="26"/>
      <c r="AL312" s="39">
        <f t="shared" si="1"/>
        <v>0</v>
      </c>
      <c r="AM312" s="36">
        <f t="shared" si="2"/>
        <v>0</v>
      </c>
      <c r="AN312" s="36">
        <f t="shared" si="3"/>
        <v>0</v>
      </c>
      <c r="AO312" s="36">
        <f t="shared" si="4"/>
        <v>0</v>
      </c>
      <c r="AP312" s="40" t="str">
        <f t="shared" si="5"/>
        <v/>
      </c>
    </row>
    <row r="313" ht="15.75" customHeight="1">
      <c r="A313" s="34" t="s">
        <v>24</v>
      </c>
      <c r="B313" s="35">
        <f t="shared" si="6"/>
        <v>45238</v>
      </c>
      <c r="C313" s="36">
        <v>12.0</v>
      </c>
      <c r="D313" s="36" t="s">
        <v>22</v>
      </c>
      <c r="E313" s="38"/>
      <c r="F313" s="27"/>
      <c r="H313" s="25"/>
      <c r="J313" s="25"/>
      <c r="L313" s="25"/>
      <c r="N313" s="23"/>
      <c r="P313" s="24"/>
      <c r="R313" s="24"/>
      <c r="T313" s="24"/>
      <c r="V313" s="25"/>
      <c r="X313" s="25"/>
      <c r="Y313" s="26"/>
      <c r="Z313" s="27"/>
      <c r="AB313" s="25"/>
      <c r="AD313" s="25"/>
      <c r="AF313" s="25"/>
      <c r="AH313" s="25"/>
      <c r="AJ313" s="25"/>
      <c r="AK313" s="26"/>
      <c r="AL313" s="39">
        <f t="shared" si="1"/>
        <v>0</v>
      </c>
      <c r="AM313" s="36">
        <f t="shared" si="2"/>
        <v>0</v>
      </c>
      <c r="AN313" s="36">
        <f t="shared" si="3"/>
        <v>0</v>
      </c>
      <c r="AO313" s="36">
        <f t="shared" si="4"/>
        <v>0</v>
      </c>
      <c r="AP313" s="40" t="str">
        <f t="shared" si="5"/>
        <v/>
      </c>
    </row>
    <row r="314" ht="15.75" customHeight="1">
      <c r="A314" s="34" t="s">
        <v>25</v>
      </c>
      <c r="B314" s="35">
        <f t="shared" si="6"/>
        <v>45239</v>
      </c>
      <c r="C314" s="36">
        <v>12.0</v>
      </c>
      <c r="D314" s="36" t="s">
        <v>22</v>
      </c>
      <c r="E314" s="38"/>
      <c r="F314" s="27"/>
      <c r="H314" s="25"/>
      <c r="J314" s="25"/>
      <c r="L314" s="25"/>
      <c r="N314" s="23"/>
      <c r="P314" s="24"/>
      <c r="R314" s="24"/>
      <c r="T314" s="24"/>
      <c r="V314" s="25"/>
      <c r="X314" s="25"/>
      <c r="Y314" s="26"/>
      <c r="Z314" s="27"/>
      <c r="AB314" s="25"/>
      <c r="AD314" s="25"/>
      <c r="AF314" s="25"/>
      <c r="AH314" s="25"/>
      <c r="AJ314" s="25"/>
      <c r="AK314" s="26"/>
      <c r="AL314" s="39">
        <f t="shared" si="1"/>
        <v>0</v>
      </c>
      <c r="AM314" s="36">
        <f t="shared" si="2"/>
        <v>0</v>
      </c>
      <c r="AN314" s="36">
        <f t="shared" si="3"/>
        <v>0</v>
      </c>
      <c r="AO314" s="36">
        <f t="shared" si="4"/>
        <v>0</v>
      </c>
      <c r="AP314" s="40" t="str">
        <f t="shared" si="5"/>
        <v/>
      </c>
    </row>
    <row r="315" ht="15.75" customHeight="1">
      <c r="A315" s="34" t="s">
        <v>26</v>
      </c>
      <c r="B315" s="35">
        <f t="shared" si="6"/>
        <v>45240</v>
      </c>
      <c r="C315" s="36">
        <v>12.0</v>
      </c>
      <c r="D315" s="36" t="s">
        <v>22</v>
      </c>
      <c r="E315" s="38"/>
      <c r="F315" s="27"/>
      <c r="H315" s="25"/>
      <c r="J315" s="25"/>
      <c r="L315" s="25"/>
      <c r="N315" s="23"/>
      <c r="P315" s="24"/>
      <c r="R315" s="24"/>
      <c r="T315" s="24"/>
      <c r="V315" s="25"/>
      <c r="X315" s="25"/>
      <c r="Y315" s="26"/>
      <c r="Z315" s="27"/>
      <c r="AB315" s="25"/>
      <c r="AD315" s="25"/>
      <c r="AF315" s="25"/>
      <c r="AH315" s="25"/>
      <c r="AJ315" s="25"/>
      <c r="AK315" s="26"/>
      <c r="AL315" s="39">
        <f t="shared" si="1"/>
        <v>0</v>
      </c>
      <c r="AM315" s="36">
        <f t="shared" si="2"/>
        <v>0</v>
      </c>
      <c r="AN315" s="36">
        <f t="shared" si="3"/>
        <v>0</v>
      </c>
      <c r="AO315" s="36">
        <f t="shared" si="4"/>
        <v>0</v>
      </c>
      <c r="AP315" s="40" t="str">
        <f t="shared" si="5"/>
        <v/>
      </c>
    </row>
    <row r="316" ht="15.75" customHeight="1">
      <c r="A316" s="34" t="s">
        <v>27</v>
      </c>
      <c r="B316" s="35">
        <f t="shared" si="6"/>
        <v>45241</v>
      </c>
      <c r="C316" s="36">
        <v>12.0</v>
      </c>
      <c r="D316" s="36" t="s">
        <v>22</v>
      </c>
      <c r="E316" s="38"/>
      <c r="F316" s="27"/>
      <c r="H316" s="25"/>
      <c r="J316" s="25"/>
      <c r="L316" s="25"/>
      <c r="N316" s="23"/>
      <c r="P316" s="24"/>
      <c r="R316" s="24"/>
      <c r="T316" s="24"/>
      <c r="V316" s="25"/>
      <c r="X316" s="25"/>
      <c r="Y316" s="26"/>
      <c r="Z316" s="27"/>
      <c r="AB316" s="25"/>
      <c r="AD316" s="25"/>
      <c r="AF316" s="25"/>
      <c r="AH316" s="25"/>
      <c r="AJ316" s="25"/>
      <c r="AK316" s="26"/>
      <c r="AL316" s="39">
        <f t="shared" si="1"/>
        <v>0</v>
      </c>
      <c r="AM316" s="36">
        <f t="shared" si="2"/>
        <v>0</v>
      </c>
      <c r="AN316" s="36">
        <f t="shared" si="3"/>
        <v>0</v>
      </c>
      <c r="AO316" s="36">
        <f t="shared" si="4"/>
        <v>0</v>
      </c>
      <c r="AP316" s="40" t="str">
        <f t="shared" si="5"/>
        <v/>
      </c>
    </row>
    <row r="317" ht="15.75" customHeight="1">
      <c r="A317" s="46" t="s">
        <v>28</v>
      </c>
      <c r="B317" s="47">
        <f t="shared" si="6"/>
        <v>45242</v>
      </c>
      <c r="C317" s="49">
        <v>12.0</v>
      </c>
      <c r="D317" s="49" t="s">
        <v>22</v>
      </c>
      <c r="E317" s="52"/>
      <c r="F317" s="59"/>
      <c r="G317" s="55"/>
      <c r="H317" s="57"/>
      <c r="I317" s="55"/>
      <c r="J317" s="57"/>
      <c r="K317" s="55"/>
      <c r="L317" s="57"/>
      <c r="M317" s="55"/>
      <c r="N317" s="53"/>
      <c r="O317" s="55"/>
      <c r="P317" s="56"/>
      <c r="Q317" s="55"/>
      <c r="R317" s="56"/>
      <c r="S317" s="55"/>
      <c r="T317" s="56"/>
      <c r="U317" s="55"/>
      <c r="V317" s="57"/>
      <c r="W317" s="55"/>
      <c r="X317" s="57"/>
      <c r="Y317" s="58"/>
      <c r="Z317" s="59"/>
      <c r="AA317" s="55"/>
      <c r="AB317" s="57"/>
      <c r="AC317" s="55"/>
      <c r="AD317" s="57"/>
      <c r="AE317" s="55"/>
      <c r="AF317" s="57"/>
      <c r="AG317" s="55"/>
      <c r="AH317" s="57"/>
      <c r="AI317" s="55"/>
      <c r="AJ317" s="57"/>
      <c r="AK317" s="58"/>
      <c r="AL317" s="64">
        <f t="shared" si="1"/>
        <v>0</v>
      </c>
      <c r="AM317" s="49">
        <f t="shared" si="2"/>
        <v>0</v>
      </c>
      <c r="AN317" s="49">
        <f t="shared" si="3"/>
        <v>0</v>
      </c>
      <c r="AO317" s="49">
        <f t="shared" si="4"/>
        <v>0</v>
      </c>
      <c r="AP317" s="66" t="str">
        <f t="shared" si="5"/>
        <v/>
      </c>
    </row>
    <row r="318" ht="15.75" customHeight="1">
      <c r="A318" s="18" t="s">
        <v>21</v>
      </c>
      <c r="B318" s="68">
        <f t="shared" si="6"/>
        <v>45243</v>
      </c>
      <c r="C318" s="20">
        <v>12.0</v>
      </c>
      <c r="D318" s="20" t="s">
        <v>34</v>
      </c>
      <c r="E318" s="22"/>
      <c r="F318" s="27"/>
      <c r="H318" s="25"/>
      <c r="J318" s="25"/>
      <c r="L318" s="25"/>
      <c r="N318" s="23"/>
      <c r="P318" s="24"/>
      <c r="R318" s="24"/>
      <c r="T318" s="24"/>
      <c r="V318" s="25"/>
      <c r="X318" s="25"/>
      <c r="Y318" s="26"/>
      <c r="Z318" s="27"/>
      <c r="AB318" s="25"/>
      <c r="AD318" s="25"/>
      <c r="AF318" s="25"/>
      <c r="AH318" s="25"/>
      <c r="AJ318" s="25"/>
      <c r="AK318" s="26"/>
      <c r="AL318" s="32">
        <f t="shared" si="1"/>
        <v>0</v>
      </c>
      <c r="AM318" s="20">
        <f t="shared" si="2"/>
        <v>0</v>
      </c>
      <c r="AN318" s="20">
        <f t="shared" si="3"/>
        <v>0</v>
      </c>
      <c r="AO318" s="20">
        <f t="shared" si="4"/>
        <v>0</v>
      </c>
      <c r="AP318" s="33" t="str">
        <f t="shared" si="5"/>
        <v/>
      </c>
    </row>
    <row r="319" ht="15.75" customHeight="1">
      <c r="A319" s="34" t="s">
        <v>23</v>
      </c>
      <c r="B319" s="35">
        <f t="shared" si="6"/>
        <v>45244</v>
      </c>
      <c r="C319" s="36">
        <v>12.0</v>
      </c>
      <c r="D319" s="36" t="s">
        <v>34</v>
      </c>
      <c r="E319" s="38"/>
      <c r="F319" s="27"/>
      <c r="H319" s="25"/>
      <c r="J319" s="25"/>
      <c r="L319" s="25"/>
      <c r="N319" s="23"/>
      <c r="P319" s="24"/>
      <c r="R319" s="24"/>
      <c r="T319" s="24"/>
      <c r="V319" s="25"/>
      <c r="X319" s="25"/>
      <c r="Y319" s="26"/>
      <c r="Z319" s="27"/>
      <c r="AB319" s="25"/>
      <c r="AD319" s="25"/>
      <c r="AF319" s="25"/>
      <c r="AH319" s="25"/>
      <c r="AJ319" s="25"/>
      <c r="AK319" s="26"/>
      <c r="AL319" s="39">
        <f t="shared" si="1"/>
        <v>0</v>
      </c>
      <c r="AM319" s="36">
        <f t="shared" si="2"/>
        <v>0</v>
      </c>
      <c r="AN319" s="36">
        <f t="shared" si="3"/>
        <v>0</v>
      </c>
      <c r="AO319" s="36">
        <f t="shared" si="4"/>
        <v>0</v>
      </c>
      <c r="AP319" s="40" t="str">
        <f t="shared" si="5"/>
        <v/>
      </c>
    </row>
    <row r="320" ht="15.75" customHeight="1">
      <c r="A320" s="34" t="s">
        <v>24</v>
      </c>
      <c r="B320" s="35">
        <f t="shared" si="6"/>
        <v>45245</v>
      </c>
      <c r="C320" s="36">
        <v>12.0</v>
      </c>
      <c r="D320" s="36" t="s">
        <v>34</v>
      </c>
      <c r="E320" s="38"/>
      <c r="F320" s="27"/>
      <c r="H320" s="25"/>
      <c r="J320" s="25"/>
      <c r="L320" s="25"/>
      <c r="N320" s="23"/>
      <c r="P320" s="24"/>
      <c r="R320" s="24"/>
      <c r="T320" s="24"/>
      <c r="V320" s="25"/>
      <c r="X320" s="25"/>
      <c r="Y320" s="26"/>
      <c r="Z320" s="27"/>
      <c r="AB320" s="25"/>
      <c r="AD320" s="25"/>
      <c r="AF320" s="25"/>
      <c r="AH320" s="25"/>
      <c r="AJ320" s="25"/>
      <c r="AK320" s="26"/>
      <c r="AL320" s="39">
        <f t="shared" si="1"/>
        <v>0</v>
      </c>
      <c r="AM320" s="36">
        <f t="shared" si="2"/>
        <v>0</v>
      </c>
      <c r="AN320" s="36">
        <f t="shared" si="3"/>
        <v>0</v>
      </c>
      <c r="AO320" s="36">
        <f t="shared" si="4"/>
        <v>0</v>
      </c>
      <c r="AP320" s="40" t="str">
        <f t="shared" si="5"/>
        <v/>
      </c>
    </row>
    <row r="321" ht="15.75" customHeight="1">
      <c r="A321" s="34" t="s">
        <v>25</v>
      </c>
      <c r="B321" s="35">
        <f t="shared" si="6"/>
        <v>45246</v>
      </c>
      <c r="C321" s="36">
        <v>12.0</v>
      </c>
      <c r="D321" s="36" t="s">
        <v>34</v>
      </c>
      <c r="E321" s="38"/>
      <c r="F321" s="27"/>
      <c r="H321" s="25"/>
      <c r="J321" s="25"/>
      <c r="L321" s="25"/>
      <c r="N321" s="23"/>
      <c r="P321" s="24"/>
      <c r="R321" s="24"/>
      <c r="T321" s="24"/>
      <c r="V321" s="25"/>
      <c r="X321" s="25"/>
      <c r="Y321" s="26"/>
      <c r="Z321" s="27"/>
      <c r="AB321" s="25"/>
      <c r="AD321" s="25"/>
      <c r="AF321" s="25"/>
      <c r="AH321" s="25"/>
      <c r="AJ321" s="25"/>
      <c r="AK321" s="26"/>
      <c r="AL321" s="39">
        <f t="shared" si="1"/>
        <v>0</v>
      </c>
      <c r="AM321" s="36">
        <f t="shared" si="2"/>
        <v>0</v>
      </c>
      <c r="AN321" s="36">
        <f t="shared" si="3"/>
        <v>0</v>
      </c>
      <c r="AO321" s="36">
        <f t="shared" si="4"/>
        <v>0</v>
      </c>
      <c r="AP321" s="40" t="str">
        <f t="shared" si="5"/>
        <v/>
      </c>
    </row>
    <row r="322" ht="15.75" customHeight="1">
      <c r="A322" s="34" t="s">
        <v>26</v>
      </c>
      <c r="B322" s="35">
        <f t="shared" si="6"/>
        <v>45247</v>
      </c>
      <c r="C322" s="36">
        <v>12.0</v>
      </c>
      <c r="D322" s="36" t="s">
        <v>34</v>
      </c>
      <c r="E322" s="38"/>
      <c r="F322" s="27"/>
      <c r="H322" s="25"/>
      <c r="J322" s="25"/>
      <c r="L322" s="25"/>
      <c r="N322" s="23"/>
      <c r="P322" s="24"/>
      <c r="R322" s="24"/>
      <c r="T322" s="24"/>
      <c r="V322" s="25"/>
      <c r="X322" s="25"/>
      <c r="Y322" s="26"/>
      <c r="Z322" s="27"/>
      <c r="AB322" s="25"/>
      <c r="AD322" s="25"/>
      <c r="AF322" s="25"/>
      <c r="AH322" s="25"/>
      <c r="AJ322" s="25"/>
      <c r="AK322" s="26"/>
      <c r="AL322" s="39">
        <f t="shared" si="1"/>
        <v>0</v>
      </c>
      <c r="AM322" s="36">
        <f t="shared" si="2"/>
        <v>0</v>
      </c>
      <c r="AN322" s="36">
        <f t="shared" si="3"/>
        <v>0</v>
      </c>
      <c r="AO322" s="36">
        <f t="shared" si="4"/>
        <v>0</v>
      </c>
      <c r="AP322" s="40" t="str">
        <f t="shared" si="5"/>
        <v/>
      </c>
    </row>
    <row r="323" ht="15.75" customHeight="1">
      <c r="A323" s="34" t="s">
        <v>27</v>
      </c>
      <c r="B323" s="35">
        <f t="shared" si="6"/>
        <v>45248</v>
      </c>
      <c r="C323" s="36">
        <v>12.0</v>
      </c>
      <c r="D323" s="36" t="s">
        <v>34</v>
      </c>
      <c r="E323" s="38"/>
      <c r="F323" s="27"/>
      <c r="H323" s="25"/>
      <c r="J323" s="25"/>
      <c r="L323" s="25"/>
      <c r="N323" s="23"/>
      <c r="P323" s="24"/>
      <c r="R323" s="24"/>
      <c r="T323" s="24"/>
      <c r="V323" s="25"/>
      <c r="X323" s="25"/>
      <c r="Y323" s="26"/>
      <c r="Z323" s="27"/>
      <c r="AB323" s="25"/>
      <c r="AD323" s="25"/>
      <c r="AF323" s="25"/>
      <c r="AH323" s="25"/>
      <c r="AJ323" s="25"/>
      <c r="AK323" s="26"/>
      <c r="AL323" s="39">
        <f t="shared" si="1"/>
        <v>0</v>
      </c>
      <c r="AM323" s="36">
        <f t="shared" si="2"/>
        <v>0</v>
      </c>
      <c r="AN323" s="36">
        <f t="shared" si="3"/>
        <v>0</v>
      </c>
      <c r="AO323" s="36">
        <f t="shared" si="4"/>
        <v>0</v>
      </c>
      <c r="AP323" s="40" t="str">
        <f t="shared" si="5"/>
        <v/>
      </c>
    </row>
    <row r="324" ht="15.75" customHeight="1">
      <c r="A324" s="46" t="s">
        <v>28</v>
      </c>
      <c r="B324" s="47">
        <f t="shared" si="6"/>
        <v>45249</v>
      </c>
      <c r="C324" s="49">
        <v>12.0</v>
      </c>
      <c r="D324" s="49" t="s">
        <v>34</v>
      </c>
      <c r="E324" s="52"/>
      <c r="F324" s="59"/>
      <c r="G324" s="55"/>
      <c r="H324" s="57"/>
      <c r="I324" s="55"/>
      <c r="J324" s="57"/>
      <c r="K324" s="55"/>
      <c r="L324" s="57"/>
      <c r="M324" s="55"/>
      <c r="N324" s="53"/>
      <c r="O324" s="55"/>
      <c r="P324" s="56"/>
      <c r="Q324" s="55"/>
      <c r="R324" s="56"/>
      <c r="S324" s="55"/>
      <c r="T324" s="56"/>
      <c r="U324" s="55"/>
      <c r="V324" s="57"/>
      <c r="W324" s="55"/>
      <c r="X324" s="57"/>
      <c r="Y324" s="58"/>
      <c r="Z324" s="59"/>
      <c r="AA324" s="55"/>
      <c r="AB324" s="57"/>
      <c r="AC324" s="55"/>
      <c r="AD324" s="57"/>
      <c r="AE324" s="55"/>
      <c r="AF324" s="57"/>
      <c r="AG324" s="55"/>
      <c r="AH324" s="57"/>
      <c r="AI324" s="55"/>
      <c r="AJ324" s="57"/>
      <c r="AK324" s="58"/>
      <c r="AL324" s="64">
        <f t="shared" si="1"/>
        <v>0</v>
      </c>
      <c r="AM324" s="49">
        <f t="shared" si="2"/>
        <v>0</v>
      </c>
      <c r="AN324" s="49">
        <f t="shared" si="3"/>
        <v>0</v>
      </c>
      <c r="AO324" s="49">
        <f t="shared" si="4"/>
        <v>0</v>
      </c>
      <c r="AP324" s="66" t="str">
        <f t="shared" si="5"/>
        <v/>
      </c>
    </row>
    <row r="325" ht="15.75" customHeight="1">
      <c r="A325" s="18" t="s">
        <v>21</v>
      </c>
      <c r="B325" s="68">
        <f t="shared" si="6"/>
        <v>45250</v>
      </c>
      <c r="C325" s="20">
        <v>12.0</v>
      </c>
      <c r="D325" s="20" t="s">
        <v>36</v>
      </c>
      <c r="E325" s="22"/>
      <c r="F325" s="27"/>
      <c r="H325" s="25"/>
      <c r="J325" s="25"/>
      <c r="L325" s="25"/>
      <c r="N325" s="23"/>
      <c r="P325" s="24"/>
      <c r="R325" s="24"/>
      <c r="T325" s="24"/>
      <c r="V325" s="25"/>
      <c r="X325" s="25"/>
      <c r="Y325" s="26"/>
      <c r="Z325" s="27"/>
      <c r="AB325" s="25"/>
      <c r="AD325" s="25"/>
      <c r="AF325" s="25"/>
      <c r="AH325" s="25"/>
      <c r="AJ325" s="25"/>
      <c r="AK325" s="26"/>
      <c r="AL325" s="32">
        <f t="shared" si="1"/>
        <v>0</v>
      </c>
      <c r="AM325" s="20">
        <f t="shared" si="2"/>
        <v>0</v>
      </c>
      <c r="AN325" s="20">
        <f t="shared" si="3"/>
        <v>0</v>
      </c>
      <c r="AO325" s="20">
        <f t="shared" si="4"/>
        <v>0</v>
      </c>
      <c r="AP325" s="33" t="str">
        <f t="shared" si="5"/>
        <v/>
      </c>
    </row>
    <row r="326" ht="15.75" customHeight="1">
      <c r="A326" s="34" t="s">
        <v>23</v>
      </c>
      <c r="B326" s="35">
        <f t="shared" si="6"/>
        <v>45251</v>
      </c>
      <c r="C326" s="36">
        <v>12.0</v>
      </c>
      <c r="D326" s="36" t="s">
        <v>36</v>
      </c>
      <c r="E326" s="38"/>
      <c r="F326" s="27"/>
      <c r="H326" s="25"/>
      <c r="J326" s="25"/>
      <c r="L326" s="25"/>
      <c r="N326" s="23"/>
      <c r="P326" s="24"/>
      <c r="R326" s="24"/>
      <c r="T326" s="24"/>
      <c r="V326" s="25"/>
      <c r="X326" s="25"/>
      <c r="Y326" s="26"/>
      <c r="Z326" s="27"/>
      <c r="AB326" s="25"/>
      <c r="AD326" s="25"/>
      <c r="AF326" s="25"/>
      <c r="AH326" s="25"/>
      <c r="AJ326" s="25"/>
      <c r="AK326" s="26"/>
      <c r="AL326" s="39">
        <f t="shared" si="1"/>
        <v>0</v>
      </c>
      <c r="AM326" s="36">
        <f t="shared" si="2"/>
        <v>0</v>
      </c>
      <c r="AN326" s="36">
        <f t="shared" si="3"/>
        <v>0</v>
      </c>
      <c r="AO326" s="36">
        <f t="shared" si="4"/>
        <v>0</v>
      </c>
      <c r="AP326" s="40" t="str">
        <f t="shared" si="5"/>
        <v/>
      </c>
    </row>
    <row r="327" ht="15.75" customHeight="1">
      <c r="A327" s="34" t="s">
        <v>24</v>
      </c>
      <c r="B327" s="35">
        <f t="shared" si="6"/>
        <v>45252</v>
      </c>
      <c r="C327" s="36">
        <v>12.0</v>
      </c>
      <c r="D327" s="36" t="s">
        <v>36</v>
      </c>
      <c r="E327" s="38"/>
      <c r="F327" s="27"/>
      <c r="H327" s="25"/>
      <c r="J327" s="25"/>
      <c r="L327" s="25"/>
      <c r="N327" s="23"/>
      <c r="P327" s="24"/>
      <c r="R327" s="24"/>
      <c r="T327" s="24"/>
      <c r="V327" s="25"/>
      <c r="X327" s="25"/>
      <c r="Y327" s="26"/>
      <c r="Z327" s="27"/>
      <c r="AB327" s="25"/>
      <c r="AD327" s="25"/>
      <c r="AF327" s="25"/>
      <c r="AH327" s="25"/>
      <c r="AJ327" s="25"/>
      <c r="AK327" s="26"/>
      <c r="AL327" s="39">
        <f t="shared" si="1"/>
        <v>0</v>
      </c>
      <c r="AM327" s="36">
        <f t="shared" si="2"/>
        <v>0</v>
      </c>
      <c r="AN327" s="36">
        <f t="shared" si="3"/>
        <v>0</v>
      </c>
      <c r="AO327" s="36">
        <f t="shared" si="4"/>
        <v>0</v>
      </c>
      <c r="AP327" s="40" t="str">
        <f t="shared" si="5"/>
        <v/>
      </c>
    </row>
    <row r="328" ht="15.75" customHeight="1">
      <c r="A328" s="34" t="s">
        <v>25</v>
      </c>
      <c r="B328" s="35">
        <f t="shared" si="6"/>
        <v>45253</v>
      </c>
      <c r="C328" s="36">
        <v>12.0</v>
      </c>
      <c r="D328" s="36" t="s">
        <v>36</v>
      </c>
      <c r="E328" s="38"/>
      <c r="F328" s="27"/>
      <c r="H328" s="25"/>
      <c r="J328" s="25"/>
      <c r="L328" s="25"/>
      <c r="N328" s="23"/>
      <c r="P328" s="24"/>
      <c r="R328" s="24"/>
      <c r="T328" s="24"/>
      <c r="V328" s="25"/>
      <c r="X328" s="25"/>
      <c r="Y328" s="26"/>
      <c r="Z328" s="27"/>
      <c r="AB328" s="25"/>
      <c r="AD328" s="25"/>
      <c r="AF328" s="25"/>
      <c r="AH328" s="25"/>
      <c r="AJ328" s="25"/>
      <c r="AK328" s="26"/>
      <c r="AL328" s="39">
        <f t="shared" si="1"/>
        <v>0</v>
      </c>
      <c r="AM328" s="36">
        <f t="shared" si="2"/>
        <v>0</v>
      </c>
      <c r="AN328" s="36">
        <f t="shared" si="3"/>
        <v>0</v>
      </c>
      <c r="AO328" s="36">
        <f t="shared" si="4"/>
        <v>0</v>
      </c>
      <c r="AP328" s="40" t="str">
        <f t="shared" si="5"/>
        <v/>
      </c>
    </row>
    <row r="329" ht="15.75" customHeight="1">
      <c r="A329" s="34" t="s">
        <v>26</v>
      </c>
      <c r="B329" s="35">
        <f t="shared" si="6"/>
        <v>45254</v>
      </c>
      <c r="C329" s="36">
        <v>12.0</v>
      </c>
      <c r="D329" s="36" t="s">
        <v>36</v>
      </c>
      <c r="E329" s="38"/>
      <c r="F329" s="27"/>
      <c r="H329" s="25"/>
      <c r="J329" s="25"/>
      <c r="L329" s="25"/>
      <c r="N329" s="23"/>
      <c r="P329" s="24"/>
      <c r="R329" s="24"/>
      <c r="T329" s="24"/>
      <c r="V329" s="25"/>
      <c r="X329" s="25"/>
      <c r="Y329" s="26"/>
      <c r="Z329" s="27"/>
      <c r="AB329" s="25"/>
      <c r="AD329" s="25"/>
      <c r="AF329" s="25"/>
      <c r="AH329" s="25"/>
      <c r="AJ329" s="25"/>
      <c r="AK329" s="26"/>
      <c r="AL329" s="39">
        <f t="shared" si="1"/>
        <v>0</v>
      </c>
      <c r="AM329" s="36">
        <f t="shared" si="2"/>
        <v>0</v>
      </c>
      <c r="AN329" s="36">
        <f t="shared" si="3"/>
        <v>0</v>
      </c>
      <c r="AO329" s="36">
        <f t="shared" si="4"/>
        <v>0</v>
      </c>
      <c r="AP329" s="40" t="str">
        <f t="shared" si="5"/>
        <v/>
      </c>
    </row>
    <row r="330" ht="15.75" customHeight="1">
      <c r="A330" s="34" t="s">
        <v>27</v>
      </c>
      <c r="B330" s="35">
        <f t="shared" si="6"/>
        <v>45255</v>
      </c>
      <c r="C330" s="36">
        <v>12.0</v>
      </c>
      <c r="D330" s="36" t="s">
        <v>36</v>
      </c>
      <c r="E330" s="38"/>
      <c r="F330" s="27"/>
      <c r="H330" s="25"/>
      <c r="J330" s="25"/>
      <c r="L330" s="25"/>
      <c r="N330" s="23"/>
      <c r="P330" s="24"/>
      <c r="R330" s="24"/>
      <c r="T330" s="24"/>
      <c r="V330" s="25"/>
      <c r="X330" s="25"/>
      <c r="Y330" s="26"/>
      <c r="Z330" s="27"/>
      <c r="AB330" s="25"/>
      <c r="AD330" s="25"/>
      <c r="AF330" s="25"/>
      <c r="AH330" s="25"/>
      <c r="AJ330" s="25"/>
      <c r="AK330" s="26"/>
      <c r="AL330" s="39">
        <f t="shared" si="1"/>
        <v>0</v>
      </c>
      <c r="AM330" s="36">
        <f t="shared" si="2"/>
        <v>0</v>
      </c>
      <c r="AN330" s="36">
        <f t="shared" si="3"/>
        <v>0</v>
      </c>
      <c r="AO330" s="36">
        <f t="shared" si="4"/>
        <v>0</v>
      </c>
      <c r="AP330" s="40" t="str">
        <f t="shared" si="5"/>
        <v/>
      </c>
    </row>
    <row r="331" ht="15.75" customHeight="1">
      <c r="A331" s="46" t="s">
        <v>28</v>
      </c>
      <c r="B331" s="47">
        <f t="shared" si="6"/>
        <v>45256</v>
      </c>
      <c r="C331" s="49">
        <v>12.0</v>
      </c>
      <c r="D331" s="49" t="s">
        <v>36</v>
      </c>
      <c r="E331" s="52"/>
      <c r="F331" s="59"/>
      <c r="G331" s="55"/>
      <c r="H331" s="57"/>
      <c r="I331" s="55"/>
      <c r="J331" s="57"/>
      <c r="K331" s="55"/>
      <c r="L331" s="57"/>
      <c r="M331" s="55"/>
      <c r="N331" s="53"/>
      <c r="O331" s="55"/>
      <c r="P331" s="56"/>
      <c r="Q331" s="55"/>
      <c r="R331" s="56"/>
      <c r="S331" s="55"/>
      <c r="T331" s="56"/>
      <c r="U331" s="55"/>
      <c r="V331" s="57"/>
      <c r="W331" s="55"/>
      <c r="X331" s="57"/>
      <c r="Y331" s="58"/>
      <c r="Z331" s="59"/>
      <c r="AA331" s="55"/>
      <c r="AB331" s="57"/>
      <c r="AC331" s="55"/>
      <c r="AD331" s="57"/>
      <c r="AE331" s="55"/>
      <c r="AF331" s="57"/>
      <c r="AG331" s="55"/>
      <c r="AH331" s="57"/>
      <c r="AI331" s="55"/>
      <c r="AJ331" s="57"/>
      <c r="AK331" s="58"/>
      <c r="AL331" s="64">
        <f t="shared" si="1"/>
        <v>0</v>
      </c>
      <c r="AM331" s="49">
        <f t="shared" si="2"/>
        <v>0</v>
      </c>
      <c r="AN331" s="49">
        <f t="shared" si="3"/>
        <v>0</v>
      </c>
      <c r="AO331" s="49">
        <f t="shared" si="4"/>
        <v>0</v>
      </c>
      <c r="AP331" s="66" t="str">
        <f t="shared" si="5"/>
        <v/>
      </c>
    </row>
    <row r="332" ht="15.75" customHeight="1">
      <c r="A332" s="18" t="s">
        <v>21</v>
      </c>
      <c r="B332" s="68">
        <f t="shared" si="6"/>
        <v>45257</v>
      </c>
      <c r="C332" s="20">
        <v>12.0</v>
      </c>
      <c r="D332" s="20" t="s">
        <v>37</v>
      </c>
      <c r="E332" s="22"/>
      <c r="F332" s="27"/>
      <c r="H332" s="25"/>
      <c r="J332" s="25"/>
      <c r="L332" s="25"/>
      <c r="N332" s="23"/>
      <c r="P332" s="24"/>
      <c r="R332" s="24"/>
      <c r="T332" s="24"/>
      <c r="V332" s="25"/>
      <c r="X332" s="25"/>
      <c r="Y332" s="26"/>
      <c r="Z332" s="27"/>
      <c r="AB332" s="25"/>
      <c r="AD332" s="25"/>
      <c r="AF332" s="25"/>
      <c r="AH332" s="25"/>
      <c r="AJ332" s="25"/>
      <c r="AK332" s="26"/>
      <c r="AL332" s="32">
        <f t="shared" si="1"/>
        <v>0</v>
      </c>
      <c r="AM332" s="20">
        <f t="shared" si="2"/>
        <v>0</v>
      </c>
      <c r="AN332" s="20">
        <f t="shared" si="3"/>
        <v>0</v>
      </c>
      <c r="AO332" s="20">
        <f t="shared" si="4"/>
        <v>0</v>
      </c>
      <c r="AP332" s="33" t="str">
        <f t="shared" si="5"/>
        <v/>
      </c>
    </row>
    <row r="333" ht="15.75" customHeight="1">
      <c r="A333" s="34" t="s">
        <v>23</v>
      </c>
      <c r="B333" s="35">
        <f t="shared" si="6"/>
        <v>45258</v>
      </c>
      <c r="C333" s="36">
        <v>12.0</v>
      </c>
      <c r="D333" s="36" t="s">
        <v>37</v>
      </c>
      <c r="E333" s="38"/>
      <c r="F333" s="27"/>
      <c r="H333" s="25"/>
      <c r="J333" s="25"/>
      <c r="L333" s="25"/>
      <c r="N333" s="23"/>
      <c r="P333" s="24"/>
      <c r="R333" s="24"/>
      <c r="T333" s="24"/>
      <c r="V333" s="25"/>
      <c r="X333" s="25"/>
      <c r="Y333" s="26"/>
      <c r="Z333" s="27"/>
      <c r="AB333" s="25"/>
      <c r="AD333" s="25"/>
      <c r="AF333" s="25"/>
      <c r="AH333" s="25"/>
      <c r="AJ333" s="25"/>
      <c r="AK333" s="26"/>
      <c r="AL333" s="39">
        <f t="shared" si="1"/>
        <v>0</v>
      </c>
      <c r="AM333" s="36">
        <f t="shared" si="2"/>
        <v>0</v>
      </c>
      <c r="AN333" s="36">
        <f t="shared" si="3"/>
        <v>0</v>
      </c>
      <c r="AO333" s="36">
        <f t="shared" si="4"/>
        <v>0</v>
      </c>
      <c r="AP333" s="40" t="str">
        <f t="shared" si="5"/>
        <v/>
      </c>
    </row>
    <row r="334" ht="15.75" customHeight="1">
      <c r="A334" s="34" t="s">
        <v>24</v>
      </c>
      <c r="B334" s="35">
        <f t="shared" si="6"/>
        <v>45259</v>
      </c>
      <c r="C334" s="36">
        <v>12.0</v>
      </c>
      <c r="D334" s="36" t="s">
        <v>37</v>
      </c>
      <c r="E334" s="38"/>
      <c r="F334" s="27"/>
      <c r="H334" s="25"/>
      <c r="J334" s="25"/>
      <c r="L334" s="25"/>
      <c r="N334" s="23"/>
      <c r="P334" s="24"/>
      <c r="R334" s="24"/>
      <c r="T334" s="24"/>
      <c r="V334" s="25"/>
      <c r="X334" s="25"/>
      <c r="Y334" s="26"/>
      <c r="Z334" s="27"/>
      <c r="AB334" s="25"/>
      <c r="AD334" s="25"/>
      <c r="AF334" s="25"/>
      <c r="AH334" s="25"/>
      <c r="AJ334" s="25"/>
      <c r="AK334" s="26"/>
      <c r="AL334" s="39">
        <f t="shared" si="1"/>
        <v>0</v>
      </c>
      <c r="AM334" s="36">
        <f t="shared" si="2"/>
        <v>0</v>
      </c>
      <c r="AN334" s="36">
        <f t="shared" si="3"/>
        <v>0</v>
      </c>
      <c r="AO334" s="36">
        <f t="shared" si="4"/>
        <v>0</v>
      </c>
      <c r="AP334" s="40" t="str">
        <f t="shared" si="5"/>
        <v/>
      </c>
    </row>
    <row r="335" ht="15.75" customHeight="1">
      <c r="A335" s="34" t="s">
        <v>25</v>
      </c>
      <c r="B335" s="35">
        <f t="shared" si="6"/>
        <v>45260</v>
      </c>
      <c r="C335" s="36">
        <v>12.0</v>
      </c>
      <c r="D335" s="36" t="s">
        <v>37</v>
      </c>
      <c r="E335" s="38"/>
      <c r="F335" s="27"/>
      <c r="H335" s="25"/>
      <c r="J335" s="25"/>
      <c r="L335" s="25"/>
      <c r="N335" s="23"/>
      <c r="P335" s="24"/>
      <c r="R335" s="24"/>
      <c r="T335" s="24"/>
      <c r="V335" s="25"/>
      <c r="X335" s="25"/>
      <c r="Y335" s="26"/>
      <c r="Z335" s="27"/>
      <c r="AB335" s="25"/>
      <c r="AD335" s="25"/>
      <c r="AF335" s="25"/>
      <c r="AH335" s="25"/>
      <c r="AJ335" s="25"/>
      <c r="AK335" s="26"/>
      <c r="AL335" s="39">
        <f t="shared" si="1"/>
        <v>0</v>
      </c>
      <c r="AM335" s="36">
        <f t="shared" si="2"/>
        <v>0</v>
      </c>
      <c r="AN335" s="36">
        <f t="shared" si="3"/>
        <v>0</v>
      </c>
      <c r="AO335" s="36">
        <f t="shared" si="4"/>
        <v>0</v>
      </c>
      <c r="AP335" s="40" t="str">
        <f t="shared" si="5"/>
        <v/>
      </c>
    </row>
    <row r="336" ht="15.75" customHeight="1">
      <c r="A336" s="34" t="s">
        <v>26</v>
      </c>
      <c r="B336" s="35">
        <f t="shared" si="6"/>
        <v>45261</v>
      </c>
      <c r="C336" s="36">
        <v>12.0</v>
      </c>
      <c r="D336" s="36" t="s">
        <v>37</v>
      </c>
      <c r="E336" s="38"/>
      <c r="F336" s="27"/>
      <c r="H336" s="25"/>
      <c r="J336" s="25"/>
      <c r="L336" s="25"/>
      <c r="N336" s="23"/>
      <c r="P336" s="24"/>
      <c r="R336" s="24"/>
      <c r="T336" s="24"/>
      <c r="V336" s="25"/>
      <c r="X336" s="25"/>
      <c r="Y336" s="26"/>
      <c r="Z336" s="27"/>
      <c r="AB336" s="25"/>
      <c r="AD336" s="25"/>
      <c r="AF336" s="25"/>
      <c r="AH336" s="25"/>
      <c r="AJ336" s="25"/>
      <c r="AK336" s="26"/>
      <c r="AL336" s="39">
        <f t="shared" si="1"/>
        <v>0</v>
      </c>
      <c r="AM336" s="36">
        <f t="shared" si="2"/>
        <v>0</v>
      </c>
      <c r="AN336" s="36">
        <f t="shared" si="3"/>
        <v>0</v>
      </c>
      <c r="AO336" s="36">
        <f t="shared" si="4"/>
        <v>0</v>
      </c>
      <c r="AP336" s="40" t="str">
        <f t="shared" si="5"/>
        <v/>
      </c>
    </row>
    <row r="337" ht="15.75" customHeight="1">
      <c r="A337" s="34" t="s">
        <v>27</v>
      </c>
      <c r="B337" s="35">
        <f t="shared" si="6"/>
        <v>45262</v>
      </c>
      <c r="C337" s="36">
        <v>12.0</v>
      </c>
      <c r="D337" s="36" t="s">
        <v>37</v>
      </c>
      <c r="E337" s="38"/>
      <c r="F337" s="27"/>
      <c r="H337" s="25"/>
      <c r="J337" s="25"/>
      <c r="L337" s="25"/>
      <c r="N337" s="23"/>
      <c r="P337" s="24"/>
      <c r="R337" s="24"/>
      <c r="T337" s="24"/>
      <c r="V337" s="25"/>
      <c r="X337" s="25"/>
      <c r="Y337" s="26"/>
      <c r="Z337" s="27"/>
      <c r="AB337" s="25"/>
      <c r="AD337" s="25"/>
      <c r="AF337" s="25"/>
      <c r="AH337" s="25"/>
      <c r="AJ337" s="25"/>
      <c r="AK337" s="26"/>
      <c r="AL337" s="39">
        <f t="shared" si="1"/>
        <v>0</v>
      </c>
      <c r="AM337" s="36">
        <f t="shared" si="2"/>
        <v>0</v>
      </c>
      <c r="AN337" s="36">
        <f t="shared" si="3"/>
        <v>0</v>
      </c>
      <c r="AO337" s="36">
        <f t="shared" si="4"/>
        <v>0</v>
      </c>
      <c r="AP337" s="40" t="str">
        <f t="shared" si="5"/>
        <v/>
      </c>
    </row>
    <row r="338" ht="15.75" customHeight="1">
      <c r="A338" s="46" t="s">
        <v>28</v>
      </c>
      <c r="B338" s="47">
        <f t="shared" si="6"/>
        <v>45263</v>
      </c>
      <c r="C338" s="49">
        <v>12.0</v>
      </c>
      <c r="D338" s="49" t="s">
        <v>37</v>
      </c>
      <c r="E338" s="52"/>
      <c r="F338" s="59"/>
      <c r="G338" s="55"/>
      <c r="H338" s="57"/>
      <c r="I338" s="55"/>
      <c r="J338" s="57"/>
      <c r="K338" s="55"/>
      <c r="L338" s="57"/>
      <c r="M338" s="55"/>
      <c r="N338" s="53"/>
      <c r="O338" s="55"/>
      <c r="P338" s="56"/>
      <c r="Q338" s="55"/>
      <c r="R338" s="56"/>
      <c r="S338" s="55"/>
      <c r="T338" s="56"/>
      <c r="U338" s="55"/>
      <c r="V338" s="57"/>
      <c r="W338" s="55"/>
      <c r="X338" s="57"/>
      <c r="Y338" s="58"/>
      <c r="Z338" s="59"/>
      <c r="AA338" s="55"/>
      <c r="AB338" s="57"/>
      <c r="AC338" s="55"/>
      <c r="AD338" s="57"/>
      <c r="AE338" s="55"/>
      <c r="AF338" s="57"/>
      <c r="AG338" s="55"/>
      <c r="AH338" s="57"/>
      <c r="AI338" s="55"/>
      <c r="AJ338" s="57"/>
      <c r="AK338" s="58"/>
      <c r="AL338" s="64">
        <f t="shared" si="1"/>
        <v>0</v>
      </c>
      <c r="AM338" s="49">
        <f t="shared" si="2"/>
        <v>0</v>
      </c>
      <c r="AN338" s="49">
        <f t="shared" si="3"/>
        <v>0</v>
      </c>
      <c r="AO338" s="49">
        <f t="shared" si="4"/>
        <v>0</v>
      </c>
      <c r="AP338" s="66" t="str">
        <f t="shared" si="5"/>
        <v/>
      </c>
    </row>
    <row r="339" ht="15.75" customHeight="1">
      <c r="A339" s="18" t="s">
        <v>21</v>
      </c>
      <c r="B339" s="68">
        <f t="shared" si="6"/>
        <v>45264</v>
      </c>
      <c r="C339" s="20">
        <v>13.0</v>
      </c>
      <c r="D339" s="20" t="s">
        <v>22</v>
      </c>
      <c r="E339" s="22"/>
      <c r="F339" s="27"/>
      <c r="H339" s="25"/>
      <c r="J339" s="25"/>
      <c r="L339" s="25"/>
      <c r="N339" s="23"/>
      <c r="P339" s="24"/>
      <c r="R339" s="24"/>
      <c r="T339" s="24"/>
      <c r="V339" s="25"/>
      <c r="X339" s="25"/>
      <c r="Y339" s="26"/>
      <c r="Z339" s="27"/>
      <c r="AB339" s="25"/>
      <c r="AD339" s="25"/>
      <c r="AF339" s="25"/>
      <c r="AH339" s="25"/>
      <c r="AJ339" s="25"/>
      <c r="AK339" s="26"/>
      <c r="AL339" s="32">
        <f t="shared" si="1"/>
        <v>0</v>
      </c>
      <c r="AM339" s="20">
        <f t="shared" si="2"/>
        <v>0</v>
      </c>
      <c r="AN339" s="20">
        <f t="shared" si="3"/>
        <v>0</v>
      </c>
      <c r="AO339" s="20">
        <f t="shared" si="4"/>
        <v>0</v>
      </c>
      <c r="AP339" s="33" t="str">
        <f t="shared" si="5"/>
        <v/>
      </c>
    </row>
    <row r="340" ht="15.75" customHeight="1">
      <c r="A340" s="34" t="s">
        <v>23</v>
      </c>
      <c r="B340" s="35">
        <f t="shared" si="6"/>
        <v>45265</v>
      </c>
      <c r="C340" s="36">
        <v>13.0</v>
      </c>
      <c r="D340" s="36" t="s">
        <v>22</v>
      </c>
      <c r="E340" s="38"/>
      <c r="F340" s="27"/>
      <c r="H340" s="25"/>
      <c r="J340" s="25"/>
      <c r="L340" s="25"/>
      <c r="N340" s="23"/>
      <c r="P340" s="24"/>
      <c r="R340" s="24"/>
      <c r="T340" s="24"/>
      <c r="V340" s="25"/>
      <c r="X340" s="25"/>
      <c r="Y340" s="26"/>
      <c r="Z340" s="27"/>
      <c r="AB340" s="25"/>
      <c r="AD340" s="25"/>
      <c r="AF340" s="25"/>
      <c r="AH340" s="25"/>
      <c r="AJ340" s="25"/>
      <c r="AK340" s="26"/>
      <c r="AL340" s="39">
        <f t="shared" si="1"/>
        <v>0</v>
      </c>
      <c r="AM340" s="36">
        <f t="shared" si="2"/>
        <v>0</v>
      </c>
      <c r="AN340" s="36">
        <f t="shared" si="3"/>
        <v>0</v>
      </c>
      <c r="AO340" s="36">
        <f t="shared" si="4"/>
        <v>0</v>
      </c>
      <c r="AP340" s="40" t="str">
        <f t="shared" si="5"/>
        <v/>
      </c>
    </row>
    <row r="341" ht="15.75" customHeight="1">
      <c r="A341" s="34" t="s">
        <v>24</v>
      </c>
      <c r="B341" s="35">
        <f t="shared" si="6"/>
        <v>45266</v>
      </c>
      <c r="C341" s="36">
        <v>13.0</v>
      </c>
      <c r="D341" s="36" t="s">
        <v>22</v>
      </c>
      <c r="E341" s="38"/>
      <c r="F341" s="27"/>
      <c r="H341" s="25"/>
      <c r="J341" s="25"/>
      <c r="L341" s="25"/>
      <c r="N341" s="23"/>
      <c r="P341" s="24"/>
      <c r="R341" s="24"/>
      <c r="T341" s="24"/>
      <c r="V341" s="25"/>
      <c r="X341" s="25"/>
      <c r="Y341" s="26"/>
      <c r="Z341" s="27"/>
      <c r="AB341" s="25"/>
      <c r="AD341" s="25"/>
      <c r="AF341" s="25"/>
      <c r="AH341" s="25"/>
      <c r="AJ341" s="25"/>
      <c r="AK341" s="26"/>
      <c r="AL341" s="39">
        <f t="shared" si="1"/>
        <v>0</v>
      </c>
      <c r="AM341" s="36">
        <f t="shared" si="2"/>
        <v>0</v>
      </c>
      <c r="AN341" s="36">
        <f t="shared" si="3"/>
        <v>0</v>
      </c>
      <c r="AO341" s="36">
        <f t="shared" si="4"/>
        <v>0</v>
      </c>
      <c r="AP341" s="40" t="str">
        <f t="shared" si="5"/>
        <v/>
      </c>
    </row>
    <row r="342" ht="15.75" customHeight="1">
      <c r="A342" s="34" t="s">
        <v>25</v>
      </c>
      <c r="B342" s="35">
        <f t="shared" si="6"/>
        <v>45267</v>
      </c>
      <c r="C342" s="36">
        <v>13.0</v>
      </c>
      <c r="D342" s="36" t="s">
        <v>22</v>
      </c>
      <c r="E342" s="38"/>
      <c r="F342" s="27"/>
      <c r="H342" s="25"/>
      <c r="J342" s="25"/>
      <c r="L342" s="25"/>
      <c r="N342" s="23"/>
      <c r="P342" s="24"/>
      <c r="R342" s="24"/>
      <c r="T342" s="24"/>
      <c r="V342" s="25"/>
      <c r="X342" s="25"/>
      <c r="Y342" s="26"/>
      <c r="Z342" s="27"/>
      <c r="AB342" s="25"/>
      <c r="AD342" s="25"/>
      <c r="AF342" s="25"/>
      <c r="AH342" s="25"/>
      <c r="AJ342" s="25"/>
      <c r="AK342" s="26"/>
      <c r="AL342" s="39">
        <f t="shared" si="1"/>
        <v>0</v>
      </c>
      <c r="AM342" s="36">
        <f t="shared" si="2"/>
        <v>0</v>
      </c>
      <c r="AN342" s="36">
        <f t="shared" si="3"/>
        <v>0</v>
      </c>
      <c r="AO342" s="36">
        <f t="shared" si="4"/>
        <v>0</v>
      </c>
      <c r="AP342" s="40" t="str">
        <f t="shared" si="5"/>
        <v/>
      </c>
    </row>
    <row r="343" ht="15.75" customHeight="1">
      <c r="A343" s="34" t="s">
        <v>26</v>
      </c>
      <c r="B343" s="35">
        <f t="shared" si="6"/>
        <v>45268</v>
      </c>
      <c r="C343" s="36">
        <v>13.0</v>
      </c>
      <c r="D343" s="36" t="s">
        <v>22</v>
      </c>
      <c r="E343" s="38"/>
      <c r="F343" s="27"/>
      <c r="H343" s="25"/>
      <c r="J343" s="25"/>
      <c r="L343" s="25"/>
      <c r="N343" s="23"/>
      <c r="P343" s="24"/>
      <c r="R343" s="24"/>
      <c r="T343" s="24"/>
      <c r="V343" s="25"/>
      <c r="X343" s="25"/>
      <c r="Y343" s="26"/>
      <c r="Z343" s="27"/>
      <c r="AB343" s="25"/>
      <c r="AD343" s="25"/>
      <c r="AF343" s="25"/>
      <c r="AH343" s="25"/>
      <c r="AJ343" s="25"/>
      <c r="AK343" s="26"/>
      <c r="AL343" s="39">
        <f t="shared" si="1"/>
        <v>0</v>
      </c>
      <c r="AM343" s="36">
        <f t="shared" si="2"/>
        <v>0</v>
      </c>
      <c r="AN343" s="36">
        <f t="shared" si="3"/>
        <v>0</v>
      </c>
      <c r="AO343" s="36">
        <f t="shared" si="4"/>
        <v>0</v>
      </c>
      <c r="AP343" s="40" t="str">
        <f t="shared" si="5"/>
        <v/>
      </c>
    </row>
    <row r="344" ht="15.75" customHeight="1">
      <c r="A344" s="34" t="s">
        <v>27</v>
      </c>
      <c r="B344" s="35">
        <f t="shared" si="6"/>
        <v>45269</v>
      </c>
      <c r="C344" s="36">
        <v>13.0</v>
      </c>
      <c r="D344" s="36" t="s">
        <v>22</v>
      </c>
      <c r="E344" s="38"/>
      <c r="F344" s="27"/>
      <c r="H344" s="25"/>
      <c r="J344" s="25"/>
      <c r="L344" s="25"/>
      <c r="N344" s="23"/>
      <c r="P344" s="24"/>
      <c r="R344" s="24"/>
      <c r="T344" s="24"/>
      <c r="V344" s="25"/>
      <c r="X344" s="25"/>
      <c r="Y344" s="26"/>
      <c r="Z344" s="27"/>
      <c r="AB344" s="25"/>
      <c r="AD344" s="25"/>
      <c r="AF344" s="25"/>
      <c r="AH344" s="25"/>
      <c r="AJ344" s="25"/>
      <c r="AK344" s="26"/>
      <c r="AL344" s="39">
        <f t="shared" si="1"/>
        <v>0</v>
      </c>
      <c r="AM344" s="36">
        <f t="shared" si="2"/>
        <v>0</v>
      </c>
      <c r="AN344" s="36">
        <f t="shared" si="3"/>
        <v>0</v>
      </c>
      <c r="AO344" s="36">
        <f t="shared" si="4"/>
        <v>0</v>
      </c>
      <c r="AP344" s="40" t="str">
        <f t="shared" si="5"/>
        <v/>
      </c>
    </row>
    <row r="345" ht="15.75" customHeight="1">
      <c r="A345" s="46" t="s">
        <v>28</v>
      </c>
      <c r="B345" s="47">
        <f t="shared" si="6"/>
        <v>45270</v>
      </c>
      <c r="C345" s="49">
        <v>13.0</v>
      </c>
      <c r="D345" s="49" t="s">
        <v>22</v>
      </c>
      <c r="E345" s="52"/>
      <c r="F345" s="59"/>
      <c r="G345" s="55"/>
      <c r="H345" s="57"/>
      <c r="I345" s="55"/>
      <c r="J345" s="57"/>
      <c r="K345" s="55"/>
      <c r="L345" s="57"/>
      <c r="M345" s="55"/>
      <c r="N345" s="53"/>
      <c r="O345" s="55"/>
      <c r="P345" s="56"/>
      <c r="Q345" s="55"/>
      <c r="R345" s="56"/>
      <c r="S345" s="55"/>
      <c r="T345" s="56"/>
      <c r="U345" s="55"/>
      <c r="V345" s="57"/>
      <c r="W345" s="55"/>
      <c r="X345" s="57"/>
      <c r="Y345" s="58"/>
      <c r="Z345" s="59"/>
      <c r="AA345" s="55"/>
      <c r="AB345" s="57"/>
      <c r="AC345" s="55"/>
      <c r="AD345" s="57"/>
      <c r="AE345" s="55"/>
      <c r="AF345" s="57"/>
      <c r="AG345" s="55"/>
      <c r="AH345" s="57"/>
      <c r="AI345" s="55"/>
      <c r="AJ345" s="57"/>
      <c r="AK345" s="58"/>
      <c r="AL345" s="64">
        <f t="shared" si="1"/>
        <v>0</v>
      </c>
      <c r="AM345" s="49">
        <f t="shared" si="2"/>
        <v>0</v>
      </c>
      <c r="AN345" s="49">
        <f t="shared" si="3"/>
        <v>0</v>
      </c>
      <c r="AO345" s="49">
        <f t="shared" si="4"/>
        <v>0</v>
      </c>
      <c r="AP345" s="66" t="str">
        <f t="shared" si="5"/>
        <v/>
      </c>
    </row>
    <row r="346" ht="15.75" customHeight="1">
      <c r="A346" s="18" t="s">
        <v>21</v>
      </c>
      <c r="B346" s="68">
        <f t="shared" si="6"/>
        <v>45271</v>
      </c>
      <c r="C346" s="20">
        <v>13.0</v>
      </c>
      <c r="D346" s="20" t="s">
        <v>34</v>
      </c>
      <c r="E346" s="22"/>
      <c r="F346" s="27"/>
      <c r="H346" s="25"/>
      <c r="J346" s="25"/>
      <c r="L346" s="25"/>
      <c r="N346" s="23"/>
      <c r="P346" s="24"/>
      <c r="R346" s="24"/>
      <c r="T346" s="24"/>
      <c r="V346" s="25"/>
      <c r="X346" s="25"/>
      <c r="Y346" s="26"/>
      <c r="Z346" s="27"/>
      <c r="AB346" s="25"/>
      <c r="AD346" s="25"/>
      <c r="AF346" s="25"/>
      <c r="AH346" s="25"/>
      <c r="AJ346" s="25"/>
      <c r="AK346" s="26"/>
      <c r="AL346" s="32">
        <f t="shared" si="1"/>
        <v>0</v>
      </c>
      <c r="AM346" s="20">
        <f t="shared" si="2"/>
        <v>0</v>
      </c>
      <c r="AN346" s="20">
        <f t="shared" si="3"/>
        <v>0</v>
      </c>
      <c r="AO346" s="20">
        <f t="shared" si="4"/>
        <v>0</v>
      </c>
      <c r="AP346" s="33" t="str">
        <f t="shared" si="5"/>
        <v/>
      </c>
    </row>
    <row r="347" ht="15.75" customHeight="1">
      <c r="A347" s="34" t="s">
        <v>23</v>
      </c>
      <c r="B347" s="35">
        <f t="shared" si="6"/>
        <v>45272</v>
      </c>
      <c r="C347" s="36">
        <v>13.0</v>
      </c>
      <c r="D347" s="36" t="s">
        <v>34</v>
      </c>
      <c r="E347" s="38"/>
      <c r="F347" s="27"/>
      <c r="H347" s="25"/>
      <c r="J347" s="25"/>
      <c r="L347" s="25"/>
      <c r="N347" s="23"/>
      <c r="P347" s="24"/>
      <c r="R347" s="24"/>
      <c r="T347" s="24"/>
      <c r="V347" s="25"/>
      <c r="X347" s="25"/>
      <c r="Y347" s="26"/>
      <c r="Z347" s="27"/>
      <c r="AB347" s="25"/>
      <c r="AD347" s="25"/>
      <c r="AF347" s="25"/>
      <c r="AH347" s="25"/>
      <c r="AJ347" s="25"/>
      <c r="AK347" s="26"/>
      <c r="AL347" s="39">
        <f t="shared" si="1"/>
        <v>0</v>
      </c>
      <c r="AM347" s="36">
        <f t="shared" si="2"/>
        <v>0</v>
      </c>
      <c r="AN347" s="36">
        <f t="shared" si="3"/>
        <v>0</v>
      </c>
      <c r="AO347" s="36">
        <f t="shared" si="4"/>
        <v>0</v>
      </c>
      <c r="AP347" s="40" t="str">
        <f t="shared" si="5"/>
        <v/>
      </c>
    </row>
    <row r="348" ht="15.75" customHeight="1">
      <c r="A348" s="34" t="s">
        <v>24</v>
      </c>
      <c r="B348" s="35">
        <f t="shared" si="6"/>
        <v>45273</v>
      </c>
      <c r="C348" s="36">
        <v>13.0</v>
      </c>
      <c r="D348" s="36" t="s">
        <v>34</v>
      </c>
      <c r="E348" s="38"/>
      <c r="F348" s="27"/>
      <c r="H348" s="25"/>
      <c r="J348" s="25"/>
      <c r="L348" s="25"/>
      <c r="N348" s="23"/>
      <c r="P348" s="24"/>
      <c r="R348" s="24"/>
      <c r="T348" s="24"/>
      <c r="V348" s="25"/>
      <c r="X348" s="25"/>
      <c r="Y348" s="26"/>
      <c r="Z348" s="27"/>
      <c r="AB348" s="25"/>
      <c r="AD348" s="25"/>
      <c r="AF348" s="25"/>
      <c r="AH348" s="25"/>
      <c r="AJ348" s="25"/>
      <c r="AK348" s="26"/>
      <c r="AL348" s="39">
        <f t="shared" si="1"/>
        <v>0</v>
      </c>
      <c r="AM348" s="36">
        <f t="shared" si="2"/>
        <v>0</v>
      </c>
      <c r="AN348" s="36">
        <f t="shared" si="3"/>
        <v>0</v>
      </c>
      <c r="AO348" s="36">
        <f t="shared" si="4"/>
        <v>0</v>
      </c>
      <c r="AP348" s="40" t="str">
        <f t="shared" si="5"/>
        <v/>
      </c>
    </row>
    <row r="349" ht="15.75" customHeight="1">
      <c r="A349" s="34" t="s">
        <v>25</v>
      </c>
      <c r="B349" s="35">
        <f t="shared" si="6"/>
        <v>45274</v>
      </c>
      <c r="C349" s="36">
        <v>13.0</v>
      </c>
      <c r="D349" s="36" t="s">
        <v>34</v>
      </c>
      <c r="E349" s="38"/>
      <c r="F349" s="27"/>
      <c r="H349" s="25"/>
      <c r="J349" s="25"/>
      <c r="L349" s="25"/>
      <c r="N349" s="23"/>
      <c r="P349" s="24"/>
      <c r="R349" s="24"/>
      <c r="T349" s="24"/>
      <c r="V349" s="25"/>
      <c r="X349" s="25"/>
      <c r="Y349" s="26"/>
      <c r="Z349" s="27"/>
      <c r="AB349" s="25"/>
      <c r="AD349" s="25"/>
      <c r="AF349" s="25"/>
      <c r="AH349" s="25"/>
      <c r="AJ349" s="25"/>
      <c r="AK349" s="26"/>
      <c r="AL349" s="39">
        <f t="shared" si="1"/>
        <v>0</v>
      </c>
      <c r="AM349" s="36">
        <f t="shared" si="2"/>
        <v>0</v>
      </c>
      <c r="AN349" s="36">
        <f t="shared" si="3"/>
        <v>0</v>
      </c>
      <c r="AO349" s="36">
        <f t="shared" si="4"/>
        <v>0</v>
      </c>
      <c r="AP349" s="40" t="str">
        <f t="shared" si="5"/>
        <v/>
      </c>
    </row>
    <row r="350" ht="15.75" customHeight="1">
      <c r="A350" s="34" t="s">
        <v>26</v>
      </c>
      <c r="B350" s="35">
        <f t="shared" si="6"/>
        <v>45275</v>
      </c>
      <c r="C350" s="36">
        <v>13.0</v>
      </c>
      <c r="D350" s="36" t="s">
        <v>34</v>
      </c>
      <c r="E350" s="38"/>
      <c r="F350" s="27"/>
      <c r="H350" s="25"/>
      <c r="J350" s="25"/>
      <c r="L350" s="25"/>
      <c r="N350" s="23"/>
      <c r="P350" s="24"/>
      <c r="R350" s="24"/>
      <c r="T350" s="24"/>
      <c r="V350" s="25"/>
      <c r="X350" s="25"/>
      <c r="Y350" s="26"/>
      <c r="Z350" s="27"/>
      <c r="AB350" s="25"/>
      <c r="AD350" s="25"/>
      <c r="AF350" s="25"/>
      <c r="AH350" s="25"/>
      <c r="AJ350" s="25"/>
      <c r="AK350" s="26"/>
      <c r="AL350" s="39">
        <f t="shared" si="1"/>
        <v>0</v>
      </c>
      <c r="AM350" s="36">
        <f t="shared" si="2"/>
        <v>0</v>
      </c>
      <c r="AN350" s="36">
        <f t="shared" si="3"/>
        <v>0</v>
      </c>
      <c r="AO350" s="36">
        <f t="shared" si="4"/>
        <v>0</v>
      </c>
      <c r="AP350" s="40" t="str">
        <f t="shared" si="5"/>
        <v/>
      </c>
    </row>
    <row r="351" ht="15.75" customHeight="1">
      <c r="A351" s="34" t="s">
        <v>27</v>
      </c>
      <c r="B351" s="35">
        <f t="shared" si="6"/>
        <v>45276</v>
      </c>
      <c r="C351" s="36">
        <v>13.0</v>
      </c>
      <c r="D351" s="36" t="s">
        <v>34</v>
      </c>
      <c r="E351" s="38"/>
      <c r="F351" s="27"/>
      <c r="H351" s="25"/>
      <c r="J351" s="25"/>
      <c r="L351" s="25"/>
      <c r="N351" s="23"/>
      <c r="P351" s="24"/>
      <c r="R351" s="24"/>
      <c r="T351" s="24"/>
      <c r="V351" s="25"/>
      <c r="X351" s="25"/>
      <c r="Y351" s="26"/>
      <c r="Z351" s="27"/>
      <c r="AB351" s="25"/>
      <c r="AD351" s="25"/>
      <c r="AF351" s="25"/>
      <c r="AH351" s="25"/>
      <c r="AJ351" s="25"/>
      <c r="AK351" s="26"/>
      <c r="AL351" s="39">
        <f t="shared" si="1"/>
        <v>0</v>
      </c>
      <c r="AM351" s="36">
        <f t="shared" si="2"/>
        <v>0</v>
      </c>
      <c r="AN351" s="36">
        <f t="shared" si="3"/>
        <v>0</v>
      </c>
      <c r="AO351" s="36">
        <f t="shared" si="4"/>
        <v>0</v>
      </c>
      <c r="AP351" s="40" t="str">
        <f t="shared" si="5"/>
        <v/>
      </c>
    </row>
    <row r="352" ht="15.75" customHeight="1">
      <c r="A352" s="46" t="s">
        <v>28</v>
      </c>
      <c r="B352" s="47">
        <f t="shared" si="6"/>
        <v>45277</v>
      </c>
      <c r="C352" s="49">
        <v>13.0</v>
      </c>
      <c r="D352" s="49" t="s">
        <v>34</v>
      </c>
      <c r="E352" s="52"/>
      <c r="F352" s="59"/>
      <c r="G352" s="55"/>
      <c r="H352" s="57"/>
      <c r="I352" s="55"/>
      <c r="J352" s="57"/>
      <c r="K352" s="55"/>
      <c r="L352" s="57"/>
      <c r="M352" s="55"/>
      <c r="N352" s="53"/>
      <c r="O352" s="55"/>
      <c r="P352" s="56"/>
      <c r="Q352" s="55"/>
      <c r="R352" s="56"/>
      <c r="S352" s="55"/>
      <c r="T352" s="56"/>
      <c r="U352" s="55"/>
      <c r="V352" s="57"/>
      <c r="W352" s="55"/>
      <c r="X352" s="57"/>
      <c r="Y352" s="58"/>
      <c r="Z352" s="59"/>
      <c r="AA352" s="55"/>
      <c r="AB352" s="57"/>
      <c r="AC352" s="55"/>
      <c r="AD352" s="57"/>
      <c r="AE352" s="55"/>
      <c r="AF352" s="57"/>
      <c r="AG352" s="55"/>
      <c r="AH352" s="57"/>
      <c r="AI352" s="55"/>
      <c r="AJ352" s="57"/>
      <c r="AK352" s="58"/>
      <c r="AL352" s="64">
        <f t="shared" si="1"/>
        <v>0</v>
      </c>
      <c r="AM352" s="49">
        <f t="shared" si="2"/>
        <v>0</v>
      </c>
      <c r="AN352" s="49">
        <f t="shared" si="3"/>
        <v>0</v>
      </c>
      <c r="AO352" s="49">
        <f t="shared" si="4"/>
        <v>0</v>
      </c>
      <c r="AP352" s="66" t="str">
        <f t="shared" si="5"/>
        <v/>
      </c>
    </row>
    <row r="353" ht="15.75" customHeight="1">
      <c r="A353" s="18" t="s">
        <v>21</v>
      </c>
      <c r="B353" s="68">
        <f t="shared" si="6"/>
        <v>45278</v>
      </c>
      <c r="C353" s="20">
        <v>13.0</v>
      </c>
      <c r="D353" s="20" t="s">
        <v>36</v>
      </c>
      <c r="E353" s="22"/>
      <c r="F353" s="27"/>
      <c r="H353" s="25"/>
      <c r="J353" s="25"/>
      <c r="L353" s="25"/>
      <c r="N353" s="23"/>
      <c r="P353" s="24"/>
      <c r="R353" s="24"/>
      <c r="T353" s="24"/>
      <c r="V353" s="25"/>
      <c r="X353" s="25"/>
      <c r="Y353" s="26"/>
      <c r="Z353" s="27"/>
      <c r="AB353" s="25"/>
      <c r="AD353" s="25"/>
      <c r="AF353" s="25"/>
      <c r="AH353" s="25"/>
      <c r="AJ353" s="25"/>
      <c r="AK353" s="26"/>
      <c r="AL353" s="32">
        <f t="shared" si="1"/>
        <v>0</v>
      </c>
      <c r="AM353" s="20">
        <f t="shared" si="2"/>
        <v>0</v>
      </c>
      <c r="AN353" s="20">
        <f t="shared" si="3"/>
        <v>0</v>
      </c>
      <c r="AO353" s="20">
        <f t="shared" si="4"/>
        <v>0</v>
      </c>
      <c r="AP353" s="33" t="str">
        <f t="shared" si="5"/>
        <v/>
      </c>
    </row>
    <row r="354" ht="15.75" customHeight="1">
      <c r="A354" s="34" t="s">
        <v>23</v>
      </c>
      <c r="B354" s="35">
        <f t="shared" si="6"/>
        <v>45279</v>
      </c>
      <c r="C354" s="36">
        <v>13.0</v>
      </c>
      <c r="D354" s="36" t="s">
        <v>36</v>
      </c>
      <c r="E354" s="38"/>
      <c r="F354" s="27"/>
      <c r="H354" s="25"/>
      <c r="J354" s="25"/>
      <c r="L354" s="25"/>
      <c r="N354" s="23"/>
      <c r="P354" s="24"/>
      <c r="R354" s="24"/>
      <c r="T354" s="24"/>
      <c r="V354" s="25"/>
      <c r="X354" s="25"/>
      <c r="Y354" s="26"/>
      <c r="Z354" s="27"/>
      <c r="AB354" s="25"/>
      <c r="AD354" s="25"/>
      <c r="AF354" s="25"/>
      <c r="AH354" s="25"/>
      <c r="AJ354" s="25"/>
      <c r="AK354" s="26"/>
      <c r="AL354" s="39">
        <f t="shared" si="1"/>
        <v>0</v>
      </c>
      <c r="AM354" s="36">
        <f t="shared" si="2"/>
        <v>0</v>
      </c>
      <c r="AN354" s="36">
        <f t="shared" si="3"/>
        <v>0</v>
      </c>
      <c r="AO354" s="36">
        <f t="shared" si="4"/>
        <v>0</v>
      </c>
      <c r="AP354" s="40" t="str">
        <f t="shared" si="5"/>
        <v/>
      </c>
    </row>
    <row r="355" ht="15.75" customHeight="1">
      <c r="A355" s="34" t="s">
        <v>24</v>
      </c>
      <c r="B355" s="35">
        <f t="shared" si="6"/>
        <v>45280</v>
      </c>
      <c r="C355" s="36">
        <v>13.0</v>
      </c>
      <c r="D355" s="36" t="s">
        <v>36</v>
      </c>
      <c r="E355" s="38"/>
      <c r="F355" s="27"/>
      <c r="H355" s="25"/>
      <c r="J355" s="25"/>
      <c r="L355" s="25"/>
      <c r="N355" s="23"/>
      <c r="P355" s="24"/>
      <c r="R355" s="24"/>
      <c r="T355" s="24"/>
      <c r="V355" s="25"/>
      <c r="X355" s="25"/>
      <c r="Y355" s="26"/>
      <c r="Z355" s="27"/>
      <c r="AB355" s="25"/>
      <c r="AD355" s="25"/>
      <c r="AF355" s="25"/>
      <c r="AH355" s="25"/>
      <c r="AJ355" s="25"/>
      <c r="AK355" s="26"/>
      <c r="AL355" s="39">
        <f t="shared" si="1"/>
        <v>0</v>
      </c>
      <c r="AM355" s="36">
        <f t="shared" si="2"/>
        <v>0</v>
      </c>
      <c r="AN355" s="36">
        <f t="shared" si="3"/>
        <v>0</v>
      </c>
      <c r="AO355" s="36">
        <f t="shared" si="4"/>
        <v>0</v>
      </c>
      <c r="AP355" s="40" t="str">
        <f t="shared" si="5"/>
        <v/>
      </c>
    </row>
    <row r="356" ht="15.75" customHeight="1">
      <c r="A356" s="34" t="s">
        <v>25</v>
      </c>
      <c r="B356" s="35">
        <f t="shared" si="6"/>
        <v>45281</v>
      </c>
      <c r="C356" s="36">
        <v>13.0</v>
      </c>
      <c r="D356" s="36" t="s">
        <v>36</v>
      </c>
      <c r="E356" s="38"/>
      <c r="F356" s="27"/>
      <c r="H356" s="25"/>
      <c r="J356" s="25"/>
      <c r="L356" s="25"/>
      <c r="N356" s="23"/>
      <c r="P356" s="24"/>
      <c r="R356" s="24"/>
      <c r="T356" s="24"/>
      <c r="V356" s="25"/>
      <c r="X356" s="25"/>
      <c r="Y356" s="26"/>
      <c r="Z356" s="27"/>
      <c r="AB356" s="25"/>
      <c r="AD356" s="25"/>
      <c r="AF356" s="25"/>
      <c r="AH356" s="25"/>
      <c r="AJ356" s="25"/>
      <c r="AK356" s="26"/>
      <c r="AL356" s="39">
        <f t="shared" si="1"/>
        <v>0</v>
      </c>
      <c r="AM356" s="36">
        <f t="shared" si="2"/>
        <v>0</v>
      </c>
      <c r="AN356" s="36">
        <f t="shared" si="3"/>
        <v>0</v>
      </c>
      <c r="AO356" s="36">
        <f t="shared" si="4"/>
        <v>0</v>
      </c>
      <c r="AP356" s="40" t="str">
        <f t="shared" si="5"/>
        <v/>
      </c>
    </row>
    <row r="357" ht="15.75" customHeight="1">
      <c r="A357" s="34" t="s">
        <v>26</v>
      </c>
      <c r="B357" s="35">
        <f t="shared" si="6"/>
        <v>45282</v>
      </c>
      <c r="C357" s="36">
        <v>13.0</v>
      </c>
      <c r="D357" s="36" t="s">
        <v>36</v>
      </c>
      <c r="E357" s="38"/>
      <c r="F357" s="27"/>
      <c r="H357" s="25"/>
      <c r="J357" s="25"/>
      <c r="L357" s="25"/>
      <c r="N357" s="23"/>
      <c r="P357" s="24"/>
      <c r="R357" s="24"/>
      <c r="T357" s="24"/>
      <c r="V357" s="25"/>
      <c r="X357" s="25"/>
      <c r="Y357" s="26"/>
      <c r="Z357" s="27"/>
      <c r="AB357" s="25"/>
      <c r="AD357" s="25"/>
      <c r="AF357" s="25"/>
      <c r="AH357" s="25"/>
      <c r="AJ357" s="25"/>
      <c r="AK357" s="26"/>
      <c r="AL357" s="39">
        <f t="shared" si="1"/>
        <v>0</v>
      </c>
      <c r="AM357" s="36">
        <f t="shared" si="2"/>
        <v>0</v>
      </c>
      <c r="AN357" s="36">
        <f t="shared" si="3"/>
        <v>0</v>
      </c>
      <c r="AO357" s="36">
        <f t="shared" si="4"/>
        <v>0</v>
      </c>
      <c r="AP357" s="40" t="str">
        <f t="shared" si="5"/>
        <v/>
      </c>
    </row>
    <row r="358" ht="15.75" customHeight="1">
      <c r="A358" s="34" t="s">
        <v>27</v>
      </c>
      <c r="B358" s="35">
        <f t="shared" si="6"/>
        <v>45283</v>
      </c>
      <c r="C358" s="36">
        <v>13.0</v>
      </c>
      <c r="D358" s="36" t="s">
        <v>36</v>
      </c>
      <c r="E358" s="38"/>
      <c r="F358" s="27"/>
      <c r="H358" s="25"/>
      <c r="J358" s="25"/>
      <c r="L358" s="25"/>
      <c r="N358" s="23"/>
      <c r="P358" s="24"/>
      <c r="R358" s="24"/>
      <c r="T358" s="24"/>
      <c r="V358" s="25"/>
      <c r="X358" s="25"/>
      <c r="Y358" s="26"/>
      <c r="Z358" s="27"/>
      <c r="AB358" s="25"/>
      <c r="AD358" s="25"/>
      <c r="AF358" s="25"/>
      <c r="AH358" s="25"/>
      <c r="AJ358" s="25"/>
      <c r="AK358" s="26"/>
      <c r="AL358" s="39">
        <f t="shared" si="1"/>
        <v>0</v>
      </c>
      <c r="AM358" s="36">
        <f t="shared" si="2"/>
        <v>0</v>
      </c>
      <c r="AN358" s="36">
        <f t="shared" si="3"/>
        <v>0</v>
      </c>
      <c r="AO358" s="36">
        <f t="shared" si="4"/>
        <v>0</v>
      </c>
      <c r="AP358" s="40" t="str">
        <f t="shared" si="5"/>
        <v/>
      </c>
    </row>
    <row r="359" ht="15.75" customHeight="1">
      <c r="A359" s="46" t="s">
        <v>28</v>
      </c>
      <c r="B359" s="47">
        <f t="shared" si="6"/>
        <v>45284</v>
      </c>
      <c r="C359" s="49">
        <v>13.0</v>
      </c>
      <c r="D359" s="49" t="s">
        <v>36</v>
      </c>
      <c r="E359" s="52"/>
      <c r="F359" s="59"/>
      <c r="G359" s="55"/>
      <c r="H359" s="57"/>
      <c r="I359" s="55"/>
      <c r="J359" s="57"/>
      <c r="K359" s="55"/>
      <c r="L359" s="57"/>
      <c r="M359" s="55"/>
      <c r="N359" s="53"/>
      <c r="O359" s="55"/>
      <c r="P359" s="56"/>
      <c r="Q359" s="55"/>
      <c r="R359" s="56"/>
      <c r="S359" s="55"/>
      <c r="T359" s="56"/>
      <c r="U359" s="55"/>
      <c r="V359" s="57"/>
      <c r="W359" s="55"/>
      <c r="X359" s="57"/>
      <c r="Y359" s="58"/>
      <c r="Z359" s="59"/>
      <c r="AA359" s="55"/>
      <c r="AB359" s="57"/>
      <c r="AC359" s="55"/>
      <c r="AD359" s="57"/>
      <c r="AE359" s="55"/>
      <c r="AF359" s="57"/>
      <c r="AG359" s="55"/>
      <c r="AH359" s="57"/>
      <c r="AI359" s="55"/>
      <c r="AJ359" s="57"/>
      <c r="AK359" s="58"/>
      <c r="AL359" s="64">
        <f t="shared" si="1"/>
        <v>0</v>
      </c>
      <c r="AM359" s="49">
        <f t="shared" si="2"/>
        <v>0</v>
      </c>
      <c r="AN359" s="49">
        <f t="shared" si="3"/>
        <v>0</v>
      </c>
      <c r="AO359" s="49">
        <f t="shared" si="4"/>
        <v>0</v>
      </c>
      <c r="AP359" s="66" t="str">
        <f t="shared" si="5"/>
        <v/>
      </c>
    </row>
    <row r="360" ht="15.75" customHeight="1">
      <c r="A360" s="310"/>
      <c r="B360" s="311"/>
      <c r="C360" s="312"/>
      <c r="D360" s="312"/>
      <c r="E360" s="312"/>
      <c r="F360" s="312"/>
      <c r="G360" s="312"/>
      <c r="H360" s="312"/>
      <c r="I360" s="312"/>
      <c r="J360" s="312"/>
      <c r="K360" s="312"/>
      <c r="L360" s="312"/>
      <c r="M360" s="312"/>
      <c r="N360" s="312"/>
      <c r="O360" s="312"/>
      <c r="P360" s="312"/>
      <c r="Q360" s="312"/>
      <c r="R360" s="312"/>
      <c r="S360" s="312"/>
      <c r="T360" s="312"/>
      <c r="U360" s="312"/>
      <c r="V360" s="312"/>
      <c r="W360" s="312"/>
      <c r="X360" s="312"/>
      <c r="Y360" s="312"/>
      <c r="Z360" s="312"/>
      <c r="AA360" s="312"/>
      <c r="AB360" s="312"/>
      <c r="AC360" s="312"/>
      <c r="AD360" s="312"/>
      <c r="AE360" s="312"/>
      <c r="AF360" s="312"/>
      <c r="AG360" s="312"/>
      <c r="AH360" s="312"/>
      <c r="AI360" s="312"/>
      <c r="AJ360" s="312"/>
      <c r="AK360" s="312"/>
      <c r="AL360" s="313">
        <f t="shared" ref="AL360:AP360" si="7">sum(AL3:AL359)</f>
        <v>0</v>
      </c>
      <c r="AM360" s="312">
        <f t="shared" si="7"/>
        <v>0</v>
      </c>
      <c r="AN360" s="312">
        <f t="shared" si="7"/>
        <v>0</v>
      </c>
      <c r="AO360" s="312">
        <f t="shared" si="7"/>
        <v>0</v>
      </c>
      <c r="AP360" s="313">
        <f t="shared" si="7"/>
        <v>0</v>
      </c>
    </row>
    <row r="361" ht="15.75" customHeight="1">
      <c r="A361" s="310"/>
      <c r="B361" s="311"/>
      <c r="C361" s="312"/>
      <c r="D361" s="312"/>
      <c r="E361" s="312"/>
      <c r="F361" s="312"/>
      <c r="G361" s="314"/>
      <c r="H361" s="312"/>
      <c r="I361" s="314"/>
      <c r="J361" s="312"/>
      <c r="K361" s="312"/>
      <c r="L361" s="312"/>
      <c r="M361" s="312"/>
      <c r="N361" s="314"/>
      <c r="O361" s="314"/>
      <c r="P361" s="314"/>
      <c r="Q361" s="314"/>
      <c r="R361" s="314"/>
      <c r="S361" s="314"/>
      <c r="T361" s="314"/>
      <c r="U361" s="314"/>
      <c r="V361" s="315"/>
      <c r="W361" s="312"/>
      <c r="X361" s="312"/>
      <c r="Y361" s="312"/>
      <c r="Z361" s="312"/>
      <c r="AA361" s="312"/>
      <c r="AB361" s="312"/>
      <c r="AC361" s="312"/>
      <c r="AD361" s="312"/>
      <c r="AE361" s="312"/>
      <c r="AF361" s="312"/>
      <c r="AG361" s="312"/>
      <c r="AH361" s="312"/>
      <c r="AI361" s="312"/>
      <c r="AJ361" s="312"/>
      <c r="AK361" s="312"/>
      <c r="AL361" s="316"/>
      <c r="AM361" s="312"/>
      <c r="AN361" s="312"/>
      <c r="AO361" s="317"/>
      <c r="AP361" s="312"/>
    </row>
    <row r="362" ht="15.75" customHeight="1">
      <c r="A362" s="318"/>
      <c r="B362" s="312"/>
      <c r="C362" s="312"/>
      <c r="D362" s="312"/>
      <c r="E362" s="312"/>
      <c r="F362" s="312"/>
      <c r="G362" s="312"/>
      <c r="H362" s="312"/>
      <c r="I362" s="312"/>
      <c r="J362" s="312"/>
      <c r="K362" s="312"/>
      <c r="L362" s="312"/>
      <c r="M362" s="312"/>
      <c r="N362" s="312"/>
      <c r="O362" s="312"/>
      <c r="P362" s="312"/>
      <c r="Q362" s="312"/>
      <c r="R362" s="312"/>
      <c r="S362" s="312"/>
      <c r="T362" s="312"/>
      <c r="U362" s="312"/>
      <c r="V362" s="312"/>
      <c r="W362" s="312"/>
      <c r="X362" s="312"/>
      <c r="Y362" s="312"/>
      <c r="Z362" s="312"/>
      <c r="AA362" s="312"/>
      <c r="AB362" s="312"/>
      <c r="AC362" s="312"/>
      <c r="AD362" s="312"/>
      <c r="AE362" s="312"/>
      <c r="AF362" s="312"/>
      <c r="AG362" s="312"/>
      <c r="AH362" s="312"/>
      <c r="AI362" s="312"/>
      <c r="AJ362" s="312"/>
      <c r="AK362" s="312"/>
      <c r="AL362" s="312"/>
      <c r="AM362" s="312"/>
      <c r="AN362" s="312"/>
      <c r="AO362" s="312"/>
      <c r="AP362" s="312"/>
    </row>
    <row r="363" ht="15.75" customHeight="1">
      <c r="A363" s="318"/>
      <c r="B363" s="312"/>
      <c r="C363" s="312"/>
      <c r="D363" s="312"/>
      <c r="E363" s="312"/>
      <c r="F363" s="312"/>
      <c r="G363" s="312"/>
      <c r="H363" s="312"/>
      <c r="I363" s="312"/>
      <c r="J363" s="312"/>
      <c r="K363" s="312"/>
      <c r="L363" s="312"/>
      <c r="M363" s="312"/>
      <c r="N363" s="312"/>
      <c r="O363" s="312"/>
      <c r="P363" s="312"/>
      <c r="Q363" s="312"/>
      <c r="R363" s="312"/>
      <c r="S363" s="312"/>
      <c r="T363" s="312"/>
      <c r="U363" s="312"/>
      <c r="V363" s="312"/>
      <c r="W363" s="312"/>
      <c r="X363" s="312"/>
      <c r="Y363" s="312"/>
      <c r="Z363" s="312"/>
      <c r="AA363" s="312"/>
      <c r="AB363" s="312"/>
      <c r="AC363" s="312"/>
      <c r="AD363" s="312"/>
      <c r="AE363" s="312"/>
      <c r="AF363" s="312"/>
      <c r="AG363" s="312"/>
      <c r="AH363" s="312"/>
      <c r="AI363" s="312"/>
      <c r="AJ363" s="312"/>
      <c r="AK363" s="312"/>
      <c r="AL363" s="319" t="s">
        <v>46</v>
      </c>
      <c r="AM363" s="320" t="s">
        <v>47</v>
      </c>
      <c r="AN363" s="320" t="s">
        <v>48</v>
      </c>
      <c r="AO363" s="320" t="s">
        <v>49</v>
      </c>
      <c r="AP363" s="312"/>
    </row>
    <row r="364" ht="15.75" customHeight="1">
      <c r="A364" s="318"/>
      <c r="B364" s="312"/>
      <c r="C364" s="312"/>
      <c r="D364" s="312"/>
      <c r="E364" s="312"/>
      <c r="F364" s="312"/>
      <c r="G364" s="312"/>
      <c r="H364" s="312"/>
      <c r="I364" s="312"/>
      <c r="J364" s="312"/>
      <c r="K364" s="312"/>
      <c r="L364" s="312"/>
      <c r="M364" s="312"/>
      <c r="N364" s="312"/>
      <c r="O364" s="312"/>
      <c r="P364" s="312"/>
      <c r="Q364" s="312"/>
      <c r="R364" s="312"/>
      <c r="S364" s="312"/>
      <c r="T364" s="312"/>
      <c r="U364" s="312"/>
      <c r="V364" s="312"/>
      <c r="W364" s="312"/>
      <c r="X364" s="312"/>
      <c r="Y364" s="312"/>
      <c r="Z364" s="312"/>
      <c r="AA364" s="312"/>
      <c r="AB364" s="312"/>
      <c r="AC364" s="312"/>
      <c r="AD364" s="312"/>
      <c r="AE364" s="312"/>
      <c r="AF364" s="312"/>
      <c r="AG364" s="312"/>
      <c r="AH364" s="312"/>
      <c r="AI364" s="312"/>
      <c r="AJ364" s="312"/>
      <c r="AK364" s="312"/>
      <c r="AL364" s="319">
        <v>1.0</v>
      </c>
      <c r="AM364" s="321">
        <f t="shared" ref="AM364:AM376" si="8">sumif($C$3:$C$359, AL364, $AL$3:$AL$359)</f>
        <v>0</v>
      </c>
      <c r="AN364" s="319">
        <f>sum(N3:S30)</f>
        <v>0</v>
      </c>
      <c r="AO364" s="319">
        <v>0.0</v>
      </c>
      <c r="AP364" s="312"/>
    </row>
    <row r="365" ht="15.75" customHeight="1">
      <c r="A365" s="318"/>
      <c r="B365" s="312"/>
      <c r="C365" s="312"/>
      <c r="D365" s="312"/>
      <c r="E365" s="312"/>
      <c r="F365" s="312"/>
      <c r="G365" s="312"/>
      <c r="H365" s="312"/>
      <c r="I365" s="312"/>
      <c r="J365" s="312"/>
      <c r="K365" s="312"/>
      <c r="L365" s="312"/>
      <c r="M365" s="312"/>
      <c r="N365" s="312"/>
      <c r="O365" s="312"/>
      <c r="P365" s="312"/>
      <c r="Q365" s="312"/>
      <c r="R365" s="312"/>
      <c r="S365" s="312"/>
      <c r="T365" s="312"/>
      <c r="U365" s="312"/>
      <c r="V365" s="312"/>
      <c r="W365" s="312"/>
      <c r="X365" s="312"/>
      <c r="Y365" s="312"/>
      <c r="Z365" s="312"/>
      <c r="AA365" s="312"/>
      <c r="AB365" s="312"/>
      <c r="AC365" s="312"/>
      <c r="AD365" s="312"/>
      <c r="AE365" s="312"/>
      <c r="AF365" s="312"/>
      <c r="AG365" s="312"/>
      <c r="AH365" s="312"/>
      <c r="AI365" s="312"/>
      <c r="AJ365" s="312"/>
      <c r="AK365" s="312"/>
      <c r="AL365" s="319">
        <v>2.0</v>
      </c>
      <c r="AM365" s="321">
        <f t="shared" si="8"/>
        <v>0</v>
      </c>
      <c r="AN365" s="319">
        <f>sum(N31:S58)</f>
        <v>0</v>
      </c>
      <c r="AO365" s="319">
        <f>sum(F31:M58)</f>
        <v>0</v>
      </c>
      <c r="AP365" s="312"/>
    </row>
    <row r="366" ht="15.75" customHeight="1">
      <c r="A366" s="318"/>
      <c r="B366" s="312"/>
      <c r="C366" s="312"/>
      <c r="D366" s="312"/>
      <c r="E366" s="312"/>
      <c r="F366" s="312"/>
      <c r="G366" s="312"/>
      <c r="H366" s="312"/>
      <c r="I366" s="312"/>
      <c r="J366" s="312"/>
      <c r="K366" s="312"/>
      <c r="L366" s="312"/>
      <c r="M366" s="312"/>
      <c r="N366" s="312"/>
      <c r="O366" s="312"/>
      <c r="P366" s="312"/>
      <c r="Q366" s="312"/>
      <c r="R366" s="312"/>
      <c r="S366" s="312"/>
      <c r="T366" s="312"/>
      <c r="U366" s="312"/>
      <c r="V366" s="312"/>
      <c r="W366" s="312"/>
      <c r="X366" s="312"/>
      <c r="Y366" s="312"/>
      <c r="Z366" s="312"/>
      <c r="AA366" s="312"/>
      <c r="AB366" s="312"/>
      <c r="AC366" s="312"/>
      <c r="AD366" s="312"/>
      <c r="AE366" s="312"/>
      <c r="AF366" s="312"/>
      <c r="AG366" s="312"/>
      <c r="AH366" s="312"/>
      <c r="AI366" s="312"/>
      <c r="AJ366" s="312"/>
      <c r="AK366" s="312"/>
      <c r="AL366" s="319">
        <v>3.0</v>
      </c>
      <c r="AM366" s="321">
        <f t="shared" si="8"/>
        <v>0</v>
      </c>
      <c r="AN366" s="319">
        <f>sum(N59:Y86)</f>
        <v>0</v>
      </c>
      <c r="AO366" s="319">
        <f>sum(F59:M86)</f>
        <v>0</v>
      </c>
      <c r="AP366" s="312"/>
    </row>
    <row r="367" ht="15.75" customHeight="1">
      <c r="A367" s="318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2"/>
      <c r="S367" s="312"/>
      <c r="T367" s="312"/>
      <c r="U367" s="312"/>
      <c r="V367" s="312"/>
      <c r="W367" s="312"/>
      <c r="X367" s="312"/>
      <c r="Y367" s="312"/>
      <c r="Z367" s="312"/>
      <c r="AA367" s="312"/>
      <c r="AB367" s="312"/>
      <c r="AC367" s="312"/>
      <c r="AD367" s="312"/>
      <c r="AE367" s="312"/>
      <c r="AF367" s="312"/>
      <c r="AG367" s="312"/>
      <c r="AH367" s="312"/>
      <c r="AI367" s="312"/>
      <c r="AJ367" s="312"/>
      <c r="AK367" s="312"/>
      <c r="AL367" s="319">
        <v>4.0</v>
      </c>
      <c r="AM367" s="321">
        <f t="shared" si="8"/>
        <v>0</v>
      </c>
      <c r="AN367" s="319">
        <f>sum(N87:Y114)</f>
        <v>0</v>
      </c>
      <c r="AO367" s="319">
        <v>0.0</v>
      </c>
      <c r="AP367" s="312"/>
    </row>
    <row r="368" ht="15.75" customHeight="1">
      <c r="A368" s="318"/>
      <c r="B368" s="312"/>
      <c r="C368" s="312"/>
      <c r="D368" s="312"/>
      <c r="E368" s="312"/>
      <c r="F368" s="312"/>
      <c r="G368" s="312"/>
      <c r="H368" s="312"/>
      <c r="I368" s="312"/>
      <c r="J368" s="312"/>
      <c r="K368" s="312"/>
      <c r="L368" s="312"/>
      <c r="M368" s="312"/>
      <c r="N368" s="312"/>
      <c r="O368" s="312"/>
      <c r="P368" s="312"/>
      <c r="Q368" s="312"/>
      <c r="R368" s="312"/>
      <c r="S368" s="312"/>
      <c r="T368" s="312"/>
      <c r="U368" s="312"/>
      <c r="V368" s="312"/>
      <c r="W368" s="312"/>
      <c r="X368" s="312"/>
      <c r="Y368" s="312"/>
      <c r="Z368" s="312"/>
      <c r="AA368" s="312"/>
      <c r="AB368" s="312"/>
      <c r="AC368" s="312"/>
      <c r="AD368" s="312"/>
      <c r="AE368" s="312"/>
      <c r="AF368" s="312"/>
      <c r="AG368" s="312"/>
      <c r="AH368" s="312"/>
      <c r="AI368" s="312"/>
      <c r="AJ368" s="312"/>
      <c r="AK368" s="312"/>
      <c r="AL368" s="319">
        <v>5.0</v>
      </c>
      <c r="AM368" s="321">
        <f t="shared" si="8"/>
        <v>0</v>
      </c>
      <c r="AN368" s="319">
        <f>sum(N115:Y142)</f>
        <v>0</v>
      </c>
      <c r="AO368" s="319">
        <v>0.0</v>
      </c>
      <c r="AP368" s="312"/>
    </row>
    <row r="369" ht="15.75" customHeight="1">
      <c r="A369" s="318"/>
      <c r="B369" s="312"/>
      <c r="C369" s="312"/>
      <c r="D369" s="312"/>
      <c r="E369" s="312"/>
      <c r="F369" s="312"/>
      <c r="G369" s="312"/>
      <c r="H369" s="312"/>
      <c r="I369" s="312"/>
      <c r="J369" s="312"/>
      <c r="K369" s="312"/>
      <c r="L369" s="312"/>
      <c r="M369" s="312"/>
      <c r="N369" s="312"/>
      <c r="O369" s="312"/>
      <c r="P369" s="312"/>
      <c r="Q369" s="312"/>
      <c r="R369" s="312"/>
      <c r="S369" s="312"/>
      <c r="T369" s="312"/>
      <c r="U369" s="312"/>
      <c r="V369" s="312"/>
      <c r="W369" s="312"/>
      <c r="X369" s="312"/>
      <c r="Y369" s="312"/>
      <c r="Z369" s="312"/>
      <c r="AA369" s="312"/>
      <c r="AB369" s="312"/>
      <c r="AC369" s="312"/>
      <c r="AD369" s="312"/>
      <c r="AE369" s="312"/>
      <c r="AF369" s="312"/>
      <c r="AG369" s="312"/>
      <c r="AH369" s="312"/>
      <c r="AI369" s="312"/>
      <c r="AJ369" s="312"/>
      <c r="AK369" s="312"/>
      <c r="AL369" s="319">
        <v>6.0</v>
      </c>
      <c r="AM369" s="321">
        <f t="shared" si="8"/>
        <v>0</v>
      </c>
      <c r="AN369" s="319">
        <f>sum(N143:Y170)</f>
        <v>0</v>
      </c>
      <c r="AO369" s="319">
        <v>0.0</v>
      </c>
      <c r="AP369" s="312"/>
    </row>
    <row r="370" ht="15.75" customHeight="1">
      <c r="A370" s="318"/>
      <c r="B370" s="312"/>
      <c r="C370" s="312"/>
      <c r="D370" s="312"/>
      <c r="E370" s="312"/>
      <c r="F370" s="312"/>
      <c r="G370" s="312"/>
      <c r="H370" s="312"/>
      <c r="I370" s="312"/>
      <c r="J370" s="312"/>
      <c r="K370" s="312"/>
      <c r="L370" s="312"/>
      <c r="M370" s="312"/>
      <c r="N370" s="312"/>
      <c r="O370" s="312"/>
      <c r="P370" s="312"/>
      <c r="Q370" s="312"/>
      <c r="R370" s="312"/>
      <c r="S370" s="312"/>
      <c r="T370" s="312"/>
      <c r="U370" s="312"/>
      <c r="V370" s="312"/>
      <c r="W370" s="312"/>
      <c r="X370" s="312"/>
      <c r="Y370" s="312"/>
      <c r="Z370" s="312"/>
      <c r="AA370" s="312"/>
      <c r="AB370" s="312"/>
      <c r="AC370" s="312"/>
      <c r="AD370" s="312"/>
      <c r="AE370" s="312"/>
      <c r="AF370" s="312"/>
      <c r="AG370" s="312"/>
      <c r="AH370" s="312"/>
      <c r="AI370" s="312"/>
      <c r="AJ370" s="312"/>
      <c r="AK370" s="312"/>
      <c r="AL370" s="319">
        <v>7.0</v>
      </c>
      <c r="AM370" s="321">
        <f t="shared" si="8"/>
        <v>0</v>
      </c>
      <c r="AN370" s="319">
        <f>sum(N171:Y198)</f>
        <v>0</v>
      </c>
      <c r="AO370" s="319">
        <v>0.0</v>
      </c>
      <c r="AP370" s="312"/>
    </row>
    <row r="371" ht="15.75" customHeight="1">
      <c r="A371" s="318"/>
      <c r="B371" s="312"/>
      <c r="C371" s="312"/>
      <c r="D371" s="312"/>
      <c r="E371" s="312"/>
      <c r="F371" s="312"/>
      <c r="G371" s="312"/>
      <c r="H371" s="312"/>
      <c r="I371" s="312"/>
      <c r="J371" s="312"/>
      <c r="K371" s="312"/>
      <c r="L371" s="312"/>
      <c r="M371" s="312"/>
      <c r="N371" s="312"/>
      <c r="O371" s="312"/>
      <c r="P371" s="312"/>
      <c r="Q371" s="312"/>
      <c r="R371" s="312"/>
      <c r="S371" s="312"/>
      <c r="T371" s="312"/>
      <c r="U371" s="312"/>
      <c r="V371" s="312"/>
      <c r="W371" s="312"/>
      <c r="X371" s="312"/>
      <c r="Y371" s="312"/>
      <c r="Z371" s="312"/>
      <c r="AA371" s="312"/>
      <c r="AB371" s="312"/>
      <c r="AC371" s="312"/>
      <c r="AD371" s="312"/>
      <c r="AE371" s="312"/>
      <c r="AF371" s="312"/>
      <c r="AG371" s="312"/>
      <c r="AH371" s="312"/>
      <c r="AI371" s="312"/>
      <c r="AJ371" s="312"/>
      <c r="AK371" s="312"/>
      <c r="AL371" s="319">
        <v>8.0</v>
      </c>
      <c r="AM371" s="321">
        <f t="shared" si="8"/>
        <v>0</v>
      </c>
      <c r="AN371" s="319">
        <f>sum(N199:Y226)</f>
        <v>0</v>
      </c>
      <c r="AO371" s="319">
        <v>0.0</v>
      </c>
      <c r="AP371" s="312"/>
    </row>
    <row r="372" ht="15.75" customHeight="1">
      <c r="A372" s="318"/>
      <c r="B372" s="312"/>
      <c r="C372" s="312"/>
      <c r="D372" s="312"/>
      <c r="E372" s="312"/>
      <c r="F372" s="312"/>
      <c r="G372" s="312"/>
      <c r="H372" s="312"/>
      <c r="I372" s="312"/>
      <c r="J372" s="312"/>
      <c r="K372" s="312"/>
      <c r="L372" s="312"/>
      <c r="M372" s="312"/>
      <c r="N372" s="312"/>
      <c r="O372" s="312"/>
      <c r="P372" s="312"/>
      <c r="Q372" s="312"/>
      <c r="R372" s="312"/>
      <c r="S372" s="312"/>
      <c r="T372" s="312"/>
      <c r="U372" s="312"/>
      <c r="V372" s="312"/>
      <c r="W372" s="312"/>
      <c r="X372" s="312"/>
      <c r="Y372" s="312"/>
      <c r="Z372" s="312"/>
      <c r="AA372" s="312"/>
      <c r="AB372" s="312"/>
      <c r="AC372" s="312"/>
      <c r="AD372" s="312"/>
      <c r="AE372" s="312"/>
      <c r="AF372" s="312"/>
      <c r="AG372" s="312"/>
      <c r="AH372" s="312"/>
      <c r="AI372" s="312"/>
      <c r="AJ372" s="312"/>
      <c r="AK372" s="312"/>
      <c r="AL372" s="319">
        <v>9.0</v>
      </c>
      <c r="AM372" s="321">
        <f t="shared" si="8"/>
        <v>0</v>
      </c>
      <c r="AN372" s="319">
        <f>sum(N227:Y254)</f>
        <v>0</v>
      </c>
      <c r="AO372" s="319">
        <v>0.0</v>
      </c>
      <c r="AP372" s="312"/>
    </row>
    <row r="373" ht="15.75" customHeight="1">
      <c r="A373" s="318"/>
      <c r="B373" s="312"/>
      <c r="C373" s="312"/>
      <c r="D373" s="312"/>
      <c r="E373" s="312"/>
      <c r="F373" s="312"/>
      <c r="G373" s="312"/>
      <c r="H373" s="312"/>
      <c r="I373" s="312"/>
      <c r="J373" s="312"/>
      <c r="K373" s="312"/>
      <c r="L373" s="312"/>
      <c r="M373" s="312"/>
      <c r="N373" s="312"/>
      <c r="O373" s="312"/>
      <c r="P373" s="312"/>
      <c r="Q373" s="312"/>
      <c r="R373" s="312"/>
      <c r="S373" s="312"/>
      <c r="T373" s="312"/>
      <c r="U373" s="312"/>
      <c r="V373" s="312"/>
      <c r="W373" s="312"/>
      <c r="X373" s="312"/>
      <c r="Y373" s="312"/>
      <c r="Z373" s="312"/>
      <c r="AA373" s="312"/>
      <c r="AB373" s="312"/>
      <c r="AC373" s="312"/>
      <c r="AD373" s="312"/>
      <c r="AE373" s="312"/>
      <c r="AF373" s="312"/>
      <c r="AG373" s="312"/>
      <c r="AH373" s="312"/>
      <c r="AI373" s="312"/>
      <c r="AJ373" s="312"/>
      <c r="AK373" s="312"/>
      <c r="AL373" s="319">
        <v>10.0</v>
      </c>
      <c r="AM373" s="321">
        <f t="shared" si="8"/>
        <v>0</v>
      </c>
      <c r="AN373" s="319">
        <f>sum(N255:Y282)</f>
        <v>0</v>
      </c>
      <c r="AO373" s="319">
        <v>0.0</v>
      </c>
      <c r="AP373" s="312"/>
    </row>
    <row r="374" ht="15.75" customHeight="1">
      <c r="A374" s="318"/>
      <c r="B374" s="312"/>
      <c r="C374" s="312"/>
      <c r="D374" s="312"/>
      <c r="E374" s="312"/>
      <c r="F374" s="312"/>
      <c r="G374" s="312"/>
      <c r="H374" s="312"/>
      <c r="I374" s="312"/>
      <c r="J374" s="312"/>
      <c r="K374" s="312"/>
      <c r="L374" s="312"/>
      <c r="M374" s="312"/>
      <c r="N374" s="312"/>
      <c r="O374" s="312"/>
      <c r="P374" s="312"/>
      <c r="Q374" s="312"/>
      <c r="R374" s="312"/>
      <c r="S374" s="312"/>
      <c r="T374" s="312"/>
      <c r="U374" s="312"/>
      <c r="V374" s="312"/>
      <c r="W374" s="312"/>
      <c r="X374" s="312"/>
      <c r="Y374" s="312"/>
      <c r="Z374" s="312"/>
      <c r="AA374" s="312"/>
      <c r="AB374" s="312"/>
      <c r="AC374" s="312"/>
      <c r="AD374" s="312"/>
      <c r="AE374" s="312"/>
      <c r="AF374" s="312"/>
      <c r="AG374" s="312"/>
      <c r="AH374" s="312"/>
      <c r="AI374" s="312"/>
      <c r="AJ374" s="312"/>
      <c r="AK374" s="312"/>
      <c r="AL374" s="319">
        <v>11.0</v>
      </c>
      <c r="AM374" s="321">
        <f t="shared" si="8"/>
        <v>0</v>
      </c>
      <c r="AN374" s="319">
        <f>sum(N283:Y310)</f>
        <v>0</v>
      </c>
      <c r="AO374" s="319">
        <v>0.0</v>
      </c>
      <c r="AP374" s="312"/>
    </row>
    <row r="375" ht="15.75" customHeight="1">
      <c r="A375" s="318"/>
      <c r="B375" s="312"/>
      <c r="C375" s="312"/>
      <c r="D375" s="312"/>
      <c r="E375" s="312"/>
      <c r="F375" s="312"/>
      <c r="G375" s="312"/>
      <c r="H375" s="312"/>
      <c r="I375" s="312"/>
      <c r="J375" s="312"/>
      <c r="K375" s="312"/>
      <c r="L375" s="312"/>
      <c r="M375" s="312"/>
      <c r="N375" s="312"/>
      <c r="O375" s="312"/>
      <c r="P375" s="312"/>
      <c r="Q375" s="312"/>
      <c r="R375" s="312"/>
      <c r="S375" s="312"/>
      <c r="T375" s="312"/>
      <c r="U375" s="312"/>
      <c r="V375" s="312"/>
      <c r="W375" s="312"/>
      <c r="X375" s="312"/>
      <c r="Y375" s="312"/>
      <c r="Z375" s="312"/>
      <c r="AA375" s="312"/>
      <c r="AB375" s="312"/>
      <c r="AC375" s="312"/>
      <c r="AD375" s="312"/>
      <c r="AE375" s="312"/>
      <c r="AF375" s="312"/>
      <c r="AG375" s="312"/>
      <c r="AH375" s="312"/>
      <c r="AI375" s="312"/>
      <c r="AJ375" s="312"/>
      <c r="AK375" s="312"/>
      <c r="AL375" s="319">
        <v>12.0</v>
      </c>
      <c r="AM375" s="321">
        <f t="shared" si="8"/>
        <v>0</v>
      </c>
      <c r="AN375" s="319">
        <f>sum(N311:Y338)</f>
        <v>0</v>
      </c>
      <c r="AO375" s="319">
        <v>0.0</v>
      </c>
      <c r="AP375" s="312"/>
    </row>
    <row r="376" ht="15.75" customHeight="1">
      <c r="A376" s="318"/>
      <c r="B376" s="312"/>
      <c r="C376" s="312"/>
      <c r="D376" s="312"/>
      <c r="E376" s="312"/>
      <c r="F376" s="312"/>
      <c r="G376" s="312"/>
      <c r="H376" s="312"/>
      <c r="I376" s="312"/>
      <c r="J376" s="312"/>
      <c r="K376" s="312"/>
      <c r="L376" s="312"/>
      <c r="M376" s="312"/>
      <c r="N376" s="312"/>
      <c r="O376" s="312"/>
      <c r="P376" s="312"/>
      <c r="Q376" s="312"/>
      <c r="R376" s="312"/>
      <c r="S376" s="312"/>
      <c r="T376" s="312"/>
      <c r="U376" s="312"/>
      <c r="V376" s="312"/>
      <c r="W376" s="312"/>
      <c r="X376" s="312"/>
      <c r="Y376" s="312"/>
      <c r="Z376" s="312"/>
      <c r="AA376" s="312"/>
      <c r="AB376" s="312"/>
      <c r="AC376" s="312"/>
      <c r="AD376" s="312"/>
      <c r="AE376" s="312"/>
      <c r="AF376" s="312"/>
      <c r="AG376" s="312"/>
      <c r="AH376" s="312"/>
      <c r="AI376" s="312"/>
      <c r="AJ376" s="312"/>
      <c r="AK376" s="312"/>
      <c r="AL376" s="319">
        <v>13.0</v>
      </c>
      <c r="AM376" s="321">
        <f t="shared" si="8"/>
        <v>0</v>
      </c>
      <c r="AN376" s="319">
        <f>sum(N339:Y359)</f>
        <v>0</v>
      </c>
      <c r="AO376" s="319">
        <v>0.0</v>
      </c>
      <c r="AP376" s="312"/>
    </row>
    <row r="377" ht="15.75" customHeight="1">
      <c r="A377" s="318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2"/>
      <c r="S377" s="312"/>
      <c r="T377" s="312"/>
      <c r="U377" s="312"/>
      <c r="V377" s="312"/>
      <c r="W377" s="312"/>
      <c r="X377" s="312"/>
      <c r="Y377" s="312"/>
      <c r="Z377" s="312"/>
      <c r="AA377" s="312"/>
      <c r="AB377" s="312"/>
      <c r="AC377" s="312"/>
      <c r="AD377" s="312"/>
      <c r="AE377" s="312"/>
      <c r="AF377" s="312"/>
      <c r="AG377" s="312"/>
      <c r="AH377" s="312"/>
      <c r="AI377" s="312"/>
      <c r="AJ377" s="312"/>
      <c r="AK377" s="312"/>
      <c r="AL377" s="312"/>
      <c r="AM377" s="312"/>
      <c r="AN377" s="312"/>
      <c r="AO377" s="312"/>
      <c r="AP377" s="312"/>
    </row>
    <row r="378" ht="15.75" customHeight="1">
      <c r="A378" s="318"/>
      <c r="B378" s="312"/>
      <c r="C378" s="312"/>
      <c r="D378" s="312"/>
      <c r="E378" s="312"/>
      <c r="F378" s="312"/>
      <c r="G378" s="312"/>
      <c r="H378" s="312"/>
      <c r="I378" s="312"/>
      <c r="J378" s="312"/>
      <c r="K378" s="312"/>
      <c r="L378" s="312"/>
      <c r="M378" s="312"/>
      <c r="N378" s="312"/>
      <c r="O378" s="312"/>
      <c r="P378" s="312"/>
      <c r="Q378" s="312"/>
      <c r="R378" s="312"/>
      <c r="S378" s="312"/>
      <c r="T378" s="312"/>
      <c r="U378" s="312"/>
      <c r="V378" s="312"/>
      <c r="W378" s="312"/>
      <c r="X378" s="312"/>
      <c r="Y378" s="312"/>
      <c r="Z378" s="312"/>
      <c r="AA378" s="312"/>
      <c r="AB378" s="312"/>
      <c r="AC378" s="312"/>
      <c r="AD378" s="312"/>
      <c r="AE378" s="312"/>
      <c r="AF378" s="312"/>
      <c r="AG378" s="312"/>
      <c r="AH378" s="312"/>
      <c r="AI378" s="312"/>
      <c r="AJ378" s="312"/>
      <c r="AK378" s="312"/>
      <c r="AL378" s="312"/>
      <c r="AM378" s="312"/>
      <c r="AN378" s="312"/>
      <c r="AO378" s="312"/>
      <c r="AP378" s="312"/>
    </row>
    <row r="379" ht="15.75" customHeight="1">
      <c r="A379" s="318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2"/>
      <c r="S379" s="312"/>
      <c r="T379" s="312"/>
      <c r="U379" s="312"/>
      <c r="V379" s="312"/>
      <c r="W379" s="312"/>
      <c r="X379" s="312"/>
      <c r="Y379" s="312"/>
      <c r="Z379" s="312"/>
      <c r="AA379" s="312"/>
      <c r="AB379" s="312"/>
      <c r="AC379" s="312"/>
      <c r="AD379" s="312"/>
      <c r="AE379" s="312"/>
      <c r="AF379" s="312"/>
      <c r="AG379" s="312"/>
      <c r="AH379" s="312"/>
      <c r="AI379" s="312"/>
      <c r="AJ379" s="312"/>
      <c r="AK379" s="312"/>
      <c r="AL379" s="312"/>
      <c r="AM379" s="312"/>
      <c r="AN379" s="312"/>
      <c r="AO379" s="312"/>
      <c r="AP379" s="312"/>
    </row>
    <row r="380" ht="15.75" customHeight="1">
      <c r="A380" s="318"/>
      <c r="B380" s="312"/>
      <c r="C380" s="312"/>
      <c r="D380" s="312"/>
      <c r="E380" s="312"/>
      <c r="F380" s="312"/>
      <c r="G380" s="312"/>
      <c r="H380" s="312"/>
      <c r="I380" s="312"/>
      <c r="J380" s="312"/>
      <c r="K380" s="312"/>
      <c r="L380" s="312"/>
      <c r="M380" s="312"/>
      <c r="N380" s="312"/>
      <c r="O380" s="312"/>
      <c r="P380" s="312"/>
      <c r="Q380" s="312"/>
      <c r="R380" s="312"/>
      <c r="S380" s="312"/>
      <c r="T380" s="312"/>
      <c r="U380" s="312"/>
      <c r="V380" s="312"/>
      <c r="W380" s="312"/>
      <c r="X380" s="312"/>
      <c r="Y380" s="312"/>
      <c r="Z380" s="312"/>
      <c r="AA380" s="312"/>
      <c r="AB380" s="312"/>
      <c r="AC380" s="312"/>
      <c r="AD380" s="312"/>
      <c r="AE380" s="312"/>
      <c r="AF380" s="312"/>
      <c r="AG380" s="312"/>
      <c r="AH380" s="312"/>
      <c r="AI380" s="312"/>
      <c r="AJ380" s="312"/>
      <c r="AK380" s="312"/>
      <c r="AL380" s="312"/>
      <c r="AM380" s="312"/>
      <c r="AN380" s="312"/>
      <c r="AO380" s="312"/>
      <c r="AP380" s="312"/>
    </row>
    <row r="381" ht="15.75" customHeight="1">
      <c r="A381" s="318"/>
      <c r="B381" s="312"/>
      <c r="C381" s="312"/>
      <c r="D381" s="312"/>
      <c r="E381" s="312"/>
      <c r="F381" s="312"/>
      <c r="G381" s="312"/>
      <c r="H381" s="312"/>
      <c r="I381" s="312"/>
      <c r="J381" s="312"/>
      <c r="K381" s="312"/>
      <c r="L381" s="312"/>
      <c r="M381" s="312"/>
      <c r="N381" s="312"/>
      <c r="O381" s="312"/>
      <c r="P381" s="312"/>
      <c r="Q381" s="312"/>
      <c r="R381" s="312"/>
      <c r="S381" s="312"/>
      <c r="T381" s="312"/>
      <c r="U381" s="312"/>
      <c r="V381" s="312"/>
      <c r="W381" s="312"/>
      <c r="X381" s="312"/>
      <c r="Y381" s="312"/>
      <c r="Z381" s="312"/>
      <c r="AA381" s="312"/>
      <c r="AB381" s="312"/>
      <c r="AC381" s="312"/>
      <c r="AD381" s="312"/>
      <c r="AE381" s="312"/>
      <c r="AF381" s="312"/>
      <c r="AG381" s="312"/>
      <c r="AH381" s="312"/>
      <c r="AI381" s="312"/>
      <c r="AJ381" s="312"/>
      <c r="AK381" s="312"/>
      <c r="AL381" s="312"/>
      <c r="AM381" s="312"/>
      <c r="AN381" s="312"/>
      <c r="AO381" s="312"/>
      <c r="AP381" s="312"/>
    </row>
    <row r="382" ht="15.75" customHeight="1">
      <c r="A382" s="318"/>
      <c r="B382" s="312"/>
      <c r="C382" s="312"/>
      <c r="D382" s="312"/>
      <c r="E382" s="312"/>
      <c r="F382" s="312"/>
      <c r="G382" s="312"/>
      <c r="H382" s="312"/>
      <c r="I382" s="312"/>
      <c r="J382" s="312"/>
      <c r="K382" s="312"/>
      <c r="L382" s="312"/>
      <c r="M382" s="312"/>
      <c r="N382" s="312"/>
      <c r="O382" s="312"/>
      <c r="P382" s="312"/>
      <c r="Q382" s="312"/>
      <c r="R382" s="312"/>
      <c r="S382" s="312"/>
      <c r="T382" s="312"/>
      <c r="U382" s="312"/>
      <c r="V382" s="312"/>
      <c r="W382" s="312"/>
      <c r="X382" s="312"/>
      <c r="Y382" s="312"/>
      <c r="Z382" s="312"/>
      <c r="AA382" s="312"/>
      <c r="AB382" s="312"/>
      <c r="AC382" s="312"/>
      <c r="AD382" s="312"/>
      <c r="AE382" s="312"/>
      <c r="AF382" s="312"/>
      <c r="AG382" s="312"/>
      <c r="AH382" s="312"/>
      <c r="AI382" s="312"/>
      <c r="AJ382" s="312"/>
      <c r="AK382" s="312"/>
      <c r="AL382" s="312"/>
      <c r="AM382" s="312"/>
      <c r="AN382" s="312"/>
      <c r="AO382" s="312"/>
      <c r="AP382" s="312"/>
    </row>
    <row r="383" ht="15.75" customHeight="1">
      <c r="A383" s="318"/>
      <c r="B383" s="312"/>
      <c r="C383" s="312"/>
      <c r="D383" s="312"/>
      <c r="E383" s="312"/>
      <c r="F383" s="312"/>
      <c r="G383" s="312"/>
      <c r="H383" s="312"/>
      <c r="I383" s="312"/>
      <c r="J383" s="312"/>
      <c r="K383" s="312"/>
      <c r="L383" s="312"/>
      <c r="M383" s="312"/>
      <c r="N383" s="312"/>
      <c r="O383" s="312"/>
      <c r="P383" s="312"/>
      <c r="Q383" s="312"/>
      <c r="R383" s="312"/>
      <c r="S383" s="312"/>
      <c r="T383" s="312"/>
      <c r="U383" s="312"/>
      <c r="V383" s="312"/>
      <c r="W383" s="312"/>
      <c r="X383" s="312"/>
      <c r="Y383" s="312"/>
      <c r="Z383" s="312"/>
      <c r="AA383" s="312"/>
      <c r="AB383" s="312"/>
      <c r="AC383" s="312"/>
      <c r="AD383" s="312"/>
      <c r="AE383" s="312"/>
      <c r="AF383" s="312"/>
      <c r="AG383" s="312"/>
      <c r="AH383" s="312"/>
      <c r="AI383" s="312"/>
      <c r="AJ383" s="312"/>
      <c r="AK383" s="312"/>
      <c r="AL383" s="312"/>
      <c r="AM383" s="312"/>
      <c r="AN383" s="312"/>
      <c r="AO383" s="312"/>
      <c r="AP383" s="312"/>
    </row>
    <row r="384" ht="15.75" customHeight="1">
      <c r="A384" s="318"/>
      <c r="B384" s="312"/>
      <c r="C384" s="312"/>
      <c r="D384" s="312"/>
      <c r="E384" s="312"/>
      <c r="F384" s="312"/>
      <c r="G384" s="312"/>
      <c r="H384" s="312"/>
      <c r="I384" s="312"/>
      <c r="J384" s="312"/>
      <c r="K384" s="312"/>
      <c r="L384" s="312"/>
      <c r="M384" s="312"/>
      <c r="N384" s="312"/>
      <c r="O384" s="312"/>
      <c r="P384" s="312"/>
      <c r="Q384" s="312"/>
      <c r="R384" s="312"/>
      <c r="S384" s="312"/>
      <c r="T384" s="312"/>
      <c r="U384" s="312"/>
      <c r="V384" s="312"/>
      <c r="W384" s="312"/>
      <c r="X384" s="312"/>
      <c r="Y384" s="312"/>
      <c r="Z384" s="312"/>
      <c r="AA384" s="312"/>
      <c r="AB384" s="312"/>
      <c r="AC384" s="312"/>
      <c r="AD384" s="312"/>
      <c r="AE384" s="312"/>
      <c r="AF384" s="312"/>
      <c r="AG384" s="312"/>
      <c r="AH384" s="312"/>
      <c r="AI384" s="312"/>
      <c r="AJ384" s="312"/>
      <c r="AK384" s="312"/>
      <c r="AL384" s="312"/>
      <c r="AM384" s="312"/>
      <c r="AN384" s="312"/>
      <c r="AO384" s="312"/>
      <c r="AP384" s="312"/>
    </row>
    <row r="385" ht="15.75" customHeight="1">
      <c r="A385" s="318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2"/>
      <c r="S385" s="312"/>
      <c r="T385" s="312"/>
      <c r="U385" s="312"/>
      <c r="V385" s="312"/>
      <c r="W385" s="312"/>
      <c r="X385" s="312"/>
      <c r="Y385" s="312"/>
      <c r="Z385" s="312"/>
      <c r="AA385" s="312"/>
      <c r="AB385" s="312"/>
      <c r="AC385" s="312"/>
      <c r="AD385" s="312"/>
      <c r="AE385" s="312"/>
      <c r="AF385" s="312"/>
      <c r="AG385" s="312"/>
      <c r="AH385" s="312"/>
      <c r="AI385" s="312"/>
      <c r="AJ385" s="312"/>
      <c r="AK385" s="312"/>
      <c r="AL385" s="312"/>
      <c r="AM385" s="312"/>
      <c r="AN385" s="312"/>
      <c r="AO385" s="312"/>
      <c r="AP385" s="312"/>
    </row>
    <row r="386" ht="15.75" customHeight="1">
      <c r="A386" s="318"/>
      <c r="B386" s="312"/>
      <c r="C386" s="312"/>
      <c r="D386" s="312"/>
      <c r="E386" s="312"/>
      <c r="F386" s="312"/>
      <c r="G386" s="312"/>
      <c r="H386" s="312"/>
      <c r="I386" s="312"/>
      <c r="J386" s="312"/>
      <c r="K386" s="312"/>
      <c r="L386" s="312"/>
      <c r="M386" s="312"/>
      <c r="N386" s="312"/>
      <c r="O386" s="312"/>
      <c r="P386" s="312"/>
      <c r="Q386" s="312"/>
      <c r="R386" s="312"/>
      <c r="S386" s="312"/>
      <c r="T386" s="312"/>
      <c r="U386" s="312"/>
      <c r="V386" s="312"/>
      <c r="W386" s="312"/>
      <c r="X386" s="312"/>
      <c r="Y386" s="312"/>
      <c r="Z386" s="312"/>
      <c r="AA386" s="312"/>
      <c r="AB386" s="312"/>
      <c r="AC386" s="312"/>
      <c r="AD386" s="312"/>
      <c r="AE386" s="312"/>
      <c r="AF386" s="312"/>
      <c r="AG386" s="312"/>
      <c r="AH386" s="312"/>
      <c r="AI386" s="312"/>
      <c r="AJ386" s="312"/>
      <c r="AK386" s="312"/>
      <c r="AL386" s="312"/>
      <c r="AM386" s="312"/>
      <c r="AN386" s="312"/>
      <c r="AO386" s="312"/>
      <c r="AP386" s="312"/>
    </row>
    <row r="387" ht="15.75" customHeight="1">
      <c r="A387" s="318"/>
      <c r="B387" s="312"/>
      <c r="C387" s="312"/>
      <c r="D387" s="312"/>
      <c r="E387" s="312"/>
      <c r="F387" s="312"/>
      <c r="G387" s="312"/>
      <c r="H387" s="312"/>
      <c r="I387" s="312"/>
      <c r="J387" s="312"/>
      <c r="K387" s="312"/>
      <c r="L387" s="312"/>
      <c r="M387" s="312"/>
      <c r="N387" s="312"/>
      <c r="O387" s="312"/>
      <c r="P387" s="312"/>
      <c r="Q387" s="312"/>
      <c r="R387" s="312"/>
      <c r="S387" s="312"/>
      <c r="T387" s="312"/>
      <c r="U387" s="312"/>
      <c r="V387" s="312"/>
      <c r="W387" s="312"/>
      <c r="X387" s="312"/>
      <c r="Y387" s="312"/>
      <c r="Z387" s="312"/>
      <c r="AA387" s="312"/>
      <c r="AB387" s="312"/>
      <c r="AC387" s="312"/>
      <c r="AD387" s="312"/>
      <c r="AE387" s="312"/>
      <c r="AF387" s="312"/>
      <c r="AG387" s="312"/>
      <c r="AH387" s="312"/>
      <c r="AI387" s="312"/>
      <c r="AJ387" s="312"/>
      <c r="AK387" s="312"/>
      <c r="AL387" s="312"/>
      <c r="AM387" s="312"/>
      <c r="AN387" s="312"/>
      <c r="AO387" s="312"/>
      <c r="AP387" s="312"/>
    </row>
    <row r="388" ht="15.75" customHeight="1">
      <c r="A388" s="318"/>
      <c r="B388" s="312"/>
      <c r="C388" s="312"/>
      <c r="D388" s="312"/>
      <c r="E388" s="312"/>
      <c r="F388" s="312"/>
      <c r="G388" s="312"/>
      <c r="H388" s="312"/>
      <c r="I388" s="312"/>
      <c r="J388" s="312"/>
      <c r="K388" s="312"/>
      <c r="L388" s="312"/>
      <c r="M388" s="312"/>
      <c r="N388" s="312"/>
      <c r="O388" s="312"/>
      <c r="P388" s="312"/>
      <c r="Q388" s="312"/>
      <c r="R388" s="312"/>
      <c r="S388" s="312"/>
      <c r="T388" s="312"/>
      <c r="U388" s="312"/>
      <c r="V388" s="312"/>
      <c r="W388" s="312"/>
      <c r="X388" s="312"/>
      <c r="Y388" s="312"/>
      <c r="Z388" s="312"/>
      <c r="AA388" s="312"/>
      <c r="AB388" s="312"/>
      <c r="AC388" s="312"/>
      <c r="AD388" s="312"/>
      <c r="AE388" s="312"/>
      <c r="AF388" s="312"/>
      <c r="AG388" s="312"/>
      <c r="AH388" s="312"/>
      <c r="AI388" s="312"/>
      <c r="AJ388" s="312"/>
      <c r="AK388" s="312"/>
      <c r="AL388" s="312"/>
      <c r="AM388" s="312"/>
      <c r="AN388" s="312"/>
      <c r="AO388" s="312"/>
      <c r="AP388" s="312"/>
    </row>
    <row r="389" ht="15.75" customHeight="1">
      <c r="A389" s="318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2"/>
      <c r="S389" s="312"/>
      <c r="T389" s="312"/>
      <c r="U389" s="312"/>
      <c r="V389" s="312"/>
      <c r="W389" s="312"/>
      <c r="X389" s="312"/>
      <c r="Y389" s="312"/>
      <c r="Z389" s="312"/>
      <c r="AA389" s="312"/>
      <c r="AB389" s="312"/>
      <c r="AC389" s="312"/>
      <c r="AD389" s="312"/>
      <c r="AE389" s="312"/>
      <c r="AF389" s="312"/>
      <c r="AG389" s="312"/>
      <c r="AH389" s="312"/>
      <c r="AI389" s="312"/>
      <c r="AJ389" s="312"/>
      <c r="AK389" s="312"/>
      <c r="AL389" s="312"/>
      <c r="AM389" s="312"/>
      <c r="AN389" s="312"/>
      <c r="AO389" s="312"/>
      <c r="AP389" s="312"/>
    </row>
    <row r="390" ht="15.75" customHeight="1">
      <c r="A390" s="318"/>
      <c r="B390" s="312"/>
      <c r="C390" s="312"/>
      <c r="D390" s="312"/>
      <c r="E390" s="312"/>
      <c r="F390" s="312"/>
      <c r="G390" s="312"/>
      <c r="H390" s="312"/>
      <c r="I390" s="312"/>
      <c r="J390" s="312"/>
      <c r="K390" s="312"/>
      <c r="L390" s="312"/>
      <c r="M390" s="312"/>
      <c r="N390" s="312"/>
      <c r="O390" s="312"/>
      <c r="P390" s="312"/>
      <c r="Q390" s="312"/>
      <c r="R390" s="312"/>
      <c r="S390" s="312"/>
      <c r="T390" s="312"/>
      <c r="U390" s="312"/>
      <c r="V390" s="312"/>
      <c r="W390" s="312"/>
      <c r="X390" s="312"/>
      <c r="Y390" s="312"/>
      <c r="Z390" s="312"/>
      <c r="AA390" s="312"/>
      <c r="AB390" s="312"/>
      <c r="AC390" s="312"/>
      <c r="AD390" s="312"/>
      <c r="AE390" s="312"/>
      <c r="AF390" s="312"/>
      <c r="AG390" s="312"/>
      <c r="AH390" s="312"/>
      <c r="AI390" s="312"/>
      <c r="AJ390" s="312"/>
      <c r="AK390" s="312"/>
      <c r="AL390" s="312"/>
      <c r="AM390" s="312"/>
      <c r="AN390" s="312"/>
      <c r="AO390" s="312"/>
      <c r="AP390" s="312"/>
    </row>
    <row r="391" ht="15.75" customHeight="1">
      <c r="A391" s="318"/>
      <c r="B391" s="312"/>
      <c r="C391" s="312"/>
      <c r="D391" s="312"/>
      <c r="E391" s="312"/>
      <c r="F391" s="312"/>
      <c r="G391" s="312"/>
      <c r="H391" s="312"/>
      <c r="I391" s="312"/>
      <c r="J391" s="312"/>
      <c r="K391" s="312"/>
      <c r="L391" s="312"/>
      <c r="M391" s="312"/>
      <c r="N391" s="312"/>
      <c r="O391" s="312"/>
      <c r="P391" s="312"/>
      <c r="Q391" s="312"/>
      <c r="R391" s="312"/>
      <c r="S391" s="312"/>
      <c r="T391" s="312"/>
      <c r="U391" s="312"/>
      <c r="V391" s="312"/>
      <c r="W391" s="312"/>
      <c r="X391" s="312"/>
      <c r="Y391" s="312"/>
      <c r="Z391" s="312"/>
      <c r="AA391" s="312"/>
      <c r="AB391" s="312"/>
      <c r="AC391" s="312"/>
      <c r="AD391" s="312"/>
      <c r="AE391" s="312"/>
      <c r="AF391" s="312"/>
      <c r="AG391" s="312"/>
      <c r="AH391" s="312"/>
      <c r="AI391" s="312"/>
      <c r="AJ391" s="312"/>
      <c r="AK391" s="312"/>
      <c r="AL391" s="312"/>
      <c r="AM391" s="312"/>
      <c r="AN391" s="312"/>
      <c r="AO391" s="312"/>
      <c r="AP391" s="312"/>
    </row>
    <row r="392" ht="15.75" customHeight="1">
      <c r="A392" s="318"/>
      <c r="B392" s="312"/>
      <c r="C392" s="312"/>
      <c r="D392" s="312"/>
      <c r="E392" s="312"/>
      <c r="F392" s="312"/>
      <c r="G392" s="312"/>
      <c r="H392" s="312"/>
      <c r="I392" s="312"/>
      <c r="J392" s="312"/>
      <c r="K392" s="312"/>
      <c r="L392" s="312"/>
      <c r="M392" s="312"/>
      <c r="N392" s="312"/>
      <c r="O392" s="312"/>
      <c r="P392" s="312"/>
      <c r="Q392" s="312"/>
      <c r="R392" s="312"/>
      <c r="S392" s="312"/>
      <c r="T392" s="312"/>
      <c r="U392" s="312"/>
      <c r="V392" s="312"/>
      <c r="W392" s="312"/>
      <c r="X392" s="312"/>
      <c r="Y392" s="312"/>
      <c r="Z392" s="312"/>
      <c r="AA392" s="312"/>
      <c r="AB392" s="312"/>
      <c r="AC392" s="312"/>
      <c r="AD392" s="312"/>
      <c r="AE392" s="312"/>
      <c r="AF392" s="312"/>
      <c r="AG392" s="312"/>
      <c r="AH392" s="312"/>
      <c r="AI392" s="312"/>
      <c r="AJ392" s="312"/>
      <c r="AK392" s="312"/>
      <c r="AL392" s="312"/>
      <c r="AM392" s="312"/>
      <c r="AN392" s="312"/>
      <c r="AO392" s="312"/>
      <c r="AP392" s="312"/>
    </row>
    <row r="393" ht="15.75" customHeight="1">
      <c r="A393" s="318"/>
      <c r="B393" s="312"/>
      <c r="C393" s="312"/>
      <c r="D393" s="312"/>
      <c r="E393" s="312"/>
      <c r="F393" s="312"/>
      <c r="G393" s="312"/>
      <c r="H393" s="312"/>
      <c r="I393" s="312"/>
      <c r="J393" s="312"/>
      <c r="K393" s="312"/>
      <c r="L393" s="312"/>
      <c r="M393" s="312"/>
      <c r="N393" s="312"/>
      <c r="O393" s="312"/>
      <c r="P393" s="312"/>
      <c r="Q393" s="312"/>
      <c r="R393" s="312"/>
      <c r="S393" s="312"/>
      <c r="T393" s="312"/>
      <c r="U393" s="312"/>
      <c r="V393" s="312"/>
      <c r="W393" s="312"/>
      <c r="X393" s="312"/>
      <c r="Y393" s="312"/>
      <c r="Z393" s="312"/>
      <c r="AA393" s="312"/>
      <c r="AB393" s="312"/>
      <c r="AC393" s="312"/>
      <c r="AD393" s="312"/>
      <c r="AE393" s="312"/>
      <c r="AF393" s="312"/>
      <c r="AG393" s="312"/>
      <c r="AH393" s="312"/>
      <c r="AI393" s="312"/>
      <c r="AJ393" s="312"/>
      <c r="AK393" s="312"/>
      <c r="AL393" s="312"/>
      <c r="AM393" s="312"/>
      <c r="AN393" s="312"/>
      <c r="AO393" s="312"/>
      <c r="AP393" s="312"/>
    </row>
    <row r="394" ht="15.75" customHeight="1">
      <c r="A394" s="318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2"/>
      <c r="S394" s="312"/>
      <c r="T394" s="312"/>
      <c r="U394" s="312"/>
      <c r="V394" s="312"/>
      <c r="W394" s="312"/>
      <c r="X394" s="312"/>
      <c r="Y394" s="312"/>
      <c r="Z394" s="312"/>
      <c r="AA394" s="312"/>
      <c r="AB394" s="312"/>
      <c r="AC394" s="312"/>
      <c r="AD394" s="312"/>
      <c r="AE394" s="312"/>
      <c r="AF394" s="312"/>
      <c r="AG394" s="312"/>
      <c r="AH394" s="312"/>
      <c r="AI394" s="312"/>
      <c r="AJ394" s="312"/>
      <c r="AK394" s="312"/>
      <c r="AL394" s="312"/>
      <c r="AM394" s="312"/>
      <c r="AN394" s="312"/>
      <c r="AO394" s="312"/>
      <c r="AP394" s="312"/>
    </row>
    <row r="395" ht="15.75" customHeight="1">
      <c r="A395" s="318"/>
      <c r="B395" s="312"/>
      <c r="C395" s="312"/>
      <c r="D395" s="312"/>
      <c r="E395" s="312"/>
      <c r="F395" s="312"/>
      <c r="G395" s="312"/>
      <c r="H395" s="312"/>
      <c r="I395" s="312"/>
      <c r="J395" s="312"/>
      <c r="K395" s="312"/>
      <c r="L395" s="312"/>
      <c r="M395" s="312"/>
      <c r="N395" s="312"/>
      <c r="O395" s="312"/>
      <c r="P395" s="312"/>
      <c r="Q395" s="312"/>
      <c r="R395" s="312"/>
      <c r="S395" s="312"/>
      <c r="T395" s="312"/>
      <c r="U395" s="312"/>
      <c r="V395" s="312"/>
      <c r="W395" s="312"/>
      <c r="X395" s="312"/>
      <c r="Y395" s="312"/>
      <c r="Z395" s="312"/>
      <c r="AA395" s="312"/>
      <c r="AB395" s="312"/>
      <c r="AC395" s="312"/>
      <c r="AD395" s="312"/>
      <c r="AE395" s="312"/>
      <c r="AF395" s="312"/>
      <c r="AG395" s="312"/>
      <c r="AH395" s="312"/>
      <c r="AI395" s="312"/>
      <c r="AJ395" s="312"/>
      <c r="AK395" s="312"/>
      <c r="AL395" s="312"/>
      <c r="AM395" s="312"/>
      <c r="AN395" s="312"/>
      <c r="AO395" s="312"/>
      <c r="AP395" s="312"/>
    </row>
    <row r="396" ht="15.75" customHeight="1">
      <c r="A396" s="318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2"/>
      <c r="S396" s="312"/>
      <c r="T396" s="312"/>
      <c r="U396" s="312"/>
      <c r="V396" s="312"/>
      <c r="W396" s="312"/>
      <c r="X396" s="312"/>
      <c r="Y396" s="312"/>
      <c r="Z396" s="312"/>
      <c r="AA396" s="312"/>
      <c r="AB396" s="312"/>
      <c r="AC396" s="312"/>
      <c r="AD396" s="312"/>
      <c r="AE396" s="312"/>
      <c r="AF396" s="312"/>
      <c r="AG396" s="312"/>
      <c r="AH396" s="312"/>
      <c r="AI396" s="312"/>
      <c r="AJ396" s="312"/>
      <c r="AK396" s="312"/>
      <c r="AL396" s="312"/>
      <c r="AM396" s="312"/>
      <c r="AN396" s="312"/>
      <c r="AO396" s="312"/>
      <c r="AP396" s="312"/>
    </row>
    <row r="397" ht="15.75" customHeight="1">
      <c r="A397" s="318"/>
      <c r="B397" s="312"/>
      <c r="C397" s="312"/>
      <c r="D397" s="312"/>
      <c r="E397" s="312"/>
      <c r="F397" s="312"/>
      <c r="G397" s="312"/>
      <c r="H397" s="312"/>
      <c r="I397" s="312"/>
      <c r="J397" s="312"/>
      <c r="K397" s="312"/>
      <c r="L397" s="312"/>
      <c r="M397" s="312"/>
      <c r="N397" s="312"/>
      <c r="O397" s="312"/>
      <c r="P397" s="312"/>
      <c r="Q397" s="312"/>
      <c r="R397" s="312"/>
      <c r="S397" s="312"/>
      <c r="T397" s="312"/>
      <c r="U397" s="312"/>
      <c r="V397" s="312"/>
      <c r="W397" s="312"/>
      <c r="X397" s="312"/>
      <c r="Y397" s="312"/>
      <c r="Z397" s="312"/>
      <c r="AA397" s="312"/>
      <c r="AB397" s="312"/>
      <c r="AC397" s="312"/>
      <c r="AD397" s="312"/>
      <c r="AE397" s="312"/>
      <c r="AF397" s="312"/>
      <c r="AG397" s="312"/>
      <c r="AH397" s="312"/>
      <c r="AI397" s="312"/>
      <c r="AJ397" s="312"/>
      <c r="AK397" s="312"/>
      <c r="AL397" s="312"/>
      <c r="AM397" s="312"/>
      <c r="AN397" s="312"/>
      <c r="AO397" s="312"/>
      <c r="AP397" s="312"/>
    </row>
    <row r="398" ht="15.75" customHeight="1">
      <c r="A398" s="318"/>
      <c r="B398" s="312"/>
      <c r="C398" s="312"/>
      <c r="D398" s="312"/>
      <c r="E398" s="312"/>
      <c r="F398" s="312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2"/>
      <c r="S398" s="312"/>
      <c r="T398" s="312"/>
      <c r="U398" s="312"/>
      <c r="V398" s="312"/>
      <c r="W398" s="312"/>
      <c r="X398" s="312"/>
      <c r="Y398" s="312"/>
      <c r="Z398" s="312"/>
      <c r="AA398" s="312"/>
      <c r="AB398" s="312"/>
      <c r="AC398" s="312"/>
      <c r="AD398" s="312"/>
      <c r="AE398" s="312"/>
      <c r="AF398" s="312"/>
      <c r="AG398" s="312"/>
      <c r="AH398" s="312"/>
      <c r="AI398" s="312"/>
      <c r="AJ398" s="312"/>
      <c r="AK398" s="312"/>
      <c r="AL398" s="312"/>
      <c r="AM398" s="312"/>
      <c r="AN398" s="312"/>
      <c r="AO398" s="312"/>
      <c r="AP398" s="312"/>
    </row>
    <row r="399" ht="15.75" customHeight="1">
      <c r="A399" s="318"/>
      <c r="B399" s="312"/>
      <c r="C399" s="312"/>
      <c r="D399" s="312"/>
      <c r="E399" s="312"/>
      <c r="F399" s="312"/>
      <c r="G399" s="312"/>
      <c r="H399" s="312"/>
      <c r="I399" s="312"/>
      <c r="J399" s="312"/>
      <c r="K399" s="312"/>
      <c r="L399" s="312"/>
      <c r="M399" s="312"/>
      <c r="N399" s="312"/>
      <c r="O399" s="312"/>
      <c r="P399" s="312"/>
      <c r="Q399" s="312"/>
      <c r="R399" s="312"/>
      <c r="S399" s="312"/>
      <c r="T399" s="312"/>
      <c r="U399" s="312"/>
      <c r="V399" s="312"/>
      <c r="W399" s="312"/>
      <c r="X399" s="312"/>
      <c r="Y399" s="312"/>
      <c r="Z399" s="312"/>
      <c r="AA399" s="312"/>
      <c r="AB399" s="312"/>
      <c r="AC399" s="312"/>
      <c r="AD399" s="312"/>
      <c r="AE399" s="312"/>
      <c r="AF399" s="312"/>
      <c r="AG399" s="312"/>
      <c r="AH399" s="312"/>
      <c r="AI399" s="312"/>
      <c r="AJ399" s="312"/>
      <c r="AK399" s="312"/>
      <c r="AL399" s="312"/>
      <c r="AM399" s="312"/>
      <c r="AN399" s="312"/>
      <c r="AO399" s="312"/>
      <c r="AP399" s="312"/>
    </row>
    <row r="400" ht="15.75" customHeight="1">
      <c r="A400" s="318"/>
      <c r="B400" s="312"/>
      <c r="C400" s="312"/>
      <c r="D400" s="312"/>
      <c r="E400" s="312"/>
      <c r="F400" s="312"/>
      <c r="G400" s="312"/>
      <c r="H400" s="312"/>
      <c r="I400" s="312"/>
      <c r="J400" s="312"/>
      <c r="K400" s="312"/>
      <c r="L400" s="312"/>
      <c r="M400" s="312"/>
      <c r="N400" s="312"/>
      <c r="O400" s="312"/>
      <c r="P400" s="312"/>
      <c r="Q400" s="312"/>
      <c r="R400" s="312"/>
      <c r="S400" s="312"/>
      <c r="T400" s="312"/>
      <c r="U400" s="312"/>
      <c r="V400" s="312"/>
      <c r="W400" s="312"/>
      <c r="X400" s="312"/>
      <c r="Y400" s="312"/>
      <c r="Z400" s="312"/>
      <c r="AA400" s="312"/>
      <c r="AB400" s="312"/>
      <c r="AC400" s="312"/>
      <c r="AD400" s="312"/>
      <c r="AE400" s="312"/>
      <c r="AF400" s="312"/>
      <c r="AG400" s="312"/>
      <c r="AH400" s="312"/>
      <c r="AI400" s="312"/>
      <c r="AJ400" s="312"/>
      <c r="AK400" s="312"/>
      <c r="AL400" s="312"/>
      <c r="AM400" s="312"/>
      <c r="AN400" s="312"/>
      <c r="AO400" s="312"/>
      <c r="AP400" s="312"/>
    </row>
    <row r="401" ht="15.75" customHeight="1">
      <c r="A401" s="318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2"/>
      <c r="P401" s="312"/>
      <c r="Q401" s="312"/>
      <c r="R401" s="312"/>
      <c r="S401" s="312"/>
      <c r="T401" s="312"/>
      <c r="U401" s="312"/>
      <c r="V401" s="312"/>
      <c r="W401" s="312"/>
      <c r="X401" s="312"/>
      <c r="Y401" s="312"/>
      <c r="Z401" s="312"/>
      <c r="AA401" s="312"/>
      <c r="AB401" s="312"/>
      <c r="AC401" s="312"/>
      <c r="AD401" s="312"/>
      <c r="AE401" s="312"/>
      <c r="AF401" s="312"/>
      <c r="AG401" s="312"/>
      <c r="AH401" s="312"/>
      <c r="AI401" s="312"/>
      <c r="AJ401" s="312"/>
      <c r="AK401" s="312"/>
      <c r="AL401" s="312"/>
      <c r="AM401" s="312"/>
      <c r="AN401" s="312"/>
      <c r="AO401" s="312"/>
      <c r="AP401" s="312"/>
    </row>
    <row r="402" ht="15.75" customHeight="1">
      <c r="A402" s="318"/>
      <c r="B402" s="312"/>
      <c r="C402" s="312"/>
      <c r="D402" s="312"/>
      <c r="E402" s="312"/>
      <c r="F402" s="312"/>
      <c r="G402" s="312"/>
      <c r="H402" s="312"/>
      <c r="I402" s="312"/>
      <c r="J402" s="312"/>
      <c r="K402" s="312"/>
      <c r="L402" s="312"/>
      <c r="M402" s="312"/>
      <c r="N402" s="312"/>
      <c r="O402" s="312"/>
      <c r="P402" s="312"/>
      <c r="Q402" s="312"/>
      <c r="R402" s="312"/>
      <c r="S402" s="312"/>
      <c r="T402" s="312"/>
      <c r="U402" s="312"/>
      <c r="V402" s="312"/>
      <c r="W402" s="312"/>
      <c r="X402" s="312"/>
      <c r="Y402" s="312"/>
      <c r="Z402" s="312"/>
      <c r="AA402" s="312"/>
      <c r="AB402" s="312"/>
      <c r="AC402" s="312"/>
      <c r="AD402" s="312"/>
      <c r="AE402" s="312"/>
      <c r="AF402" s="312"/>
      <c r="AG402" s="312"/>
      <c r="AH402" s="312"/>
      <c r="AI402" s="312"/>
      <c r="AJ402" s="312"/>
      <c r="AK402" s="312"/>
      <c r="AL402" s="312"/>
      <c r="AM402" s="312"/>
      <c r="AN402" s="312"/>
      <c r="AO402" s="312"/>
      <c r="AP402" s="312"/>
    </row>
    <row r="403" ht="15.75" customHeight="1">
      <c r="A403" s="318"/>
      <c r="B403" s="312"/>
      <c r="C403" s="312"/>
      <c r="D403" s="312"/>
      <c r="E403" s="312"/>
      <c r="F403" s="312"/>
      <c r="G403" s="312"/>
      <c r="H403" s="312"/>
      <c r="I403" s="312"/>
      <c r="J403" s="312"/>
      <c r="K403" s="312"/>
      <c r="L403" s="312"/>
      <c r="M403" s="312"/>
      <c r="N403" s="312"/>
      <c r="O403" s="312"/>
      <c r="P403" s="312"/>
      <c r="Q403" s="312"/>
      <c r="R403" s="312"/>
      <c r="S403" s="312"/>
      <c r="T403" s="312"/>
      <c r="U403" s="312"/>
      <c r="V403" s="312"/>
      <c r="W403" s="312"/>
      <c r="X403" s="312"/>
      <c r="Y403" s="312"/>
      <c r="Z403" s="312"/>
      <c r="AA403" s="312"/>
      <c r="AB403" s="312"/>
      <c r="AC403" s="312"/>
      <c r="AD403" s="312"/>
      <c r="AE403" s="312"/>
      <c r="AF403" s="312"/>
      <c r="AG403" s="312"/>
      <c r="AH403" s="312"/>
      <c r="AI403" s="312"/>
      <c r="AJ403" s="312"/>
      <c r="AK403" s="312"/>
      <c r="AL403" s="312"/>
      <c r="AM403" s="312"/>
      <c r="AN403" s="312"/>
      <c r="AO403" s="312"/>
      <c r="AP403" s="312"/>
    </row>
    <row r="404" ht="15.75" customHeight="1">
      <c r="A404" s="318"/>
      <c r="B404" s="312"/>
      <c r="C404" s="312"/>
      <c r="D404" s="312"/>
      <c r="E404" s="312"/>
      <c r="F404" s="312"/>
      <c r="G404" s="312"/>
      <c r="H404" s="312"/>
      <c r="I404" s="312"/>
      <c r="J404" s="312"/>
      <c r="K404" s="312"/>
      <c r="L404" s="312"/>
      <c r="M404" s="312"/>
      <c r="N404" s="312"/>
      <c r="O404" s="312"/>
      <c r="P404" s="312"/>
      <c r="Q404" s="312"/>
      <c r="R404" s="312"/>
      <c r="S404" s="312"/>
      <c r="T404" s="312"/>
      <c r="U404" s="312"/>
      <c r="V404" s="312"/>
      <c r="W404" s="312"/>
      <c r="X404" s="312"/>
      <c r="Y404" s="312"/>
      <c r="Z404" s="312"/>
      <c r="AA404" s="312"/>
      <c r="AB404" s="312"/>
      <c r="AC404" s="312"/>
      <c r="AD404" s="312"/>
      <c r="AE404" s="312"/>
      <c r="AF404" s="312"/>
      <c r="AG404" s="312"/>
      <c r="AH404" s="312"/>
      <c r="AI404" s="312"/>
      <c r="AJ404" s="312"/>
      <c r="AK404" s="312"/>
      <c r="AL404" s="312"/>
      <c r="AM404" s="312"/>
      <c r="AN404" s="312"/>
      <c r="AO404" s="312"/>
      <c r="AP404" s="312"/>
    </row>
    <row r="405" ht="15.75" customHeight="1">
      <c r="A405" s="318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2"/>
      <c r="S405" s="312"/>
      <c r="T405" s="312"/>
      <c r="U405" s="312"/>
      <c r="V405" s="312"/>
      <c r="W405" s="312"/>
      <c r="X405" s="312"/>
      <c r="Y405" s="312"/>
      <c r="Z405" s="312"/>
      <c r="AA405" s="312"/>
      <c r="AB405" s="312"/>
      <c r="AC405" s="312"/>
      <c r="AD405" s="312"/>
      <c r="AE405" s="312"/>
      <c r="AF405" s="312"/>
      <c r="AG405" s="312"/>
      <c r="AH405" s="312"/>
      <c r="AI405" s="312"/>
      <c r="AJ405" s="312"/>
      <c r="AK405" s="312"/>
      <c r="AL405" s="312"/>
      <c r="AM405" s="312"/>
      <c r="AN405" s="312"/>
      <c r="AO405" s="312"/>
      <c r="AP405" s="312"/>
    </row>
    <row r="406" ht="15.75" customHeight="1">
      <c r="A406" s="318"/>
      <c r="B406" s="312"/>
      <c r="C406" s="312"/>
      <c r="D406" s="312"/>
      <c r="E406" s="312"/>
      <c r="F406" s="312"/>
      <c r="G406" s="312"/>
      <c r="H406" s="312"/>
      <c r="I406" s="312"/>
      <c r="J406" s="312"/>
      <c r="K406" s="312"/>
      <c r="L406" s="312"/>
      <c r="M406" s="312"/>
      <c r="N406" s="312"/>
      <c r="O406" s="312"/>
      <c r="P406" s="312"/>
      <c r="Q406" s="312"/>
      <c r="R406" s="312"/>
      <c r="S406" s="312"/>
      <c r="T406" s="312"/>
      <c r="U406" s="312"/>
      <c r="V406" s="312"/>
      <c r="W406" s="312"/>
      <c r="X406" s="312"/>
      <c r="Y406" s="312"/>
      <c r="Z406" s="312"/>
      <c r="AA406" s="312"/>
      <c r="AB406" s="312"/>
      <c r="AC406" s="312"/>
      <c r="AD406" s="312"/>
      <c r="AE406" s="312"/>
      <c r="AF406" s="312"/>
      <c r="AG406" s="312"/>
      <c r="AH406" s="312"/>
      <c r="AI406" s="312"/>
      <c r="AJ406" s="312"/>
      <c r="AK406" s="312"/>
      <c r="AL406" s="312"/>
      <c r="AM406" s="312"/>
      <c r="AN406" s="312"/>
      <c r="AO406" s="312"/>
      <c r="AP406" s="312"/>
    </row>
    <row r="407" ht="15.75" customHeight="1">
      <c r="A407" s="318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2"/>
      <c r="S407" s="312"/>
      <c r="T407" s="312"/>
      <c r="U407" s="312"/>
      <c r="V407" s="312"/>
      <c r="W407" s="312"/>
      <c r="X407" s="312"/>
      <c r="Y407" s="312"/>
      <c r="Z407" s="312"/>
      <c r="AA407" s="312"/>
      <c r="AB407" s="312"/>
      <c r="AC407" s="312"/>
      <c r="AD407" s="312"/>
      <c r="AE407" s="312"/>
      <c r="AF407" s="312"/>
      <c r="AG407" s="312"/>
      <c r="AH407" s="312"/>
      <c r="AI407" s="312"/>
      <c r="AJ407" s="312"/>
      <c r="AK407" s="312"/>
      <c r="AL407" s="312"/>
      <c r="AM407" s="312"/>
      <c r="AN407" s="312"/>
      <c r="AO407" s="312"/>
      <c r="AP407" s="312"/>
    </row>
    <row r="408" ht="15.75" customHeight="1">
      <c r="A408" s="318"/>
      <c r="B408" s="312"/>
      <c r="C408" s="312"/>
      <c r="D408" s="312"/>
      <c r="E408" s="312"/>
      <c r="F408" s="312"/>
      <c r="G408" s="312"/>
      <c r="H408" s="312"/>
      <c r="I408" s="312"/>
      <c r="J408" s="312"/>
      <c r="K408" s="312"/>
      <c r="L408" s="312"/>
      <c r="M408" s="312"/>
      <c r="N408" s="312"/>
      <c r="O408" s="312"/>
      <c r="P408" s="312"/>
      <c r="Q408" s="312"/>
      <c r="R408" s="312"/>
      <c r="S408" s="312"/>
      <c r="T408" s="312"/>
      <c r="U408" s="312"/>
      <c r="V408" s="312"/>
      <c r="W408" s="312"/>
      <c r="X408" s="312"/>
      <c r="Y408" s="312"/>
      <c r="Z408" s="312"/>
      <c r="AA408" s="312"/>
      <c r="AB408" s="312"/>
      <c r="AC408" s="312"/>
      <c r="AD408" s="312"/>
      <c r="AE408" s="312"/>
      <c r="AF408" s="312"/>
      <c r="AG408" s="312"/>
      <c r="AH408" s="312"/>
      <c r="AI408" s="312"/>
      <c r="AJ408" s="312"/>
      <c r="AK408" s="312"/>
      <c r="AL408" s="312"/>
      <c r="AM408" s="312"/>
      <c r="AN408" s="312"/>
      <c r="AO408" s="312"/>
      <c r="AP408" s="312"/>
    </row>
    <row r="409" ht="15.75" customHeight="1">
      <c r="A409" s="318"/>
      <c r="B409" s="312"/>
      <c r="C409" s="312"/>
      <c r="D409" s="312"/>
      <c r="E409" s="312"/>
      <c r="F409" s="312"/>
      <c r="G409" s="312"/>
      <c r="H409" s="312"/>
      <c r="I409" s="312"/>
      <c r="J409" s="312"/>
      <c r="K409" s="312"/>
      <c r="L409" s="312"/>
      <c r="M409" s="312"/>
      <c r="N409" s="312"/>
      <c r="O409" s="312"/>
      <c r="P409" s="312"/>
      <c r="Q409" s="312"/>
      <c r="R409" s="312"/>
      <c r="S409" s="312"/>
      <c r="T409" s="312"/>
      <c r="U409" s="312"/>
      <c r="V409" s="312"/>
      <c r="W409" s="312"/>
      <c r="X409" s="312"/>
      <c r="Y409" s="312"/>
      <c r="Z409" s="312"/>
      <c r="AA409" s="312"/>
      <c r="AB409" s="312"/>
      <c r="AC409" s="312"/>
      <c r="AD409" s="312"/>
      <c r="AE409" s="312"/>
      <c r="AF409" s="312"/>
      <c r="AG409" s="312"/>
      <c r="AH409" s="312"/>
      <c r="AI409" s="312"/>
      <c r="AJ409" s="312"/>
      <c r="AK409" s="312"/>
      <c r="AL409" s="312"/>
      <c r="AM409" s="312"/>
      <c r="AN409" s="312"/>
      <c r="AO409" s="312"/>
      <c r="AP409" s="312"/>
    </row>
    <row r="410" ht="15.75" customHeight="1">
      <c r="A410" s="318"/>
      <c r="B410" s="312"/>
      <c r="C410" s="312"/>
      <c r="D410" s="312"/>
      <c r="E410" s="312"/>
      <c r="F410" s="312"/>
      <c r="G410" s="312"/>
      <c r="H410" s="312"/>
      <c r="I410" s="312"/>
      <c r="J410" s="312"/>
      <c r="K410" s="312"/>
      <c r="L410" s="312"/>
      <c r="M410" s="312"/>
      <c r="N410" s="312"/>
      <c r="O410" s="312"/>
      <c r="P410" s="312"/>
      <c r="Q410" s="312"/>
      <c r="R410" s="312"/>
      <c r="S410" s="312"/>
      <c r="T410" s="312"/>
      <c r="U410" s="312"/>
      <c r="V410" s="312"/>
      <c r="W410" s="312"/>
      <c r="X410" s="312"/>
      <c r="Y410" s="312"/>
      <c r="Z410" s="312"/>
      <c r="AA410" s="312"/>
      <c r="AB410" s="312"/>
      <c r="AC410" s="312"/>
      <c r="AD410" s="312"/>
      <c r="AE410" s="312"/>
      <c r="AF410" s="312"/>
      <c r="AG410" s="312"/>
      <c r="AH410" s="312"/>
      <c r="AI410" s="312"/>
      <c r="AJ410" s="312"/>
      <c r="AK410" s="312"/>
      <c r="AL410" s="312"/>
      <c r="AM410" s="312"/>
      <c r="AN410" s="312"/>
      <c r="AO410" s="312"/>
      <c r="AP410" s="312"/>
    </row>
    <row r="411" ht="15.75" customHeight="1">
      <c r="A411" s="318"/>
      <c r="B411" s="312"/>
      <c r="C411" s="312"/>
      <c r="D411" s="312"/>
      <c r="E411" s="312"/>
      <c r="F411" s="312"/>
      <c r="G411" s="312"/>
      <c r="H411" s="312"/>
      <c r="I411" s="312"/>
      <c r="J411" s="312"/>
      <c r="K411" s="312"/>
      <c r="L411" s="312"/>
      <c r="M411" s="312"/>
      <c r="N411" s="312"/>
      <c r="O411" s="312"/>
      <c r="P411" s="312"/>
      <c r="Q411" s="312"/>
      <c r="R411" s="312"/>
      <c r="S411" s="312"/>
      <c r="T411" s="312"/>
      <c r="U411" s="312"/>
      <c r="V411" s="312"/>
      <c r="W411" s="312"/>
      <c r="X411" s="312"/>
      <c r="Y411" s="312"/>
      <c r="Z411" s="312"/>
      <c r="AA411" s="312"/>
      <c r="AB411" s="312"/>
      <c r="AC411" s="312"/>
      <c r="AD411" s="312"/>
      <c r="AE411" s="312"/>
      <c r="AF411" s="312"/>
      <c r="AG411" s="312"/>
      <c r="AH411" s="312"/>
      <c r="AI411" s="312"/>
      <c r="AJ411" s="312"/>
      <c r="AK411" s="312"/>
      <c r="AL411" s="312"/>
      <c r="AM411" s="312"/>
      <c r="AN411" s="312"/>
      <c r="AO411" s="312"/>
      <c r="AP411" s="312"/>
    </row>
    <row r="412" ht="15.75" customHeight="1">
      <c r="A412" s="318"/>
      <c r="B412" s="312"/>
      <c r="C412" s="312"/>
      <c r="D412" s="312"/>
      <c r="E412" s="312"/>
      <c r="F412" s="312"/>
      <c r="G412" s="312"/>
      <c r="H412" s="312"/>
      <c r="I412" s="312"/>
      <c r="J412" s="312"/>
      <c r="K412" s="312"/>
      <c r="L412" s="312"/>
      <c r="M412" s="312"/>
      <c r="N412" s="312"/>
      <c r="O412" s="312"/>
      <c r="P412" s="312"/>
      <c r="Q412" s="312"/>
      <c r="R412" s="312"/>
      <c r="S412" s="312"/>
      <c r="T412" s="312"/>
      <c r="U412" s="312"/>
      <c r="V412" s="312"/>
      <c r="W412" s="312"/>
      <c r="X412" s="312"/>
      <c r="Y412" s="312"/>
      <c r="Z412" s="312"/>
      <c r="AA412" s="312"/>
      <c r="AB412" s="312"/>
      <c r="AC412" s="312"/>
      <c r="AD412" s="312"/>
      <c r="AE412" s="312"/>
      <c r="AF412" s="312"/>
      <c r="AG412" s="312"/>
      <c r="AH412" s="312"/>
      <c r="AI412" s="312"/>
      <c r="AJ412" s="312"/>
      <c r="AK412" s="312"/>
      <c r="AL412" s="312"/>
      <c r="AM412" s="312"/>
      <c r="AN412" s="312"/>
      <c r="AO412" s="312"/>
      <c r="AP412" s="312"/>
    </row>
    <row r="413" ht="15.75" customHeight="1">
      <c r="A413" s="318"/>
      <c r="B413" s="312"/>
      <c r="C413" s="312"/>
      <c r="D413" s="312"/>
      <c r="E413" s="312"/>
      <c r="F413" s="312"/>
      <c r="G413" s="312"/>
      <c r="H413" s="312"/>
      <c r="I413" s="312"/>
      <c r="J413" s="312"/>
      <c r="K413" s="312"/>
      <c r="L413" s="312"/>
      <c r="M413" s="312"/>
      <c r="N413" s="312"/>
      <c r="O413" s="312"/>
      <c r="P413" s="312"/>
      <c r="Q413" s="312"/>
      <c r="R413" s="312"/>
      <c r="S413" s="312"/>
      <c r="T413" s="312"/>
      <c r="U413" s="312"/>
      <c r="V413" s="312"/>
      <c r="W413" s="312"/>
      <c r="X413" s="312"/>
      <c r="Y413" s="312"/>
      <c r="Z413" s="312"/>
      <c r="AA413" s="312"/>
      <c r="AB413" s="312"/>
      <c r="AC413" s="312"/>
      <c r="AD413" s="312"/>
      <c r="AE413" s="312"/>
      <c r="AF413" s="312"/>
      <c r="AG413" s="312"/>
      <c r="AH413" s="312"/>
      <c r="AI413" s="312"/>
      <c r="AJ413" s="312"/>
      <c r="AK413" s="312"/>
      <c r="AL413" s="312"/>
      <c r="AM413" s="312"/>
      <c r="AN413" s="312"/>
      <c r="AO413" s="312"/>
      <c r="AP413" s="312"/>
    </row>
    <row r="414" ht="15.75" customHeight="1">
      <c r="A414" s="318"/>
      <c r="B414" s="312"/>
      <c r="C414" s="312"/>
      <c r="D414" s="312"/>
      <c r="E414" s="312"/>
      <c r="F414" s="312"/>
      <c r="G414" s="312"/>
      <c r="H414" s="312"/>
      <c r="I414" s="312"/>
      <c r="J414" s="312"/>
      <c r="K414" s="312"/>
      <c r="L414" s="312"/>
      <c r="M414" s="312"/>
      <c r="N414" s="312"/>
      <c r="O414" s="312"/>
      <c r="P414" s="312"/>
      <c r="Q414" s="312"/>
      <c r="R414" s="312"/>
      <c r="S414" s="312"/>
      <c r="T414" s="312"/>
      <c r="U414" s="312"/>
      <c r="V414" s="312"/>
      <c r="W414" s="312"/>
      <c r="X414" s="312"/>
      <c r="Y414" s="312"/>
      <c r="Z414" s="312"/>
      <c r="AA414" s="312"/>
      <c r="AB414" s="312"/>
      <c r="AC414" s="312"/>
      <c r="AD414" s="312"/>
      <c r="AE414" s="312"/>
      <c r="AF414" s="312"/>
      <c r="AG414" s="312"/>
      <c r="AH414" s="312"/>
      <c r="AI414" s="312"/>
      <c r="AJ414" s="312"/>
      <c r="AK414" s="312"/>
      <c r="AL414" s="312"/>
      <c r="AM414" s="312"/>
      <c r="AN414" s="312"/>
      <c r="AO414" s="312"/>
      <c r="AP414" s="312"/>
    </row>
    <row r="415" ht="15.75" customHeight="1">
      <c r="A415" s="318"/>
      <c r="B415" s="312"/>
      <c r="C415" s="312"/>
      <c r="D415" s="312"/>
      <c r="E415" s="312"/>
      <c r="F415" s="312"/>
      <c r="G415" s="312"/>
      <c r="H415" s="312"/>
      <c r="I415" s="312"/>
      <c r="J415" s="312"/>
      <c r="K415" s="312"/>
      <c r="L415" s="312"/>
      <c r="M415" s="312"/>
      <c r="N415" s="312"/>
      <c r="O415" s="312"/>
      <c r="P415" s="312"/>
      <c r="Q415" s="312"/>
      <c r="R415" s="312"/>
      <c r="S415" s="312"/>
      <c r="T415" s="312"/>
      <c r="U415" s="312"/>
      <c r="V415" s="312"/>
      <c r="W415" s="312"/>
      <c r="X415" s="312"/>
      <c r="Y415" s="312"/>
      <c r="Z415" s="312"/>
      <c r="AA415" s="312"/>
      <c r="AB415" s="312"/>
      <c r="AC415" s="312"/>
      <c r="AD415" s="312"/>
      <c r="AE415" s="312"/>
      <c r="AF415" s="312"/>
      <c r="AG415" s="312"/>
      <c r="AH415" s="312"/>
      <c r="AI415" s="312"/>
      <c r="AJ415" s="312"/>
      <c r="AK415" s="312"/>
      <c r="AL415" s="312"/>
      <c r="AM415" s="312"/>
      <c r="AN415" s="312"/>
      <c r="AO415" s="312"/>
      <c r="AP415" s="312"/>
    </row>
    <row r="416" ht="15.75" customHeight="1">
      <c r="A416" s="318"/>
      <c r="B416" s="312"/>
      <c r="C416" s="312"/>
      <c r="D416" s="312"/>
      <c r="E416" s="312"/>
      <c r="F416" s="312"/>
      <c r="G416" s="312"/>
      <c r="H416" s="312"/>
      <c r="I416" s="312"/>
      <c r="J416" s="312"/>
      <c r="K416" s="312"/>
      <c r="L416" s="312"/>
      <c r="M416" s="312"/>
      <c r="N416" s="312"/>
      <c r="O416" s="312"/>
      <c r="P416" s="312"/>
      <c r="Q416" s="312"/>
      <c r="R416" s="312"/>
      <c r="S416" s="312"/>
      <c r="T416" s="312"/>
      <c r="U416" s="312"/>
      <c r="V416" s="312"/>
      <c r="W416" s="312"/>
      <c r="X416" s="312"/>
      <c r="Y416" s="312"/>
      <c r="Z416" s="312"/>
      <c r="AA416" s="312"/>
      <c r="AB416" s="312"/>
      <c r="AC416" s="312"/>
      <c r="AD416" s="312"/>
      <c r="AE416" s="312"/>
      <c r="AF416" s="312"/>
      <c r="AG416" s="312"/>
      <c r="AH416" s="312"/>
      <c r="AI416" s="312"/>
      <c r="AJ416" s="312"/>
      <c r="AK416" s="312"/>
      <c r="AL416" s="312"/>
      <c r="AM416" s="312"/>
      <c r="AN416" s="312"/>
      <c r="AO416" s="312"/>
      <c r="AP416" s="312"/>
    </row>
    <row r="417" ht="15.75" customHeight="1">
      <c r="A417" s="318"/>
      <c r="B417" s="312"/>
      <c r="C417" s="312"/>
      <c r="D417" s="312"/>
      <c r="E417" s="312"/>
      <c r="F417" s="312"/>
      <c r="G417" s="312"/>
      <c r="H417" s="312"/>
      <c r="I417" s="312"/>
      <c r="J417" s="312"/>
      <c r="K417" s="312"/>
      <c r="L417" s="312"/>
      <c r="M417" s="312"/>
      <c r="N417" s="312"/>
      <c r="O417" s="312"/>
      <c r="P417" s="312"/>
      <c r="Q417" s="312"/>
      <c r="R417" s="312"/>
      <c r="S417" s="312"/>
      <c r="T417" s="312"/>
      <c r="U417" s="312"/>
      <c r="V417" s="312"/>
      <c r="W417" s="312"/>
      <c r="X417" s="312"/>
      <c r="Y417" s="312"/>
      <c r="Z417" s="312"/>
      <c r="AA417" s="312"/>
      <c r="AB417" s="312"/>
      <c r="AC417" s="312"/>
      <c r="AD417" s="312"/>
      <c r="AE417" s="312"/>
      <c r="AF417" s="312"/>
      <c r="AG417" s="312"/>
      <c r="AH417" s="312"/>
      <c r="AI417" s="312"/>
      <c r="AJ417" s="312"/>
      <c r="AK417" s="312"/>
      <c r="AL417" s="312"/>
      <c r="AM417" s="312"/>
      <c r="AN417" s="312"/>
      <c r="AO417" s="312"/>
      <c r="AP417" s="312"/>
    </row>
    <row r="418" ht="15.75" customHeight="1">
      <c r="A418" s="318"/>
      <c r="B418" s="312"/>
      <c r="C418" s="312"/>
      <c r="D418" s="312"/>
      <c r="E418" s="312"/>
      <c r="F418" s="312"/>
      <c r="G418" s="312"/>
      <c r="H418" s="312"/>
      <c r="I418" s="312"/>
      <c r="J418" s="312"/>
      <c r="K418" s="312"/>
      <c r="L418" s="312"/>
      <c r="M418" s="312"/>
      <c r="N418" s="312"/>
      <c r="O418" s="312"/>
      <c r="P418" s="312"/>
      <c r="Q418" s="312"/>
      <c r="R418" s="312"/>
      <c r="S418" s="312"/>
      <c r="T418" s="312"/>
      <c r="U418" s="312"/>
      <c r="V418" s="312"/>
      <c r="W418" s="312"/>
      <c r="X418" s="312"/>
      <c r="Y418" s="312"/>
      <c r="Z418" s="312"/>
      <c r="AA418" s="312"/>
      <c r="AB418" s="312"/>
      <c r="AC418" s="312"/>
      <c r="AD418" s="312"/>
      <c r="AE418" s="312"/>
      <c r="AF418" s="312"/>
      <c r="AG418" s="312"/>
      <c r="AH418" s="312"/>
      <c r="AI418" s="312"/>
      <c r="AJ418" s="312"/>
      <c r="AK418" s="312"/>
      <c r="AL418" s="312"/>
      <c r="AM418" s="312"/>
      <c r="AN418" s="312"/>
      <c r="AO418" s="312"/>
      <c r="AP418" s="312"/>
    </row>
    <row r="419" ht="15.75" customHeight="1">
      <c r="A419" s="318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2"/>
      <c r="S419" s="312"/>
      <c r="T419" s="312"/>
      <c r="U419" s="312"/>
      <c r="V419" s="312"/>
      <c r="W419" s="312"/>
      <c r="X419" s="312"/>
      <c r="Y419" s="312"/>
      <c r="Z419" s="312"/>
      <c r="AA419" s="312"/>
      <c r="AB419" s="312"/>
      <c r="AC419" s="312"/>
      <c r="AD419" s="312"/>
      <c r="AE419" s="312"/>
      <c r="AF419" s="312"/>
      <c r="AG419" s="312"/>
      <c r="AH419" s="312"/>
      <c r="AI419" s="312"/>
      <c r="AJ419" s="312"/>
      <c r="AK419" s="312"/>
      <c r="AL419" s="312"/>
      <c r="AM419" s="312"/>
      <c r="AN419" s="312"/>
      <c r="AO419" s="312"/>
      <c r="AP419" s="312"/>
    </row>
    <row r="420" ht="15.75" customHeight="1">
      <c r="A420" s="318"/>
      <c r="B420" s="312"/>
      <c r="C420" s="312"/>
      <c r="D420" s="312"/>
      <c r="E420" s="312"/>
      <c r="F420" s="312"/>
      <c r="G420" s="312"/>
      <c r="H420" s="312"/>
      <c r="I420" s="312"/>
      <c r="J420" s="312"/>
      <c r="K420" s="312"/>
      <c r="L420" s="312"/>
      <c r="M420" s="312"/>
      <c r="N420" s="312"/>
      <c r="O420" s="312"/>
      <c r="P420" s="312"/>
      <c r="Q420" s="312"/>
      <c r="R420" s="312"/>
      <c r="S420" s="312"/>
      <c r="T420" s="312"/>
      <c r="U420" s="312"/>
      <c r="V420" s="312"/>
      <c r="W420" s="312"/>
      <c r="X420" s="312"/>
      <c r="Y420" s="312"/>
      <c r="Z420" s="312"/>
      <c r="AA420" s="312"/>
      <c r="AB420" s="312"/>
      <c r="AC420" s="312"/>
      <c r="AD420" s="312"/>
      <c r="AE420" s="312"/>
      <c r="AF420" s="312"/>
      <c r="AG420" s="312"/>
      <c r="AH420" s="312"/>
      <c r="AI420" s="312"/>
      <c r="AJ420" s="312"/>
      <c r="AK420" s="312"/>
      <c r="AL420" s="312"/>
      <c r="AM420" s="312"/>
      <c r="AN420" s="312"/>
      <c r="AO420" s="312"/>
      <c r="AP420" s="312"/>
    </row>
    <row r="421" ht="15.75" customHeight="1">
      <c r="A421" s="318"/>
      <c r="B421" s="312"/>
      <c r="C421" s="312"/>
      <c r="D421" s="312"/>
      <c r="E421" s="312"/>
      <c r="F421" s="312"/>
      <c r="G421" s="312"/>
      <c r="H421" s="312"/>
      <c r="I421" s="312"/>
      <c r="J421" s="312"/>
      <c r="K421" s="312"/>
      <c r="L421" s="312"/>
      <c r="M421" s="312"/>
      <c r="N421" s="312"/>
      <c r="O421" s="312"/>
      <c r="P421" s="312"/>
      <c r="Q421" s="312"/>
      <c r="R421" s="312"/>
      <c r="S421" s="312"/>
      <c r="T421" s="312"/>
      <c r="U421" s="312"/>
      <c r="V421" s="312"/>
      <c r="W421" s="312"/>
      <c r="X421" s="312"/>
      <c r="Y421" s="312"/>
      <c r="Z421" s="312"/>
      <c r="AA421" s="312"/>
      <c r="AB421" s="312"/>
      <c r="AC421" s="312"/>
      <c r="AD421" s="312"/>
      <c r="AE421" s="312"/>
      <c r="AF421" s="312"/>
      <c r="AG421" s="312"/>
      <c r="AH421" s="312"/>
      <c r="AI421" s="312"/>
      <c r="AJ421" s="312"/>
      <c r="AK421" s="312"/>
      <c r="AL421" s="312"/>
      <c r="AM421" s="312"/>
      <c r="AN421" s="312"/>
      <c r="AO421" s="312"/>
      <c r="AP421" s="312"/>
    </row>
    <row r="422" ht="15.75" customHeight="1">
      <c r="A422" s="318"/>
      <c r="B422" s="312"/>
      <c r="C422" s="312"/>
      <c r="D422" s="312"/>
      <c r="E422" s="312"/>
      <c r="F422" s="312"/>
      <c r="G422" s="312"/>
      <c r="H422" s="312"/>
      <c r="I422" s="312"/>
      <c r="J422" s="312"/>
      <c r="K422" s="312"/>
      <c r="L422" s="312"/>
      <c r="M422" s="312"/>
      <c r="N422" s="312"/>
      <c r="O422" s="312"/>
      <c r="P422" s="312"/>
      <c r="Q422" s="312"/>
      <c r="R422" s="312"/>
      <c r="S422" s="312"/>
      <c r="T422" s="312"/>
      <c r="U422" s="312"/>
      <c r="V422" s="312"/>
      <c r="W422" s="312"/>
      <c r="X422" s="312"/>
      <c r="Y422" s="312"/>
      <c r="Z422" s="312"/>
      <c r="AA422" s="312"/>
      <c r="AB422" s="312"/>
      <c r="AC422" s="312"/>
      <c r="AD422" s="312"/>
      <c r="AE422" s="312"/>
      <c r="AF422" s="312"/>
      <c r="AG422" s="312"/>
      <c r="AH422" s="312"/>
      <c r="AI422" s="312"/>
      <c r="AJ422" s="312"/>
      <c r="AK422" s="312"/>
      <c r="AL422" s="312"/>
      <c r="AM422" s="312"/>
      <c r="AN422" s="312"/>
      <c r="AO422" s="312"/>
      <c r="AP422" s="312"/>
    </row>
    <row r="423" ht="15.75" customHeight="1">
      <c r="A423" s="318"/>
      <c r="B423" s="312"/>
      <c r="C423" s="312"/>
      <c r="D423" s="312"/>
      <c r="E423" s="312"/>
      <c r="F423" s="312"/>
      <c r="G423" s="312"/>
      <c r="H423" s="312"/>
      <c r="I423" s="312"/>
      <c r="J423" s="312"/>
      <c r="K423" s="312"/>
      <c r="L423" s="312"/>
      <c r="M423" s="312"/>
      <c r="N423" s="312"/>
      <c r="O423" s="312"/>
      <c r="P423" s="312"/>
      <c r="Q423" s="312"/>
      <c r="R423" s="312"/>
      <c r="S423" s="312"/>
      <c r="T423" s="312"/>
      <c r="U423" s="312"/>
      <c r="V423" s="312"/>
      <c r="W423" s="312"/>
      <c r="X423" s="312"/>
      <c r="Y423" s="312"/>
      <c r="Z423" s="312"/>
      <c r="AA423" s="312"/>
      <c r="AB423" s="312"/>
      <c r="AC423" s="312"/>
      <c r="AD423" s="312"/>
      <c r="AE423" s="312"/>
      <c r="AF423" s="312"/>
      <c r="AG423" s="312"/>
      <c r="AH423" s="312"/>
      <c r="AI423" s="312"/>
      <c r="AJ423" s="312"/>
      <c r="AK423" s="312"/>
      <c r="AL423" s="312"/>
      <c r="AM423" s="312"/>
      <c r="AN423" s="312"/>
      <c r="AO423" s="312"/>
      <c r="AP423" s="312"/>
    </row>
    <row r="424" ht="15.75" customHeight="1">
      <c r="A424" s="318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2"/>
      <c r="S424" s="312"/>
      <c r="T424" s="312"/>
      <c r="U424" s="312"/>
      <c r="V424" s="312"/>
      <c r="W424" s="312"/>
      <c r="X424" s="312"/>
      <c r="Y424" s="312"/>
      <c r="Z424" s="312"/>
      <c r="AA424" s="312"/>
      <c r="AB424" s="312"/>
      <c r="AC424" s="312"/>
      <c r="AD424" s="312"/>
      <c r="AE424" s="312"/>
      <c r="AF424" s="312"/>
      <c r="AG424" s="312"/>
      <c r="AH424" s="312"/>
      <c r="AI424" s="312"/>
      <c r="AJ424" s="312"/>
      <c r="AK424" s="312"/>
      <c r="AL424" s="312"/>
      <c r="AM424" s="312"/>
      <c r="AN424" s="312"/>
      <c r="AO424" s="312"/>
      <c r="AP424" s="312"/>
    </row>
    <row r="425" ht="15.75" customHeight="1">
      <c r="A425" s="318"/>
      <c r="B425" s="312"/>
      <c r="C425" s="312"/>
      <c r="D425" s="312"/>
      <c r="E425" s="312"/>
      <c r="F425" s="312"/>
      <c r="G425" s="312"/>
      <c r="H425" s="312"/>
      <c r="I425" s="312"/>
      <c r="J425" s="312"/>
      <c r="K425" s="312"/>
      <c r="L425" s="312"/>
      <c r="M425" s="312"/>
      <c r="N425" s="312"/>
      <c r="O425" s="312"/>
      <c r="P425" s="312"/>
      <c r="Q425" s="312"/>
      <c r="R425" s="312"/>
      <c r="S425" s="312"/>
      <c r="T425" s="312"/>
      <c r="U425" s="312"/>
      <c r="V425" s="312"/>
      <c r="W425" s="312"/>
      <c r="X425" s="312"/>
      <c r="Y425" s="312"/>
      <c r="Z425" s="312"/>
      <c r="AA425" s="312"/>
      <c r="AB425" s="312"/>
      <c r="AC425" s="312"/>
      <c r="AD425" s="312"/>
      <c r="AE425" s="312"/>
      <c r="AF425" s="312"/>
      <c r="AG425" s="312"/>
      <c r="AH425" s="312"/>
      <c r="AI425" s="312"/>
      <c r="AJ425" s="312"/>
      <c r="AK425" s="312"/>
      <c r="AL425" s="312"/>
      <c r="AM425" s="312"/>
      <c r="AN425" s="312"/>
      <c r="AO425" s="312"/>
      <c r="AP425" s="312"/>
    </row>
    <row r="426" ht="15.75" customHeight="1">
      <c r="A426" s="318"/>
      <c r="B426" s="312"/>
      <c r="C426" s="312"/>
      <c r="D426" s="312"/>
      <c r="E426" s="312"/>
      <c r="F426" s="312"/>
      <c r="G426" s="312"/>
      <c r="H426" s="312"/>
      <c r="I426" s="312"/>
      <c r="J426" s="312"/>
      <c r="K426" s="312"/>
      <c r="L426" s="312"/>
      <c r="M426" s="312"/>
      <c r="N426" s="312"/>
      <c r="O426" s="312"/>
      <c r="P426" s="312"/>
      <c r="Q426" s="312"/>
      <c r="R426" s="312"/>
      <c r="S426" s="312"/>
      <c r="T426" s="312"/>
      <c r="U426" s="312"/>
      <c r="V426" s="312"/>
      <c r="W426" s="312"/>
      <c r="X426" s="312"/>
      <c r="Y426" s="312"/>
      <c r="Z426" s="312"/>
      <c r="AA426" s="312"/>
      <c r="AB426" s="312"/>
      <c r="AC426" s="312"/>
      <c r="AD426" s="312"/>
      <c r="AE426" s="312"/>
      <c r="AF426" s="312"/>
      <c r="AG426" s="312"/>
      <c r="AH426" s="312"/>
      <c r="AI426" s="312"/>
      <c r="AJ426" s="312"/>
      <c r="AK426" s="312"/>
      <c r="AL426" s="312"/>
      <c r="AM426" s="312"/>
      <c r="AN426" s="312"/>
      <c r="AO426" s="312"/>
      <c r="AP426" s="312"/>
    </row>
    <row r="427" ht="15.75" customHeight="1">
      <c r="A427" s="318"/>
      <c r="B427" s="312"/>
      <c r="C427" s="312"/>
      <c r="D427" s="312"/>
      <c r="E427" s="312"/>
      <c r="F427" s="312"/>
      <c r="G427" s="312"/>
      <c r="H427" s="312"/>
      <c r="I427" s="312"/>
      <c r="J427" s="312"/>
      <c r="K427" s="312"/>
      <c r="L427" s="312"/>
      <c r="M427" s="312"/>
      <c r="N427" s="312"/>
      <c r="O427" s="312"/>
      <c r="P427" s="312"/>
      <c r="Q427" s="312"/>
      <c r="R427" s="312"/>
      <c r="S427" s="312"/>
      <c r="T427" s="312"/>
      <c r="U427" s="312"/>
      <c r="V427" s="312"/>
      <c r="W427" s="312"/>
      <c r="X427" s="312"/>
      <c r="Y427" s="312"/>
      <c r="Z427" s="312"/>
      <c r="AA427" s="312"/>
      <c r="AB427" s="312"/>
      <c r="AC427" s="312"/>
      <c r="AD427" s="312"/>
      <c r="AE427" s="312"/>
      <c r="AF427" s="312"/>
      <c r="AG427" s="312"/>
      <c r="AH427" s="312"/>
      <c r="AI427" s="312"/>
      <c r="AJ427" s="312"/>
      <c r="AK427" s="312"/>
      <c r="AL427" s="312"/>
      <c r="AM427" s="312"/>
      <c r="AN427" s="312"/>
      <c r="AO427" s="312"/>
      <c r="AP427" s="312"/>
    </row>
    <row r="428" ht="15.75" customHeight="1">
      <c r="A428" s="318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2"/>
      <c r="S428" s="312"/>
      <c r="T428" s="312"/>
      <c r="U428" s="312"/>
      <c r="V428" s="312"/>
      <c r="W428" s="312"/>
      <c r="X428" s="312"/>
      <c r="Y428" s="312"/>
      <c r="Z428" s="312"/>
      <c r="AA428" s="312"/>
      <c r="AB428" s="312"/>
      <c r="AC428" s="312"/>
      <c r="AD428" s="312"/>
      <c r="AE428" s="312"/>
      <c r="AF428" s="312"/>
      <c r="AG428" s="312"/>
      <c r="AH428" s="312"/>
      <c r="AI428" s="312"/>
      <c r="AJ428" s="312"/>
      <c r="AK428" s="312"/>
      <c r="AL428" s="312"/>
      <c r="AM428" s="312"/>
      <c r="AN428" s="312"/>
      <c r="AO428" s="312"/>
      <c r="AP428" s="312"/>
    </row>
    <row r="429" ht="15.75" customHeight="1">
      <c r="A429" s="318"/>
      <c r="B429" s="312"/>
      <c r="C429" s="312"/>
      <c r="D429" s="312"/>
      <c r="E429" s="312"/>
      <c r="F429" s="312"/>
      <c r="G429" s="312"/>
      <c r="H429" s="312"/>
      <c r="I429" s="312"/>
      <c r="J429" s="312"/>
      <c r="K429" s="312"/>
      <c r="L429" s="312"/>
      <c r="M429" s="312"/>
      <c r="N429" s="312"/>
      <c r="O429" s="312"/>
      <c r="P429" s="312"/>
      <c r="Q429" s="312"/>
      <c r="R429" s="312"/>
      <c r="S429" s="312"/>
      <c r="T429" s="312"/>
      <c r="U429" s="312"/>
      <c r="V429" s="312"/>
      <c r="W429" s="312"/>
      <c r="X429" s="312"/>
      <c r="Y429" s="312"/>
      <c r="Z429" s="312"/>
      <c r="AA429" s="312"/>
      <c r="AB429" s="312"/>
      <c r="AC429" s="312"/>
      <c r="AD429" s="312"/>
      <c r="AE429" s="312"/>
      <c r="AF429" s="312"/>
      <c r="AG429" s="312"/>
      <c r="AH429" s="312"/>
      <c r="AI429" s="312"/>
      <c r="AJ429" s="312"/>
      <c r="AK429" s="312"/>
      <c r="AL429" s="312"/>
      <c r="AM429" s="312"/>
      <c r="AN429" s="312"/>
      <c r="AO429" s="312"/>
      <c r="AP429" s="312"/>
    </row>
    <row r="430" ht="15.75" customHeight="1">
      <c r="A430" s="318"/>
      <c r="B430" s="312"/>
      <c r="C430" s="312"/>
      <c r="D430" s="312"/>
      <c r="E430" s="312"/>
      <c r="F430" s="312"/>
      <c r="G430" s="312"/>
      <c r="H430" s="312"/>
      <c r="I430" s="312"/>
      <c r="J430" s="312"/>
      <c r="K430" s="312"/>
      <c r="L430" s="312"/>
      <c r="M430" s="312"/>
      <c r="N430" s="312"/>
      <c r="O430" s="312"/>
      <c r="P430" s="312"/>
      <c r="Q430" s="312"/>
      <c r="R430" s="312"/>
      <c r="S430" s="312"/>
      <c r="T430" s="312"/>
      <c r="U430" s="312"/>
      <c r="V430" s="312"/>
      <c r="W430" s="312"/>
      <c r="X430" s="312"/>
      <c r="Y430" s="312"/>
      <c r="Z430" s="312"/>
      <c r="AA430" s="312"/>
      <c r="AB430" s="312"/>
      <c r="AC430" s="312"/>
      <c r="AD430" s="312"/>
      <c r="AE430" s="312"/>
      <c r="AF430" s="312"/>
      <c r="AG430" s="312"/>
      <c r="AH430" s="312"/>
      <c r="AI430" s="312"/>
      <c r="AJ430" s="312"/>
      <c r="AK430" s="312"/>
      <c r="AL430" s="312"/>
      <c r="AM430" s="312"/>
      <c r="AN430" s="312"/>
      <c r="AO430" s="312"/>
      <c r="AP430" s="312"/>
    </row>
    <row r="431" ht="15.75" customHeight="1">
      <c r="A431" s="318"/>
      <c r="B431" s="312"/>
      <c r="C431" s="312"/>
      <c r="D431" s="312"/>
      <c r="E431" s="312"/>
      <c r="F431" s="312"/>
      <c r="G431" s="312"/>
      <c r="H431" s="312"/>
      <c r="I431" s="312"/>
      <c r="J431" s="312"/>
      <c r="K431" s="312"/>
      <c r="L431" s="312"/>
      <c r="M431" s="312"/>
      <c r="N431" s="312"/>
      <c r="O431" s="312"/>
      <c r="P431" s="312"/>
      <c r="Q431" s="312"/>
      <c r="R431" s="312"/>
      <c r="S431" s="312"/>
      <c r="T431" s="312"/>
      <c r="U431" s="312"/>
      <c r="V431" s="312"/>
      <c r="W431" s="312"/>
      <c r="X431" s="312"/>
      <c r="Y431" s="312"/>
      <c r="Z431" s="312"/>
      <c r="AA431" s="312"/>
      <c r="AB431" s="312"/>
      <c r="AC431" s="312"/>
      <c r="AD431" s="312"/>
      <c r="AE431" s="312"/>
      <c r="AF431" s="312"/>
      <c r="AG431" s="312"/>
      <c r="AH431" s="312"/>
      <c r="AI431" s="312"/>
      <c r="AJ431" s="312"/>
      <c r="AK431" s="312"/>
      <c r="AL431" s="312"/>
      <c r="AM431" s="312"/>
      <c r="AN431" s="312"/>
      <c r="AO431" s="312"/>
      <c r="AP431" s="312"/>
    </row>
    <row r="432" ht="15.75" customHeight="1">
      <c r="A432" s="318"/>
      <c r="B432" s="312"/>
      <c r="C432" s="312"/>
      <c r="D432" s="312"/>
      <c r="E432" s="312"/>
      <c r="F432" s="312"/>
      <c r="G432" s="312"/>
      <c r="H432" s="312"/>
      <c r="I432" s="312"/>
      <c r="J432" s="312"/>
      <c r="K432" s="312"/>
      <c r="L432" s="312"/>
      <c r="M432" s="312"/>
      <c r="N432" s="312"/>
      <c r="O432" s="312"/>
      <c r="P432" s="312"/>
      <c r="Q432" s="312"/>
      <c r="R432" s="312"/>
      <c r="S432" s="312"/>
      <c r="T432" s="312"/>
      <c r="U432" s="312"/>
      <c r="V432" s="312"/>
      <c r="W432" s="312"/>
      <c r="X432" s="312"/>
      <c r="Y432" s="312"/>
      <c r="Z432" s="312"/>
      <c r="AA432" s="312"/>
      <c r="AB432" s="312"/>
      <c r="AC432" s="312"/>
      <c r="AD432" s="312"/>
      <c r="AE432" s="312"/>
      <c r="AF432" s="312"/>
      <c r="AG432" s="312"/>
      <c r="AH432" s="312"/>
      <c r="AI432" s="312"/>
      <c r="AJ432" s="312"/>
      <c r="AK432" s="312"/>
      <c r="AL432" s="312"/>
      <c r="AM432" s="312"/>
      <c r="AN432" s="312"/>
      <c r="AO432" s="312"/>
      <c r="AP432" s="312"/>
    </row>
    <row r="433" ht="15.75" customHeight="1">
      <c r="A433" s="318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2"/>
      <c r="S433" s="312"/>
      <c r="T433" s="312"/>
      <c r="U433" s="312"/>
      <c r="V433" s="312"/>
      <c r="W433" s="312"/>
      <c r="X433" s="312"/>
      <c r="Y433" s="312"/>
      <c r="Z433" s="312"/>
      <c r="AA433" s="312"/>
      <c r="AB433" s="312"/>
      <c r="AC433" s="312"/>
      <c r="AD433" s="312"/>
      <c r="AE433" s="312"/>
      <c r="AF433" s="312"/>
      <c r="AG433" s="312"/>
      <c r="AH433" s="312"/>
      <c r="AI433" s="312"/>
      <c r="AJ433" s="312"/>
      <c r="AK433" s="312"/>
      <c r="AL433" s="312"/>
      <c r="AM433" s="312"/>
      <c r="AN433" s="312"/>
      <c r="AO433" s="312"/>
      <c r="AP433" s="312"/>
    </row>
    <row r="434" ht="15.75" customHeight="1">
      <c r="A434" s="318"/>
      <c r="B434" s="312"/>
      <c r="C434" s="312"/>
      <c r="D434" s="312"/>
      <c r="E434" s="312"/>
      <c r="F434" s="312"/>
      <c r="G434" s="312"/>
      <c r="H434" s="312"/>
      <c r="I434" s="312"/>
      <c r="J434" s="312"/>
      <c r="K434" s="312"/>
      <c r="L434" s="312"/>
      <c r="M434" s="312"/>
      <c r="N434" s="312"/>
      <c r="O434" s="312"/>
      <c r="P434" s="312"/>
      <c r="Q434" s="312"/>
      <c r="R434" s="312"/>
      <c r="S434" s="312"/>
      <c r="T434" s="312"/>
      <c r="U434" s="312"/>
      <c r="V434" s="312"/>
      <c r="W434" s="312"/>
      <c r="X434" s="312"/>
      <c r="Y434" s="312"/>
      <c r="Z434" s="312"/>
      <c r="AA434" s="312"/>
      <c r="AB434" s="312"/>
      <c r="AC434" s="312"/>
      <c r="AD434" s="312"/>
      <c r="AE434" s="312"/>
      <c r="AF434" s="312"/>
      <c r="AG434" s="312"/>
      <c r="AH434" s="312"/>
      <c r="AI434" s="312"/>
      <c r="AJ434" s="312"/>
      <c r="AK434" s="312"/>
      <c r="AL434" s="312"/>
      <c r="AM434" s="312"/>
      <c r="AN434" s="312"/>
      <c r="AO434" s="312"/>
      <c r="AP434" s="312"/>
    </row>
    <row r="435" ht="15.75" customHeight="1">
      <c r="A435" s="318"/>
      <c r="B435" s="312"/>
      <c r="C435" s="312"/>
      <c r="D435" s="312"/>
      <c r="E435" s="312"/>
      <c r="F435" s="312"/>
      <c r="G435" s="312"/>
      <c r="H435" s="312"/>
      <c r="I435" s="312"/>
      <c r="J435" s="312"/>
      <c r="K435" s="312"/>
      <c r="L435" s="312"/>
      <c r="M435" s="312"/>
      <c r="N435" s="312"/>
      <c r="O435" s="312"/>
      <c r="P435" s="312"/>
      <c r="Q435" s="312"/>
      <c r="R435" s="312"/>
      <c r="S435" s="312"/>
      <c r="T435" s="312"/>
      <c r="U435" s="312"/>
      <c r="V435" s="312"/>
      <c r="W435" s="312"/>
      <c r="X435" s="312"/>
      <c r="Y435" s="312"/>
      <c r="Z435" s="312"/>
      <c r="AA435" s="312"/>
      <c r="AB435" s="312"/>
      <c r="AC435" s="312"/>
      <c r="AD435" s="312"/>
      <c r="AE435" s="312"/>
      <c r="AF435" s="312"/>
      <c r="AG435" s="312"/>
      <c r="AH435" s="312"/>
      <c r="AI435" s="312"/>
      <c r="AJ435" s="312"/>
      <c r="AK435" s="312"/>
      <c r="AL435" s="312"/>
      <c r="AM435" s="312"/>
      <c r="AN435" s="312"/>
      <c r="AO435" s="312"/>
      <c r="AP435" s="312"/>
    </row>
    <row r="436" ht="15.75" customHeight="1">
      <c r="A436" s="318"/>
      <c r="B436" s="312"/>
      <c r="C436" s="312"/>
      <c r="D436" s="312"/>
      <c r="E436" s="312"/>
      <c r="F436" s="312"/>
      <c r="G436" s="312"/>
      <c r="H436" s="312"/>
      <c r="I436" s="312"/>
      <c r="J436" s="312"/>
      <c r="K436" s="312"/>
      <c r="L436" s="312"/>
      <c r="M436" s="312"/>
      <c r="N436" s="312"/>
      <c r="O436" s="312"/>
      <c r="P436" s="312"/>
      <c r="Q436" s="312"/>
      <c r="R436" s="312"/>
      <c r="S436" s="312"/>
      <c r="T436" s="312"/>
      <c r="U436" s="312"/>
      <c r="V436" s="312"/>
      <c r="W436" s="312"/>
      <c r="X436" s="312"/>
      <c r="Y436" s="312"/>
      <c r="Z436" s="312"/>
      <c r="AA436" s="312"/>
      <c r="AB436" s="312"/>
      <c r="AC436" s="312"/>
      <c r="AD436" s="312"/>
      <c r="AE436" s="312"/>
      <c r="AF436" s="312"/>
      <c r="AG436" s="312"/>
      <c r="AH436" s="312"/>
      <c r="AI436" s="312"/>
      <c r="AJ436" s="312"/>
      <c r="AK436" s="312"/>
      <c r="AL436" s="312"/>
      <c r="AM436" s="312"/>
      <c r="AN436" s="312"/>
      <c r="AO436" s="312"/>
      <c r="AP436" s="312"/>
    </row>
    <row r="437" ht="15.75" customHeight="1">
      <c r="A437" s="318"/>
      <c r="B437" s="312"/>
      <c r="C437" s="312"/>
      <c r="D437" s="312"/>
      <c r="E437" s="312"/>
      <c r="F437" s="312"/>
      <c r="G437" s="312"/>
      <c r="H437" s="312"/>
      <c r="I437" s="312"/>
      <c r="J437" s="312"/>
      <c r="K437" s="312"/>
      <c r="L437" s="312"/>
      <c r="M437" s="312"/>
      <c r="N437" s="312"/>
      <c r="O437" s="312"/>
      <c r="P437" s="312"/>
      <c r="Q437" s="312"/>
      <c r="R437" s="312"/>
      <c r="S437" s="312"/>
      <c r="T437" s="312"/>
      <c r="U437" s="312"/>
      <c r="V437" s="312"/>
      <c r="W437" s="312"/>
      <c r="X437" s="312"/>
      <c r="Y437" s="312"/>
      <c r="Z437" s="312"/>
      <c r="AA437" s="312"/>
      <c r="AB437" s="312"/>
      <c r="AC437" s="312"/>
      <c r="AD437" s="312"/>
      <c r="AE437" s="312"/>
      <c r="AF437" s="312"/>
      <c r="AG437" s="312"/>
      <c r="AH437" s="312"/>
      <c r="AI437" s="312"/>
      <c r="AJ437" s="312"/>
      <c r="AK437" s="312"/>
      <c r="AL437" s="312"/>
      <c r="AM437" s="312"/>
      <c r="AN437" s="312"/>
      <c r="AO437" s="312"/>
      <c r="AP437" s="312"/>
    </row>
    <row r="438" ht="15.75" customHeight="1">
      <c r="A438" s="318"/>
      <c r="B438" s="312"/>
      <c r="C438" s="312"/>
      <c r="D438" s="312"/>
      <c r="E438" s="312"/>
      <c r="F438" s="312"/>
      <c r="G438" s="312"/>
      <c r="H438" s="312"/>
      <c r="I438" s="312"/>
      <c r="J438" s="312"/>
      <c r="K438" s="312"/>
      <c r="L438" s="312"/>
      <c r="M438" s="312"/>
      <c r="N438" s="312"/>
      <c r="O438" s="312"/>
      <c r="P438" s="312"/>
      <c r="Q438" s="312"/>
      <c r="R438" s="312"/>
      <c r="S438" s="312"/>
      <c r="T438" s="312"/>
      <c r="U438" s="312"/>
      <c r="V438" s="312"/>
      <c r="W438" s="312"/>
      <c r="X438" s="312"/>
      <c r="Y438" s="312"/>
      <c r="Z438" s="312"/>
      <c r="AA438" s="312"/>
      <c r="AB438" s="312"/>
      <c r="AC438" s="312"/>
      <c r="AD438" s="312"/>
      <c r="AE438" s="312"/>
      <c r="AF438" s="312"/>
      <c r="AG438" s="312"/>
      <c r="AH438" s="312"/>
      <c r="AI438" s="312"/>
      <c r="AJ438" s="312"/>
      <c r="AK438" s="312"/>
      <c r="AL438" s="312"/>
      <c r="AM438" s="312"/>
      <c r="AN438" s="312"/>
      <c r="AO438" s="312"/>
      <c r="AP438" s="312"/>
    </row>
    <row r="439" ht="15.75" customHeight="1">
      <c r="A439" s="318"/>
      <c r="B439" s="312"/>
      <c r="C439" s="312"/>
      <c r="D439" s="312"/>
      <c r="E439" s="312"/>
      <c r="F439" s="312"/>
      <c r="G439" s="312"/>
      <c r="H439" s="312"/>
      <c r="I439" s="312"/>
      <c r="J439" s="312"/>
      <c r="K439" s="312"/>
      <c r="L439" s="312"/>
      <c r="M439" s="312"/>
      <c r="N439" s="312"/>
      <c r="O439" s="312"/>
      <c r="P439" s="312"/>
      <c r="Q439" s="312"/>
      <c r="R439" s="312"/>
      <c r="S439" s="312"/>
      <c r="T439" s="312"/>
      <c r="U439" s="312"/>
      <c r="V439" s="312"/>
      <c r="W439" s="312"/>
      <c r="X439" s="312"/>
      <c r="Y439" s="312"/>
      <c r="Z439" s="312"/>
      <c r="AA439" s="312"/>
      <c r="AB439" s="312"/>
      <c r="AC439" s="312"/>
      <c r="AD439" s="312"/>
      <c r="AE439" s="312"/>
      <c r="AF439" s="312"/>
      <c r="AG439" s="312"/>
      <c r="AH439" s="312"/>
      <c r="AI439" s="312"/>
      <c r="AJ439" s="312"/>
      <c r="AK439" s="312"/>
      <c r="AL439" s="312"/>
      <c r="AM439" s="312"/>
      <c r="AN439" s="312"/>
      <c r="AO439" s="312"/>
      <c r="AP439" s="312"/>
    </row>
    <row r="440" ht="15.75" customHeight="1">
      <c r="A440" s="318"/>
      <c r="B440" s="312"/>
      <c r="C440" s="312"/>
      <c r="D440" s="312"/>
      <c r="E440" s="312"/>
      <c r="F440" s="312"/>
      <c r="G440" s="312"/>
      <c r="H440" s="312"/>
      <c r="I440" s="312"/>
      <c r="J440" s="312"/>
      <c r="K440" s="312"/>
      <c r="L440" s="312"/>
      <c r="M440" s="312"/>
      <c r="N440" s="312"/>
      <c r="O440" s="312"/>
      <c r="P440" s="312"/>
      <c r="Q440" s="312"/>
      <c r="R440" s="312"/>
      <c r="S440" s="312"/>
      <c r="T440" s="312"/>
      <c r="U440" s="312"/>
      <c r="V440" s="312"/>
      <c r="W440" s="312"/>
      <c r="X440" s="312"/>
      <c r="Y440" s="312"/>
      <c r="Z440" s="312"/>
      <c r="AA440" s="312"/>
      <c r="AB440" s="312"/>
      <c r="AC440" s="312"/>
      <c r="AD440" s="312"/>
      <c r="AE440" s="312"/>
      <c r="AF440" s="312"/>
      <c r="AG440" s="312"/>
      <c r="AH440" s="312"/>
      <c r="AI440" s="312"/>
      <c r="AJ440" s="312"/>
      <c r="AK440" s="312"/>
      <c r="AL440" s="312"/>
      <c r="AM440" s="312"/>
      <c r="AN440" s="312"/>
      <c r="AO440" s="312"/>
      <c r="AP440" s="312"/>
    </row>
    <row r="441" ht="15.75" customHeight="1">
      <c r="A441" s="318"/>
      <c r="B441" s="312"/>
      <c r="C441" s="312"/>
      <c r="D441" s="312"/>
      <c r="E441" s="312"/>
      <c r="F441" s="312"/>
      <c r="G441" s="312"/>
      <c r="H441" s="312"/>
      <c r="I441" s="312"/>
      <c r="J441" s="312"/>
      <c r="K441" s="312"/>
      <c r="L441" s="312"/>
      <c r="M441" s="312"/>
      <c r="N441" s="312"/>
      <c r="O441" s="312"/>
      <c r="P441" s="312"/>
      <c r="Q441" s="312"/>
      <c r="R441" s="312"/>
      <c r="S441" s="312"/>
      <c r="T441" s="312"/>
      <c r="U441" s="312"/>
      <c r="V441" s="312"/>
      <c r="W441" s="312"/>
      <c r="X441" s="312"/>
      <c r="Y441" s="312"/>
      <c r="Z441" s="312"/>
      <c r="AA441" s="312"/>
      <c r="AB441" s="312"/>
      <c r="AC441" s="312"/>
      <c r="AD441" s="312"/>
      <c r="AE441" s="312"/>
      <c r="AF441" s="312"/>
      <c r="AG441" s="312"/>
      <c r="AH441" s="312"/>
      <c r="AI441" s="312"/>
      <c r="AJ441" s="312"/>
      <c r="AK441" s="312"/>
      <c r="AL441" s="312"/>
      <c r="AM441" s="312"/>
      <c r="AN441" s="312"/>
      <c r="AO441" s="312"/>
      <c r="AP441" s="312"/>
    </row>
    <row r="442" ht="15.75" customHeight="1">
      <c r="A442" s="318"/>
      <c r="B442" s="312"/>
      <c r="C442" s="312"/>
      <c r="D442" s="312"/>
      <c r="E442" s="312"/>
      <c r="F442" s="312"/>
      <c r="G442" s="312"/>
      <c r="H442" s="312"/>
      <c r="I442" s="312"/>
      <c r="J442" s="312"/>
      <c r="K442" s="312"/>
      <c r="L442" s="312"/>
      <c r="M442" s="312"/>
      <c r="N442" s="312"/>
      <c r="O442" s="312"/>
      <c r="P442" s="312"/>
      <c r="Q442" s="312"/>
      <c r="R442" s="312"/>
      <c r="S442" s="312"/>
      <c r="T442" s="312"/>
      <c r="U442" s="312"/>
      <c r="V442" s="312"/>
      <c r="W442" s="312"/>
      <c r="X442" s="312"/>
      <c r="Y442" s="312"/>
      <c r="Z442" s="312"/>
      <c r="AA442" s="312"/>
      <c r="AB442" s="312"/>
      <c r="AC442" s="312"/>
      <c r="AD442" s="312"/>
      <c r="AE442" s="312"/>
      <c r="AF442" s="312"/>
      <c r="AG442" s="312"/>
      <c r="AH442" s="312"/>
      <c r="AI442" s="312"/>
      <c r="AJ442" s="312"/>
      <c r="AK442" s="312"/>
      <c r="AL442" s="312"/>
      <c r="AM442" s="312"/>
      <c r="AN442" s="312"/>
      <c r="AO442" s="312"/>
      <c r="AP442" s="312"/>
    </row>
    <row r="443" ht="15.75" customHeight="1">
      <c r="A443" s="318"/>
      <c r="B443" s="312"/>
      <c r="C443" s="312"/>
      <c r="D443" s="312"/>
      <c r="E443" s="312"/>
      <c r="F443" s="312"/>
      <c r="G443" s="312"/>
      <c r="H443" s="312"/>
      <c r="I443" s="312"/>
      <c r="J443" s="312"/>
      <c r="K443" s="312"/>
      <c r="L443" s="312"/>
      <c r="M443" s="312"/>
      <c r="N443" s="312"/>
      <c r="O443" s="312"/>
      <c r="P443" s="312"/>
      <c r="Q443" s="312"/>
      <c r="R443" s="312"/>
      <c r="S443" s="312"/>
      <c r="T443" s="312"/>
      <c r="U443" s="312"/>
      <c r="V443" s="312"/>
      <c r="W443" s="312"/>
      <c r="X443" s="312"/>
      <c r="Y443" s="312"/>
      <c r="Z443" s="312"/>
      <c r="AA443" s="312"/>
      <c r="AB443" s="312"/>
      <c r="AC443" s="312"/>
      <c r="AD443" s="312"/>
      <c r="AE443" s="312"/>
      <c r="AF443" s="312"/>
      <c r="AG443" s="312"/>
      <c r="AH443" s="312"/>
      <c r="AI443" s="312"/>
      <c r="AJ443" s="312"/>
      <c r="AK443" s="312"/>
      <c r="AL443" s="312"/>
      <c r="AM443" s="312"/>
      <c r="AN443" s="312"/>
      <c r="AO443" s="312"/>
      <c r="AP443" s="312"/>
    </row>
    <row r="444" ht="15.75" customHeight="1">
      <c r="A444" s="318"/>
      <c r="B444" s="312"/>
      <c r="C444" s="312"/>
      <c r="D444" s="312"/>
      <c r="E444" s="312"/>
      <c r="F444" s="312"/>
      <c r="G444" s="312"/>
      <c r="H444" s="312"/>
      <c r="I444" s="312"/>
      <c r="J444" s="312"/>
      <c r="K444" s="312"/>
      <c r="L444" s="312"/>
      <c r="M444" s="312"/>
      <c r="N444" s="312"/>
      <c r="O444" s="312"/>
      <c r="P444" s="312"/>
      <c r="Q444" s="312"/>
      <c r="R444" s="312"/>
      <c r="S444" s="312"/>
      <c r="T444" s="312"/>
      <c r="U444" s="312"/>
      <c r="V444" s="312"/>
      <c r="W444" s="312"/>
      <c r="X444" s="312"/>
      <c r="Y444" s="312"/>
      <c r="Z444" s="312"/>
      <c r="AA444" s="312"/>
      <c r="AB444" s="312"/>
      <c r="AC444" s="312"/>
      <c r="AD444" s="312"/>
      <c r="AE444" s="312"/>
      <c r="AF444" s="312"/>
      <c r="AG444" s="312"/>
      <c r="AH444" s="312"/>
      <c r="AI444" s="312"/>
      <c r="AJ444" s="312"/>
      <c r="AK444" s="312"/>
      <c r="AL444" s="312"/>
      <c r="AM444" s="312"/>
      <c r="AN444" s="312"/>
      <c r="AO444" s="312"/>
      <c r="AP444" s="312"/>
    </row>
    <row r="445" ht="15.75" customHeight="1">
      <c r="A445" s="318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2"/>
      <c r="S445" s="312"/>
      <c r="T445" s="312"/>
      <c r="U445" s="312"/>
      <c r="V445" s="312"/>
      <c r="W445" s="312"/>
      <c r="X445" s="312"/>
      <c r="Y445" s="312"/>
      <c r="Z445" s="312"/>
      <c r="AA445" s="312"/>
      <c r="AB445" s="312"/>
      <c r="AC445" s="312"/>
      <c r="AD445" s="312"/>
      <c r="AE445" s="312"/>
      <c r="AF445" s="312"/>
      <c r="AG445" s="312"/>
      <c r="AH445" s="312"/>
      <c r="AI445" s="312"/>
      <c r="AJ445" s="312"/>
      <c r="AK445" s="312"/>
      <c r="AL445" s="312"/>
      <c r="AM445" s="312"/>
      <c r="AN445" s="312"/>
      <c r="AO445" s="312"/>
      <c r="AP445" s="312"/>
    </row>
    <row r="446" ht="15.75" customHeight="1">
      <c r="A446" s="318"/>
      <c r="B446" s="312"/>
      <c r="C446" s="312"/>
      <c r="D446" s="312"/>
      <c r="E446" s="312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  <c r="AP446" s="312"/>
    </row>
    <row r="447" ht="15.75" customHeight="1">
      <c r="A447" s="318"/>
      <c r="B447" s="312"/>
      <c r="C447" s="312"/>
      <c r="D447" s="312"/>
      <c r="E447" s="312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  <c r="AP447" s="312"/>
    </row>
    <row r="448" ht="15.75" customHeight="1">
      <c r="A448" s="318"/>
      <c r="B448" s="312"/>
      <c r="C448" s="312"/>
      <c r="D448" s="312"/>
      <c r="E448" s="312"/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  <c r="AP448" s="312"/>
    </row>
    <row r="449" ht="15.75" customHeight="1">
      <c r="A449" s="318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  <c r="AP449" s="312"/>
    </row>
    <row r="450" ht="15.75" customHeight="1">
      <c r="A450" s="318"/>
      <c r="B450" s="312"/>
      <c r="C450" s="312"/>
      <c r="D450" s="312"/>
      <c r="E450" s="312"/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  <c r="AP450" s="312"/>
    </row>
    <row r="451" ht="15.75" customHeight="1">
      <c r="A451" s="318"/>
      <c r="B451" s="312"/>
      <c r="C451" s="312"/>
      <c r="D451" s="312"/>
      <c r="E451" s="312"/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  <c r="AP451" s="312"/>
    </row>
    <row r="452" ht="15.75" customHeight="1">
      <c r="A452" s="318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  <c r="AP452" s="312"/>
    </row>
    <row r="453" ht="15.75" customHeight="1">
      <c r="A453" s="318"/>
      <c r="B453" s="312"/>
      <c r="C453" s="312"/>
      <c r="D453" s="312"/>
      <c r="E453" s="312"/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  <c r="AP453" s="312"/>
    </row>
    <row r="454" ht="15.75" customHeight="1">
      <c r="A454" s="318"/>
      <c r="B454" s="312"/>
      <c r="C454" s="312"/>
      <c r="D454" s="312"/>
      <c r="E454" s="312"/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  <c r="AP454" s="312"/>
    </row>
    <row r="455" ht="15.75" customHeight="1">
      <c r="A455" s="318"/>
      <c r="B455" s="312"/>
      <c r="C455" s="312"/>
      <c r="D455" s="312"/>
      <c r="E455" s="312"/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  <c r="AP455" s="312"/>
    </row>
    <row r="456" ht="15.75" customHeight="1">
      <c r="A456" s="318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  <c r="AP456" s="312"/>
    </row>
    <row r="457" ht="15.75" customHeight="1">
      <c r="A457" s="318"/>
      <c r="B457" s="312"/>
      <c r="C457" s="312"/>
      <c r="D457" s="312"/>
      <c r="E457" s="312"/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  <c r="AP457" s="312"/>
    </row>
    <row r="458" ht="15.75" customHeight="1">
      <c r="A458" s="318"/>
      <c r="B458" s="312"/>
      <c r="C458" s="312"/>
      <c r="D458" s="312"/>
      <c r="E458" s="312"/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  <c r="AP458" s="312"/>
    </row>
    <row r="459" ht="15.75" customHeight="1">
      <c r="A459" s="318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  <c r="AP459" s="312"/>
    </row>
    <row r="460" ht="15.75" customHeight="1">
      <c r="A460" s="318"/>
      <c r="B460" s="312"/>
      <c r="C460" s="312"/>
      <c r="D460" s="312"/>
      <c r="E460" s="312"/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  <c r="AP460" s="312"/>
    </row>
    <row r="461" ht="15.75" customHeight="1">
      <c r="A461" s="318"/>
      <c r="B461" s="312"/>
      <c r="C461" s="312"/>
      <c r="D461" s="312"/>
      <c r="E461" s="312"/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  <c r="AP461" s="312"/>
    </row>
    <row r="462" ht="15.75" customHeight="1">
      <c r="A462" s="318"/>
      <c r="B462" s="312"/>
      <c r="C462" s="312"/>
      <c r="D462" s="312"/>
      <c r="E462" s="312"/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  <c r="AP462" s="312"/>
    </row>
    <row r="463" ht="15.75" customHeight="1">
      <c r="A463" s="318"/>
      <c r="B463" s="312"/>
      <c r="C463" s="312"/>
      <c r="D463" s="312"/>
      <c r="E463" s="312"/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  <c r="AP463" s="312"/>
    </row>
    <row r="464" ht="15.75" customHeight="1">
      <c r="A464" s="318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  <c r="AP464" s="312"/>
    </row>
    <row r="465" ht="15.75" customHeight="1">
      <c r="A465" s="318"/>
      <c r="B465" s="312"/>
      <c r="C465" s="312"/>
      <c r="D465" s="312"/>
      <c r="E465" s="312"/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  <c r="AP465" s="312"/>
    </row>
    <row r="466" ht="15.75" customHeight="1">
      <c r="A466" s="318"/>
      <c r="B466" s="312"/>
      <c r="C466" s="312"/>
      <c r="D466" s="312"/>
      <c r="E466" s="312"/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  <c r="AP466" s="312"/>
    </row>
    <row r="467" ht="15.75" customHeight="1">
      <c r="A467" s="318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  <c r="AP467" s="312"/>
    </row>
    <row r="468" ht="15.75" customHeight="1">
      <c r="A468" s="318"/>
      <c r="B468" s="312"/>
      <c r="C468" s="312"/>
      <c r="D468" s="312"/>
      <c r="E468" s="312"/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  <c r="AP468" s="312"/>
    </row>
    <row r="469" ht="15.75" customHeight="1">
      <c r="A469" s="318"/>
      <c r="B469" s="312"/>
      <c r="C469" s="312"/>
      <c r="D469" s="312"/>
      <c r="E469" s="312"/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  <c r="AP469" s="312"/>
    </row>
    <row r="470" ht="15.75" customHeight="1">
      <c r="A470" s="318"/>
      <c r="B470" s="312"/>
      <c r="C470" s="312"/>
      <c r="D470" s="312"/>
      <c r="E470" s="312"/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  <c r="AP470" s="312"/>
    </row>
    <row r="471" ht="15.75" customHeight="1">
      <c r="A471" s="318"/>
      <c r="B471" s="312"/>
      <c r="C471" s="312"/>
      <c r="D471" s="312"/>
      <c r="E471" s="312"/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  <c r="AP471" s="312"/>
    </row>
    <row r="472" ht="15.75" customHeight="1">
      <c r="A472" s="318"/>
      <c r="B472" s="312"/>
      <c r="C472" s="312"/>
      <c r="D472" s="312"/>
      <c r="E472" s="312"/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  <c r="AP472" s="312"/>
    </row>
    <row r="473" ht="15.75" customHeight="1">
      <c r="A473" s="318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  <c r="AP473" s="312"/>
    </row>
    <row r="474" ht="15.75" customHeight="1">
      <c r="A474" s="318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  <c r="AP474" s="312"/>
    </row>
    <row r="475" ht="15.75" customHeight="1">
      <c r="A475" s="318"/>
      <c r="B475" s="312"/>
      <c r="C475" s="312"/>
      <c r="D475" s="312"/>
      <c r="E475" s="312"/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  <c r="AP475" s="312"/>
    </row>
    <row r="476" ht="15.75" customHeight="1">
      <c r="A476" s="318"/>
      <c r="B476" s="312"/>
      <c r="C476" s="312"/>
      <c r="D476" s="312"/>
      <c r="E476" s="312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  <c r="AP476" s="312"/>
    </row>
    <row r="477" ht="15.75" customHeight="1">
      <c r="A477" s="318"/>
      <c r="B477" s="312"/>
      <c r="C477" s="312"/>
      <c r="D477" s="312"/>
      <c r="E477" s="312"/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  <c r="AP477" s="312"/>
    </row>
    <row r="478" ht="15.75" customHeight="1">
      <c r="A478" s="318"/>
      <c r="B478" s="312"/>
      <c r="C478" s="312"/>
      <c r="D478" s="312"/>
      <c r="E478" s="312"/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  <c r="AP478" s="312"/>
    </row>
    <row r="479" ht="15.75" customHeight="1">
      <c r="A479" s="318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  <c r="AP479" s="312"/>
    </row>
    <row r="480" ht="15.75" customHeight="1">
      <c r="A480" s="318"/>
      <c r="B480" s="312"/>
      <c r="C480" s="312"/>
      <c r="D480" s="312"/>
      <c r="E480" s="312"/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  <c r="AP480" s="312"/>
    </row>
    <row r="481" ht="15.75" customHeight="1">
      <c r="A481" s="318"/>
      <c r="B481" s="312"/>
      <c r="C481" s="312"/>
      <c r="D481" s="312"/>
      <c r="E481" s="312"/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  <c r="AP481" s="312"/>
    </row>
    <row r="482" ht="15.75" customHeight="1">
      <c r="A482" s="318"/>
      <c r="B482" s="312"/>
      <c r="C482" s="312"/>
      <c r="D482" s="312"/>
      <c r="E482" s="312"/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  <c r="AP482" s="312"/>
    </row>
    <row r="483" ht="15.75" customHeight="1">
      <c r="A483" s="318"/>
      <c r="B483" s="312"/>
      <c r="C483" s="312"/>
      <c r="D483" s="312"/>
      <c r="E483" s="312"/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  <c r="AP483" s="312"/>
    </row>
    <row r="484" ht="15.75" customHeight="1">
      <c r="A484" s="318"/>
      <c r="B484" s="312"/>
      <c r="C484" s="312"/>
      <c r="D484" s="312"/>
      <c r="E484" s="312"/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  <c r="AP484" s="312"/>
    </row>
    <row r="485" ht="15.75" customHeight="1">
      <c r="A485" s="318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  <c r="AP485" s="312"/>
    </row>
    <row r="486" ht="15.75" customHeight="1">
      <c r="A486" s="318"/>
      <c r="B486" s="312"/>
      <c r="C486" s="312"/>
      <c r="D486" s="312"/>
      <c r="E486" s="312"/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  <c r="AP486" s="312"/>
    </row>
    <row r="487" ht="15.75" customHeight="1">
      <c r="A487" s="318"/>
      <c r="B487" s="312"/>
      <c r="C487" s="312"/>
      <c r="D487" s="312"/>
      <c r="E487" s="312"/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  <c r="AP487" s="312"/>
    </row>
    <row r="488" ht="15.75" customHeight="1">
      <c r="A488" s="318"/>
      <c r="B488" s="312"/>
      <c r="C488" s="312"/>
      <c r="D488" s="312"/>
      <c r="E488" s="312"/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  <c r="AP488" s="312"/>
    </row>
    <row r="489" ht="15.75" customHeight="1">
      <c r="A489" s="318"/>
      <c r="B489" s="312"/>
      <c r="C489" s="312"/>
      <c r="D489" s="312"/>
      <c r="E489" s="312"/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  <c r="AP489" s="312"/>
    </row>
    <row r="490" ht="15.75" customHeight="1">
      <c r="A490" s="318"/>
      <c r="B490" s="312"/>
      <c r="C490" s="312"/>
      <c r="D490" s="312"/>
      <c r="E490" s="312"/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  <c r="AP490" s="312"/>
    </row>
    <row r="491" ht="15.75" customHeight="1">
      <c r="A491" s="318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  <c r="AP491" s="312"/>
    </row>
    <row r="492" ht="15.75" customHeight="1">
      <c r="A492" s="318"/>
      <c r="B492" s="312"/>
      <c r="C492" s="312"/>
      <c r="D492" s="312"/>
      <c r="E492" s="312"/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  <c r="AP492" s="312"/>
    </row>
    <row r="493" ht="15.75" customHeight="1">
      <c r="A493" s="318"/>
      <c r="B493" s="312"/>
      <c r="C493" s="312"/>
      <c r="D493" s="312"/>
      <c r="E493" s="312"/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  <c r="AP493" s="312"/>
    </row>
    <row r="494" ht="15.75" customHeight="1">
      <c r="A494" s="318"/>
      <c r="B494" s="312"/>
      <c r="C494" s="312"/>
      <c r="D494" s="312"/>
      <c r="E494" s="312"/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  <c r="AP494" s="312"/>
    </row>
    <row r="495" ht="15.75" customHeight="1">
      <c r="A495" s="318"/>
      <c r="B495" s="312"/>
      <c r="C495" s="312"/>
      <c r="D495" s="312"/>
      <c r="E495" s="312"/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  <c r="AP495" s="312"/>
    </row>
    <row r="496" ht="15.75" customHeight="1">
      <c r="A496" s="318"/>
      <c r="B496" s="312"/>
      <c r="C496" s="312"/>
      <c r="D496" s="312"/>
      <c r="E496" s="312"/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  <c r="AP496" s="312"/>
    </row>
    <row r="497" ht="15.75" customHeight="1">
      <c r="A497" s="318"/>
      <c r="B497" s="312"/>
      <c r="C497" s="312"/>
      <c r="D497" s="312"/>
      <c r="E497" s="312"/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  <c r="AP497" s="312"/>
    </row>
    <row r="498" ht="15.75" customHeight="1">
      <c r="A498" s="318"/>
      <c r="B498" s="312"/>
      <c r="C498" s="312"/>
      <c r="D498" s="312"/>
      <c r="E498" s="312"/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  <c r="AP498" s="312"/>
    </row>
    <row r="499" ht="15.75" customHeight="1">
      <c r="A499" s="318"/>
      <c r="B499" s="312"/>
      <c r="C499" s="312"/>
      <c r="D499" s="312"/>
      <c r="E499" s="312"/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  <c r="AP499" s="312"/>
    </row>
    <row r="500" ht="15.75" customHeight="1">
      <c r="A500" s="318"/>
      <c r="B500" s="312"/>
      <c r="C500" s="312"/>
      <c r="D500" s="312"/>
      <c r="E500" s="312"/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  <c r="AP500" s="312"/>
    </row>
    <row r="501" ht="15.75" customHeight="1">
      <c r="A501" s="318"/>
      <c r="B501" s="312"/>
      <c r="C501" s="312"/>
      <c r="D501" s="312"/>
      <c r="E501" s="312"/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  <c r="AP501" s="312"/>
    </row>
    <row r="502" ht="15.75" customHeight="1">
      <c r="A502" s="318"/>
      <c r="B502" s="312"/>
      <c r="C502" s="312"/>
      <c r="D502" s="312"/>
      <c r="E502" s="312"/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  <c r="AP502" s="312"/>
    </row>
    <row r="503" ht="15.75" customHeight="1">
      <c r="A503" s="318"/>
      <c r="B503" s="312"/>
      <c r="C503" s="312"/>
      <c r="D503" s="312"/>
      <c r="E503" s="312"/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  <c r="AP503" s="312"/>
    </row>
    <row r="504" ht="15.75" customHeight="1">
      <c r="A504" s="318"/>
      <c r="B504" s="312"/>
      <c r="C504" s="312"/>
      <c r="D504" s="312"/>
      <c r="E504" s="312"/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  <c r="AP504" s="312"/>
    </row>
    <row r="505" ht="15.75" customHeight="1">
      <c r="A505" s="318"/>
      <c r="B505" s="312"/>
      <c r="C505" s="312"/>
      <c r="D505" s="312"/>
      <c r="E505" s="312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  <c r="AP505" s="312"/>
    </row>
    <row r="506" ht="15.75" customHeight="1">
      <c r="A506" s="318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  <c r="AP506" s="312"/>
    </row>
    <row r="507" ht="15.75" customHeight="1">
      <c r="A507" s="318"/>
      <c r="B507" s="312"/>
      <c r="C507" s="312"/>
      <c r="D507" s="312"/>
      <c r="E507" s="312"/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  <c r="AP507" s="312"/>
    </row>
    <row r="508" ht="15.75" customHeight="1">
      <c r="A508" s="318"/>
      <c r="B508" s="312"/>
      <c r="C508" s="312"/>
      <c r="D508" s="312"/>
      <c r="E508" s="312"/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  <c r="AP508" s="312"/>
    </row>
    <row r="509" ht="15.75" customHeight="1">
      <c r="A509" s="318"/>
      <c r="B509" s="312"/>
      <c r="C509" s="312"/>
      <c r="D509" s="312"/>
      <c r="E509" s="312"/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  <c r="AP509" s="312"/>
    </row>
    <row r="510" ht="15.75" customHeight="1">
      <c r="A510" s="318"/>
      <c r="B510" s="312"/>
      <c r="C510" s="312"/>
      <c r="D510" s="312"/>
      <c r="E510" s="312"/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  <c r="AP510" s="312"/>
    </row>
    <row r="511" ht="15.75" customHeight="1">
      <c r="A511" s="318"/>
      <c r="B511" s="312"/>
      <c r="C511" s="312"/>
      <c r="D511" s="312"/>
      <c r="E511" s="312"/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  <c r="AP511" s="312"/>
    </row>
    <row r="512" ht="15.75" customHeight="1">
      <c r="A512" s="318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  <c r="AP512" s="312"/>
    </row>
    <row r="513" ht="15.75" customHeight="1">
      <c r="A513" s="318"/>
      <c r="B513" s="312"/>
      <c r="C513" s="312"/>
      <c r="D513" s="312"/>
      <c r="E513" s="312"/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  <c r="AP513" s="312"/>
    </row>
    <row r="514" ht="15.75" customHeight="1">
      <c r="A514" s="318"/>
      <c r="B514" s="312"/>
      <c r="C514" s="312"/>
      <c r="D514" s="312"/>
      <c r="E514" s="312"/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  <c r="AP514" s="312"/>
    </row>
    <row r="515" ht="15.75" customHeight="1">
      <c r="A515" s="318"/>
      <c r="B515" s="312"/>
      <c r="C515" s="312"/>
      <c r="D515" s="312"/>
      <c r="E515" s="312"/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  <c r="AP515" s="312"/>
    </row>
    <row r="516" ht="15.75" customHeight="1">
      <c r="A516" s="318"/>
      <c r="B516" s="312"/>
      <c r="C516" s="312"/>
      <c r="D516" s="312"/>
      <c r="E516" s="312"/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  <c r="AP516" s="312"/>
    </row>
    <row r="517" ht="15.75" customHeight="1">
      <c r="A517" s="318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  <c r="AP517" s="312"/>
    </row>
    <row r="518" ht="15.75" customHeight="1">
      <c r="A518" s="318"/>
      <c r="B518" s="312"/>
      <c r="C518" s="312"/>
      <c r="D518" s="312"/>
      <c r="E518" s="312"/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  <c r="AP518" s="312"/>
    </row>
    <row r="519" ht="15.75" customHeight="1">
      <c r="A519" s="318"/>
      <c r="B519" s="312"/>
      <c r="C519" s="312"/>
      <c r="D519" s="312"/>
      <c r="E519" s="312"/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  <c r="AP519" s="312"/>
    </row>
    <row r="520" ht="15.75" customHeight="1">
      <c r="A520" s="318"/>
      <c r="B520" s="312"/>
      <c r="C520" s="312"/>
      <c r="D520" s="312"/>
      <c r="E520" s="312"/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  <c r="AP520" s="312"/>
    </row>
    <row r="521" ht="15.75" customHeight="1">
      <c r="A521" s="318"/>
      <c r="B521" s="312"/>
      <c r="C521" s="312"/>
      <c r="D521" s="312"/>
      <c r="E521" s="312"/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  <c r="AP521" s="312"/>
    </row>
    <row r="522" ht="15.75" customHeight="1">
      <c r="A522" s="318"/>
      <c r="B522" s="312"/>
      <c r="C522" s="312"/>
      <c r="D522" s="312"/>
      <c r="E522" s="312"/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  <c r="AP522" s="312"/>
    </row>
    <row r="523" ht="15.75" customHeight="1">
      <c r="A523" s="318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  <c r="AP523" s="312"/>
    </row>
    <row r="524" ht="15.75" customHeight="1">
      <c r="A524" s="318"/>
      <c r="B524" s="312"/>
      <c r="C524" s="312"/>
      <c r="D524" s="312"/>
      <c r="E524" s="312"/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  <c r="AP524" s="312"/>
    </row>
    <row r="525" ht="15.75" customHeight="1">
      <c r="A525" s="318"/>
      <c r="B525" s="312"/>
      <c r="C525" s="312"/>
      <c r="D525" s="312"/>
      <c r="E525" s="312"/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  <c r="AP525" s="312"/>
    </row>
    <row r="526" ht="15.75" customHeight="1">
      <c r="A526" s="318"/>
      <c r="B526" s="312"/>
      <c r="C526" s="312"/>
      <c r="D526" s="312"/>
      <c r="E526" s="312"/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  <c r="AP526" s="312"/>
    </row>
    <row r="527" ht="15.75" customHeight="1">
      <c r="A527" s="318"/>
      <c r="B527" s="312"/>
      <c r="C527" s="312"/>
      <c r="D527" s="312"/>
      <c r="E527" s="312"/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  <c r="AP527" s="312"/>
    </row>
    <row r="528" ht="15.75" customHeight="1">
      <c r="A528" s="318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  <c r="AP528" s="312"/>
    </row>
    <row r="529" ht="15.75" customHeight="1">
      <c r="A529" s="318"/>
      <c r="B529" s="312"/>
      <c r="C529" s="312"/>
      <c r="D529" s="312"/>
      <c r="E529" s="312"/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  <c r="AP529" s="312"/>
    </row>
    <row r="530" ht="15.75" customHeight="1">
      <c r="A530" s="318"/>
      <c r="B530" s="312"/>
      <c r="C530" s="312"/>
      <c r="D530" s="312"/>
      <c r="E530" s="312"/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  <c r="AP530" s="312"/>
    </row>
    <row r="531" ht="15.75" customHeight="1">
      <c r="A531" s="318"/>
      <c r="B531" s="312"/>
      <c r="C531" s="312"/>
      <c r="D531" s="312"/>
      <c r="E531" s="312"/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  <c r="AP531" s="312"/>
    </row>
    <row r="532" ht="15.75" customHeight="1">
      <c r="A532" s="318"/>
      <c r="B532" s="312"/>
      <c r="C532" s="312"/>
      <c r="D532" s="312"/>
      <c r="E532" s="312"/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  <c r="AP532" s="312"/>
    </row>
    <row r="533" ht="15.75" customHeight="1">
      <c r="A533" s="318"/>
      <c r="B533" s="312"/>
      <c r="C533" s="312"/>
      <c r="D533" s="312"/>
      <c r="E533" s="312"/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  <c r="AP533" s="312"/>
    </row>
    <row r="534" ht="15.75" customHeight="1">
      <c r="A534" s="318"/>
      <c r="B534" s="312"/>
      <c r="C534" s="312"/>
      <c r="D534" s="312"/>
      <c r="E534" s="312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  <c r="AP534" s="312"/>
    </row>
    <row r="535" ht="15.75" customHeight="1">
      <c r="A535" s="318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  <c r="AP535" s="312"/>
    </row>
    <row r="536" ht="15.75" customHeight="1">
      <c r="A536" s="318"/>
      <c r="B536" s="312"/>
      <c r="C536" s="312"/>
      <c r="D536" s="312"/>
      <c r="E536" s="312"/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  <c r="AP536" s="312"/>
    </row>
    <row r="537" ht="15.75" customHeight="1">
      <c r="A537" s="318"/>
      <c r="B537" s="312"/>
      <c r="C537" s="312"/>
      <c r="D537" s="312"/>
      <c r="E537" s="312"/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  <c r="AP537" s="312"/>
    </row>
    <row r="538" ht="15.75" customHeight="1">
      <c r="A538" s="318"/>
      <c r="B538" s="312"/>
      <c r="C538" s="312"/>
      <c r="D538" s="312"/>
      <c r="E538" s="312"/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  <c r="AP538" s="312"/>
    </row>
    <row r="539" ht="15.75" customHeight="1">
      <c r="A539" s="318"/>
      <c r="B539" s="312"/>
      <c r="C539" s="312"/>
      <c r="D539" s="312"/>
      <c r="E539" s="312"/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  <c r="AP539" s="312"/>
    </row>
    <row r="540" ht="15.75" customHeight="1">
      <c r="A540" s="318"/>
      <c r="B540" s="312"/>
      <c r="C540" s="312"/>
      <c r="D540" s="312"/>
      <c r="E540" s="312"/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  <c r="AP540" s="312"/>
    </row>
    <row r="541" ht="15.75" customHeight="1">
      <c r="A541" s="318"/>
      <c r="B541" s="312"/>
      <c r="C541" s="312"/>
      <c r="D541" s="312"/>
      <c r="E541" s="312"/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  <c r="AP541" s="312"/>
    </row>
    <row r="542" ht="15.75" customHeight="1">
      <c r="A542" s="318"/>
      <c r="B542" s="312"/>
      <c r="C542" s="312"/>
      <c r="D542" s="312"/>
      <c r="E542" s="312"/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  <c r="AP542" s="312"/>
    </row>
    <row r="543" ht="15.75" customHeight="1">
      <c r="A543" s="318"/>
      <c r="B543" s="312"/>
      <c r="C543" s="312"/>
      <c r="D543" s="312"/>
      <c r="E543" s="312"/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  <c r="AP543" s="312"/>
    </row>
    <row r="544" ht="15.75" customHeight="1">
      <c r="A544" s="318"/>
      <c r="B544" s="312"/>
      <c r="C544" s="312"/>
      <c r="D544" s="312"/>
      <c r="E544" s="312"/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  <c r="AP544" s="312"/>
    </row>
    <row r="545" ht="15.75" customHeight="1">
      <c r="A545" s="318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  <c r="AP545" s="312"/>
    </row>
    <row r="546" ht="15.75" customHeight="1">
      <c r="A546" s="318"/>
      <c r="B546" s="312"/>
      <c r="C546" s="312"/>
      <c r="D546" s="312"/>
      <c r="E546" s="312"/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  <c r="AP546" s="312"/>
    </row>
    <row r="547" ht="15.75" customHeight="1">
      <c r="A547" s="318"/>
      <c r="B547" s="312"/>
      <c r="C547" s="312"/>
      <c r="D547" s="312"/>
      <c r="E547" s="312"/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  <c r="AP547" s="312"/>
    </row>
    <row r="548" ht="15.75" customHeight="1">
      <c r="A548" s="318"/>
      <c r="B548" s="312"/>
      <c r="C548" s="312"/>
      <c r="D548" s="312"/>
      <c r="E548" s="312"/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  <c r="AP548" s="312"/>
    </row>
    <row r="549" ht="15.75" customHeight="1">
      <c r="A549" s="318"/>
      <c r="B549" s="312"/>
      <c r="C549" s="312"/>
      <c r="D549" s="312"/>
      <c r="E549" s="312"/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  <c r="AP549" s="312"/>
    </row>
    <row r="550" ht="15.75" customHeight="1">
      <c r="A550" s="318"/>
      <c r="B550" s="312"/>
      <c r="C550" s="312"/>
      <c r="D550" s="312"/>
      <c r="E550" s="312"/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  <c r="AP550" s="312"/>
    </row>
    <row r="551" ht="15.75" customHeight="1">
      <c r="A551" s="318"/>
      <c r="B551" s="312"/>
      <c r="C551" s="312"/>
      <c r="D551" s="312"/>
      <c r="E551" s="312"/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  <c r="AP551" s="312"/>
    </row>
    <row r="552" ht="15.75" customHeight="1">
      <c r="A552" s="318"/>
      <c r="B552" s="312"/>
      <c r="C552" s="312"/>
      <c r="D552" s="312"/>
      <c r="E552" s="312"/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  <c r="AP552" s="312"/>
    </row>
    <row r="553" ht="15.75" customHeight="1">
      <c r="A553" s="318"/>
      <c r="B553" s="312"/>
      <c r="C553" s="312"/>
      <c r="D553" s="312"/>
      <c r="E553" s="312"/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  <c r="AP553" s="312"/>
    </row>
    <row r="554" ht="15.75" customHeight="1">
      <c r="A554" s="318"/>
      <c r="B554" s="312"/>
      <c r="C554" s="312"/>
      <c r="D554" s="312"/>
      <c r="E554" s="312"/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  <c r="AP554" s="312"/>
    </row>
    <row r="555" ht="15.75" customHeight="1">
      <c r="A555" s="318"/>
      <c r="B555" s="312"/>
      <c r="C555" s="312"/>
      <c r="D555" s="312"/>
      <c r="E555" s="312"/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  <c r="AP555" s="312"/>
    </row>
    <row r="556" ht="15.75" customHeight="1">
      <c r="A556" s="318"/>
      <c r="B556" s="312"/>
      <c r="C556" s="312"/>
      <c r="D556" s="312"/>
      <c r="E556" s="312"/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  <c r="AP556" s="312"/>
    </row>
    <row r="557" ht="15.75" customHeight="1">
      <c r="A557" s="318"/>
      <c r="B557" s="312"/>
      <c r="C557" s="312"/>
      <c r="D557" s="312"/>
      <c r="E557" s="312"/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  <c r="AP557" s="312"/>
    </row>
    <row r="558" ht="15.75" customHeight="1">
      <c r="A558" s="318"/>
      <c r="B558" s="312"/>
      <c r="C558" s="312"/>
      <c r="D558" s="312"/>
      <c r="E558" s="312"/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  <c r="AP558" s="312"/>
    </row>
    <row r="559" ht="15.75" customHeight="1">
      <c r="A559" s="318"/>
      <c r="B559" s="312"/>
      <c r="C559" s="312"/>
      <c r="D559" s="312"/>
      <c r="E559" s="312"/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  <c r="AP559" s="312"/>
    </row>
    <row r="560" ht="15.75" customHeight="1">
      <c r="A560" s="318"/>
      <c r="B560" s="312"/>
      <c r="C560" s="312"/>
      <c r="D560" s="312"/>
      <c r="E560" s="312"/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  <c r="AP560" s="312"/>
    </row>
    <row r="561" ht="15.75" customHeight="1">
      <c r="A561" s="318"/>
      <c r="B561" s="312"/>
      <c r="C561" s="312"/>
      <c r="D561" s="312"/>
      <c r="E561" s="312"/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  <c r="AP561" s="312"/>
    </row>
    <row r="562" ht="15.75" customHeight="1">
      <c r="A562" s="318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  <c r="AP562" s="312"/>
    </row>
    <row r="563" ht="15.75" customHeight="1">
      <c r="A563" s="318"/>
      <c r="B563" s="312"/>
      <c r="C563" s="312"/>
      <c r="D563" s="312"/>
      <c r="E563" s="312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  <c r="AP563" s="312"/>
    </row>
    <row r="564" ht="15.75" customHeight="1">
      <c r="A564" s="318"/>
      <c r="B564" s="312"/>
      <c r="C564" s="312"/>
      <c r="D564" s="312"/>
      <c r="E564" s="312"/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  <c r="AP564" s="312"/>
    </row>
    <row r="565" ht="15.75" customHeight="1">
      <c r="A565" s="318"/>
      <c r="B565" s="312"/>
      <c r="C565" s="312"/>
      <c r="D565" s="312"/>
      <c r="E565" s="312"/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  <c r="AP565" s="312"/>
    </row>
    <row r="566" ht="15.75" customHeight="1">
      <c r="A566" s="318"/>
      <c r="B566" s="312"/>
      <c r="C566" s="312"/>
      <c r="D566" s="312"/>
      <c r="E566" s="312"/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  <c r="AP566" s="312"/>
    </row>
    <row r="567" ht="15.75" customHeight="1">
      <c r="A567" s="318"/>
      <c r="B567" s="312"/>
      <c r="C567" s="312"/>
      <c r="D567" s="312"/>
      <c r="E567" s="312"/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  <c r="AP567" s="312"/>
    </row>
    <row r="568" ht="15.75" customHeight="1">
      <c r="A568" s="318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  <c r="AP568" s="312"/>
    </row>
    <row r="569" ht="15.75" customHeight="1">
      <c r="A569" s="318"/>
      <c r="B569" s="312"/>
      <c r="C569" s="312"/>
      <c r="D569" s="312"/>
      <c r="E569" s="312"/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  <c r="AP569" s="312"/>
    </row>
    <row r="570" ht="15.75" customHeight="1">
      <c r="A570" s="318"/>
      <c r="B570" s="312"/>
      <c r="C570" s="312"/>
      <c r="D570" s="312"/>
      <c r="E570" s="312"/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  <c r="AP570" s="312"/>
    </row>
    <row r="571" ht="15.75" customHeight="1">
      <c r="A571" s="318"/>
      <c r="B571" s="312"/>
      <c r="C571" s="312"/>
      <c r="D571" s="312"/>
      <c r="E571" s="312"/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  <c r="AP571" s="312"/>
    </row>
    <row r="572" ht="15.75" customHeight="1">
      <c r="A572" s="318"/>
      <c r="B572" s="312"/>
      <c r="C572" s="312"/>
      <c r="D572" s="312"/>
      <c r="E572" s="312"/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  <c r="AP572" s="312"/>
    </row>
    <row r="573" ht="15.75" customHeight="1">
      <c r="A573" s="318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  <c r="AP573" s="312"/>
    </row>
    <row r="574" ht="15.75" customHeight="1">
      <c r="A574" s="318"/>
      <c r="B574" s="312"/>
      <c r="C574" s="312"/>
      <c r="D574" s="312"/>
      <c r="E574" s="312"/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  <c r="AP574" s="312"/>
    </row>
    <row r="575" ht="15.75" customHeight="1">
      <c r="A575" s="318"/>
      <c r="B575" s="312"/>
      <c r="C575" s="312"/>
      <c r="D575" s="312"/>
      <c r="E575" s="312"/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  <c r="AP575" s="312"/>
    </row>
    <row r="576" ht="15.75" customHeight="1">
      <c r="A576" s="318"/>
      <c r="B576" s="312"/>
      <c r="C576" s="312"/>
      <c r="D576" s="312"/>
      <c r="E576" s="312"/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  <c r="AP576" s="312"/>
    </row>
    <row r="577" ht="15.75" customHeight="1">
      <c r="A577" s="318"/>
      <c r="B577" s="312"/>
      <c r="C577" s="312"/>
      <c r="D577" s="312"/>
      <c r="E577" s="312"/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  <c r="AP577" s="312"/>
    </row>
    <row r="578" ht="15.75" customHeight="1">
      <c r="A578" s="318"/>
      <c r="B578" s="312"/>
      <c r="C578" s="312"/>
      <c r="D578" s="312"/>
      <c r="E578" s="312"/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  <c r="AP578" s="312"/>
    </row>
    <row r="579" ht="15.75" customHeight="1">
      <c r="A579" s="318"/>
      <c r="B579" s="312"/>
      <c r="C579" s="312"/>
      <c r="D579" s="312"/>
      <c r="E579" s="312"/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  <c r="AP579" s="312"/>
    </row>
    <row r="580" ht="15.75" customHeight="1">
      <c r="A580" s="318"/>
      <c r="B580" s="312"/>
      <c r="C580" s="312"/>
      <c r="D580" s="312"/>
      <c r="E580" s="312"/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  <c r="AP580" s="312"/>
    </row>
    <row r="581" ht="15.75" customHeight="1">
      <c r="A581" s="318"/>
      <c r="B581" s="312"/>
      <c r="C581" s="312"/>
      <c r="D581" s="312"/>
      <c r="E581" s="312"/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  <c r="AP581" s="312"/>
    </row>
    <row r="582" ht="15.75" customHeight="1">
      <c r="A582" s="318"/>
      <c r="B582" s="312"/>
      <c r="C582" s="312"/>
      <c r="D582" s="312"/>
      <c r="E582" s="312"/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  <c r="AP582" s="312"/>
    </row>
    <row r="583" ht="15.75" customHeight="1">
      <c r="A583" s="318"/>
      <c r="B583" s="312"/>
      <c r="C583" s="312"/>
      <c r="D583" s="312"/>
      <c r="E583" s="312"/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  <c r="AP583" s="312"/>
    </row>
    <row r="584" ht="15.75" customHeight="1">
      <c r="A584" s="318"/>
      <c r="B584" s="312"/>
      <c r="C584" s="312"/>
      <c r="D584" s="312"/>
      <c r="E584" s="312"/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  <c r="AP584" s="312"/>
    </row>
    <row r="585" ht="15.75" customHeight="1">
      <c r="A585" s="318"/>
      <c r="B585" s="312"/>
      <c r="C585" s="312"/>
      <c r="D585" s="312"/>
      <c r="E585" s="312"/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  <c r="AP585" s="312"/>
    </row>
    <row r="586" ht="15.75" customHeight="1">
      <c r="A586" s="318"/>
      <c r="B586" s="312"/>
      <c r="C586" s="312"/>
      <c r="D586" s="312"/>
      <c r="E586" s="312"/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  <c r="AP586" s="312"/>
    </row>
    <row r="587" ht="15.75" customHeight="1">
      <c r="A587" s="318"/>
      <c r="B587" s="312"/>
      <c r="C587" s="312"/>
      <c r="D587" s="312"/>
      <c r="E587" s="312"/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  <c r="AP587" s="312"/>
    </row>
    <row r="588" ht="15.75" customHeight="1">
      <c r="A588" s="318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  <c r="AP588" s="312"/>
    </row>
    <row r="589" ht="15.75" customHeight="1">
      <c r="A589" s="318"/>
      <c r="B589" s="312"/>
      <c r="C589" s="312"/>
      <c r="D589" s="312"/>
      <c r="E589" s="312"/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  <c r="AP589" s="312"/>
    </row>
    <row r="590" ht="15.75" customHeight="1">
      <c r="A590" s="318"/>
      <c r="B590" s="312"/>
      <c r="C590" s="312"/>
      <c r="D590" s="312"/>
      <c r="E590" s="312"/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  <c r="AP590" s="312"/>
    </row>
    <row r="591" ht="15.75" customHeight="1">
      <c r="A591" s="318"/>
      <c r="B591" s="312"/>
      <c r="C591" s="312"/>
      <c r="D591" s="312"/>
      <c r="E591" s="312"/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  <c r="AP591" s="312"/>
    </row>
    <row r="592" ht="15.75" customHeight="1">
      <c r="A592" s="318"/>
      <c r="B592" s="312"/>
      <c r="C592" s="312"/>
      <c r="D592" s="312"/>
      <c r="E592" s="312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  <c r="AP592" s="312"/>
    </row>
    <row r="593" ht="15.75" customHeight="1">
      <c r="A593" s="318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  <c r="AP593" s="312"/>
    </row>
    <row r="594" ht="15.75" customHeight="1">
      <c r="A594" s="318"/>
      <c r="B594" s="312"/>
      <c r="C594" s="312"/>
      <c r="D594" s="312"/>
      <c r="E594" s="312"/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  <c r="AP594" s="312"/>
    </row>
    <row r="595" ht="15.75" customHeight="1">
      <c r="A595" s="318"/>
      <c r="B595" s="312"/>
      <c r="C595" s="312"/>
      <c r="D595" s="312"/>
      <c r="E595" s="312"/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  <c r="AP595" s="312"/>
    </row>
    <row r="596" ht="15.75" customHeight="1">
      <c r="A596" s="318"/>
      <c r="B596" s="312"/>
      <c r="C596" s="312"/>
      <c r="D596" s="312"/>
      <c r="E596" s="312"/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  <c r="AP596" s="312"/>
    </row>
    <row r="597" ht="15.75" customHeight="1">
      <c r="A597" s="318"/>
      <c r="B597" s="312"/>
      <c r="C597" s="312"/>
      <c r="D597" s="312"/>
      <c r="E597" s="312"/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  <c r="AP597" s="312"/>
    </row>
    <row r="598" ht="15.75" customHeight="1">
      <c r="A598" s="318"/>
      <c r="B598" s="312"/>
      <c r="C598" s="312"/>
      <c r="D598" s="312"/>
      <c r="E598" s="312"/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  <c r="AP598" s="312"/>
    </row>
    <row r="599" ht="15.75" customHeight="1">
      <c r="A599" s="318"/>
      <c r="B599" s="312"/>
      <c r="C599" s="312"/>
      <c r="D599" s="312"/>
      <c r="E599" s="312"/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  <c r="AP599" s="312"/>
    </row>
    <row r="600" ht="15.75" customHeight="1">
      <c r="A600" s="318"/>
      <c r="B600" s="312"/>
      <c r="C600" s="312"/>
      <c r="D600" s="312"/>
      <c r="E600" s="312"/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  <c r="AP600" s="312"/>
    </row>
    <row r="601" ht="15.75" customHeight="1">
      <c r="A601" s="318"/>
      <c r="B601" s="312"/>
      <c r="C601" s="312"/>
      <c r="D601" s="312"/>
      <c r="E601" s="312"/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  <c r="AP601" s="312"/>
    </row>
    <row r="602" ht="15.75" customHeight="1">
      <c r="A602" s="318"/>
      <c r="B602" s="312"/>
      <c r="C602" s="312"/>
      <c r="D602" s="312"/>
      <c r="E602" s="312"/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  <c r="AP602" s="312"/>
    </row>
    <row r="603" ht="15.75" customHeight="1">
      <c r="A603" s="318"/>
      <c r="B603" s="312"/>
      <c r="C603" s="312"/>
      <c r="D603" s="312"/>
      <c r="E603" s="312"/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  <c r="AP603" s="312"/>
    </row>
    <row r="604" ht="15.75" customHeight="1">
      <c r="A604" s="318"/>
      <c r="B604" s="312"/>
      <c r="C604" s="312"/>
      <c r="D604" s="312"/>
      <c r="E604" s="312"/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  <c r="AP604" s="312"/>
    </row>
    <row r="605" ht="15.75" customHeight="1">
      <c r="A605" s="318"/>
      <c r="B605" s="312"/>
      <c r="C605" s="312"/>
      <c r="D605" s="312"/>
      <c r="E605" s="312"/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  <c r="AP605" s="312"/>
    </row>
    <row r="606" ht="15.75" customHeight="1">
      <c r="A606" s="318"/>
      <c r="B606" s="312"/>
      <c r="C606" s="312"/>
      <c r="D606" s="312"/>
      <c r="E606" s="312"/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  <c r="AP606" s="312"/>
    </row>
    <row r="607" ht="15.75" customHeight="1">
      <c r="A607" s="318"/>
      <c r="B607" s="312"/>
      <c r="C607" s="312"/>
      <c r="D607" s="312"/>
      <c r="E607" s="312"/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  <c r="AP607" s="312"/>
    </row>
    <row r="608" ht="15.75" customHeight="1">
      <c r="A608" s="318"/>
      <c r="B608" s="312"/>
      <c r="C608" s="312"/>
      <c r="D608" s="312"/>
      <c r="E608" s="312"/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  <c r="AP608" s="312"/>
    </row>
    <row r="609" ht="15.75" customHeight="1">
      <c r="A609" s="318"/>
      <c r="B609" s="312"/>
      <c r="C609" s="312"/>
      <c r="D609" s="312"/>
      <c r="E609" s="312"/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  <c r="AP609" s="312"/>
    </row>
    <row r="610" ht="15.75" customHeight="1">
      <c r="A610" s="318"/>
      <c r="B610" s="312"/>
      <c r="C610" s="312"/>
      <c r="D610" s="312"/>
      <c r="E610" s="312"/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  <c r="AP610" s="312"/>
    </row>
    <row r="611" ht="15.75" customHeight="1">
      <c r="A611" s="318"/>
      <c r="B611" s="312"/>
      <c r="C611" s="312"/>
      <c r="D611" s="312"/>
      <c r="E611" s="312"/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  <c r="AP611" s="312"/>
    </row>
    <row r="612" ht="15.75" customHeight="1">
      <c r="A612" s="318"/>
      <c r="B612" s="312"/>
      <c r="C612" s="312"/>
      <c r="D612" s="312"/>
      <c r="E612" s="312"/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  <c r="AP612" s="312"/>
    </row>
    <row r="613" ht="15.75" customHeight="1">
      <c r="A613" s="318"/>
      <c r="B613" s="312"/>
      <c r="C613" s="312"/>
      <c r="D613" s="312"/>
      <c r="E613" s="312"/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  <c r="AP613" s="312"/>
    </row>
    <row r="614" ht="15.75" customHeight="1">
      <c r="A614" s="318"/>
      <c r="B614" s="312"/>
      <c r="C614" s="312"/>
      <c r="D614" s="312"/>
      <c r="E614" s="312"/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  <c r="AP614" s="312"/>
    </row>
    <row r="615" ht="15.75" customHeight="1">
      <c r="A615" s="318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  <c r="AP615" s="312"/>
    </row>
    <row r="616" ht="15.75" customHeight="1">
      <c r="A616" s="318"/>
      <c r="B616" s="312"/>
      <c r="C616" s="312"/>
      <c r="D616" s="312"/>
      <c r="E616" s="312"/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  <c r="AP616" s="312"/>
    </row>
    <row r="617" ht="15.75" customHeight="1">
      <c r="A617" s="318"/>
      <c r="B617" s="312"/>
      <c r="C617" s="312"/>
      <c r="D617" s="312"/>
      <c r="E617" s="312"/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  <c r="AP617" s="312"/>
    </row>
    <row r="618" ht="15.75" customHeight="1">
      <c r="A618" s="318"/>
      <c r="B618" s="312"/>
      <c r="C618" s="312"/>
      <c r="D618" s="312"/>
      <c r="E618" s="312"/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  <c r="AP618" s="312"/>
    </row>
    <row r="619" ht="15.75" customHeight="1">
      <c r="A619" s="318"/>
      <c r="B619" s="312"/>
      <c r="C619" s="312"/>
      <c r="D619" s="312"/>
      <c r="E619" s="312"/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  <c r="AP619" s="312"/>
    </row>
    <row r="620" ht="15.75" customHeight="1">
      <c r="A620" s="318"/>
      <c r="B620" s="312"/>
      <c r="C620" s="312"/>
      <c r="D620" s="312"/>
      <c r="E620" s="312"/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  <c r="AP620" s="312"/>
    </row>
    <row r="621" ht="15.75" customHeight="1">
      <c r="A621" s="318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  <c r="AP621" s="312"/>
    </row>
    <row r="622" ht="15.75" customHeight="1">
      <c r="A622" s="318"/>
      <c r="B622" s="312"/>
      <c r="C622" s="312"/>
      <c r="D622" s="312"/>
      <c r="E622" s="312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  <c r="AP622" s="312"/>
    </row>
    <row r="623" ht="15.75" customHeight="1">
      <c r="A623" s="318"/>
      <c r="B623" s="312"/>
      <c r="C623" s="312"/>
      <c r="D623" s="312"/>
      <c r="E623" s="312"/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  <c r="AP623" s="312"/>
    </row>
    <row r="624" ht="15.75" customHeight="1">
      <c r="A624" s="318"/>
      <c r="B624" s="312"/>
      <c r="C624" s="312"/>
      <c r="D624" s="312"/>
      <c r="E624" s="312"/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  <c r="AP624" s="312"/>
    </row>
    <row r="625" ht="15.75" customHeight="1">
      <c r="A625" s="318"/>
      <c r="B625" s="312"/>
      <c r="C625" s="312"/>
      <c r="D625" s="312"/>
      <c r="E625" s="312"/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  <c r="AP625" s="312"/>
    </row>
    <row r="626" ht="15.75" customHeight="1">
      <c r="A626" s="318"/>
      <c r="B626" s="312"/>
      <c r="C626" s="312"/>
      <c r="D626" s="312"/>
      <c r="E626" s="312"/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  <c r="AP626" s="312"/>
    </row>
    <row r="627" ht="15.75" customHeight="1">
      <c r="A627" s="318"/>
      <c r="B627" s="312"/>
      <c r="C627" s="312"/>
      <c r="D627" s="312"/>
      <c r="E627" s="312"/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  <c r="AP627" s="312"/>
    </row>
    <row r="628" ht="15.75" customHeight="1">
      <c r="A628" s="318"/>
      <c r="B628" s="312"/>
      <c r="C628" s="312"/>
      <c r="D628" s="312"/>
      <c r="E628" s="312"/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  <c r="AP628" s="312"/>
    </row>
    <row r="629" ht="15.75" customHeight="1">
      <c r="A629" s="318"/>
      <c r="B629" s="312"/>
      <c r="C629" s="312"/>
      <c r="D629" s="312"/>
      <c r="E629" s="312"/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  <c r="AP629" s="312"/>
    </row>
    <row r="630" ht="15.75" customHeight="1">
      <c r="A630" s="318"/>
      <c r="B630" s="312"/>
      <c r="C630" s="312"/>
      <c r="D630" s="312"/>
      <c r="E630" s="312"/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  <c r="AP630" s="312"/>
    </row>
    <row r="631" ht="15.75" customHeight="1">
      <c r="A631" s="318"/>
      <c r="B631" s="312"/>
      <c r="C631" s="312"/>
      <c r="D631" s="312"/>
      <c r="E631" s="312"/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  <c r="AP631" s="312"/>
    </row>
    <row r="632" ht="15.75" customHeight="1">
      <c r="A632" s="318"/>
      <c r="B632" s="312"/>
      <c r="C632" s="312"/>
      <c r="D632" s="312"/>
      <c r="E632" s="312"/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  <c r="AP632" s="312"/>
    </row>
    <row r="633" ht="15.75" customHeight="1">
      <c r="A633" s="318"/>
      <c r="B633" s="312"/>
      <c r="C633" s="312"/>
      <c r="D633" s="312"/>
      <c r="E633" s="312"/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  <c r="AP633" s="312"/>
    </row>
    <row r="634" ht="15.75" customHeight="1">
      <c r="A634" s="318"/>
      <c r="B634" s="312"/>
      <c r="C634" s="312"/>
      <c r="D634" s="312"/>
      <c r="E634" s="312"/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  <c r="AP634" s="312"/>
    </row>
    <row r="635" ht="15.75" customHeight="1">
      <c r="A635" s="318"/>
      <c r="B635" s="312"/>
      <c r="C635" s="312"/>
      <c r="D635" s="312"/>
      <c r="E635" s="312"/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  <c r="AP635" s="312"/>
    </row>
    <row r="636" ht="15.75" customHeight="1">
      <c r="A636" s="318"/>
      <c r="B636" s="312"/>
      <c r="C636" s="312"/>
      <c r="D636" s="312"/>
      <c r="E636" s="312"/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  <c r="AP636" s="312"/>
    </row>
    <row r="637" ht="15.75" customHeight="1">
      <c r="A637" s="318"/>
      <c r="B637" s="312"/>
      <c r="C637" s="312"/>
      <c r="D637" s="312"/>
      <c r="E637" s="312"/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  <c r="AP637" s="312"/>
    </row>
    <row r="638" ht="15.75" customHeight="1">
      <c r="A638" s="318"/>
      <c r="B638" s="312"/>
      <c r="C638" s="312"/>
      <c r="D638" s="312"/>
      <c r="E638" s="312"/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  <c r="AP638" s="312"/>
    </row>
    <row r="639" ht="15.75" customHeight="1">
      <c r="A639" s="318"/>
      <c r="B639" s="312"/>
      <c r="C639" s="312"/>
      <c r="D639" s="312"/>
      <c r="E639" s="312"/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  <c r="AP639" s="312"/>
    </row>
    <row r="640" ht="15.75" customHeight="1">
      <c r="A640" s="318"/>
      <c r="B640" s="312"/>
      <c r="C640" s="312"/>
      <c r="D640" s="312"/>
      <c r="E640" s="312"/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  <c r="AP640" s="312"/>
    </row>
    <row r="641" ht="15.75" customHeight="1">
      <c r="A641" s="318"/>
      <c r="B641" s="312"/>
      <c r="C641" s="312"/>
      <c r="D641" s="312"/>
      <c r="E641" s="312"/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  <c r="AP641" s="312"/>
    </row>
    <row r="642" ht="15.75" customHeight="1">
      <c r="A642" s="318"/>
      <c r="B642" s="312"/>
      <c r="C642" s="312"/>
      <c r="D642" s="312"/>
      <c r="E642" s="312"/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  <c r="AP642" s="312"/>
    </row>
    <row r="643" ht="15.75" customHeight="1">
      <c r="A643" s="318"/>
      <c r="B643" s="312"/>
      <c r="C643" s="312"/>
      <c r="D643" s="312"/>
      <c r="E643" s="312"/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  <c r="AP643" s="312"/>
    </row>
    <row r="644" ht="15.75" customHeight="1">
      <c r="A644" s="318"/>
      <c r="B644" s="312"/>
      <c r="C644" s="312"/>
      <c r="D644" s="312"/>
      <c r="E644" s="312"/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  <c r="AP644" s="312"/>
    </row>
    <row r="645" ht="15.75" customHeight="1">
      <c r="A645" s="318"/>
      <c r="B645" s="312"/>
      <c r="C645" s="312"/>
      <c r="D645" s="312"/>
      <c r="E645" s="312"/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  <c r="AP645" s="312"/>
    </row>
    <row r="646" ht="15.75" customHeight="1">
      <c r="A646" s="318"/>
      <c r="B646" s="312"/>
      <c r="C646" s="312"/>
      <c r="D646" s="312"/>
      <c r="E646" s="312"/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  <c r="AP646" s="312"/>
    </row>
    <row r="647" ht="15.75" customHeight="1">
      <c r="A647" s="318"/>
      <c r="B647" s="312"/>
      <c r="C647" s="312"/>
      <c r="D647" s="312"/>
      <c r="E647" s="312"/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  <c r="AP647" s="312"/>
    </row>
    <row r="648" ht="15.75" customHeight="1">
      <c r="A648" s="318"/>
      <c r="B648" s="312"/>
      <c r="C648" s="312"/>
      <c r="D648" s="312"/>
      <c r="E648" s="312"/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  <c r="AP648" s="312"/>
    </row>
    <row r="649" ht="15.75" customHeight="1">
      <c r="A649" s="318"/>
      <c r="B649" s="312"/>
      <c r="C649" s="312"/>
      <c r="D649" s="312"/>
      <c r="E649" s="312"/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  <c r="AP649" s="312"/>
    </row>
    <row r="650" ht="15.75" customHeight="1">
      <c r="A650" s="318"/>
      <c r="B650" s="312"/>
      <c r="C650" s="312"/>
      <c r="D650" s="312"/>
      <c r="E650" s="312"/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  <c r="AP650" s="312"/>
    </row>
    <row r="651" ht="15.75" customHeight="1">
      <c r="A651" s="318"/>
      <c r="B651" s="312"/>
      <c r="C651" s="312"/>
      <c r="D651" s="312"/>
      <c r="E651" s="312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  <c r="AP651" s="312"/>
    </row>
    <row r="652" ht="15.75" customHeight="1">
      <c r="A652" s="318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  <c r="AP652" s="312"/>
    </row>
    <row r="653" ht="15.75" customHeight="1">
      <c r="A653" s="318"/>
      <c r="B653" s="312"/>
      <c r="C653" s="312"/>
      <c r="D653" s="312"/>
      <c r="E653" s="312"/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  <c r="AP653" s="312"/>
    </row>
    <row r="654" ht="15.75" customHeight="1">
      <c r="A654" s="318"/>
      <c r="B654" s="312"/>
      <c r="C654" s="312"/>
      <c r="D654" s="312"/>
      <c r="E654" s="312"/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  <c r="AP654" s="312"/>
    </row>
    <row r="655" ht="15.75" customHeight="1">
      <c r="A655" s="318"/>
      <c r="B655" s="312"/>
      <c r="C655" s="312"/>
      <c r="D655" s="312"/>
      <c r="E655" s="312"/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  <c r="AP655" s="312"/>
    </row>
    <row r="656" ht="15.75" customHeight="1">
      <c r="A656" s="318"/>
      <c r="B656" s="312"/>
      <c r="C656" s="312"/>
      <c r="D656" s="312"/>
      <c r="E656" s="312"/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  <c r="AP656" s="312"/>
    </row>
    <row r="657" ht="15.75" customHeight="1">
      <c r="A657" s="318"/>
      <c r="B657" s="312"/>
      <c r="C657" s="312"/>
      <c r="D657" s="312"/>
      <c r="E657" s="312"/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  <c r="AP657" s="312"/>
    </row>
    <row r="658" ht="15.75" customHeight="1">
      <c r="A658" s="318"/>
      <c r="B658" s="312"/>
      <c r="C658" s="312"/>
      <c r="D658" s="312"/>
      <c r="E658" s="312"/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  <c r="AP658" s="312"/>
    </row>
    <row r="659" ht="15.75" customHeight="1">
      <c r="A659" s="318"/>
      <c r="B659" s="312"/>
      <c r="C659" s="312"/>
      <c r="D659" s="312"/>
      <c r="E659" s="312"/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  <c r="AP659" s="312"/>
    </row>
    <row r="660" ht="15.75" customHeight="1">
      <c r="A660" s="318"/>
      <c r="B660" s="312"/>
      <c r="C660" s="312"/>
      <c r="D660" s="312"/>
      <c r="E660" s="312"/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  <c r="AP660" s="312"/>
    </row>
    <row r="661" ht="15.75" customHeight="1">
      <c r="A661" s="318"/>
      <c r="B661" s="312"/>
      <c r="C661" s="312"/>
      <c r="D661" s="312"/>
      <c r="E661" s="312"/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  <c r="AP661" s="312"/>
    </row>
    <row r="662" ht="15.75" customHeight="1">
      <c r="A662" s="318"/>
      <c r="B662" s="312"/>
      <c r="C662" s="312"/>
      <c r="D662" s="312"/>
      <c r="E662" s="312"/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  <c r="AP662" s="312"/>
    </row>
    <row r="663" ht="15.75" customHeight="1">
      <c r="A663" s="318"/>
      <c r="B663" s="312"/>
      <c r="C663" s="312"/>
      <c r="D663" s="312"/>
      <c r="E663" s="312"/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  <c r="AP663" s="312"/>
    </row>
    <row r="664" ht="15.75" customHeight="1">
      <c r="A664" s="318"/>
      <c r="B664" s="312"/>
      <c r="C664" s="312"/>
      <c r="D664" s="312"/>
      <c r="E664" s="312"/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  <c r="AP664" s="312"/>
    </row>
    <row r="665" ht="15.75" customHeight="1">
      <c r="A665" s="318"/>
      <c r="B665" s="312"/>
      <c r="C665" s="312"/>
      <c r="D665" s="312"/>
      <c r="E665" s="312"/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  <c r="AP665" s="312"/>
    </row>
    <row r="666" ht="15.75" customHeight="1">
      <c r="A666" s="318"/>
      <c r="B666" s="312"/>
      <c r="C666" s="312"/>
      <c r="D666" s="312"/>
      <c r="E666" s="312"/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  <c r="AP666" s="312"/>
    </row>
    <row r="667" ht="15.75" customHeight="1">
      <c r="A667" s="318"/>
      <c r="B667" s="312"/>
      <c r="C667" s="312"/>
      <c r="D667" s="312"/>
      <c r="E667" s="312"/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  <c r="AP667" s="312"/>
    </row>
    <row r="668" ht="15.75" customHeight="1">
      <c r="A668" s="318"/>
      <c r="B668" s="312"/>
      <c r="C668" s="312"/>
      <c r="D668" s="312"/>
      <c r="E668" s="312"/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  <c r="AP668" s="312"/>
    </row>
    <row r="669" ht="15.75" customHeight="1">
      <c r="A669" s="318"/>
      <c r="B669" s="312"/>
      <c r="C669" s="312"/>
      <c r="D669" s="312"/>
      <c r="E669" s="312"/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  <c r="AP669" s="312"/>
    </row>
    <row r="670" ht="15.75" customHeight="1">
      <c r="A670" s="318"/>
      <c r="B670" s="312"/>
      <c r="C670" s="312"/>
      <c r="D670" s="312"/>
      <c r="E670" s="312"/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  <c r="AP670" s="312"/>
    </row>
    <row r="671" ht="15.75" customHeight="1">
      <c r="A671" s="318"/>
      <c r="B671" s="312"/>
      <c r="C671" s="312"/>
      <c r="D671" s="312"/>
      <c r="E671" s="312"/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  <c r="AP671" s="312"/>
    </row>
    <row r="672" ht="15.75" customHeight="1">
      <c r="A672" s="318"/>
      <c r="B672" s="312"/>
      <c r="C672" s="312"/>
      <c r="D672" s="312"/>
      <c r="E672" s="312"/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  <c r="AP672" s="312"/>
    </row>
    <row r="673" ht="15.75" customHeight="1">
      <c r="A673" s="318"/>
      <c r="B673" s="312"/>
      <c r="C673" s="312"/>
      <c r="D673" s="312"/>
      <c r="E673" s="312"/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  <c r="AP673" s="312"/>
    </row>
    <row r="674" ht="15.75" customHeight="1">
      <c r="A674" s="318"/>
      <c r="B674" s="312"/>
      <c r="C674" s="312"/>
      <c r="D674" s="312"/>
      <c r="E674" s="312"/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  <c r="AP674" s="312"/>
    </row>
    <row r="675" ht="15.75" customHeight="1">
      <c r="A675" s="318"/>
      <c r="B675" s="312"/>
      <c r="C675" s="312"/>
      <c r="D675" s="312"/>
      <c r="E675" s="312"/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  <c r="AP675" s="312"/>
    </row>
    <row r="676" ht="15.75" customHeight="1">
      <c r="A676" s="318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  <c r="AP676" s="312"/>
    </row>
    <row r="677" ht="15.75" customHeight="1">
      <c r="A677" s="318"/>
      <c r="B677" s="312"/>
      <c r="C677" s="312"/>
      <c r="D677" s="312"/>
      <c r="E677" s="312"/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  <c r="AP677" s="312"/>
    </row>
    <row r="678" ht="15.75" customHeight="1">
      <c r="A678" s="318"/>
      <c r="B678" s="312"/>
      <c r="C678" s="312"/>
      <c r="D678" s="312"/>
      <c r="E678" s="312"/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  <c r="AP678" s="312"/>
    </row>
    <row r="679" ht="15.75" customHeight="1">
      <c r="A679" s="318"/>
      <c r="B679" s="312"/>
      <c r="C679" s="312"/>
      <c r="D679" s="312"/>
      <c r="E679" s="312"/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  <c r="AP679" s="312"/>
    </row>
    <row r="680" ht="15.75" customHeight="1">
      <c r="A680" s="318"/>
      <c r="B680" s="312"/>
      <c r="C680" s="312"/>
      <c r="D680" s="312"/>
      <c r="E680" s="312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  <c r="AP680" s="312"/>
    </row>
    <row r="681" ht="15.75" customHeight="1">
      <c r="A681" s="318"/>
      <c r="B681" s="312"/>
      <c r="C681" s="312"/>
      <c r="D681" s="312"/>
      <c r="E681" s="312"/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  <c r="AP681" s="312"/>
    </row>
    <row r="682" ht="15.75" customHeight="1">
      <c r="A682" s="318"/>
      <c r="B682" s="312"/>
      <c r="C682" s="312"/>
      <c r="D682" s="312"/>
      <c r="E682" s="312"/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  <c r="AP682" s="312"/>
    </row>
    <row r="683" ht="15.75" customHeight="1">
      <c r="A683" s="318"/>
      <c r="B683" s="312"/>
      <c r="C683" s="312"/>
      <c r="D683" s="312"/>
      <c r="E683" s="312"/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  <c r="AP683" s="312"/>
    </row>
    <row r="684" ht="15.75" customHeight="1">
      <c r="A684" s="318"/>
      <c r="B684" s="312"/>
      <c r="C684" s="312"/>
      <c r="D684" s="312"/>
      <c r="E684" s="312"/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  <c r="AP684" s="312"/>
    </row>
    <row r="685" ht="15.75" customHeight="1">
      <c r="A685" s="318"/>
      <c r="B685" s="312"/>
      <c r="C685" s="312"/>
      <c r="D685" s="312"/>
      <c r="E685" s="312"/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  <c r="AP685" s="312"/>
    </row>
    <row r="686" ht="15.75" customHeight="1">
      <c r="A686" s="318"/>
      <c r="B686" s="312"/>
      <c r="C686" s="312"/>
      <c r="D686" s="312"/>
      <c r="E686" s="312"/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  <c r="AP686" s="312"/>
    </row>
    <row r="687" ht="15.75" customHeight="1">
      <c r="A687" s="318"/>
      <c r="B687" s="312"/>
      <c r="C687" s="312"/>
      <c r="D687" s="312"/>
      <c r="E687" s="312"/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  <c r="AP687" s="312"/>
    </row>
    <row r="688" ht="15.75" customHeight="1">
      <c r="A688" s="318"/>
      <c r="B688" s="312"/>
      <c r="C688" s="312"/>
      <c r="D688" s="312"/>
      <c r="E688" s="312"/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  <c r="AP688" s="312"/>
    </row>
    <row r="689" ht="15.75" customHeight="1">
      <c r="A689" s="318"/>
      <c r="B689" s="312"/>
      <c r="C689" s="312"/>
      <c r="D689" s="312"/>
      <c r="E689" s="312"/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  <c r="AP689" s="312"/>
    </row>
    <row r="690" ht="15.75" customHeight="1">
      <c r="A690" s="318"/>
      <c r="B690" s="312"/>
      <c r="C690" s="312"/>
      <c r="D690" s="312"/>
      <c r="E690" s="312"/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  <c r="AP690" s="312"/>
    </row>
    <row r="691" ht="15.75" customHeight="1">
      <c r="A691" s="318"/>
      <c r="B691" s="312"/>
      <c r="C691" s="312"/>
      <c r="D691" s="312"/>
      <c r="E691" s="312"/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  <c r="AP691" s="312"/>
    </row>
    <row r="692" ht="15.75" customHeight="1">
      <c r="A692" s="318"/>
      <c r="B692" s="312"/>
      <c r="C692" s="312"/>
      <c r="D692" s="312"/>
      <c r="E692" s="312"/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  <c r="AP692" s="312"/>
    </row>
    <row r="693" ht="15.75" customHeight="1">
      <c r="A693" s="318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  <c r="AP693" s="312"/>
    </row>
    <row r="694" ht="15.75" customHeight="1">
      <c r="A694" s="318"/>
      <c r="B694" s="312"/>
      <c r="C694" s="312"/>
      <c r="D694" s="312"/>
      <c r="E694" s="312"/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  <c r="AP694" s="312"/>
    </row>
    <row r="695" ht="15.75" customHeight="1">
      <c r="A695" s="318"/>
      <c r="B695" s="312"/>
      <c r="C695" s="312"/>
      <c r="D695" s="312"/>
      <c r="E695" s="312"/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  <c r="AP695" s="312"/>
    </row>
    <row r="696" ht="15.75" customHeight="1">
      <c r="A696" s="318"/>
      <c r="B696" s="312"/>
      <c r="C696" s="312"/>
      <c r="D696" s="312"/>
      <c r="E696" s="312"/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  <c r="AP696" s="312"/>
    </row>
    <row r="697" ht="15.75" customHeight="1">
      <c r="A697" s="318"/>
      <c r="B697" s="312"/>
      <c r="C697" s="312"/>
      <c r="D697" s="312"/>
      <c r="E697" s="312"/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  <c r="AP697" s="312"/>
    </row>
    <row r="698" ht="15.75" customHeight="1">
      <c r="A698" s="318"/>
      <c r="B698" s="312"/>
      <c r="C698" s="312"/>
      <c r="D698" s="312"/>
      <c r="E698" s="312"/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  <c r="AP698" s="312"/>
    </row>
    <row r="699" ht="15.75" customHeight="1">
      <c r="A699" s="318"/>
      <c r="B699" s="312"/>
      <c r="C699" s="312"/>
      <c r="D699" s="312"/>
      <c r="E699" s="312"/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  <c r="AP699" s="312"/>
    </row>
    <row r="700" ht="15.75" customHeight="1">
      <c r="A700" s="318"/>
      <c r="B700" s="312"/>
      <c r="C700" s="312"/>
      <c r="D700" s="312"/>
      <c r="E700" s="312"/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  <c r="AP700" s="312"/>
    </row>
    <row r="701" ht="15.75" customHeight="1">
      <c r="A701" s="318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  <c r="AP701" s="312"/>
    </row>
    <row r="702" ht="15.75" customHeight="1">
      <c r="A702" s="318"/>
      <c r="B702" s="312"/>
      <c r="C702" s="312"/>
      <c r="D702" s="312"/>
      <c r="E702" s="312"/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  <c r="AP702" s="312"/>
    </row>
    <row r="703" ht="15.75" customHeight="1">
      <c r="A703" s="318"/>
      <c r="B703" s="312"/>
      <c r="C703" s="312"/>
      <c r="D703" s="312"/>
      <c r="E703" s="312"/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  <c r="AP703" s="312"/>
    </row>
    <row r="704" ht="15.75" customHeight="1">
      <c r="A704" s="318"/>
      <c r="B704" s="312"/>
      <c r="C704" s="312"/>
      <c r="D704" s="312"/>
      <c r="E704" s="312"/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  <c r="AP704" s="312"/>
    </row>
    <row r="705" ht="15.75" customHeight="1">
      <c r="A705" s="318"/>
      <c r="B705" s="312"/>
      <c r="C705" s="312"/>
      <c r="D705" s="312"/>
      <c r="E705" s="312"/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  <c r="AP705" s="312"/>
    </row>
    <row r="706" ht="15.75" customHeight="1">
      <c r="A706" s="318"/>
      <c r="B706" s="312"/>
      <c r="C706" s="312"/>
      <c r="D706" s="312"/>
      <c r="E706" s="312"/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  <c r="AP706" s="312"/>
    </row>
    <row r="707" ht="15.75" customHeight="1">
      <c r="A707" s="318"/>
      <c r="B707" s="312"/>
      <c r="C707" s="312"/>
      <c r="D707" s="312"/>
      <c r="E707" s="312"/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  <c r="AP707" s="312"/>
    </row>
    <row r="708" ht="15.75" customHeight="1">
      <c r="A708" s="318"/>
      <c r="B708" s="312"/>
      <c r="C708" s="312"/>
      <c r="D708" s="312"/>
      <c r="E708" s="312"/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  <c r="AP708" s="312"/>
    </row>
    <row r="709" ht="15.75" customHeight="1">
      <c r="A709" s="318"/>
      <c r="B709" s="312"/>
      <c r="C709" s="312"/>
      <c r="D709" s="312"/>
      <c r="E709" s="312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  <c r="AP709" s="312"/>
    </row>
    <row r="710" ht="15.75" customHeight="1">
      <c r="A710" s="318"/>
      <c r="B710" s="312"/>
      <c r="C710" s="312"/>
      <c r="D710" s="312"/>
      <c r="E710" s="312"/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  <c r="AP710" s="312"/>
    </row>
    <row r="711" ht="15.75" customHeight="1">
      <c r="A711" s="318"/>
      <c r="B711" s="312"/>
      <c r="C711" s="312"/>
      <c r="D711" s="312"/>
      <c r="E711" s="312"/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  <c r="AP711" s="312"/>
    </row>
    <row r="712" ht="15.75" customHeight="1">
      <c r="A712" s="318"/>
      <c r="B712" s="312"/>
      <c r="C712" s="312"/>
      <c r="D712" s="312"/>
      <c r="E712" s="312"/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  <c r="AP712" s="312"/>
    </row>
    <row r="713" ht="15.75" customHeight="1">
      <c r="A713" s="318"/>
      <c r="B713" s="312"/>
      <c r="C713" s="312"/>
      <c r="D713" s="312"/>
      <c r="E713" s="312"/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  <c r="AP713" s="312"/>
    </row>
    <row r="714" ht="15.75" customHeight="1">
      <c r="A714" s="318"/>
      <c r="B714" s="312"/>
      <c r="C714" s="312"/>
      <c r="D714" s="312"/>
      <c r="E714" s="312"/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  <c r="AP714" s="312"/>
    </row>
    <row r="715" ht="15.75" customHeight="1">
      <c r="A715" s="318"/>
      <c r="B715" s="312"/>
      <c r="C715" s="312"/>
      <c r="D715" s="312"/>
      <c r="E715" s="312"/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  <c r="AP715" s="312"/>
    </row>
    <row r="716" ht="15.75" customHeight="1">
      <c r="A716" s="318"/>
      <c r="B716" s="312"/>
      <c r="C716" s="312"/>
      <c r="D716" s="312"/>
      <c r="E716" s="312"/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  <c r="AP716" s="312"/>
    </row>
    <row r="717" ht="15.75" customHeight="1">
      <c r="A717" s="318"/>
      <c r="B717" s="312"/>
      <c r="C717" s="312"/>
      <c r="D717" s="312"/>
      <c r="E717" s="312"/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  <c r="AP717" s="312"/>
    </row>
    <row r="718" ht="15.75" customHeight="1">
      <c r="A718" s="318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  <c r="AP718" s="312"/>
    </row>
    <row r="719" ht="15.75" customHeight="1">
      <c r="A719" s="318"/>
      <c r="B719" s="312"/>
      <c r="C719" s="312"/>
      <c r="D719" s="312"/>
      <c r="E719" s="312"/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  <c r="AP719" s="312"/>
    </row>
    <row r="720" ht="15.75" customHeight="1">
      <c r="A720" s="318"/>
      <c r="B720" s="312"/>
      <c r="C720" s="312"/>
      <c r="D720" s="312"/>
      <c r="E720" s="312"/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  <c r="AP720" s="312"/>
    </row>
    <row r="721" ht="15.75" customHeight="1">
      <c r="A721" s="318"/>
      <c r="B721" s="312"/>
      <c r="C721" s="312"/>
      <c r="D721" s="312"/>
      <c r="E721" s="312"/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  <c r="AP721" s="312"/>
    </row>
    <row r="722" ht="15.75" customHeight="1">
      <c r="A722" s="318"/>
      <c r="B722" s="312"/>
      <c r="C722" s="312"/>
      <c r="D722" s="312"/>
      <c r="E722" s="312"/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  <c r="AP722" s="312"/>
    </row>
    <row r="723" ht="15.75" customHeight="1">
      <c r="A723" s="318"/>
      <c r="B723" s="312"/>
      <c r="C723" s="312"/>
      <c r="D723" s="312"/>
      <c r="E723" s="312"/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  <c r="AP723" s="312"/>
    </row>
    <row r="724" ht="15.75" customHeight="1">
      <c r="A724" s="318"/>
      <c r="B724" s="312"/>
      <c r="C724" s="312"/>
      <c r="D724" s="312"/>
      <c r="E724" s="312"/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  <c r="AP724" s="312"/>
    </row>
    <row r="725" ht="15.75" customHeight="1">
      <c r="A725" s="318"/>
      <c r="B725" s="312"/>
      <c r="C725" s="312"/>
      <c r="D725" s="312"/>
      <c r="E725" s="312"/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  <c r="AP725" s="312"/>
    </row>
    <row r="726" ht="15.75" customHeight="1">
      <c r="A726" s="318"/>
      <c r="B726" s="312"/>
      <c r="C726" s="312"/>
      <c r="D726" s="312"/>
      <c r="E726" s="312"/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  <c r="AP726" s="312"/>
    </row>
    <row r="727" ht="15.75" customHeight="1">
      <c r="A727" s="318"/>
      <c r="B727" s="312"/>
      <c r="C727" s="312"/>
      <c r="D727" s="312"/>
      <c r="E727" s="312"/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  <c r="AP727" s="312"/>
    </row>
    <row r="728" ht="15.75" customHeight="1">
      <c r="A728" s="318"/>
      <c r="B728" s="312"/>
      <c r="C728" s="312"/>
      <c r="D728" s="312"/>
      <c r="E728" s="312"/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  <c r="AP728" s="312"/>
    </row>
    <row r="729" ht="15.75" customHeight="1">
      <c r="A729" s="318"/>
      <c r="B729" s="312"/>
      <c r="C729" s="312"/>
      <c r="D729" s="312"/>
      <c r="E729" s="312"/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  <c r="AP729" s="312"/>
    </row>
    <row r="730" ht="15.75" customHeight="1">
      <c r="A730" s="318"/>
      <c r="B730" s="312"/>
      <c r="C730" s="312"/>
      <c r="D730" s="312"/>
      <c r="E730" s="312"/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  <c r="AP730" s="312"/>
    </row>
    <row r="731" ht="15.75" customHeight="1">
      <c r="A731" s="318"/>
      <c r="B731" s="312"/>
      <c r="C731" s="312"/>
      <c r="D731" s="312"/>
      <c r="E731" s="312"/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  <c r="AP731" s="312"/>
    </row>
    <row r="732" ht="15.75" customHeight="1">
      <c r="A732" s="318"/>
      <c r="B732" s="312"/>
      <c r="C732" s="312"/>
      <c r="D732" s="312"/>
      <c r="E732" s="312"/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  <c r="AP732" s="312"/>
    </row>
    <row r="733" ht="15.75" customHeight="1">
      <c r="A733" s="318"/>
      <c r="B733" s="312"/>
      <c r="C733" s="312"/>
      <c r="D733" s="312"/>
      <c r="E733" s="312"/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  <c r="AP733" s="312"/>
    </row>
    <row r="734" ht="15.75" customHeight="1">
      <c r="A734" s="318"/>
      <c r="B734" s="312"/>
      <c r="C734" s="312"/>
      <c r="D734" s="312"/>
      <c r="E734" s="312"/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  <c r="AP734" s="312"/>
    </row>
    <row r="735" ht="15.75" customHeight="1">
      <c r="A735" s="318"/>
      <c r="B735" s="312"/>
      <c r="C735" s="312"/>
      <c r="D735" s="312"/>
      <c r="E735" s="312"/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  <c r="AP735" s="312"/>
    </row>
    <row r="736" ht="15.75" customHeight="1">
      <c r="A736" s="318"/>
      <c r="B736" s="312"/>
      <c r="C736" s="312"/>
      <c r="D736" s="312"/>
      <c r="E736" s="312"/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  <c r="AP736" s="312"/>
    </row>
    <row r="737" ht="15.75" customHeight="1">
      <c r="A737" s="318"/>
      <c r="B737" s="312"/>
      <c r="C737" s="312"/>
      <c r="D737" s="312"/>
      <c r="E737" s="312"/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  <c r="AP737" s="312"/>
    </row>
    <row r="738" ht="15.75" customHeight="1">
      <c r="A738" s="318"/>
      <c r="B738" s="312"/>
      <c r="C738" s="312"/>
      <c r="D738" s="312"/>
      <c r="E738" s="312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  <c r="AP738" s="312"/>
    </row>
    <row r="739" ht="15.75" customHeight="1">
      <c r="A739" s="318"/>
      <c r="B739" s="312"/>
      <c r="C739" s="312"/>
      <c r="D739" s="312"/>
      <c r="E739" s="312"/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  <c r="AP739" s="312"/>
    </row>
    <row r="740" ht="15.75" customHeight="1">
      <c r="A740" s="318"/>
      <c r="B740" s="312"/>
      <c r="C740" s="312"/>
      <c r="D740" s="312"/>
      <c r="E740" s="312"/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  <c r="AP740" s="312"/>
    </row>
    <row r="741" ht="15.75" customHeight="1">
      <c r="A741" s="318"/>
      <c r="B741" s="312"/>
      <c r="C741" s="312"/>
      <c r="D741" s="312"/>
      <c r="E741" s="312"/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  <c r="AP741" s="312"/>
    </row>
    <row r="742" ht="15.75" customHeight="1">
      <c r="A742" s="318"/>
      <c r="B742" s="312"/>
      <c r="C742" s="312"/>
      <c r="D742" s="312"/>
      <c r="E742" s="312"/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  <c r="AP742" s="312"/>
    </row>
    <row r="743" ht="15.75" customHeight="1">
      <c r="A743" s="318"/>
      <c r="B743" s="312"/>
      <c r="C743" s="312"/>
      <c r="D743" s="312"/>
      <c r="E743" s="312"/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  <c r="AP743" s="312"/>
    </row>
    <row r="744" ht="15.75" customHeight="1">
      <c r="A744" s="318"/>
      <c r="B744" s="312"/>
      <c r="C744" s="312"/>
      <c r="D744" s="312"/>
      <c r="E744" s="312"/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  <c r="AP744" s="312"/>
    </row>
    <row r="745" ht="15.75" customHeight="1">
      <c r="A745" s="318"/>
      <c r="B745" s="312"/>
      <c r="C745" s="312"/>
      <c r="D745" s="312"/>
      <c r="E745" s="312"/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  <c r="AP745" s="312"/>
    </row>
    <row r="746" ht="15.75" customHeight="1">
      <c r="A746" s="318"/>
      <c r="B746" s="312"/>
      <c r="C746" s="312"/>
      <c r="D746" s="312"/>
      <c r="E746" s="312"/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  <c r="AP746" s="312"/>
    </row>
    <row r="747" ht="15.75" customHeight="1">
      <c r="A747" s="318"/>
      <c r="B747" s="312"/>
      <c r="C747" s="312"/>
      <c r="D747" s="312"/>
      <c r="E747" s="312"/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  <c r="AP747" s="312"/>
    </row>
    <row r="748" ht="15.75" customHeight="1">
      <c r="A748" s="318"/>
      <c r="B748" s="312"/>
      <c r="C748" s="312"/>
      <c r="D748" s="312"/>
      <c r="E748" s="312"/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  <c r="AP748" s="312"/>
    </row>
    <row r="749" ht="15.75" customHeight="1">
      <c r="A749" s="318"/>
      <c r="B749" s="312"/>
      <c r="C749" s="312"/>
      <c r="D749" s="312"/>
      <c r="E749" s="312"/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  <c r="AP749" s="312"/>
    </row>
    <row r="750" ht="15.75" customHeight="1">
      <c r="A750" s="318"/>
      <c r="B750" s="312"/>
      <c r="C750" s="312"/>
      <c r="D750" s="312"/>
      <c r="E750" s="312"/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  <c r="AP750" s="312"/>
    </row>
    <row r="751" ht="15.75" customHeight="1">
      <c r="A751" s="318"/>
      <c r="B751" s="312"/>
      <c r="C751" s="312"/>
      <c r="D751" s="312"/>
      <c r="E751" s="312"/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  <c r="AP751" s="312"/>
    </row>
    <row r="752" ht="15.75" customHeight="1">
      <c r="A752" s="318"/>
      <c r="B752" s="312"/>
      <c r="C752" s="312"/>
      <c r="D752" s="312"/>
      <c r="E752" s="312"/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  <c r="AP752" s="312"/>
    </row>
    <row r="753" ht="15.75" customHeight="1">
      <c r="A753" s="318"/>
      <c r="B753" s="312"/>
      <c r="C753" s="312"/>
      <c r="D753" s="312"/>
      <c r="E753" s="312"/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  <c r="AP753" s="312"/>
    </row>
    <row r="754" ht="15.75" customHeight="1">
      <c r="A754" s="318"/>
      <c r="B754" s="312"/>
      <c r="C754" s="312"/>
      <c r="D754" s="312"/>
      <c r="E754" s="312"/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  <c r="AP754" s="312"/>
    </row>
    <row r="755" ht="15.75" customHeight="1">
      <c r="A755" s="318"/>
      <c r="B755" s="312"/>
      <c r="C755" s="312"/>
      <c r="D755" s="312"/>
      <c r="E755" s="312"/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  <c r="AP755" s="312"/>
    </row>
    <row r="756" ht="15.75" customHeight="1">
      <c r="A756" s="318"/>
      <c r="B756" s="312"/>
      <c r="C756" s="312"/>
      <c r="D756" s="312"/>
      <c r="E756" s="312"/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  <c r="AP756" s="312"/>
    </row>
    <row r="757" ht="15.75" customHeight="1">
      <c r="A757" s="318"/>
      <c r="B757" s="312"/>
      <c r="C757" s="312"/>
      <c r="D757" s="312"/>
      <c r="E757" s="312"/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  <c r="AP757" s="312"/>
    </row>
    <row r="758" ht="15.75" customHeight="1">
      <c r="A758" s="318"/>
      <c r="B758" s="312"/>
      <c r="C758" s="312"/>
      <c r="D758" s="312"/>
      <c r="E758" s="312"/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  <c r="AP758" s="312"/>
    </row>
    <row r="759" ht="15.75" customHeight="1">
      <c r="A759" s="318"/>
      <c r="B759" s="312"/>
      <c r="C759" s="312"/>
      <c r="D759" s="312"/>
      <c r="E759" s="312"/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  <c r="AP759" s="312"/>
    </row>
    <row r="760" ht="15.75" customHeight="1">
      <c r="A760" s="318"/>
      <c r="B760" s="312"/>
      <c r="C760" s="312"/>
      <c r="D760" s="312"/>
      <c r="E760" s="312"/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  <c r="AP760" s="312"/>
    </row>
    <row r="761" ht="15.75" customHeight="1">
      <c r="A761" s="318"/>
      <c r="B761" s="312"/>
      <c r="C761" s="312"/>
      <c r="D761" s="312"/>
      <c r="E761" s="312"/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  <c r="AP761" s="312"/>
    </row>
    <row r="762" ht="15.75" customHeight="1">
      <c r="A762" s="318"/>
      <c r="B762" s="312"/>
      <c r="C762" s="312"/>
      <c r="D762" s="312"/>
      <c r="E762" s="312"/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  <c r="AP762" s="312"/>
    </row>
    <row r="763" ht="15.75" customHeight="1">
      <c r="A763" s="318"/>
      <c r="B763" s="312"/>
      <c r="C763" s="312"/>
      <c r="D763" s="312"/>
      <c r="E763" s="312"/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  <c r="AP763" s="312"/>
    </row>
    <row r="764" ht="15.75" customHeight="1">
      <c r="A764" s="318"/>
      <c r="B764" s="312"/>
      <c r="C764" s="312"/>
      <c r="D764" s="312"/>
      <c r="E764" s="312"/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  <c r="AP764" s="312"/>
    </row>
    <row r="765" ht="15.75" customHeight="1">
      <c r="A765" s="318"/>
      <c r="B765" s="312"/>
      <c r="C765" s="312"/>
      <c r="D765" s="312"/>
      <c r="E765" s="312"/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  <c r="AP765" s="312"/>
    </row>
    <row r="766" ht="15.75" customHeight="1">
      <c r="A766" s="318"/>
      <c r="B766" s="312"/>
      <c r="C766" s="312"/>
      <c r="D766" s="312"/>
      <c r="E766" s="312"/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  <c r="AP766" s="312"/>
    </row>
    <row r="767" ht="15.75" customHeight="1">
      <c r="A767" s="318"/>
      <c r="B767" s="312"/>
      <c r="C767" s="312"/>
      <c r="D767" s="312"/>
      <c r="E767" s="312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  <c r="AP767" s="312"/>
    </row>
    <row r="768" ht="15.75" customHeight="1">
      <c r="A768" s="318"/>
      <c r="B768" s="312"/>
      <c r="C768" s="312"/>
      <c r="D768" s="312"/>
      <c r="E768" s="312"/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  <c r="AP768" s="312"/>
    </row>
    <row r="769" ht="15.75" customHeight="1">
      <c r="A769" s="318"/>
      <c r="B769" s="312"/>
      <c r="C769" s="312"/>
      <c r="D769" s="312"/>
      <c r="E769" s="312"/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  <c r="AP769" s="312"/>
    </row>
    <row r="770" ht="15.75" customHeight="1">
      <c r="A770" s="318"/>
      <c r="B770" s="312"/>
      <c r="C770" s="312"/>
      <c r="D770" s="312"/>
      <c r="E770" s="312"/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  <c r="AP770" s="312"/>
    </row>
    <row r="771" ht="15.75" customHeight="1">
      <c r="A771" s="318"/>
      <c r="B771" s="312"/>
      <c r="C771" s="312"/>
      <c r="D771" s="312"/>
      <c r="E771" s="312"/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  <c r="AP771" s="312"/>
    </row>
    <row r="772" ht="15.75" customHeight="1">
      <c r="A772" s="318"/>
      <c r="B772" s="312"/>
      <c r="C772" s="312"/>
      <c r="D772" s="312"/>
      <c r="E772" s="312"/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  <c r="AP772" s="312"/>
    </row>
    <row r="773" ht="15.75" customHeight="1">
      <c r="A773" s="318"/>
      <c r="B773" s="312"/>
      <c r="C773" s="312"/>
      <c r="D773" s="312"/>
      <c r="E773" s="312"/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  <c r="AP773" s="312"/>
    </row>
    <row r="774" ht="15.75" customHeight="1">
      <c r="A774" s="318"/>
      <c r="B774" s="312"/>
      <c r="C774" s="312"/>
      <c r="D774" s="312"/>
      <c r="E774" s="312"/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  <c r="AP774" s="312"/>
    </row>
    <row r="775" ht="15.75" customHeight="1">
      <c r="A775" s="318"/>
      <c r="B775" s="312"/>
      <c r="C775" s="312"/>
      <c r="D775" s="312"/>
      <c r="E775" s="312"/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  <c r="AP775" s="312"/>
    </row>
    <row r="776" ht="15.75" customHeight="1">
      <c r="A776" s="318"/>
      <c r="B776" s="312"/>
      <c r="C776" s="312"/>
      <c r="D776" s="312"/>
      <c r="E776" s="312"/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  <c r="AP776" s="312"/>
    </row>
    <row r="777" ht="15.75" customHeight="1">
      <c r="A777" s="318"/>
      <c r="B777" s="312"/>
      <c r="C777" s="312"/>
      <c r="D777" s="312"/>
      <c r="E777" s="312"/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  <c r="AP777" s="312"/>
    </row>
    <row r="778" ht="15.75" customHeight="1">
      <c r="A778" s="318"/>
      <c r="B778" s="312"/>
      <c r="C778" s="312"/>
      <c r="D778" s="312"/>
      <c r="E778" s="312"/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  <c r="AP778" s="312"/>
    </row>
    <row r="779" ht="15.75" customHeight="1">
      <c r="A779" s="318"/>
      <c r="B779" s="312"/>
      <c r="C779" s="312"/>
      <c r="D779" s="312"/>
      <c r="E779" s="312"/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  <c r="AP779" s="312"/>
    </row>
    <row r="780" ht="15.75" customHeight="1">
      <c r="A780" s="318"/>
      <c r="B780" s="312"/>
      <c r="C780" s="312"/>
      <c r="D780" s="312"/>
      <c r="E780" s="312"/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  <c r="AP780" s="312"/>
    </row>
    <row r="781" ht="15.75" customHeight="1">
      <c r="A781" s="318"/>
      <c r="B781" s="312"/>
      <c r="C781" s="312"/>
      <c r="D781" s="312"/>
      <c r="E781" s="312"/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  <c r="AP781" s="312"/>
    </row>
    <row r="782" ht="15.75" customHeight="1">
      <c r="A782" s="318"/>
      <c r="B782" s="312"/>
      <c r="C782" s="312"/>
      <c r="D782" s="312"/>
      <c r="E782" s="312"/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  <c r="AP782" s="312"/>
    </row>
    <row r="783" ht="15.75" customHeight="1">
      <c r="A783" s="318"/>
      <c r="B783" s="312"/>
      <c r="C783" s="312"/>
      <c r="D783" s="312"/>
      <c r="E783" s="312"/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  <c r="AP783" s="312"/>
    </row>
    <row r="784" ht="15.75" customHeight="1">
      <c r="A784" s="318"/>
      <c r="B784" s="312"/>
      <c r="C784" s="312"/>
      <c r="D784" s="312"/>
      <c r="E784" s="312"/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  <c r="AP784" s="312"/>
    </row>
    <row r="785" ht="15.75" customHeight="1">
      <c r="A785" s="318"/>
      <c r="B785" s="312"/>
      <c r="C785" s="312"/>
      <c r="D785" s="312"/>
      <c r="E785" s="312"/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  <c r="AP785" s="312"/>
    </row>
    <row r="786" ht="15.75" customHeight="1">
      <c r="A786" s="318"/>
      <c r="B786" s="312"/>
      <c r="C786" s="312"/>
      <c r="D786" s="312"/>
      <c r="E786" s="312"/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  <c r="AP786" s="312"/>
    </row>
    <row r="787" ht="15.75" customHeight="1">
      <c r="A787" s="318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  <c r="AP787" s="312"/>
    </row>
    <row r="788" ht="15.75" customHeight="1">
      <c r="A788" s="318"/>
      <c r="B788" s="312"/>
      <c r="C788" s="312"/>
      <c r="D788" s="312"/>
      <c r="E788" s="312"/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  <c r="AP788" s="312"/>
    </row>
    <row r="789" ht="15.75" customHeight="1">
      <c r="A789" s="318"/>
      <c r="B789" s="312"/>
      <c r="C789" s="312"/>
      <c r="D789" s="312"/>
      <c r="E789" s="312"/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  <c r="AP789" s="312"/>
    </row>
    <row r="790" ht="15.75" customHeight="1">
      <c r="A790" s="318"/>
      <c r="B790" s="312"/>
      <c r="C790" s="312"/>
      <c r="D790" s="312"/>
      <c r="E790" s="312"/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  <c r="AP790" s="312"/>
    </row>
    <row r="791" ht="15.75" customHeight="1">
      <c r="A791" s="318"/>
      <c r="B791" s="312"/>
      <c r="C791" s="312"/>
      <c r="D791" s="312"/>
      <c r="E791" s="312"/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  <c r="AP791" s="312"/>
    </row>
    <row r="792" ht="15.75" customHeight="1">
      <c r="A792" s="318"/>
      <c r="B792" s="312"/>
      <c r="C792" s="312"/>
      <c r="D792" s="312"/>
      <c r="E792" s="312"/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  <c r="AP792" s="312"/>
    </row>
    <row r="793" ht="15.75" customHeight="1">
      <c r="A793" s="318"/>
      <c r="B793" s="312"/>
      <c r="C793" s="312"/>
      <c r="D793" s="312"/>
      <c r="E793" s="312"/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  <c r="AP793" s="312"/>
    </row>
    <row r="794" ht="15.75" customHeight="1">
      <c r="A794" s="318"/>
      <c r="B794" s="312"/>
      <c r="C794" s="312"/>
      <c r="D794" s="312"/>
      <c r="E794" s="312"/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  <c r="AP794" s="312"/>
    </row>
    <row r="795" ht="15.75" customHeight="1">
      <c r="A795" s="318"/>
      <c r="B795" s="312"/>
      <c r="C795" s="312"/>
      <c r="D795" s="312"/>
      <c r="E795" s="312"/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  <c r="AP795" s="312"/>
    </row>
    <row r="796" ht="15.75" customHeight="1">
      <c r="A796" s="318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2"/>
      <c r="S796" s="312"/>
      <c r="T796" s="312"/>
      <c r="U796" s="312"/>
      <c r="V796" s="312"/>
      <c r="W796" s="312"/>
      <c r="X796" s="312"/>
      <c r="Y796" s="312"/>
      <c r="Z796" s="312"/>
      <c r="AA796" s="312"/>
      <c r="AB796" s="312"/>
      <c r="AC796" s="312"/>
      <c r="AD796" s="312"/>
      <c r="AE796" s="312"/>
      <c r="AF796" s="312"/>
      <c r="AG796" s="312"/>
      <c r="AH796" s="312"/>
      <c r="AI796" s="312"/>
      <c r="AJ796" s="312"/>
      <c r="AK796" s="312"/>
      <c r="AL796" s="312"/>
      <c r="AM796" s="312"/>
      <c r="AN796" s="312"/>
      <c r="AO796" s="312"/>
      <c r="AP796" s="312"/>
    </row>
    <row r="797" ht="15.75" customHeight="1">
      <c r="A797" s="318"/>
      <c r="B797" s="312"/>
      <c r="C797" s="312"/>
      <c r="D797" s="312"/>
      <c r="E797" s="312"/>
      <c r="F797" s="312"/>
      <c r="G797" s="312"/>
      <c r="H797" s="312"/>
      <c r="I797" s="312"/>
      <c r="J797" s="312"/>
      <c r="K797" s="312"/>
      <c r="L797" s="312"/>
      <c r="M797" s="312"/>
      <c r="N797" s="312"/>
      <c r="O797" s="312"/>
      <c r="P797" s="312"/>
      <c r="Q797" s="312"/>
      <c r="R797" s="312"/>
      <c r="S797" s="312"/>
      <c r="T797" s="312"/>
      <c r="U797" s="312"/>
      <c r="V797" s="312"/>
      <c r="W797" s="312"/>
      <c r="X797" s="312"/>
      <c r="Y797" s="312"/>
      <c r="Z797" s="312"/>
      <c r="AA797" s="312"/>
      <c r="AB797" s="312"/>
      <c r="AC797" s="312"/>
      <c r="AD797" s="312"/>
      <c r="AE797" s="312"/>
      <c r="AF797" s="312"/>
      <c r="AG797" s="312"/>
      <c r="AH797" s="312"/>
      <c r="AI797" s="312"/>
      <c r="AJ797" s="312"/>
      <c r="AK797" s="312"/>
      <c r="AL797" s="312"/>
      <c r="AM797" s="312"/>
      <c r="AN797" s="312"/>
      <c r="AO797" s="312"/>
      <c r="AP797" s="312"/>
    </row>
    <row r="798" ht="15.75" customHeight="1">
      <c r="A798" s="318"/>
      <c r="B798" s="312"/>
      <c r="C798" s="312"/>
      <c r="D798" s="312"/>
      <c r="E798" s="312"/>
      <c r="F798" s="312"/>
      <c r="G798" s="312"/>
      <c r="H798" s="312"/>
      <c r="I798" s="312"/>
      <c r="J798" s="312"/>
      <c r="K798" s="312"/>
      <c r="L798" s="312"/>
      <c r="M798" s="312"/>
      <c r="N798" s="312"/>
      <c r="O798" s="312"/>
      <c r="P798" s="312"/>
      <c r="Q798" s="312"/>
      <c r="R798" s="312"/>
      <c r="S798" s="312"/>
      <c r="T798" s="312"/>
      <c r="U798" s="312"/>
      <c r="V798" s="312"/>
      <c r="W798" s="312"/>
      <c r="X798" s="312"/>
      <c r="Y798" s="312"/>
      <c r="Z798" s="312"/>
      <c r="AA798" s="312"/>
      <c r="AB798" s="312"/>
      <c r="AC798" s="312"/>
      <c r="AD798" s="312"/>
      <c r="AE798" s="312"/>
      <c r="AF798" s="312"/>
      <c r="AG798" s="312"/>
      <c r="AH798" s="312"/>
      <c r="AI798" s="312"/>
      <c r="AJ798" s="312"/>
      <c r="AK798" s="312"/>
      <c r="AL798" s="312"/>
      <c r="AM798" s="312"/>
      <c r="AN798" s="312"/>
      <c r="AO798" s="312"/>
      <c r="AP798" s="312"/>
    </row>
    <row r="799" ht="15.75" customHeight="1">
      <c r="A799" s="318"/>
      <c r="B799" s="312"/>
      <c r="C799" s="312"/>
      <c r="D799" s="312"/>
      <c r="E799" s="312"/>
      <c r="F799" s="312"/>
      <c r="G799" s="312"/>
      <c r="H799" s="312"/>
      <c r="I799" s="312"/>
      <c r="J799" s="312"/>
      <c r="K799" s="312"/>
      <c r="L799" s="312"/>
      <c r="M799" s="312"/>
      <c r="N799" s="312"/>
      <c r="O799" s="312"/>
      <c r="P799" s="312"/>
      <c r="Q799" s="312"/>
      <c r="R799" s="312"/>
      <c r="S799" s="312"/>
      <c r="T799" s="312"/>
      <c r="U799" s="312"/>
      <c r="V799" s="312"/>
      <c r="W799" s="312"/>
      <c r="X799" s="312"/>
      <c r="Y799" s="312"/>
      <c r="Z799" s="312"/>
      <c r="AA799" s="312"/>
      <c r="AB799" s="312"/>
      <c r="AC799" s="312"/>
      <c r="AD799" s="312"/>
      <c r="AE799" s="312"/>
      <c r="AF799" s="312"/>
      <c r="AG799" s="312"/>
      <c r="AH799" s="312"/>
      <c r="AI799" s="312"/>
      <c r="AJ799" s="312"/>
      <c r="AK799" s="312"/>
      <c r="AL799" s="312"/>
      <c r="AM799" s="312"/>
      <c r="AN799" s="312"/>
      <c r="AO799" s="312"/>
      <c r="AP799" s="312"/>
    </row>
    <row r="800" ht="15.75" customHeight="1">
      <c r="A800" s="318"/>
      <c r="B800" s="312"/>
      <c r="C800" s="312"/>
      <c r="D800" s="312"/>
      <c r="E800" s="312"/>
      <c r="F800" s="312"/>
      <c r="G800" s="312"/>
      <c r="H800" s="312"/>
      <c r="I800" s="312"/>
      <c r="J800" s="312"/>
      <c r="K800" s="312"/>
      <c r="L800" s="312"/>
      <c r="M800" s="312"/>
      <c r="N800" s="312"/>
      <c r="O800" s="312"/>
      <c r="P800" s="312"/>
      <c r="Q800" s="312"/>
      <c r="R800" s="312"/>
      <c r="S800" s="312"/>
      <c r="T800" s="312"/>
      <c r="U800" s="312"/>
      <c r="V800" s="312"/>
      <c r="W800" s="312"/>
      <c r="X800" s="312"/>
      <c r="Y800" s="312"/>
      <c r="Z800" s="312"/>
      <c r="AA800" s="312"/>
      <c r="AB800" s="312"/>
      <c r="AC800" s="312"/>
      <c r="AD800" s="312"/>
      <c r="AE800" s="312"/>
      <c r="AF800" s="312"/>
      <c r="AG800" s="312"/>
      <c r="AH800" s="312"/>
      <c r="AI800" s="312"/>
      <c r="AJ800" s="312"/>
      <c r="AK800" s="312"/>
      <c r="AL800" s="312"/>
      <c r="AM800" s="312"/>
      <c r="AN800" s="312"/>
      <c r="AO800" s="312"/>
      <c r="AP800" s="312"/>
    </row>
    <row r="801" ht="15.75" customHeight="1">
      <c r="A801" s="318"/>
      <c r="B801" s="312"/>
      <c r="C801" s="312"/>
      <c r="D801" s="312"/>
      <c r="E801" s="312"/>
      <c r="F801" s="312"/>
      <c r="G801" s="312"/>
      <c r="H801" s="312"/>
      <c r="I801" s="312"/>
      <c r="J801" s="312"/>
      <c r="K801" s="312"/>
      <c r="L801" s="312"/>
      <c r="M801" s="312"/>
      <c r="N801" s="312"/>
      <c r="O801" s="312"/>
      <c r="P801" s="312"/>
      <c r="Q801" s="312"/>
      <c r="R801" s="312"/>
      <c r="S801" s="312"/>
      <c r="T801" s="312"/>
      <c r="U801" s="312"/>
      <c r="V801" s="312"/>
      <c r="W801" s="312"/>
      <c r="X801" s="312"/>
      <c r="Y801" s="312"/>
      <c r="Z801" s="312"/>
      <c r="AA801" s="312"/>
      <c r="AB801" s="312"/>
      <c r="AC801" s="312"/>
      <c r="AD801" s="312"/>
      <c r="AE801" s="312"/>
      <c r="AF801" s="312"/>
      <c r="AG801" s="312"/>
      <c r="AH801" s="312"/>
      <c r="AI801" s="312"/>
      <c r="AJ801" s="312"/>
      <c r="AK801" s="312"/>
      <c r="AL801" s="312"/>
      <c r="AM801" s="312"/>
      <c r="AN801" s="312"/>
      <c r="AO801" s="312"/>
      <c r="AP801" s="312"/>
    </row>
    <row r="802" ht="15.75" customHeight="1">
      <c r="A802" s="318"/>
      <c r="B802" s="312"/>
      <c r="C802" s="312"/>
      <c r="D802" s="312"/>
      <c r="E802" s="312"/>
      <c r="F802" s="312"/>
      <c r="G802" s="312"/>
      <c r="H802" s="312"/>
      <c r="I802" s="312"/>
      <c r="J802" s="312"/>
      <c r="K802" s="312"/>
      <c r="L802" s="312"/>
      <c r="M802" s="312"/>
      <c r="N802" s="312"/>
      <c r="O802" s="312"/>
      <c r="P802" s="312"/>
      <c r="Q802" s="312"/>
      <c r="R802" s="312"/>
      <c r="S802" s="312"/>
      <c r="T802" s="312"/>
      <c r="U802" s="312"/>
      <c r="V802" s="312"/>
      <c r="W802" s="312"/>
      <c r="X802" s="312"/>
      <c r="Y802" s="312"/>
      <c r="Z802" s="312"/>
      <c r="AA802" s="312"/>
      <c r="AB802" s="312"/>
      <c r="AC802" s="312"/>
      <c r="AD802" s="312"/>
      <c r="AE802" s="312"/>
      <c r="AF802" s="312"/>
      <c r="AG802" s="312"/>
      <c r="AH802" s="312"/>
      <c r="AI802" s="312"/>
      <c r="AJ802" s="312"/>
      <c r="AK802" s="312"/>
      <c r="AL802" s="312"/>
      <c r="AM802" s="312"/>
      <c r="AN802" s="312"/>
      <c r="AO802" s="312"/>
      <c r="AP802" s="312"/>
    </row>
    <row r="803" ht="15.75" customHeight="1">
      <c r="A803" s="318"/>
      <c r="B803" s="312"/>
      <c r="C803" s="312"/>
      <c r="D803" s="312"/>
      <c r="E803" s="312"/>
      <c r="F803" s="312"/>
      <c r="G803" s="312"/>
      <c r="H803" s="312"/>
      <c r="I803" s="312"/>
      <c r="J803" s="312"/>
      <c r="K803" s="312"/>
      <c r="L803" s="312"/>
      <c r="M803" s="312"/>
      <c r="N803" s="312"/>
      <c r="O803" s="312"/>
      <c r="P803" s="312"/>
      <c r="Q803" s="312"/>
      <c r="R803" s="312"/>
      <c r="S803" s="312"/>
      <c r="T803" s="312"/>
      <c r="U803" s="312"/>
      <c r="V803" s="312"/>
      <c r="W803" s="312"/>
      <c r="X803" s="312"/>
      <c r="Y803" s="312"/>
      <c r="Z803" s="312"/>
      <c r="AA803" s="312"/>
      <c r="AB803" s="312"/>
      <c r="AC803" s="312"/>
      <c r="AD803" s="312"/>
      <c r="AE803" s="312"/>
      <c r="AF803" s="312"/>
      <c r="AG803" s="312"/>
      <c r="AH803" s="312"/>
      <c r="AI803" s="312"/>
      <c r="AJ803" s="312"/>
      <c r="AK803" s="312"/>
      <c r="AL803" s="312"/>
      <c r="AM803" s="312"/>
      <c r="AN803" s="312"/>
      <c r="AO803" s="312"/>
      <c r="AP803" s="312"/>
    </row>
    <row r="804" ht="15.75" customHeight="1">
      <c r="A804" s="318"/>
      <c r="B804" s="312"/>
      <c r="C804" s="312"/>
      <c r="D804" s="312"/>
      <c r="E804" s="312"/>
      <c r="F804" s="312"/>
      <c r="G804" s="312"/>
      <c r="H804" s="312"/>
      <c r="I804" s="312"/>
      <c r="J804" s="312"/>
      <c r="K804" s="312"/>
      <c r="L804" s="312"/>
      <c r="M804" s="312"/>
      <c r="N804" s="312"/>
      <c r="O804" s="312"/>
      <c r="P804" s="312"/>
      <c r="Q804" s="312"/>
      <c r="R804" s="312"/>
      <c r="S804" s="312"/>
      <c r="T804" s="312"/>
      <c r="U804" s="312"/>
      <c r="V804" s="312"/>
      <c r="W804" s="312"/>
      <c r="X804" s="312"/>
      <c r="Y804" s="312"/>
      <c r="Z804" s="312"/>
      <c r="AA804" s="312"/>
      <c r="AB804" s="312"/>
      <c r="AC804" s="312"/>
      <c r="AD804" s="312"/>
      <c r="AE804" s="312"/>
      <c r="AF804" s="312"/>
      <c r="AG804" s="312"/>
      <c r="AH804" s="312"/>
      <c r="AI804" s="312"/>
      <c r="AJ804" s="312"/>
      <c r="AK804" s="312"/>
      <c r="AL804" s="312"/>
      <c r="AM804" s="312"/>
      <c r="AN804" s="312"/>
      <c r="AO804" s="312"/>
      <c r="AP804" s="312"/>
    </row>
    <row r="805" ht="15.75" customHeight="1">
      <c r="A805" s="318"/>
      <c r="B805" s="312"/>
      <c r="C805" s="312"/>
      <c r="D805" s="312"/>
      <c r="E805" s="312"/>
      <c r="F805" s="312"/>
      <c r="G805" s="312"/>
      <c r="H805" s="312"/>
      <c r="I805" s="312"/>
      <c r="J805" s="312"/>
      <c r="K805" s="312"/>
      <c r="L805" s="312"/>
      <c r="M805" s="312"/>
      <c r="N805" s="312"/>
      <c r="O805" s="312"/>
      <c r="P805" s="312"/>
      <c r="Q805" s="312"/>
      <c r="R805" s="312"/>
      <c r="S805" s="312"/>
      <c r="T805" s="312"/>
      <c r="U805" s="312"/>
      <c r="V805" s="312"/>
      <c r="W805" s="312"/>
      <c r="X805" s="312"/>
      <c r="Y805" s="312"/>
      <c r="Z805" s="312"/>
      <c r="AA805" s="312"/>
      <c r="AB805" s="312"/>
      <c r="AC805" s="312"/>
      <c r="AD805" s="312"/>
      <c r="AE805" s="312"/>
      <c r="AF805" s="312"/>
      <c r="AG805" s="312"/>
      <c r="AH805" s="312"/>
      <c r="AI805" s="312"/>
      <c r="AJ805" s="312"/>
      <c r="AK805" s="312"/>
      <c r="AL805" s="312"/>
      <c r="AM805" s="312"/>
      <c r="AN805" s="312"/>
      <c r="AO805" s="312"/>
      <c r="AP805" s="312"/>
    </row>
    <row r="806" ht="15.75" customHeight="1">
      <c r="A806" s="318"/>
      <c r="B806" s="312"/>
      <c r="C806" s="312"/>
      <c r="D806" s="312"/>
      <c r="E806" s="312"/>
      <c r="F806" s="312"/>
      <c r="G806" s="312"/>
      <c r="H806" s="312"/>
      <c r="I806" s="312"/>
      <c r="J806" s="312"/>
      <c r="K806" s="312"/>
      <c r="L806" s="312"/>
      <c r="M806" s="312"/>
      <c r="N806" s="312"/>
      <c r="O806" s="312"/>
      <c r="P806" s="312"/>
      <c r="Q806" s="312"/>
      <c r="R806" s="312"/>
      <c r="S806" s="312"/>
      <c r="T806" s="312"/>
      <c r="U806" s="312"/>
      <c r="V806" s="312"/>
      <c r="W806" s="312"/>
      <c r="X806" s="312"/>
      <c r="Y806" s="312"/>
      <c r="Z806" s="312"/>
      <c r="AA806" s="312"/>
      <c r="AB806" s="312"/>
      <c r="AC806" s="312"/>
      <c r="AD806" s="312"/>
      <c r="AE806" s="312"/>
      <c r="AF806" s="312"/>
      <c r="AG806" s="312"/>
      <c r="AH806" s="312"/>
      <c r="AI806" s="312"/>
      <c r="AJ806" s="312"/>
      <c r="AK806" s="312"/>
      <c r="AL806" s="312"/>
      <c r="AM806" s="312"/>
      <c r="AN806" s="312"/>
      <c r="AO806" s="312"/>
      <c r="AP806" s="312"/>
    </row>
    <row r="807" ht="15.75" customHeight="1">
      <c r="A807" s="318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2"/>
      <c r="S807" s="312"/>
      <c r="T807" s="312"/>
      <c r="U807" s="312"/>
      <c r="V807" s="312"/>
      <c r="W807" s="312"/>
      <c r="X807" s="312"/>
      <c r="Y807" s="312"/>
      <c r="Z807" s="312"/>
      <c r="AA807" s="312"/>
      <c r="AB807" s="312"/>
      <c r="AC807" s="312"/>
      <c r="AD807" s="312"/>
      <c r="AE807" s="312"/>
      <c r="AF807" s="312"/>
      <c r="AG807" s="312"/>
      <c r="AH807" s="312"/>
      <c r="AI807" s="312"/>
      <c r="AJ807" s="312"/>
      <c r="AK807" s="312"/>
      <c r="AL807" s="312"/>
      <c r="AM807" s="312"/>
      <c r="AN807" s="312"/>
      <c r="AO807" s="312"/>
      <c r="AP807" s="312"/>
    </row>
    <row r="808" ht="15.75" customHeight="1">
      <c r="A808" s="318"/>
      <c r="B808" s="312"/>
      <c r="C808" s="312"/>
      <c r="D808" s="312"/>
      <c r="E808" s="312"/>
      <c r="F808" s="312"/>
      <c r="G808" s="312"/>
      <c r="H808" s="312"/>
      <c r="I808" s="312"/>
      <c r="J808" s="312"/>
      <c r="K808" s="312"/>
      <c r="L808" s="312"/>
      <c r="M808" s="312"/>
      <c r="N808" s="312"/>
      <c r="O808" s="312"/>
      <c r="P808" s="312"/>
      <c r="Q808" s="312"/>
      <c r="R808" s="312"/>
      <c r="S808" s="312"/>
      <c r="T808" s="312"/>
      <c r="U808" s="312"/>
      <c r="V808" s="312"/>
      <c r="W808" s="312"/>
      <c r="X808" s="312"/>
      <c r="Y808" s="312"/>
      <c r="Z808" s="312"/>
      <c r="AA808" s="312"/>
      <c r="AB808" s="312"/>
      <c r="AC808" s="312"/>
      <c r="AD808" s="312"/>
      <c r="AE808" s="312"/>
      <c r="AF808" s="312"/>
      <c r="AG808" s="312"/>
      <c r="AH808" s="312"/>
      <c r="AI808" s="312"/>
      <c r="AJ808" s="312"/>
      <c r="AK808" s="312"/>
      <c r="AL808" s="312"/>
      <c r="AM808" s="312"/>
      <c r="AN808" s="312"/>
      <c r="AO808" s="312"/>
      <c r="AP808" s="312"/>
    </row>
    <row r="809" ht="15.75" customHeight="1">
      <c r="A809" s="318"/>
      <c r="B809" s="312"/>
      <c r="C809" s="312"/>
      <c r="D809" s="312"/>
      <c r="E809" s="312"/>
      <c r="F809" s="312"/>
      <c r="G809" s="312"/>
      <c r="H809" s="312"/>
      <c r="I809" s="312"/>
      <c r="J809" s="312"/>
      <c r="K809" s="312"/>
      <c r="L809" s="312"/>
      <c r="M809" s="312"/>
      <c r="N809" s="312"/>
      <c r="O809" s="312"/>
      <c r="P809" s="312"/>
      <c r="Q809" s="312"/>
      <c r="R809" s="312"/>
      <c r="S809" s="312"/>
      <c r="T809" s="312"/>
      <c r="U809" s="312"/>
      <c r="V809" s="312"/>
      <c r="W809" s="312"/>
      <c r="X809" s="312"/>
      <c r="Y809" s="312"/>
      <c r="Z809" s="312"/>
      <c r="AA809" s="312"/>
      <c r="AB809" s="312"/>
      <c r="AC809" s="312"/>
      <c r="AD809" s="312"/>
      <c r="AE809" s="312"/>
      <c r="AF809" s="312"/>
      <c r="AG809" s="312"/>
      <c r="AH809" s="312"/>
      <c r="AI809" s="312"/>
      <c r="AJ809" s="312"/>
      <c r="AK809" s="312"/>
      <c r="AL809" s="312"/>
      <c r="AM809" s="312"/>
      <c r="AN809" s="312"/>
      <c r="AO809" s="312"/>
      <c r="AP809" s="312"/>
    </row>
    <row r="810" ht="15.75" customHeight="1">
      <c r="A810" s="318"/>
      <c r="B810" s="312"/>
      <c r="C810" s="312"/>
      <c r="D810" s="312"/>
      <c r="E810" s="312"/>
      <c r="F810" s="312"/>
      <c r="G810" s="312"/>
      <c r="H810" s="312"/>
      <c r="I810" s="312"/>
      <c r="J810" s="312"/>
      <c r="K810" s="312"/>
      <c r="L810" s="312"/>
      <c r="M810" s="312"/>
      <c r="N810" s="312"/>
      <c r="O810" s="312"/>
      <c r="P810" s="312"/>
      <c r="Q810" s="312"/>
      <c r="R810" s="312"/>
      <c r="S810" s="312"/>
      <c r="T810" s="312"/>
      <c r="U810" s="312"/>
      <c r="V810" s="312"/>
      <c r="W810" s="312"/>
      <c r="X810" s="312"/>
      <c r="Y810" s="312"/>
      <c r="Z810" s="312"/>
      <c r="AA810" s="312"/>
      <c r="AB810" s="312"/>
      <c r="AC810" s="312"/>
      <c r="AD810" s="312"/>
      <c r="AE810" s="312"/>
      <c r="AF810" s="312"/>
      <c r="AG810" s="312"/>
      <c r="AH810" s="312"/>
      <c r="AI810" s="312"/>
      <c r="AJ810" s="312"/>
      <c r="AK810" s="312"/>
      <c r="AL810" s="312"/>
      <c r="AM810" s="312"/>
      <c r="AN810" s="312"/>
      <c r="AO810" s="312"/>
      <c r="AP810" s="312"/>
    </row>
    <row r="811" ht="15.75" customHeight="1">
      <c r="A811" s="318"/>
      <c r="B811" s="312"/>
      <c r="C811" s="312"/>
      <c r="D811" s="312"/>
      <c r="E811" s="312"/>
      <c r="F811" s="312"/>
      <c r="G811" s="312"/>
      <c r="H811" s="312"/>
      <c r="I811" s="312"/>
      <c r="J811" s="312"/>
      <c r="K811" s="312"/>
      <c r="L811" s="312"/>
      <c r="M811" s="312"/>
      <c r="N811" s="312"/>
      <c r="O811" s="312"/>
      <c r="P811" s="312"/>
      <c r="Q811" s="312"/>
      <c r="R811" s="312"/>
      <c r="S811" s="312"/>
      <c r="T811" s="312"/>
      <c r="U811" s="312"/>
      <c r="V811" s="312"/>
      <c r="W811" s="312"/>
      <c r="X811" s="312"/>
      <c r="Y811" s="312"/>
      <c r="Z811" s="312"/>
      <c r="AA811" s="312"/>
      <c r="AB811" s="312"/>
      <c r="AC811" s="312"/>
      <c r="AD811" s="312"/>
      <c r="AE811" s="312"/>
      <c r="AF811" s="312"/>
      <c r="AG811" s="312"/>
      <c r="AH811" s="312"/>
      <c r="AI811" s="312"/>
      <c r="AJ811" s="312"/>
      <c r="AK811" s="312"/>
      <c r="AL811" s="312"/>
      <c r="AM811" s="312"/>
      <c r="AN811" s="312"/>
      <c r="AO811" s="312"/>
      <c r="AP811" s="312"/>
    </row>
    <row r="812" ht="15.75" customHeight="1">
      <c r="A812" s="318"/>
      <c r="B812" s="312"/>
      <c r="C812" s="312"/>
      <c r="D812" s="312"/>
      <c r="E812" s="312"/>
      <c r="F812" s="312"/>
      <c r="G812" s="312"/>
      <c r="H812" s="312"/>
      <c r="I812" s="312"/>
      <c r="J812" s="312"/>
      <c r="K812" s="312"/>
      <c r="L812" s="312"/>
      <c r="M812" s="312"/>
      <c r="N812" s="312"/>
      <c r="O812" s="312"/>
      <c r="P812" s="312"/>
      <c r="Q812" s="312"/>
      <c r="R812" s="312"/>
      <c r="S812" s="312"/>
      <c r="T812" s="312"/>
      <c r="U812" s="312"/>
      <c r="V812" s="312"/>
      <c r="W812" s="312"/>
      <c r="X812" s="312"/>
      <c r="Y812" s="312"/>
      <c r="Z812" s="312"/>
      <c r="AA812" s="312"/>
      <c r="AB812" s="312"/>
      <c r="AC812" s="312"/>
      <c r="AD812" s="312"/>
      <c r="AE812" s="312"/>
      <c r="AF812" s="312"/>
      <c r="AG812" s="312"/>
      <c r="AH812" s="312"/>
      <c r="AI812" s="312"/>
      <c r="AJ812" s="312"/>
      <c r="AK812" s="312"/>
      <c r="AL812" s="312"/>
      <c r="AM812" s="312"/>
      <c r="AN812" s="312"/>
      <c r="AO812" s="312"/>
      <c r="AP812" s="312"/>
    </row>
    <row r="813" ht="15.75" customHeight="1">
      <c r="A813" s="318"/>
      <c r="B813" s="312"/>
      <c r="C813" s="312"/>
      <c r="D813" s="312"/>
      <c r="E813" s="312"/>
      <c r="F813" s="312"/>
      <c r="G813" s="312"/>
      <c r="H813" s="312"/>
      <c r="I813" s="312"/>
      <c r="J813" s="312"/>
      <c r="K813" s="312"/>
      <c r="L813" s="312"/>
      <c r="M813" s="312"/>
      <c r="N813" s="312"/>
      <c r="O813" s="312"/>
      <c r="P813" s="312"/>
      <c r="Q813" s="312"/>
      <c r="R813" s="312"/>
      <c r="S813" s="312"/>
      <c r="T813" s="312"/>
      <c r="U813" s="312"/>
      <c r="V813" s="312"/>
      <c r="W813" s="312"/>
      <c r="X813" s="312"/>
      <c r="Y813" s="312"/>
      <c r="Z813" s="312"/>
      <c r="AA813" s="312"/>
      <c r="AB813" s="312"/>
      <c r="AC813" s="312"/>
      <c r="AD813" s="312"/>
      <c r="AE813" s="312"/>
      <c r="AF813" s="312"/>
      <c r="AG813" s="312"/>
      <c r="AH813" s="312"/>
      <c r="AI813" s="312"/>
      <c r="AJ813" s="312"/>
      <c r="AK813" s="312"/>
      <c r="AL813" s="312"/>
      <c r="AM813" s="312"/>
      <c r="AN813" s="312"/>
      <c r="AO813" s="312"/>
      <c r="AP813" s="312"/>
    </row>
    <row r="814" ht="15.75" customHeight="1">
      <c r="A814" s="318"/>
      <c r="B814" s="312"/>
      <c r="C814" s="312"/>
      <c r="D814" s="312"/>
      <c r="E814" s="312"/>
      <c r="F814" s="312"/>
      <c r="G814" s="312"/>
      <c r="H814" s="312"/>
      <c r="I814" s="312"/>
      <c r="J814" s="312"/>
      <c r="K814" s="312"/>
      <c r="L814" s="312"/>
      <c r="M814" s="312"/>
      <c r="N814" s="312"/>
      <c r="O814" s="312"/>
      <c r="P814" s="312"/>
      <c r="Q814" s="312"/>
      <c r="R814" s="312"/>
      <c r="S814" s="312"/>
      <c r="T814" s="312"/>
      <c r="U814" s="312"/>
      <c r="V814" s="312"/>
      <c r="W814" s="312"/>
      <c r="X814" s="312"/>
      <c r="Y814" s="312"/>
      <c r="Z814" s="312"/>
      <c r="AA814" s="312"/>
      <c r="AB814" s="312"/>
      <c r="AC814" s="312"/>
      <c r="AD814" s="312"/>
      <c r="AE814" s="312"/>
      <c r="AF814" s="312"/>
      <c r="AG814" s="312"/>
      <c r="AH814" s="312"/>
      <c r="AI814" s="312"/>
      <c r="AJ814" s="312"/>
      <c r="AK814" s="312"/>
      <c r="AL814" s="312"/>
      <c r="AM814" s="312"/>
      <c r="AN814" s="312"/>
      <c r="AO814" s="312"/>
      <c r="AP814" s="312"/>
    </row>
    <row r="815" ht="15.75" customHeight="1">
      <c r="A815" s="318"/>
      <c r="B815" s="312"/>
      <c r="C815" s="312"/>
      <c r="D815" s="312"/>
      <c r="E815" s="312"/>
      <c r="F815" s="312"/>
      <c r="G815" s="312"/>
      <c r="H815" s="312"/>
      <c r="I815" s="312"/>
      <c r="J815" s="312"/>
      <c r="K815" s="312"/>
      <c r="L815" s="312"/>
      <c r="M815" s="312"/>
      <c r="N815" s="312"/>
      <c r="O815" s="312"/>
      <c r="P815" s="312"/>
      <c r="Q815" s="312"/>
      <c r="R815" s="312"/>
      <c r="S815" s="312"/>
      <c r="T815" s="312"/>
      <c r="U815" s="312"/>
      <c r="V815" s="312"/>
      <c r="W815" s="312"/>
      <c r="X815" s="312"/>
      <c r="Y815" s="312"/>
      <c r="Z815" s="312"/>
      <c r="AA815" s="312"/>
      <c r="AB815" s="312"/>
      <c r="AC815" s="312"/>
      <c r="AD815" s="312"/>
      <c r="AE815" s="312"/>
      <c r="AF815" s="312"/>
      <c r="AG815" s="312"/>
      <c r="AH815" s="312"/>
      <c r="AI815" s="312"/>
      <c r="AJ815" s="312"/>
      <c r="AK815" s="312"/>
      <c r="AL815" s="312"/>
      <c r="AM815" s="312"/>
      <c r="AN815" s="312"/>
      <c r="AO815" s="312"/>
      <c r="AP815" s="312"/>
    </row>
    <row r="816" ht="15.75" customHeight="1">
      <c r="A816" s="318"/>
      <c r="B816" s="312"/>
      <c r="C816" s="312"/>
      <c r="D816" s="312"/>
      <c r="E816" s="312"/>
      <c r="F816" s="312"/>
      <c r="G816" s="312"/>
      <c r="H816" s="312"/>
      <c r="I816" s="312"/>
      <c r="J816" s="312"/>
      <c r="K816" s="312"/>
      <c r="L816" s="312"/>
      <c r="M816" s="312"/>
      <c r="N816" s="312"/>
      <c r="O816" s="312"/>
      <c r="P816" s="312"/>
      <c r="Q816" s="312"/>
      <c r="R816" s="312"/>
      <c r="S816" s="312"/>
      <c r="T816" s="312"/>
      <c r="U816" s="312"/>
      <c r="V816" s="312"/>
      <c r="W816" s="312"/>
      <c r="X816" s="312"/>
      <c r="Y816" s="312"/>
      <c r="Z816" s="312"/>
      <c r="AA816" s="312"/>
      <c r="AB816" s="312"/>
      <c r="AC816" s="312"/>
      <c r="AD816" s="312"/>
      <c r="AE816" s="312"/>
      <c r="AF816" s="312"/>
      <c r="AG816" s="312"/>
      <c r="AH816" s="312"/>
      <c r="AI816" s="312"/>
      <c r="AJ816" s="312"/>
      <c r="AK816" s="312"/>
      <c r="AL816" s="312"/>
      <c r="AM816" s="312"/>
      <c r="AN816" s="312"/>
      <c r="AO816" s="312"/>
      <c r="AP816" s="312"/>
    </row>
    <row r="817" ht="15.75" customHeight="1">
      <c r="A817" s="318"/>
      <c r="B817" s="312"/>
      <c r="C817" s="312"/>
      <c r="D817" s="312"/>
      <c r="E817" s="312"/>
      <c r="F817" s="312"/>
      <c r="G817" s="312"/>
      <c r="H817" s="312"/>
      <c r="I817" s="312"/>
      <c r="J817" s="312"/>
      <c r="K817" s="312"/>
      <c r="L817" s="312"/>
      <c r="M817" s="312"/>
      <c r="N817" s="312"/>
      <c r="O817" s="312"/>
      <c r="P817" s="312"/>
      <c r="Q817" s="312"/>
      <c r="R817" s="312"/>
      <c r="S817" s="312"/>
      <c r="T817" s="312"/>
      <c r="U817" s="312"/>
      <c r="V817" s="312"/>
      <c r="W817" s="312"/>
      <c r="X817" s="312"/>
      <c r="Y817" s="312"/>
      <c r="Z817" s="312"/>
      <c r="AA817" s="312"/>
      <c r="AB817" s="312"/>
      <c r="AC817" s="312"/>
      <c r="AD817" s="312"/>
      <c r="AE817" s="312"/>
      <c r="AF817" s="312"/>
      <c r="AG817" s="312"/>
      <c r="AH817" s="312"/>
      <c r="AI817" s="312"/>
      <c r="AJ817" s="312"/>
      <c r="AK817" s="312"/>
      <c r="AL817" s="312"/>
      <c r="AM817" s="312"/>
      <c r="AN817" s="312"/>
      <c r="AO817" s="312"/>
      <c r="AP817" s="312"/>
    </row>
    <row r="818" ht="15.75" customHeight="1">
      <c r="A818" s="318"/>
      <c r="B818" s="312"/>
      <c r="C818" s="312"/>
      <c r="D818" s="312"/>
      <c r="E818" s="312"/>
      <c r="F818" s="312"/>
      <c r="G818" s="312"/>
      <c r="H818" s="312"/>
      <c r="I818" s="312"/>
      <c r="J818" s="312"/>
      <c r="K818" s="312"/>
      <c r="L818" s="312"/>
      <c r="M818" s="312"/>
      <c r="N818" s="312"/>
      <c r="O818" s="312"/>
      <c r="P818" s="312"/>
      <c r="Q818" s="312"/>
      <c r="R818" s="312"/>
      <c r="S818" s="312"/>
      <c r="T818" s="312"/>
      <c r="U818" s="312"/>
      <c r="V818" s="312"/>
      <c r="W818" s="312"/>
      <c r="X818" s="312"/>
      <c r="Y818" s="312"/>
      <c r="Z818" s="312"/>
      <c r="AA818" s="312"/>
      <c r="AB818" s="312"/>
      <c r="AC818" s="312"/>
      <c r="AD818" s="312"/>
      <c r="AE818" s="312"/>
      <c r="AF818" s="312"/>
      <c r="AG818" s="312"/>
      <c r="AH818" s="312"/>
      <c r="AI818" s="312"/>
      <c r="AJ818" s="312"/>
      <c r="AK818" s="312"/>
      <c r="AL818" s="312"/>
      <c r="AM818" s="312"/>
      <c r="AN818" s="312"/>
      <c r="AO818" s="312"/>
      <c r="AP818" s="312"/>
    </row>
    <row r="819" ht="15.75" customHeight="1">
      <c r="A819" s="318"/>
      <c r="B819" s="312"/>
      <c r="C819" s="312"/>
      <c r="D819" s="312"/>
      <c r="E819" s="312"/>
      <c r="F819" s="312"/>
      <c r="G819" s="312"/>
      <c r="H819" s="312"/>
      <c r="I819" s="312"/>
      <c r="J819" s="312"/>
      <c r="K819" s="312"/>
      <c r="L819" s="312"/>
      <c r="M819" s="312"/>
      <c r="N819" s="312"/>
      <c r="O819" s="312"/>
      <c r="P819" s="312"/>
      <c r="Q819" s="312"/>
      <c r="R819" s="312"/>
      <c r="S819" s="312"/>
      <c r="T819" s="312"/>
      <c r="U819" s="312"/>
      <c r="V819" s="312"/>
      <c r="W819" s="312"/>
      <c r="X819" s="312"/>
      <c r="Y819" s="312"/>
      <c r="Z819" s="312"/>
      <c r="AA819" s="312"/>
      <c r="AB819" s="312"/>
      <c r="AC819" s="312"/>
      <c r="AD819" s="312"/>
      <c r="AE819" s="312"/>
      <c r="AF819" s="312"/>
      <c r="AG819" s="312"/>
      <c r="AH819" s="312"/>
      <c r="AI819" s="312"/>
      <c r="AJ819" s="312"/>
      <c r="AK819" s="312"/>
      <c r="AL819" s="312"/>
      <c r="AM819" s="312"/>
      <c r="AN819" s="312"/>
      <c r="AO819" s="312"/>
      <c r="AP819" s="312"/>
    </row>
    <row r="820" ht="15.75" customHeight="1">
      <c r="A820" s="318"/>
      <c r="B820" s="312"/>
      <c r="C820" s="312"/>
      <c r="D820" s="312"/>
      <c r="E820" s="312"/>
      <c r="F820" s="312"/>
      <c r="G820" s="312"/>
      <c r="H820" s="312"/>
      <c r="I820" s="312"/>
      <c r="J820" s="312"/>
      <c r="K820" s="312"/>
      <c r="L820" s="312"/>
      <c r="M820" s="312"/>
      <c r="N820" s="312"/>
      <c r="O820" s="312"/>
      <c r="P820" s="312"/>
      <c r="Q820" s="312"/>
      <c r="R820" s="312"/>
      <c r="S820" s="312"/>
      <c r="T820" s="312"/>
      <c r="U820" s="312"/>
      <c r="V820" s="312"/>
      <c r="W820" s="312"/>
      <c r="X820" s="312"/>
      <c r="Y820" s="312"/>
      <c r="Z820" s="312"/>
      <c r="AA820" s="312"/>
      <c r="AB820" s="312"/>
      <c r="AC820" s="312"/>
      <c r="AD820" s="312"/>
      <c r="AE820" s="312"/>
      <c r="AF820" s="312"/>
      <c r="AG820" s="312"/>
      <c r="AH820" s="312"/>
      <c r="AI820" s="312"/>
      <c r="AJ820" s="312"/>
      <c r="AK820" s="312"/>
      <c r="AL820" s="312"/>
      <c r="AM820" s="312"/>
      <c r="AN820" s="312"/>
      <c r="AO820" s="312"/>
      <c r="AP820" s="312"/>
    </row>
    <row r="821" ht="15.75" customHeight="1">
      <c r="A821" s="318"/>
      <c r="B821" s="312"/>
      <c r="C821" s="312"/>
      <c r="D821" s="312"/>
      <c r="E821" s="312"/>
      <c r="F821" s="312"/>
      <c r="G821" s="312"/>
      <c r="H821" s="312"/>
      <c r="I821" s="312"/>
      <c r="J821" s="312"/>
      <c r="K821" s="312"/>
      <c r="L821" s="312"/>
      <c r="M821" s="312"/>
      <c r="N821" s="312"/>
      <c r="O821" s="312"/>
      <c r="P821" s="312"/>
      <c r="Q821" s="312"/>
      <c r="R821" s="312"/>
      <c r="S821" s="312"/>
      <c r="T821" s="312"/>
      <c r="U821" s="312"/>
      <c r="V821" s="312"/>
      <c r="W821" s="312"/>
      <c r="X821" s="312"/>
      <c r="Y821" s="312"/>
      <c r="Z821" s="312"/>
      <c r="AA821" s="312"/>
      <c r="AB821" s="312"/>
      <c r="AC821" s="312"/>
      <c r="AD821" s="312"/>
      <c r="AE821" s="312"/>
      <c r="AF821" s="312"/>
      <c r="AG821" s="312"/>
      <c r="AH821" s="312"/>
      <c r="AI821" s="312"/>
      <c r="AJ821" s="312"/>
      <c r="AK821" s="312"/>
      <c r="AL821" s="312"/>
      <c r="AM821" s="312"/>
      <c r="AN821" s="312"/>
      <c r="AO821" s="312"/>
      <c r="AP821" s="312"/>
    </row>
    <row r="822" ht="15.75" customHeight="1">
      <c r="A822" s="318"/>
      <c r="B822" s="312"/>
      <c r="C822" s="312"/>
      <c r="D822" s="312"/>
      <c r="E822" s="312"/>
      <c r="F822" s="312"/>
      <c r="G822" s="312"/>
      <c r="H822" s="312"/>
      <c r="I822" s="312"/>
      <c r="J822" s="312"/>
      <c r="K822" s="312"/>
      <c r="L822" s="312"/>
      <c r="M822" s="312"/>
      <c r="N822" s="312"/>
      <c r="O822" s="312"/>
      <c r="P822" s="312"/>
      <c r="Q822" s="312"/>
      <c r="R822" s="312"/>
      <c r="S822" s="312"/>
      <c r="T822" s="312"/>
      <c r="U822" s="312"/>
      <c r="V822" s="312"/>
      <c r="W822" s="312"/>
      <c r="X822" s="312"/>
      <c r="Y822" s="312"/>
      <c r="Z822" s="312"/>
      <c r="AA822" s="312"/>
      <c r="AB822" s="312"/>
      <c r="AC822" s="312"/>
      <c r="AD822" s="312"/>
      <c r="AE822" s="312"/>
      <c r="AF822" s="312"/>
      <c r="AG822" s="312"/>
      <c r="AH822" s="312"/>
      <c r="AI822" s="312"/>
      <c r="AJ822" s="312"/>
      <c r="AK822" s="312"/>
      <c r="AL822" s="312"/>
      <c r="AM822" s="312"/>
      <c r="AN822" s="312"/>
      <c r="AO822" s="312"/>
      <c r="AP822" s="312"/>
    </row>
    <row r="823" ht="15.75" customHeight="1">
      <c r="A823" s="318"/>
      <c r="B823" s="312"/>
      <c r="C823" s="312"/>
      <c r="D823" s="312"/>
      <c r="E823" s="312"/>
      <c r="F823" s="312"/>
      <c r="G823" s="312"/>
      <c r="H823" s="312"/>
      <c r="I823" s="312"/>
      <c r="J823" s="312"/>
      <c r="K823" s="312"/>
      <c r="L823" s="312"/>
      <c r="M823" s="312"/>
      <c r="N823" s="312"/>
      <c r="O823" s="312"/>
      <c r="P823" s="312"/>
      <c r="Q823" s="312"/>
      <c r="R823" s="312"/>
      <c r="S823" s="312"/>
      <c r="T823" s="312"/>
      <c r="U823" s="312"/>
      <c r="V823" s="312"/>
      <c r="W823" s="312"/>
      <c r="X823" s="312"/>
      <c r="Y823" s="312"/>
      <c r="Z823" s="312"/>
      <c r="AA823" s="312"/>
      <c r="AB823" s="312"/>
      <c r="AC823" s="312"/>
      <c r="AD823" s="312"/>
      <c r="AE823" s="312"/>
      <c r="AF823" s="312"/>
      <c r="AG823" s="312"/>
      <c r="AH823" s="312"/>
      <c r="AI823" s="312"/>
      <c r="AJ823" s="312"/>
      <c r="AK823" s="312"/>
      <c r="AL823" s="312"/>
      <c r="AM823" s="312"/>
      <c r="AN823" s="312"/>
      <c r="AO823" s="312"/>
      <c r="AP823" s="312"/>
    </row>
    <row r="824" ht="15.75" customHeight="1">
      <c r="A824" s="318"/>
      <c r="B824" s="312"/>
      <c r="C824" s="312"/>
      <c r="D824" s="312"/>
      <c r="E824" s="312"/>
      <c r="F824" s="312"/>
      <c r="G824" s="312"/>
      <c r="H824" s="312"/>
      <c r="I824" s="312"/>
      <c r="J824" s="312"/>
      <c r="K824" s="312"/>
      <c r="L824" s="312"/>
      <c r="M824" s="312"/>
      <c r="N824" s="312"/>
      <c r="O824" s="312"/>
      <c r="P824" s="312"/>
      <c r="Q824" s="312"/>
      <c r="R824" s="312"/>
      <c r="S824" s="312"/>
      <c r="T824" s="312"/>
      <c r="U824" s="312"/>
      <c r="V824" s="312"/>
      <c r="W824" s="312"/>
      <c r="X824" s="312"/>
      <c r="Y824" s="312"/>
      <c r="Z824" s="312"/>
      <c r="AA824" s="312"/>
      <c r="AB824" s="312"/>
      <c r="AC824" s="312"/>
      <c r="AD824" s="312"/>
      <c r="AE824" s="312"/>
      <c r="AF824" s="312"/>
      <c r="AG824" s="312"/>
      <c r="AH824" s="312"/>
      <c r="AI824" s="312"/>
      <c r="AJ824" s="312"/>
      <c r="AK824" s="312"/>
      <c r="AL824" s="312"/>
      <c r="AM824" s="312"/>
      <c r="AN824" s="312"/>
      <c r="AO824" s="312"/>
      <c r="AP824" s="312"/>
    </row>
    <row r="825" ht="15.75" customHeight="1">
      <c r="A825" s="318"/>
      <c r="B825" s="312"/>
      <c r="C825" s="312"/>
      <c r="D825" s="312"/>
      <c r="E825" s="312"/>
      <c r="F825" s="312"/>
      <c r="G825" s="312"/>
      <c r="H825" s="312"/>
      <c r="I825" s="312"/>
      <c r="J825" s="312"/>
      <c r="K825" s="312"/>
      <c r="L825" s="312"/>
      <c r="M825" s="312"/>
      <c r="N825" s="312"/>
      <c r="O825" s="312"/>
      <c r="P825" s="312"/>
      <c r="Q825" s="312"/>
      <c r="R825" s="312"/>
      <c r="S825" s="312"/>
      <c r="T825" s="312"/>
      <c r="U825" s="312"/>
      <c r="V825" s="312"/>
      <c r="W825" s="312"/>
      <c r="X825" s="312"/>
      <c r="Y825" s="312"/>
      <c r="Z825" s="312"/>
      <c r="AA825" s="312"/>
      <c r="AB825" s="312"/>
      <c r="AC825" s="312"/>
      <c r="AD825" s="312"/>
      <c r="AE825" s="312"/>
      <c r="AF825" s="312"/>
      <c r="AG825" s="312"/>
      <c r="AH825" s="312"/>
      <c r="AI825" s="312"/>
      <c r="AJ825" s="312"/>
      <c r="AK825" s="312"/>
      <c r="AL825" s="312"/>
      <c r="AM825" s="312"/>
      <c r="AN825" s="312"/>
      <c r="AO825" s="312"/>
      <c r="AP825" s="312"/>
    </row>
    <row r="826" ht="15.75" customHeight="1">
      <c r="A826" s="318"/>
      <c r="B826" s="312"/>
      <c r="C826" s="312"/>
      <c r="D826" s="312"/>
      <c r="E826" s="312"/>
      <c r="F826" s="312"/>
      <c r="G826" s="312"/>
      <c r="H826" s="312"/>
      <c r="I826" s="312"/>
      <c r="J826" s="312"/>
      <c r="K826" s="312"/>
      <c r="L826" s="312"/>
      <c r="M826" s="312"/>
      <c r="N826" s="312"/>
      <c r="O826" s="312"/>
      <c r="P826" s="312"/>
      <c r="Q826" s="312"/>
      <c r="R826" s="312"/>
      <c r="S826" s="312"/>
      <c r="T826" s="312"/>
      <c r="U826" s="312"/>
      <c r="V826" s="312"/>
      <c r="W826" s="312"/>
      <c r="X826" s="312"/>
      <c r="Y826" s="312"/>
      <c r="Z826" s="312"/>
      <c r="AA826" s="312"/>
      <c r="AB826" s="312"/>
      <c r="AC826" s="312"/>
      <c r="AD826" s="312"/>
      <c r="AE826" s="312"/>
      <c r="AF826" s="312"/>
      <c r="AG826" s="312"/>
      <c r="AH826" s="312"/>
      <c r="AI826" s="312"/>
      <c r="AJ826" s="312"/>
      <c r="AK826" s="312"/>
      <c r="AL826" s="312"/>
      <c r="AM826" s="312"/>
      <c r="AN826" s="312"/>
      <c r="AO826" s="312"/>
      <c r="AP826" s="312"/>
    </row>
    <row r="827" ht="15.75" customHeight="1">
      <c r="A827" s="318"/>
      <c r="B827" s="312"/>
      <c r="C827" s="312"/>
      <c r="D827" s="312"/>
      <c r="E827" s="312"/>
      <c r="F827" s="312"/>
      <c r="G827" s="312"/>
      <c r="H827" s="312"/>
      <c r="I827" s="312"/>
      <c r="J827" s="312"/>
      <c r="K827" s="312"/>
      <c r="L827" s="312"/>
      <c r="M827" s="312"/>
      <c r="N827" s="312"/>
      <c r="O827" s="312"/>
      <c r="P827" s="312"/>
      <c r="Q827" s="312"/>
      <c r="R827" s="312"/>
      <c r="S827" s="312"/>
      <c r="T827" s="312"/>
      <c r="U827" s="312"/>
      <c r="V827" s="312"/>
      <c r="W827" s="312"/>
      <c r="X827" s="312"/>
      <c r="Y827" s="312"/>
      <c r="Z827" s="312"/>
      <c r="AA827" s="312"/>
      <c r="AB827" s="312"/>
      <c r="AC827" s="312"/>
      <c r="AD827" s="312"/>
      <c r="AE827" s="312"/>
      <c r="AF827" s="312"/>
      <c r="AG827" s="312"/>
      <c r="AH827" s="312"/>
      <c r="AI827" s="312"/>
      <c r="AJ827" s="312"/>
      <c r="AK827" s="312"/>
      <c r="AL827" s="312"/>
      <c r="AM827" s="312"/>
      <c r="AN827" s="312"/>
      <c r="AO827" s="312"/>
      <c r="AP827" s="312"/>
    </row>
    <row r="828" ht="15.75" customHeight="1">
      <c r="A828" s="318"/>
      <c r="B828" s="312"/>
      <c r="C828" s="312"/>
      <c r="D828" s="312"/>
      <c r="E828" s="312"/>
      <c r="F828" s="312"/>
      <c r="G828" s="312"/>
      <c r="H828" s="312"/>
      <c r="I828" s="312"/>
      <c r="J828" s="312"/>
      <c r="K828" s="312"/>
      <c r="L828" s="312"/>
      <c r="M828" s="312"/>
      <c r="N828" s="312"/>
      <c r="O828" s="312"/>
      <c r="P828" s="312"/>
      <c r="Q828" s="312"/>
      <c r="R828" s="312"/>
      <c r="S828" s="312"/>
      <c r="T828" s="312"/>
      <c r="U828" s="312"/>
      <c r="V828" s="312"/>
      <c r="W828" s="312"/>
      <c r="X828" s="312"/>
      <c r="Y828" s="312"/>
      <c r="Z828" s="312"/>
      <c r="AA828" s="312"/>
      <c r="AB828" s="312"/>
      <c r="AC828" s="312"/>
      <c r="AD828" s="312"/>
      <c r="AE828" s="312"/>
      <c r="AF828" s="312"/>
      <c r="AG828" s="312"/>
      <c r="AH828" s="312"/>
      <c r="AI828" s="312"/>
      <c r="AJ828" s="312"/>
      <c r="AK828" s="312"/>
      <c r="AL828" s="312"/>
      <c r="AM828" s="312"/>
      <c r="AN828" s="312"/>
      <c r="AO828" s="312"/>
      <c r="AP828" s="312"/>
    </row>
    <row r="829" ht="15.75" customHeight="1">
      <c r="A829" s="318"/>
      <c r="B829" s="312"/>
      <c r="C829" s="312"/>
      <c r="D829" s="312"/>
      <c r="E829" s="312"/>
      <c r="F829" s="312"/>
      <c r="G829" s="312"/>
      <c r="H829" s="312"/>
      <c r="I829" s="312"/>
      <c r="J829" s="312"/>
      <c r="K829" s="312"/>
      <c r="L829" s="312"/>
      <c r="M829" s="312"/>
      <c r="N829" s="312"/>
      <c r="O829" s="312"/>
      <c r="P829" s="312"/>
      <c r="Q829" s="312"/>
      <c r="R829" s="312"/>
      <c r="S829" s="312"/>
      <c r="T829" s="312"/>
      <c r="U829" s="312"/>
      <c r="V829" s="312"/>
      <c r="W829" s="312"/>
      <c r="X829" s="312"/>
      <c r="Y829" s="312"/>
      <c r="Z829" s="312"/>
      <c r="AA829" s="312"/>
      <c r="AB829" s="312"/>
      <c r="AC829" s="312"/>
      <c r="AD829" s="312"/>
      <c r="AE829" s="312"/>
      <c r="AF829" s="312"/>
      <c r="AG829" s="312"/>
      <c r="AH829" s="312"/>
      <c r="AI829" s="312"/>
      <c r="AJ829" s="312"/>
      <c r="AK829" s="312"/>
      <c r="AL829" s="312"/>
      <c r="AM829" s="312"/>
      <c r="AN829" s="312"/>
      <c r="AO829" s="312"/>
      <c r="AP829" s="312"/>
    </row>
    <row r="830" ht="15.75" customHeight="1">
      <c r="A830" s="318"/>
      <c r="B830" s="312"/>
      <c r="C830" s="312"/>
      <c r="D830" s="312"/>
      <c r="E830" s="312"/>
      <c r="F830" s="312"/>
      <c r="G830" s="312"/>
      <c r="H830" s="312"/>
      <c r="I830" s="312"/>
      <c r="J830" s="312"/>
      <c r="K830" s="312"/>
      <c r="L830" s="312"/>
      <c r="M830" s="312"/>
      <c r="N830" s="312"/>
      <c r="O830" s="312"/>
      <c r="P830" s="312"/>
      <c r="Q830" s="312"/>
      <c r="R830" s="312"/>
      <c r="S830" s="312"/>
      <c r="T830" s="312"/>
      <c r="U830" s="312"/>
      <c r="V830" s="312"/>
      <c r="W830" s="312"/>
      <c r="X830" s="312"/>
      <c r="Y830" s="312"/>
      <c r="Z830" s="312"/>
      <c r="AA830" s="312"/>
      <c r="AB830" s="312"/>
      <c r="AC830" s="312"/>
      <c r="AD830" s="312"/>
      <c r="AE830" s="312"/>
      <c r="AF830" s="312"/>
      <c r="AG830" s="312"/>
      <c r="AH830" s="312"/>
      <c r="AI830" s="312"/>
      <c r="AJ830" s="312"/>
      <c r="AK830" s="312"/>
      <c r="AL830" s="312"/>
      <c r="AM830" s="312"/>
      <c r="AN830" s="312"/>
      <c r="AO830" s="312"/>
      <c r="AP830" s="312"/>
    </row>
    <row r="831" ht="15.75" customHeight="1">
      <c r="A831" s="318"/>
      <c r="B831" s="312"/>
      <c r="C831" s="312"/>
      <c r="D831" s="312"/>
      <c r="E831" s="312"/>
      <c r="F831" s="312"/>
      <c r="G831" s="312"/>
      <c r="H831" s="312"/>
      <c r="I831" s="312"/>
      <c r="J831" s="312"/>
      <c r="K831" s="312"/>
      <c r="L831" s="312"/>
      <c r="M831" s="312"/>
      <c r="N831" s="312"/>
      <c r="O831" s="312"/>
      <c r="P831" s="312"/>
      <c r="Q831" s="312"/>
      <c r="R831" s="312"/>
      <c r="S831" s="312"/>
      <c r="T831" s="312"/>
      <c r="U831" s="312"/>
      <c r="V831" s="312"/>
      <c r="W831" s="312"/>
      <c r="X831" s="312"/>
      <c r="Y831" s="312"/>
      <c r="Z831" s="312"/>
      <c r="AA831" s="312"/>
      <c r="AB831" s="312"/>
      <c r="AC831" s="312"/>
      <c r="AD831" s="312"/>
      <c r="AE831" s="312"/>
      <c r="AF831" s="312"/>
      <c r="AG831" s="312"/>
      <c r="AH831" s="312"/>
      <c r="AI831" s="312"/>
      <c r="AJ831" s="312"/>
      <c r="AK831" s="312"/>
      <c r="AL831" s="312"/>
      <c r="AM831" s="312"/>
      <c r="AN831" s="312"/>
      <c r="AO831" s="312"/>
      <c r="AP831" s="312"/>
    </row>
    <row r="832" ht="15.75" customHeight="1">
      <c r="A832" s="318"/>
      <c r="B832" s="312"/>
      <c r="C832" s="312"/>
      <c r="D832" s="312"/>
      <c r="E832" s="312"/>
      <c r="F832" s="312"/>
      <c r="G832" s="312"/>
      <c r="H832" s="312"/>
      <c r="I832" s="312"/>
      <c r="J832" s="312"/>
      <c r="K832" s="312"/>
      <c r="L832" s="312"/>
      <c r="M832" s="312"/>
      <c r="N832" s="312"/>
      <c r="O832" s="312"/>
      <c r="P832" s="312"/>
      <c r="Q832" s="312"/>
      <c r="R832" s="312"/>
      <c r="S832" s="312"/>
      <c r="T832" s="312"/>
      <c r="U832" s="312"/>
      <c r="V832" s="312"/>
      <c r="W832" s="312"/>
      <c r="X832" s="312"/>
      <c r="Y832" s="312"/>
      <c r="Z832" s="312"/>
      <c r="AA832" s="312"/>
      <c r="AB832" s="312"/>
      <c r="AC832" s="312"/>
      <c r="AD832" s="312"/>
      <c r="AE832" s="312"/>
      <c r="AF832" s="312"/>
      <c r="AG832" s="312"/>
      <c r="AH832" s="312"/>
      <c r="AI832" s="312"/>
      <c r="AJ832" s="312"/>
      <c r="AK832" s="312"/>
      <c r="AL832" s="312"/>
      <c r="AM832" s="312"/>
      <c r="AN832" s="312"/>
      <c r="AO832" s="312"/>
      <c r="AP832" s="312"/>
    </row>
    <row r="833" ht="15.75" customHeight="1">
      <c r="A833" s="318"/>
      <c r="B833" s="312"/>
      <c r="C833" s="312"/>
      <c r="D833" s="312"/>
      <c r="E833" s="312"/>
      <c r="F833" s="312"/>
      <c r="G833" s="312"/>
      <c r="H833" s="312"/>
      <c r="I833" s="312"/>
      <c r="J833" s="312"/>
      <c r="K833" s="312"/>
      <c r="L833" s="312"/>
      <c r="M833" s="312"/>
      <c r="N833" s="312"/>
      <c r="O833" s="312"/>
      <c r="P833" s="312"/>
      <c r="Q833" s="312"/>
      <c r="R833" s="312"/>
      <c r="S833" s="312"/>
      <c r="T833" s="312"/>
      <c r="U833" s="312"/>
      <c r="V833" s="312"/>
      <c r="W833" s="312"/>
      <c r="X833" s="312"/>
      <c r="Y833" s="312"/>
      <c r="Z833" s="312"/>
      <c r="AA833" s="312"/>
      <c r="AB833" s="312"/>
      <c r="AC833" s="312"/>
      <c r="AD833" s="312"/>
      <c r="AE833" s="312"/>
      <c r="AF833" s="312"/>
      <c r="AG833" s="312"/>
      <c r="AH833" s="312"/>
      <c r="AI833" s="312"/>
      <c r="AJ833" s="312"/>
      <c r="AK833" s="312"/>
      <c r="AL833" s="312"/>
      <c r="AM833" s="312"/>
      <c r="AN833" s="312"/>
      <c r="AO833" s="312"/>
      <c r="AP833" s="312"/>
    </row>
    <row r="834" ht="15.75" customHeight="1">
      <c r="A834" s="318"/>
      <c r="B834" s="312"/>
      <c r="C834" s="312"/>
      <c r="D834" s="312"/>
      <c r="E834" s="312"/>
      <c r="F834" s="312"/>
      <c r="G834" s="312"/>
      <c r="H834" s="312"/>
      <c r="I834" s="312"/>
      <c r="J834" s="312"/>
      <c r="K834" s="312"/>
      <c r="L834" s="312"/>
      <c r="M834" s="312"/>
      <c r="N834" s="312"/>
      <c r="O834" s="312"/>
      <c r="P834" s="312"/>
      <c r="Q834" s="312"/>
      <c r="R834" s="312"/>
      <c r="S834" s="312"/>
      <c r="T834" s="312"/>
      <c r="U834" s="312"/>
      <c r="V834" s="312"/>
      <c r="W834" s="312"/>
      <c r="X834" s="312"/>
      <c r="Y834" s="312"/>
      <c r="Z834" s="312"/>
      <c r="AA834" s="312"/>
      <c r="AB834" s="312"/>
      <c r="AC834" s="312"/>
      <c r="AD834" s="312"/>
      <c r="AE834" s="312"/>
      <c r="AF834" s="312"/>
      <c r="AG834" s="312"/>
      <c r="AH834" s="312"/>
      <c r="AI834" s="312"/>
      <c r="AJ834" s="312"/>
      <c r="AK834" s="312"/>
      <c r="AL834" s="312"/>
      <c r="AM834" s="312"/>
      <c r="AN834" s="312"/>
      <c r="AO834" s="312"/>
      <c r="AP834" s="312"/>
    </row>
    <row r="835" ht="15.75" customHeight="1">
      <c r="A835" s="318"/>
      <c r="B835" s="312"/>
      <c r="C835" s="312"/>
      <c r="D835" s="312"/>
      <c r="E835" s="312"/>
      <c r="F835" s="312"/>
      <c r="G835" s="312"/>
      <c r="H835" s="312"/>
      <c r="I835" s="312"/>
      <c r="J835" s="312"/>
      <c r="K835" s="312"/>
      <c r="L835" s="312"/>
      <c r="M835" s="312"/>
      <c r="N835" s="312"/>
      <c r="O835" s="312"/>
      <c r="P835" s="312"/>
      <c r="Q835" s="312"/>
      <c r="R835" s="312"/>
      <c r="S835" s="312"/>
      <c r="T835" s="312"/>
      <c r="U835" s="312"/>
      <c r="V835" s="312"/>
      <c r="W835" s="312"/>
      <c r="X835" s="312"/>
      <c r="Y835" s="312"/>
      <c r="Z835" s="312"/>
      <c r="AA835" s="312"/>
      <c r="AB835" s="312"/>
      <c r="AC835" s="312"/>
      <c r="AD835" s="312"/>
      <c r="AE835" s="312"/>
      <c r="AF835" s="312"/>
      <c r="AG835" s="312"/>
      <c r="AH835" s="312"/>
      <c r="AI835" s="312"/>
      <c r="AJ835" s="312"/>
      <c r="AK835" s="312"/>
      <c r="AL835" s="312"/>
      <c r="AM835" s="312"/>
      <c r="AN835" s="312"/>
      <c r="AO835" s="312"/>
      <c r="AP835" s="312"/>
    </row>
    <row r="836" ht="15.75" customHeight="1">
      <c r="A836" s="318"/>
      <c r="B836" s="312"/>
      <c r="C836" s="312"/>
      <c r="D836" s="312"/>
      <c r="E836" s="312"/>
      <c r="F836" s="312"/>
      <c r="G836" s="312"/>
      <c r="H836" s="312"/>
      <c r="I836" s="312"/>
      <c r="J836" s="312"/>
      <c r="K836" s="312"/>
      <c r="L836" s="312"/>
      <c r="M836" s="312"/>
      <c r="N836" s="312"/>
      <c r="O836" s="312"/>
      <c r="P836" s="312"/>
      <c r="Q836" s="312"/>
      <c r="R836" s="312"/>
      <c r="S836" s="312"/>
      <c r="T836" s="312"/>
      <c r="U836" s="312"/>
      <c r="V836" s="312"/>
      <c r="W836" s="312"/>
      <c r="X836" s="312"/>
      <c r="Y836" s="312"/>
      <c r="Z836" s="312"/>
      <c r="AA836" s="312"/>
      <c r="AB836" s="312"/>
      <c r="AC836" s="312"/>
      <c r="AD836" s="312"/>
      <c r="AE836" s="312"/>
      <c r="AF836" s="312"/>
      <c r="AG836" s="312"/>
      <c r="AH836" s="312"/>
      <c r="AI836" s="312"/>
      <c r="AJ836" s="312"/>
      <c r="AK836" s="312"/>
      <c r="AL836" s="312"/>
      <c r="AM836" s="312"/>
      <c r="AN836" s="312"/>
      <c r="AO836" s="312"/>
      <c r="AP836" s="312"/>
    </row>
    <row r="837" ht="15.75" customHeight="1">
      <c r="A837" s="318"/>
      <c r="B837" s="312"/>
      <c r="C837" s="312"/>
      <c r="D837" s="312"/>
      <c r="E837" s="312"/>
      <c r="F837" s="312"/>
      <c r="G837" s="312"/>
      <c r="H837" s="312"/>
      <c r="I837" s="312"/>
      <c r="J837" s="312"/>
      <c r="K837" s="312"/>
      <c r="L837" s="312"/>
      <c r="M837" s="312"/>
      <c r="N837" s="312"/>
      <c r="O837" s="312"/>
      <c r="P837" s="312"/>
      <c r="Q837" s="312"/>
      <c r="R837" s="312"/>
      <c r="S837" s="312"/>
      <c r="T837" s="312"/>
      <c r="U837" s="312"/>
      <c r="V837" s="312"/>
      <c r="W837" s="312"/>
      <c r="X837" s="312"/>
      <c r="Y837" s="312"/>
      <c r="Z837" s="312"/>
      <c r="AA837" s="312"/>
      <c r="AB837" s="312"/>
      <c r="AC837" s="312"/>
      <c r="AD837" s="312"/>
      <c r="AE837" s="312"/>
      <c r="AF837" s="312"/>
      <c r="AG837" s="312"/>
      <c r="AH837" s="312"/>
      <c r="AI837" s="312"/>
      <c r="AJ837" s="312"/>
      <c r="AK837" s="312"/>
      <c r="AL837" s="312"/>
      <c r="AM837" s="312"/>
      <c r="AN837" s="312"/>
      <c r="AO837" s="312"/>
      <c r="AP837" s="312"/>
    </row>
    <row r="838" ht="15.75" customHeight="1">
      <c r="A838" s="318"/>
      <c r="B838" s="312"/>
      <c r="C838" s="312"/>
      <c r="D838" s="312"/>
      <c r="E838" s="312"/>
      <c r="F838" s="312"/>
      <c r="G838" s="312"/>
      <c r="H838" s="312"/>
      <c r="I838" s="312"/>
      <c r="J838" s="312"/>
      <c r="K838" s="312"/>
      <c r="L838" s="312"/>
      <c r="M838" s="312"/>
      <c r="N838" s="312"/>
      <c r="O838" s="312"/>
      <c r="P838" s="312"/>
      <c r="Q838" s="312"/>
      <c r="R838" s="312"/>
      <c r="S838" s="312"/>
      <c r="T838" s="312"/>
      <c r="U838" s="312"/>
      <c r="V838" s="312"/>
      <c r="W838" s="312"/>
      <c r="X838" s="312"/>
      <c r="Y838" s="312"/>
      <c r="Z838" s="312"/>
      <c r="AA838" s="312"/>
      <c r="AB838" s="312"/>
      <c r="AC838" s="312"/>
      <c r="AD838" s="312"/>
      <c r="AE838" s="312"/>
      <c r="AF838" s="312"/>
      <c r="AG838" s="312"/>
      <c r="AH838" s="312"/>
      <c r="AI838" s="312"/>
      <c r="AJ838" s="312"/>
      <c r="AK838" s="312"/>
      <c r="AL838" s="312"/>
      <c r="AM838" s="312"/>
      <c r="AN838" s="312"/>
      <c r="AO838" s="312"/>
      <c r="AP838" s="312"/>
    </row>
    <row r="839" ht="15.75" customHeight="1">
      <c r="A839" s="318"/>
      <c r="B839" s="312"/>
      <c r="C839" s="312"/>
      <c r="D839" s="312"/>
      <c r="E839" s="312"/>
      <c r="F839" s="312"/>
      <c r="G839" s="312"/>
      <c r="H839" s="312"/>
      <c r="I839" s="312"/>
      <c r="J839" s="312"/>
      <c r="K839" s="312"/>
      <c r="L839" s="312"/>
      <c r="M839" s="312"/>
      <c r="N839" s="312"/>
      <c r="O839" s="312"/>
      <c r="P839" s="312"/>
      <c r="Q839" s="312"/>
      <c r="R839" s="312"/>
      <c r="S839" s="312"/>
      <c r="T839" s="312"/>
      <c r="U839" s="312"/>
      <c r="V839" s="312"/>
      <c r="W839" s="312"/>
      <c r="X839" s="312"/>
      <c r="Y839" s="312"/>
      <c r="Z839" s="312"/>
      <c r="AA839" s="312"/>
      <c r="AB839" s="312"/>
      <c r="AC839" s="312"/>
      <c r="AD839" s="312"/>
      <c r="AE839" s="312"/>
      <c r="AF839" s="312"/>
      <c r="AG839" s="312"/>
      <c r="AH839" s="312"/>
      <c r="AI839" s="312"/>
      <c r="AJ839" s="312"/>
      <c r="AK839" s="312"/>
      <c r="AL839" s="312"/>
      <c r="AM839" s="312"/>
      <c r="AN839" s="312"/>
      <c r="AO839" s="312"/>
      <c r="AP839" s="312"/>
    </row>
    <row r="840" ht="15.75" customHeight="1">
      <c r="A840" s="318"/>
      <c r="B840" s="312"/>
      <c r="C840" s="312"/>
      <c r="D840" s="312"/>
      <c r="E840" s="312"/>
      <c r="F840" s="312"/>
      <c r="G840" s="312"/>
      <c r="H840" s="312"/>
      <c r="I840" s="312"/>
      <c r="J840" s="312"/>
      <c r="K840" s="312"/>
      <c r="L840" s="312"/>
      <c r="M840" s="312"/>
      <c r="N840" s="312"/>
      <c r="O840" s="312"/>
      <c r="P840" s="312"/>
      <c r="Q840" s="312"/>
      <c r="R840" s="312"/>
      <c r="S840" s="312"/>
      <c r="T840" s="312"/>
      <c r="U840" s="312"/>
      <c r="V840" s="312"/>
      <c r="W840" s="312"/>
      <c r="X840" s="312"/>
      <c r="Y840" s="312"/>
      <c r="Z840" s="312"/>
      <c r="AA840" s="312"/>
      <c r="AB840" s="312"/>
      <c r="AC840" s="312"/>
      <c r="AD840" s="312"/>
      <c r="AE840" s="312"/>
      <c r="AF840" s="312"/>
      <c r="AG840" s="312"/>
      <c r="AH840" s="312"/>
      <c r="AI840" s="312"/>
      <c r="AJ840" s="312"/>
      <c r="AK840" s="312"/>
      <c r="AL840" s="312"/>
      <c r="AM840" s="312"/>
      <c r="AN840" s="312"/>
      <c r="AO840" s="312"/>
      <c r="AP840" s="312"/>
    </row>
    <row r="841" ht="15.75" customHeight="1">
      <c r="A841" s="318"/>
      <c r="B841" s="312"/>
      <c r="C841" s="312"/>
      <c r="D841" s="312"/>
      <c r="E841" s="312"/>
      <c r="F841" s="312"/>
      <c r="G841" s="312"/>
      <c r="H841" s="312"/>
      <c r="I841" s="312"/>
      <c r="J841" s="312"/>
      <c r="K841" s="312"/>
      <c r="L841" s="312"/>
      <c r="M841" s="312"/>
      <c r="N841" s="312"/>
      <c r="O841" s="312"/>
      <c r="P841" s="312"/>
      <c r="Q841" s="312"/>
      <c r="R841" s="312"/>
      <c r="S841" s="312"/>
      <c r="T841" s="312"/>
      <c r="U841" s="312"/>
      <c r="V841" s="312"/>
      <c r="W841" s="312"/>
      <c r="X841" s="312"/>
      <c r="Y841" s="312"/>
      <c r="Z841" s="312"/>
      <c r="AA841" s="312"/>
      <c r="AB841" s="312"/>
      <c r="AC841" s="312"/>
      <c r="AD841" s="312"/>
      <c r="AE841" s="312"/>
      <c r="AF841" s="312"/>
      <c r="AG841" s="312"/>
      <c r="AH841" s="312"/>
      <c r="AI841" s="312"/>
      <c r="AJ841" s="312"/>
      <c r="AK841" s="312"/>
      <c r="AL841" s="312"/>
      <c r="AM841" s="312"/>
      <c r="AN841" s="312"/>
      <c r="AO841" s="312"/>
      <c r="AP841" s="312"/>
    </row>
    <row r="842" ht="15.75" customHeight="1">
      <c r="A842" s="318"/>
      <c r="B842" s="312"/>
      <c r="C842" s="312"/>
      <c r="D842" s="312"/>
      <c r="E842" s="312"/>
      <c r="F842" s="312"/>
      <c r="G842" s="312"/>
      <c r="H842" s="312"/>
      <c r="I842" s="312"/>
      <c r="J842" s="312"/>
      <c r="K842" s="312"/>
      <c r="L842" s="312"/>
      <c r="M842" s="312"/>
      <c r="N842" s="312"/>
      <c r="O842" s="312"/>
      <c r="P842" s="312"/>
      <c r="Q842" s="312"/>
      <c r="R842" s="312"/>
      <c r="S842" s="312"/>
      <c r="T842" s="312"/>
      <c r="U842" s="312"/>
      <c r="V842" s="312"/>
      <c r="W842" s="312"/>
      <c r="X842" s="312"/>
      <c r="Y842" s="312"/>
      <c r="Z842" s="312"/>
      <c r="AA842" s="312"/>
      <c r="AB842" s="312"/>
      <c r="AC842" s="312"/>
      <c r="AD842" s="312"/>
      <c r="AE842" s="312"/>
      <c r="AF842" s="312"/>
      <c r="AG842" s="312"/>
      <c r="AH842" s="312"/>
      <c r="AI842" s="312"/>
      <c r="AJ842" s="312"/>
      <c r="AK842" s="312"/>
      <c r="AL842" s="312"/>
      <c r="AM842" s="312"/>
      <c r="AN842" s="312"/>
      <c r="AO842" s="312"/>
      <c r="AP842" s="312"/>
    </row>
    <row r="843" ht="15.75" customHeight="1">
      <c r="A843" s="318"/>
      <c r="B843" s="312"/>
      <c r="C843" s="312"/>
      <c r="D843" s="312"/>
      <c r="E843" s="312"/>
      <c r="F843" s="312"/>
      <c r="G843" s="312"/>
      <c r="H843" s="312"/>
      <c r="I843" s="312"/>
      <c r="J843" s="312"/>
      <c r="K843" s="312"/>
      <c r="L843" s="312"/>
      <c r="M843" s="312"/>
      <c r="N843" s="312"/>
      <c r="O843" s="312"/>
      <c r="P843" s="312"/>
      <c r="Q843" s="312"/>
      <c r="R843" s="312"/>
      <c r="S843" s="312"/>
      <c r="T843" s="312"/>
      <c r="U843" s="312"/>
      <c r="V843" s="312"/>
      <c r="W843" s="312"/>
      <c r="X843" s="312"/>
      <c r="Y843" s="312"/>
      <c r="Z843" s="312"/>
      <c r="AA843" s="312"/>
      <c r="AB843" s="312"/>
      <c r="AC843" s="312"/>
      <c r="AD843" s="312"/>
      <c r="AE843" s="312"/>
      <c r="AF843" s="312"/>
      <c r="AG843" s="312"/>
      <c r="AH843" s="312"/>
      <c r="AI843" s="312"/>
      <c r="AJ843" s="312"/>
      <c r="AK843" s="312"/>
      <c r="AL843" s="312"/>
      <c r="AM843" s="312"/>
      <c r="AN843" s="312"/>
      <c r="AO843" s="312"/>
      <c r="AP843" s="312"/>
    </row>
    <row r="844" ht="15.75" customHeight="1">
      <c r="A844" s="318"/>
      <c r="B844" s="312"/>
      <c r="C844" s="312"/>
      <c r="D844" s="312"/>
      <c r="E844" s="312"/>
      <c r="F844" s="312"/>
      <c r="G844" s="312"/>
      <c r="H844" s="312"/>
      <c r="I844" s="312"/>
      <c r="J844" s="312"/>
      <c r="K844" s="312"/>
      <c r="L844" s="312"/>
      <c r="M844" s="312"/>
      <c r="N844" s="312"/>
      <c r="O844" s="312"/>
      <c r="P844" s="312"/>
      <c r="Q844" s="312"/>
      <c r="R844" s="312"/>
      <c r="S844" s="312"/>
      <c r="T844" s="312"/>
      <c r="U844" s="312"/>
      <c r="V844" s="312"/>
      <c r="W844" s="312"/>
      <c r="X844" s="312"/>
      <c r="Y844" s="312"/>
      <c r="Z844" s="312"/>
      <c r="AA844" s="312"/>
      <c r="AB844" s="312"/>
      <c r="AC844" s="312"/>
      <c r="AD844" s="312"/>
      <c r="AE844" s="312"/>
      <c r="AF844" s="312"/>
      <c r="AG844" s="312"/>
      <c r="AH844" s="312"/>
      <c r="AI844" s="312"/>
      <c r="AJ844" s="312"/>
      <c r="AK844" s="312"/>
      <c r="AL844" s="312"/>
      <c r="AM844" s="312"/>
      <c r="AN844" s="312"/>
      <c r="AO844" s="312"/>
      <c r="AP844" s="312"/>
    </row>
    <row r="845" ht="15.75" customHeight="1">
      <c r="A845" s="318"/>
      <c r="B845" s="312"/>
      <c r="C845" s="312"/>
      <c r="D845" s="312"/>
      <c r="E845" s="312"/>
      <c r="F845" s="312"/>
      <c r="G845" s="312"/>
      <c r="H845" s="312"/>
      <c r="I845" s="312"/>
      <c r="J845" s="312"/>
      <c r="K845" s="312"/>
      <c r="L845" s="312"/>
      <c r="M845" s="312"/>
      <c r="N845" s="312"/>
      <c r="O845" s="312"/>
      <c r="P845" s="312"/>
      <c r="Q845" s="312"/>
      <c r="R845" s="312"/>
      <c r="S845" s="312"/>
      <c r="T845" s="312"/>
      <c r="U845" s="312"/>
      <c r="V845" s="312"/>
      <c r="W845" s="312"/>
      <c r="X845" s="312"/>
      <c r="Y845" s="312"/>
      <c r="Z845" s="312"/>
      <c r="AA845" s="312"/>
      <c r="AB845" s="312"/>
      <c r="AC845" s="312"/>
      <c r="AD845" s="312"/>
      <c r="AE845" s="312"/>
      <c r="AF845" s="312"/>
      <c r="AG845" s="312"/>
      <c r="AH845" s="312"/>
      <c r="AI845" s="312"/>
      <c r="AJ845" s="312"/>
      <c r="AK845" s="312"/>
      <c r="AL845" s="312"/>
      <c r="AM845" s="312"/>
      <c r="AN845" s="312"/>
      <c r="AO845" s="312"/>
      <c r="AP845" s="312"/>
    </row>
    <row r="846" ht="15.75" customHeight="1">
      <c r="A846" s="318"/>
      <c r="B846" s="312"/>
      <c r="C846" s="312"/>
      <c r="D846" s="312"/>
      <c r="E846" s="312"/>
      <c r="F846" s="312"/>
      <c r="G846" s="312"/>
      <c r="H846" s="312"/>
      <c r="I846" s="312"/>
      <c r="J846" s="312"/>
      <c r="K846" s="312"/>
      <c r="L846" s="312"/>
      <c r="M846" s="312"/>
      <c r="N846" s="312"/>
      <c r="O846" s="312"/>
      <c r="P846" s="312"/>
      <c r="Q846" s="312"/>
      <c r="R846" s="312"/>
      <c r="S846" s="312"/>
      <c r="T846" s="312"/>
      <c r="U846" s="312"/>
      <c r="V846" s="312"/>
      <c r="W846" s="312"/>
      <c r="X846" s="312"/>
      <c r="Y846" s="312"/>
      <c r="Z846" s="312"/>
      <c r="AA846" s="312"/>
      <c r="AB846" s="312"/>
      <c r="AC846" s="312"/>
      <c r="AD846" s="312"/>
      <c r="AE846" s="312"/>
      <c r="AF846" s="312"/>
      <c r="AG846" s="312"/>
      <c r="AH846" s="312"/>
      <c r="AI846" s="312"/>
      <c r="AJ846" s="312"/>
      <c r="AK846" s="312"/>
      <c r="AL846" s="312"/>
      <c r="AM846" s="312"/>
      <c r="AN846" s="312"/>
      <c r="AO846" s="312"/>
      <c r="AP846" s="312"/>
    </row>
    <row r="847" ht="15.75" customHeight="1">
      <c r="A847" s="318"/>
      <c r="B847" s="312"/>
      <c r="C847" s="312"/>
      <c r="D847" s="312"/>
      <c r="E847" s="312"/>
      <c r="F847" s="312"/>
      <c r="G847" s="312"/>
      <c r="H847" s="312"/>
      <c r="I847" s="312"/>
      <c r="J847" s="312"/>
      <c r="K847" s="312"/>
      <c r="L847" s="312"/>
      <c r="M847" s="312"/>
      <c r="N847" s="312"/>
      <c r="O847" s="312"/>
      <c r="P847" s="312"/>
      <c r="Q847" s="312"/>
      <c r="R847" s="312"/>
      <c r="S847" s="312"/>
      <c r="T847" s="312"/>
      <c r="U847" s="312"/>
      <c r="V847" s="312"/>
      <c r="W847" s="312"/>
      <c r="X847" s="312"/>
      <c r="Y847" s="312"/>
      <c r="Z847" s="312"/>
      <c r="AA847" s="312"/>
      <c r="AB847" s="312"/>
      <c r="AC847" s="312"/>
      <c r="AD847" s="312"/>
      <c r="AE847" s="312"/>
      <c r="AF847" s="312"/>
      <c r="AG847" s="312"/>
      <c r="AH847" s="312"/>
      <c r="AI847" s="312"/>
      <c r="AJ847" s="312"/>
      <c r="AK847" s="312"/>
      <c r="AL847" s="312"/>
      <c r="AM847" s="312"/>
      <c r="AN847" s="312"/>
      <c r="AO847" s="312"/>
      <c r="AP847" s="312"/>
    </row>
    <row r="848" ht="15.75" customHeight="1">
      <c r="A848" s="318"/>
      <c r="B848" s="312"/>
      <c r="C848" s="312"/>
      <c r="D848" s="312"/>
      <c r="E848" s="312"/>
      <c r="F848" s="312"/>
      <c r="G848" s="312"/>
      <c r="H848" s="312"/>
      <c r="I848" s="312"/>
      <c r="J848" s="312"/>
      <c r="K848" s="312"/>
      <c r="L848" s="312"/>
      <c r="M848" s="312"/>
      <c r="N848" s="312"/>
      <c r="O848" s="312"/>
      <c r="P848" s="312"/>
      <c r="Q848" s="312"/>
      <c r="R848" s="312"/>
      <c r="S848" s="312"/>
      <c r="T848" s="312"/>
      <c r="U848" s="312"/>
      <c r="V848" s="312"/>
      <c r="W848" s="312"/>
      <c r="X848" s="312"/>
      <c r="Y848" s="312"/>
      <c r="Z848" s="312"/>
      <c r="AA848" s="312"/>
      <c r="AB848" s="312"/>
      <c r="AC848" s="312"/>
      <c r="AD848" s="312"/>
      <c r="AE848" s="312"/>
      <c r="AF848" s="312"/>
      <c r="AG848" s="312"/>
      <c r="AH848" s="312"/>
      <c r="AI848" s="312"/>
      <c r="AJ848" s="312"/>
      <c r="AK848" s="312"/>
      <c r="AL848" s="312"/>
      <c r="AM848" s="312"/>
      <c r="AN848" s="312"/>
      <c r="AO848" s="312"/>
      <c r="AP848" s="312"/>
    </row>
    <row r="849" ht="15.75" customHeight="1">
      <c r="A849" s="318"/>
      <c r="B849" s="312"/>
      <c r="C849" s="312"/>
      <c r="D849" s="312"/>
      <c r="E849" s="312"/>
      <c r="F849" s="312"/>
      <c r="G849" s="312"/>
      <c r="H849" s="312"/>
      <c r="I849" s="312"/>
      <c r="J849" s="312"/>
      <c r="K849" s="312"/>
      <c r="L849" s="312"/>
      <c r="M849" s="312"/>
      <c r="N849" s="312"/>
      <c r="O849" s="312"/>
      <c r="P849" s="312"/>
      <c r="Q849" s="312"/>
      <c r="R849" s="312"/>
      <c r="S849" s="312"/>
      <c r="T849" s="312"/>
      <c r="U849" s="312"/>
      <c r="V849" s="312"/>
      <c r="W849" s="312"/>
      <c r="X849" s="312"/>
      <c r="Y849" s="312"/>
      <c r="Z849" s="312"/>
      <c r="AA849" s="312"/>
      <c r="AB849" s="312"/>
      <c r="AC849" s="312"/>
      <c r="AD849" s="312"/>
      <c r="AE849" s="312"/>
      <c r="AF849" s="312"/>
      <c r="AG849" s="312"/>
      <c r="AH849" s="312"/>
      <c r="AI849" s="312"/>
      <c r="AJ849" s="312"/>
      <c r="AK849" s="312"/>
      <c r="AL849" s="312"/>
      <c r="AM849" s="312"/>
      <c r="AN849" s="312"/>
      <c r="AO849" s="312"/>
      <c r="AP849" s="312"/>
    </row>
    <row r="850" ht="15.75" customHeight="1">
      <c r="A850" s="318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2"/>
      <c r="S850" s="312"/>
      <c r="T850" s="312"/>
      <c r="U850" s="312"/>
      <c r="V850" s="312"/>
      <c r="W850" s="312"/>
      <c r="X850" s="312"/>
      <c r="Y850" s="312"/>
      <c r="Z850" s="312"/>
      <c r="AA850" s="312"/>
      <c r="AB850" s="312"/>
      <c r="AC850" s="312"/>
      <c r="AD850" s="312"/>
      <c r="AE850" s="312"/>
      <c r="AF850" s="312"/>
      <c r="AG850" s="312"/>
      <c r="AH850" s="312"/>
      <c r="AI850" s="312"/>
      <c r="AJ850" s="312"/>
      <c r="AK850" s="312"/>
      <c r="AL850" s="312"/>
      <c r="AM850" s="312"/>
      <c r="AN850" s="312"/>
      <c r="AO850" s="312"/>
      <c r="AP850" s="312"/>
    </row>
    <row r="851" ht="15.75" customHeight="1">
      <c r="A851" s="318"/>
      <c r="B851" s="312"/>
      <c r="C851" s="312"/>
      <c r="D851" s="312"/>
      <c r="E851" s="312"/>
      <c r="F851" s="312"/>
      <c r="G851" s="312"/>
      <c r="H851" s="312"/>
      <c r="I851" s="312"/>
      <c r="J851" s="312"/>
      <c r="K851" s="312"/>
      <c r="L851" s="312"/>
      <c r="M851" s="312"/>
      <c r="N851" s="312"/>
      <c r="O851" s="312"/>
      <c r="P851" s="312"/>
      <c r="Q851" s="312"/>
      <c r="R851" s="312"/>
      <c r="S851" s="312"/>
      <c r="T851" s="312"/>
      <c r="U851" s="312"/>
      <c r="V851" s="312"/>
      <c r="W851" s="312"/>
      <c r="X851" s="312"/>
      <c r="Y851" s="312"/>
      <c r="Z851" s="312"/>
      <c r="AA851" s="312"/>
      <c r="AB851" s="312"/>
      <c r="AC851" s="312"/>
      <c r="AD851" s="312"/>
      <c r="AE851" s="312"/>
      <c r="AF851" s="312"/>
      <c r="AG851" s="312"/>
      <c r="AH851" s="312"/>
      <c r="AI851" s="312"/>
      <c r="AJ851" s="312"/>
      <c r="AK851" s="312"/>
      <c r="AL851" s="312"/>
      <c r="AM851" s="312"/>
      <c r="AN851" s="312"/>
      <c r="AO851" s="312"/>
      <c r="AP851" s="312"/>
    </row>
    <row r="852" ht="15.75" customHeight="1">
      <c r="A852" s="318"/>
      <c r="B852" s="312"/>
      <c r="C852" s="312"/>
      <c r="D852" s="312"/>
      <c r="E852" s="312"/>
      <c r="F852" s="312"/>
      <c r="G852" s="312"/>
      <c r="H852" s="312"/>
      <c r="I852" s="312"/>
      <c r="J852" s="312"/>
      <c r="K852" s="312"/>
      <c r="L852" s="312"/>
      <c r="M852" s="312"/>
      <c r="N852" s="312"/>
      <c r="O852" s="312"/>
      <c r="P852" s="312"/>
      <c r="Q852" s="312"/>
      <c r="R852" s="312"/>
      <c r="S852" s="312"/>
      <c r="T852" s="312"/>
      <c r="U852" s="312"/>
      <c r="V852" s="312"/>
      <c r="W852" s="312"/>
      <c r="X852" s="312"/>
      <c r="Y852" s="312"/>
      <c r="Z852" s="312"/>
      <c r="AA852" s="312"/>
      <c r="AB852" s="312"/>
      <c r="AC852" s="312"/>
      <c r="AD852" s="312"/>
      <c r="AE852" s="312"/>
      <c r="AF852" s="312"/>
      <c r="AG852" s="312"/>
      <c r="AH852" s="312"/>
      <c r="AI852" s="312"/>
      <c r="AJ852" s="312"/>
      <c r="AK852" s="312"/>
      <c r="AL852" s="312"/>
      <c r="AM852" s="312"/>
      <c r="AN852" s="312"/>
      <c r="AO852" s="312"/>
      <c r="AP852" s="312"/>
    </row>
    <row r="853" ht="15.75" customHeight="1">
      <c r="A853" s="318"/>
      <c r="B853" s="312"/>
      <c r="C853" s="312"/>
      <c r="D853" s="312"/>
      <c r="E853" s="312"/>
      <c r="F853" s="312"/>
      <c r="G853" s="312"/>
      <c r="H853" s="312"/>
      <c r="I853" s="312"/>
      <c r="J853" s="312"/>
      <c r="K853" s="312"/>
      <c r="L853" s="312"/>
      <c r="M853" s="312"/>
      <c r="N853" s="312"/>
      <c r="O853" s="312"/>
      <c r="P853" s="312"/>
      <c r="Q853" s="312"/>
      <c r="R853" s="312"/>
      <c r="S853" s="312"/>
      <c r="T853" s="312"/>
      <c r="U853" s="312"/>
      <c r="V853" s="312"/>
      <c r="W853" s="312"/>
      <c r="X853" s="312"/>
      <c r="Y853" s="312"/>
      <c r="Z853" s="312"/>
      <c r="AA853" s="312"/>
      <c r="AB853" s="312"/>
      <c r="AC853" s="312"/>
      <c r="AD853" s="312"/>
      <c r="AE853" s="312"/>
      <c r="AF853" s="312"/>
      <c r="AG853" s="312"/>
      <c r="AH853" s="312"/>
      <c r="AI853" s="312"/>
      <c r="AJ853" s="312"/>
      <c r="AK853" s="312"/>
      <c r="AL853" s="312"/>
      <c r="AM853" s="312"/>
      <c r="AN853" s="312"/>
      <c r="AO853" s="312"/>
      <c r="AP853" s="312"/>
    </row>
    <row r="854" ht="15.75" customHeight="1">
      <c r="A854" s="318"/>
      <c r="B854" s="312"/>
      <c r="C854" s="312"/>
      <c r="D854" s="312"/>
      <c r="E854" s="312"/>
      <c r="F854" s="312"/>
      <c r="G854" s="312"/>
      <c r="H854" s="312"/>
      <c r="I854" s="312"/>
      <c r="J854" s="312"/>
      <c r="K854" s="312"/>
      <c r="L854" s="312"/>
      <c r="M854" s="312"/>
      <c r="N854" s="312"/>
      <c r="O854" s="312"/>
      <c r="P854" s="312"/>
      <c r="Q854" s="312"/>
      <c r="R854" s="312"/>
      <c r="S854" s="312"/>
      <c r="T854" s="312"/>
      <c r="U854" s="312"/>
      <c r="V854" s="312"/>
      <c r="W854" s="312"/>
      <c r="X854" s="312"/>
      <c r="Y854" s="312"/>
      <c r="Z854" s="312"/>
      <c r="AA854" s="312"/>
      <c r="AB854" s="312"/>
      <c r="AC854" s="312"/>
      <c r="AD854" s="312"/>
      <c r="AE854" s="312"/>
      <c r="AF854" s="312"/>
      <c r="AG854" s="312"/>
      <c r="AH854" s="312"/>
      <c r="AI854" s="312"/>
      <c r="AJ854" s="312"/>
      <c r="AK854" s="312"/>
      <c r="AL854" s="312"/>
      <c r="AM854" s="312"/>
      <c r="AN854" s="312"/>
      <c r="AO854" s="312"/>
      <c r="AP854" s="312"/>
    </row>
    <row r="855" ht="15.75" customHeight="1">
      <c r="A855" s="318"/>
      <c r="B855" s="312"/>
      <c r="C855" s="312"/>
      <c r="D855" s="312"/>
      <c r="E855" s="312"/>
      <c r="F855" s="312"/>
      <c r="G855" s="312"/>
      <c r="H855" s="312"/>
      <c r="I855" s="312"/>
      <c r="J855" s="312"/>
      <c r="K855" s="312"/>
      <c r="L855" s="312"/>
      <c r="M855" s="312"/>
      <c r="N855" s="312"/>
      <c r="O855" s="312"/>
      <c r="P855" s="312"/>
      <c r="Q855" s="312"/>
      <c r="R855" s="312"/>
      <c r="S855" s="312"/>
      <c r="T855" s="312"/>
      <c r="U855" s="312"/>
      <c r="V855" s="312"/>
      <c r="W855" s="312"/>
      <c r="X855" s="312"/>
      <c r="Y855" s="312"/>
      <c r="Z855" s="312"/>
      <c r="AA855" s="312"/>
      <c r="AB855" s="312"/>
      <c r="AC855" s="312"/>
      <c r="AD855" s="312"/>
      <c r="AE855" s="312"/>
      <c r="AF855" s="312"/>
      <c r="AG855" s="312"/>
      <c r="AH855" s="312"/>
      <c r="AI855" s="312"/>
      <c r="AJ855" s="312"/>
      <c r="AK855" s="312"/>
      <c r="AL855" s="312"/>
      <c r="AM855" s="312"/>
      <c r="AN855" s="312"/>
      <c r="AO855" s="312"/>
      <c r="AP855" s="312"/>
    </row>
    <row r="856" ht="15.75" customHeight="1">
      <c r="A856" s="318"/>
      <c r="B856" s="312"/>
      <c r="C856" s="312"/>
      <c r="D856" s="312"/>
      <c r="E856" s="312"/>
      <c r="F856" s="312"/>
      <c r="G856" s="312"/>
      <c r="H856" s="312"/>
      <c r="I856" s="312"/>
      <c r="J856" s="312"/>
      <c r="K856" s="312"/>
      <c r="L856" s="312"/>
      <c r="M856" s="312"/>
      <c r="N856" s="312"/>
      <c r="O856" s="312"/>
      <c r="P856" s="312"/>
      <c r="Q856" s="312"/>
      <c r="R856" s="312"/>
      <c r="S856" s="312"/>
      <c r="T856" s="312"/>
      <c r="U856" s="312"/>
      <c r="V856" s="312"/>
      <c r="W856" s="312"/>
      <c r="X856" s="312"/>
      <c r="Y856" s="312"/>
      <c r="Z856" s="312"/>
      <c r="AA856" s="312"/>
      <c r="AB856" s="312"/>
      <c r="AC856" s="312"/>
      <c r="AD856" s="312"/>
      <c r="AE856" s="312"/>
      <c r="AF856" s="312"/>
      <c r="AG856" s="312"/>
      <c r="AH856" s="312"/>
      <c r="AI856" s="312"/>
      <c r="AJ856" s="312"/>
      <c r="AK856" s="312"/>
      <c r="AL856" s="312"/>
      <c r="AM856" s="312"/>
      <c r="AN856" s="312"/>
      <c r="AO856" s="312"/>
      <c r="AP856" s="312"/>
    </row>
    <row r="857" ht="15.75" customHeight="1">
      <c r="A857" s="318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2"/>
      <c r="S857" s="312"/>
      <c r="T857" s="312"/>
      <c r="U857" s="312"/>
      <c r="V857" s="312"/>
      <c r="W857" s="312"/>
      <c r="X857" s="312"/>
      <c r="Y857" s="312"/>
      <c r="Z857" s="312"/>
      <c r="AA857" s="312"/>
      <c r="AB857" s="312"/>
      <c r="AC857" s="312"/>
      <c r="AD857" s="312"/>
      <c r="AE857" s="312"/>
      <c r="AF857" s="312"/>
      <c r="AG857" s="312"/>
      <c r="AH857" s="312"/>
      <c r="AI857" s="312"/>
      <c r="AJ857" s="312"/>
      <c r="AK857" s="312"/>
      <c r="AL857" s="312"/>
      <c r="AM857" s="312"/>
      <c r="AN857" s="312"/>
      <c r="AO857" s="312"/>
      <c r="AP857" s="312"/>
    </row>
    <row r="858" ht="15.75" customHeight="1">
      <c r="A858" s="318"/>
      <c r="B858" s="312"/>
      <c r="C858" s="312"/>
      <c r="D858" s="312"/>
      <c r="E858" s="312"/>
      <c r="F858" s="312"/>
      <c r="G858" s="312"/>
      <c r="H858" s="312"/>
      <c r="I858" s="312"/>
      <c r="J858" s="312"/>
      <c r="K858" s="312"/>
      <c r="L858" s="312"/>
      <c r="M858" s="312"/>
      <c r="N858" s="312"/>
      <c r="O858" s="312"/>
      <c r="P858" s="312"/>
      <c r="Q858" s="312"/>
      <c r="R858" s="312"/>
      <c r="S858" s="312"/>
      <c r="T858" s="312"/>
      <c r="U858" s="312"/>
      <c r="V858" s="312"/>
      <c r="W858" s="312"/>
      <c r="X858" s="312"/>
      <c r="Y858" s="312"/>
      <c r="Z858" s="312"/>
      <c r="AA858" s="312"/>
      <c r="AB858" s="312"/>
      <c r="AC858" s="312"/>
      <c r="AD858" s="312"/>
      <c r="AE858" s="312"/>
      <c r="AF858" s="312"/>
      <c r="AG858" s="312"/>
      <c r="AH858" s="312"/>
      <c r="AI858" s="312"/>
      <c r="AJ858" s="312"/>
      <c r="AK858" s="312"/>
      <c r="AL858" s="312"/>
      <c r="AM858" s="312"/>
      <c r="AN858" s="312"/>
      <c r="AO858" s="312"/>
      <c r="AP858" s="312"/>
    </row>
    <row r="859" ht="15.75" customHeight="1">
      <c r="A859" s="318"/>
      <c r="B859" s="312"/>
      <c r="C859" s="312"/>
      <c r="D859" s="312"/>
      <c r="E859" s="312"/>
      <c r="F859" s="312"/>
      <c r="G859" s="312"/>
      <c r="H859" s="312"/>
      <c r="I859" s="312"/>
      <c r="J859" s="312"/>
      <c r="K859" s="312"/>
      <c r="L859" s="312"/>
      <c r="M859" s="312"/>
      <c r="N859" s="312"/>
      <c r="O859" s="312"/>
      <c r="P859" s="312"/>
      <c r="Q859" s="312"/>
      <c r="R859" s="312"/>
      <c r="S859" s="312"/>
      <c r="T859" s="312"/>
      <c r="U859" s="312"/>
      <c r="V859" s="312"/>
      <c r="W859" s="312"/>
      <c r="X859" s="312"/>
      <c r="Y859" s="312"/>
      <c r="Z859" s="312"/>
      <c r="AA859" s="312"/>
      <c r="AB859" s="312"/>
      <c r="AC859" s="312"/>
      <c r="AD859" s="312"/>
      <c r="AE859" s="312"/>
      <c r="AF859" s="312"/>
      <c r="AG859" s="312"/>
      <c r="AH859" s="312"/>
      <c r="AI859" s="312"/>
      <c r="AJ859" s="312"/>
      <c r="AK859" s="312"/>
      <c r="AL859" s="312"/>
      <c r="AM859" s="312"/>
      <c r="AN859" s="312"/>
      <c r="AO859" s="312"/>
      <c r="AP859" s="312"/>
    </row>
    <row r="860" ht="15.75" customHeight="1">
      <c r="A860" s="318"/>
      <c r="B860" s="312"/>
      <c r="C860" s="312"/>
      <c r="D860" s="312"/>
      <c r="E860" s="312"/>
      <c r="F860" s="312"/>
      <c r="G860" s="312"/>
      <c r="H860" s="312"/>
      <c r="I860" s="312"/>
      <c r="J860" s="312"/>
      <c r="K860" s="312"/>
      <c r="L860" s="312"/>
      <c r="M860" s="312"/>
      <c r="N860" s="312"/>
      <c r="O860" s="312"/>
      <c r="P860" s="312"/>
      <c r="Q860" s="312"/>
      <c r="R860" s="312"/>
      <c r="S860" s="312"/>
      <c r="T860" s="312"/>
      <c r="U860" s="312"/>
      <c r="V860" s="312"/>
      <c r="W860" s="312"/>
      <c r="X860" s="312"/>
      <c r="Y860" s="312"/>
      <c r="Z860" s="312"/>
      <c r="AA860" s="312"/>
      <c r="AB860" s="312"/>
      <c r="AC860" s="312"/>
      <c r="AD860" s="312"/>
      <c r="AE860" s="312"/>
      <c r="AF860" s="312"/>
      <c r="AG860" s="312"/>
      <c r="AH860" s="312"/>
      <c r="AI860" s="312"/>
      <c r="AJ860" s="312"/>
      <c r="AK860" s="312"/>
      <c r="AL860" s="312"/>
      <c r="AM860" s="312"/>
      <c r="AN860" s="312"/>
      <c r="AO860" s="312"/>
      <c r="AP860" s="312"/>
    </row>
    <row r="861" ht="15.75" customHeight="1">
      <c r="A861" s="318"/>
      <c r="B861" s="312"/>
      <c r="C861" s="312"/>
      <c r="D861" s="312"/>
      <c r="E861" s="312"/>
      <c r="F861" s="312"/>
      <c r="G861" s="312"/>
      <c r="H861" s="312"/>
      <c r="I861" s="312"/>
      <c r="J861" s="312"/>
      <c r="K861" s="312"/>
      <c r="L861" s="312"/>
      <c r="M861" s="312"/>
      <c r="N861" s="312"/>
      <c r="O861" s="312"/>
      <c r="P861" s="312"/>
      <c r="Q861" s="312"/>
      <c r="R861" s="312"/>
      <c r="S861" s="312"/>
      <c r="T861" s="312"/>
      <c r="U861" s="312"/>
      <c r="V861" s="312"/>
      <c r="W861" s="312"/>
      <c r="X861" s="312"/>
      <c r="Y861" s="312"/>
      <c r="Z861" s="312"/>
      <c r="AA861" s="312"/>
      <c r="AB861" s="312"/>
      <c r="AC861" s="312"/>
      <c r="AD861" s="312"/>
      <c r="AE861" s="312"/>
      <c r="AF861" s="312"/>
      <c r="AG861" s="312"/>
      <c r="AH861" s="312"/>
      <c r="AI861" s="312"/>
      <c r="AJ861" s="312"/>
      <c r="AK861" s="312"/>
      <c r="AL861" s="312"/>
      <c r="AM861" s="312"/>
      <c r="AN861" s="312"/>
      <c r="AO861" s="312"/>
      <c r="AP861" s="312"/>
    </row>
    <row r="862" ht="15.75" customHeight="1">
      <c r="A862" s="318"/>
      <c r="B862" s="312"/>
      <c r="C862" s="312"/>
      <c r="D862" s="312"/>
      <c r="E862" s="312"/>
      <c r="F862" s="312"/>
      <c r="G862" s="312"/>
      <c r="H862" s="312"/>
      <c r="I862" s="312"/>
      <c r="J862" s="312"/>
      <c r="K862" s="312"/>
      <c r="L862" s="312"/>
      <c r="M862" s="312"/>
      <c r="N862" s="312"/>
      <c r="O862" s="312"/>
      <c r="P862" s="312"/>
      <c r="Q862" s="312"/>
      <c r="R862" s="312"/>
      <c r="S862" s="312"/>
      <c r="T862" s="312"/>
      <c r="U862" s="312"/>
      <c r="V862" s="312"/>
      <c r="W862" s="312"/>
      <c r="X862" s="312"/>
      <c r="Y862" s="312"/>
      <c r="Z862" s="312"/>
      <c r="AA862" s="312"/>
      <c r="AB862" s="312"/>
      <c r="AC862" s="312"/>
      <c r="AD862" s="312"/>
      <c r="AE862" s="312"/>
      <c r="AF862" s="312"/>
      <c r="AG862" s="312"/>
      <c r="AH862" s="312"/>
      <c r="AI862" s="312"/>
      <c r="AJ862" s="312"/>
      <c r="AK862" s="312"/>
      <c r="AL862" s="312"/>
      <c r="AM862" s="312"/>
      <c r="AN862" s="312"/>
      <c r="AO862" s="312"/>
      <c r="AP862" s="312"/>
    </row>
    <row r="863" ht="15.75" customHeight="1">
      <c r="A863" s="318"/>
      <c r="B863" s="312"/>
      <c r="C863" s="312"/>
      <c r="D863" s="312"/>
      <c r="E863" s="312"/>
      <c r="F863" s="312"/>
      <c r="G863" s="312"/>
      <c r="H863" s="312"/>
      <c r="I863" s="312"/>
      <c r="J863" s="312"/>
      <c r="K863" s="312"/>
      <c r="L863" s="312"/>
      <c r="M863" s="312"/>
      <c r="N863" s="312"/>
      <c r="O863" s="312"/>
      <c r="P863" s="312"/>
      <c r="Q863" s="312"/>
      <c r="R863" s="312"/>
      <c r="S863" s="312"/>
      <c r="T863" s="312"/>
      <c r="U863" s="312"/>
      <c r="V863" s="312"/>
      <c r="W863" s="312"/>
      <c r="X863" s="312"/>
      <c r="Y863" s="312"/>
      <c r="Z863" s="312"/>
      <c r="AA863" s="312"/>
      <c r="AB863" s="312"/>
      <c r="AC863" s="312"/>
      <c r="AD863" s="312"/>
      <c r="AE863" s="312"/>
      <c r="AF863" s="312"/>
      <c r="AG863" s="312"/>
      <c r="AH863" s="312"/>
      <c r="AI863" s="312"/>
      <c r="AJ863" s="312"/>
      <c r="AK863" s="312"/>
      <c r="AL863" s="312"/>
      <c r="AM863" s="312"/>
      <c r="AN863" s="312"/>
      <c r="AO863" s="312"/>
      <c r="AP863" s="312"/>
    </row>
    <row r="864" ht="15.75" customHeight="1">
      <c r="A864" s="318"/>
      <c r="B864" s="312"/>
      <c r="C864" s="312"/>
      <c r="D864" s="312"/>
      <c r="E864" s="312"/>
      <c r="F864" s="312"/>
      <c r="G864" s="312"/>
      <c r="H864" s="312"/>
      <c r="I864" s="312"/>
      <c r="J864" s="312"/>
      <c r="K864" s="312"/>
      <c r="L864" s="312"/>
      <c r="M864" s="312"/>
      <c r="N864" s="312"/>
      <c r="O864" s="312"/>
      <c r="P864" s="312"/>
      <c r="Q864" s="312"/>
      <c r="R864" s="312"/>
      <c r="S864" s="312"/>
      <c r="T864" s="312"/>
      <c r="U864" s="312"/>
      <c r="V864" s="312"/>
      <c r="W864" s="312"/>
      <c r="X864" s="312"/>
      <c r="Y864" s="312"/>
      <c r="Z864" s="312"/>
      <c r="AA864" s="312"/>
      <c r="AB864" s="312"/>
      <c r="AC864" s="312"/>
      <c r="AD864" s="312"/>
      <c r="AE864" s="312"/>
      <c r="AF864" s="312"/>
      <c r="AG864" s="312"/>
      <c r="AH864" s="312"/>
      <c r="AI864" s="312"/>
      <c r="AJ864" s="312"/>
      <c r="AK864" s="312"/>
      <c r="AL864" s="312"/>
      <c r="AM864" s="312"/>
      <c r="AN864" s="312"/>
      <c r="AO864" s="312"/>
      <c r="AP864" s="312"/>
    </row>
    <row r="865" ht="15.75" customHeight="1">
      <c r="A865" s="318"/>
      <c r="B865" s="312"/>
      <c r="C865" s="312"/>
      <c r="D865" s="312"/>
      <c r="E865" s="312"/>
      <c r="F865" s="312"/>
      <c r="G865" s="312"/>
      <c r="H865" s="312"/>
      <c r="I865" s="312"/>
      <c r="J865" s="312"/>
      <c r="K865" s="312"/>
      <c r="L865" s="312"/>
      <c r="M865" s="312"/>
      <c r="N865" s="312"/>
      <c r="O865" s="312"/>
      <c r="P865" s="312"/>
      <c r="Q865" s="312"/>
      <c r="R865" s="312"/>
      <c r="S865" s="312"/>
      <c r="T865" s="312"/>
      <c r="U865" s="312"/>
      <c r="V865" s="312"/>
      <c r="W865" s="312"/>
      <c r="X865" s="312"/>
      <c r="Y865" s="312"/>
      <c r="Z865" s="312"/>
      <c r="AA865" s="312"/>
      <c r="AB865" s="312"/>
      <c r="AC865" s="312"/>
      <c r="AD865" s="312"/>
      <c r="AE865" s="312"/>
      <c r="AF865" s="312"/>
      <c r="AG865" s="312"/>
      <c r="AH865" s="312"/>
      <c r="AI865" s="312"/>
      <c r="AJ865" s="312"/>
      <c r="AK865" s="312"/>
      <c r="AL865" s="312"/>
      <c r="AM865" s="312"/>
      <c r="AN865" s="312"/>
      <c r="AO865" s="312"/>
      <c r="AP865" s="312"/>
    </row>
    <row r="866" ht="15.75" customHeight="1">
      <c r="A866" s="318"/>
      <c r="B866" s="312"/>
      <c r="C866" s="312"/>
      <c r="D866" s="312"/>
      <c r="E866" s="312"/>
      <c r="F866" s="312"/>
      <c r="G866" s="312"/>
      <c r="H866" s="312"/>
      <c r="I866" s="312"/>
      <c r="J866" s="312"/>
      <c r="K866" s="312"/>
      <c r="L866" s="312"/>
      <c r="M866" s="312"/>
      <c r="N866" s="312"/>
      <c r="O866" s="312"/>
      <c r="P866" s="312"/>
      <c r="Q866" s="312"/>
      <c r="R866" s="312"/>
      <c r="S866" s="312"/>
      <c r="T866" s="312"/>
      <c r="U866" s="312"/>
      <c r="V866" s="312"/>
      <c r="W866" s="312"/>
      <c r="X866" s="312"/>
      <c r="Y866" s="312"/>
      <c r="Z866" s="312"/>
      <c r="AA866" s="312"/>
      <c r="AB866" s="312"/>
      <c r="AC866" s="312"/>
      <c r="AD866" s="312"/>
      <c r="AE866" s="312"/>
      <c r="AF866" s="312"/>
      <c r="AG866" s="312"/>
      <c r="AH866" s="312"/>
      <c r="AI866" s="312"/>
      <c r="AJ866" s="312"/>
      <c r="AK866" s="312"/>
      <c r="AL866" s="312"/>
      <c r="AM866" s="312"/>
      <c r="AN866" s="312"/>
      <c r="AO866" s="312"/>
      <c r="AP866" s="312"/>
    </row>
    <row r="867" ht="15.75" customHeight="1">
      <c r="A867" s="318"/>
      <c r="B867" s="312"/>
      <c r="C867" s="312"/>
      <c r="D867" s="312"/>
      <c r="E867" s="312"/>
      <c r="F867" s="312"/>
      <c r="G867" s="312"/>
      <c r="H867" s="312"/>
      <c r="I867" s="312"/>
      <c r="J867" s="312"/>
      <c r="K867" s="312"/>
      <c r="L867" s="312"/>
      <c r="M867" s="312"/>
      <c r="N867" s="312"/>
      <c r="O867" s="312"/>
      <c r="P867" s="312"/>
      <c r="Q867" s="312"/>
      <c r="R867" s="312"/>
      <c r="S867" s="312"/>
      <c r="T867" s="312"/>
      <c r="U867" s="312"/>
      <c r="V867" s="312"/>
      <c r="W867" s="312"/>
      <c r="X867" s="312"/>
      <c r="Y867" s="312"/>
      <c r="Z867" s="312"/>
      <c r="AA867" s="312"/>
      <c r="AB867" s="312"/>
      <c r="AC867" s="312"/>
      <c r="AD867" s="312"/>
      <c r="AE867" s="312"/>
      <c r="AF867" s="312"/>
      <c r="AG867" s="312"/>
      <c r="AH867" s="312"/>
      <c r="AI867" s="312"/>
      <c r="AJ867" s="312"/>
      <c r="AK867" s="312"/>
      <c r="AL867" s="312"/>
      <c r="AM867" s="312"/>
      <c r="AN867" s="312"/>
      <c r="AO867" s="312"/>
      <c r="AP867" s="312"/>
    </row>
    <row r="868" ht="15.75" customHeight="1">
      <c r="A868" s="318"/>
      <c r="B868" s="312"/>
      <c r="C868" s="312"/>
      <c r="D868" s="312"/>
      <c r="E868" s="312"/>
      <c r="F868" s="312"/>
      <c r="G868" s="312"/>
      <c r="H868" s="312"/>
      <c r="I868" s="312"/>
      <c r="J868" s="312"/>
      <c r="K868" s="312"/>
      <c r="L868" s="312"/>
      <c r="M868" s="312"/>
      <c r="N868" s="312"/>
      <c r="O868" s="312"/>
      <c r="P868" s="312"/>
      <c r="Q868" s="312"/>
      <c r="R868" s="312"/>
      <c r="S868" s="312"/>
      <c r="T868" s="312"/>
      <c r="U868" s="312"/>
      <c r="V868" s="312"/>
      <c r="W868" s="312"/>
      <c r="X868" s="312"/>
      <c r="Y868" s="312"/>
      <c r="Z868" s="312"/>
      <c r="AA868" s="312"/>
      <c r="AB868" s="312"/>
      <c r="AC868" s="312"/>
      <c r="AD868" s="312"/>
      <c r="AE868" s="312"/>
      <c r="AF868" s="312"/>
      <c r="AG868" s="312"/>
      <c r="AH868" s="312"/>
      <c r="AI868" s="312"/>
      <c r="AJ868" s="312"/>
      <c r="AK868" s="312"/>
      <c r="AL868" s="312"/>
      <c r="AM868" s="312"/>
      <c r="AN868" s="312"/>
      <c r="AO868" s="312"/>
      <c r="AP868" s="312"/>
    </row>
    <row r="869" ht="15.75" customHeight="1">
      <c r="A869" s="318"/>
      <c r="B869" s="312"/>
      <c r="C869" s="312"/>
      <c r="D869" s="312"/>
      <c r="E869" s="312"/>
      <c r="F869" s="312"/>
      <c r="G869" s="312"/>
      <c r="H869" s="312"/>
      <c r="I869" s="312"/>
      <c r="J869" s="312"/>
      <c r="K869" s="312"/>
      <c r="L869" s="312"/>
      <c r="M869" s="312"/>
      <c r="N869" s="312"/>
      <c r="O869" s="312"/>
      <c r="P869" s="312"/>
      <c r="Q869" s="312"/>
      <c r="R869" s="312"/>
      <c r="S869" s="312"/>
      <c r="T869" s="312"/>
      <c r="U869" s="312"/>
      <c r="V869" s="312"/>
      <c r="W869" s="312"/>
      <c r="X869" s="312"/>
      <c r="Y869" s="312"/>
      <c r="Z869" s="312"/>
      <c r="AA869" s="312"/>
      <c r="AB869" s="312"/>
      <c r="AC869" s="312"/>
      <c r="AD869" s="312"/>
      <c r="AE869" s="312"/>
      <c r="AF869" s="312"/>
      <c r="AG869" s="312"/>
      <c r="AH869" s="312"/>
      <c r="AI869" s="312"/>
      <c r="AJ869" s="312"/>
      <c r="AK869" s="312"/>
      <c r="AL869" s="312"/>
      <c r="AM869" s="312"/>
      <c r="AN869" s="312"/>
      <c r="AO869" s="312"/>
      <c r="AP869" s="312"/>
    </row>
    <row r="870" ht="15.75" customHeight="1">
      <c r="A870" s="318"/>
      <c r="B870" s="312"/>
      <c r="C870" s="312"/>
      <c r="D870" s="312"/>
      <c r="E870" s="312"/>
      <c r="F870" s="312"/>
      <c r="G870" s="312"/>
      <c r="H870" s="312"/>
      <c r="I870" s="312"/>
      <c r="J870" s="312"/>
      <c r="K870" s="312"/>
      <c r="L870" s="312"/>
      <c r="M870" s="312"/>
      <c r="N870" s="312"/>
      <c r="O870" s="312"/>
      <c r="P870" s="312"/>
      <c r="Q870" s="312"/>
      <c r="R870" s="312"/>
      <c r="S870" s="312"/>
      <c r="T870" s="312"/>
      <c r="U870" s="312"/>
      <c r="V870" s="312"/>
      <c r="W870" s="312"/>
      <c r="X870" s="312"/>
      <c r="Y870" s="312"/>
      <c r="Z870" s="312"/>
      <c r="AA870" s="312"/>
      <c r="AB870" s="312"/>
      <c r="AC870" s="312"/>
      <c r="AD870" s="312"/>
      <c r="AE870" s="312"/>
      <c r="AF870" s="312"/>
      <c r="AG870" s="312"/>
      <c r="AH870" s="312"/>
      <c r="AI870" s="312"/>
      <c r="AJ870" s="312"/>
      <c r="AK870" s="312"/>
      <c r="AL870" s="312"/>
      <c r="AM870" s="312"/>
      <c r="AN870" s="312"/>
      <c r="AO870" s="312"/>
      <c r="AP870" s="312"/>
    </row>
    <row r="871" ht="15.75" customHeight="1">
      <c r="A871" s="318"/>
      <c r="B871" s="312"/>
      <c r="C871" s="312"/>
      <c r="D871" s="312"/>
      <c r="E871" s="312"/>
      <c r="F871" s="312"/>
      <c r="G871" s="312"/>
      <c r="H871" s="312"/>
      <c r="I871" s="312"/>
      <c r="J871" s="312"/>
      <c r="K871" s="312"/>
      <c r="L871" s="312"/>
      <c r="M871" s="312"/>
      <c r="N871" s="312"/>
      <c r="O871" s="312"/>
      <c r="P871" s="312"/>
      <c r="Q871" s="312"/>
      <c r="R871" s="312"/>
      <c r="S871" s="312"/>
      <c r="T871" s="312"/>
      <c r="U871" s="312"/>
      <c r="V871" s="312"/>
      <c r="W871" s="312"/>
      <c r="X871" s="312"/>
      <c r="Y871" s="312"/>
      <c r="Z871" s="312"/>
      <c r="AA871" s="312"/>
      <c r="AB871" s="312"/>
      <c r="AC871" s="312"/>
      <c r="AD871" s="312"/>
      <c r="AE871" s="312"/>
      <c r="AF871" s="312"/>
      <c r="AG871" s="312"/>
      <c r="AH871" s="312"/>
      <c r="AI871" s="312"/>
      <c r="AJ871" s="312"/>
      <c r="AK871" s="312"/>
      <c r="AL871" s="312"/>
      <c r="AM871" s="312"/>
      <c r="AN871" s="312"/>
      <c r="AO871" s="312"/>
      <c r="AP871" s="312"/>
    </row>
    <row r="872" ht="15.75" customHeight="1">
      <c r="A872" s="318"/>
      <c r="B872" s="312"/>
      <c r="C872" s="312"/>
      <c r="D872" s="312"/>
      <c r="E872" s="312"/>
      <c r="F872" s="312"/>
      <c r="G872" s="312"/>
      <c r="H872" s="312"/>
      <c r="I872" s="312"/>
      <c r="J872" s="312"/>
      <c r="K872" s="312"/>
      <c r="L872" s="312"/>
      <c r="M872" s="312"/>
      <c r="N872" s="312"/>
      <c r="O872" s="312"/>
      <c r="P872" s="312"/>
      <c r="Q872" s="312"/>
      <c r="R872" s="312"/>
      <c r="S872" s="312"/>
      <c r="T872" s="312"/>
      <c r="U872" s="312"/>
      <c r="V872" s="312"/>
      <c r="W872" s="312"/>
      <c r="X872" s="312"/>
      <c r="Y872" s="312"/>
      <c r="Z872" s="312"/>
      <c r="AA872" s="312"/>
      <c r="AB872" s="312"/>
      <c r="AC872" s="312"/>
      <c r="AD872" s="312"/>
      <c r="AE872" s="312"/>
      <c r="AF872" s="312"/>
      <c r="AG872" s="312"/>
      <c r="AH872" s="312"/>
      <c r="AI872" s="312"/>
      <c r="AJ872" s="312"/>
      <c r="AK872" s="312"/>
      <c r="AL872" s="312"/>
      <c r="AM872" s="312"/>
      <c r="AN872" s="312"/>
      <c r="AO872" s="312"/>
      <c r="AP872" s="312"/>
    </row>
    <row r="873" ht="15.75" customHeight="1">
      <c r="A873" s="318"/>
      <c r="B873" s="312"/>
      <c r="C873" s="312"/>
      <c r="D873" s="312"/>
      <c r="E873" s="312"/>
      <c r="F873" s="312"/>
      <c r="G873" s="312"/>
      <c r="H873" s="312"/>
      <c r="I873" s="312"/>
      <c r="J873" s="312"/>
      <c r="K873" s="312"/>
      <c r="L873" s="312"/>
      <c r="M873" s="312"/>
      <c r="N873" s="312"/>
      <c r="O873" s="312"/>
      <c r="P873" s="312"/>
      <c r="Q873" s="312"/>
      <c r="R873" s="312"/>
      <c r="S873" s="312"/>
      <c r="T873" s="312"/>
      <c r="U873" s="312"/>
      <c r="V873" s="312"/>
      <c r="W873" s="312"/>
      <c r="X873" s="312"/>
      <c r="Y873" s="312"/>
      <c r="Z873" s="312"/>
      <c r="AA873" s="312"/>
      <c r="AB873" s="312"/>
      <c r="AC873" s="312"/>
      <c r="AD873" s="312"/>
      <c r="AE873" s="312"/>
      <c r="AF873" s="312"/>
      <c r="AG873" s="312"/>
      <c r="AH873" s="312"/>
      <c r="AI873" s="312"/>
      <c r="AJ873" s="312"/>
      <c r="AK873" s="312"/>
      <c r="AL873" s="312"/>
      <c r="AM873" s="312"/>
      <c r="AN873" s="312"/>
      <c r="AO873" s="312"/>
      <c r="AP873" s="312"/>
    </row>
    <row r="874" ht="15.75" customHeight="1">
      <c r="A874" s="318"/>
      <c r="B874" s="312"/>
      <c r="C874" s="312"/>
      <c r="D874" s="312"/>
      <c r="E874" s="312"/>
      <c r="F874" s="312"/>
      <c r="G874" s="312"/>
      <c r="H874" s="312"/>
      <c r="I874" s="312"/>
      <c r="J874" s="312"/>
      <c r="K874" s="312"/>
      <c r="L874" s="312"/>
      <c r="M874" s="312"/>
      <c r="N874" s="312"/>
      <c r="O874" s="312"/>
      <c r="P874" s="312"/>
      <c r="Q874" s="312"/>
      <c r="R874" s="312"/>
      <c r="S874" s="312"/>
      <c r="T874" s="312"/>
      <c r="U874" s="312"/>
      <c r="V874" s="312"/>
      <c r="W874" s="312"/>
      <c r="X874" s="312"/>
      <c r="Y874" s="312"/>
      <c r="Z874" s="312"/>
      <c r="AA874" s="312"/>
      <c r="AB874" s="312"/>
      <c r="AC874" s="312"/>
      <c r="AD874" s="312"/>
      <c r="AE874" s="312"/>
      <c r="AF874" s="312"/>
      <c r="AG874" s="312"/>
      <c r="AH874" s="312"/>
      <c r="AI874" s="312"/>
      <c r="AJ874" s="312"/>
      <c r="AK874" s="312"/>
      <c r="AL874" s="312"/>
      <c r="AM874" s="312"/>
      <c r="AN874" s="312"/>
      <c r="AO874" s="312"/>
      <c r="AP874" s="312"/>
    </row>
    <row r="875" ht="15.75" customHeight="1">
      <c r="A875" s="318"/>
      <c r="B875" s="312"/>
      <c r="C875" s="312"/>
      <c r="D875" s="312"/>
      <c r="E875" s="312"/>
      <c r="F875" s="312"/>
      <c r="G875" s="312"/>
      <c r="H875" s="312"/>
      <c r="I875" s="312"/>
      <c r="J875" s="312"/>
      <c r="K875" s="312"/>
      <c r="L875" s="312"/>
      <c r="M875" s="312"/>
      <c r="N875" s="312"/>
      <c r="O875" s="312"/>
      <c r="P875" s="312"/>
      <c r="Q875" s="312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  <c r="AB875" s="312"/>
      <c r="AC875" s="312"/>
      <c r="AD875" s="312"/>
      <c r="AE875" s="312"/>
      <c r="AF875" s="312"/>
      <c r="AG875" s="312"/>
      <c r="AH875" s="312"/>
      <c r="AI875" s="312"/>
      <c r="AJ875" s="312"/>
      <c r="AK875" s="312"/>
      <c r="AL875" s="312"/>
      <c r="AM875" s="312"/>
      <c r="AN875" s="312"/>
      <c r="AO875" s="312"/>
      <c r="AP875" s="312"/>
    </row>
    <row r="876" ht="15.75" customHeight="1">
      <c r="A876" s="318"/>
      <c r="B876" s="312"/>
      <c r="C876" s="312"/>
      <c r="D876" s="312"/>
      <c r="E876" s="312"/>
      <c r="F876" s="312"/>
      <c r="G876" s="312"/>
      <c r="H876" s="312"/>
      <c r="I876" s="312"/>
      <c r="J876" s="312"/>
      <c r="K876" s="312"/>
      <c r="L876" s="312"/>
      <c r="M876" s="312"/>
      <c r="N876" s="312"/>
      <c r="O876" s="312"/>
      <c r="P876" s="312"/>
      <c r="Q876" s="312"/>
      <c r="R876" s="312"/>
      <c r="S876" s="312"/>
      <c r="T876" s="312"/>
      <c r="U876" s="312"/>
      <c r="V876" s="312"/>
      <c r="W876" s="312"/>
      <c r="X876" s="312"/>
      <c r="Y876" s="312"/>
      <c r="Z876" s="312"/>
      <c r="AA876" s="312"/>
      <c r="AB876" s="312"/>
      <c r="AC876" s="312"/>
      <c r="AD876" s="312"/>
      <c r="AE876" s="312"/>
      <c r="AF876" s="312"/>
      <c r="AG876" s="312"/>
      <c r="AH876" s="312"/>
      <c r="AI876" s="312"/>
      <c r="AJ876" s="312"/>
      <c r="AK876" s="312"/>
      <c r="AL876" s="312"/>
      <c r="AM876" s="312"/>
      <c r="AN876" s="312"/>
      <c r="AO876" s="312"/>
      <c r="AP876" s="312"/>
    </row>
    <row r="877" ht="15.75" customHeight="1">
      <c r="A877" s="318"/>
      <c r="B877" s="312"/>
      <c r="C877" s="312"/>
      <c r="D877" s="312"/>
      <c r="E877" s="312"/>
      <c r="F877" s="312"/>
      <c r="G877" s="312"/>
      <c r="H877" s="312"/>
      <c r="I877" s="312"/>
      <c r="J877" s="312"/>
      <c r="K877" s="312"/>
      <c r="L877" s="312"/>
      <c r="M877" s="312"/>
      <c r="N877" s="312"/>
      <c r="O877" s="312"/>
      <c r="P877" s="312"/>
      <c r="Q877" s="312"/>
      <c r="R877" s="312"/>
      <c r="S877" s="312"/>
      <c r="T877" s="312"/>
      <c r="U877" s="312"/>
      <c r="V877" s="312"/>
      <c r="W877" s="312"/>
      <c r="X877" s="312"/>
      <c r="Y877" s="312"/>
      <c r="Z877" s="312"/>
      <c r="AA877" s="312"/>
      <c r="AB877" s="312"/>
      <c r="AC877" s="312"/>
      <c r="AD877" s="312"/>
      <c r="AE877" s="312"/>
      <c r="AF877" s="312"/>
      <c r="AG877" s="312"/>
      <c r="AH877" s="312"/>
      <c r="AI877" s="312"/>
      <c r="AJ877" s="312"/>
      <c r="AK877" s="312"/>
      <c r="AL877" s="312"/>
      <c r="AM877" s="312"/>
      <c r="AN877" s="312"/>
      <c r="AO877" s="312"/>
      <c r="AP877" s="312"/>
    </row>
    <row r="878" ht="15.75" customHeight="1">
      <c r="A878" s="318"/>
      <c r="B878" s="312"/>
      <c r="C878" s="312"/>
      <c r="D878" s="312"/>
      <c r="E878" s="312"/>
      <c r="F878" s="312"/>
      <c r="G878" s="312"/>
      <c r="H878" s="312"/>
      <c r="I878" s="312"/>
      <c r="J878" s="312"/>
      <c r="K878" s="312"/>
      <c r="L878" s="312"/>
      <c r="M878" s="312"/>
      <c r="N878" s="312"/>
      <c r="O878" s="312"/>
      <c r="P878" s="312"/>
      <c r="Q878" s="312"/>
      <c r="R878" s="312"/>
      <c r="S878" s="312"/>
      <c r="T878" s="312"/>
      <c r="U878" s="312"/>
      <c r="V878" s="312"/>
      <c r="W878" s="312"/>
      <c r="X878" s="312"/>
      <c r="Y878" s="312"/>
      <c r="Z878" s="312"/>
      <c r="AA878" s="312"/>
      <c r="AB878" s="312"/>
      <c r="AC878" s="312"/>
      <c r="AD878" s="312"/>
      <c r="AE878" s="312"/>
      <c r="AF878" s="312"/>
      <c r="AG878" s="312"/>
      <c r="AH878" s="312"/>
      <c r="AI878" s="312"/>
      <c r="AJ878" s="312"/>
      <c r="AK878" s="312"/>
      <c r="AL878" s="312"/>
      <c r="AM878" s="312"/>
      <c r="AN878" s="312"/>
      <c r="AO878" s="312"/>
      <c r="AP878" s="312"/>
    </row>
    <row r="879" ht="15.75" customHeight="1">
      <c r="A879" s="318"/>
      <c r="B879" s="312"/>
      <c r="C879" s="312"/>
      <c r="D879" s="312"/>
      <c r="E879" s="312"/>
      <c r="F879" s="312"/>
      <c r="G879" s="312"/>
      <c r="H879" s="312"/>
      <c r="I879" s="312"/>
      <c r="J879" s="312"/>
      <c r="K879" s="312"/>
      <c r="L879" s="312"/>
      <c r="M879" s="312"/>
      <c r="N879" s="312"/>
      <c r="O879" s="312"/>
      <c r="P879" s="312"/>
      <c r="Q879" s="312"/>
      <c r="R879" s="312"/>
      <c r="S879" s="312"/>
      <c r="T879" s="312"/>
      <c r="U879" s="312"/>
      <c r="V879" s="312"/>
      <c r="W879" s="312"/>
      <c r="X879" s="312"/>
      <c r="Y879" s="312"/>
      <c r="Z879" s="312"/>
      <c r="AA879" s="312"/>
      <c r="AB879" s="312"/>
      <c r="AC879" s="312"/>
      <c r="AD879" s="312"/>
      <c r="AE879" s="312"/>
      <c r="AF879" s="312"/>
      <c r="AG879" s="312"/>
      <c r="AH879" s="312"/>
      <c r="AI879" s="312"/>
      <c r="AJ879" s="312"/>
      <c r="AK879" s="312"/>
      <c r="AL879" s="312"/>
      <c r="AM879" s="312"/>
      <c r="AN879" s="312"/>
      <c r="AO879" s="312"/>
      <c r="AP879" s="312"/>
    </row>
    <row r="880" ht="15.75" customHeight="1">
      <c r="A880" s="318"/>
      <c r="B880" s="312"/>
      <c r="C880" s="312"/>
      <c r="D880" s="312"/>
      <c r="E880" s="312"/>
      <c r="F880" s="312"/>
      <c r="G880" s="312"/>
      <c r="H880" s="312"/>
      <c r="I880" s="312"/>
      <c r="J880" s="312"/>
      <c r="K880" s="312"/>
      <c r="L880" s="312"/>
      <c r="M880" s="312"/>
      <c r="N880" s="312"/>
      <c r="O880" s="312"/>
      <c r="P880" s="312"/>
      <c r="Q880" s="312"/>
      <c r="R880" s="312"/>
      <c r="S880" s="312"/>
      <c r="T880" s="312"/>
      <c r="U880" s="312"/>
      <c r="V880" s="312"/>
      <c r="W880" s="312"/>
      <c r="X880" s="312"/>
      <c r="Y880" s="312"/>
      <c r="Z880" s="312"/>
      <c r="AA880" s="312"/>
      <c r="AB880" s="312"/>
      <c r="AC880" s="312"/>
      <c r="AD880" s="312"/>
      <c r="AE880" s="312"/>
      <c r="AF880" s="312"/>
      <c r="AG880" s="312"/>
      <c r="AH880" s="312"/>
      <c r="AI880" s="312"/>
      <c r="AJ880" s="312"/>
      <c r="AK880" s="312"/>
      <c r="AL880" s="312"/>
      <c r="AM880" s="312"/>
      <c r="AN880" s="312"/>
      <c r="AO880" s="312"/>
      <c r="AP880" s="312"/>
    </row>
    <row r="881" ht="15.75" customHeight="1">
      <c r="A881" s="318"/>
      <c r="B881" s="312"/>
      <c r="C881" s="312"/>
      <c r="D881" s="312"/>
      <c r="E881" s="312"/>
      <c r="F881" s="312"/>
      <c r="G881" s="312"/>
      <c r="H881" s="312"/>
      <c r="I881" s="312"/>
      <c r="J881" s="312"/>
      <c r="K881" s="312"/>
      <c r="L881" s="312"/>
      <c r="M881" s="312"/>
      <c r="N881" s="312"/>
      <c r="O881" s="312"/>
      <c r="P881" s="312"/>
      <c r="Q881" s="312"/>
      <c r="R881" s="312"/>
      <c r="S881" s="312"/>
      <c r="T881" s="312"/>
      <c r="U881" s="312"/>
      <c r="V881" s="312"/>
      <c r="W881" s="312"/>
      <c r="X881" s="312"/>
      <c r="Y881" s="312"/>
      <c r="Z881" s="312"/>
      <c r="AA881" s="312"/>
      <c r="AB881" s="312"/>
      <c r="AC881" s="312"/>
      <c r="AD881" s="312"/>
      <c r="AE881" s="312"/>
      <c r="AF881" s="312"/>
      <c r="AG881" s="312"/>
      <c r="AH881" s="312"/>
      <c r="AI881" s="312"/>
      <c r="AJ881" s="312"/>
      <c r="AK881" s="312"/>
      <c r="AL881" s="312"/>
      <c r="AM881" s="312"/>
      <c r="AN881" s="312"/>
      <c r="AO881" s="312"/>
      <c r="AP881" s="312"/>
    </row>
    <row r="882" ht="15.75" customHeight="1">
      <c r="A882" s="318"/>
      <c r="B882" s="312"/>
      <c r="C882" s="312"/>
      <c r="D882" s="312"/>
      <c r="E882" s="312"/>
      <c r="F882" s="312"/>
      <c r="G882" s="312"/>
      <c r="H882" s="312"/>
      <c r="I882" s="312"/>
      <c r="J882" s="312"/>
      <c r="K882" s="312"/>
      <c r="L882" s="312"/>
      <c r="M882" s="312"/>
      <c r="N882" s="312"/>
      <c r="O882" s="312"/>
      <c r="P882" s="312"/>
      <c r="Q882" s="312"/>
      <c r="R882" s="312"/>
      <c r="S882" s="312"/>
      <c r="T882" s="312"/>
      <c r="U882" s="312"/>
      <c r="V882" s="312"/>
      <c r="W882" s="312"/>
      <c r="X882" s="312"/>
      <c r="Y882" s="312"/>
      <c r="Z882" s="312"/>
      <c r="AA882" s="312"/>
      <c r="AB882" s="312"/>
      <c r="AC882" s="312"/>
      <c r="AD882" s="312"/>
      <c r="AE882" s="312"/>
      <c r="AF882" s="312"/>
      <c r="AG882" s="312"/>
      <c r="AH882" s="312"/>
      <c r="AI882" s="312"/>
      <c r="AJ882" s="312"/>
      <c r="AK882" s="312"/>
      <c r="AL882" s="312"/>
      <c r="AM882" s="312"/>
      <c r="AN882" s="312"/>
      <c r="AO882" s="312"/>
      <c r="AP882" s="312"/>
    </row>
    <row r="883" ht="15.75" customHeight="1">
      <c r="A883" s="318"/>
      <c r="B883" s="312"/>
      <c r="C883" s="312"/>
      <c r="D883" s="312"/>
      <c r="E883" s="312"/>
      <c r="F883" s="312"/>
      <c r="G883" s="312"/>
      <c r="H883" s="312"/>
      <c r="I883" s="312"/>
      <c r="J883" s="312"/>
      <c r="K883" s="312"/>
      <c r="L883" s="312"/>
      <c r="M883" s="312"/>
      <c r="N883" s="312"/>
      <c r="O883" s="312"/>
      <c r="P883" s="312"/>
      <c r="Q883" s="312"/>
      <c r="R883" s="312"/>
      <c r="S883" s="312"/>
      <c r="T883" s="312"/>
      <c r="U883" s="312"/>
      <c r="V883" s="312"/>
      <c r="W883" s="312"/>
      <c r="X883" s="312"/>
      <c r="Y883" s="312"/>
      <c r="Z883" s="312"/>
      <c r="AA883" s="312"/>
      <c r="AB883" s="312"/>
      <c r="AC883" s="312"/>
      <c r="AD883" s="312"/>
      <c r="AE883" s="312"/>
      <c r="AF883" s="312"/>
      <c r="AG883" s="312"/>
      <c r="AH883" s="312"/>
      <c r="AI883" s="312"/>
      <c r="AJ883" s="312"/>
      <c r="AK883" s="312"/>
      <c r="AL883" s="312"/>
      <c r="AM883" s="312"/>
      <c r="AN883" s="312"/>
      <c r="AO883" s="312"/>
      <c r="AP883" s="312"/>
    </row>
    <row r="884" ht="15.75" customHeight="1">
      <c r="A884" s="318"/>
      <c r="B884" s="312"/>
      <c r="C884" s="312"/>
      <c r="D884" s="312"/>
      <c r="E884" s="312"/>
      <c r="F884" s="312"/>
      <c r="G884" s="312"/>
      <c r="H884" s="312"/>
      <c r="I884" s="312"/>
      <c r="J884" s="312"/>
      <c r="K884" s="312"/>
      <c r="L884" s="312"/>
      <c r="M884" s="312"/>
      <c r="N884" s="312"/>
      <c r="O884" s="312"/>
      <c r="P884" s="312"/>
      <c r="Q884" s="312"/>
      <c r="R884" s="312"/>
      <c r="S884" s="312"/>
      <c r="T884" s="312"/>
      <c r="U884" s="312"/>
      <c r="V884" s="312"/>
      <c r="W884" s="312"/>
      <c r="X884" s="312"/>
      <c r="Y884" s="312"/>
      <c r="Z884" s="312"/>
      <c r="AA884" s="312"/>
      <c r="AB884" s="312"/>
      <c r="AC884" s="312"/>
      <c r="AD884" s="312"/>
      <c r="AE884" s="312"/>
      <c r="AF884" s="312"/>
      <c r="AG884" s="312"/>
      <c r="AH884" s="312"/>
      <c r="AI884" s="312"/>
      <c r="AJ884" s="312"/>
      <c r="AK884" s="312"/>
      <c r="AL884" s="312"/>
      <c r="AM884" s="312"/>
      <c r="AN884" s="312"/>
      <c r="AO884" s="312"/>
      <c r="AP884" s="312"/>
    </row>
    <row r="885" ht="15.75" customHeight="1">
      <c r="A885" s="318"/>
      <c r="B885" s="312"/>
      <c r="C885" s="312"/>
      <c r="D885" s="312"/>
      <c r="E885" s="312"/>
      <c r="F885" s="312"/>
      <c r="G885" s="312"/>
      <c r="H885" s="312"/>
      <c r="I885" s="312"/>
      <c r="J885" s="312"/>
      <c r="K885" s="312"/>
      <c r="L885" s="312"/>
      <c r="M885" s="312"/>
      <c r="N885" s="312"/>
      <c r="O885" s="312"/>
      <c r="P885" s="312"/>
      <c r="Q885" s="312"/>
      <c r="R885" s="312"/>
      <c r="S885" s="312"/>
      <c r="T885" s="312"/>
      <c r="U885" s="312"/>
      <c r="V885" s="312"/>
      <c r="W885" s="312"/>
      <c r="X885" s="312"/>
      <c r="Y885" s="312"/>
      <c r="Z885" s="312"/>
      <c r="AA885" s="312"/>
      <c r="AB885" s="312"/>
      <c r="AC885" s="312"/>
      <c r="AD885" s="312"/>
      <c r="AE885" s="312"/>
      <c r="AF885" s="312"/>
      <c r="AG885" s="312"/>
      <c r="AH885" s="312"/>
      <c r="AI885" s="312"/>
      <c r="AJ885" s="312"/>
      <c r="AK885" s="312"/>
      <c r="AL885" s="312"/>
      <c r="AM885" s="312"/>
      <c r="AN885" s="312"/>
      <c r="AO885" s="312"/>
      <c r="AP885" s="312"/>
    </row>
    <row r="886" ht="15.75" customHeight="1">
      <c r="A886" s="318"/>
      <c r="B886" s="312"/>
      <c r="C886" s="312"/>
      <c r="D886" s="312"/>
      <c r="E886" s="312"/>
      <c r="F886" s="312"/>
      <c r="G886" s="312"/>
      <c r="H886" s="312"/>
      <c r="I886" s="312"/>
      <c r="J886" s="312"/>
      <c r="K886" s="312"/>
      <c r="L886" s="312"/>
      <c r="M886" s="312"/>
      <c r="N886" s="312"/>
      <c r="O886" s="312"/>
      <c r="P886" s="312"/>
      <c r="Q886" s="312"/>
      <c r="R886" s="312"/>
      <c r="S886" s="312"/>
      <c r="T886" s="312"/>
      <c r="U886" s="312"/>
      <c r="V886" s="312"/>
      <c r="W886" s="312"/>
      <c r="X886" s="312"/>
      <c r="Y886" s="312"/>
      <c r="Z886" s="312"/>
      <c r="AA886" s="312"/>
      <c r="AB886" s="312"/>
      <c r="AC886" s="312"/>
      <c r="AD886" s="312"/>
      <c r="AE886" s="312"/>
      <c r="AF886" s="312"/>
      <c r="AG886" s="312"/>
      <c r="AH886" s="312"/>
      <c r="AI886" s="312"/>
      <c r="AJ886" s="312"/>
      <c r="AK886" s="312"/>
      <c r="AL886" s="312"/>
      <c r="AM886" s="312"/>
      <c r="AN886" s="312"/>
      <c r="AO886" s="312"/>
      <c r="AP886" s="312"/>
    </row>
    <row r="887" ht="15.75" customHeight="1">
      <c r="A887" s="318"/>
      <c r="B887" s="312"/>
      <c r="C887" s="312"/>
      <c r="D887" s="312"/>
      <c r="E887" s="312"/>
      <c r="F887" s="312"/>
      <c r="G887" s="312"/>
      <c r="H887" s="312"/>
      <c r="I887" s="312"/>
      <c r="J887" s="312"/>
      <c r="K887" s="312"/>
      <c r="L887" s="312"/>
      <c r="M887" s="312"/>
      <c r="N887" s="312"/>
      <c r="O887" s="312"/>
      <c r="P887" s="312"/>
      <c r="Q887" s="312"/>
      <c r="R887" s="312"/>
      <c r="S887" s="312"/>
      <c r="T887" s="312"/>
      <c r="U887" s="312"/>
      <c r="V887" s="312"/>
      <c r="W887" s="312"/>
      <c r="X887" s="312"/>
      <c r="Y887" s="312"/>
      <c r="Z887" s="312"/>
      <c r="AA887" s="312"/>
      <c r="AB887" s="312"/>
      <c r="AC887" s="312"/>
      <c r="AD887" s="312"/>
      <c r="AE887" s="312"/>
      <c r="AF887" s="312"/>
      <c r="AG887" s="312"/>
      <c r="AH887" s="312"/>
      <c r="AI887" s="312"/>
      <c r="AJ887" s="312"/>
      <c r="AK887" s="312"/>
      <c r="AL887" s="312"/>
      <c r="AM887" s="312"/>
      <c r="AN887" s="312"/>
      <c r="AO887" s="312"/>
      <c r="AP887" s="312"/>
    </row>
    <row r="888" ht="15.75" customHeight="1">
      <c r="A888" s="318"/>
      <c r="B888" s="312"/>
      <c r="C888" s="312"/>
      <c r="D888" s="312"/>
      <c r="E888" s="312"/>
      <c r="F888" s="312"/>
      <c r="G888" s="312"/>
      <c r="H888" s="312"/>
      <c r="I888" s="312"/>
      <c r="J888" s="312"/>
      <c r="K888" s="312"/>
      <c r="L888" s="312"/>
      <c r="M888" s="312"/>
      <c r="N888" s="312"/>
      <c r="O888" s="312"/>
      <c r="P888" s="312"/>
      <c r="Q888" s="312"/>
      <c r="R888" s="312"/>
      <c r="S888" s="312"/>
      <c r="T888" s="312"/>
      <c r="U888" s="312"/>
      <c r="V888" s="312"/>
      <c r="W888" s="312"/>
      <c r="X888" s="312"/>
      <c r="Y888" s="312"/>
      <c r="Z888" s="312"/>
      <c r="AA888" s="312"/>
      <c r="AB888" s="312"/>
      <c r="AC888" s="312"/>
      <c r="AD888" s="312"/>
      <c r="AE888" s="312"/>
      <c r="AF888" s="312"/>
      <c r="AG888" s="312"/>
      <c r="AH888" s="312"/>
      <c r="AI888" s="312"/>
      <c r="AJ888" s="312"/>
      <c r="AK888" s="312"/>
      <c r="AL888" s="312"/>
      <c r="AM888" s="312"/>
      <c r="AN888" s="312"/>
      <c r="AO888" s="312"/>
      <c r="AP888" s="312"/>
    </row>
    <row r="889" ht="15.75" customHeight="1">
      <c r="A889" s="318"/>
      <c r="B889" s="312"/>
      <c r="C889" s="312"/>
      <c r="D889" s="312"/>
      <c r="E889" s="312"/>
      <c r="F889" s="312"/>
      <c r="G889" s="312"/>
      <c r="H889" s="312"/>
      <c r="I889" s="312"/>
      <c r="J889" s="312"/>
      <c r="K889" s="312"/>
      <c r="L889" s="312"/>
      <c r="M889" s="312"/>
      <c r="N889" s="312"/>
      <c r="O889" s="312"/>
      <c r="P889" s="312"/>
      <c r="Q889" s="312"/>
      <c r="R889" s="312"/>
      <c r="S889" s="312"/>
      <c r="T889" s="312"/>
      <c r="U889" s="312"/>
      <c r="V889" s="312"/>
      <c r="W889" s="312"/>
      <c r="X889" s="312"/>
      <c r="Y889" s="312"/>
      <c r="Z889" s="312"/>
      <c r="AA889" s="312"/>
      <c r="AB889" s="312"/>
      <c r="AC889" s="312"/>
      <c r="AD889" s="312"/>
      <c r="AE889" s="312"/>
      <c r="AF889" s="312"/>
      <c r="AG889" s="312"/>
      <c r="AH889" s="312"/>
      <c r="AI889" s="312"/>
      <c r="AJ889" s="312"/>
      <c r="AK889" s="312"/>
      <c r="AL889" s="312"/>
      <c r="AM889" s="312"/>
      <c r="AN889" s="312"/>
      <c r="AO889" s="312"/>
      <c r="AP889" s="312"/>
    </row>
    <row r="890" ht="15.75" customHeight="1">
      <c r="A890" s="318"/>
      <c r="B890" s="312"/>
      <c r="C890" s="312"/>
      <c r="D890" s="312"/>
      <c r="E890" s="312"/>
      <c r="F890" s="312"/>
      <c r="G890" s="312"/>
      <c r="H890" s="312"/>
      <c r="I890" s="312"/>
      <c r="J890" s="312"/>
      <c r="K890" s="312"/>
      <c r="L890" s="312"/>
      <c r="M890" s="312"/>
      <c r="N890" s="312"/>
      <c r="O890" s="312"/>
      <c r="P890" s="312"/>
      <c r="Q890" s="312"/>
      <c r="R890" s="312"/>
      <c r="S890" s="312"/>
      <c r="T890" s="312"/>
      <c r="U890" s="312"/>
      <c r="V890" s="312"/>
      <c r="W890" s="312"/>
      <c r="X890" s="312"/>
      <c r="Y890" s="312"/>
      <c r="Z890" s="312"/>
      <c r="AA890" s="312"/>
      <c r="AB890" s="312"/>
      <c r="AC890" s="312"/>
      <c r="AD890" s="312"/>
      <c r="AE890" s="312"/>
      <c r="AF890" s="312"/>
      <c r="AG890" s="312"/>
      <c r="AH890" s="312"/>
      <c r="AI890" s="312"/>
      <c r="AJ890" s="312"/>
      <c r="AK890" s="312"/>
      <c r="AL890" s="312"/>
      <c r="AM890" s="312"/>
      <c r="AN890" s="312"/>
      <c r="AO890" s="312"/>
      <c r="AP890" s="312"/>
    </row>
    <row r="891" ht="15.75" customHeight="1">
      <c r="A891" s="318"/>
      <c r="B891" s="312"/>
      <c r="C891" s="312"/>
      <c r="D891" s="312"/>
      <c r="E891" s="312"/>
      <c r="F891" s="312"/>
      <c r="G891" s="312"/>
      <c r="H891" s="312"/>
      <c r="I891" s="312"/>
      <c r="J891" s="312"/>
      <c r="K891" s="312"/>
      <c r="L891" s="312"/>
      <c r="M891" s="312"/>
      <c r="N891" s="312"/>
      <c r="O891" s="312"/>
      <c r="P891" s="312"/>
      <c r="Q891" s="312"/>
      <c r="R891" s="312"/>
      <c r="S891" s="312"/>
      <c r="T891" s="312"/>
      <c r="U891" s="312"/>
      <c r="V891" s="312"/>
      <c r="W891" s="312"/>
      <c r="X891" s="312"/>
      <c r="Y891" s="312"/>
      <c r="Z891" s="312"/>
      <c r="AA891" s="312"/>
      <c r="AB891" s="312"/>
      <c r="AC891" s="312"/>
      <c r="AD891" s="312"/>
      <c r="AE891" s="312"/>
      <c r="AF891" s="312"/>
      <c r="AG891" s="312"/>
      <c r="AH891" s="312"/>
      <c r="AI891" s="312"/>
      <c r="AJ891" s="312"/>
      <c r="AK891" s="312"/>
      <c r="AL891" s="312"/>
      <c r="AM891" s="312"/>
      <c r="AN891" s="312"/>
      <c r="AO891" s="312"/>
      <c r="AP891" s="312"/>
    </row>
    <row r="892" ht="15.75" customHeight="1">
      <c r="A892" s="318"/>
      <c r="B892" s="312"/>
      <c r="C892" s="312"/>
      <c r="D892" s="312"/>
      <c r="E892" s="312"/>
      <c r="F892" s="312"/>
      <c r="G892" s="312"/>
      <c r="H892" s="312"/>
      <c r="I892" s="312"/>
      <c r="J892" s="312"/>
      <c r="K892" s="312"/>
      <c r="L892" s="312"/>
      <c r="M892" s="312"/>
      <c r="N892" s="312"/>
      <c r="O892" s="312"/>
      <c r="P892" s="312"/>
      <c r="Q892" s="312"/>
      <c r="R892" s="312"/>
      <c r="S892" s="312"/>
      <c r="T892" s="312"/>
      <c r="U892" s="312"/>
      <c r="V892" s="312"/>
      <c r="W892" s="312"/>
      <c r="X892" s="312"/>
      <c r="Y892" s="312"/>
      <c r="Z892" s="312"/>
      <c r="AA892" s="312"/>
      <c r="AB892" s="312"/>
      <c r="AC892" s="312"/>
      <c r="AD892" s="312"/>
      <c r="AE892" s="312"/>
      <c r="AF892" s="312"/>
      <c r="AG892" s="312"/>
      <c r="AH892" s="312"/>
      <c r="AI892" s="312"/>
      <c r="AJ892" s="312"/>
      <c r="AK892" s="312"/>
      <c r="AL892" s="312"/>
      <c r="AM892" s="312"/>
      <c r="AN892" s="312"/>
      <c r="AO892" s="312"/>
      <c r="AP892" s="312"/>
    </row>
    <row r="893" ht="15.75" customHeight="1">
      <c r="A893" s="318"/>
      <c r="B893" s="312"/>
      <c r="C893" s="312"/>
      <c r="D893" s="312"/>
      <c r="E893" s="312"/>
      <c r="F893" s="312"/>
      <c r="G893" s="312"/>
      <c r="H893" s="312"/>
      <c r="I893" s="312"/>
      <c r="J893" s="312"/>
      <c r="K893" s="312"/>
      <c r="L893" s="312"/>
      <c r="M893" s="312"/>
      <c r="N893" s="312"/>
      <c r="O893" s="312"/>
      <c r="P893" s="312"/>
      <c r="Q893" s="312"/>
      <c r="R893" s="312"/>
      <c r="S893" s="312"/>
      <c r="T893" s="312"/>
      <c r="U893" s="312"/>
      <c r="V893" s="312"/>
      <c r="W893" s="312"/>
      <c r="X893" s="312"/>
      <c r="Y893" s="312"/>
      <c r="Z893" s="312"/>
      <c r="AA893" s="312"/>
      <c r="AB893" s="312"/>
      <c r="AC893" s="312"/>
      <c r="AD893" s="312"/>
      <c r="AE893" s="312"/>
      <c r="AF893" s="312"/>
      <c r="AG893" s="312"/>
      <c r="AH893" s="312"/>
      <c r="AI893" s="312"/>
      <c r="AJ893" s="312"/>
      <c r="AK893" s="312"/>
      <c r="AL893" s="312"/>
      <c r="AM893" s="312"/>
      <c r="AN893" s="312"/>
      <c r="AO893" s="312"/>
      <c r="AP893" s="312"/>
    </row>
    <row r="894" ht="15.75" customHeight="1">
      <c r="A894" s="318"/>
      <c r="B894" s="312"/>
      <c r="C894" s="312"/>
      <c r="D894" s="312"/>
      <c r="E894" s="312"/>
      <c r="F894" s="312"/>
      <c r="G894" s="312"/>
      <c r="H894" s="312"/>
      <c r="I894" s="312"/>
      <c r="J894" s="312"/>
      <c r="K894" s="312"/>
      <c r="L894" s="312"/>
      <c r="M894" s="312"/>
      <c r="N894" s="312"/>
      <c r="O894" s="312"/>
      <c r="P894" s="312"/>
      <c r="Q894" s="312"/>
      <c r="R894" s="312"/>
      <c r="S894" s="312"/>
      <c r="T894" s="312"/>
      <c r="U894" s="312"/>
      <c r="V894" s="312"/>
      <c r="W894" s="312"/>
      <c r="X894" s="312"/>
      <c r="Y894" s="312"/>
      <c r="Z894" s="312"/>
      <c r="AA894" s="312"/>
      <c r="AB894" s="312"/>
      <c r="AC894" s="312"/>
      <c r="AD894" s="312"/>
      <c r="AE894" s="312"/>
      <c r="AF894" s="312"/>
      <c r="AG894" s="312"/>
      <c r="AH894" s="312"/>
      <c r="AI894" s="312"/>
      <c r="AJ894" s="312"/>
      <c r="AK894" s="312"/>
      <c r="AL894" s="312"/>
      <c r="AM894" s="312"/>
      <c r="AN894" s="312"/>
      <c r="AO894" s="312"/>
      <c r="AP894" s="312"/>
    </row>
    <row r="895" ht="15.75" customHeight="1">
      <c r="A895" s="318"/>
      <c r="B895" s="312"/>
      <c r="C895" s="312"/>
      <c r="D895" s="312"/>
      <c r="E895" s="312"/>
      <c r="F895" s="312"/>
      <c r="G895" s="312"/>
      <c r="H895" s="312"/>
      <c r="I895" s="312"/>
      <c r="J895" s="312"/>
      <c r="K895" s="312"/>
      <c r="L895" s="312"/>
      <c r="M895" s="312"/>
      <c r="N895" s="312"/>
      <c r="O895" s="312"/>
      <c r="P895" s="312"/>
      <c r="Q895" s="312"/>
      <c r="R895" s="312"/>
      <c r="S895" s="312"/>
      <c r="T895" s="312"/>
      <c r="U895" s="312"/>
      <c r="V895" s="312"/>
      <c r="W895" s="312"/>
      <c r="X895" s="312"/>
      <c r="Y895" s="312"/>
      <c r="Z895" s="312"/>
      <c r="AA895" s="312"/>
      <c r="AB895" s="312"/>
      <c r="AC895" s="312"/>
      <c r="AD895" s="312"/>
      <c r="AE895" s="312"/>
      <c r="AF895" s="312"/>
      <c r="AG895" s="312"/>
      <c r="AH895" s="312"/>
      <c r="AI895" s="312"/>
      <c r="AJ895" s="312"/>
      <c r="AK895" s="312"/>
      <c r="AL895" s="312"/>
      <c r="AM895" s="312"/>
      <c r="AN895" s="312"/>
      <c r="AO895" s="312"/>
      <c r="AP895" s="312"/>
    </row>
    <row r="896" ht="15.75" customHeight="1">
      <c r="A896" s="318"/>
      <c r="B896" s="312"/>
      <c r="C896" s="312"/>
      <c r="D896" s="312"/>
      <c r="E896" s="312"/>
      <c r="F896" s="312"/>
      <c r="G896" s="312"/>
      <c r="H896" s="312"/>
      <c r="I896" s="312"/>
      <c r="J896" s="312"/>
      <c r="K896" s="312"/>
      <c r="L896" s="312"/>
      <c r="M896" s="312"/>
      <c r="N896" s="312"/>
      <c r="O896" s="312"/>
      <c r="P896" s="312"/>
      <c r="Q896" s="312"/>
      <c r="R896" s="312"/>
      <c r="S896" s="312"/>
      <c r="T896" s="312"/>
      <c r="U896" s="312"/>
      <c r="V896" s="312"/>
      <c r="W896" s="312"/>
      <c r="X896" s="312"/>
      <c r="Y896" s="312"/>
      <c r="Z896" s="312"/>
      <c r="AA896" s="312"/>
      <c r="AB896" s="312"/>
      <c r="AC896" s="312"/>
      <c r="AD896" s="312"/>
      <c r="AE896" s="312"/>
      <c r="AF896" s="312"/>
      <c r="AG896" s="312"/>
      <c r="AH896" s="312"/>
      <c r="AI896" s="312"/>
      <c r="AJ896" s="312"/>
      <c r="AK896" s="312"/>
      <c r="AL896" s="312"/>
      <c r="AM896" s="312"/>
      <c r="AN896" s="312"/>
      <c r="AO896" s="312"/>
      <c r="AP896" s="312"/>
    </row>
    <row r="897" ht="15.75" customHeight="1">
      <c r="A897" s="318"/>
      <c r="B897" s="312"/>
      <c r="C897" s="312"/>
      <c r="D897" s="312"/>
      <c r="E897" s="312"/>
      <c r="F897" s="312"/>
      <c r="G897" s="312"/>
      <c r="H897" s="312"/>
      <c r="I897" s="312"/>
      <c r="J897" s="312"/>
      <c r="K897" s="312"/>
      <c r="L897" s="312"/>
      <c r="M897" s="312"/>
      <c r="N897" s="312"/>
      <c r="O897" s="312"/>
      <c r="P897" s="312"/>
      <c r="Q897" s="312"/>
      <c r="R897" s="312"/>
      <c r="S897" s="312"/>
      <c r="T897" s="312"/>
      <c r="U897" s="312"/>
      <c r="V897" s="312"/>
      <c r="W897" s="312"/>
      <c r="X897" s="312"/>
      <c r="Y897" s="312"/>
      <c r="Z897" s="312"/>
      <c r="AA897" s="312"/>
      <c r="AB897" s="312"/>
      <c r="AC897" s="312"/>
      <c r="AD897" s="312"/>
      <c r="AE897" s="312"/>
      <c r="AF897" s="312"/>
      <c r="AG897" s="312"/>
      <c r="AH897" s="312"/>
      <c r="AI897" s="312"/>
      <c r="AJ897" s="312"/>
      <c r="AK897" s="312"/>
      <c r="AL897" s="312"/>
      <c r="AM897" s="312"/>
      <c r="AN897" s="312"/>
      <c r="AO897" s="312"/>
      <c r="AP897" s="312"/>
    </row>
    <row r="898" ht="15.75" customHeight="1">
      <c r="A898" s="318"/>
      <c r="B898" s="312"/>
      <c r="C898" s="312"/>
      <c r="D898" s="312"/>
      <c r="E898" s="312"/>
      <c r="F898" s="312"/>
      <c r="G898" s="312"/>
      <c r="H898" s="312"/>
      <c r="I898" s="312"/>
      <c r="J898" s="312"/>
      <c r="K898" s="312"/>
      <c r="L898" s="312"/>
      <c r="M898" s="312"/>
      <c r="N898" s="312"/>
      <c r="O898" s="312"/>
      <c r="P898" s="312"/>
      <c r="Q898" s="312"/>
      <c r="R898" s="312"/>
      <c r="S898" s="312"/>
      <c r="T898" s="312"/>
      <c r="U898" s="312"/>
      <c r="V898" s="312"/>
      <c r="W898" s="312"/>
      <c r="X898" s="312"/>
      <c r="Y898" s="312"/>
      <c r="Z898" s="312"/>
      <c r="AA898" s="312"/>
      <c r="AB898" s="312"/>
      <c r="AC898" s="312"/>
      <c r="AD898" s="312"/>
      <c r="AE898" s="312"/>
      <c r="AF898" s="312"/>
      <c r="AG898" s="312"/>
      <c r="AH898" s="312"/>
      <c r="AI898" s="312"/>
      <c r="AJ898" s="312"/>
      <c r="AK898" s="312"/>
      <c r="AL898" s="312"/>
      <c r="AM898" s="312"/>
      <c r="AN898" s="312"/>
      <c r="AO898" s="312"/>
      <c r="AP898" s="312"/>
    </row>
    <row r="899" ht="15.75" customHeight="1">
      <c r="A899" s="318"/>
      <c r="B899" s="312"/>
      <c r="C899" s="312"/>
      <c r="D899" s="312"/>
      <c r="E899" s="312"/>
      <c r="F899" s="312"/>
      <c r="G899" s="312"/>
      <c r="H899" s="312"/>
      <c r="I899" s="312"/>
      <c r="J899" s="312"/>
      <c r="K899" s="312"/>
      <c r="L899" s="312"/>
      <c r="M899" s="312"/>
      <c r="N899" s="312"/>
      <c r="O899" s="312"/>
      <c r="P899" s="312"/>
      <c r="Q899" s="312"/>
      <c r="R899" s="312"/>
      <c r="S899" s="312"/>
      <c r="T899" s="312"/>
      <c r="U899" s="312"/>
      <c r="V899" s="312"/>
      <c r="W899" s="312"/>
      <c r="X899" s="312"/>
      <c r="Y899" s="312"/>
      <c r="Z899" s="312"/>
      <c r="AA899" s="312"/>
      <c r="AB899" s="312"/>
      <c r="AC899" s="312"/>
      <c r="AD899" s="312"/>
      <c r="AE899" s="312"/>
      <c r="AF899" s="312"/>
      <c r="AG899" s="312"/>
      <c r="AH899" s="312"/>
      <c r="AI899" s="312"/>
      <c r="AJ899" s="312"/>
      <c r="AK899" s="312"/>
      <c r="AL899" s="312"/>
      <c r="AM899" s="312"/>
      <c r="AN899" s="312"/>
      <c r="AO899" s="312"/>
      <c r="AP899" s="312"/>
    </row>
    <row r="900" ht="15.75" customHeight="1">
      <c r="A900" s="318"/>
      <c r="B900" s="312"/>
      <c r="C900" s="312"/>
      <c r="D900" s="312"/>
      <c r="E900" s="312"/>
      <c r="F900" s="312"/>
      <c r="G900" s="312"/>
      <c r="H900" s="312"/>
      <c r="I900" s="312"/>
      <c r="J900" s="312"/>
      <c r="K900" s="312"/>
      <c r="L900" s="312"/>
      <c r="M900" s="312"/>
      <c r="N900" s="312"/>
      <c r="O900" s="312"/>
      <c r="P900" s="312"/>
      <c r="Q900" s="312"/>
      <c r="R900" s="312"/>
      <c r="S900" s="312"/>
      <c r="T900" s="312"/>
      <c r="U900" s="312"/>
      <c r="V900" s="312"/>
      <c r="W900" s="312"/>
      <c r="X900" s="312"/>
      <c r="Y900" s="312"/>
      <c r="Z900" s="312"/>
      <c r="AA900" s="312"/>
      <c r="AB900" s="312"/>
      <c r="AC900" s="312"/>
      <c r="AD900" s="312"/>
      <c r="AE900" s="312"/>
      <c r="AF900" s="312"/>
      <c r="AG900" s="312"/>
      <c r="AH900" s="312"/>
      <c r="AI900" s="312"/>
      <c r="AJ900" s="312"/>
      <c r="AK900" s="312"/>
      <c r="AL900" s="312"/>
      <c r="AM900" s="312"/>
      <c r="AN900" s="312"/>
      <c r="AO900" s="312"/>
      <c r="AP900" s="312"/>
    </row>
    <row r="901" ht="15.75" customHeight="1">
      <c r="A901" s="318"/>
      <c r="B901" s="312"/>
      <c r="C901" s="312"/>
      <c r="D901" s="312"/>
      <c r="E901" s="312"/>
      <c r="F901" s="312"/>
      <c r="G901" s="312"/>
      <c r="H901" s="312"/>
      <c r="I901" s="312"/>
      <c r="J901" s="312"/>
      <c r="K901" s="312"/>
      <c r="L901" s="312"/>
      <c r="M901" s="312"/>
      <c r="N901" s="312"/>
      <c r="O901" s="312"/>
      <c r="P901" s="312"/>
      <c r="Q901" s="312"/>
      <c r="R901" s="312"/>
      <c r="S901" s="312"/>
      <c r="T901" s="312"/>
      <c r="U901" s="312"/>
      <c r="V901" s="312"/>
      <c r="W901" s="312"/>
      <c r="X901" s="312"/>
      <c r="Y901" s="312"/>
      <c r="Z901" s="312"/>
      <c r="AA901" s="312"/>
      <c r="AB901" s="312"/>
      <c r="AC901" s="312"/>
      <c r="AD901" s="312"/>
      <c r="AE901" s="312"/>
      <c r="AF901" s="312"/>
      <c r="AG901" s="312"/>
      <c r="AH901" s="312"/>
      <c r="AI901" s="312"/>
      <c r="AJ901" s="312"/>
      <c r="AK901" s="312"/>
      <c r="AL901" s="312"/>
      <c r="AM901" s="312"/>
      <c r="AN901" s="312"/>
      <c r="AO901" s="312"/>
      <c r="AP901" s="312"/>
    </row>
    <row r="902" ht="15.75" customHeight="1">
      <c r="A902" s="318"/>
      <c r="B902" s="312"/>
      <c r="C902" s="312"/>
      <c r="D902" s="312"/>
      <c r="E902" s="312"/>
      <c r="F902" s="312"/>
      <c r="G902" s="312"/>
      <c r="H902" s="312"/>
      <c r="I902" s="312"/>
      <c r="J902" s="312"/>
      <c r="K902" s="312"/>
      <c r="L902" s="312"/>
      <c r="M902" s="312"/>
      <c r="N902" s="312"/>
      <c r="O902" s="312"/>
      <c r="P902" s="312"/>
      <c r="Q902" s="312"/>
      <c r="R902" s="312"/>
      <c r="S902" s="312"/>
      <c r="T902" s="312"/>
      <c r="U902" s="312"/>
      <c r="V902" s="312"/>
      <c r="W902" s="312"/>
      <c r="X902" s="312"/>
      <c r="Y902" s="312"/>
      <c r="Z902" s="312"/>
      <c r="AA902" s="312"/>
      <c r="AB902" s="312"/>
      <c r="AC902" s="312"/>
      <c r="AD902" s="312"/>
      <c r="AE902" s="312"/>
      <c r="AF902" s="312"/>
      <c r="AG902" s="312"/>
      <c r="AH902" s="312"/>
      <c r="AI902" s="312"/>
      <c r="AJ902" s="312"/>
      <c r="AK902" s="312"/>
      <c r="AL902" s="312"/>
      <c r="AM902" s="312"/>
      <c r="AN902" s="312"/>
      <c r="AO902" s="312"/>
      <c r="AP902" s="312"/>
    </row>
    <row r="903" ht="15.75" customHeight="1">
      <c r="A903" s="318"/>
      <c r="B903" s="312"/>
      <c r="C903" s="312"/>
      <c r="D903" s="312"/>
      <c r="E903" s="312"/>
      <c r="F903" s="312"/>
      <c r="G903" s="312"/>
      <c r="H903" s="312"/>
      <c r="I903" s="312"/>
      <c r="J903" s="312"/>
      <c r="K903" s="312"/>
      <c r="L903" s="312"/>
      <c r="M903" s="312"/>
      <c r="N903" s="312"/>
      <c r="O903" s="312"/>
      <c r="P903" s="312"/>
      <c r="Q903" s="312"/>
      <c r="R903" s="312"/>
      <c r="S903" s="312"/>
      <c r="T903" s="312"/>
      <c r="U903" s="312"/>
      <c r="V903" s="312"/>
      <c r="W903" s="312"/>
      <c r="X903" s="312"/>
      <c r="Y903" s="312"/>
      <c r="Z903" s="312"/>
      <c r="AA903" s="312"/>
      <c r="AB903" s="312"/>
      <c r="AC903" s="312"/>
      <c r="AD903" s="312"/>
      <c r="AE903" s="312"/>
      <c r="AF903" s="312"/>
      <c r="AG903" s="312"/>
      <c r="AH903" s="312"/>
      <c r="AI903" s="312"/>
      <c r="AJ903" s="312"/>
      <c r="AK903" s="312"/>
      <c r="AL903" s="312"/>
      <c r="AM903" s="312"/>
      <c r="AN903" s="312"/>
      <c r="AO903" s="312"/>
      <c r="AP903" s="312"/>
    </row>
    <row r="904" ht="15.75" customHeight="1">
      <c r="A904" s="318"/>
      <c r="B904" s="312"/>
      <c r="C904" s="312"/>
      <c r="D904" s="312"/>
      <c r="E904" s="312"/>
      <c r="F904" s="312"/>
      <c r="G904" s="312"/>
      <c r="H904" s="312"/>
      <c r="I904" s="312"/>
      <c r="J904" s="312"/>
      <c r="K904" s="312"/>
      <c r="L904" s="312"/>
      <c r="M904" s="312"/>
      <c r="N904" s="312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2"/>
      <c r="AB904" s="312"/>
      <c r="AC904" s="312"/>
      <c r="AD904" s="312"/>
      <c r="AE904" s="312"/>
      <c r="AF904" s="312"/>
      <c r="AG904" s="312"/>
      <c r="AH904" s="312"/>
      <c r="AI904" s="312"/>
      <c r="AJ904" s="312"/>
      <c r="AK904" s="312"/>
      <c r="AL904" s="312"/>
      <c r="AM904" s="312"/>
      <c r="AN904" s="312"/>
      <c r="AO904" s="312"/>
      <c r="AP904" s="312"/>
    </row>
    <row r="905" ht="15.75" customHeight="1">
      <c r="A905" s="318"/>
      <c r="B905" s="312"/>
      <c r="C905" s="312"/>
      <c r="D905" s="312"/>
      <c r="E905" s="312"/>
      <c r="F905" s="312"/>
      <c r="G905" s="312"/>
      <c r="H905" s="312"/>
      <c r="I905" s="312"/>
      <c r="J905" s="312"/>
      <c r="K905" s="312"/>
      <c r="L905" s="312"/>
      <c r="M905" s="312"/>
      <c r="N905" s="312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2"/>
      <c r="AB905" s="312"/>
      <c r="AC905" s="312"/>
      <c r="AD905" s="312"/>
      <c r="AE905" s="312"/>
      <c r="AF905" s="312"/>
      <c r="AG905" s="312"/>
      <c r="AH905" s="312"/>
      <c r="AI905" s="312"/>
      <c r="AJ905" s="312"/>
      <c r="AK905" s="312"/>
      <c r="AL905" s="312"/>
      <c r="AM905" s="312"/>
      <c r="AN905" s="312"/>
      <c r="AO905" s="312"/>
      <c r="AP905" s="312"/>
    </row>
    <row r="906" ht="15.75" customHeight="1">
      <c r="A906" s="318"/>
      <c r="B906" s="312"/>
      <c r="C906" s="312"/>
      <c r="D906" s="312"/>
      <c r="E906" s="312"/>
      <c r="F906" s="312"/>
      <c r="G906" s="312"/>
      <c r="H906" s="312"/>
      <c r="I906" s="312"/>
      <c r="J906" s="312"/>
      <c r="K906" s="312"/>
      <c r="L906" s="312"/>
      <c r="M906" s="312"/>
      <c r="N906" s="312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2"/>
      <c r="AB906" s="312"/>
      <c r="AC906" s="312"/>
      <c r="AD906" s="312"/>
      <c r="AE906" s="312"/>
      <c r="AF906" s="312"/>
      <c r="AG906" s="312"/>
      <c r="AH906" s="312"/>
      <c r="AI906" s="312"/>
      <c r="AJ906" s="312"/>
      <c r="AK906" s="312"/>
      <c r="AL906" s="312"/>
      <c r="AM906" s="312"/>
      <c r="AN906" s="312"/>
      <c r="AO906" s="312"/>
      <c r="AP906" s="312"/>
    </row>
    <row r="907" ht="15.75" customHeight="1">
      <c r="A907" s="318"/>
      <c r="B907" s="312"/>
      <c r="C907" s="312"/>
      <c r="D907" s="312"/>
      <c r="E907" s="312"/>
      <c r="F907" s="312"/>
      <c r="G907" s="312"/>
      <c r="H907" s="312"/>
      <c r="I907" s="312"/>
      <c r="J907" s="312"/>
      <c r="K907" s="312"/>
      <c r="L907" s="312"/>
      <c r="M907" s="312"/>
      <c r="N907" s="312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2"/>
      <c r="AB907" s="312"/>
      <c r="AC907" s="312"/>
      <c r="AD907" s="312"/>
      <c r="AE907" s="312"/>
      <c r="AF907" s="312"/>
      <c r="AG907" s="312"/>
      <c r="AH907" s="312"/>
      <c r="AI907" s="312"/>
      <c r="AJ907" s="312"/>
      <c r="AK907" s="312"/>
      <c r="AL907" s="312"/>
      <c r="AM907" s="312"/>
      <c r="AN907" s="312"/>
      <c r="AO907" s="312"/>
      <c r="AP907" s="312"/>
    </row>
    <row r="908" ht="15.75" customHeight="1">
      <c r="A908" s="318"/>
      <c r="B908" s="312"/>
      <c r="C908" s="312"/>
      <c r="D908" s="312"/>
      <c r="E908" s="312"/>
      <c r="F908" s="312"/>
      <c r="G908" s="312"/>
      <c r="H908" s="312"/>
      <c r="I908" s="312"/>
      <c r="J908" s="312"/>
      <c r="K908" s="312"/>
      <c r="L908" s="312"/>
      <c r="M908" s="312"/>
      <c r="N908" s="312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2"/>
      <c r="AB908" s="312"/>
      <c r="AC908" s="312"/>
      <c r="AD908" s="312"/>
      <c r="AE908" s="312"/>
      <c r="AF908" s="312"/>
      <c r="AG908" s="312"/>
      <c r="AH908" s="312"/>
      <c r="AI908" s="312"/>
      <c r="AJ908" s="312"/>
      <c r="AK908" s="312"/>
      <c r="AL908" s="312"/>
      <c r="AM908" s="312"/>
      <c r="AN908" s="312"/>
      <c r="AO908" s="312"/>
      <c r="AP908" s="312"/>
    </row>
    <row r="909" ht="15.75" customHeight="1">
      <c r="A909" s="318"/>
      <c r="B909" s="312"/>
      <c r="C909" s="312"/>
      <c r="D909" s="312"/>
      <c r="E909" s="312"/>
      <c r="F909" s="312"/>
      <c r="G909" s="312"/>
      <c r="H909" s="312"/>
      <c r="I909" s="312"/>
      <c r="J909" s="312"/>
      <c r="K909" s="312"/>
      <c r="L909" s="312"/>
      <c r="M909" s="312"/>
      <c r="N909" s="312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2"/>
      <c r="AB909" s="312"/>
      <c r="AC909" s="312"/>
      <c r="AD909" s="312"/>
      <c r="AE909" s="312"/>
      <c r="AF909" s="312"/>
      <c r="AG909" s="312"/>
      <c r="AH909" s="312"/>
      <c r="AI909" s="312"/>
      <c r="AJ909" s="312"/>
      <c r="AK909" s="312"/>
      <c r="AL909" s="312"/>
      <c r="AM909" s="312"/>
      <c r="AN909" s="312"/>
      <c r="AO909" s="312"/>
      <c r="AP909" s="312"/>
    </row>
    <row r="910" ht="15.75" customHeight="1">
      <c r="A910" s="318"/>
      <c r="B910" s="312"/>
      <c r="C910" s="312"/>
      <c r="D910" s="312"/>
      <c r="E910" s="312"/>
      <c r="F910" s="312"/>
      <c r="G910" s="312"/>
      <c r="H910" s="312"/>
      <c r="I910" s="312"/>
      <c r="J910" s="312"/>
      <c r="K910" s="312"/>
      <c r="L910" s="312"/>
      <c r="M910" s="312"/>
      <c r="N910" s="312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2"/>
      <c r="AB910" s="312"/>
      <c r="AC910" s="312"/>
      <c r="AD910" s="312"/>
      <c r="AE910" s="312"/>
      <c r="AF910" s="312"/>
      <c r="AG910" s="312"/>
      <c r="AH910" s="312"/>
      <c r="AI910" s="312"/>
      <c r="AJ910" s="312"/>
      <c r="AK910" s="312"/>
      <c r="AL910" s="312"/>
      <c r="AM910" s="312"/>
      <c r="AN910" s="312"/>
      <c r="AO910" s="312"/>
      <c r="AP910" s="312"/>
    </row>
    <row r="911" ht="15.75" customHeight="1">
      <c r="A911" s="318"/>
      <c r="B911" s="312"/>
      <c r="C911" s="312"/>
      <c r="D911" s="312"/>
      <c r="E911" s="312"/>
      <c r="F911" s="312"/>
      <c r="G911" s="312"/>
      <c r="H911" s="312"/>
      <c r="I911" s="312"/>
      <c r="J911" s="312"/>
      <c r="K911" s="312"/>
      <c r="L911" s="312"/>
      <c r="M911" s="312"/>
      <c r="N911" s="312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2"/>
      <c r="AB911" s="312"/>
      <c r="AC911" s="312"/>
      <c r="AD911" s="312"/>
      <c r="AE911" s="312"/>
      <c r="AF911" s="312"/>
      <c r="AG911" s="312"/>
      <c r="AH911" s="312"/>
      <c r="AI911" s="312"/>
      <c r="AJ911" s="312"/>
      <c r="AK911" s="312"/>
      <c r="AL911" s="312"/>
      <c r="AM911" s="312"/>
      <c r="AN911" s="312"/>
      <c r="AO911" s="312"/>
      <c r="AP911" s="312"/>
    </row>
    <row r="912" ht="15.75" customHeight="1">
      <c r="A912" s="318"/>
      <c r="B912" s="312"/>
      <c r="C912" s="312"/>
      <c r="D912" s="312"/>
      <c r="E912" s="312"/>
      <c r="F912" s="312"/>
      <c r="G912" s="312"/>
      <c r="H912" s="312"/>
      <c r="I912" s="312"/>
      <c r="J912" s="312"/>
      <c r="K912" s="312"/>
      <c r="L912" s="312"/>
      <c r="M912" s="312"/>
      <c r="N912" s="312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2"/>
      <c r="AB912" s="312"/>
      <c r="AC912" s="312"/>
      <c r="AD912" s="312"/>
      <c r="AE912" s="312"/>
      <c r="AF912" s="312"/>
      <c r="AG912" s="312"/>
      <c r="AH912" s="312"/>
      <c r="AI912" s="312"/>
      <c r="AJ912" s="312"/>
      <c r="AK912" s="312"/>
      <c r="AL912" s="312"/>
      <c r="AM912" s="312"/>
      <c r="AN912" s="312"/>
      <c r="AO912" s="312"/>
      <c r="AP912" s="312"/>
    </row>
    <row r="913" ht="15.75" customHeight="1">
      <c r="A913" s="318"/>
      <c r="B913" s="312"/>
      <c r="C913" s="312"/>
      <c r="D913" s="312"/>
      <c r="E913" s="312"/>
      <c r="F913" s="312"/>
      <c r="G913" s="312"/>
      <c r="H913" s="312"/>
      <c r="I913" s="312"/>
      <c r="J913" s="312"/>
      <c r="K913" s="312"/>
      <c r="L913" s="312"/>
      <c r="M913" s="312"/>
      <c r="N913" s="312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2"/>
      <c r="AB913" s="312"/>
      <c r="AC913" s="312"/>
      <c r="AD913" s="312"/>
      <c r="AE913" s="312"/>
      <c r="AF913" s="312"/>
      <c r="AG913" s="312"/>
      <c r="AH913" s="312"/>
      <c r="AI913" s="312"/>
      <c r="AJ913" s="312"/>
      <c r="AK913" s="312"/>
      <c r="AL913" s="312"/>
      <c r="AM913" s="312"/>
      <c r="AN913" s="312"/>
      <c r="AO913" s="312"/>
      <c r="AP913" s="312"/>
    </row>
    <row r="914" ht="15.75" customHeight="1">
      <c r="A914" s="318"/>
      <c r="B914" s="312"/>
      <c r="C914" s="312"/>
      <c r="D914" s="312"/>
      <c r="E914" s="312"/>
      <c r="F914" s="312"/>
      <c r="G914" s="312"/>
      <c r="H914" s="312"/>
      <c r="I914" s="312"/>
      <c r="J914" s="312"/>
      <c r="K914" s="312"/>
      <c r="L914" s="312"/>
      <c r="M914" s="312"/>
      <c r="N914" s="312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2"/>
      <c r="AB914" s="312"/>
      <c r="AC914" s="312"/>
      <c r="AD914" s="312"/>
      <c r="AE914" s="312"/>
      <c r="AF914" s="312"/>
      <c r="AG914" s="312"/>
      <c r="AH914" s="312"/>
      <c r="AI914" s="312"/>
      <c r="AJ914" s="312"/>
      <c r="AK914" s="312"/>
      <c r="AL914" s="312"/>
      <c r="AM914" s="312"/>
      <c r="AN914" s="312"/>
      <c r="AO914" s="312"/>
      <c r="AP914" s="312"/>
    </row>
    <row r="915" ht="15.75" customHeight="1">
      <c r="A915" s="318"/>
      <c r="B915" s="312"/>
      <c r="C915" s="312"/>
      <c r="D915" s="312"/>
      <c r="E915" s="312"/>
      <c r="F915" s="312"/>
      <c r="G915" s="312"/>
      <c r="H915" s="312"/>
      <c r="I915" s="312"/>
      <c r="J915" s="312"/>
      <c r="K915" s="312"/>
      <c r="L915" s="312"/>
      <c r="M915" s="312"/>
      <c r="N915" s="312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2"/>
      <c r="AB915" s="312"/>
      <c r="AC915" s="312"/>
      <c r="AD915" s="312"/>
      <c r="AE915" s="312"/>
      <c r="AF915" s="312"/>
      <c r="AG915" s="312"/>
      <c r="AH915" s="312"/>
      <c r="AI915" s="312"/>
      <c r="AJ915" s="312"/>
      <c r="AK915" s="312"/>
      <c r="AL915" s="312"/>
      <c r="AM915" s="312"/>
      <c r="AN915" s="312"/>
      <c r="AO915" s="312"/>
      <c r="AP915" s="312"/>
    </row>
    <row r="916" ht="15.75" customHeight="1">
      <c r="A916" s="318"/>
      <c r="B916" s="312"/>
      <c r="C916" s="312"/>
      <c r="D916" s="312"/>
      <c r="E916" s="312"/>
      <c r="F916" s="312"/>
      <c r="G916" s="312"/>
      <c r="H916" s="312"/>
      <c r="I916" s="312"/>
      <c r="J916" s="312"/>
      <c r="K916" s="312"/>
      <c r="L916" s="312"/>
      <c r="M916" s="312"/>
      <c r="N916" s="312"/>
      <c r="O916" s="312"/>
      <c r="P916" s="312"/>
      <c r="Q916" s="312"/>
      <c r="R916" s="312"/>
      <c r="S916" s="312"/>
      <c r="T916" s="312"/>
      <c r="U916" s="312"/>
      <c r="V916" s="312"/>
      <c r="W916" s="312"/>
      <c r="X916" s="312"/>
      <c r="Y916" s="312"/>
      <c r="Z916" s="312"/>
      <c r="AA916" s="312"/>
      <c r="AB916" s="312"/>
      <c r="AC916" s="312"/>
      <c r="AD916" s="312"/>
      <c r="AE916" s="312"/>
      <c r="AF916" s="312"/>
      <c r="AG916" s="312"/>
      <c r="AH916" s="312"/>
      <c r="AI916" s="312"/>
      <c r="AJ916" s="312"/>
      <c r="AK916" s="312"/>
      <c r="AL916" s="312"/>
      <c r="AM916" s="312"/>
      <c r="AN916" s="312"/>
      <c r="AO916" s="312"/>
      <c r="AP916" s="312"/>
    </row>
    <row r="917" ht="15.75" customHeight="1">
      <c r="A917" s="318"/>
      <c r="B917" s="312"/>
      <c r="C917" s="312"/>
      <c r="D917" s="312"/>
      <c r="E917" s="312"/>
      <c r="F917" s="312"/>
      <c r="G917" s="312"/>
      <c r="H917" s="312"/>
      <c r="I917" s="312"/>
      <c r="J917" s="312"/>
      <c r="K917" s="312"/>
      <c r="L917" s="312"/>
      <c r="M917" s="312"/>
      <c r="N917" s="312"/>
      <c r="O917" s="312"/>
      <c r="P917" s="312"/>
      <c r="Q917" s="312"/>
      <c r="R917" s="312"/>
      <c r="S917" s="312"/>
      <c r="T917" s="312"/>
      <c r="U917" s="312"/>
      <c r="V917" s="312"/>
      <c r="W917" s="312"/>
      <c r="X917" s="312"/>
      <c r="Y917" s="312"/>
      <c r="Z917" s="312"/>
      <c r="AA917" s="312"/>
      <c r="AB917" s="312"/>
      <c r="AC917" s="312"/>
      <c r="AD917" s="312"/>
      <c r="AE917" s="312"/>
      <c r="AF917" s="312"/>
      <c r="AG917" s="312"/>
      <c r="AH917" s="312"/>
      <c r="AI917" s="312"/>
      <c r="AJ917" s="312"/>
      <c r="AK917" s="312"/>
      <c r="AL917" s="312"/>
      <c r="AM917" s="312"/>
      <c r="AN917" s="312"/>
      <c r="AO917" s="312"/>
      <c r="AP917" s="312"/>
    </row>
    <row r="918" ht="15.75" customHeight="1">
      <c r="A918" s="318"/>
      <c r="B918" s="312"/>
      <c r="C918" s="312"/>
      <c r="D918" s="312"/>
      <c r="E918" s="312"/>
      <c r="F918" s="312"/>
      <c r="G918" s="312"/>
      <c r="H918" s="312"/>
      <c r="I918" s="312"/>
      <c r="J918" s="312"/>
      <c r="K918" s="312"/>
      <c r="L918" s="312"/>
      <c r="M918" s="312"/>
      <c r="N918" s="312"/>
      <c r="O918" s="312"/>
      <c r="P918" s="312"/>
      <c r="Q918" s="312"/>
      <c r="R918" s="312"/>
      <c r="S918" s="312"/>
      <c r="T918" s="312"/>
      <c r="U918" s="312"/>
      <c r="V918" s="312"/>
      <c r="W918" s="312"/>
      <c r="X918" s="312"/>
      <c r="Y918" s="312"/>
      <c r="Z918" s="312"/>
      <c r="AA918" s="312"/>
      <c r="AB918" s="312"/>
      <c r="AC918" s="312"/>
      <c r="AD918" s="312"/>
      <c r="AE918" s="312"/>
      <c r="AF918" s="312"/>
      <c r="AG918" s="312"/>
      <c r="AH918" s="312"/>
      <c r="AI918" s="312"/>
      <c r="AJ918" s="312"/>
      <c r="AK918" s="312"/>
      <c r="AL918" s="312"/>
      <c r="AM918" s="312"/>
      <c r="AN918" s="312"/>
      <c r="AO918" s="312"/>
      <c r="AP918" s="312"/>
    </row>
    <row r="919" ht="15.75" customHeight="1">
      <c r="A919" s="318"/>
      <c r="B919" s="312"/>
      <c r="C919" s="312"/>
      <c r="D919" s="312"/>
      <c r="E919" s="312"/>
      <c r="F919" s="312"/>
      <c r="G919" s="312"/>
      <c r="H919" s="312"/>
      <c r="I919" s="312"/>
      <c r="J919" s="312"/>
      <c r="K919" s="312"/>
      <c r="L919" s="312"/>
      <c r="M919" s="312"/>
      <c r="N919" s="312"/>
      <c r="O919" s="312"/>
      <c r="P919" s="312"/>
      <c r="Q919" s="312"/>
      <c r="R919" s="312"/>
      <c r="S919" s="312"/>
      <c r="T919" s="312"/>
      <c r="U919" s="312"/>
      <c r="V919" s="312"/>
      <c r="W919" s="312"/>
      <c r="X919" s="312"/>
      <c r="Y919" s="312"/>
      <c r="Z919" s="312"/>
      <c r="AA919" s="312"/>
      <c r="AB919" s="312"/>
      <c r="AC919" s="312"/>
      <c r="AD919" s="312"/>
      <c r="AE919" s="312"/>
      <c r="AF919" s="312"/>
      <c r="AG919" s="312"/>
      <c r="AH919" s="312"/>
      <c r="AI919" s="312"/>
      <c r="AJ919" s="312"/>
      <c r="AK919" s="312"/>
      <c r="AL919" s="312"/>
      <c r="AM919" s="312"/>
      <c r="AN919" s="312"/>
      <c r="AO919" s="312"/>
      <c r="AP919" s="312"/>
    </row>
    <row r="920" ht="15.75" customHeight="1">
      <c r="A920" s="318"/>
      <c r="B920" s="312"/>
      <c r="C920" s="312"/>
      <c r="D920" s="312"/>
      <c r="E920" s="312"/>
      <c r="F920" s="312"/>
      <c r="G920" s="312"/>
      <c r="H920" s="312"/>
      <c r="I920" s="312"/>
      <c r="J920" s="312"/>
      <c r="K920" s="312"/>
      <c r="L920" s="312"/>
      <c r="M920" s="312"/>
      <c r="N920" s="312"/>
      <c r="O920" s="312"/>
      <c r="P920" s="312"/>
      <c r="Q920" s="312"/>
      <c r="R920" s="312"/>
      <c r="S920" s="312"/>
      <c r="T920" s="312"/>
      <c r="U920" s="312"/>
      <c r="V920" s="312"/>
      <c r="W920" s="312"/>
      <c r="X920" s="312"/>
      <c r="Y920" s="312"/>
      <c r="Z920" s="312"/>
      <c r="AA920" s="312"/>
      <c r="AB920" s="312"/>
      <c r="AC920" s="312"/>
      <c r="AD920" s="312"/>
      <c r="AE920" s="312"/>
      <c r="AF920" s="312"/>
      <c r="AG920" s="312"/>
      <c r="AH920" s="312"/>
      <c r="AI920" s="312"/>
      <c r="AJ920" s="312"/>
      <c r="AK920" s="312"/>
      <c r="AL920" s="312"/>
      <c r="AM920" s="312"/>
      <c r="AN920" s="312"/>
      <c r="AO920" s="312"/>
      <c r="AP920" s="312"/>
    </row>
    <row r="921" ht="15.75" customHeight="1">
      <c r="A921" s="318"/>
      <c r="B921" s="312"/>
      <c r="C921" s="312"/>
      <c r="D921" s="312"/>
      <c r="E921" s="312"/>
      <c r="F921" s="312"/>
      <c r="G921" s="312"/>
      <c r="H921" s="312"/>
      <c r="I921" s="312"/>
      <c r="J921" s="312"/>
      <c r="K921" s="312"/>
      <c r="L921" s="312"/>
      <c r="M921" s="312"/>
      <c r="N921" s="312"/>
      <c r="O921" s="312"/>
      <c r="P921" s="312"/>
      <c r="Q921" s="312"/>
      <c r="R921" s="312"/>
      <c r="S921" s="312"/>
      <c r="T921" s="312"/>
      <c r="U921" s="312"/>
      <c r="V921" s="312"/>
      <c r="W921" s="312"/>
      <c r="X921" s="312"/>
      <c r="Y921" s="312"/>
      <c r="Z921" s="312"/>
      <c r="AA921" s="312"/>
      <c r="AB921" s="312"/>
      <c r="AC921" s="312"/>
      <c r="AD921" s="312"/>
      <c r="AE921" s="312"/>
      <c r="AF921" s="312"/>
      <c r="AG921" s="312"/>
      <c r="AH921" s="312"/>
      <c r="AI921" s="312"/>
      <c r="AJ921" s="312"/>
      <c r="AK921" s="312"/>
      <c r="AL921" s="312"/>
      <c r="AM921" s="312"/>
      <c r="AN921" s="312"/>
      <c r="AO921" s="312"/>
      <c r="AP921" s="312"/>
    </row>
    <row r="922" ht="15.75" customHeight="1">
      <c r="A922" s="318"/>
      <c r="B922" s="312"/>
      <c r="C922" s="312"/>
      <c r="D922" s="312"/>
      <c r="E922" s="312"/>
      <c r="F922" s="312"/>
      <c r="G922" s="312"/>
      <c r="H922" s="312"/>
      <c r="I922" s="312"/>
      <c r="J922" s="312"/>
      <c r="K922" s="312"/>
      <c r="L922" s="312"/>
      <c r="M922" s="312"/>
      <c r="N922" s="312"/>
      <c r="O922" s="312"/>
      <c r="P922" s="312"/>
      <c r="Q922" s="312"/>
      <c r="R922" s="312"/>
      <c r="S922" s="312"/>
      <c r="T922" s="312"/>
      <c r="U922" s="312"/>
      <c r="V922" s="312"/>
      <c r="W922" s="312"/>
      <c r="X922" s="312"/>
      <c r="Y922" s="312"/>
      <c r="Z922" s="312"/>
      <c r="AA922" s="312"/>
      <c r="AB922" s="312"/>
      <c r="AC922" s="312"/>
      <c r="AD922" s="312"/>
      <c r="AE922" s="312"/>
      <c r="AF922" s="312"/>
      <c r="AG922" s="312"/>
      <c r="AH922" s="312"/>
      <c r="AI922" s="312"/>
      <c r="AJ922" s="312"/>
      <c r="AK922" s="312"/>
      <c r="AL922" s="312"/>
      <c r="AM922" s="312"/>
      <c r="AN922" s="312"/>
      <c r="AO922" s="312"/>
      <c r="AP922" s="312"/>
    </row>
    <row r="923" ht="15.75" customHeight="1">
      <c r="A923" s="318"/>
      <c r="B923" s="312"/>
      <c r="C923" s="312"/>
      <c r="D923" s="312"/>
      <c r="E923" s="312"/>
      <c r="F923" s="312"/>
      <c r="G923" s="312"/>
      <c r="H923" s="312"/>
      <c r="I923" s="312"/>
      <c r="J923" s="312"/>
      <c r="K923" s="312"/>
      <c r="L923" s="312"/>
      <c r="M923" s="312"/>
      <c r="N923" s="312"/>
      <c r="O923" s="312"/>
      <c r="P923" s="312"/>
      <c r="Q923" s="312"/>
      <c r="R923" s="312"/>
      <c r="S923" s="312"/>
      <c r="T923" s="312"/>
      <c r="U923" s="312"/>
      <c r="V923" s="312"/>
      <c r="W923" s="312"/>
      <c r="X923" s="312"/>
      <c r="Y923" s="312"/>
      <c r="Z923" s="312"/>
      <c r="AA923" s="312"/>
      <c r="AB923" s="312"/>
      <c r="AC923" s="312"/>
      <c r="AD923" s="312"/>
      <c r="AE923" s="312"/>
      <c r="AF923" s="312"/>
      <c r="AG923" s="312"/>
      <c r="AH923" s="312"/>
      <c r="AI923" s="312"/>
      <c r="AJ923" s="312"/>
      <c r="AK923" s="312"/>
      <c r="AL923" s="312"/>
      <c r="AM923" s="312"/>
      <c r="AN923" s="312"/>
      <c r="AO923" s="312"/>
      <c r="AP923" s="312"/>
    </row>
    <row r="924" ht="15.75" customHeight="1">
      <c r="A924" s="318"/>
      <c r="B924" s="312"/>
      <c r="C924" s="312"/>
      <c r="D924" s="312"/>
      <c r="E924" s="312"/>
      <c r="F924" s="312"/>
      <c r="G924" s="312"/>
      <c r="H924" s="312"/>
      <c r="I924" s="312"/>
      <c r="J924" s="312"/>
      <c r="K924" s="312"/>
      <c r="L924" s="312"/>
      <c r="M924" s="312"/>
      <c r="N924" s="312"/>
      <c r="O924" s="312"/>
      <c r="P924" s="312"/>
      <c r="Q924" s="312"/>
      <c r="R924" s="312"/>
      <c r="S924" s="312"/>
      <c r="T924" s="312"/>
      <c r="U924" s="312"/>
      <c r="V924" s="312"/>
      <c r="W924" s="312"/>
      <c r="X924" s="312"/>
      <c r="Y924" s="312"/>
      <c r="Z924" s="312"/>
      <c r="AA924" s="312"/>
      <c r="AB924" s="312"/>
      <c r="AC924" s="312"/>
      <c r="AD924" s="312"/>
      <c r="AE924" s="312"/>
      <c r="AF924" s="312"/>
      <c r="AG924" s="312"/>
      <c r="AH924" s="312"/>
      <c r="AI924" s="312"/>
      <c r="AJ924" s="312"/>
      <c r="AK924" s="312"/>
      <c r="AL924" s="312"/>
      <c r="AM924" s="312"/>
      <c r="AN924" s="312"/>
      <c r="AO924" s="312"/>
      <c r="AP924" s="312"/>
    </row>
    <row r="925" ht="15.75" customHeight="1">
      <c r="A925" s="318"/>
      <c r="B925" s="312"/>
      <c r="C925" s="312"/>
      <c r="D925" s="312"/>
      <c r="E925" s="312"/>
      <c r="F925" s="312"/>
      <c r="G925" s="312"/>
      <c r="H925" s="312"/>
      <c r="I925" s="312"/>
      <c r="J925" s="312"/>
      <c r="K925" s="312"/>
      <c r="L925" s="312"/>
      <c r="M925" s="312"/>
      <c r="N925" s="312"/>
      <c r="O925" s="312"/>
      <c r="P925" s="312"/>
      <c r="Q925" s="312"/>
      <c r="R925" s="312"/>
      <c r="S925" s="312"/>
      <c r="T925" s="312"/>
      <c r="U925" s="312"/>
      <c r="V925" s="312"/>
      <c r="W925" s="312"/>
      <c r="X925" s="312"/>
      <c r="Y925" s="312"/>
      <c r="Z925" s="312"/>
      <c r="AA925" s="312"/>
      <c r="AB925" s="312"/>
      <c r="AC925" s="312"/>
      <c r="AD925" s="312"/>
      <c r="AE925" s="312"/>
      <c r="AF925" s="312"/>
      <c r="AG925" s="312"/>
      <c r="AH925" s="312"/>
      <c r="AI925" s="312"/>
      <c r="AJ925" s="312"/>
      <c r="AK925" s="312"/>
      <c r="AL925" s="312"/>
      <c r="AM925" s="312"/>
      <c r="AN925" s="312"/>
      <c r="AO925" s="312"/>
      <c r="AP925" s="312"/>
    </row>
    <row r="926" ht="15.75" customHeight="1">
      <c r="A926" s="318"/>
      <c r="B926" s="312"/>
      <c r="C926" s="312"/>
      <c r="D926" s="312"/>
      <c r="E926" s="312"/>
      <c r="F926" s="312"/>
      <c r="G926" s="312"/>
      <c r="H926" s="312"/>
      <c r="I926" s="312"/>
      <c r="J926" s="312"/>
      <c r="K926" s="312"/>
      <c r="L926" s="312"/>
      <c r="M926" s="312"/>
      <c r="N926" s="312"/>
      <c r="O926" s="312"/>
      <c r="P926" s="312"/>
      <c r="Q926" s="312"/>
      <c r="R926" s="312"/>
      <c r="S926" s="312"/>
      <c r="T926" s="312"/>
      <c r="U926" s="312"/>
      <c r="V926" s="312"/>
      <c r="W926" s="312"/>
      <c r="X926" s="312"/>
      <c r="Y926" s="312"/>
      <c r="Z926" s="312"/>
      <c r="AA926" s="312"/>
      <c r="AB926" s="312"/>
      <c r="AC926" s="312"/>
      <c r="AD926" s="312"/>
      <c r="AE926" s="312"/>
      <c r="AF926" s="312"/>
      <c r="AG926" s="312"/>
      <c r="AH926" s="312"/>
      <c r="AI926" s="312"/>
      <c r="AJ926" s="312"/>
      <c r="AK926" s="312"/>
      <c r="AL926" s="312"/>
      <c r="AM926" s="312"/>
      <c r="AN926" s="312"/>
      <c r="AO926" s="312"/>
      <c r="AP926" s="312"/>
    </row>
    <row r="927" ht="15.75" customHeight="1">
      <c r="A927" s="318"/>
      <c r="B927" s="312"/>
      <c r="C927" s="312"/>
      <c r="D927" s="312"/>
      <c r="E927" s="312"/>
      <c r="F927" s="312"/>
      <c r="G927" s="312"/>
      <c r="H927" s="312"/>
      <c r="I927" s="312"/>
      <c r="J927" s="312"/>
      <c r="K927" s="312"/>
      <c r="L927" s="312"/>
      <c r="M927" s="312"/>
      <c r="N927" s="312"/>
      <c r="O927" s="312"/>
      <c r="P927" s="312"/>
      <c r="Q927" s="312"/>
      <c r="R927" s="312"/>
      <c r="S927" s="312"/>
      <c r="T927" s="312"/>
      <c r="U927" s="312"/>
      <c r="V927" s="312"/>
      <c r="W927" s="312"/>
      <c r="X927" s="312"/>
      <c r="Y927" s="312"/>
      <c r="Z927" s="312"/>
      <c r="AA927" s="312"/>
      <c r="AB927" s="312"/>
      <c r="AC927" s="312"/>
      <c r="AD927" s="312"/>
      <c r="AE927" s="312"/>
      <c r="AF927" s="312"/>
      <c r="AG927" s="312"/>
      <c r="AH927" s="312"/>
      <c r="AI927" s="312"/>
      <c r="AJ927" s="312"/>
      <c r="AK927" s="312"/>
      <c r="AL927" s="312"/>
      <c r="AM927" s="312"/>
      <c r="AN927" s="312"/>
      <c r="AO927" s="312"/>
      <c r="AP927" s="312"/>
    </row>
    <row r="928" ht="15.75" customHeight="1">
      <c r="A928" s="318"/>
      <c r="B928" s="312"/>
      <c r="C928" s="312"/>
      <c r="D928" s="312"/>
      <c r="E928" s="312"/>
      <c r="F928" s="312"/>
      <c r="G928" s="312"/>
      <c r="H928" s="312"/>
      <c r="I928" s="312"/>
      <c r="J928" s="312"/>
      <c r="K928" s="312"/>
      <c r="L928" s="312"/>
      <c r="M928" s="312"/>
      <c r="N928" s="312"/>
      <c r="O928" s="312"/>
      <c r="P928" s="312"/>
      <c r="Q928" s="312"/>
      <c r="R928" s="312"/>
      <c r="S928" s="312"/>
      <c r="T928" s="312"/>
      <c r="U928" s="312"/>
      <c r="V928" s="312"/>
      <c r="W928" s="312"/>
      <c r="X928" s="312"/>
      <c r="Y928" s="312"/>
      <c r="Z928" s="312"/>
      <c r="AA928" s="312"/>
      <c r="AB928" s="312"/>
      <c r="AC928" s="312"/>
      <c r="AD928" s="312"/>
      <c r="AE928" s="312"/>
      <c r="AF928" s="312"/>
      <c r="AG928" s="312"/>
      <c r="AH928" s="312"/>
      <c r="AI928" s="312"/>
      <c r="AJ928" s="312"/>
      <c r="AK928" s="312"/>
      <c r="AL928" s="312"/>
      <c r="AM928" s="312"/>
      <c r="AN928" s="312"/>
      <c r="AO928" s="312"/>
      <c r="AP928" s="312"/>
    </row>
    <row r="929" ht="15.75" customHeight="1">
      <c r="A929" s="318"/>
      <c r="B929" s="312"/>
      <c r="C929" s="312"/>
      <c r="D929" s="312"/>
      <c r="E929" s="312"/>
      <c r="F929" s="312"/>
      <c r="G929" s="312"/>
      <c r="H929" s="312"/>
      <c r="I929" s="312"/>
      <c r="J929" s="312"/>
      <c r="K929" s="312"/>
      <c r="L929" s="312"/>
      <c r="M929" s="312"/>
      <c r="N929" s="312"/>
      <c r="O929" s="312"/>
      <c r="P929" s="312"/>
      <c r="Q929" s="312"/>
      <c r="R929" s="312"/>
      <c r="S929" s="312"/>
      <c r="T929" s="312"/>
      <c r="U929" s="312"/>
      <c r="V929" s="312"/>
      <c r="W929" s="312"/>
      <c r="X929" s="312"/>
      <c r="Y929" s="312"/>
      <c r="Z929" s="312"/>
      <c r="AA929" s="312"/>
      <c r="AB929" s="312"/>
      <c r="AC929" s="312"/>
      <c r="AD929" s="312"/>
      <c r="AE929" s="312"/>
      <c r="AF929" s="312"/>
      <c r="AG929" s="312"/>
      <c r="AH929" s="312"/>
      <c r="AI929" s="312"/>
      <c r="AJ929" s="312"/>
      <c r="AK929" s="312"/>
      <c r="AL929" s="312"/>
      <c r="AM929" s="312"/>
      <c r="AN929" s="312"/>
      <c r="AO929" s="312"/>
      <c r="AP929" s="312"/>
    </row>
    <row r="930" ht="15.75" customHeight="1">
      <c r="A930" s="318"/>
      <c r="B930" s="312"/>
      <c r="C930" s="312"/>
      <c r="D930" s="312"/>
      <c r="E930" s="312"/>
      <c r="F930" s="312"/>
      <c r="G930" s="312"/>
      <c r="H930" s="312"/>
      <c r="I930" s="312"/>
      <c r="J930" s="312"/>
      <c r="K930" s="312"/>
      <c r="L930" s="312"/>
      <c r="M930" s="312"/>
      <c r="N930" s="312"/>
      <c r="O930" s="312"/>
      <c r="P930" s="312"/>
      <c r="Q930" s="312"/>
      <c r="R930" s="312"/>
      <c r="S930" s="312"/>
      <c r="T930" s="312"/>
      <c r="U930" s="312"/>
      <c r="V930" s="312"/>
      <c r="W930" s="312"/>
      <c r="X930" s="312"/>
      <c r="Y930" s="312"/>
      <c r="Z930" s="312"/>
      <c r="AA930" s="312"/>
      <c r="AB930" s="312"/>
      <c r="AC930" s="312"/>
      <c r="AD930" s="312"/>
      <c r="AE930" s="312"/>
      <c r="AF930" s="312"/>
      <c r="AG930" s="312"/>
      <c r="AH930" s="312"/>
      <c r="AI930" s="312"/>
      <c r="AJ930" s="312"/>
      <c r="AK930" s="312"/>
      <c r="AL930" s="312"/>
      <c r="AM930" s="312"/>
      <c r="AN930" s="312"/>
      <c r="AO930" s="312"/>
      <c r="AP930" s="312"/>
    </row>
    <row r="931" ht="15.75" customHeight="1">
      <c r="A931" s="318"/>
      <c r="B931" s="312"/>
      <c r="C931" s="312"/>
      <c r="D931" s="312"/>
      <c r="E931" s="312"/>
      <c r="F931" s="312"/>
      <c r="G931" s="312"/>
      <c r="H931" s="312"/>
      <c r="I931" s="312"/>
      <c r="J931" s="312"/>
      <c r="K931" s="312"/>
      <c r="L931" s="312"/>
      <c r="M931" s="312"/>
      <c r="N931" s="312"/>
      <c r="O931" s="312"/>
      <c r="P931" s="312"/>
      <c r="Q931" s="312"/>
      <c r="R931" s="312"/>
      <c r="S931" s="312"/>
      <c r="T931" s="312"/>
      <c r="U931" s="312"/>
      <c r="V931" s="312"/>
      <c r="W931" s="312"/>
      <c r="X931" s="312"/>
      <c r="Y931" s="312"/>
      <c r="Z931" s="312"/>
      <c r="AA931" s="312"/>
      <c r="AB931" s="312"/>
      <c r="AC931" s="312"/>
      <c r="AD931" s="312"/>
      <c r="AE931" s="312"/>
      <c r="AF931" s="312"/>
      <c r="AG931" s="312"/>
      <c r="AH931" s="312"/>
      <c r="AI931" s="312"/>
      <c r="AJ931" s="312"/>
      <c r="AK931" s="312"/>
      <c r="AL931" s="312"/>
      <c r="AM931" s="312"/>
      <c r="AN931" s="312"/>
      <c r="AO931" s="312"/>
      <c r="AP931" s="312"/>
    </row>
    <row r="932" ht="15.75" customHeight="1">
      <c r="A932" s="318"/>
      <c r="B932" s="312"/>
      <c r="C932" s="312"/>
      <c r="D932" s="312"/>
      <c r="E932" s="312"/>
      <c r="F932" s="312"/>
      <c r="G932" s="312"/>
      <c r="H932" s="312"/>
      <c r="I932" s="312"/>
      <c r="J932" s="312"/>
      <c r="K932" s="312"/>
      <c r="L932" s="312"/>
      <c r="M932" s="312"/>
      <c r="N932" s="312"/>
      <c r="O932" s="312"/>
      <c r="P932" s="312"/>
      <c r="Q932" s="312"/>
      <c r="R932" s="312"/>
      <c r="S932" s="312"/>
      <c r="T932" s="312"/>
      <c r="U932" s="312"/>
      <c r="V932" s="312"/>
      <c r="W932" s="312"/>
      <c r="X932" s="312"/>
      <c r="Y932" s="312"/>
      <c r="Z932" s="312"/>
      <c r="AA932" s="312"/>
      <c r="AB932" s="312"/>
      <c r="AC932" s="312"/>
      <c r="AD932" s="312"/>
      <c r="AE932" s="312"/>
      <c r="AF932" s="312"/>
      <c r="AG932" s="312"/>
      <c r="AH932" s="312"/>
      <c r="AI932" s="312"/>
      <c r="AJ932" s="312"/>
      <c r="AK932" s="312"/>
      <c r="AL932" s="312"/>
      <c r="AM932" s="312"/>
      <c r="AN932" s="312"/>
      <c r="AO932" s="312"/>
      <c r="AP932" s="312"/>
    </row>
    <row r="933" ht="15.75" customHeight="1">
      <c r="A933" s="318"/>
      <c r="B933" s="312"/>
      <c r="C933" s="312"/>
      <c r="D933" s="312"/>
      <c r="E933" s="312"/>
      <c r="F933" s="312"/>
      <c r="G933" s="312"/>
      <c r="H933" s="312"/>
      <c r="I933" s="312"/>
      <c r="J933" s="312"/>
      <c r="K933" s="312"/>
      <c r="L933" s="312"/>
      <c r="M933" s="312"/>
      <c r="N933" s="312"/>
      <c r="O933" s="312"/>
      <c r="P933" s="312"/>
      <c r="Q933" s="312"/>
      <c r="R933" s="312"/>
      <c r="S933" s="312"/>
      <c r="T933" s="312"/>
      <c r="U933" s="312"/>
      <c r="V933" s="312"/>
      <c r="W933" s="312"/>
      <c r="X933" s="312"/>
      <c r="Y933" s="312"/>
      <c r="Z933" s="312"/>
      <c r="AA933" s="312"/>
      <c r="AB933" s="312"/>
      <c r="AC933" s="312"/>
      <c r="AD933" s="312"/>
      <c r="AE933" s="312"/>
      <c r="AF933" s="312"/>
      <c r="AG933" s="312"/>
      <c r="AH933" s="312"/>
      <c r="AI933" s="312"/>
      <c r="AJ933" s="312"/>
      <c r="AK933" s="312"/>
      <c r="AL933" s="312"/>
      <c r="AM933" s="312"/>
      <c r="AN933" s="312"/>
      <c r="AO933" s="312"/>
      <c r="AP933" s="312"/>
    </row>
    <row r="934" ht="15.75" customHeight="1">
      <c r="A934" s="318"/>
      <c r="B934" s="312"/>
      <c r="C934" s="312"/>
      <c r="D934" s="312"/>
      <c r="E934" s="312"/>
      <c r="F934" s="312"/>
      <c r="G934" s="312"/>
      <c r="H934" s="312"/>
      <c r="I934" s="312"/>
      <c r="J934" s="312"/>
      <c r="K934" s="312"/>
      <c r="L934" s="312"/>
      <c r="M934" s="312"/>
      <c r="N934" s="312"/>
      <c r="O934" s="312"/>
      <c r="P934" s="312"/>
      <c r="Q934" s="312"/>
      <c r="R934" s="312"/>
      <c r="S934" s="312"/>
      <c r="T934" s="312"/>
      <c r="U934" s="312"/>
      <c r="V934" s="312"/>
      <c r="W934" s="312"/>
      <c r="X934" s="312"/>
      <c r="Y934" s="312"/>
      <c r="Z934" s="312"/>
      <c r="AA934" s="312"/>
      <c r="AB934" s="312"/>
      <c r="AC934" s="312"/>
      <c r="AD934" s="312"/>
      <c r="AE934" s="312"/>
      <c r="AF934" s="312"/>
      <c r="AG934" s="312"/>
      <c r="AH934" s="312"/>
      <c r="AI934" s="312"/>
      <c r="AJ934" s="312"/>
      <c r="AK934" s="312"/>
      <c r="AL934" s="312"/>
      <c r="AM934" s="312"/>
      <c r="AN934" s="312"/>
      <c r="AO934" s="312"/>
      <c r="AP934" s="312"/>
    </row>
    <row r="935" ht="15.75" customHeight="1">
      <c r="A935" s="318"/>
      <c r="B935" s="312"/>
      <c r="C935" s="312"/>
      <c r="D935" s="312"/>
      <c r="E935" s="312"/>
      <c r="F935" s="312"/>
      <c r="G935" s="312"/>
      <c r="H935" s="312"/>
      <c r="I935" s="312"/>
      <c r="J935" s="312"/>
      <c r="K935" s="312"/>
      <c r="L935" s="312"/>
      <c r="M935" s="312"/>
      <c r="N935" s="312"/>
      <c r="O935" s="312"/>
      <c r="P935" s="312"/>
      <c r="Q935" s="312"/>
      <c r="R935" s="312"/>
      <c r="S935" s="312"/>
      <c r="T935" s="312"/>
      <c r="U935" s="312"/>
      <c r="V935" s="312"/>
      <c r="W935" s="312"/>
      <c r="X935" s="312"/>
      <c r="Y935" s="312"/>
      <c r="Z935" s="312"/>
      <c r="AA935" s="312"/>
      <c r="AB935" s="312"/>
      <c r="AC935" s="312"/>
      <c r="AD935" s="312"/>
      <c r="AE935" s="312"/>
      <c r="AF935" s="312"/>
      <c r="AG935" s="312"/>
      <c r="AH935" s="312"/>
      <c r="AI935" s="312"/>
      <c r="AJ935" s="312"/>
      <c r="AK935" s="312"/>
      <c r="AL935" s="312"/>
      <c r="AM935" s="312"/>
      <c r="AN935" s="312"/>
      <c r="AO935" s="312"/>
      <c r="AP935" s="312"/>
    </row>
    <row r="936" ht="15.75" customHeight="1">
      <c r="A936" s="318"/>
      <c r="B936" s="312"/>
      <c r="C936" s="312"/>
      <c r="D936" s="312"/>
      <c r="E936" s="312"/>
      <c r="F936" s="312"/>
      <c r="G936" s="312"/>
      <c r="H936" s="312"/>
      <c r="I936" s="312"/>
      <c r="J936" s="312"/>
      <c r="K936" s="312"/>
      <c r="L936" s="312"/>
      <c r="M936" s="312"/>
      <c r="N936" s="312"/>
      <c r="O936" s="312"/>
      <c r="P936" s="312"/>
      <c r="Q936" s="312"/>
      <c r="R936" s="312"/>
      <c r="S936" s="312"/>
      <c r="T936" s="312"/>
      <c r="U936" s="312"/>
      <c r="V936" s="312"/>
      <c r="W936" s="312"/>
      <c r="X936" s="312"/>
      <c r="Y936" s="312"/>
      <c r="Z936" s="312"/>
      <c r="AA936" s="312"/>
      <c r="AB936" s="312"/>
      <c r="AC936" s="312"/>
      <c r="AD936" s="312"/>
      <c r="AE936" s="312"/>
      <c r="AF936" s="312"/>
      <c r="AG936" s="312"/>
      <c r="AH936" s="312"/>
      <c r="AI936" s="312"/>
      <c r="AJ936" s="312"/>
      <c r="AK936" s="312"/>
      <c r="AL936" s="312"/>
      <c r="AM936" s="312"/>
      <c r="AN936" s="312"/>
      <c r="AO936" s="312"/>
      <c r="AP936" s="312"/>
    </row>
    <row r="937" ht="15.75" customHeight="1">
      <c r="A937" s="318"/>
      <c r="B937" s="312"/>
      <c r="C937" s="312"/>
      <c r="D937" s="312"/>
      <c r="E937" s="312"/>
      <c r="F937" s="312"/>
      <c r="G937" s="312"/>
      <c r="H937" s="312"/>
      <c r="I937" s="312"/>
      <c r="J937" s="312"/>
      <c r="K937" s="312"/>
      <c r="L937" s="312"/>
      <c r="M937" s="312"/>
      <c r="N937" s="312"/>
      <c r="O937" s="312"/>
      <c r="P937" s="312"/>
      <c r="Q937" s="312"/>
      <c r="R937" s="312"/>
      <c r="S937" s="312"/>
      <c r="T937" s="312"/>
      <c r="U937" s="312"/>
      <c r="V937" s="312"/>
      <c r="W937" s="312"/>
      <c r="X937" s="312"/>
      <c r="Y937" s="312"/>
      <c r="Z937" s="312"/>
      <c r="AA937" s="312"/>
      <c r="AB937" s="312"/>
      <c r="AC937" s="312"/>
      <c r="AD937" s="312"/>
      <c r="AE937" s="312"/>
      <c r="AF937" s="312"/>
      <c r="AG937" s="312"/>
      <c r="AH937" s="312"/>
      <c r="AI937" s="312"/>
      <c r="AJ937" s="312"/>
      <c r="AK937" s="312"/>
      <c r="AL937" s="312"/>
      <c r="AM937" s="312"/>
      <c r="AN937" s="312"/>
      <c r="AO937" s="312"/>
      <c r="AP937" s="312"/>
    </row>
    <row r="938" ht="15.75" customHeight="1">
      <c r="A938" s="318"/>
      <c r="B938" s="312"/>
      <c r="C938" s="312"/>
      <c r="D938" s="312"/>
      <c r="E938" s="312"/>
      <c r="F938" s="312"/>
      <c r="G938" s="312"/>
      <c r="H938" s="312"/>
      <c r="I938" s="312"/>
      <c r="J938" s="312"/>
      <c r="K938" s="312"/>
      <c r="L938" s="312"/>
      <c r="M938" s="312"/>
      <c r="N938" s="312"/>
      <c r="O938" s="312"/>
      <c r="P938" s="312"/>
      <c r="Q938" s="312"/>
      <c r="R938" s="312"/>
      <c r="S938" s="312"/>
      <c r="T938" s="312"/>
      <c r="U938" s="312"/>
      <c r="V938" s="312"/>
      <c r="W938" s="312"/>
      <c r="X938" s="312"/>
      <c r="Y938" s="312"/>
      <c r="Z938" s="312"/>
      <c r="AA938" s="312"/>
      <c r="AB938" s="312"/>
      <c r="AC938" s="312"/>
      <c r="AD938" s="312"/>
      <c r="AE938" s="312"/>
      <c r="AF938" s="312"/>
      <c r="AG938" s="312"/>
      <c r="AH938" s="312"/>
      <c r="AI938" s="312"/>
      <c r="AJ938" s="312"/>
      <c r="AK938" s="312"/>
      <c r="AL938" s="312"/>
      <c r="AM938" s="312"/>
      <c r="AN938" s="312"/>
      <c r="AO938" s="312"/>
      <c r="AP938" s="312"/>
    </row>
    <row r="939" ht="15.75" customHeight="1">
      <c r="A939" s="318"/>
      <c r="B939" s="312"/>
      <c r="C939" s="312"/>
      <c r="D939" s="312"/>
      <c r="E939" s="312"/>
      <c r="F939" s="312"/>
      <c r="G939" s="312"/>
      <c r="H939" s="312"/>
      <c r="I939" s="312"/>
      <c r="J939" s="312"/>
      <c r="K939" s="312"/>
      <c r="L939" s="312"/>
      <c r="M939" s="312"/>
      <c r="N939" s="312"/>
      <c r="O939" s="312"/>
      <c r="P939" s="312"/>
      <c r="Q939" s="312"/>
      <c r="R939" s="312"/>
      <c r="S939" s="312"/>
      <c r="T939" s="312"/>
      <c r="U939" s="312"/>
      <c r="V939" s="312"/>
      <c r="W939" s="312"/>
      <c r="X939" s="312"/>
      <c r="Y939" s="312"/>
      <c r="Z939" s="312"/>
      <c r="AA939" s="312"/>
      <c r="AB939" s="312"/>
      <c r="AC939" s="312"/>
      <c r="AD939" s="312"/>
      <c r="AE939" s="312"/>
      <c r="AF939" s="312"/>
      <c r="AG939" s="312"/>
      <c r="AH939" s="312"/>
      <c r="AI939" s="312"/>
      <c r="AJ939" s="312"/>
      <c r="AK939" s="312"/>
      <c r="AL939" s="312"/>
      <c r="AM939" s="312"/>
      <c r="AN939" s="312"/>
      <c r="AO939" s="312"/>
      <c r="AP939" s="312"/>
    </row>
    <row r="940" ht="15.75" customHeight="1">
      <c r="A940" s="318"/>
      <c r="B940" s="312"/>
      <c r="C940" s="312"/>
      <c r="D940" s="312"/>
      <c r="E940" s="312"/>
      <c r="F940" s="312"/>
      <c r="G940" s="312"/>
      <c r="H940" s="312"/>
      <c r="I940" s="312"/>
      <c r="J940" s="312"/>
      <c r="K940" s="312"/>
      <c r="L940" s="312"/>
      <c r="M940" s="312"/>
      <c r="N940" s="312"/>
      <c r="O940" s="312"/>
      <c r="P940" s="312"/>
      <c r="Q940" s="312"/>
      <c r="R940" s="312"/>
      <c r="S940" s="312"/>
      <c r="T940" s="312"/>
      <c r="U940" s="312"/>
      <c r="V940" s="312"/>
      <c r="W940" s="312"/>
      <c r="X940" s="312"/>
      <c r="Y940" s="312"/>
      <c r="Z940" s="312"/>
      <c r="AA940" s="312"/>
      <c r="AB940" s="312"/>
      <c r="AC940" s="312"/>
      <c r="AD940" s="312"/>
      <c r="AE940" s="312"/>
      <c r="AF940" s="312"/>
      <c r="AG940" s="312"/>
      <c r="AH940" s="312"/>
      <c r="AI940" s="312"/>
      <c r="AJ940" s="312"/>
      <c r="AK940" s="312"/>
      <c r="AL940" s="312"/>
      <c r="AM940" s="312"/>
      <c r="AN940" s="312"/>
      <c r="AO940" s="312"/>
      <c r="AP940" s="312"/>
    </row>
    <row r="941" ht="15.75" customHeight="1">
      <c r="A941" s="318"/>
      <c r="B941" s="312"/>
      <c r="C941" s="312"/>
      <c r="D941" s="312"/>
      <c r="E941" s="312"/>
      <c r="F941" s="312"/>
      <c r="G941" s="312"/>
      <c r="H941" s="312"/>
      <c r="I941" s="312"/>
      <c r="J941" s="312"/>
      <c r="K941" s="312"/>
      <c r="L941" s="312"/>
      <c r="M941" s="312"/>
      <c r="N941" s="312"/>
      <c r="O941" s="312"/>
      <c r="P941" s="312"/>
      <c r="Q941" s="312"/>
      <c r="R941" s="312"/>
      <c r="S941" s="312"/>
      <c r="T941" s="312"/>
      <c r="U941" s="312"/>
      <c r="V941" s="312"/>
      <c r="W941" s="312"/>
      <c r="X941" s="312"/>
      <c r="Y941" s="312"/>
      <c r="Z941" s="312"/>
      <c r="AA941" s="312"/>
      <c r="AB941" s="312"/>
      <c r="AC941" s="312"/>
      <c r="AD941" s="312"/>
      <c r="AE941" s="312"/>
      <c r="AF941" s="312"/>
      <c r="AG941" s="312"/>
      <c r="AH941" s="312"/>
      <c r="AI941" s="312"/>
      <c r="AJ941" s="312"/>
      <c r="AK941" s="312"/>
      <c r="AL941" s="312"/>
      <c r="AM941" s="312"/>
      <c r="AN941" s="312"/>
      <c r="AO941" s="312"/>
      <c r="AP941" s="312"/>
    </row>
    <row r="942" ht="15.75" customHeight="1">
      <c r="A942" s="318"/>
      <c r="B942" s="312"/>
      <c r="C942" s="312"/>
      <c r="D942" s="312"/>
      <c r="E942" s="312"/>
      <c r="F942" s="312"/>
      <c r="G942" s="312"/>
      <c r="H942" s="312"/>
      <c r="I942" s="312"/>
      <c r="J942" s="312"/>
      <c r="K942" s="312"/>
      <c r="L942" s="312"/>
      <c r="M942" s="312"/>
      <c r="N942" s="312"/>
      <c r="O942" s="312"/>
      <c r="P942" s="312"/>
      <c r="Q942" s="312"/>
      <c r="R942" s="312"/>
      <c r="S942" s="312"/>
      <c r="T942" s="312"/>
      <c r="U942" s="312"/>
      <c r="V942" s="312"/>
      <c r="W942" s="312"/>
      <c r="X942" s="312"/>
      <c r="Y942" s="312"/>
      <c r="Z942" s="312"/>
      <c r="AA942" s="312"/>
      <c r="AB942" s="312"/>
      <c r="AC942" s="312"/>
      <c r="AD942" s="312"/>
      <c r="AE942" s="312"/>
      <c r="AF942" s="312"/>
      <c r="AG942" s="312"/>
      <c r="AH942" s="312"/>
      <c r="AI942" s="312"/>
      <c r="AJ942" s="312"/>
      <c r="AK942" s="312"/>
      <c r="AL942" s="312"/>
      <c r="AM942" s="312"/>
      <c r="AN942" s="312"/>
      <c r="AO942" s="312"/>
      <c r="AP942" s="312"/>
    </row>
    <row r="943" ht="15.75" customHeight="1">
      <c r="A943" s="318"/>
      <c r="B943" s="312"/>
      <c r="C943" s="312"/>
      <c r="D943" s="312"/>
      <c r="E943" s="312"/>
      <c r="F943" s="312"/>
      <c r="G943" s="312"/>
      <c r="H943" s="312"/>
      <c r="I943" s="312"/>
      <c r="J943" s="312"/>
      <c r="K943" s="312"/>
      <c r="L943" s="312"/>
      <c r="M943" s="312"/>
      <c r="N943" s="312"/>
      <c r="O943" s="312"/>
      <c r="P943" s="312"/>
      <c r="Q943" s="312"/>
      <c r="R943" s="312"/>
      <c r="S943" s="312"/>
      <c r="T943" s="312"/>
      <c r="U943" s="312"/>
      <c r="V943" s="312"/>
      <c r="W943" s="312"/>
      <c r="X943" s="312"/>
      <c r="Y943" s="312"/>
      <c r="Z943" s="312"/>
      <c r="AA943" s="312"/>
      <c r="AB943" s="312"/>
      <c r="AC943" s="312"/>
      <c r="AD943" s="312"/>
      <c r="AE943" s="312"/>
      <c r="AF943" s="312"/>
      <c r="AG943" s="312"/>
      <c r="AH943" s="312"/>
      <c r="AI943" s="312"/>
      <c r="AJ943" s="312"/>
      <c r="AK943" s="312"/>
      <c r="AL943" s="312"/>
      <c r="AM943" s="312"/>
      <c r="AN943" s="312"/>
      <c r="AO943" s="312"/>
      <c r="AP943" s="312"/>
    </row>
    <row r="944" ht="15.75" customHeight="1">
      <c r="A944" s="318"/>
      <c r="B944" s="312"/>
      <c r="C944" s="312"/>
      <c r="D944" s="312"/>
      <c r="E944" s="312"/>
      <c r="F944" s="312"/>
      <c r="G944" s="312"/>
      <c r="H944" s="312"/>
      <c r="I944" s="312"/>
      <c r="J944" s="312"/>
      <c r="K944" s="312"/>
      <c r="L944" s="312"/>
      <c r="M944" s="312"/>
      <c r="N944" s="312"/>
      <c r="O944" s="312"/>
      <c r="P944" s="312"/>
      <c r="Q944" s="312"/>
      <c r="R944" s="312"/>
      <c r="S944" s="312"/>
      <c r="T944" s="312"/>
      <c r="U944" s="312"/>
      <c r="V944" s="312"/>
      <c r="W944" s="312"/>
      <c r="X944" s="312"/>
      <c r="Y944" s="312"/>
      <c r="Z944" s="312"/>
      <c r="AA944" s="312"/>
      <c r="AB944" s="312"/>
      <c r="AC944" s="312"/>
      <c r="AD944" s="312"/>
      <c r="AE944" s="312"/>
      <c r="AF944" s="312"/>
      <c r="AG944" s="312"/>
      <c r="AH944" s="312"/>
      <c r="AI944" s="312"/>
      <c r="AJ944" s="312"/>
      <c r="AK944" s="312"/>
      <c r="AL944" s="312"/>
      <c r="AM944" s="312"/>
      <c r="AN944" s="312"/>
      <c r="AO944" s="312"/>
      <c r="AP944" s="312"/>
    </row>
    <row r="945" ht="15.75" customHeight="1">
      <c r="A945" s="318"/>
      <c r="B945" s="312"/>
      <c r="C945" s="312"/>
      <c r="D945" s="312"/>
      <c r="E945" s="312"/>
      <c r="F945" s="312"/>
      <c r="G945" s="312"/>
      <c r="H945" s="312"/>
      <c r="I945" s="312"/>
      <c r="J945" s="312"/>
      <c r="K945" s="312"/>
      <c r="L945" s="312"/>
      <c r="M945" s="312"/>
      <c r="N945" s="312"/>
      <c r="O945" s="312"/>
      <c r="P945" s="312"/>
      <c r="Q945" s="312"/>
      <c r="R945" s="312"/>
      <c r="S945" s="312"/>
      <c r="T945" s="312"/>
      <c r="U945" s="312"/>
      <c r="V945" s="312"/>
      <c r="W945" s="312"/>
      <c r="X945" s="312"/>
      <c r="Y945" s="312"/>
      <c r="Z945" s="312"/>
      <c r="AA945" s="312"/>
      <c r="AB945" s="312"/>
      <c r="AC945" s="312"/>
      <c r="AD945" s="312"/>
      <c r="AE945" s="312"/>
      <c r="AF945" s="312"/>
      <c r="AG945" s="312"/>
      <c r="AH945" s="312"/>
      <c r="AI945" s="312"/>
      <c r="AJ945" s="312"/>
      <c r="AK945" s="312"/>
      <c r="AL945" s="312"/>
      <c r="AM945" s="312"/>
      <c r="AN945" s="312"/>
      <c r="AO945" s="312"/>
      <c r="AP945" s="312"/>
    </row>
    <row r="946" ht="15.75" customHeight="1">
      <c r="A946" s="318"/>
      <c r="B946" s="312"/>
      <c r="C946" s="312"/>
      <c r="D946" s="312"/>
      <c r="E946" s="312"/>
      <c r="F946" s="312"/>
      <c r="G946" s="312"/>
      <c r="H946" s="312"/>
      <c r="I946" s="312"/>
      <c r="J946" s="312"/>
      <c r="K946" s="312"/>
      <c r="L946" s="312"/>
      <c r="M946" s="312"/>
      <c r="N946" s="312"/>
      <c r="O946" s="312"/>
      <c r="P946" s="312"/>
      <c r="Q946" s="312"/>
      <c r="R946" s="312"/>
      <c r="S946" s="312"/>
      <c r="T946" s="312"/>
      <c r="U946" s="312"/>
      <c r="V946" s="312"/>
      <c r="W946" s="312"/>
      <c r="X946" s="312"/>
      <c r="Y946" s="312"/>
      <c r="Z946" s="312"/>
      <c r="AA946" s="312"/>
      <c r="AB946" s="312"/>
      <c r="AC946" s="312"/>
      <c r="AD946" s="312"/>
      <c r="AE946" s="312"/>
      <c r="AF946" s="312"/>
      <c r="AG946" s="312"/>
      <c r="AH946" s="312"/>
      <c r="AI946" s="312"/>
      <c r="AJ946" s="312"/>
      <c r="AK946" s="312"/>
      <c r="AL946" s="312"/>
      <c r="AM946" s="312"/>
      <c r="AN946" s="312"/>
      <c r="AO946" s="312"/>
      <c r="AP946" s="312"/>
    </row>
    <row r="947" ht="15.75" customHeight="1">
      <c r="A947" s="318"/>
      <c r="B947" s="312"/>
      <c r="C947" s="312"/>
      <c r="D947" s="312"/>
      <c r="E947" s="312"/>
      <c r="F947" s="312"/>
      <c r="G947" s="312"/>
      <c r="H947" s="312"/>
      <c r="I947" s="312"/>
      <c r="J947" s="312"/>
      <c r="K947" s="312"/>
      <c r="L947" s="312"/>
      <c r="M947" s="312"/>
      <c r="N947" s="312"/>
      <c r="O947" s="312"/>
      <c r="P947" s="312"/>
      <c r="Q947" s="312"/>
      <c r="R947" s="312"/>
      <c r="S947" s="312"/>
      <c r="T947" s="312"/>
      <c r="U947" s="312"/>
      <c r="V947" s="312"/>
      <c r="W947" s="312"/>
      <c r="X947" s="312"/>
      <c r="Y947" s="312"/>
      <c r="Z947" s="312"/>
      <c r="AA947" s="312"/>
      <c r="AB947" s="312"/>
      <c r="AC947" s="312"/>
      <c r="AD947" s="312"/>
      <c r="AE947" s="312"/>
      <c r="AF947" s="312"/>
      <c r="AG947" s="312"/>
      <c r="AH947" s="312"/>
      <c r="AI947" s="312"/>
      <c r="AJ947" s="312"/>
      <c r="AK947" s="312"/>
      <c r="AL947" s="312"/>
      <c r="AM947" s="312"/>
      <c r="AN947" s="312"/>
      <c r="AO947" s="312"/>
      <c r="AP947" s="312"/>
    </row>
    <row r="948" ht="15.75" customHeight="1">
      <c r="A948" s="318"/>
      <c r="B948" s="312"/>
      <c r="C948" s="312"/>
      <c r="D948" s="312"/>
      <c r="E948" s="312"/>
      <c r="F948" s="312"/>
      <c r="G948" s="312"/>
      <c r="H948" s="312"/>
      <c r="I948" s="312"/>
      <c r="J948" s="312"/>
      <c r="K948" s="312"/>
      <c r="L948" s="312"/>
      <c r="M948" s="312"/>
      <c r="N948" s="312"/>
      <c r="O948" s="312"/>
      <c r="P948" s="312"/>
      <c r="Q948" s="312"/>
      <c r="R948" s="312"/>
      <c r="S948" s="312"/>
      <c r="T948" s="312"/>
      <c r="U948" s="312"/>
      <c r="V948" s="312"/>
      <c r="W948" s="312"/>
      <c r="X948" s="312"/>
      <c r="Y948" s="312"/>
      <c r="Z948" s="312"/>
      <c r="AA948" s="312"/>
      <c r="AB948" s="312"/>
      <c r="AC948" s="312"/>
      <c r="AD948" s="312"/>
      <c r="AE948" s="312"/>
      <c r="AF948" s="312"/>
      <c r="AG948" s="312"/>
      <c r="AH948" s="312"/>
      <c r="AI948" s="312"/>
      <c r="AJ948" s="312"/>
      <c r="AK948" s="312"/>
      <c r="AL948" s="312"/>
      <c r="AM948" s="312"/>
      <c r="AN948" s="312"/>
      <c r="AO948" s="312"/>
      <c r="AP948" s="312"/>
    </row>
    <row r="949" ht="15.75" customHeight="1">
      <c r="A949" s="318"/>
      <c r="B949" s="312"/>
      <c r="C949" s="312"/>
      <c r="D949" s="312"/>
      <c r="E949" s="312"/>
      <c r="F949" s="312"/>
      <c r="G949" s="312"/>
      <c r="H949" s="312"/>
      <c r="I949" s="312"/>
      <c r="J949" s="312"/>
      <c r="K949" s="312"/>
      <c r="L949" s="312"/>
      <c r="M949" s="312"/>
      <c r="N949" s="312"/>
      <c r="O949" s="312"/>
      <c r="P949" s="312"/>
      <c r="Q949" s="312"/>
      <c r="R949" s="312"/>
      <c r="S949" s="312"/>
      <c r="T949" s="312"/>
      <c r="U949" s="312"/>
      <c r="V949" s="312"/>
      <c r="W949" s="312"/>
      <c r="X949" s="312"/>
      <c r="Y949" s="312"/>
      <c r="Z949" s="312"/>
      <c r="AA949" s="312"/>
      <c r="AB949" s="312"/>
      <c r="AC949" s="312"/>
      <c r="AD949" s="312"/>
      <c r="AE949" s="312"/>
      <c r="AF949" s="312"/>
      <c r="AG949" s="312"/>
      <c r="AH949" s="312"/>
      <c r="AI949" s="312"/>
      <c r="AJ949" s="312"/>
      <c r="AK949" s="312"/>
      <c r="AL949" s="312"/>
      <c r="AM949" s="312"/>
      <c r="AN949" s="312"/>
      <c r="AO949" s="312"/>
      <c r="AP949" s="312"/>
    </row>
    <row r="950" ht="15.75" customHeight="1">
      <c r="A950" s="318"/>
      <c r="B950" s="312"/>
      <c r="C950" s="312"/>
      <c r="D950" s="312"/>
      <c r="E950" s="312"/>
      <c r="F950" s="312"/>
      <c r="G950" s="312"/>
      <c r="H950" s="312"/>
      <c r="I950" s="312"/>
      <c r="J950" s="312"/>
      <c r="K950" s="312"/>
      <c r="L950" s="312"/>
      <c r="M950" s="312"/>
      <c r="N950" s="312"/>
      <c r="O950" s="312"/>
      <c r="P950" s="312"/>
      <c r="Q950" s="312"/>
      <c r="R950" s="312"/>
      <c r="S950" s="312"/>
      <c r="T950" s="312"/>
      <c r="U950" s="312"/>
      <c r="V950" s="312"/>
      <c r="W950" s="312"/>
      <c r="X950" s="312"/>
      <c r="Y950" s="312"/>
      <c r="Z950" s="312"/>
      <c r="AA950" s="312"/>
      <c r="AB950" s="312"/>
      <c r="AC950" s="312"/>
      <c r="AD950" s="312"/>
      <c r="AE950" s="312"/>
      <c r="AF950" s="312"/>
      <c r="AG950" s="312"/>
      <c r="AH950" s="312"/>
      <c r="AI950" s="312"/>
      <c r="AJ950" s="312"/>
      <c r="AK950" s="312"/>
      <c r="AL950" s="312"/>
      <c r="AM950" s="312"/>
      <c r="AN950" s="312"/>
      <c r="AO950" s="312"/>
      <c r="AP950" s="312"/>
    </row>
    <row r="951" ht="15.75" customHeight="1">
      <c r="A951" s="318"/>
      <c r="B951" s="312"/>
      <c r="C951" s="312"/>
      <c r="D951" s="312"/>
      <c r="E951" s="312"/>
      <c r="F951" s="312"/>
      <c r="G951" s="312"/>
      <c r="H951" s="312"/>
      <c r="I951" s="312"/>
      <c r="J951" s="312"/>
      <c r="K951" s="312"/>
      <c r="L951" s="312"/>
      <c r="M951" s="312"/>
      <c r="N951" s="312"/>
      <c r="O951" s="312"/>
      <c r="P951" s="312"/>
      <c r="Q951" s="312"/>
      <c r="R951" s="312"/>
      <c r="S951" s="312"/>
      <c r="T951" s="312"/>
      <c r="U951" s="312"/>
      <c r="V951" s="312"/>
      <c r="W951" s="312"/>
      <c r="X951" s="312"/>
      <c r="Y951" s="312"/>
      <c r="Z951" s="312"/>
      <c r="AA951" s="312"/>
      <c r="AB951" s="312"/>
      <c r="AC951" s="312"/>
      <c r="AD951" s="312"/>
      <c r="AE951" s="312"/>
      <c r="AF951" s="312"/>
      <c r="AG951" s="312"/>
      <c r="AH951" s="312"/>
      <c r="AI951" s="312"/>
      <c r="AJ951" s="312"/>
      <c r="AK951" s="312"/>
      <c r="AL951" s="312"/>
      <c r="AM951" s="312"/>
      <c r="AN951" s="312"/>
      <c r="AO951" s="312"/>
      <c r="AP951" s="312"/>
    </row>
    <row r="952" ht="15.75" customHeight="1">
      <c r="A952" s="318"/>
      <c r="B952" s="312"/>
      <c r="C952" s="312"/>
      <c r="D952" s="312"/>
      <c r="E952" s="312"/>
      <c r="F952" s="312"/>
      <c r="G952" s="312"/>
      <c r="H952" s="312"/>
      <c r="I952" s="312"/>
      <c r="J952" s="312"/>
      <c r="K952" s="312"/>
      <c r="L952" s="312"/>
      <c r="M952" s="312"/>
      <c r="N952" s="312"/>
      <c r="O952" s="312"/>
      <c r="P952" s="312"/>
      <c r="Q952" s="312"/>
      <c r="R952" s="312"/>
      <c r="S952" s="312"/>
      <c r="T952" s="312"/>
      <c r="U952" s="312"/>
      <c r="V952" s="312"/>
      <c r="W952" s="312"/>
      <c r="X952" s="312"/>
      <c r="Y952" s="312"/>
      <c r="Z952" s="312"/>
      <c r="AA952" s="312"/>
      <c r="AB952" s="312"/>
      <c r="AC952" s="312"/>
      <c r="AD952" s="312"/>
      <c r="AE952" s="312"/>
      <c r="AF952" s="312"/>
      <c r="AG952" s="312"/>
      <c r="AH952" s="312"/>
      <c r="AI952" s="312"/>
      <c r="AJ952" s="312"/>
      <c r="AK952" s="312"/>
      <c r="AL952" s="312"/>
      <c r="AM952" s="312"/>
      <c r="AN952" s="312"/>
      <c r="AO952" s="312"/>
      <c r="AP952" s="312"/>
    </row>
    <row r="953" ht="15.75" customHeight="1">
      <c r="A953" s="318"/>
      <c r="B953" s="312"/>
      <c r="C953" s="312"/>
      <c r="D953" s="312"/>
      <c r="E953" s="312"/>
      <c r="F953" s="312"/>
      <c r="G953" s="312"/>
      <c r="H953" s="312"/>
      <c r="I953" s="312"/>
      <c r="J953" s="312"/>
      <c r="K953" s="312"/>
      <c r="L953" s="312"/>
      <c r="M953" s="312"/>
      <c r="N953" s="312"/>
      <c r="O953" s="312"/>
      <c r="P953" s="312"/>
      <c r="Q953" s="312"/>
      <c r="R953" s="312"/>
      <c r="S953" s="312"/>
      <c r="T953" s="312"/>
      <c r="U953" s="312"/>
      <c r="V953" s="312"/>
      <c r="W953" s="312"/>
      <c r="X953" s="312"/>
      <c r="Y953" s="312"/>
      <c r="Z953" s="312"/>
      <c r="AA953" s="312"/>
      <c r="AB953" s="312"/>
      <c r="AC953" s="312"/>
      <c r="AD953" s="312"/>
      <c r="AE953" s="312"/>
      <c r="AF953" s="312"/>
      <c r="AG953" s="312"/>
      <c r="AH953" s="312"/>
      <c r="AI953" s="312"/>
      <c r="AJ953" s="312"/>
      <c r="AK953" s="312"/>
      <c r="AL953" s="312"/>
      <c r="AM953" s="312"/>
      <c r="AN953" s="312"/>
      <c r="AO953" s="312"/>
      <c r="AP953" s="312"/>
    </row>
    <row r="954" ht="15.75" customHeight="1">
      <c r="A954" s="318"/>
      <c r="B954" s="312"/>
      <c r="C954" s="312"/>
      <c r="D954" s="312"/>
      <c r="E954" s="312"/>
      <c r="F954" s="312"/>
      <c r="G954" s="312"/>
      <c r="H954" s="312"/>
      <c r="I954" s="312"/>
      <c r="J954" s="312"/>
      <c r="K954" s="312"/>
      <c r="L954" s="312"/>
      <c r="M954" s="312"/>
      <c r="N954" s="312"/>
      <c r="O954" s="312"/>
      <c r="P954" s="312"/>
      <c r="Q954" s="312"/>
      <c r="R954" s="312"/>
      <c r="S954" s="312"/>
      <c r="T954" s="312"/>
      <c r="U954" s="312"/>
      <c r="V954" s="312"/>
      <c r="W954" s="312"/>
      <c r="X954" s="312"/>
      <c r="Y954" s="312"/>
      <c r="Z954" s="312"/>
      <c r="AA954" s="312"/>
      <c r="AB954" s="312"/>
      <c r="AC954" s="312"/>
      <c r="AD954" s="312"/>
      <c r="AE954" s="312"/>
      <c r="AF954" s="312"/>
      <c r="AG954" s="312"/>
      <c r="AH954" s="312"/>
      <c r="AI954" s="312"/>
      <c r="AJ954" s="312"/>
      <c r="AK954" s="312"/>
      <c r="AL954" s="312"/>
      <c r="AM954" s="312"/>
      <c r="AN954" s="312"/>
      <c r="AO954" s="312"/>
      <c r="AP954" s="312"/>
    </row>
    <row r="955" ht="15.75" customHeight="1">
      <c r="A955" s="318"/>
      <c r="B955" s="312"/>
      <c r="C955" s="312"/>
      <c r="D955" s="312"/>
      <c r="E955" s="312"/>
      <c r="F955" s="312"/>
      <c r="G955" s="312"/>
      <c r="H955" s="312"/>
      <c r="I955" s="312"/>
      <c r="J955" s="312"/>
      <c r="K955" s="312"/>
      <c r="L955" s="312"/>
      <c r="M955" s="312"/>
      <c r="N955" s="312"/>
      <c r="O955" s="312"/>
      <c r="P955" s="312"/>
      <c r="Q955" s="312"/>
      <c r="R955" s="312"/>
      <c r="S955" s="312"/>
      <c r="T955" s="312"/>
      <c r="U955" s="312"/>
      <c r="V955" s="312"/>
      <c r="W955" s="312"/>
      <c r="X955" s="312"/>
      <c r="Y955" s="312"/>
      <c r="Z955" s="312"/>
      <c r="AA955" s="312"/>
      <c r="AB955" s="312"/>
      <c r="AC955" s="312"/>
      <c r="AD955" s="312"/>
      <c r="AE955" s="312"/>
      <c r="AF955" s="312"/>
      <c r="AG955" s="312"/>
      <c r="AH955" s="312"/>
      <c r="AI955" s="312"/>
      <c r="AJ955" s="312"/>
      <c r="AK955" s="312"/>
      <c r="AL955" s="312"/>
      <c r="AM955" s="312"/>
      <c r="AN955" s="312"/>
      <c r="AO955" s="312"/>
      <c r="AP955" s="312"/>
    </row>
    <row r="956" ht="15.75" customHeight="1">
      <c r="A956" s="318"/>
      <c r="B956" s="312"/>
      <c r="C956" s="312"/>
      <c r="D956" s="312"/>
      <c r="E956" s="312"/>
      <c r="F956" s="312"/>
      <c r="G956" s="312"/>
      <c r="H956" s="312"/>
      <c r="I956" s="312"/>
      <c r="J956" s="312"/>
      <c r="K956" s="312"/>
      <c r="L956" s="312"/>
      <c r="M956" s="312"/>
      <c r="N956" s="312"/>
      <c r="O956" s="312"/>
      <c r="P956" s="312"/>
      <c r="Q956" s="312"/>
      <c r="R956" s="312"/>
      <c r="S956" s="312"/>
      <c r="T956" s="312"/>
      <c r="U956" s="312"/>
      <c r="V956" s="312"/>
      <c r="W956" s="312"/>
      <c r="X956" s="312"/>
      <c r="Y956" s="312"/>
      <c r="Z956" s="312"/>
      <c r="AA956" s="312"/>
      <c r="AB956" s="312"/>
      <c r="AC956" s="312"/>
      <c r="AD956" s="312"/>
      <c r="AE956" s="312"/>
      <c r="AF956" s="312"/>
      <c r="AG956" s="312"/>
      <c r="AH956" s="312"/>
      <c r="AI956" s="312"/>
      <c r="AJ956" s="312"/>
      <c r="AK956" s="312"/>
      <c r="AL956" s="312"/>
      <c r="AM956" s="312"/>
      <c r="AN956" s="312"/>
      <c r="AO956" s="312"/>
      <c r="AP956" s="312"/>
    </row>
    <row r="957" ht="15.75" customHeight="1">
      <c r="A957" s="318"/>
      <c r="B957" s="312"/>
      <c r="C957" s="312"/>
      <c r="D957" s="312"/>
      <c r="E957" s="312"/>
      <c r="F957" s="312"/>
      <c r="G957" s="312"/>
      <c r="H957" s="312"/>
      <c r="I957" s="312"/>
      <c r="J957" s="312"/>
      <c r="K957" s="312"/>
      <c r="L957" s="312"/>
      <c r="M957" s="312"/>
      <c r="N957" s="312"/>
      <c r="O957" s="312"/>
      <c r="P957" s="312"/>
      <c r="Q957" s="312"/>
      <c r="R957" s="312"/>
      <c r="S957" s="312"/>
      <c r="T957" s="312"/>
      <c r="U957" s="312"/>
      <c r="V957" s="312"/>
      <c r="W957" s="312"/>
      <c r="X957" s="312"/>
      <c r="Y957" s="312"/>
      <c r="Z957" s="312"/>
      <c r="AA957" s="312"/>
      <c r="AB957" s="312"/>
      <c r="AC957" s="312"/>
      <c r="AD957" s="312"/>
      <c r="AE957" s="312"/>
      <c r="AF957" s="312"/>
      <c r="AG957" s="312"/>
      <c r="AH957" s="312"/>
      <c r="AI957" s="312"/>
      <c r="AJ957" s="312"/>
      <c r="AK957" s="312"/>
      <c r="AL957" s="312"/>
      <c r="AM957" s="312"/>
      <c r="AN957" s="312"/>
      <c r="AO957" s="312"/>
      <c r="AP957" s="312"/>
    </row>
    <row r="958" ht="15.75" customHeight="1">
      <c r="A958" s="318"/>
      <c r="B958" s="312"/>
      <c r="C958" s="312"/>
      <c r="D958" s="312"/>
      <c r="E958" s="312"/>
      <c r="F958" s="312"/>
      <c r="G958" s="312"/>
      <c r="H958" s="312"/>
      <c r="I958" s="312"/>
      <c r="J958" s="312"/>
      <c r="K958" s="312"/>
      <c r="L958" s="312"/>
      <c r="M958" s="312"/>
      <c r="N958" s="312"/>
      <c r="O958" s="312"/>
      <c r="P958" s="312"/>
      <c r="Q958" s="312"/>
      <c r="R958" s="312"/>
      <c r="S958" s="312"/>
      <c r="T958" s="312"/>
      <c r="U958" s="312"/>
      <c r="V958" s="312"/>
      <c r="W958" s="312"/>
      <c r="X958" s="312"/>
      <c r="Y958" s="312"/>
      <c r="Z958" s="312"/>
      <c r="AA958" s="312"/>
      <c r="AB958" s="312"/>
      <c r="AC958" s="312"/>
      <c r="AD958" s="312"/>
      <c r="AE958" s="312"/>
      <c r="AF958" s="312"/>
      <c r="AG958" s="312"/>
      <c r="AH958" s="312"/>
      <c r="AI958" s="312"/>
      <c r="AJ958" s="312"/>
      <c r="AK958" s="312"/>
      <c r="AL958" s="312"/>
      <c r="AM958" s="312"/>
      <c r="AN958" s="312"/>
      <c r="AO958" s="312"/>
      <c r="AP958" s="312"/>
    </row>
    <row r="959" ht="15.75" customHeight="1">
      <c r="A959" s="318"/>
      <c r="B959" s="312"/>
      <c r="C959" s="312"/>
      <c r="D959" s="312"/>
      <c r="E959" s="312"/>
      <c r="F959" s="312"/>
      <c r="G959" s="312"/>
      <c r="H959" s="312"/>
      <c r="I959" s="312"/>
      <c r="J959" s="312"/>
      <c r="K959" s="312"/>
      <c r="L959" s="312"/>
      <c r="M959" s="312"/>
      <c r="N959" s="312"/>
      <c r="O959" s="312"/>
      <c r="P959" s="312"/>
      <c r="Q959" s="312"/>
      <c r="R959" s="312"/>
      <c r="S959" s="312"/>
      <c r="T959" s="312"/>
      <c r="U959" s="312"/>
      <c r="V959" s="312"/>
      <c r="W959" s="312"/>
      <c r="X959" s="312"/>
      <c r="Y959" s="312"/>
      <c r="Z959" s="312"/>
      <c r="AA959" s="312"/>
      <c r="AB959" s="312"/>
      <c r="AC959" s="312"/>
      <c r="AD959" s="312"/>
      <c r="AE959" s="312"/>
      <c r="AF959" s="312"/>
      <c r="AG959" s="312"/>
      <c r="AH959" s="312"/>
      <c r="AI959" s="312"/>
      <c r="AJ959" s="312"/>
      <c r="AK959" s="312"/>
      <c r="AL959" s="312"/>
      <c r="AM959" s="312"/>
      <c r="AN959" s="312"/>
      <c r="AO959" s="312"/>
      <c r="AP959" s="312"/>
    </row>
    <row r="960" ht="15.75" customHeight="1">
      <c r="A960" s="318"/>
      <c r="B960" s="312"/>
      <c r="C960" s="312"/>
      <c r="D960" s="312"/>
      <c r="E960" s="312"/>
      <c r="F960" s="312"/>
      <c r="G960" s="312"/>
      <c r="H960" s="312"/>
      <c r="I960" s="312"/>
      <c r="J960" s="312"/>
      <c r="K960" s="312"/>
      <c r="L960" s="312"/>
      <c r="M960" s="312"/>
      <c r="N960" s="312"/>
      <c r="O960" s="312"/>
      <c r="P960" s="312"/>
      <c r="Q960" s="312"/>
      <c r="R960" s="312"/>
      <c r="S960" s="312"/>
      <c r="T960" s="312"/>
      <c r="U960" s="312"/>
      <c r="V960" s="312"/>
      <c r="W960" s="312"/>
      <c r="X960" s="312"/>
      <c r="Y960" s="312"/>
      <c r="Z960" s="312"/>
      <c r="AA960" s="312"/>
      <c r="AB960" s="312"/>
      <c r="AC960" s="312"/>
      <c r="AD960" s="312"/>
      <c r="AE960" s="312"/>
      <c r="AF960" s="312"/>
      <c r="AG960" s="312"/>
      <c r="AH960" s="312"/>
      <c r="AI960" s="312"/>
      <c r="AJ960" s="312"/>
      <c r="AK960" s="312"/>
      <c r="AL960" s="312"/>
      <c r="AM960" s="312"/>
      <c r="AN960" s="312"/>
      <c r="AO960" s="312"/>
      <c r="AP960" s="312"/>
    </row>
    <row r="961" ht="15.75" customHeight="1">
      <c r="A961" s="318"/>
      <c r="B961" s="312"/>
      <c r="C961" s="312"/>
      <c r="D961" s="312"/>
      <c r="E961" s="312"/>
      <c r="F961" s="312"/>
      <c r="G961" s="312"/>
      <c r="H961" s="312"/>
      <c r="I961" s="312"/>
      <c r="J961" s="312"/>
      <c r="K961" s="312"/>
      <c r="L961" s="312"/>
      <c r="M961" s="312"/>
      <c r="N961" s="312"/>
      <c r="O961" s="312"/>
      <c r="P961" s="312"/>
      <c r="Q961" s="312"/>
      <c r="R961" s="312"/>
      <c r="S961" s="312"/>
      <c r="T961" s="312"/>
      <c r="U961" s="312"/>
      <c r="V961" s="312"/>
      <c r="W961" s="312"/>
      <c r="X961" s="312"/>
      <c r="Y961" s="312"/>
      <c r="Z961" s="312"/>
      <c r="AA961" s="312"/>
      <c r="AB961" s="312"/>
      <c r="AC961" s="312"/>
      <c r="AD961" s="312"/>
      <c r="AE961" s="312"/>
      <c r="AF961" s="312"/>
      <c r="AG961" s="312"/>
      <c r="AH961" s="312"/>
      <c r="AI961" s="312"/>
      <c r="AJ961" s="312"/>
      <c r="AK961" s="312"/>
      <c r="AL961" s="312"/>
      <c r="AM961" s="312"/>
      <c r="AN961" s="312"/>
      <c r="AO961" s="312"/>
      <c r="AP961" s="312"/>
    </row>
    <row r="962" ht="15.75" customHeight="1">
      <c r="A962" s="318"/>
      <c r="B962" s="312"/>
      <c r="C962" s="312"/>
      <c r="D962" s="312"/>
      <c r="E962" s="312"/>
      <c r="F962" s="312"/>
      <c r="G962" s="312"/>
      <c r="H962" s="312"/>
      <c r="I962" s="312"/>
      <c r="J962" s="312"/>
      <c r="K962" s="312"/>
      <c r="L962" s="312"/>
      <c r="M962" s="312"/>
      <c r="N962" s="312"/>
      <c r="O962" s="312"/>
      <c r="P962" s="312"/>
      <c r="Q962" s="312"/>
      <c r="R962" s="312"/>
      <c r="S962" s="312"/>
      <c r="T962" s="312"/>
      <c r="U962" s="312"/>
      <c r="V962" s="312"/>
      <c r="W962" s="312"/>
      <c r="X962" s="312"/>
      <c r="Y962" s="312"/>
      <c r="Z962" s="312"/>
      <c r="AA962" s="312"/>
      <c r="AB962" s="312"/>
      <c r="AC962" s="312"/>
      <c r="AD962" s="312"/>
      <c r="AE962" s="312"/>
      <c r="AF962" s="312"/>
      <c r="AG962" s="312"/>
      <c r="AH962" s="312"/>
      <c r="AI962" s="312"/>
      <c r="AJ962" s="312"/>
      <c r="AK962" s="312"/>
      <c r="AL962" s="312"/>
      <c r="AM962" s="312"/>
      <c r="AN962" s="312"/>
      <c r="AO962" s="312"/>
      <c r="AP962" s="312"/>
    </row>
    <row r="963" ht="15.75" customHeight="1">
      <c r="A963" s="318"/>
      <c r="B963" s="312"/>
      <c r="C963" s="312"/>
      <c r="D963" s="312"/>
      <c r="E963" s="312"/>
      <c r="F963" s="312"/>
      <c r="G963" s="312"/>
      <c r="H963" s="312"/>
      <c r="I963" s="312"/>
      <c r="J963" s="312"/>
      <c r="K963" s="312"/>
      <c r="L963" s="312"/>
      <c r="M963" s="312"/>
      <c r="N963" s="312"/>
      <c r="O963" s="312"/>
      <c r="P963" s="312"/>
      <c r="Q963" s="312"/>
      <c r="R963" s="312"/>
      <c r="S963" s="312"/>
      <c r="T963" s="312"/>
      <c r="U963" s="312"/>
      <c r="V963" s="312"/>
      <c r="W963" s="312"/>
      <c r="X963" s="312"/>
      <c r="Y963" s="312"/>
      <c r="Z963" s="312"/>
      <c r="AA963" s="312"/>
      <c r="AB963" s="312"/>
      <c r="AC963" s="312"/>
      <c r="AD963" s="312"/>
      <c r="AE963" s="312"/>
      <c r="AF963" s="312"/>
      <c r="AG963" s="312"/>
      <c r="AH963" s="312"/>
      <c r="AI963" s="312"/>
      <c r="AJ963" s="312"/>
      <c r="AK963" s="312"/>
      <c r="AL963" s="312"/>
      <c r="AM963" s="312"/>
      <c r="AN963" s="312"/>
      <c r="AO963" s="312"/>
      <c r="AP963" s="312"/>
    </row>
    <row r="964" ht="15.75" customHeight="1">
      <c r="A964" s="318"/>
      <c r="B964" s="312"/>
      <c r="C964" s="312"/>
      <c r="D964" s="312"/>
      <c r="E964" s="312"/>
      <c r="F964" s="312"/>
      <c r="G964" s="312"/>
      <c r="H964" s="312"/>
      <c r="I964" s="312"/>
      <c r="J964" s="312"/>
      <c r="K964" s="312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12"/>
      <c r="AD964" s="312"/>
      <c r="AE964" s="312"/>
      <c r="AF964" s="312"/>
      <c r="AG964" s="312"/>
      <c r="AH964" s="312"/>
      <c r="AI964" s="312"/>
      <c r="AJ964" s="312"/>
      <c r="AK964" s="312"/>
      <c r="AL964" s="312"/>
      <c r="AM964" s="312"/>
      <c r="AN964" s="312"/>
      <c r="AO964" s="312"/>
      <c r="AP964" s="312"/>
    </row>
    <row r="965" ht="15.75" customHeight="1">
      <c r="A965" s="318"/>
      <c r="B965" s="312"/>
      <c r="C965" s="312"/>
      <c r="D965" s="312"/>
      <c r="E965" s="312"/>
      <c r="F965" s="312"/>
      <c r="G965" s="312"/>
      <c r="H965" s="312"/>
      <c r="I965" s="312"/>
      <c r="J965" s="312"/>
      <c r="K965" s="312"/>
      <c r="L965" s="312"/>
      <c r="M965" s="312"/>
      <c r="N965" s="312"/>
      <c r="O965" s="312"/>
      <c r="P965" s="312"/>
      <c r="Q965" s="312"/>
      <c r="R965" s="312"/>
      <c r="S965" s="312"/>
      <c r="T965" s="312"/>
      <c r="U965" s="312"/>
      <c r="V965" s="312"/>
      <c r="W965" s="312"/>
      <c r="X965" s="312"/>
      <c r="Y965" s="312"/>
      <c r="Z965" s="312"/>
      <c r="AA965" s="312"/>
      <c r="AB965" s="312"/>
      <c r="AC965" s="312"/>
      <c r="AD965" s="312"/>
      <c r="AE965" s="312"/>
      <c r="AF965" s="312"/>
      <c r="AG965" s="312"/>
      <c r="AH965" s="312"/>
      <c r="AI965" s="312"/>
      <c r="AJ965" s="312"/>
      <c r="AK965" s="312"/>
      <c r="AL965" s="312"/>
      <c r="AM965" s="312"/>
      <c r="AN965" s="312"/>
      <c r="AO965" s="312"/>
      <c r="AP965" s="312"/>
    </row>
    <row r="966" ht="15.75" customHeight="1">
      <c r="A966" s="318"/>
      <c r="B966" s="312"/>
      <c r="C966" s="312"/>
      <c r="D966" s="312"/>
      <c r="E966" s="312"/>
      <c r="F966" s="312"/>
      <c r="G966" s="312"/>
      <c r="H966" s="312"/>
      <c r="I966" s="312"/>
      <c r="J966" s="312"/>
      <c r="K966" s="312"/>
      <c r="L966" s="312"/>
      <c r="M966" s="312"/>
      <c r="N966" s="312"/>
      <c r="O966" s="312"/>
      <c r="P966" s="312"/>
      <c r="Q966" s="312"/>
      <c r="R966" s="312"/>
      <c r="S966" s="312"/>
      <c r="T966" s="312"/>
      <c r="U966" s="312"/>
      <c r="V966" s="312"/>
      <c r="W966" s="312"/>
      <c r="X966" s="312"/>
      <c r="Y966" s="312"/>
      <c r="Z966" s="312"/>
      <c r="AA966" s="312"/>
      <c r="AB966" s="312"/>
      <c r="AC966" s="312"/>
      <c r="AD966" s="312"/>
      <c r="AE966" s="312"/>
      <c r="AF966" s="312"/>
      <c r="AG966" s="312"/>
      <c r="AH966" s="312"/>
      <c r="AI966" s="312"/>
      <c r="AJ966" s="312"/>
      <c r="AK966" s="312"/>
      <c r="AL966" s="312"/>
      <c r="AM966" s="312"/>
      <c r="AN966" s="312"/>
      <c r="AO966" s="312"/>
      <c r="AP966" s="312"/>
    </row>
    <row r="967" ht="15.75" customHeight="1">
      <c r="A967" s="318"/>
      <c r="B967" s="312"/>
      <c r="C967" s="312"/>
      <c r="D967" s="312"/>
      <c r="E967" s="312"/>
      <c r="F967" s="312"/>
      <c r="G967" s="312"/>
      <c r="H967" s="312"/>
      <c r="I967" s="312"/>
      <c r="J967" s="312"/>
      <c r="K967" s="312"/>
      <c r="L967" s="312"/>
      <c r="M967" s="312"/>
      <c r="N967" s="312"/>
      <c r="O967" s="312"/>
      <c r="P967" s="312"/>
      <c r="Q967" s="312"/>
      <c r="R967" s="312"/>
      <c r="S967" s="312"/>
      <c r="T967" s="312"/>
      <c r="U967" s="312"/>
      <c r="V967" s="312"/>
      <c r="W967" s="312"/>
      <c r="X967" s="312"/>
      <c r="Y967" s="312"/>
      <c r="Z967" s="312"/>
      <c r="AA967" s="312"/>
      <c r="AB967" s="312"/>
      <c r="AC967" s="312"/>
      <c r="AD967" s="312"/>
      <c r="AE967" s="312"/>
      <c r="AF967" s="312"/>
      <c r="AG967" s="312"/>
      <c r="AH967" s="312"/>
      <c r="AI967" s="312"/>
      <c r="AJ967" s="312"/>
      <c r="AK967" s="312"/>
      <c r="AL967" s="312"/>
      <c r="AM967" s="312"/>
      <c r="AN967" s="312"/>
      <c r="AO967" s="312"/>
      <c r="AP967" s="312"/>
    </row>
    <row r="968" ht="15.75" customHeight="1">
      <c r="A968" s="318"/>
      <c r="B968" s="312"/>
      <c r="C968" s="312"/>
      <c r="D968" s="312"/>
      <c r="E968" s="312"/>
      <c r="F968" s="312"/>
      <c r="G968" s="312"/>
      <c r="H968" s="312"/>
      <c r="I968" s="312"/>
      <c r="J968" s="312"/>
      <c r="K968" s="312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12"/>
      <c r="AD968" s="312"/>
      <c r="AE968" s="312"/>
      <c r="AF968" s="312"/>
      <c r="AG968" s="312"/>
      <c r="AH968" s="312"/>
      <c r="AI968" s="312"/>
      <c r="AJ968" s="312"/>
      <c r="AK968" s="312"/>
      <c r="AL968" s="312"/>
      <c r="AM968" s="312"/>
      <c r="AN968" s="312"/>
      <c r="AO968" s="312"/>
      <c r="AP968" s="312"/>
    </row>
    <row r="969" ht="15.75" customHeight="1">
      <c r="A969" s="318"/>
      <c r="B969" s="312"/>
      <c r="C969" s="312"/>
      <c r="D969" s="312"/>
      <c r="E969" s="312"/>
      <c r="F969" s="312"/>
      <c r="G969" s="312"/>
      <c r="H969" s="312"/>
      <c r="I969" s="312"/>
      <c r="J969" s="312"/>
      <c r="K969" s="312"/>
      <c r="L969" s="312"/>
      <c r="M969" s="312"/>
      <c r="N969" s="312"/>
      <c r="O969" s="312"/>
      <c r="P969" s="312"/>
      <c r="Q969" s="312"/>
      <c r="R969" s="312"/>
      <c r="S969" s="312"/>
      <c r="T969" s="312"/>
      <c r="U969" s="312"/>
      <c r="V969" s="312"/>
      <c r="W969" s="312"/>
      <c r="X969" s="312"/>
      <c r="Y969" s="312"/>
      <c r="Z969" s="312"/>
      <c r="AA969" s="312"/>
      <c r="AB969" s="312"/>
      <c r="AC969" s="312"/>
      <c r="AD969" s="312"/>
      <c r="AE969" s="312"/>
      <c r="AF969" s="312"/>
      <c r="AG969" s="312"/>
      <c r="AH969" s="312"/>
      <c r="AI969" s="312"/>
      <c r="AJ969" s="312"/>
      <c r="AK969" s="312"/>
      <c r="AL969" s="312"/>
      <c r="AM969" s="312"/>
      <c r="AN969" s="312"/>
      <c r="AO969" s="312"/>
      <c r="AP969" s="312"/>
    </row>
    <row r="970" ht="15.75" customHeight="1">
      <c r="A970" s="318"/>
      <c r="B970" s="312"/>
      <c r="C970" s="312"/>
      <c r="D970" s="312"/>
      <c r="E970" s="312"/>
      <c r="F970" s="312"/>
      <c r="G970" s="312"/>
      <c r="H970" s="312"/>
      <c r="I970" s="312"/>
      <c r="J970" s="312"/>
      <c r="K970" s="312"/>
      <c r="L970" s="312"/>
      <c r="M970" s="312"/>
      <c r="N970" s="312"/>
      <c r="O970" s="312"/>
      <c r="P970" s="312"/>
      <c r="Q970" s="312"/>
      <c r="R970" s="312"/>
      <c r="S970" s="312"/>
      <c r="T970" s="312"/>
      <c r="U970" s="312"/>
      <c r="V970" s="312"/>
      <c r="W970" s="312"/>
      <c r="X970" s="312"/>
      <c r="Y970" s="312"/>
      <c r="Z970" s="312"/>
      <c r="AA970" s="312"/>
      <c r="AB970" s="312"/>
      <c r="AC970" s="312"/>
      <c r="AD970" s="312"/>
      <c r="AE970" s="312"/>
      <c r="AF970" s="312"/>
      <c r="AG970" s="312"/>
      <c r="AH970" s="312"/>
      <c r="AI970" s="312"/>
      <c r="AJ970" s="312"/>
      <c r="AK970" s="312"/>
      <c r="AL970" s="312"/>
      <c r="AM970" s="312"/>
      <c r="AN970" s="312"/>
      <c r="AO970" s="312"/>
      <c r="AP970" s="312"/>
    </row>
    <row r="971" ht="15.75" customHeight="1">
      <c r="A971" s="318"/>
      <c r="B971" s="312"/>
      <c r="C971" s="312"/>
      <c r="D971" s="312"/>
      <c r="E971" s="312"/>
      <c r="F971" s="312"/>
      <c r="G971" s="312"/>
      <c r="H971" s="312"/>
      <c r="I971" s="312"/>
      <c r="J971" s="312"/>
      <c r="K971" s="312"/>
      <c r="L971" s="312"/>
      <c r="M971" s="312"/>
      <c r="N971" s="312"/>
      <c r="O971" s="312"/>
      <c r="P971" s="312"/>
      <c r="Q971" s="312"/>
      <c r="R971" s="312"/>
      <c r="S971" s="312"/>
      <c r="T971" s="312"/>
      <c r="U971" s="312"/>
      <c r="V971" s="312"/>
      <c r="W971" s="312"/>
      <c r="X971" s="312"/>
      <c r="Y971" s="312"/>
      <c r="Z971" s="312"/>
      <c r="AA971" s="312"/>
      <c r="AB971" s="312"/>
      <c r="AC971" s="312"/>
      <c r="AD971" s="312"/>
      <c r="AE971" s="312"/>
      <c r="AF971" s="312"/>
      <c r="AG971" s="312"/>
      <c r="AH971" s="312"/>
      <c r="AI971" s="312"/>
      <c r="AJ971" s="312"/>
      <c r="AK971" s="312"/>
      <c r="AL971" s="312"/>
      <c r="AM971" s="312"/>
      <c r="AN971" s="312"/>
      <c r="AO971" s="312"/>
      <c r="AP971" s="312"/>
    </row>
    <row r="972" ht="15.75" customHeight="1">
      <c r="A972" s="318"/>
      <c r="B972" s="312"/>
      <c r="C972" s="312"/>
      <c r="D972" s="312"/>
      <c r="E972" s="312"/>
      <c r="F972" s="312"/>
      <c r="G972" s="312"/>
      <c r="H972" s="312"/>
      <c r="I972" s="312"/>
      <c r="J972" s="312"/>
      <c r="K972" s="312"/>
      <c r="L972" s="312"/>
      <c r="M972" s="312"/>
      <c r="N972" s="312"/>
      <c r="O972" s="312"/>
      <c r="P972" s="312"/>
      <c r="Q972" s="312"/>
      <c r="R972" s="312"/>
      <c r="S972" s="312"/>
      <c r="T972" s="312"/>
      <c r="U972" s="312"/>
      <c r="V972" s="312"/>
      <c r="W972" s="312"/>
      <c r="X972" s="312"/>
      <c r="Y972" s="312"/>
      <c r="Z972" s="312"/>
      <c r="AA972" s="312"/>
      <c r="AB972" s="312"/>
      <c r="AC972" s="312"/>
      <c r="AD972" s="312"/>
      <c r="AE972" s="312"/>
      <c r="AF972" s="312"/>
      <c r="AG972" s="312"/>
      <c r="AH972" s="312"/>
      <c r="AI972" s="312"/>
      <c r="AJ972" s="312"/>
      <c r="AK972" s="312"/>
      <c r="AL972" s="312"/>
      <c r="AM972" s="312"/>
      <c r="AN972" s="312"/>
      <c r="AO972" s="312"/>
      <c r="AP972" s="312"/>
    </row>
    <row r="973" ht="15.75" customHeight="1">
      <c r="A973" s="318"/>
      <c r="B973" s="312"/>
      <c r="C973" s="312"/>
      <c r="D973" s="312"/>
      <c r="E973" s="312"/>
      <c r="F973" s="312"/>
      <c r="G973" s="312"/>
      <c r="H973" s="312"/>
      <c r="I973" s="312"/>
      <c r="J973" s="312"/>
      <c r="K973" s="312"/>
      <c r="L973" s="312"/>
      <c r="M973" s="312"/>
      <c r="N973" s="312"/>
      <c r="O973" s="312"/>
      <c r="P973" s="312"/>
      <c r="Q973" s="312"/>
      <c r="R973" s="312"/>
      <c r="S973" s="312"/>
      <c r="T973" s="312"/>
      <c r="U973" s="312"/>
      <c r="V973" s="312"/>
      <c r="W973" s="312"/>
      <c r="X973" s="312"/>
      <c r="Y973" s="312"/>
      <c r="Z973" s="312"/>
      <c r="AA973" s="312"/>
      <c r="AB973" s="312"/>
      <c r="AC973" s="312"/>
      <c r="AD973" s="312"/>
      <c r="AE973" s="312"/>
      <c r="AF973" s="312"/>
      <c r="AG973" s="312"/>
      <c r="AH973" s="312"/>
      <c r="AI973" s="312"/>
      <c r="AJ973" s="312"/>
      <c r="AK973" s="312"/>
      <c r="AL973" s="312"/>
      <c r="AM973" s="312"/>
      <c r="AN973" s="312"/>
      <c r="AO973" s="312"/>
      <c r="AP973" s="312"/>
    </row>
    <row r="974" ht="15.75" customHeight="1">
      <c r="A974" s="318"/>
      <c r="B974" s="312"/>
      <c r="C974" s="312"/>
      <c r="D974" s="312"/>
      <c r="E974" s="312"/>
      <c r="F974" s="312"/>
      <c r="G974" s="312"/>
      <c r="H974" s="312"/>
      <c r="I974" s="312"/>
      <c r="J974" s="312"/>
      <c r="K974" s="312"/>
      <c r="L974" s="312"/>
      <c r="M974" s="312"/>
      <c r="N974" s="312"/>
      <c r="O974" s="312"/>
      <c r="P974" s="312"/>
      <c r="Q974" s="312"/>
      <c r="R974" s="312"/>
      <c r="S974" s="312"/>
      <c r="T974" s="312"/>
      <c r="U974" s="312"/>
      <c r="V974" s="312"/>
      <c r="W974" s="312"/>
      <c r="X974" s="312"/>
      <c r="Y974" s="312"/>
      <c r="Z974" s="312"/>
      <c r="AA974" s="312"/>
      <c r="AB974" s="312"/>
      <c r="AC974" s="312"/>
      <c r="AD974" s="312"/>
      <c r="AE974" s="312"/>
      <c r="AF974" s="312"/>
      <c r="AG974" s="312"/>
      <c r="AH974" s="312"/>
      <c r="AI974" s="312"/>
      <c r="AJ974" s="312"/>
      <c r="AK974" s="312"/>
      <c r="AL974" s="312"/>
      <c r="AM974" s="312"/>
      <c r="AN974" s="312"/>
      <c r="AO974" s="312"/>
      <c r="AP974" s="312"/>
    </row>
    <row r="975" ht="15.75" customHeight="1">
      <c r="A975" s="318"/>
      <c r="B975" s="312"/>
      <c r="C975" s="312"/>
      <c r="D975" s="312"/>
      <c r="E975" s="312"/>
      <c r="F975" s="312"/>
      <c r="G975" s="312"/>
      <c r="H975" s="312"/>
      <c r="I975" s="312"/>
      <c r="J975" s="312"/>
      <c r="K975" s="312"/>
      <c r="L975" s="312"/>
      <c r="M975" s="312"/>
      <c r="N975" s="312"/>
      <c r="O975" s="312"/>
      <c r="P975" s="312"/>
      <c r="Q975" s="312"/>
      <c r="R975" s="312"/>
      <c r="S975" s="312"/>
      <c r="T975" s="312"/>
      <c r="U975" s="312"/>
      <c r="V975" s="312"/>
      <c r="W975" s="312"/>
      <c r="X975" s="312"/>
      <c r="Y975" s="312"/>
      <c r="Z975" s="312"/>
      <c r="AA975" s="312"/>
      <c r="AB975" s="312"/>
      <c r="AC975" s="312"/>
      <c r="AD975" s="312"/>
      <c r="AE975" s="312"/>
      <c r="AF975" s="312"/>
      <c r="AG975" s="312"/>
      <c r="AH975" s="312"/>
      <c r="AI975" s="312"/>
      <c r="AJ975" s="312"/>
      <c r="AK975" s="312"/>
      <c r="AL975" s="312"/>
      <c r="AM975" s="312"/>
      <c r="AN975" s="312"/>
      <c r="AO975" s="312"/>
      <c r="AP975" s="312"/>
    </row>
    <row r="976" ht="15.75" customHeight="1">
      <c r="A976" s="318"/>
      <c r="B976" s="312"/>
      <c r="C976" s="312"/>
      <c r="D976" s="312"/>
      <c r="E976" s="312"/>
      <c r="F976" s="312"/>
      <c r="G976" s="312"/>
      <c r="H976" s="312"/>
      <c r="I976" s="312"/>
      <c r="J976" s="312"/>
      <c r="K976" s="312"/>
      <c r="L976" s="312"/>
      <c r="M976" s="312"/>
      <c r="N976" s="312"/>
      <c r="O976" s="312"/>
      <c r="P976" s="312"/>
      <c r="Q976" s="312"/>
      <c r="R976" s="312"/>
      <c r="S976" s="312"/>
      <c r="T976" s="312"/>
      <c r="U976" s="312"/>
      <c r="V976" s="312"/>
      <c r="W976" s="312"/>
      <c r="X976" s="312"/>
      <c r="Y976" s="312"/>
      <c r="Z976" s="312"/>
      <c r="AA976" s="312"/>
      <c r="AB976" s="312"/>
      <c r="AC976" s="312"/>
      <c r="AD976" s="312"/>
      <c r="AE976" s="312"/>
      <c r="AF976" s="312"/>
      <c r="AG976" s="312"/>
      <c r="AH976" s="312"/>
      <c r="AI976" s="312"/>
      <c r="AJ976" s="312"/>
      <c r="AK976" s="312"/>
      <c r="AL976" s="312"/>
      <c r="AM976" s="312"/>
      <c r="AN976" s="312"/>
      <c r="AO976" s="312"/>
      <c r="AP976" s="312"/>
    </row>
    <row r="977" ht="15.75" customHeight="1">
      <c r="A977" s="318"/>
      <c r="B977" s="312"/>
      <c r="C977" s="312"/>
      <c r="D977" s="312"/>
      <c r="E977" s="312"/>
      <c r="F977" s="312"/>
      <c r="G977" s="312"/>
      <c r="H977" s="312"/>
      <c r="I977" s="312"/>
      <c r="J977" s="312"/>
      <c r="K977" s="312"/>
      <c r="L977" s="312"/>
      <c r="M977" s="312"/>
      <c r="N977" s="312"/>
      <c r="O977" s="312"/>
      <c r="P977" s="312"/>
      <c r="Q977" s="312"/>
      <c r="R977" s="312"/>
      <c r="S977" s="312"/>
      <c r="T977" s="312"/>
      <c r="U977" s="312"/>
      <c r="V977" s="312"/>
      <c r="W977" s="312"/>
      <c r="X977" s="312"/>
      <c r="Y977" s="312"/>
      <c r="Z977" s="312"/>
      <c r="AA977" s="312"/>
      <c r="AB977" s="312"/>
      <c r="AC977" s="312"/>
      <c r="AD977" s="312"/>
      <c r="AE977" s="312"/>
      <c r="AF977" s="312"/>
      <c r="AG977" s="312"/>
      <c r="AH977" s="312"/>
      <c r="AI977" s="312"/>
      <c r="AJ977" s="312"/>
      <c r="AK977" s="312"/>
      <c r="AL977" s="312"/>
      <c r="AM977" s="312"/>
      <c r="AN977" s="312"/>
      <c r="AO977" s="312"/>
      <c r="AP977" s="312"/>
    </row>
    <row r="978" ht="15.75" customHeight="1">
      <c r="A978" s="318"/>
      <c r="B978" s="312"/>
      <c r="C978" s="312"/>
      <c r="D978" s="312"/>
      <c r="E978" s="312"/>
      <c r="F978" s="312"/>
      <c r="G978" s="312"/>
      <c r="H978" s="312"/>
      <c r="I978" s="312"/>
      <c r="J978" s="312"/>
      <c r="K978" s="312"/>
      <c r="L978" s="312"/>
      <c r="M978" s="312"/>
      <c r="N978" s="312"/>
      <c r="O978" s="312"/>
      <c r="P978" s="312"/>
      <c r="Q978" s="312"/>
      <c r="R978" s="312"/>
      <c r="S978" s="312"/>
      <c r="T978" s="312"/>
      <c r="U978" s="312"/>
      <c r="V978" s="312"/>
      <c r="W978" s="312"/>
      <c r="X978" s="312"/>
      <c r="Y978" s="312"/>
      <c r="Z978" s="312"/>
      <c r="AA978" s="312"/>
      <c r="AB978" s="312"/>
      <c r="AC978" s="312"/>
      <c r="AD978" s="312"/>
      <c r="AE978" s="312"/>
      <c r="AF978" s="312"/>
      <c r="AG978" s="312"/>
      <c r="AH978" s="312"/>
      <c r="AI978" s="312"/>
      <c r="AJ978" s="312"/>
      <c r="AK978" s="312"/>
      <c r="AL978" s="312"/>
      <c r="AM978" s="312"/>
      <c r="AN978" s="312"/>
      <c r="AO978" s="312"/>
      <c r="AP978" s="312"/>
    </row>
    <row r="979" ht="15.75" customHeight="1">
      <c r="A979" s="318"/>
      <c r="B979" s="312"/>
      <c r="C979" s="312"/>
      <c r="D979" s="312"/>
      <c r="E979" s="312"/>
      <c r="F979" s="312"/>
      <c r="G979" s="312"/>
      <c r="H979" s="312"/>
      <c r="I979" s="312"/>
      <c r="J979" s="312"/>
      <c r="K979" s="312"/>
      <c r="L979" s="312"/>
      <c r="M979" s="312"/>
      <c r="N979" s="312"/>
      <c r="O979" s="312"/>
      <c r="P979" s="312"/>
      <c r="Q979" s="312"/>
      <c r="R979" s="312"/>
      <c r="S979" s="312"/>
      <c r="T979" s="312"/>
      <c r="U979" s="312"/>
      <c r="V979" s="312"/>
      <c r="W979" s="312"/>
      <c r="X979" s="312"/>
      <c r="Y979" s="312"/>
      <c r="Z979" s="312"/>
      <c r="AA979" s="312"/>
      <c r="AB979" s="312"/>
      <c r="AC979" s="312"/>
      <c r="AD979" s="312"/>
      <c r="AE979" s="312"/>
      <c r="AF979" s="312"/>
      <c r="AG979" s="312"/>
      <c r="AH979" s="312"/>
      <c r="AI979" s="312"/>
      <c r="AJ979" s="312"/>
      <c r="AK979" s="312"/>
      <c r="AL979" s="312"/>
      <c r="AM979" s="312"/>
      <c r="AN979" s="312"/>
      <c r="AO979" s="312"/>
      <c r="AP979" s="312"/>
    </row>
    <row r="980" ht="15.75" customHeight="1">
      <c r="A980" s="318"/>
      <c r="B980" s="312"/>
      <c r="C980" s="312"/>
      <c r="D980" s="312"/>
      <c r="E980" s="312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  <c r="AP980" s="312"/>
    </row>
    <row r="981" ht="15.75" customHeight="1">
      <c r="A981" s="318"/>
      <c r="B981" s="312"/>
      <c r="C981" s="312"/>
      <c r="D981" s="312"/>
      <c r="E981" s="312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  <c r="AP981" s="312"/>
    </row>
    <row r="982" ht="15.75" customHeight="1">
      <c r="A982" s="318"/>
      <c r="B982" s="312"/>
      <c r="C982" s="312"/>
      <c r="D982" s="312"/>
      <c r="E982" s="312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  <c r="AP982" s="312"/>
    </row>
    <row r="983" ht="15.75" customHeight="1">
      <c r="A983" s="318"/>
      <c r="B983" s="312"/>
      <c r="C983" s="312"/>
      <c r="D983" s="312"/>
      <c r="E983" s="312"/>
      <c r="F983" s="312"/>
      <c r="G983" s="312"/>
      <c r="H983" s="312"/>
      <c r="I983" s="312"/>
      <c r="J983" s="312"/>
      <c r="K983" s="312"/>
      <c r="L983" s="312"/>
      <c r="M983" s="312"/>
      <c r="N983" s="312"/>
      <c r="O983" s="312"/>
      <c r="P983" s="312"/>
      <c r="Q983" s="312"/>
      <c r="R983" s="312"/>
      <c r="S983" s="312"/>
      <c r="T983" s="312"/>
      <c r="U983" s="312"/>
      <c r="V983" s="312"/>
      <c r="W983" s="312"/>
      <c r="X983" s="312"/>
      <c r="Y983" s="312"/>
      <c r="Z983" s="312"/>
      <c r="AA983" s="312"/>
      <c r="AB983" s="312"/>
      <c r="AC983" s="312"/>
      <c r="AD983" s="312"/>
      <c r="AE983" s="312"/>
      <c r="AF983" s="312"/>
      <c r="AG983" s="312"/>
      <c r="AH983" s="312"/>
      <c r="AI983" s="312"/>
      <c r="AJ983" s="312"/>
      <c r="AK983" s="312"/>
      <c r="AL983" s="312"/>
      <c r="AM983" s="312"/>
      <c r="AN983" s="312"/>
      <c r="AO983" s="312"/>
      <c r="AP983" s="312"/>
    </row>
    <row r="984" ht="15.75" customHeight="1">
      <c r="A984" s="318"/>
      <c r="B984" s="312"/>
      <c r="C984" s="312"/>
      <c r="D984" s="312"/>
      <c r="E984" s="312"/>
      <c r="F984" s="312"/>
      <c r="G984" s="312"/>
      <c r="H984" s="312"/>
      <c r="I984" s="312"/>
      <c r="J984" s="312"/>
      <c r="K984" s="312"/>
      <c r="L984" s="312"/>
      <c r="M984" s="312"/>
      <c r="N984" s="312"/>
      <c r="O984" s="312"/>
      <c r="P984" s="312"/>
      <c r="Q984" s="312"/>
      <c r="R984" s="312"/>
      <c r="S984" s="312"/>
      <c r="T984" s="312"/>
      <c r="U984" s="312"/>
      <c r="V984" s="312"/>
      <c r="W984" s="312"/>
      <c r="X984" s="312"/>
      <c r="Y984" s="312"/>
      <c r="Z984" s="312"/>
      <c r="AA984" s="312"/>
      <c r="AB984" s="312"/>
      <c r="AC984" s="312"/>
      <c r="AD984" s="312"/>
      <c r="AE984" s="312"/>
      <c r="AF984" s="312"/>
      <c r="AG984" s="312"/>
      <c r="AH984" s="312"/>
      <c r="AI984" s="312"/>
      <c r="AJ984" s="312"/>
      <c r="AK984" s="312"/>
      <c r="AL984" s="312"/>
      <c r="AM984" s="312"/>
      <c r="AN984" s="312"/>
      <c r="AO984" s="312"/>
      <c r="AP984" s="312"/>
    </row>
    <row r="985" ht="15.75" customHeight="1">
      <c r="A985" s="318"/>
      <c r="B985" s="312"/>
      <c r="C985" s="312"/>
      <c r="D985" s="312"/>
      <c r="E985" s="312"/>
      <c r="F985" s="312"/>
      <c r="G985" s="312"/>
      <c r="H985" s="312"/>
      <c r="I985" s="312"/>
      <c r="J985" s="312"/>
      <c r="K985" s="312"/>
      <c r="L985" s="312"/>
      <c r="M985" s="312"/>
      <c r="N985" s="312"/>
      <c r="O985" s="312"/>
      <c r="P985" s="312"/>
      <c r="Q985" s="312"/>
      <c r="R985" s="312"/>
      <c r="S985" s="312"/>
      <c r="T985" s="312"/>
      <c r="U985" s="312"/>
      <c r="V985" s="312"/>
      <c r="W985" s="312"/>
      <c r="X985" s="312"/>
      <c r="Y985" s="312"/>
      <c r="Z985" s="312"/>
      <c r="AA985" s="312"/>
      <c r="AB985" s="312"/>
      <c r="AC985" s="312"/>
      <c r="AD985" s="312"/>
      <c r="AE985" s="312"/>
      <c r="AF985" s="312"/>
      <c r="AG985" s="312"/>
      <c r="AH985" s="312"/>
      <c r="AI985" s="312"/>
      <c r="AJ985" s="312"/>
      <c r="AK985" s="312"/>
      <c r="AL985" s="312"/>
      <c r="AM985" s="312"/>
      <c r="AN985" s="312"/>
      <c r="AO985" s="312"/>
      <c r="AP985" s="312"/>
    </row>
    <row r="986" ht="15.75" customHeight="1">
      <c r="A986" s="318"/>
      <c r="B986" s="312"/>
      <c r="C986" s="312"/>
      <c r="D986" s="312"/>
      <c r="E986" s="312"/>
      <c r="F986" s="312"/>
      <c r="G986" s="312"/>
      <c r="H986" s="312"/>
      <c r="I986" s="312"/>
      <c r="J986" s="312"/>
      <c r="K986" s="312"/>
      <c r="L986" s="312"/>
      <c r="M986" s="312"/>
      <c r="N986" s="312"/>
      <c r="O986" s="312"/>
      <c r="P986" s="312"/>
      <c r="Q986" s="312"/>
      <c r="R986" s="312"/>
      <c r="S986" s="312"/>
      <c r="T986" s="312"/>
      <c r="U986" s="312"/>
      <c r="V986" s="312"/>
      <c r="W986" s="312"/>
      <c r="X986" s="312"/>
      <c r="Y986" s="312"/>
      <c r="Z986" s="312"/>
      <c r="AA986" s="312"/>
      <c r="AB986" s="312"/>
      <c r="AC986" s="312"/>
      <c r="AD986" s="312"/>
      <c r="AE986" s="312"/>
      <c r="AF986" s="312"/>
      <c r="AG986" s="312"/>
      <c r="AH986" s="312"/>
      <c r="AI986" s="312"/>
      <c r="AJ986" s="312"/>
      <c r="AK986" s="312"/>
      <c r="AL986" s="312"/>
      <c r="AM986" s="312"/>
      <c r="AN986" s="312"/>
      <c r="AO986" s="312"/>
      <c r="AP986" s="312"/>
    </row>
    <row r="987" ht="15.75" customHeight="1">
      <c r="A987" s="318"/>
      <c r="B987" s="312"/>
      <c r="C987" s="312"/>
      <c r="D987" s="312"/>
      <c r="E987" s="312"/>
      <c r="F987" s="312"/>
      <c r="G987" s="312"/>
      <c r="H987" s="312"/>
      <c r="I987" s="312"/>
      <c r="J987" s="312"/>
      <c r="K987" s="312"/>
      <c r="L987" s="312"/>
      <c r="M987" s="312"/>
      <c r="N987" s="312"/>
      <c r="O987" s="312"/>
      <c r="P987" s="312"/>
      <c r="Q987" s="312"/>
      <c r="R987" s="312"/>
      <c r="S987" s="312"/>
      <c r="T987" s="312"/>
      <c r="U987" s="312"/>
      <c r="V987" s="312"/>
      <c r="W987" s="312"/>
      <c r="X987" s="312"/>
      <c r="Y987" s="312"/>
      <c r="Z987" s="312"/>
      <c r="AA987" s="312"/>
      <c r="AB987" s="312"/>
      <c r="AC987" s="312"/>
      <c r="AD987" s="312"/>
      <c r="AE987" s="312"/>
      <c r="AF987" s="312"/>
      <c r="AG987" s="312"/>
      <c r="AH987" s="312"/>
      <c r="AI987" s="312"/>
      <c r="AJ987" s="312"/>
      <c r="AK987" s="312"/>
      <c r="AL987" s="312"/>
      <c r="AM987" s="312"/>
      <c r="AN987" s="312"/>
      <c r="AO987" s="312"/>
      <c r="AP987" s="312"/>
    </row>
    <row r="988" ht="15.75" customHeight="1">
      <c r="A988" s="318"/>
      <c r="B988" s="312"/>
      <c r="C988" s="312"/>
      <c r="D988" s="312"/>
      <c r="E988" s="312"/>
      <c r="F988" s="312"/>
      <c r="G988" s="312"/>
      <c r="H988" s="312"/>
      <c r="I988" s="312"/>
      <c r="J988" s="312"/>
      <c r="K988" s="312"/>
      <c r="L988" s="312"/>
      <c r="M988" s="312"/>
      <c r="N988" s="312"/>
      <c r="O988" s="312"/>
      <c r="P988" s="312"/>
      <c r="Q988" s="312"/>
      <c r="R988" s="312"/>
      <c r="S988" s="312"/>
      <c r="T988" s="312"/>
      <c r="U988" s="312"/>
      <c r="V988" s="312"/>
      <c r="W988" s="312"/>
      <c r="X988" s="312"/>
      <c r="Y988" s="312"/>
      <c r="Z988" s="312"/>
      <c r="AA988" s="312"/>
      <c r="AB988" s="312"/>
      <c r="AC988" s="312"/>
      <c r="AD988" s="312"/>
      <c r="AE988" s="312"/>
      <c r="AF988" s="312"/>
      <c r="AG988" s="312"/>
      <c r="AH988" s="312"/>
      <c r="AI988" s="312"/>
      <c r="AJ988" s="312"/>
      <c r="AK988" s="312"/>
      <c r="AL988" s="312"/>
      <c r="AM988" s="312"/>
      <c r="AN988" s="312"/>
      <c r="AO988" s="312"/>
      <c r="AP988" s="312"/>
    </row>
    <row r="989" ht="15.75" customHeight="1">
      <c r="A989" s="318"/>
      <c r="B989" s="312"/>
      <c r="C989" s="312"/>
      <c r="D989" s="312"/>
      <c r="E989" s="312"/>
      <c r="F989" s="312"/>
      <c r="G989" s="312"/>
      <c r="H989" s="312"/>
      <c r="I989" s="312"/>
      <c r="J989" s="312"/>
      <c r="K989" s="312"/>
      <c r="L989" s="312"/>
      <c r="M989" s="312"/>
      <c r="N989" s="312"/>
      <c r="O989" s="312"/>
      <c r="P989" s="312"/>
      <c r="Q989" s="312"/>
      <c r="R989" s="312"/>
      <c r="S989" s="312"/>
      <c r="T989" s="312"/>
      <c r="U989" s="312"/>
      <c r="V989" s="312"/>
      <c r="W989" s="312"/>
      <c r="X989" s="312"/>
      <c r="Y989" s="312"/>
      <c r="Z989" s="312"/>
      <c r="AA989" s="312"/>
      <c r="AB989" s="312"/>
      <c r="AC989" s="312"/>
      <c r="AD989" s="312"/>
      <c r="AE989" s="312"/>
      <c r="AF989" s="312"/>
      <c r="AG989" s="312"/>
      <c r="AH989" s="312"/>
      <c r="AI989" s="312"/>
      <c r="AJ989" s="312"/>
      <c r="AK989" s="312"/>
      <c r="AL989" s="312"/>
      <c r="AM989" s="312"/>
      <c r="AN989" s="312"/>
      <c r="AO989" s="312"/>
      <c r="AP989" s="312"/>
    </row>
  </sheetData>
  <mergeCells count="5717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D3:AE3"/>
    <mergeCell ref="AF3:AG3"/>
    <mergeCell ref="AD4:AE4"/>
    <mergeCell ref="AF4:AG4"/>
    <mergeCell ref="AH3:AI3"/>
    <mergeCell ref="AJ3:AK3"/>
    <mergeCell ref="AH4:AI4"/>
    <mergeCell ref="AJ4:AK4"/>
    <mergeCell ref="A1:E1"/>
    <mergeCell ref="F1:M1"/>
    <mergeCell ref="N1:Y1"/>
    <mergeCell ref="Z1:AK1"/>
    <mergeCell ref="AL1:AP1"/>
    <mergeCell ref="F3:G3"/>
    <mergeCell ref="H3:I3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X5:Y5"/>
    <mergeCell ref="Z5:AA5"/>
    <mergeCell ref="AB5:AC5"/>
    <mergeCell ref="AD5:AE5"/>
    <mergeCell ref="AF5:AG5"/>
    <mergeCell ref="AH5:AI5"/>
    <mergeCell ref="AJ5:AK5"/>
    <mergeCell ref="H5:I5"/>
    <mergeCell ref="J5:K5"/>
    <mergeCell ref="N5:O5"/>
    <mergeCell ref="P5:Q5"/>
    <mergeCell ref="R5:S5"/>
    <mergeCell ref="T5:U5"/>
    <mergeCell ref="V5:W5"/>
    <mergeCell ref="J3:K3"/>
    <mergeCell ref="L3:M3"/>
    <mergeCell ref="F4:G4"/>
    <mergeCell ref="H4:I4"/>
    <mergeCell ref="J4:K4"/>
    <mergeCell ref="L4:M4"/>
    <mergeCell ref="L5:M5"/>
    <mergeCell ref="AF6:AG6"/>
    <mergeCell ref="AH6:AI6"/>
    <mergeCell ref="AJ6:AK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F7:G7"/>
    <mergeCell ref="H7:I7"/>
    <mergeCell ref="J7:K7"/>
    <mergeCell ref="L7:M7"/>
    <mergeCell ref="N7:O7"/>
    <mergeCell ref="P7:Q7"/>
    <mergeCell ref="R7:S7"/>
    <mergeCell ref="AH10:AI10"/>
    <mergeCell ref="AJ10:AK10"/>
    <mergeCell ref="T10:U10"/>
    <mergeCell ref="V10:W10"/>
    <mergeCell ref="X10:Y10"/>
    <mergeCell ref="Z10:AA10"/>
    <mergeCell ref="AB10:AC10"/>
    <mergeCell ref="AD10:AE10"/>
    <mergeCell ref="AF10:AG10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F8:G8"/>
    <mergeCell ref="H8:I8"/>
    <mergeCell ref="J8:K8"/>
    <mergeCell ref="L8:M8"/>
    <mergeCell ref="N8:O8"/>
    <mergeCell ref="P8:Q8"/>
    <mergeCell ref="R8:S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F10:G10"/>
    <mergeCell ref="H10:I10"/>
    <mergeCell ref="J10:K10"/>
    <mergeCell ref="L10:M10"/>
    <mergeCell ref="N10:O10"/>
    <mergeCell ref="P10:Q10"/>
    <mergeCell ref="R10:S10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8:AI28"/>
    <mergeCell ref="AJ28:AK28"/>
    <mergeCell ref="T28:U28"/>
    <mergeCell ref="V28:W28"/>
    <mergeCell ref="X28:Y28"/>
    <mergeCell ref="Z28:AA28"/>
    <mergeCell ref="AB28:AC28"/>
    <mergeCell ref="AD28:AE28"/>
    <mergeCell ref="AF28:AG28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AH31:AI31"/>
    <mergeCell ref="AJ31:AK31"/>
    <mergeCell ref="T31:U31"/>
    <mergeCell ref="V31:W31"/>
    <mergeCell ref="X31:Y31"/>
    <mergeCell ref="Z31:AA31"/>
    <mergeCell ref="AB31:AC31"/>
    <mergeCell ref="AD31:AE31"/>
    <mergeCell ref="AF31:AG31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7:AI37"/>
    <mergeCell ref="AJ37:AK37"/>
    <mergeCell ref="T37:U37"/>
    <mergeCell ref="V37:W37"/>
    <mergeCell ref="X37:Y37"/>
    <mergeCell ref="Z37:AA37"/>
    <mergeCell ref="AB37:AC37"/>
    <mergeCell ref="AD37:AE37"/>
    <mergeCell ref="AF37:AG37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F37:G37"/>
    <mergeCell ref="H37:I37"/>
    <mergeCell ref="J37:K37"/>
    <mergeCell ref="L37:M37"/>
    <mergeCell ref="N37:O37"/>
    <mergeCell ref="P37:Q37"/>
    <mergeCell ref="R37:S37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6:AI46"/>
    <mergeCell ref="AJ46:AK46"/>
    <mergeCell ref="T46:U46"/>
    <mergeCell ref="V46:W46"/>
    <mergeCell ref="X46:Y46"/>
    <mergeCell ref="Z46:AA46"/>
    <mergeCell ref="AB46:AC46"/>
    <mergeCell ref="AD46:AE46"/>
    <mergeCell ref="AF46:AG46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AH49:AI49"/>
    <mergeCell ref="AJ49:AK49"/>
    <mergeCell ref="T49:U49"/>
    <mergeCell ref="V49:W49"/>
    <mergeCell ref="X49:Y49"/>
    <mergeCell ref="Z49:AA49"/>
    <mergeCell ref="AB49:AC49"/>
    <mergeCell ref="AD49:AE49"/>
    <mergeCell ref="AF49:AG49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5:AI55"/>
    <mergeCell ref="AJ55:AK55"/>
    <mergeCell ref="T55:U55"/>
    <mergeCell ref="V55:W55"/>
    <mergeCell ref="X55:Y55"/>
    <mergeCell ref="Z55:AA55"/>
    <mergeCell ref="AB55:AC55"/>
    <mergeCell ref="AD55:AE55"/>
    <mergeCell ref="AF55:AG55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F62:G62"/>
    <mergeCell ref="H62:I62"/>
    <mergeCell ref="J62:K62"/>
    <mergeCell ref="L62:M62"/>
    <mergeCell ref="N62:O62"/>
    <mergeCell ref="P62:Q62"/>
    <mergeCell ref="R62:S62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F64:G64"/>
    <mergeCell ref="H64:I64"/>
    <mergeCell ref="J64:K64"/>
    <mergeCell ref="L64:M64"/>
    <mergeCell ref="N64:O64"/>
    <mergeCell ref="P64:Q64"/>
    <mergeCell ref="R64:S64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F71:G71"/>
    <mergeCell ref="H71:I71"/>
    <mergeCell ref="J71:K71"/>
    <mergeCell ref="L71:M71"/>
    <mergeCell ref="N71:O71"/>
    <mergeCell ref="P71:Q71"/>
    <mergeCell ref="R71:S71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F73:G73"/>
    <mergeCell ref="H73:I73"/>
    <mergeCell ref="J73:K73"/>
    <mergeCell ref="L73:M73"/>
    <mergeCell ref="N73:O73"/>
    <mergeCell ref="P73:Q73"/>
    <mergeCell ref="R73:S73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F80:G80"/>
    <mergeCell ref="H80:I80"/>
    <mergeCell ref="J80:K80"/>
    <mergeCell ref="L80:M80"/>
    <mergeCell ref="N80:O80"/>
    <mergeCell ref="P80:Q80"/>
    <mergeCell ref="R80:S80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F82:G82"/>
    <mergeCell ref="H82:I82"/>
    <mergeCell ref="J82:K82"/>
    <mergeCell ref="L82:M82"/>
    <mergeCell ref="N82:O82"/>
    <mergeCell ref="P82:Q82"/>
    <mergeCell ref="R82:S82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F89:G89"/>
    <mergeCell ref="H89:I89"/>
    <mergeCell ref="J89:K89"/>
    <mergeCell ref="L89:M89"/>
    <mergeCell ref="N89:O89"/>
    <mergeCell ref="P89:Q89"/>
    <mergeCell ref="R89:S89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F91:G91"/>
    <mergeCell ref="H91:I91"/>
    <mergeCell ref="J91:K91"/>
    <mergeCell ref="L91:M91"/>
    <mergeCell ref="N91:O91"/>
    <mergeCell ref="P91:Q91"/>
    <mergeCell ref="R91:S91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F98:G98"/>
    <mergeCell ref="H98:I98"/>
    <mergeCell ref="J98:K98"/>
    <mergeCell ref="L98:M98"/>
    <mergeCell ref="N98:O98"/>
    <mergeCell ref="P98:Q98"/>
    <mergeCell ref="R98:S98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F100:G100"/>
    <mergeCell ref="H100:I100"/>
    <mergeCell ref="J100:K100"/>
    <mergeCell ref="L100:M100"/>
    <mergeCell ref="N100:O100"/>
    <mergeCell ref="P100:Q100"/>
    <mergeCell ref="R100:S100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F107:G107"/>
    <mergeCell ref="H107:I107"/>
    <mergeCell ref="J107:K107"/>
    <mergeCell ref="L107:M107"/>
    <mergeCell ref="N107:O107"/>
    <mergeCell ref="P107:Q107"/>
    <mergeCell ref="R107:S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F109:G109"/>
    <mergeCell ref="H109:I109"/>
    <mergeCell ref="J109:K109"/>
    <mergeCell ref="L109:M109"/>
    <mergeCell ref="N109:O109"/>
    <mergeCell ref="P109:Q109"/>
    <mergeCell ref="R109:S109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F116:G116"/>
    <mergeCell ref="H116:I116"/>
    <mergeCell ref="J116:K116"/>
    <mergeCell ref="L116:M116"/>
    <mergeCell ref="N116:O116"/>
    <mergeCell ref="P116:Q116"/>
    <mergeCell ref="R116:S116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F125:G125"/>
    <mergeCell ref="H125:I125"/>
    <mergeCell ref="J125:K125"/>
    <mergeCell ref="L125:M125"/>
    <mergeCell ref="N125:O125"/>
    <mergeCell ref="P125:Q125"/>
    <mergeCell ref="R125:S125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F127:G127"/>
    <mergeCell ref="H127:I127"/>
    <mergeCell ref="J127:K127"/>
    <mergeCell ref="L127:M127"/>
    <mergeCell ref="N127:O127"/>
    <mergeCell ref="P127:Q127"/>
    <mergeCell ref="R127:S127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F134:G134"/>
    <mergeCell ref="H134:I134"/>
    <mergeCell ref="J134:K134"/>
    <mergeCell ref="L134:M134"/>
    <mergeCell ref="N134:O134"/>
    <mergeCell ref="P134:Q134"/>
    <mergeCell ref="R134:S134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F136:G136"/>
    <mergeCell ref="H136:I136"/>
    <mergeCell ref="J136:K136"/>
    <mergeCell ref="L136:M136"/>
    <mergeCell ref="N136:O136"/>
    <mergeCell ref="P136:Q136"/>
    <mergeCell ref="R136:S136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F143:G143"/>
    <mergeCell ref="H143:I143"/>
    <mergeCell ref="J143:K143"/>
    <mergeCell ref="L143:M143"/>
    <mergeCell ref="N143:O143"/>
    <mergeCell ref="P143:Q143"/>
    <mergeCell ref="R143:S143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F145:G145"/>
    <mergeCell ref="H145:I145"/>
    <mergeCell ref="J145:K145"/>
    <mergeCell ref="L145:M145"/>
    <mergeCell ref="N145:O145"/>
    <mergeCell ref="P145:Q145"/>
    <mergeCell ref="R145:S145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F152:G152"/>
    <mergeCell ref="H152:I152"/>
    <mergeCell ref="J152:K152"/>
    <mergeCell ref="L152:M152"/>
    <mergeCell ref="N152:O152"/>
    <mergeCell ref="P152:Q152"/>
    <mergeCell ref="R152:S152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F154:G154"/>
    <mergeCell ref="H154:I154"/>
    <mergeCell ref="J154:K154"/>
    <mergeCell ref="L154:M154"/>
    <mergeCell ref="N154:O154"/>
    <mergeCell ref="P154:Q154"/>
    <mergeCell ref="R154:S154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F161:G161"/>
    <mergeCell ref="H161:I161"/>
    <mergeCell ref="J161:K161"/>
    <mergeCell ref="L161:M161"/>
    <mergeCell ref="N161:O161"/>
    <mergeCell ref="P161:Q161"/>
    <mergeCell ref="R161:S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F163:G163"/>
    <mergeCell ref="H163:I163"/>
    <mergeCell ref="J163:K163"/>
    <mergeCell ref="L163:M163"/>
    <mergeCell ref="N163:O163"/>
    <mergeCell ref="P163:Q163"/>
    <mergeCell ref="R163:S163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F314:G314"/>
    <mergeCell ref="H314:I314"/>
    <mergeCell ref="J314:K314"/>
    <mergeCell ref="L314:M314"/>
    <mergeCell ref="N314:O314"/>
    <mergeCell ref="P314:Q314"/>
    <mergeCell ref="R314:S314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F316:G316"/>
    <mergeCell ref="H316:I316"/>
    <mergeCell ref="J316:K316"/>
    <mergeCell ref="L316:M316"/>
    <mergeCell ref="N316:O316"/>
    <mergeCell ref="P316:Q316"/>
    <mergeCell ref="R316:S316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F323:G323"/>
    <mergeCell ref="H323:I323"/>
    <mergeCell ref="J323:K323"/>
    <mergeCell ref="L323:M323"/>
    <mergeCell ref="N323:O323"/>
    <mergeCell ref="P323:Q323"/>
    <mergeCell ref="R323:S323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F325:G325"/>
    <mergeCell ref="H325:I325"/>
    <mergeCell ref="J325:K325"/>
    <mergeCell ref="L325:M325"/>
    <mergeCell ref="N325:O325"/>
    <mergeCell ref="P325:Q325"/>
    <mergeCell ref="R325:S325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F332:G332"/>
    <mergeCell ref="H332:I332"/>
    <mergeCell ref="J332:K332"/>
    <mergeCell ref="L332:M332"/>
    <mergeCell ref="N332:O332"/>
    <mergeCell ref="P332:Q332"/>
    <mergeCell ref="R332:S332"/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F334:G334"/>
    <mergeCell ref="H334:I334"/>
    <mergeCell ref="J334:K334"/>
    <mergeCell ref="L334:M334"/>
    <mergeCell ref="N334:O334"/>
    <mergeCell ref="P334:Q334"/>
    <mergeCell ref="R334:S334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5:AI15"/>
    <mergeCell ref="AJ15:AK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9:AI19"/>
    <mergeCell ref="AJ19:AK19"/>
    <mergeCell ref="T19:U19"/>
    <mergeCell ref="V19:W19"/>
    <mergeCell ref="X19:Y19"/>
    <mergeCell ref="Z19:AA19"/>
    <mergeCell ref="AB19:AC19"/>
    <mergeCell ref="AD19:AE19"/>
    <mergeCell ref="AF19:AG19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F17:G17"/>
    <mergeCell ref="H17:I17"/>
    <mergeCell ref="J17:K17"/>
    <mergeCell ref="L17:M17"/>
    <mergeCell ref="N17:O17"/>
    <mergeCell ref="P17:Q17"/>
    <mergeCell ref="R17:S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F19:G19"/>
    <mergeCell ref="H19:I19"/>
    <mergeCell ref="J19:K19"/>
    <mergeCell ref="L19:M19"/>
    <mergeCell ref="N19:O19"/>
    <mergeCell ref="P19:Q19"/>
    <mergeCell ref="R19:S19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F341:G341"/>
    <mergeCell ref="H341:I341"/>
    <mergeCell ref="J341:K341"/>
    <mergeCell ref="L341:M341"/>
    <mergeCell ref="N341:O341"/>
    <mergeCell ref="P341:Q341"/>
    <mergeCell ref="R341:S341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F343:G343"/>
    <mergeCell ref="H343:I343"/>
    <mergeCell ref="J343:K343"/>
    <mergeCell ref="L343:M343"/>
    <mergeCell ref="N343:O343"/>
    <mergeCell ref="P343:Q343"/>
    <mergeCell ref="R343:S343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F350:G350"/>
    <mergeCell ref="H350:I350"/>
    <mergeCell ref="J350:K350"/>
    <mergeCell ref="L350:M350"/>
    <mergeCell ref="N350:O350"/>
    <mergeCell ref="P350:Q350"/>
    <mergeCell ref="R350:S350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F352:G352"/>
    <mergeCell ref="H352:I352"/>
    <mergeCell ref="J352:K352"/>
    <mergeCell ref="L352:M352"/>
    <mergeCell ref="N352:O352"/>
    <mergeCell ref="P352:Q352"/>
    <mergeCell ref="R352:S352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F355:G355"/>
    <mergeCell ref="H355:I355"/>
    <mergeCell ref="J355:K355"/>
    <mergeCell ref="L355:M355"/>
    <mergeCell ref="N355:O355"/>
    <mergeCell ref="P355:Q355"/>
    <mergeCell ref="R355:S355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F170:G170"/>
    <mergeCell ref="H170:I170"/>
    <mergeCell ref="J170:K170"/>
    <mergeCell ref="L170:M170"/>
    <mergeCell ref="N170:O170"/>
    <mergeCell ref="P170:Q170"/>
    <mergeCell ref="R170:S170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F179:G179"/>
    <mergeCell ref="H179:I179"/>
    <mergeCell ref="J179:K179"/>
    <mergeCell ref="L179:M179"/>
    <mergeCell ref="N179:O179"/>
    <mergeCell ref="P179:Q179"/>
    <mergeCell ref="R179:S179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F181:G181"/>
    <mergeCell ref="H181:I181"/>
    <mergeCell ref="J181:K181"/>
    <mergeCell ref="L181:M181"/>
    <mergeCell ref="N181:O181"/>
    <mergeCell ref="P181:Q181"/>
    <mergeCell ref="R181:S181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F188:G188"/>
    <mergeCell ref="H188:I188"/>
    <mergeCell ref="J188:K188"/>
    <mergeCell ref="L188:M188"/>
    <mergeCell ref="N188:O188"/>
    <mergeCell ref="P188:Q188"/>
    <mergeCell ref="R188:S188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F190:G190"/>
    <mergeCell ref="H190:I190"/>
    <mergeCell ref="J190:K190"/>
    <mergeCell ref="L190:M190"/>
    <mergeCell ref="N190:O190"/>
    <mergeCell ref="P190:Q190"/>
    <mergeCell ref="R190:S190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F197:G197"/>
    <mergeCell ref="H197:I197"/>
    <mergeCell ref="J197:K197"/>
    <mergeCell ref="L197:M197"/>
    <mergeCell ref="N197:O197"/>
    <mergeCell ref="P197:Q197"/>
    <mergeCell ref="R197:S197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F199:G199"/>
    <mergeCell ref="H199:I199"/>
    <mergeCell ref="J199:K199"/>
    <mergeCell ref="L199:M199"/>
    <mergeCell ref="N199:O199"/>
    <mergeCell ref="P199:Q199"/>
    <mergeCell ref="R199:S199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F206:G206"/>
    <mergeCell ref="H206:I206"/>
    <mergeCell ref="J206:K206"/>
    <mergeCell ref="L206:M206"/>
    <mergeCell ref="N206:O206"/>
    <mergeCell ref="P206:Q206"/>
    <mergeCell ref="R206:S206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F208:G208"/>
    <mergeCell ref="H208:I208"/>
    <mergeCell ref="J208:K208"/>
    <mergeCell ref="L208:M208"/>
    <mergeCell ref="N208:O208"/>
    <mergeCell ref="P208:Q208"/>
    <mergeCell ref="R208:S208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F215:G215"/>
    <mergeCell ref="H215:I215"/>
    <mergeCell ref="J215:K215"/>
    <mergeCell ref="L215:M215"/>
    <mergeCell ref="N215:O215"/>
    <mergeCell ref="P215:Q215"/>
    <mergeCell ref="R215:S215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F217:G217"/>
    <mergeCell ref="H217:I217"/>
    <mergeCell ref="J217:K217"/>
    <mergeCell ref="L217:M217"/>
    <mergeCell ref="N217:O217"/>
    <mergeCell ref="P217:Q217"/>
    <mergeCell ref="R217:S217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F224:G224"/>
    <mergeCell ref="H224:I224"/>
    <mergeCell ref="J224:K224"/>
    <mergeCell ref="L224:M224"/>
    <mergeCell ref="N224:O224"/>
    <mergeCell ref="P224:Q224"/>
    <mergeCell ref="R224:S224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F226:G226"/>
    <mergeCell ref="H226:I226"/>
    <mergeCell ref="J226:K226"/>
    <mergeCell ref="L226:M226"/>
    <mergeCell ref="N226:O226"/>
    <mergeCell ref="P226:Q226"/>
    <mergeCell ref="R226:S226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F233:G233"/>
    <mergeCell ref="H233:I233"/>
    <mergeCell ref="J233:K233"/>
    <mergeCell ref="L233:M233"/>
    <mergeCell ref="N233:O233"/>
    <mergeCell ref="P233:Q233"/>
    <mergeCell ref="R233:S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F235:G235"/>
    <mergeCell ref="H235:I235"/>
    <mergeCell ref="J235:K235"/>
    <mergeCell ref="L235:M235"/>
    <mergeCell ref="N235:O235"/>
    <mergeCell ref="P235:Q235"/>
    <mergeCell ref="R235:S235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F242:G242"/>
    <mergeCell ref="H242:I242"/>
    <mergeCell ref="J242:K242"/>
    <mergeCell ref="L242:M242"/>
    <mergeCell ref="N242:O242"/>
    <mergeCell ref="P242:Q242"/>
    <mergeCell ref="R242:S242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F251:G251"/>
    <mergeCell ref="H251:I251"/>
    <mergeCell ref="J251:K251"/>
    <mergeCell ref="L251:M251"/>
    <mergeCell ref="N251:O251"/>
    <mergeCell ref="P251:Q251"/>
    <mergeCell ref="R251:S251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F253:G253"/>
    <mergeCell ref="H253:I253"/>
    <mergeCell ref="J253:K253"/>
    <mergeCell ref="L253:M253"/>
    <mergeCell ref="N253:O253"/>
    <mergeCell ref="P253:Q253"/>
    <mergeCell ref="R253:S253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F260:G260"/>
    <mergeCell ref="H260:I260"/>
    <mergeCell ref="J260:K260"/>
    <mergeCell ref="L260:M260"/>
    <mergeCell ref="N260:O260"/>
    <mergeCell ref="P260:Q260"/>
    <mergeCell ref="R260:S260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F262:G262"/>
    <mergeCell ref="H262:I262"/>
    <mergeCell ref="J262:K262"/>
    <mergeCell ref="L262:M262"/>
    <mergeCell ref="N262:O262"/>
    <mergeCell ref="P262:Q262"/>
    <mergeCell ref="R262:S262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F269:G269"/>
    <mergeCell ref="H269:I269"/>
    <mergeCell ref="J269:K269"/>
    <mergeCell ref="L269:M269"/>
    <mergeCell ref="N269:O269"/>
    <mergeCell ref="P269:Q269"/>
    <mergeCell ref="R269:S269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F271:G271"/>
    <mergeCell ref="H271:I271"/>
    <mergeCell ref="J271:K271"/>
    <mergeCell ref="L271:M271"/>
    <mergeCell ref="N271:O271"/>
    <mergeCell ref="P271:Q271"/>
    <mergeCell ref="R271:S271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F278:G278"/>
    <mergeCell ref="H278:I278"/>
    <mergeCell ref="J278:K278"/>
    <mergeCell ref="L278:M278"/>
    <mergeCell ref="N278:O278"/>
    <mergeCell ref="P278:Q278"/>
    <mergeCell ref="R278:S278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F280:G280"/>
    <mergeCell ref="H280:I280"/>
    <mergeCell ref="J280:K280"/>
    <mergeCell ref="L280:M280"/>
    <mergeCell ref="N280:O280"/>
    <mergeCell ref="P280:Q280"/>
    <mergeCell ref="R280:S280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F287:G287"/>
    <mergeCell ref="H287:I287"/>
    <mergeCell ref="J287:K287"/>
    <mergeCell ref="L287:M287"/>
    <mergeCell ref="N287:O287"/>
    <mergeCell ref="P287:Q287"/>
    <mergeCell ref="R287:S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F289:G289"/>
    <mergeCell ref="H289:I289"/>
    <mergeCell ref="J289:K289"/>
    <mergeCell ref="L289:M289"/>
    <mergeCell ref="N289:O289"/>
    <mergeCell ref="P289:Q289"/>
    <mergeCell ref="R289:S289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F296:G296"/>
    <mergeCell ref="H296:I296"/>
    <mergeCell ref="J296:K296"/>
    <mergeCell ref="L296:M296"/>
    <mergeCell ref="N296:O296"/>
    <mergeCell ref="P296:Q296"/>
    <mergeCell ref="R296:S296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F298:G298"/>
    <mergeCell ref="H298:I298"/>
    <mergeCell ref="J298:K298"/>
    <mergeCell ref="L298:M298"/>
    <mergeCell ref="N298:O298"/>
    <mergeCell ref="P298:Q298"/>
    <mergeCell ref="R298:S298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F305:G305"/>
    <mergeCell ref="H305:I305"/>
    <mergeCell ref="J305:K305"/>
    <mergeCell ref="L305:M305"/>
    <mergeCell ref="N305:O305"/>
    <mergeCell ref="P305:Q305"/>
    <mergeCell ref="R305:S305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F307:G307"/>
    <mergeCell ref="H307:I307"/>
    <mergeCell ref="J307:K307"/>
    <mergeCell ref="L307:M307"/>
    <mergeCell ref="N307:O307"/>
    <mergeCell ref="P307:Q307"/>
    <mergeCell ref="R307:S307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</mergeCells>
  <printOptions/>
  <pageMargins bottom="0.75" footer="0.0" header="0.0" left="0.7" right="0.7" top="0.75"/>
  <pageSetup orientation="landscape"/>
  <drawing r:id="rId1"/>
</worksheet>
</file>