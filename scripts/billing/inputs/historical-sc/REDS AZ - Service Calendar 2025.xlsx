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ed Numbers 2025 - 10.15." sheetId="1" r:id="rId5"/>
    <sheet state="visible" name="Actuals - Billing - 2025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3">
      <text>
        <t xml:space="preserve">Numbers May go up from projects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3">
      <text>
        <t xml:space="preserve">Numbers May go up from projects
</t>
      </text>
    </comment>
    <comment authorId="0" ref="Y2">
      <text>
        <t xml:space="preserve">May not happen again</t>
      </text>
    </comment>
    <comment authorId="0" ref="B59">
      <text>
        <t xml:space="preserve">12% labor avg start
</t>
      </text>
    </comment>
  </commentList>
</comments>
</file>

<file path=xl/sharedStrings.xml><?xml version="1.0" encoding="utf-8"?>
<sst xmlns="http://schemas.openxmlformats.org/spreadsheetml/2006/main" count="2252" uniqueCount="68">
  <si>
    <t>Cincinnati Reds @ Goodyear, AZ</t>
  </si>
  <si>
    <t xml:space="preserve">Major League </t>
  </si>
  <si>
    <t>Minor League</t>
  </si>
  <si>
    <t>Rehab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</si>
  <si>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</si>
  <si>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</si>
  <si>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</si>
  <si>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</si>
  <si>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</si>
  <si>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</si>
  <si>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</si>
  <si>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</si>
  <si>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</si>
  <si>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Pre-Game Snack</t>
  </si>
  <si>
    <t>Coffee Service (tax-free)</t>
  </si>
  <si>
    <t>Fountain Bev (tax-free)</t>
  </si>
  <si>
    <t>Continental Plus</t>
  </si>
  <si>
    <t>Blank</t>
  </si>
  <si>
    <t>Total Revenue</t>
  </si>
  <si>
    <t>Total Meals</t>
  </si>
  <si>
    <t>Total Bev Services</t>
  </si>
  <si>
    <t>Total Charged Items</t>
  </si>
  <si>
    <t>Average $/Item</t>
  </si>
  <si>
    <t>Mon</t>
  </si>
  <si>
    <t>Week 1</t>
  </si>
  <si>
    <t>OFF</t>
  </si>
  <si>
    <t>Tue</t>
  </si>
  <si>
    <t>Wed</t>
  </si>
  <si>
    <t>Thurs</t>
  </si>
  <si>
    <t>Fri</t>
  </si>
  <si>
    <t>Sat</t>
  </si>
  <si>
    <t>Sun</t>
  </si>
  <si>
    <t>Week 2</t>
  </si>
  <si>
    <t>Week 3</t>
  </si>
  <si>
    <t>Early Camp</t>
  </si>
  <si>
    <t>Battery Camp</t>
  </si>
  <si>
    <t>Week 4</t>
  </si>
  <si>
    <t>MLB ST</t>
  </si>
  <si>
    <t>Extended</t>
  </si>
  <si>
    <t>ACL</t>
  </si>
  <si>
    <t>Instructs/Camps</t>
  </si>
  <si>
    <t>MLB</t>
  </si>
  <si>
    <t>Plus tax</t>
  </si>
  <si>
    <t>Meals, buffet</t>
  </si>
  <si>
    <t>Sum</t>
  </si>
  <si>
    <t>MiLB</t>
  </si>
  <si>
    <t>Snacks</t>
  </si>
  <si>
    <t>Coffee</t>
  </si>
  <si>
    <t>Fountain</t>
  </si>
  <si>
    <t>Continental +</t>
  </si>
  <si>
    <t>Grand Total</t>
  </si>
  <si>
    <t>Meals (to which the service fee is applied)</t>
  </si>
  <si>
    <t>Total est. sum of meals</t>
  </si>
  <si>
    <t>Service fee (30%) allocation based on est. meals served</t>
  </si>
  <si>
    <t>Coffee and Fountain investment</t>
  </si>
  <si>
    <t>Total Estimated yearly investment in 2024 plus tax</t>
  </si>
  <si>
    <t>Post Service-fee Per Head Pricing</t>
  </si>
  <si>
    <t>Breakfast/lunch/dinner</t>
  </si>
  <si>
    <t>Snack</t>
  </si>
  <si>
    <t>Beverage (per week)</t>
  </si>
  <si>
    <t>No tax</t>
  </si>
  <si>
    <t>Reds Meal - P10</t>
  </si>
  <si>
    <t>Projected EOY</t>
  </si>
  <si>
    <t>2024 Proj Total</t>
  </si>
  <si>
    <t>2024 Proj Rev</t>
  </si>
  <si>
    <t>2025 Proj Total</t>
  </si>
  <si>
    <t>2025 Proj Rev</t>
  </si>
  <si>
    <t>Variance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</si>
</sst>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13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6.0"/>
      <color theme="0"/>
      <name val="Arial"/>
    </font>
    <font>
      <b/>
      <sz val="16.0"/>
      <color rgb="FFFFFFFF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i/>
      <sz val="6.0"/>
      <color theme="1"/>
      <name val="Arial"/>
    </font>
    <font>
      <b/>
      <color theme="1"/>
      <name val="Arial"/>
    </font>
    <font>
      <b/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0" xfId="0" applyAlignment="1" applyBorder="1" applyFont="1">
      <alignment textRotation="90"/>
    </xf>
    <xf borderId="7" fillId="0" fontId="5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textRotation="90"/>
    </xf>
    <xf borderId="7" fillId="0" fontId="1" numFmtId="164" xfId="0" applyAlignment="1" applyBorder="1" applyFont="1" applyNumberFormat="1">
      <alignment readingOrder="0" textRotation="90"/>
    </xf>
    <xf borderId="7" fillId="0" fontId="5" numFmtId="164" xfId="0" applyAlignment="1" applyBorder="1" applyFont="1" applyNumberFormat="1">
      <alignment textRotation="90"/>
    </xf>
    <xf borderId="7" fillId="5" fontId="3" numFmtId="0" xfId="0" applyAlignment="1" applyBorder="1" applyFill="1" applyFont="1">
      <alignment shrinkToFit="0" textRotation="90" wrapText="1"/>
    </xf>
    <xf borderId="7" fillId="5" fontId="4" numFmtId="0" xfId="0" applyAlignment="1" applyBorder="1" applyFill="1" applyFont="1">
      <alignment readingOrder="0"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/>
    </xf>
    <xf borderId="10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1" fillId="3" fontId="4" numFmtId="0" xfId="0" applyAlignment="1" applyBorder="1" applyFill="1" applyFont="1">
      <alignment horizontal="center" vertical="bottom"/>
    </xf>
    <xf borderId="9" fillId="0" fontId="2" numFmtId="0" xfId="0" applyBorder="1" applyFont="1"/>
    <xf borderId="1" fillId="4" fontId="4" numFmtId="0" xfId="0" applyAlignment="1" applyBorder="1" applyFill="1" applyFont="1">
      <alignment horizontal="center" vertical="bottom"/>
    </xf>
    <xf borderId="0" fillId="6" fontId="6" numFmtId="0" xfId="0" applyFill="1" applyFont="1"/>
    <xf borderId="1" fillId="2" fontId="4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textRotation="90" vertical="bottom"/>
    </xf>
    <xf borderId="7" fillId="0" fontId="5" numFmtId="164" xfId="0" applyAlignment="1" applyBorder="1" applyFont="1" applyNumberFormat="1">
      <alignment textRotation="90" vertical="bottom"/>
    </xf>
    <xf borderId="7" fillId="0" fontId="1" numFmtId="164" xfId="0" applyAlignment="1" applyBorder="1" applyFont="1" applyNumberFormat="1">
      <alignment textRotation="90" vertical="bottom"/>
    </xf>
    <xf borderId="8" fillId="0" fontId="1" numFmtId="164" xfId="0" applyAlignment="1" applyBorder="1" applyFont="1" applyNumberFormat="1">
      <alignment textRotation="90" vertical="bottom"/>
    </xf>
    <xf borderId="11" fillId="6" fontId="6" numFmtId="165" xfId="0" applyBorder="1" applyFill="1" applyFont="1" applyNumberFormat="1"/>
    <xf borderId="8" fillId="0" fontId="5" numFmtId="164" xfId="0" applyAlignment="1" applyBorder="1" applyFont="1" applyNumberFormat="1">
      <alignment textRotation="90" vertical="bottom"/>
    </xf>
    <xf borderId="7" fillId="5" fontId="4" numFmtId="0" xfId="0" applyAlignment="1" applyBorder="1" applyFill="1" applyFont="1">
      <alignment shrinkToFit="0" textRotation="90" vertical="bottom" wrapText="1"/>
    </xf>
    <xf borderId="8" fillId="0" fontId="7" numFmtId="0" xfId="0" applyAlignment="1" applyBorder="1" applyFont="1">
      <alignment horizontal="right" vertical="bottom"/>
    </xf>
    <xf borderId="8" fillId="0" fontId="7" numFmtId="14" xfId="0" applyAlignment="1" applyBorder="1" applyFont="1" applyNumberFormat="1">
      <alignment horizontal="right" vertical="bottom"/>
    </xf>
    <xf borderId="8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12" fillId="0" fontId="6" numFmtId="165" xfId="0" applyBorder="1" applyFont="1" applyNumberFormat="1"/>
    <xf borderId="10" fillId="7" fontId="7" numFmtId="0" xfId="0" applyAlignment="1" applyBorder="1" applyFill="1" applyFont="1">
      <alignment horizontal="right" vertical="bottom"/>
    </xf>
    <xf borderId="13" fillId="0" fontId="6" numFmtId="0" xfId="0" applyAlignment="1" applyBorder="1" applyFont="1">
      <alignment horizontal="right" readingOrder="0"/>
    </xf>
    <xf borderId="0" fillId="7" fontId="7" numFmtId="0" xfId="0" applyAlignment="1" applyFill="1" applyFont="1">
      <alignment horizontal="right" vertical="bottom"/>
    </xf>
    <xf borderId="10" fillId="8" fontId="7" numFmtId="0" xfId="0" applyAlignment="1" applyBorder="1" applyFill="1" applyFont="1">
      <alignment horizontal="right" vertical="bottom"/>
    </xf>
    <xf borderId="13" fillId="0" fontId="6" numFmtId="14" xfId="0" applyBorder="1" applyFont="1" applyNumberFormat="1"/>
    <xf borderId="0" fillId="8" fontId="7" numFmtId="0" xfId="0" applyAlignment="1" applyFill="1" applyFont="1">
      <alignment horizontal="right" vertical="bottom"/>
    </xf>
    <xf borderId="13" fillId="0" fontId="6" numFmtId="0" xfId="0" applyBorder="1" applyFont="1"/>
    <xf borderId="13" fillId="0" fontId="6" numFmtId="0" xfId="0" applyAlignment="1" applyBorder="1" applyFont="1">
      <alignment readingOrder="0"/>
    </xf>
    <xf borderId="0" fillId="8" fontId="7" numFmtId="0" xfId="0" applyAlignment="1" applyFill="1" applyFont="1">
      <alignment horizontal="right" readingOrder="0" vertical="bottom"/>
    </xf>
    <xf borderId="11" fillId="8" fontId="7" numFmtId="0" xfId="0" applyAlignment="1" applyBorder="1" applyFill="1" applyFont="1">
      <alignment horizontal="right" vertical="bottom"/>
    </xf>
    <xf borderId="14" fillId="0" fontId="2" numFmtId="0" xfId="0" applyBorder="1" applyFont="1"/>
    <xf borderId="14" fillId="8" fontId="7" numFmtId="0" xfId="0" applyAlignment="1" applyBorder="1" applyFill="1" applyFont="1">
      <alignment horizontal="right" vertical="bottom"/>
    </xf>
    <xf borderId="12" fillId="0" fontId="2" numFmtId="0" xfId="0" applyBorder="1" applyFont="1"/>
    <xf borderId="10" fillId="6" fontId="6" numFmtId="165" xfId="0" applyBorder="1" applyFill="1" applyFont="1" applyNumberFormat="1"/>
    <xf borderId="9" fillId="0" fontId="6" numFmtId="165" xfId="0" applyBorder="1" applyFont="1" applyNumberFormat="1"/>
    <xf borderId="14" fillId="0" fontId="7" numFmtId="165" xfId="0" applyAlignment="1" applyBorder="1" applyFont="1" applyNumberFormat="1">
      <alignment horizontal="right" vertical="bottom"/>
    </xf>
    <xf borderId="12" fillId="0" fontId="7" numFmtId="165" xfId="0" applyAlignment="1" applyBorder="1" applyFont="1" applyNumberFormat="1">
      <alignment vertical="bottom"/>
    </xf>
    <xf borderId="13" fillId="0" fontId="7" numFmtId="0" xfId="0" applyAlignment="1" applyBorder="1" applyFont="1">
      <alignment horizontal="right" vertical="bottom"/>
    </xf>
    <xf borderId="13" fillId="0" fontId="7" numFmtId="14" xfId="0" applyAlignment="1" applyBorder="1" applyFont="1" applyNumberFormat="1">
      <alignment horizontal="right" vertical="bottom"/>
    </xf>
    <xf borderId="13" fillId="0" fontId="7" numFmtId="0" xfId="0" applyAlignment="1" applyBorder="1" applyFont="1">
      <alignment vertical="bottom"/>
    </xf>
    <xf borderId="0" fillId="0" fontId="7" numFmtId="165" xfId="0" applyAlignment="1" applyFont="1" applyNumberFormat="1">
      <alignment horizontal="right" vertical="bottom"/>
    </xf>
    <xf borderId="9" fillId="0" fontId="7" numFmtId="165" xfId="0" applyAlignment="1" applyBorder="1" applyFont="1" applyNumberFormat="1">
      <alignment vertical="bottom"/>
    </xf>
    <xf borderId="15" fillId="0" fontId="6" numFmtId="0" xfId="0" applyAlignment="1" applyBorder="1" applyFont="1">
      <alignment horizontal="right" readingOrder="0"/>
    </xf>
    <xf borderId="15" fillId="0" fontId="6" numFmtId="14" xfId="0" applyBorder="1" applyFont="1" applyNumberFormat="1"/>
    <xf borderId="15" fillId="0" fontId="6" numFmtId="0" xfId="0" applyBorder="1" applyFont="1"/>
    <xf borderId="15" fillId="0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17" fillId="6" fontId="6" numFmtId="0" xfId="0" applyAlignment="1" applyBorder="1" applyFill="1" applyFont="1">
      <alignment readingOrder="0"/>
    </xf>
    <xf borderId="18" fillId="0" fontId="2" numFmtId="0" xfId="0" applyBorder="1" applyFont="1"/>
    <xf borderId="18" fillId="6" fontId="6" numFmtId="0" xfId="0" applyAlignment="1" applyBorder="1" applyFill="1" applyFont="1">
      <alignment readingOrder="0"/>
    </xf>
    <xf borderId="16" fillId="0" fontId="2" numFmtId="0" xfId="0" applyBorder="1" applyFont="1"/>
    <xf borderId="18" fillId="6" fontId="6" numFmtId="0" xfId="0" applyBorder="1" applyFill="1" applyFont="1"/>
    <xf borderId="17" fillId="6" fontId="6" numFmtId="165" xfId="0" applyBorder="1" applyFill="1" applyFont="1" applyNumberFormat="1"/>
    <xf borderId="16" fillId="0" fontId="6" numFmtId="165" xfId="0" applyBorder="1" applyFont="1" applyNumberFormat="1"/>
    <xf borderId="8" fillId="0" fontId="6" numFmtId="14" xfId="0" applyBorder="1" applyFont="1" applyNumberFormat="1"/>
    <xf borderId="12" fillId="0" fontId="6" numFmtId="0" xfId="0" applyAlignment="1" applyBorder="1" applyFont="1">
      <alignment readingOrder="0"/>
    </xf>
    <xf borderId="15" fillId="0" fontId="7" numFmtId="0" xfId="0" applyAlignment="1" applyBorder="1" applyFont="1">
      <alignment horizontal="right" vertical="bottom"/>
    </xf>
    <xf borderId="15" fillId="0" fontId="7" numFmtId="14" xfId="0" applyAlignment="1" applyBorder="1" applyFont="1" applyNumberFormat="1">
      <alignment horizontal="right" vertical="bottom"/>
    </xf>
    <xf borderId="15" fillId="0" fontId="7" numFmtId="0" xfId="0" applyAlignment="1" applyBorder="1" applyFont="1">
      <alignment vertical="bottom"/>
    </xf>
    <xf borderId="16" fillId="0" fontId="7" numFmtId="0" xfId="0" applyAlignment="1" applyBorder="1" applyFont="1">
      <alignment readingOrder="0" vertical="bottom"/>
    </xf>
    <xf borderId="17" fillId="7" fontId="7" numFmtId="0" xfId="0" applyAlignment="1" applyBorder="1" applyFill="1" applyFont="1">
      <alignment horizontal="right" vertical="bottom"/>
    </xf>
    <xf borderId="18" fillId="7" fontId="7" numFmtId="0" xfId="0" applyAlignment="1" applyBorder="1" applyFill="1" applyFont="1">
      <alignment horizontal="right" vertical="bottom"/>
    </xf>
    <xf borderId="17" fillId="8" fontId="7" numFmtId="0" xfId="0" applyAlignment="1" applyBorder="1" applyFill="1" applyFont="1">
      <alignment horizontal="right" vertical="bottom"/>
    </xf>
    <xf borderId="18" fillId="8" fontId="7" numFmtId="0" xfId="0" applyAlignment="1" applyBorder="1" applyFill="1" applyFont="1">
      <alignment horizontal="right" vertical="bottom"/>
    </xf>
    <xf borderId="18" fillId="0" fontId="7" numFmtId="165" xfId="0" applyAlignment="1" applyBorder="1" applyFont="1" applyNumberFormat="1">
      <alignment horizontal="right" vertical="bottom"/>
    </xf>
    <xf borderId="16" fillId="0" fontId="7" numFmtId="165" xfId="0" applyAlignment="1" applyBorder="1" applyFont="1" applyNumberFormat="1">
      <alignment horizontal="right" vertical="bottom"/>
    </xf>
    <xf borderId="12" fillId="0" fontId="7" numFmtId="0" xfId="0" applyAlignment="1" applyBorder="1" applyFont="1">
      <alignment readingOrder="0" vertical="bottom"/>
    </xf>
    <xf borderId="11" fillId="0" fontId="7" numFmtId="165" xfId="0" applyAlignment="1" applyBorder="1" applyFont="1" applyNumberFormat="1">
      <alignment horizontal="right" vertical="bottom"/>
    </xf>
    <xf borderId="12" fillId="0" fontId="7" numFmtId="165" xfId="0" applyAlignment="1" applyBorder="1" applyFont="1" applyNumberFormat="1">
      <alignment horizontal="right" vertical="bottom"/>
    </xf>
    <xf borderId="10" fillId="0" fontId="7" numFmtId="165" xfId="0" applyAlignment="1" applyBorder="1" applyFont="1" applyNumberFormat="1">
      <alignment horizontal="right" vertical="bottom"/>
    </xf>
    <xf borderId="9" fillId="0" fontId="7" numFmtId="165" xfId="0" applyAlignment="1" applyBorder="1" applyFont="1" applyNumberFormat="1">
      <alignment horizontal="right" vertical="bottom"/>
    </xf>
    <xf borderId="17" fillId="0" fontId="7" numFmtId="165" xfId="0" applyAlignment="1" applyBorder="1" applyFont="1" applyNumberFormat="1">
      <alignment horizontal="right" vertical="bottom"/>
    </xf>
    <xf borderId="12" fillId="0" fontId="7" numFmtId="0" xfId="0" applyAlignment="1" applyBorder="1" applyFont="1">
      <alignment vertical="bottom"/>
    </xf>
    <xf borderId="0" fillId="0" fontId="7" numFmtId="0" xfId="0" applyAlignment="1" applyFont="1">
      <alignment horizontal="right" vertical="bottom"/>
    </xf>
    <xf borderId="10" fillId="6" fontId="8" numFmtId="0" xfId="0" applyAlignment="1" applyBorder="1" applyFill="1" applyFont="1">
      <alignment readingOrder="0"/>
    </xf>
    <xf borderId="0" fillId="6" fontId="8" numFmtId="0" xfId="0" applyAlignment="1" applyFill="1" applyFont="1">
      <alignment readingOrder="0"/>
    </xf>
    <xf borderId="0" fillId="6" fontId="8" numFmtId="0" xfId="0" applyFill="1" applyFont="1"/>
    <xf borderId="11" fillId="6" fontId="8" numFmtId="165" xfId="0" applyBorder="1" applyFill="1" applyFont="1" applyNumberFormat="1"/>
    <xf borderId="10" fillId="6" fontId="8" numFmtId="165" xfId="0" applyBorder="1" applyFill="1" applyFont="1" applyNumberFormat="1"/>
    <xf borderId="16" fillId="0" fontId="7" numFmtId="0" xfId="0" applyAlignment="1" applyBorder="1" applyFont="1">
      <alignment vertical="bottom"/>
    </xf>
    <xf borderId="18" fillId="0" fontId="7" numFmtId="0" xfId="0" applyAlignment="1" applyBorder="1" applyFont="1">
      <alignment horizontal="right" vertical="bottom"/>
    </xf>
    <xf borderId="17" fillId="6" fontId="8" numFmtId="0" xfId="0" applyAlignment="1" applyBorder="1" applyFill="1" applyFont="1">
      <alignment readingOrder="0"/>
    </xf>
    <xf borderId="18" fillId="6" fontId="8" numFmtId="0" xfId="0" applyAlignment="1" applyBorder="1" applyFill="1" applyFont="1">
      <alignment readingOrder="0"/>
    </xf>
    <xf borderId="10" fillId="0" fontId="7" numFmtId="0" xfId="0" applyAlignment="1" applyBorder="1" applyFont="1">
      <alignment horizontal="right" vertical="bottom"/>
    </xf>
    <xf borderId="18" fillId="6" fontId="8" numFmtId="0" xfId="0" applyBorder="1" applyFill="1" applyFont="1"/>
    <xf borderId="17" fillId="6" fontId="8" numFmtId="165" xfId="0" applyBorder="1" applyFill="1" applyFont="1" applyNumberFormat="1"/>
    <xf borderId="17" fillId="0" fontId="7" numFmtId="0" xfId="0" applyAlignment="1" applyBorder="1" applyFont="1">
      <alignment horizontal="right" vertical="bottom"/>
    </xf>
    <xf borderId="10" fillId="9" fontId="6" numFmtId="0" xfId="0" applyAlignment="1" applyBorder="1" applyFill="1" applyFont="1">
      <alignment readingOrder="0"/>
    </xf>
    <xf borderId="0" fillId="9" fontId="6" numFmtId="0" xfId="0" applyAlignment="1" applyFill="1" applyFont="1">
      <alignment readingOrder="0"/>
    </xf>
    <xf borderId="0" fillId="9" fontId="6" numFmtId="0" xfId="0" applyFill="1" applyFont="1"/>
    <xf borderId="11" fillId="9" fontId="6" numFmtId="165" xfId="0" applyBorder="1" applyFill="1" applyFont="1" applyNumberFormat="1"/>
    <xf borderId="10" fillId="9" fontId="6" numFmtId="165" xfId="0" applyBorder="1" applyFill="1" applyFont="1" applyNumberFormat="1"/>
    <xf borderId="17" fillId="9" fontId="6" numFmtId="0" xfId="0" applyAlignment="1" applyBorder="1" applyFill="1" applyFont="1">
      <alignment readingOrder="0"/>
    </xf>
    <xf borderId="18" fillId="9" fontId="6" numFmtId="0" xfId="0" applyAlignment="1" applyBorder="1" applyFill="1" applyFont="1">
      <alignment readingOrder="0"/>
    </xf>
    <xf borderId="18" fillId="9" fontId="6" numFmtId="0" xfId="0" applyBorder="1" applyFill="1" applyFont="1"/>
    <xf borderId="17" fillId="9" fontId="6" numFmtId="165" xfId="0" applyBorder="1" applyFill="1" applyFont="1" applyNumberFormat="1"/>
    <xf borderId="18" fillId="0" fontId="7" numFmtId="0" xfId="0" applyAlignment="1" applyBorder="1" applyFont="1">
      <alignment readingOrder="0" vertical="bottom"/>
    </xf>
    <xf borderId="10" fillId="0" fontId="9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10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6" numFmtId="0" xfId="0" applyFont="1"/>
    <xf borderId="11" fillId="0" fontId="6" numFmtId="165" xfId="0" applyBorder="1" applyFont="1" applyNumberFormat="1"/>
    <xf borderId="10" fillId="0" fontId="6" numFmtId="165" xfId="0" applyBorder="1" applyFont="1" applyNumberFormat="1"/>
    <xf borderId="18" fillId="0" fontId="6" numFmtId="0" xfId="0" applyBorder="1" applyFont="1"/>
    <xf borderId="17" fillId="0" fontId="9" numFmtId="0" xfId="0" applyAlignment="1" applyBorder="1" applyFont="1">
      <alignment horizontal="right" readingOrder="0" shrinkToFit="0" vertical="bottom" wrapText="0"/>
    </xf>
    <xf borderId="18" fillId="0" fontId="9" numFmtId="0" xfId="0" applyAlignment="1" applyBorder="1" applyFont="1">
      <alignment horizontal="right" readingOrder="0" shrinkToFit="0" vertical="bottom" wrapText="0"/>
    </xf>
    <xf borderId="17" fillId="0" fontId="6" numFmtId="165" xfId="0" applyBorder="1" applyFont="1" applyNumberFormat="1"/>
    <xf borderId="17" fillId="0" fontId="7" numFmtId="0" xfId="0" applyAlignment="1" applyBorder="1" applyFont="1">
      <alignment horizontal="right" readingOrder="0" vertical="bottom"/>
    </xf>
    <xf borderId="18" fillId="0" fontId="7" numFmtId="0" xfId="0" applyAlignment="1" applyBorder="1" applyFont="1">
      <alignment horizontal="right" readingOrder="0" vertical="bottom"/>
    </xf>
    <xf borderId="12" fillId="0" fontId="6" numFmtId="0" xfId="0" applyAlignment="1" applyBorder="1" applyFont="1">
      <alignment readingOrder="0"/>
    </xf>
    <xf borderId="10" fillId="10" fontId="6" numFmtId="0" xfId="0" applyAlignment="1" applyBorder="1" applyFill="1" applyFont="1">
      <alignment readingOrder="0"/>
    </xf>
    <xf borderId="0" fillId="10" fontId="6" numFmtId="0" xfId="0" applyAlignment="1" applyFill="1" applyFont="1">
      <alignment readingOrder="0"/>
    </xf>
    <xf borderId="0" fillId="10" fontId="6" numFmtId="0" xfId="0" applyFill="1" applyFont="1"/>
    <xf borderId="11" fillId="10" fontId="6" numFmtId="165" xfId="0" applyBorder="1" applyFill="1" applyFont="1" applyNumberFormat="1"/>
    <xf borderId="9" fillId="0" fontId="6" numFmtId="0" xfId="0" applyAlignment="1" applyBorder="1" applyFont="1">
      <alignment readingOrder="0"/>
    </xf>
    <xf borderId="10" fillId="10" fontId="6" numFmtId="165" xfId="0" applyBorder="1" applyFill="1" applyFont="1" applyNumberFormat="1"/>
    <xf borderId="16" fillId="0" fontId="6" numFmtId="0" xfId="0" applyAlignment="1" applyBorder="1" applyFont="1">
      <alignment readingOrder="0"/>
    </xf>
    <xf borderId="17" fillId="10" fontId="6" numFmtId="0" xfId="0" applyAlignment="1" applyBorder="1" applyFill="1" applyFont="1">
      <alignment readingOrder="0"/>
    </xf>
    <xf borderId="18" fillId="10" fontId="6" numFmtId="0" xfId="0" applyAlignment="1" applyBorder="1" applyFill="1" applyFont="1">
      <alignment readingOrder="0"/>
    </xf>
    <xf borderId="18" fillId="10" fontId="6" numFmtId="0" xfId="0" applyBorder="1" applyFill="1" applyFont="1"/>
    <xf borderId="17" fillId="10" fontId="6" numFmtId="165" xfId="0" applyBorder="1" applyFill="1" applyFont="1" applyNumberFormat="1"/>
    <xf borderId="8" fillId="6" fontId="6" numFmtId="0" xfId="0" applyBorder="1" applyFill="1" applyFont="1"/>
    <xf borderId="13" fillId="6" fontId="6" numFmtId="0" xfId="0" applyBorder="1" applyFill="1" applyFont="1"/>
    <xf borderId="15" fillId="6" fontId="6" numFmtId="0" xfId="0" applyBorder="1" applyFill="1" applyFont="1"/>
    <xf borderId="16" fillId="0" fontId="7" numFmtId="165" xfId="0" applyAlignment="1" applyBorder="1" applyFont="1" applyNumberFormat="1">
      <alignment vertical="bottom"/>
    </xf>
    <xf borderId="10" fillId="8" fontId="6" numFmtId="0" xfId="0" applyAlignment="1" applyBorder="1" applyFill="1" applyFont="1">
      <alignment readingOrder="0"/>
    </xf>
    <xf borderId="0" fillId="8" fontId="6" numFmtId="0" xfId="0" applyAlignment="1" applyFill="1" applyFont="1">
      <alignment readingOrder="0"/>
    </xf>
    <xf borderId="17" fillId="8" fontId="6" numFmtId="0" xfId="0" applyAlignment="1" applyBorder="1" applyFill="1" applyFont="1">
      <alignment readingOrder="0"/>
    </xf>
    <xf borderId="18" fillId="8" fontId="6" numFmtId="0" xfId="0" applyAlignment="1" applyBorder="1" applyFill="1" applyFont="1">
      <alignment readingOrder="0"/>
    </xf>
    <xf borderId="0" fillId="0" fontId="5" numFmtId="166" xfId="0" applyAlignment="1" applyFont="1" applyNumberFormat="1">
      <alignment horizontal="right"/>
    </xf>
    <xf borderId="0" fillId="0" fontId="5" numFmtId="166" xfId="0" applyFont="1" applyNumberFormat="1"/>
    <xf borderId="0" fillId="0" fontId="7" numFmtId="166" xfId="0" applyFont="1" applyNumberFormat="1"/>
    <xf borderId="0" fillId="0" fontId="10" numFmtId="166" xfId="0" applyFont="1" applyNumberFormat="1"/>
    <xf borderId="0" fillId="0" fontId="5" numFmtId="3" xfId="0" applyFont="1" applyNumberForma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7" numFmtId="0" xfId="0" applyFont="1"/>
    <xf borderId="0" fillId="8" fontId="11" numFmtId="0" xfId="0" applyAlignment="1" applyFill="1" applyFont="1">
      <alignment readingOrder="0"/>
    </xf>
    <xf borderId="0" fillId="8" fontId="11" numFmtId="10" xfId="0" applyAlignment="1" applyFill="1" applyFont="1" applyNumberFormat="1">
      <alignment readingOrder="0"/>
    </xf>
    <xf borderId="0" fillId="0" fontId="7" numFmtId="0" xfId="0" applyAlignment="1" applyFont="1">
      <alignment horizontal="right"/>
    </xf>
    <xf borderId="11" fillId="7" fontId="7" numFmtId="0" xfId="0" applyAlignment="1" applyBorder="1" applyFill="1" applyFont="1">
      <alignment horizontal="right" vertical="bottom"/>
    </xf>
    <xf borderId="14" fillId="7" fontId="7" numFmtId="0" xfId="0" applyAlignment="1" applyBorder="1" applyFill="1" applyFont="1">
      <alignment horizontal="right" vertical="bottom"/>
    </xf>
    <xf borderId="0" fillId="0" fontId="7" numFmtId="166" xfId="0" applyAlignment="1" applyFont="1" applyNumberFormat="1">
      <alignment vertical="bottom"/>
    </xf>
    <xf borderId="0" fillId="0" fontId="10" numFmtId="166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7" numFmtId="1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8" fontId="7" numFmtId="0" xfId="0" applyAlignment="1" applyFill="1" applyFont="1">
      <alignment vertical="bottom"/>
    </xf>
    <xf borderId="0" fillId="8" fontId="7" numFmtId="10" xfId="0" applyAlignment="1" applyFill="1" applyFont="1" applyNumberFormat="1">
      <alignment vertical="bottom"/>
    </xf>
    <xf borderId="0" fillId="0" fontId="7" numFmtId="3" xfId="0" applyAlignment="1" applyFont="1" applyNumberFormat="1">
      <alignment vertical="bottom"/>
    </xf>
    <xf borderId="11" fillId="11" fontId="1" numFmtId="166" xfId="0" applyAlignment="1" applyBorder="1" applyFill="1" applyFont="1" applyNumberFormat="1">
      <alignment vertical="bottom"/>
    </xf>
    <xf borderId="12" fillId="11" fontId="11" numFmtId="166" xfId="0" applyAlignment="1" applyBorder="1" applyFill="1" applyFont="1" applyNumberFormat="1">
      <alignment vertical="bottom"/>
    </xf>
    <xf borderId="0" fillId="0" fontId="7" numFmtId="3" xfId="0" applyAlignment="1" applyFont="1" applyNumberFormat="1">
      <alignment readingOrder="0" vertical="bottom"/>
    </xf>
    <xf borderId="10" fillId="11" fontId="7" numFmtId="0" xfId="0" applyAlignment="1" applyBorder="1" applyFill="1" applyFont="1">
      <alignment horizontal="right" vertical="bottom"/>
    </xf>
    <xf borderId="9" fillId="11" fontId="7" numFmtId="0" xfId="0" applyAlignment="1" applyBorder="1" applyFill="1" applyFont="1">
      <alignment vertical="bottom"/>
    </xf>
    <xf borderId="10" fillId="11" fontId="7" numFmtId="166" xfId="0" applyAlignment="1" applyBorder="1" applyFill="1" applyFont="1" applyNumberFormat="1">
      <alignment horizontal="right" vertical="bottom"/>
    </xf>
    <xf borderId="9" fillId="11" fontId="7" numFmtId="166" xfId="0" applyAlignment="1" applyBorder="1" applyFill="1" applyFont="1" applyNumberFormat="1">
      <alignment vertical="bottom"/>
    </xf>
    <xf borderId="10" fillId="11" fontId="7" numFmtId="0" xfId="0" applyAlignment="1" applyBorder="1" applyFill="1" applyFont="1">
      <alignment vertical="bottom"/>
    </xf>
    <xf borderId="10" fillId="11" fontId="12" numFmtId="0" xfId="0" applyAlignment="1" applyBorder="1" applyFill="1" applyFont="1">
      <alignment vertical="bottom"/>
    </xf>
    <xf borderId="9" fillId="11" fontId="11" numFmtId="166" xfId="0" applyAlignment="1" applyBorder="1" applyFill="1" applyFont="1" applyNumberFormat="1">
      <alignment vertical="bottom"/>
    </xf>
    <xf borderId="0" fillId="8" fontId="7" numFmtId="0" xfId="0" applyAlignment="1" applyFill="1" applyFont="1">
      <alignment readingOrder="0" vertical="bottom"/>
    </xf>
    <xf borderId="0" fillId="0" fontId="7" numFmtId="0" xfId="0" applyAlignment="1" applyFont="1">
      <alignment readingOrder="0" vertical="bottom"/>
    </xf>
    <xf borderId="17" fillId="11" fontId="7" numFmtId="166" xfId="0" applyAlignment="1" applyBorder="1" applyFill="1" applyFont="1" applyNumberFormat="1">
      <alignment horizontal="right" vertical="bottom"/>
    </xf>
    <xf borderId="16" fillId="11" fontId="7" numFmtId="0" xfId="0" applyAlignment="1" applyBorder="1" applyFill="1" applyFont="1">
      <alignment vertical="bottom"/>
    </xf>
    <xf borderId="0" fillId="0" fontId="11" numFmtId="0" xfId="0" applyAlignment="1" applyFont="1">
      <alignment vertical="bottom"/>
    </xf>
    <xf borderId="0" fillId="0" fontId="7" numFmtId="3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0" fillId="12" fontId="7" numFmtId="0" xfId="0" applyAlignment="1" applyFill="1" applyFont="1">
      <alignment horizontal="left" readingOrder="0" vertical="bottom"/>
    </xf>
    <xf borderId="0" fillId="12" fontId="7" numFmtId="0" xfId="0" applyAlignment="1" applyFill="1" applyFont="1">
      <alignment vertical="bottom"/>
    </xf>
    <xf borderId="0" fillId="12" fontId="7" numFmtId="0" xfId="0" applyAlignment="1" applyFill="1" applyFont="1">
      <alignment readingOrder="0" vertical="bottom"/>
    </xf>
    <xf borderId="0" fillId="12" fontId="7" numFmtId="166" xfId="0" applyAlignment="1" applyFill="1" applyFont="1" applyNumberFormat="1">
      <alignment readingOrder="0"/>
    </xf>
    <xf borderId="0" fillId="12" fontId="7" numFmtId="3" xfId="0" applyAlignment="1" applyFill="1" applyFont="1" applyNumberFormat="1">
      <alignment vertical="bottom"/>
    </xf>
    <xf borderId="0" fillId="12" fontId="7" numFmtId="166" xfId="0" applyAlignment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3" max="3" width="9.13"/>
    <col customWidth="1" min="6" max="31" width="4.13"/>
    <col customWidth="1" min="32" max="32" width="15.25"/>
  </cols>
  <sheetData>
    <row r="1">
      <c r="A1" s="24" t="s">
        <v>0</v>
      </c>
      <c r="B1" s="2"/>
      <c r="C1" s="2"/>
      <c r="D1" s="2"/>
      <c r="E1" s="3"/>
      <c r="F1" s="27" t="s">
        <v>1</v>
      </c>
      <c r="G1" s="2"/>
      <c r="H1" s="2"/>
      <c r="I1" s="2"/>
      <c r="J1" s="2"/>
      <c r="K1" s="3"/>
      <c r="L1" s="29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1" t="s">
        <v>3</v>
      </c>
      <c r="Y1" s="2"/>
      <c r="Z1" s="2"/>
      <c r="AA1" s="2"/>
      <c r="AB1" s="2"/>
      <c r="AC1" s="2"/>
      <c r="AD1" s="2"/>
      <c r="AE1" s="3"/>
      <c r="AF1" s="32" t="s">
        <v>4</v>
      </c>
      <c r="AG1" s="8"/>
      <c r="AH1" s="8"/>
      <c r="AI1" s="8"/>
      <c r="AJ1" s="9"/>
    </row>
    <row r="2">
      <c r="A2" s="33" t="s">
        <v>5</v>
      </c>
      <c r="B2" s="34" t="s">
        <v>6</v>
      </c>
      <c r="C2" s="34" t="s">
        <v>7</v>
      </c>
      <c r="D2" s="34" t="s">
        <v>8</v>
      </c>
      <c r="E2" s="34" t="s">
        <v>9</v>
      </c>
      <c r="F2" s="35" t="s">
        <v>10</v>
      </c>
      <c r="G2" s="36">
        <v>27.92</v>
      </c>
      <c r="H2" s="37" t="s">
        <v>11</v>
      </c>
      <c r="I2" s="36">
        <v>27.92</v>
      </c>
      <c r="J2" s="37" t="s">
        <v>12</v>
      </c>
      <c r="K2" s="36">
        <v>27.92</v>
      </c>
      <c r="L2" s="37" t="s">
        <v>10</v>
      </c>
      <c r="M2" s="36">
        <v>17.73</v>
      </c>
      <c r="N2" s="37" t="s">
        <v>11</v>
      </c>
      <c r="O2" s="36">
        <v>17.73</v>
      </c>
      <c r="P2" s="37" t="s">
        <v>12</v>
      </c>
      <c r="Q2" s="36">
        <v>17.73</v>
      </c>
      <c r="R2" s="37" t="s">
        <v>13</v>
      </c>
      <c r="S2" s="36">
        <v>7.04</v>
      </c>
      <c r="T2" s="37" t="s">
        <v>14</v>
      </c>
      <c r="U2" s="36">
        <v>491.87</v>
      </c>
      <c r="V2" s="37" t="s">
        <v>15</v>
      </c>
      <c r="W2" s="36">
        <v>273.26</v>
      </c>
      <c r="X2" s="38" t="s">
        <v>16</v>
      </c>
      <c r="Y2" s="40">
        <v>8.74</v>
      </c>
      <c r="Z2" s="38" t="s">
        <v>10</v>
      </c>
      <c r="AA2" s="40">
        <v>17.73</v>
      </c>
      <c r="AB2" s="38" t="s">
        <v>11</v>
      </c>
      <c r="AC2" s="40">
        <v>17.73</v>
      </c>
      <c r="AD2" s="38" t="s">
        <v>12</v>
      </c>
      <c r="AE2" s="40">
        <v>17.73</v>
      </c>
      <c r="AF2" s="41" t="s">
        <v>18</v>
      </c>
      <c r="AG2" s="41" t="s">
        <v>19</v>
      </c>
      <c r="AH2" s="41" t="s">
        <v>20</v>
      </c>
      <c r="AI2" s="41" t="s">
        <v>21</v>
      </c>
      <c r="AJ2" s="41" t="s">
        <v>22</v>
      </c>
    </row>
    <row r="3">
      <c r="A3" s="42" t="s">
        <v>23</v>
      </c>
      <c r="B3" s="43">
        <v>45656.0</v>
      </c>
      <c r="C3" s="42">
        <v>1.0</v>
      </c>
      <c r="D3" s="44" t="s">
        <v>24</v>
      </c>
      <c r="E3" s="45" t="s">
        <v>25</v>
      </c>
      <c r="F3" s="47">
        <v>0.0</v>
      </c>
      <c r="H3" s="49">
        <v>0.0</v>
      </c>
      <c r="J3" s="49">
        <v>0.0</v>
      </c>
      <c r="L3" s="50">
        <v>0.0</v>
      </c>
      <c r="N3" s="52">
        <v>0.0</v>
      </c>
      <c r="P3" s="52">
        <v>0.0</v>
      </c>
      <c r="R3" s="52">
        <v>0.0</v>
      </c>
      <c r="T3" s="55">
        <v>1.0</v>
      </c>
      <c r="V3" s="55">
        <v>1.0</v>
      </c>
      <c r="X3" s="56">
        <v>0.0</v>
      </c>
      <c r="Y3" s="57"/>
      <c r="Z3" s="58">
        <v>0.0</v>
      </c>
      <c r="AA3" s="57"/>
      <c r="AB3" s="58">
        <v>0.0</v>
      </c>
      <c r="AC3" s="57"/>
      <c r="AD3" s="58">
        <v>0.0</v>
      </c>
      <c r="AE3" s="59"/>
      <c r="AF3" s="62">
        <f t="shared" ref="AF3:AF359" si="1">(F3*G$2)+(H3*I$2)+(J3*K$2)+(L3*M$2)+(N3*O$2)+(P3*Q$2)+(R3*S$2)+(T3*U$2)+(X3*Y$2)+(Z3*AA$2)+(AB3*AC$2)+(AD3*AE$2)+(V3*$W$2)</f>
        <v>765.13</v>
      </c>
      <c r="AG3" s="42">
        <f t="shared" ref="AG3:AG359" si="2">F3+H3+J3+L3+N3+P3+R3+X3+Z3+AB3+AD3</f>
        <v>0</v>
      </c>
      <c r="AH3" s="42">
        <f t="shared" ref="AH3:AH359" si="3">T3+V3</f>
        <v>2</v>
      </c>
      <c r="AI3" s="42">
        <f t="shared" ref="AI3:AI359" si="4">sum(F3:AE3)</f>
        <v>2</v>
      </c>
      <c r="AJ3" s="63">
        <f t="shared" ref="AJ3:AJ359" si="5">iferror(AF3/AI3,"")</f>
        <v>382.565</v>
      </c>
    </row>
    <row r="4">
      <c r="A4" s="64" t="s">
        <v>26</v>
      </c>
      <c r="B4" s="65">
        <f t="shared" ref="B4:B359" si="6">B3+1</f>
        <v>45657</v>
      </c>
      <c r="C4" s="64">
        <v>1.0</v>
      </c>
      <c r="D4" s="66" t="s">
        <v>24</v>
      </c>
      <c r="E4" s="45" t="s">
        <v>25</v>
      </c>
      <c r="F4" s="47">
        <v>0.0</v>
      </c>
      <c r="H4" s="49">
        <v>0.0</v>
      </c>
      <c r="J4" s="49">
        <v>0.0</v>
      </c>
      <c r="L4" s="50">
        <v>0.0</v>
      </c>
      <c r="N4" s="52">
        <v>0.0</v>
      </c>
      <c r="P4" s="52">
        <v>0.0</v>
      </c>
      <c r="R4" s="52">
        <v>0.0</v>
      </c>
      <c r="T4" s="52">
        <v>0.0</v>
      </c>
      <c r="V4" s="52">
        <v>0.0</v>
      </c>
      <c r="X4" s="50">
        <v>0.0</v>
      </c>
      <c r="Z4" s="52">
        <v>0.0</v>
      </c>
      <c r="AB4" s="52">
        <v>0.0</v>
      </c>
      <c r="AD4" s="52">
        <v>0.0</v>
      </c>
      <c r="AE4" s="28"/>
      <c r="AF4" s="67">
        <f t="shared" si="1"/>
        <v>0</v>
      </c>
      <c r="AG4" s="64">
        <f t="shared" si="2"/>
        <v>0</v>
      </c>
      <c r="AH4" s="64">
        <f t="shared" si="3"/>
        <v>0</v>
      </c>
      <c r="AI4" s="64">
        <f t="shared" si="4"/>
        <v>0</v>
      </c>
      <c r="AJ4" s="68" t="str">
        <f t="shared" si="5"/>
        <v/>
      </c>
    </row>
    <row r="5">
      <c r="A5" s="64" t="s">
        <v>27</v>
      </c>
      <c r="B5" s="65">
        <f t="shared" si="6"/>
        <v>45658</v>
      </c>
      <c r="C5" s="64">
        <v>1.0</v>
      </c>
      <c r="D5" s="66" t="s">
        <v>24</v>
      </c>
      <c r="E5" s="45" t="s">
        <v>25</v>
      </c>
      <c r="F5" s="47">
        <v>0.0</v>
      </c>
      <c r="H5" s="49">
        <v>0.0</v>
      </c>
      <c r="J5" s="49">
        <v>0.0</v>
      </c>
      <c r="L5" s="50">
        <v>0.0</v>
      </c>
      <c r="N5" s="52">
        <v>0.0</v>
      </c>
      <c r="P5" s="52">
        <v>0.0</v>
      </c>
      <c r="R5" s="52">
        <v>0.0</v>
      </c>
      <c r="T5" s="52">
        <v>0.0</v>
      </c>
      <c r="V5" s="52">
        <v>0.0</v>
      </c>
      <c r="X5" s="50">
        <v>0.0</v>
      </c>
      <c r="Z5" s="52">
        <v>0.0</v>
      </c>
      <c r="AB5" s="52">
        <v>0.0</v>
      </c>
      <c r="AD5" s="52">
        <v>0.0</v>
      </c>
      <c r="AE5" s="28"/>
      <c r="AF5" s="67">
        <f t="shared" si="1"/>
        <v>0</v>
      </c>
      <c r="AG5" s="64">
        <f t="shared" si="2"/>
        <v>0</v>
      </c>
      <c r="AH5" s="64">
        <f t="shared" si="3"/>
        <v>0</v>
      </c>
      <c r="AI5" s="64">
        <f t="shared" si="4"/>
        <v>0</v>
      </c>
      <c r="AJ5" s="68" t="str">
        <f t="shared" si="5"/>
        <v/>
      </c>
    </row>
    <row r="6">
      <c r="A6" s="64" t="s">
        <v>28</v>
      </c>
      <c r="B6" s="65">
        <f t="shared" si="6"/>
        <v>45659</v>
      </c>
      <c r="C6" s="64">
        <v>1.0</v>
      </c>
      <c r="D6" s="66" t="s">
        <v>24</v>
      </c>
      <c r="E6" s="45" t="s">
        <v>25</v>
      </c>
      <c r="F6" s="47">
        <v>0.0</v>
      </c>
      <c r="H6" s="49">
        <v>0.0</v>
      </c>
      <c r="J6" s="49">
        <v>0.0</v>
      </c>
      <c r="L6" s="50">
        <v>0.0</v>
      </c>
      <c r="N6" s="52">
        <v>0.0</v>
      </c>
      <c r="P6" s="52">
        <v>0.0</v>
      </c>
      <c r="R6" s="52">
        <v>0.0</v>
      </c>
      <c r="T6" s="52">
        <v>0.0</v>
      </c>
      <c r="V6" s="52">
        <v>0.0</v>
      </c>
      <c r="X6" s="50">
        <v>0.0</v>
      </c>
      <c r="Z6" s="52">
        <v>0.0</v>
      </c>
      <c r="AB6" s="52">
        <v>0.0</v>
      </c>
      <c r="AD6" s="52">
        <v>0.0</v>
      </c>
      <c r="AE6" s="28"/>
      <c r="AF6" s="67">
        <f t="shared" si="1"/>
        <v>0</v>
      </c>
      <c r="AG6" s="64">
        <f t="shared" si="2"/>
        <v>0</v>
      </c>
      <c r="AH6" s="64">
        <f t="shared" si="3"/>
        <v>0</v>
      </c>
      <c r="AI6" s="64">
        <f t="shared" si="4"/>
        <v>0</v>
      </c>
      <c r="AJ6" s="68" t="str">
        <f t="shared" si="5"/>
        <v/>
      </c>
    </row>
    <row r="7">
      <c r="A7" s="64" t="s">
        <v>29</v>
      </c>
      <c r="B7" s="65">
        <f t="shared" si="6"/>
        <v>45660</v>
      </c>
      <c r="C7" s="64">
        <v>1.0</v>
      </c>
      <c r="D7" s="66" t="s">
        <v>24</v>
      </c>
      <c r="E7" s="45" t="s">
        <v>25</v>
      </c>
      <c r="F7" s="47">
        <v>0.0</v>
      </c>
      <c r="H7" s="49">
        <v>0.0</v>
      </c>
      <c r="J7" s="49">
        <v>0.0</v>
      </c>
      <c r="L7" s="50">
        <v>0.0</v>
      </c>
      <c r="N7" s="52">
        <v>0.0</v>
      </c>
      <c r="P7" s="52">
        <v>0.0</v>
      </c>
      <c r="R7" s="52">
        <v>0.0</v>
      </c>
      <c r="T7" s="52">
        <v>0.0</v>
      </c>
      <c r="V7" s="52">
        <v>0.0</v>
      </c>
      <c r="X7" s="50">
        <v>0.0</v>
      </c>
      <c r="Z7" s="52">
        <v>0.0</v>
      </c>
      <c r="AB7" s="52">
        <v>0.0</v>
      </c>
      <c r="AD7" s="52">
        <v>0.0</v>
      </c>
      <c r="AE7" s="28"/>
      <c r="AF7" s="67">
        <f t="shared" si="1"/>
        <v>0</v>
      </c>
      <c r="AG7" s="64">
        <f t="shared" si="2"/>
        <v>0</v>
      </c>
      <c r="AH7" s="64">
        <f t="shared" si="3"/>
        <v>0</v>
      </c>
      <c r="AI7" s="64">
        <f t="shared" si="4"/>
        <v>0</v>
      </c>
      <c r="AJ7" s="68" t="str">
        <f t="shared" si="5"/>
        <v/>
      </c>
    </row>
    <row r="8">
      <c r="A8" s="64" t="s">
        <v>30</v>
      </c>
      <c r="B8" s="65">
        <f t="shared" si="6"/>
        <v>45661</v>
      </c>
      <c r="C8" s="64">
        <v>1.0</v>
      </c>
      <c r="D8" s="66" t="s">
        <v>24</v>
      </c>
      <c r="E8" s="45" t="s">
        <v>25</v>
      </c>
      <c r="F8" s="47">
        <v>0.0</v>
      </c>
      <c r="H8" s="49">
        <v>0.0</v>
      </c>
      <c r="J8" s="49">
        <v>0.0</v>
      </c>
      <c r="L8" s="50">
        <v>0.0</v>
      </c>
      <c r="N8" s="52">
        <v>0.0</v>
      </c>
      <c r="P8" s="52">
        <v>0.0</v>
      </c>
      <c r="R8" s="52">
        <v>0.0</v>
      </c>
      <c r="T8" s="52">
        <v>0.0</v>
      </c>
      <c r="V8" s="52">
        <v>0.0</v>
      </c>
      <c r="X8" s="50">
        <v>0.0</v>
      </c>
      <c r="Z8" s="52">
        <v>0.0</v>
      </c>
      <c r="AB8" s="52">
        <v>0.0</v>
      </c>
      <c r="AD8" s="52">
        <v>0.0</v>
      </c>
      <c r="AE8" s="28"/>
      <c r="AF8" s="67">
        <f t="shared" si="1"/>
        <v>0</v>
      </c>
      <c r="AG8" s="64">
        <f t="shared" si="2"/>
        <v>0</v>
      </c>
      <c r="AH8" s="64">
        <f t="shared" si="3"/>
        <v>0</v>
      </c>
      <c r="AI8" s="64">
        <f t="shared" si="4"/>
        <v>0</v>
      </c>
      <c r="AJ8" s="68" t="str">
        <f t="shared" si="5"/>
        <v/>
      </c>
    </row>
    <row r="9">
      <c r="A9" s="83" t="s">
        <v>31</v>
      </c>
      <c r="B9" s="84">
        <f t="shared" si="6"/>
        <v>45662</v>
      </c>
      <c r="C9" s="83">
        <v>1.0</v>
      </c>
      <c r="D9" s="85" t="s">
        <v>24</v>
      </c>
      <c r="E9" s="86" t="s">
        <v>35</v>
      </c>
      <c r="F9" s="87">
        <v>0.0</v>
      </c>
      <c r="G9" s="75"/>
      <c r="H9" s="88">
        <v>0.0</v>
      </c>
      <c r="I9" s="75"/>
      <c r="J9" s="88">
        <v>0.0</v>
      </c>
      <c r="K9" s="75"/>
      <c r="L9" s="89">
        <v>53.0</v>
      </c>
      <c r="M9" s="75"/>
      <c r="N9" s="90">
        <v>53.0</v>
      </c>
      <c r="O9" s="75"/>
      <c r="P9" s="90">
        <v>0.0</v>
      </c>
      <c r="Q9" s="75"/>
      <c r="R9" s="90">
        <v>0.0</v>
      </c>
      <c r="S9" s="75"/>
      <c r="T9" s="90">
        <v>0.0</v>
      </c>
      <c r="U9" s="75"/>
      <c r="V9" s="90">
        <v>0.0</v>
      </c>
      <c r="W9" s="75"/>
      <c r="X9" s="89">
        <v>0.0</v>
      </c>
      <c r="Y9" s="75"/>
      <c r="Z9" s="90">
        <v>0.0</v>
      </c>
      <c r="AA9" s="75"/>
      <c r="AB9" s="90">
        <v>0.0</v>
      </c>
      <c r="AC9" s="75"/>
      <c r="AD9" s="90">
        <v>0.0</v>
      </c>
      <c r="AE9" s="77"/>
      <c r="AF9" s="91">
        <f t="shared" si="1"/>
        <v>1879.38</v>
      </c>
      <c r="AG9" s="83">
        <f t="shared" si="2"/>
        <v>106</v>
      </c>
      <c r="AH9" s="83">
        <f t="shared" si="3"/>
        <v>0</v>
      </c>
      <c r="AI9" s="83">
        <f t="shared" si="4"/>
        <v>106</v>
      </c>
      <c r="AJ9" s="92">
        <f t="shared" si="5"/>
        <v>17.73</v>
      </c>
    </row>
    <row r="10">
      <c r="A10" s="42" t="s">
        <v>23</v>
      </c>
      <c r="B10" s="43">
        <f t="shared" si="6"/>
        <v>45663</v>
      </c>
      <c r="C10" s="42">
        <v>1.0</v>
      </c>
      <c r="D10" s="44" t="s">
        <v>32</v>
      </c>
      <c r="E10" s="93" t="s">
        <v>35</v>
      </c>
      <c r="F10" s="47">
        <v>0.0</v>
      </c>
      <c r="H10" s="49">
        <v>0.0</v>
      </c>
      <c r="J10" s="49">
        <v>0.0</v>
      </c>
      <c r="L10" s="50">
        <v>53.0</v>
      </c>
      <c r="N10" s="52">
        <v>53.0</v>
      </c>
      <c r="P10" s="52">
        <v>0.0</v>
      </c>
      <c r="R10" s="52">
        <v>0.0</v>
      </c>
      <c r="T10" s="55">
        <v>1.0</v>
      </c>
      <c r="V10" s="55">
        <v>1.0</v>
      </c>
      <c r="X10" s="56">
        <v>0.0</v>
      </c>
      <c r="Y10" s="57"/>
      <c r="Z10" s="58">
        <v>0.0</v>
      </c>
      <c r="AA10" s="57"/>
      <c r="AB10" s="58">
        <v>0.0</v>
      </c>
      <c r="AC10" s="57"/>
      <c r="AD10" s="58">
        <v>0.0</v>
      </c>
      <c r="AE10" s="59"/>
      <c r="AF10" s="94">
        <f t="shared" si="1"/>
        <v>2644.51</v>
      </c>
      <c r="AG10" s="42">
        <f t="shared" si="2"/>
        <v>106</v>
      </c>
      <c r="AH10" s="42">
        <f t="shared" si="3"/>
        <v>2</v>
      </c>
      <c r="AI10" s="42">
        <f t="shared" si="4"/>
        <v>108</v>
      </c>
      <c r="AJ10" s="95">
        <f t="shared" si="5"/>
        <v>24.4862037</v>
      </c>
    </row>
    <row r="11">
      <c r="A11" s="64" t="s">
        <v>26</v>
      </c>
      <c r="B11" s="65">
        <f t="shared" si="6"/>
        <v>45664</v>
      </c>
      <c r="C11" s="64">
        <v>1.0</v>
      </c>
      <c r="D11" s="66" t="s">
        <v>32</v>
      </c>
      <c r="E11" s="93" t="s">
        <v>35</v>
      </c>
      <c r="F11" s="47">
        <v>0.0</v>
      </c>
      <c r="H11" s="49">
        <v>0.0</v>
      </c>
      <c r="J11" s="49">
        <v>0.0</v>
      </c>
      <c r="L11" s="50">
        <v>53.0</v>
      </c>
      <c r="N11" s="52">
        <v>53.0</v>
      </c>
      <c r="P11" s="52">
        <v>0.0</v>
      </c>
      <c r="R11" s="52">
        <v>0.0</v>
      </c>
      <c r="T11" s="52">
        <v>0.0</v>
      </c>
      <c r="V11" s="52">
        <v>0.0</v>
      </c>
      <c r="X11" s="50">
        <v>0.0</v>
      </c>
      <c r="Z11" s="52">
        <v>0.0</v>
      </c>
      <c r="AB11" s="52">
        <v>0.0</v>
      </c>
      <c r="AD11" s="52">
        <v>0.0</v>
      </c>
      <c r="AE11" s="28"/>
      <c r="AF11" s="96">
        <f t="shared" si="1"/>
        <v>1879.38</v>
      </c>
      <c r="AG11" s="64">
        <f t="shared" si="2"/>
        <v>106</v>
      </c>
      <c r="AH11" s="64">
        <f t="shared" si="3"/>
        <v>0</v>
      </c>
      <c r="AI11" s="64">
        <f t="shared" si="4"/>
        <v>106</v>
      </c>
      <c r="AJ11" s="97">
        <f t="shared" si="5"/>
        <v>17.73</v>
      </c>
    </row>
    <row r="12">
      <c r="A12" s="64" t="s">
        <v>27</v>
      </c>
      <c r="B12" s="65">
        <f t="shared" si="6"/>
        <v>45665</v>
      </c>
      <c r="C12" s="64">
        <v>1.0</v>
      </c>
      <c r="D12" s="66" t="s">
        <v>32</v>
      </c>
      <c r="E12" s="93" t="s">
        <v>35</v>
      </c>
      <c r="F12" s="47">
        <v>0.0</v>
      </c>
      <c r="H12" s="49">
        <v>0.0</v>
      </c>
      <c r="J12" s="49">
        <v>0.0</v>
      </c>
      <c r="L12" s="50">
        <v>77.0</v>
      </c>
      <c r="N12" s="52">
        <v>77.0</v>
      </c>
      <c r="P12" s="52">
        <v>0.0</v>
      </c>
      <c r="R12" s="52">
        <v>0.0</v>
      </c>
      <c r="T12" s="52">
        <v>0.0</v>
      </c>
      <c r="V12" s="52">
        <v>0.0</v>
      </c>
      <c r="X12" s="50">
        <v>0.0</v>
      </c>
      <c r="Z12" s="52">
        <v>0.0</v>
      </c>
      <c r="AB12" s="52">
        <v>0.0</v>
      </c>
      <c r="AD12" s="52">
        <v>0.0</v>
      </c>
      <c r="AE12" s="28"/>
      <c r="AF12" s="96">
        <f t="shared" si="1"/>
        <v>2730.42</v>
      </c>
      <c r="AG12" s="64">
        <f t="shared" si="2"/>
        <v>154</v>
      </c>
      <c r="AH12" s="64">
        <f t="shared" si="3"/>
        <v>0</v>
      </c>
      <c r="AI12" s="64">
        <f t="shared" si="4"/>
        <v>154</v>
      </c>
      <c r="AJ12" s="97">
        <f t="shared" si="5"/>
        <v>17.73</v>
      </c>
    </row>
    <row r="13">
      <c r="A13" s="64" t="s">
        <v>28</v>
      </c>
      <c r="B13" s="65">
        <f t="shared" si="6"/>
        <v>45666</v>
      </c>
      <c r="C13" s="64">
        <v>1.0</v>
      </c>
      <c r="D13" s="66" t="s">
        <v>32</v>
      </c>
      <c r="E13" s="93" t="s">
        <v>35</v>
      </c>
      <c r="F13" s="47">
        <v>0.0</v>
      </c>
      <c r="H13" s="49">
        <v>0.0</v>
      </c>
      <c r="J13" s="49">
        <v>0.0</v>
      </c>
      <c r="L13" s="50">
        <v>77.0</v>
      </c>
      <c r="N13" s="52">
        <v>77.0</v>
      </c>
      <c r="P13" s="52">
        <v>0.0</v>
      </c>
      <c r="R13" s="52">
        <v>0.0</v>
      </c>
      <c r="T13" s="52">
        <v>0.0</v>
      </c>
      <c r="V13" s="52">
        <v>0.0</v>
      </c>
      <c r="X13" s="50">
        <v>0.0</v>
      </c>
      <c r="Z13" s="52">
        <v>0.0</v>
      </c>
      <c r="AB13" s="52">
        <v>0.0</v>
      </c>
      <c r="AD13" s="52">
        <v>0.0</v>
      </c>
      <c r="AE13" s="28"/>
      <c r="AF13" s="96">
        <f t="shared" si="1"/>
        <v>2730.42</v>
      </c>
      <c r="AG13" s="64">
        <f t="shared" si="2"/>
        <v>154</v>
      </c>
      <c r="AH13" s="64">
        <f t="shared" si="3"/>
        <v>0</v>
      </c>
      <c r="AI13" s="64">
        <f t="shared" si="4"/>
        <v>154</v>
      </c>
      <c r="AJ13" s="97">
        <f t="shared" si="5"/>
        <v>17.73</v>
      </c>
    </row>
    <row r="14">
      <c r="A14" s="64" t="s">
        <v>29</v>
      </c>
      <c r="B14" s="65">
        <f t="shared" si="6"/>
        <v>45667</v>
      </c>
      <c r="C14" s="64">
        <v>1.0</v>
      </c>
      <c r="D14" s="66" t="s">
        <v>32</v>
      </c>
      <c r="E14" s="93" t="s">
        <v>35</v>
      </c>
      <c r="F14" s="47">
        <v>0.0</v>
      </c>
      <c r="H14" s="49">
        <v>0.0</v>
      </c>
      <c r="J14" s="49">
        <v>0.0</v>
      </c>
      <c r="L14" s="50">
        <v>32.0</v>
      </c>
      <c r="N14" s="52">
        <v>32.0</v>
      </c>
      <c r="P14" s="52">
        <v>0.0</v>
      </c>
      <c r="R14" s="52">
        <v>0.0</v>
      </c>
      <c r="T14" s="52">
        <v>0.0</v>
      </c>
      <c r="V14" s="52">
        <v>0.0</v>
      </c>
      <c r="X14" s="50">
        <v>0.0</v>
      </c>
      <c r="Z14" s="52">
        <v>0.0</v>
      </c>
      <c r="AB14" s="52">
        <v>0.0</v>
      </c>
      <c r="AD14" s="52">
        <v>0.0</v>
      </c>
      <c r="AE14" s="28"/>
      <c r="AF14" s="96">
        <f t="shared" si="1"/>
        <v>1134.72</v>
      </c>
      <c r="AG14" s="64">
        <f t="shared" si="2"/>
        <v>64</v>
      </c>
      <c r="AH14" s="64">
        <f t="shared" si="3"/>
        <v>0</v>
      </c>
      <c r="AI14" s="64">
        <f t="shared" si="4"/>
        <v>64</v>
      </c>
      <c r="AJ14" s="97">
        <f t="shared" si="5"/>
        <v>17.73</v>
      </c>
    </row>
    <row r="15">
      <c r="A15" s="64" t="s">
        <v>30</v>
      </c>
      <c r="B15" s="65">
        <f t="shared" si="6"/>
        <v>45668</v>
      </c>
      <c r="C15" s="64">
        <v>1.0</v>
      </c>
      <c r="D15" s="66" t="s">
        <v>32</v>
      </c>
      <c r="E15" s="93" t="s">
        <v>35</v>
      </c>
      <c r="F15" s="47">
        <v>0.0</v>
      </c>
      <c r="H15" s="49">
        <v>0.0</v>
      </c>
      <c r="J15" s="49">
        <v>0.0</v>
      </c>
      <c r="L15" s="50">
        <v>32.0</v>
      </c>
      <c r="N15" s="52">
        <v>32.0</v>
      </c>
      <c r="P15" s="52">
        <v>0.0</v>
      </c>
      <c r="R15" s="52">
        <v>0.0</v>
      </c>
      <c r="T15" s="52">
        <v>0.0</v>
      </c>
      <c r="V15" s="52">
        <v>0.0</v>
      </c>
      <c r="X15" s="50">
        <v>0.0</v>
      </c>
      <c r="Z15" s="52">
        <v>0.0</v>
      </c>
      <c r="AB15" s="52">
        <v>0.0</v>
      </c>
      <c r="AD15" s="52">
        <v>0.0</v>
      </c>
      <c r="AE15" s="28"/>
      <c r="AF15" s="96">
        <f t="shared" si="1"/>
        <v>1134.72</v>
      </c>
      <c r="AG15" s="64">
        <f t="shared" si="2"/>
        <v>64</v>
      </c>
      <c r="AH15" s="64">
        <f t="shared" si="3"/>
        <v>0</v>
      </c>
      <c r="AI15" s="64">
        <f t="shared" si="4"/>
        <v>64</v>
      </c>
      <c r="AJ15" s="97">
        <f t="shared" si="5"/>
        <v>17.73</v>
      </c>
    </row>
    <row r="16">
      <c r="A16" s="83" t="s">
        <v>31</v>
      </c>
      <c r="B16" s="84">
        <f t="shared" si="6"/>
        <v>45669</v>
      </c>
      <c r="C16" s="83">
        <v>1.0</v>
      </c>
      <c r="D16" s="85" t="s">
        <v>32</v>
      </c>
      <c r="E16" s="93" t="s">
        <v>35</v>
      </c>
      <c r="F16" s="87">
        <v>0.0</v>
      </c>
      <c r="G16" s="75"/>
      <c r="H16" s="88">
        <v>0.0</v>
      </c>
      <c r="I16" s="75"/>
      <c r="J16" s="88">
        <v>0.0</v>
      </c>
      <c r="K16" s="75"/>
      <c r="L16" s="89">
        <v>32.0</v>
      </c>
      <c r="M16" s="75"/>
      <c r="N16" s="90">
        <v>32.0</v>
      </c>
      <c r="O16" s="75"/>
      <c r="P16" s="90">
        <v>0.0</v>
      </c>
      <c r="Q16" s="75"/>
      <c r="R16" s="90">
        <v>0.0</v>
      </c>
      <c r="S16" s="75"/>
      <c r="T16" s="90">
        <v>0.0</v>
      </c>
      <c r="U16" s="75"/>
      <c r="V16" s="90">
        <v>0.0</v>
      </c>
      <c r="W16" s="75"/>
      <c r="X16" s="89">
        <v>0.0</v>
      </c>
      <c r="Y16" s="75"/>
      <c r="Z16" s="90">
        <v>0.0</v>
      </c>
      <c r="AA16" s="75"/>
      <c r="AB16" s="90">
        <v>0.0</v>
      </c>
      <c r="AC16" s="75"/>
      <c r="AD16" s="90">
        <v>0.0</v>
      </c>
      <c r="AE16" s="77"/>
      <c r="AF16" s="98">
        <f t="shared" si="1"/>
        <v>1134.72</v>
      </c>
      <c r="AG16" s="83">
        <f t="shared" si="2"/>
        <v>64</v>
      </c>
      <c r="AH16" s="83">
        <f t="shared" si="3"/>
        <v>0</v>
      </c>
      <c r="AI16" s="83">
        <f t="shared" si="4"/>
        <v>64</v>
      </c>
      <c r="AJ16" s="92">
        <f t="shared" si="5"/>
        <v>17.73</v>
      </c>
    </row>
    <row r="17">
      <c r="A17" s="42" t="s">
        <v>23</v>
      </c>
      <c r="B17" s="43">
        <f t="shared" si="6"/>
        <v>45670</v>
      </c>
      <c r="C17" s="42">
        <v>1.0</v>
      </c>
      <c r="D17" s="44" t="s">
        <v>33</v>
      </c>
      <c r="E17" s="99" t="s">
        <v>34</v>
      </c>
      <c r="F17" s="47">
        <v>0.0</v>
      </c>
      <c r="H17" s="49">
        <v>0.0</v>
      </c>
      <c r="J17" s="49">
        <v>0.0</v>
      </c>
      <c r="L17" s="50">
        <v>13.0</v>
      </c>
      <c r="N17" s="52">
        <v>13.0</v>
      </c>
      <c r="P17" s="100">
        <v>0.0</v>
      </c>
      <c r="R17" s="100">
        <v>0.0</v>
      </c>
      <c r="T17" s="100">
        <v>1.0</v>
      </c>
      <c r="V17" s="100">
        <v>1.0</v>
      </c>
      <c r="X17" s="56">
        <v>0.0</v>
      </c>
      <c r="Y17" s="57"/>
      <c r="Z17" s="58">
        <v>0.0</v>
      </c>
      <c r="AA17" s="57"/>
      <c r="AB17" s="58">
        <v>0.0</v>
      </c>
      <c r="AC17" s="57"/>
      <c r="AD17" s="58">
        <v>0.0</v>
      </c>
      <c r="AE17" s="59"/>
      <c r="AF17" s="94">
        <f t="shared" si="1"/>
        <v>1226.11</v>
      </c>
      <c r="AG17" s="42">
        <f t="shared" si="2"/>
        <v>26</v>
      </c>
      <c r="AH17" s="42">
        <f t="shared" si="3"/>
        <v>2</v>
      </c>
      <c r="AI17" s="42">
        <f t="shared" si="4"/>
        <v>28</v>
      </c>
      <c r="AJ17" s="95">
        <f t="shared" si="5"/>
        <v>43.78964286</v>
      </c>
    </row>
    <row r="18">
      <c r="A18" s="64" t="s">
        <v>26</v>
      </c>
      <c r="B18" s="65">
        <f t="shared" si="6"/>
        <v>45671</v>
      </c>
      <c r="C18" s="64">
        <v>1.0</v>
      </c>
      <c r="D18" s="66" t="s">
        <v>33</v>
      </c>
      <c r="E18" s="45" t="s">
        <v>34</v>
      </c>
      <c r="F18" s="47">
        <v>0.0</v>
      </c>
      <c r="H18" s="49">
        <v>0.0</v>
      </c>
      <c r="J18" s="49">
        <v>0.0</v>
      </c>
      <c r="L18" s="50">
        <v>13.0</v>
      </c>
      <c r="N18" s="52">
        <v>13.0</v>
      </c>
      <c r="P18" s="100">
        <v>0.0</v>
      </c>
      <c r="R18" s="100">
        <v>0.0</v>
      </c>
      <c r="T18" s="100">
        <v>0.0</v>
      </c>
      <c r="V18" s="100">
        <v>0.0</v>
      </c>
      <c r="X18" s="50">
        <v>0.0</v>
      </c>
      <c r="Z18" s="52">
        <v>0.0</v>
      </c>
      <c r="AB18" s="52">
        <v>0.0</v>
      </c>
      <c r="AD18" s="52">
        <v>0.0</v>
      </c>
      <c r="AE18" s="28"/>
      <c r="AF18" s="96">
        <f t="shared" si="1"/>
        <v>460.98</v>
      </c>
      <c r="AG18" s="64">
        <f t="shared" si="2"/>
        <v>26</v>
      </c>
      <c r="AH18" s="64">
        <f t="shared" si="3"/>
        <v>0</v>
      </c>
      <c r="AI18" s="64">
        <f t="shared" si="4"/>
        <v>26</v>
      </c>
      <c r="AJ18" s="97">
        <f t="shared" si="5"/>
        <v>17.73</v>
      </c>
    </row>
    <row r="19">
      <c r="A19" s="64" t="s">
        <v>27</v>
      </c>
      <c r="B19" s="65">
        <f t="shared" si="6"/>
        <v>45672</v>
      </c>
      <c r="C19" s="64">
        <v>1.0</v>
      </c>
      <c r="D19" s="66" t="s">
        <v>33</v>
      </c>
      <c r="E19" s="45" t="s">
        <v>34</v>
      </c>
      <c r="F19" s="47">
        <v>0.0</v>
      </c>
      <c r="H19" s="49">
        <v>0.0</v>
      </c>
      <c r="J19" s="49">
        <v>0.0</v>
      </c>
      <c r="L19" s="50">
        <v>40.0</v>
      </c>
      <c r="N19" s="52">
        <v>40.0</v>
      </c>
      <c r="P19" s="100">
        <v>0.0</v>
      </c>
      <c r="R19" s="100">
        <v>0.0</v>
      </c>
      <c r="T19" s="100">
        <v>0.0</v>
      </c>
      <c r="V19" s="100">
        <v>0.0</v>
      </c>
      <c r="X19" s="50">
        <v>0.0</v>
      </c>
      <c r="Z19" s="52">
        <v>25.0</v>
      </c>
      <c r="AB19" s="52">
        <v>25.0</v>
      </c>
      <c r="AD19" s="52">
        <v>0.0</v>
      </c>
      <c r="AE19" s="28"/>
      <c r="AF19" s="96">
        <f t="shared" si="1"/>
        <v>2304.9</v>
      </c>
      <c r="AG19" s="64">
        <f t="shared" si="2"/>
        <v>130</v>
      </c>
      <c r="AH19" s="64">
        <f t="shared" si="3"/>
        <v>0</v>
      </c>
      <c r="AI19" s="64">
        <f t="shared" si="4"/>
        <v>130</v>
      </c>
      <c r="AJ19" s="97">
        <f t="shared" si="5"/>
        <v>17.73</v>
      </c>
    </row>
    <row r="20">
      <c r="A20" s="64" t="s">
        <v>28</v>
      </c>
      <c r="B20" s="65">
        <f t="shared" si="6"/>
        <v>45673</v>
      </c>
      <c r="C20" s="64">
        <v>1.0</v>
      </c>
      <c r="D20" s="66" t="s">
        <v>33</v>
      </c>
      <c r="E20" s="45" t="s">
        <v>34</v>
      </c>
      <c r="F20" s="47">
        <v>0.0</v>
      </c>
      <c r="H20" s="49">
        <v>0.0</v>
      </c>
      <c r="J20" s="49">
        <v>0.0</v>
      </c>
      <c r="L20" s="50">
        <v>40.0</v>
      </c>
      <c r="N20" s="52">
        <v>40.0</v>
      </c>
      <c r="P20" s="100">
        <v>0.0</v>
      </c>
      <c r="R20" s="100">
        <v>0.0</v>
      </c>
      <c r="T20" s="100">
        <v>0.0</v>
      </c>
      <c r="V20" s="100">
        <v>0.0</v>
      </c>
      <c r="X20" s="50">
        <v>0.0</v>
      </c>
      <c r="Z20" s="52">
        <v>25.0</v>
      </c>
      <c r="AB20" s="52">
        <v>25.0</v>
      </c>
      <c r="AD20" s="52">
        <v>0.0</v>
      </c>
      <c r="AE20" s="28"/>
      <c r="AF20" s="96">
        <f t="shared" si="1"/>
        <v>2304.9</v>
      </c>
      <c r="AG20" s="64">
        <f t="shared" si="2"/>
        <v>130</v>
      </c>
      <c r="AH20" s="64">
        <f t="shared" si="3"/>
        <v>0</v>
      </c>
      <c r="AI20" s="64">
        <f t="shared" si="4"/>
        <v>130</v>
      </c>
      <c r="AJ20" s="97">
        <f t="shared" si="5"/>
        <v>17.73</v>
      </c>
    </row>
    <row r="21">
      <c r="A21" s="64" t="s">
        <v>29</v>
      </c>
      <c r="B21" s="65">
        <f t="shared" si="6"/>
        <v>45674</v>
      </c>
      <c r="C21" s="64">
        <v>1.0</v>
      </c>
      <c r="D21" s="66" t="s">
        <v>33</v>
      </c>
      <c r="E21" s="45" t="s">
        <v>34</v>
      </c>
      <c r="F21" s="47">
        <v>0.0</v>
      </c>
      <c r="H21" s="49">
        <v>0.0</v>
      </c>
      <c r="J21" s="49">
        <v>0.0</v>
      </c>
      <c r="L21" s="50">
        <v>40.0</v>
      </c>
      <c r="N21" s="52">
        <v>40.0</v>
      </c>
      <c r="P21" s="100">
        <v>0.0</v>
      </c>
      <c r="R21" s="100">
        <v>0.0</v>
      </c>
      <c r="T21" s="100">
        <v>0.0</v>
      </c>
      <c r="V21" s="100">
        <v>0.0</v>
      </c>
      <c r="X21" s="50">
        <v>0.0</v>
      </c>
      <c r="Z21" s="52">
        <v>25.0</v>
      </c>
      <c r="AB21" s="52">
        <v>25.0</v>
      </c>
      <c r="AD21" s="52">
        <v>0.0</v>
      </c>
      <c r="AE21" s="28"/>
      <c r="AF21" s="96">
        <f t="shared" si="1"/>
        <v>2304.9</v>
      </c>
      <c r="AG21" s="64">
        <f t="shared" si="2"/>
        <v>130</v>
      </c>
      <c r="AH21" s="64">
        <f t="shared" si="3"/>
        <v>0</v>
      </c>
      <c r="AI21" s="64">
        <f t="shared" si="4"/>
        <v>130</v>
      </c>
      <c r="AJ21" s="97">
        <f t="shared" si="5"/>
        <v>17.73</v>
      </c>
    </row>
    <row r="22">
      <c r="A22" s="64" t="s">
        <v>30</v>
      </c>
      <c r="B22" s="65">
        <f t="shared" si="6"/>
        <v>45675</v>
      </c>
      <c r="C22" s="64">
        <v>1.0</v>
      </c>
      <c r="D22" s="66" t="s">
        <v>33</v>
      </c>
      <c r="E22" s="45" t="s">
        <v>34</v>
      </c>
      <c r="F22" s="47">
        <v>0.0</v>
      </c>
      <c r="H22" s="49">
        <v>0.0</v>
      </c>
      <c r="J22" s="49">
        <v>0.0</v>
      </c>
      <c r="L22" s="50">
        <v>40.0</v>
      </c>
      <c r="N22" s="52">
        <v>40.0</v>
      </c>
      <c r="P22" s="100">
        <v>0.0</v>
      </c>
      <c r="R22" s="100">
        <v>0.0</v>
      </c>
      <c r="T22" s="100">
        <v>0.0</v>
      </c>
      <c r="V22" s="100">
        <v>0.0</v>
      </c>
      <c r="X22" s="50">
        <v>0.0</v>
      </c>
      <c r="Z22" s="52">
        <v>0.0</v>
      </c>
      <c r="AB22" s="52">
        <v>0.0</v>
      </c>
      <c r="AD22" s="52">
        <v>0.0</v>
      </c>
      <c r="AE22" s="28"/>
      <c r="AF22" s="96">
        <f t="shared" si="1"/>
        <v>1418.4</v>
      </c>
      <c r="AG22" s="64">
        <f t="shared" si="2"/>
        <v>80</v>
      </c>
      <c r="AH22" s="64">
        <f t="shared" si="3"/>
        <v>0</v>
      </c>
      <c r="AI22" s="64">
        <f t="shared" si="4"/>
        <v>80</v>
      </c>
      <c r="AJ22" s="97">
        <f t="shared" si="5"/>
        <v>17.73</v>
      </c>
    </row>
    <row r="23">
      <c r="A23" s="83" t="s">
        <v>31</v>
      </c>
      <c r="B23" s="84">
        <f t="shared" si="6"/>
        <v>45676</v>
      </c>
      <c r="C23" s="83">
        <v>1.0</v>
      </c>
      <c r="D23" s="85" t="s">
        <v>33</v>
      </c>
      <c r="E23" s="106" t="s">
        <v>34</v>
      </c>
      <c r="F23" s="87">
        <v>0.0</v>
      </c>
      <c r="G23" s="75"/>
      <c r="H23" s="88">
        <v>0.0</v>
      </c>
      <c r="I23" s="75"/>
      <c r="J23" s="88">
        <v>0.0</v>
      </c>
      <c r="K23" s="75"/>
      <c r="L23" s="89">
        <v>40.0</v>
      </c>
      <c r="M23" s="75"/>
      <c r="N23" s="90">
        <v>40.0</v>
      </c>
      <c r="O23" s="75"/>
      <c r="P23" s="107">
        <v>0.0</v>
      </c>
      <c r="Q23" s="75"/>
      <c r="R23" s="107">
        <v>0.0</v>
      </c>
      <c r="S23" s="75"/>
      <c r="T23" s="107">
        <v>0.0</v>
      </c>
      <c r="U23" s="75"/>
      <c r="V23" s="107">
        <v>0.0</v>
      </c>
      <c r="W23" s="75"/>
      <c r="X23" s="89">
        <v>0.0</v>
      </c>
      <c r="Y23" s="75"/>
      <c r="Z23" s="90">
        <v>0.0</v>
      </c>
      <c r="AA23" s="75"/>
      <c r="AB23" s="90">
        <v>0.0</v>
      </c>
      <c r="AC23" s="75"/>
      <c r="AD23" s="90">
        <v>0.0</v>
      </c>
      <c r="AE23" s="77"/>
      <c r="AF23" s="98">
        <f t="shared" si="1"/>
        <v>1418.4</v>
      </c>
      <c r="AG23" s="83">
        <f t="shared" si="2"/>
        <v>80</v>
      </c>
      <c r="AH23" s="83">
        <f t="shared" si="3"/>
        <v>0</v>
      </c>
      <c r="AI23" s="83">
        <f t="shared" si="4"/>
        <v>80</v>
      </c>
      <c r="AJ23" s="92">
        <f t="shared" si="5"/>
        <v>17.73</v>
      </c>
    </row>
    <row r="24">
      <c r="A24" s="42" t="s">
        <v>23</v>
      </c>
      <c r="B24" s="43">
        <f t="shared" si="6"/>
        <v>45677</v>
      </c>
      <c r="C24" s="42">
        <v>1.0</v>
      </c>
      <c r="D24" s="44" t="s">
        <v>36</v>
      </c>
      <c r="E24" s="99" t="s">
        <v>34</v>
      </c>
      <c r="F24" s="47">
        <v>0.0</v>
      </c>
      <c r="H24" s="49">
        <v>0.0</v>
      </c>
      <c r="J24" s="49">
        <v>0.0</v>
      </c>
      <c r="L24" s="110">
        <v>68.0</v>
      </c>
      <c r="N24" s="100">
        <v>68.0</v>
      </c>
      <c r="P24" s="100">
        <v>0.0</v>
      </c>
      <c r="R24" s="100">
        <v>0.0</v>
      </c>
      <c r="T24" s="100">
        <v>1.0</v>
      </c>
      <c r="V24" s="100">
        <v>1.0</v>
      </c>
      <c r="X24" s="56">
        <v>0.0</v>
      </c>
      <c r="Y24" s="57"/>
      <c r="Z24" s="58">
        <v>25.0</v>
      </c>
      <c r="AA24" s="57"/>
      <c r="AB24" s="58">
        <v>25.0</v>
      </c>
      <c r="AC24" s="57"/>
      <c r="AD24" s="58">
        <v>0.0</v>
      </c>
      <c r="AE24" s="59"/>
      <c r="AF24" s="94">
        <f t="shared" si="1"/>
        <v>4062.91</v>
      </c>
      <c r="AG24" s="42">
        <f t="shared" si="2"/>
        <v>186</v>
      </c>
      <c r="AH24" s="42">
        <f t="shared" si="3"/>
        <v>2</v>
      </c>
      <c r="AI24" s="42">
        <f t="shared" si="4"/>
        <v>188</v>
      </c>
      <c r="AJ24" s="95">
        <f t="shared" si="5"/>
        <v>21.6112234</v>
      </c>
    </row>
    <row r="25">
      <c r="A25" s="64" t="s">
        <v>26</v>
      </c>
      <c r="B25" s="65">
        <f t="shared" si="6"/>
        <v>45678</v>
      </c>
      <c r="C25" s="64">
        <v>1.0</v>
      </c>
      <c r="D25" s="66" t="s">
        <v>36</v>
      </c>
      <c r="E25" s="45" t="s">
        <v>34</v>
      </c>
      <c r="F25" s="47">
        <v>0.0</v>
      </c>
      <c r="H25" s="49">
        <v>0.0</v>
      </c>
      <c r="J25" s="49">
        <v>0.0</v>
      </c>
      <c r="L25" s="110">
        <v>68.0</v>
      </c>
      <c r="N25" s="100">
        <v>68.0</v>
      </c>
      <c r="P25" s="100">
        <v>0.0</v>
      </c>
      <c r="R25" s="100">
        <v>0.0</v>
      </c>
      <c r="T25" s="100">
        <v>0.0</v>
      </c>
      <c r="V25" s="100">
        <v>0.0</v>
      </c>
      <c r="X25" s="50">
        <v>0.0</v>
      </c>
      <c r="Z25" s="52">
        <v>25.0</v>
      </c>
      <c r="AB25" s="52">
        <v>25.0</v>
      </c>
      <c r="AD25" s="52">
        <v>0.0</v>
      </c>
      <c r="AE25" s="28"/>
      <c r="AF25" s="96">
        <f t="shared" si="1"/>
        <v>3297.78</v>
      </c>
      <c r="AG25" s="64">
        <f t="shared" si="2"/>
        <v>186</v>
      </c>
      <c r="AH25" s="64">
        <f t="shared" si="3"/>
        <v>0</v>
      </c>
      <c r="AI25" s="64">
        <f t="shared" si="4"/>
        <v>186</v>
      </c>
      <c r="AJ25" s="97">
        <f t="shared" si="5"/>
        <v>17.73</v>
      </c>
    </row>
    <row r="26">
      <c r="A26" s="64" t="s">
        <v>27</v>
      </c>
      <c r="B26" s="65">
        <f t="shared" si="6"/>
        <v>45679</v>
      </c>
      <c r="C26" s="64">
        <v>1.0</v>
      </c>
      <c r="D26" s="66" t="s">
        <v>36</v>
      </c>
      <c r="E26" s="45" t="s">
        <v>34</v>
      </c>
      <c r="F26" s="47">
        <v>0.0</v>
      </c>
      <c r="H26" s="49">
        <v>0.0</v>
      </c>
      <c r="J26" s="49">
        <v>0.0</v>
      </c>
      <c r="L26" s="110">
        <v>76.0</v>
      </c>
      <c r="N26" s="100">
        <v>76.0</v>
      </c>
      <c r="P26" s="100">
        <v>0.0</v>
      </c>
      <c r="R26" s="100">
        <v>0.0</v>
      </c>
      <c r="T26" s="100">
        <v>0.0</v>
      </c>
      <c r="V26" s="100">
        <v>0.0</v>
      </c>
      <c r="X26" s="50">
        <v>0.0</v>
      </c>
      <c r="Z26" s="52">
        <v>25.0</v>
      </c>
      <c r="AB26" s="52">
        <v>25.0</v>
      </c>
      <c r="AD26" s="52">
        <v>0.0</v>
      </c>
      <c r="AE26" s="28"/>
      <c r="AF26" s="96">
        <f t="shared" si="1"/>
        <v>3581.46</v>
      </c>
      <c r="AG26" s="64">
        <f t="shared" si="2"/>
        <v>202</v>
      </c>
      <c r="AH26" s="64">
        <f t="shared" si="3"/>
        <v>0</v>
      </c>
      <c r="AI26" s="64">
        <f t="shared" si="4"/>
        <v>202</v>
      </c>
      <c r="AJ26" s="97">
        <f t="shared" si="5"/>
        <v>17.73</v>
      </c>
    </row>
    <row r="27">
      <c r="A27" s="64" t="s">
        <v>28</v>
      </c>
      <c r="B27" s="65">
        <f t="shared" si="6"/>
        <v>45680</v>
      </c>
      <c r="C27" s="64">
        <v>1.0</v>
      </c>
      <c r="D27" s="66" t="s">
        <v>36</v>
      </c>
      <c r="E27" s="45" t="s">
        <v>34</v>
      </c>
      <c r="F27" s="47">
        <v>0.0</v>
      </c>
      <c r="H27" s="49">
        <v>0.0</v>
      </c>
      <c r="J27" s="49">
        <v>0.0</v>
      </c>
      <c r="L27" s="110">
        <v>91.0</v>
      </c>
      <c r="N27" s="100">
        <v>91.0</v>
      </c>
      <c r="P27" s="100">
        <v>0.0</v>
      </c>
      <c r="R27" s="100">
        <v>0.0</v>
      </c>
      <c r="T27" s="100">
        <v>0.0</v>
      </c>
      <c r="V27" s="100">
        <v>0.0</v>
      </c>
      <c r="X27" s="50">
        <v>0.0</v>
      </c>
      <c r="Z27" s="52">
        <v>25.0</v>
      </c>
      <c r="AB27" s="52">
        <v>25.0</v>
      </c>
      <c r="AD27" s="52">
        <v>0.0</v>
      </c>
      <c r="AE27" s="28"/>
      <c r="AF27" s="96">
        <f t="shared" si="1"/>
        <v>4113.36</v>
      </c>
      <c r="AG27" s="64">
        <f t="shared" si="2"/>
        <v>232</v>
      </c>
      <c r="AH27" s="64">
        <f t="shared" si="3"/>
        <v>0</v>
      </c>
      <c r="AI27" s="64">
        <f t="shared" si="4"/>
        <v>232</v>
      </c>
      <c r="AJ27" s="97">
        <f t="shared" si="5"/>
        <v>17.73</v>
      </c>
    </row>
    <row r="28">
      <c r="A28" s="64" t="s">
        <v>29</v>
      </c>
      <c r="B28" s="65">
        <f t="shared" si="6"/>
        <v>45681</v>
      </c>
      <c r="C28" s="64">
        <v>1.0</v>
      </c>
      <c r="D28" s="66" t="s">
        <v>36</v>
      </c>
      <c r="E28" s="45" t="s">
        <v>34</v>
      </c>
      <c r="F28" s="47">
        <v>0.0</v>
      </c>
      <c r="H28" s="49">
        <v>0.0</v>
      </c>
      <c r="J28" s="49">
        <v>0.0</v>
      </c>
      <c r="L28" s="110">
        <v>91.0</v>
      </c>
      <c r="N28" s="100">
        <v>91.0</v>
      </c>
      <c r="P28" s="100">
        <v>0.0</v>
      </c>
      <c r="R28" s="100">
        <v>0.0</v>
      </c>
      <c r="T28" s="100">
        <v>0.0</v>
      </c>
      <c r="V28" s="100">
        <v>0.0</v>
      </c>
      <c r="X28" s="50">
        <v>0.0</v>
      </c>
      <c r="Z28" s="52">
        <v>25.0</v>
      </c>
      <c r="AB28" s="52">
        <v>25.0</v>
      </c>
      <c r="AD28" s="52">
        <v>0.0</v>
      </c>
      <c r="AE28" s="28"/>
      <c r="AF28" s="96">
        <f t="shared" si="1"/>
        <v>4113.36</v>
      </c>
      <c r="AG28" s="64">
        <f t="shared" si="2"/>
        <v>232</v>
      </c>
      <c r="AH28" s="64">
        <f t="shared" si="3"/>
        <v>0</v>
      </c>
      <c r="AI28" s="64">
        <f t="shared" si="4"/>
        <v>232</v>
      </c>
      <c r="AJ28" s="97">
        <f t="shared" si="5"/>
        <v>17.73</v>
      </c>
    </row>
    <row r="29">
      <c r="A29" s="64" t="s">
        <v>30</v>
      </c>
      <c r="B29" s="65">
        <f t="shared" si="6"/>
        <v>45682</v>
      </c>
      <c r="C29" s="64">
        <v>1.0</v>
      </c>
      <c r="D29" s="66" t="s">
        <v>36</v>
      </c>
      <c r="E29" s="45" t="s">
        <v>34</v>
      </c>
      <c r="F29" s="47">
        <v>0.0</v>
      </c>
      <c r="H29" s="49">
        <v>0.0</v>
      </c>
      <c r="J29" s="49">
        <v>0.0</v>
      </c>
      <c r="L29" s="110">
        <v>91.0</v>
      </c>
      <c r="N29" s="100">
        <v>91.0</v>
      </c>
      <c r="P29" s="100">
        <v>0.0</v>
      </c>
      <c r="R29" s="100">
        <v>0.0</v>
      </c>
      <c r="T29" s="100">
        <v>0.0</v>
      </c>
      <c r="V29" s="100">
        <v>0.0</v>
      </c>
      <c r="X29" s="50">
        <v>0.0</v>
      </c>
      <c r="Z29" s="52">
        <v>0.0</v>
      </c>
      <c r="AB29" s="52">
        <v>0.0</v>
      </c>
      <c r="AD29" s="52">
        <v>0.0</v>
      </c>
      <c r="AE29" s="28"/>
      <c r="AF29" s="96">
        <f t="shared" si="1"/>
        <v>3226.86</v>
      </c>
      <c r="AG29" s="64">
        <f t="shared" si="2"/>
        <v>182</v>
      </c>
      <c r="AH29" s="64">
        <f t="shared" si="3"/>
        <v>0</v>
      </c>
      <c r="AI29" s="64">
        <f t="shared" si="4"/>
        <v>182</v>
      </c>
      <c r="AJ29" s="97">
        <f t="shared" si="5"/>
        <v>17.73</v>
      </c>
    </row>
    <row r="30">
      <c r="A30" s="83" t="s">
        <v>31</v>
      </c>
      <c r="B30" s="84">
        <f t="shared" si="6"/>
        <v>45683</v>
      </c>
      <c r="C30" s="83">
        <v>1.0</v>
      </c>
      <c r="D30" s="85" t="s">
        <v>36</v>
      </c>
      <c r="E30" s="106" t="s">
        <v>34</v>
      </c>
      <c r="F30" s="87">
        <v>0.0</v>
      </c>
      <c r="G30" s="75"/>
      <c r="H30" s="88">
        <v>0.0</v>
      </c>
      <c r="I30" s="75"/>
      <c r="J30" s="88">
        <v>0.0</v>
      </c>
      <c r="K30" s="75"/>
      <c r="L30" s="113">
        <v>91.0</v>
      </c>
      <c r="M30" s="75"/>
      <c r="N30" s="107">
        <v>91.0</v>
      </c>
      <c r="O30" s="75"/>
      <c r="P30" s="107">
        <v>0.0</v>
      </c>
      <c r="Q30" s="75"/>
      <c r="R30" s="107">
        <v>0.0</v>
      </c>
      <c r="S30" s="75"/>
      <c r="T30" s="107">
        <v>0.0</v>
      </c>
      <c r="U30" s="75"/>
      <c r="V30" s="107">
        <v>0.0</v>
      </c>
      <c r="W30" s="75"/>
      <c r="X30" s="89">
        <v>0.0</v>
      </c>
      <c r="Y30" s="75"/>
      <c r="Z30" s="90">
        <v>0.0</v>
      </c>
      <c r="AA30" s="75"/>
      <c r="AB30" s="90">
        <v>0.0</v>
      </c>
      <c r="AC30" s="75"/>
      <c r="AD30" s="90">
        <v>0.0</v>
      </c>
      <c r="AE30" s="77"/>
      <c r="AF30" s="98">
        <f t="shared" si="1"/>
        <v>3226.86</v>
      </c>
      <c r="AG30" s="83">
        <f t="shared" si="2"/>
        <v>182</v>
      </c>
      <c r="AH30" s="83">
        <f t="shared" si="3"/>
        <v>0</v>
      </c>
      <c r="AI30" s="83">
        <f t="shared" si="4"/>
        <v>182</v>
      </c>
      <c r="AJ30" s="92">
        <f t="shared" si="5"/>
        <v>17.73</v>
      </c>
    </row>
    <row r="31">
      <c r="A31" s="42" t="s">
        <v>23</v>
      </c>
      <c r="B31" s="43">
        <f t="shared" si="6"/>
        <v>45684</v>
      </c>
      <c r="C31" s="42">
        <v>2.0</v>
      </c>
      <c r="D31" s="44" t="s">
        <v>24</v>
      </c>
      <c r="E31" s="99" t="s">
        <v>34</v>
      </c>
      <c r="F31" s="47">
        <v>0.0</v>
      </c>
      <c r="H31" s="49">
        <v>0.0</v>
      </c>
      <c r="J31" s="49">
        <v>0.0</v>
      </c>
      <c r="L31" s="110">
        <v>75.0</v>
      </c>
      <c r="N31" s="100">
        <v>75.0</v>
      </c>
      <c r="P31" s="100">
        <v>0.0</v>
      </c>
      <c r="R31" s="100">
        <v>0.0</v>
      </c>
      <c r="T31" s="100">
        <v>1.0</v>
      </c>
      <c r="V31" s="100">
        <v>1.0</v>
      </c>
      <c r="X31" s="56">
        <v>0.0</v>
      </c>
      <c r="Y31" s="57"/>
      <c r="Z31" s="58">
        <v>25.0</v>
      </c>
      <c r="AA31" s="57"/>
      <c r="AB31" s="58">
        <v>25.0</v>
      </c>
      <c r="AC31" s="57"/>
      <c r="AD31" s="58">
        <v>0.0</v>
      </c>
      <c r="AE31" s="59"/>
      <c r="AF31" s="94">
        <f t="shared" si="1"/>
        <v>4311.13</v>
      </c>
      <c r="AG31" s="42">
        <f t="shared" si="2"/>
        <v>200</v>
      </c>
      <c r="AH31" s="42">
        <f t="shared" si="3"/>
        <v>2</v>
      </c>
      <c r="AI31" s="42">
        <f t="shared" si="4"/>
        <v>202</v>
      </c>
      <c r="AJ31" s="95">
        <f t="shared" si="5"/>
        <v>21.34222772</v>
      </c>
    </row>
    <row r="32">
      <c r="A32" s="64" t="s">
        <v>26</v>
      </c>
      <c r="B32" s="65">
        <f t="shared" si="6"/>
        <v>45685</v>
      </c>
      <c r="C32" s="64">
        <v>2.0</v>
      </c>
      <c r="D32" s="66" t="s">
        <v>24</v>
      </c>
      <c r="E32" s="45" t="s">
        <v>34</v>
      </c>
      <c r="F32" s="47">
        <v>0.0</v>
      </c>
      <c r="H32" s="49">
        <v>0.0</v>
      </c>
      <c r="J32" s="49">
        <v>0.0</v>
      </c>
      <c r="L32" s="110">
        <v>75.0</v>
      </c>
      <c r="N32" s="100">
        <v>75.0</v>
      </c>
      <c r="P32" s="100">
        <v>0.0</v>
      </c>
      <c r="R32" s="100">
        <v>0.0</v>
      </c>
      <c r="T32" s="100">
        <v>0.0</v>
      </c>
      <c r="V32" s="100">
        <v>0.0</v>
      </c>
      <c r="X32" s="50">
        <v>0.0</v>
      </c>
      <c r="Z32" s="52">
        <v>25.0</v>
      </c>
      <c r="AB32" s="52">
        <v>25.0</v>
      </c>
      <c r="AD32" s="52">
        <v>0.0</v>
      </c>
      <c r="AE32" s="28"/>
      <c r="AF32" s="96">
        <f t="shared" si="1"/>
        <v>3546</v>
      </c>
      <c r="AG32" s="64">
        <f t="shared" si="2"/>
        <v>200</v>
      </c>
      <c r="AH32" s="64">
        <f t="shared" si="3"/>
        <v>0</v>
      </c>
      <c r="AI32" s="64">
        <f t="shared" si="4"/>
        <v>200</v>
      </c>
      <c r="AJ32" s="97">
        <f t="shared" si="5"/>
        <v>17.73</v>
      </c>
    </row>
    <row r="33">
      <c r="A33" s="64" t="s">
        <v>27</v>
      </c>
      <c r="B33" s="65">
        <f t="shared" si="6"/>
        <v>45686</v>
      </c>
      <c r="C33" s="64">
        <v>2.0</v>
      </c>
      <c r="D33" s="66" t="s">
        <v>24</v>
      </c>
      <c r="E33" s="45" t="s">
        <v>34</v>
      </c>
      <c r="F33" s="47">
        <v>0.0</v>
      </c>
      <c r="H33" s="49">
        <v>0.0</v>
      </c>
      <c r="J33" s="49">
        <v>0.0</v>
      </c>
      <c r="L33" s="110">
        <v>75.0</v>
      </c>
      <c r="N33" s="100">
        <v>75.0</v>
      </c>
      <c r="P33" s="100">
        <v>0.0</v>
      </c>
      <c r="R33" s="100">
        <v>0.0</v>
      </c>
      <c r="T33" s="100">
        <v>0.0</v>
      </c>
      <c r="V33" s="100">
        <v>0.0</v>
      </c>
      <c r="X33" s="50">
        <v>0.0</v>
      </c>
      <c r="Z33" s="52">
        <v>25.0</v>
      </c>
      <c r="AB33" s="52">
        <v>25.0</v>
      </c>
      <c r="AD33" s="52">
        <v>0.0</v>
      </c>
      <c r="AE33" s="28"/>
      <c r="AF33" s="96">
        <f t="shared" si="1"/>
        <v>3546</v>
      </c>
      <c r="AG33" s="64">
        <f t="shared" si="2"/>
        <v>200</v>
      </c>
      <c r="AH33" s="64">
        <f t="shared" si="3"/>
        <v>0</v>
      </c>
      <c r="AI33" s="64">
        <f t="shared" si="4"/>
        <v>200</v>
      </c>
      <c r="AJ33" s="97">
        <f t="shared" si="5"/>
        <v>17.73</v>
      </c>
    </row>
    <row r="34">
      <c r="A34" s="64" t="s">
        <v>28</v>
      </c>
      <c r="B34" s="65">
        <f t="shared" si="6"/>
        <v>45687</v>
      </c>
      <c r="C34" s="64">
        <v>2.0</v>
      </c>
      <c r="D34" s="66" t="s">
        <v>24</v>
      </c>
      <c r="E34" s="45" t="s">
        <v>34</v>
      </c>
      <c r="F34" s="47">
        <v>0.0</v>
      </c>
      <c r="H34" s="49">
        <v>0.0</v>
      </c>
      <c r="J34" s="49">
        <v>0.0</v>
      </c>
      <c r="L34" s="110">
        <v>75.0</v>
      </c>
      <c r="N34" s="100">
        <v>75.0</v>
      </c>
      <c r="P34" s="100">
        <v>0.0</v>
      </c>
      <c r="R34" s="100">
        <v>0.0</v>
      </c>
      <c r="T34" s="100">
        <v>0.0</v>
      </c>
      <c r="V34" s="100">
        <v>0.0</v>
      </c>
      <c r="X34" s="50">
        <v>0.0</v>
      </c>
      <c r="Z34" s="52">
        <v>25.0</v>
      </c>
      <c r="AB34" s="52">
        <v>25.0</v>
      </c>
      <c r="AD34" s="52">
        <v>0.0</v>
      </c>
      <c r="AE34" s="28"/>
      <c r="AF34" s="96">
        <f t="shared" si="1"/>
        <v>3546</v>
      </c>
      <c r="AG34" s="64">
        <f t="shared" si="2"/>
        <v>200</v>
      </c>
      <c r="AH34" s="64">
        <f t="shared" si="3"/>
        <v>0</v>
      </c>
      <c r="AI34" s="64">
        <f t="shared" si="4"/>
        <v>200</v>
      </c>
      <c r="AJ34" s="97">
        <f t="shared" si="5"/>
        <v>17.73</v>
      </c>
    </row>
    <row r="35">
      <c r="A35" s="64" t="s">
        <v>29</v>
      </c>
      <c r="B35" s="65">
        <f t="shared" si="6"/>
        <v>45688</v>
      </c>
      <c r="C35" s="64">
        <v>2.0</v>
      </c>
      <c r="D35" s="66" t="s">
        <v>24</v>
      </c>
      <c r="E35" s="45" t="s">
        <v>34</v>
      </c>
      <c r="F35" s="47">
        <v>0.0</v>
      </c>
      <c r="H35" s="49">
        <v>0.0</v>
      </c>
      <c r="J35" s="49">
        <v>0.0</v>
      </c>
      <c r="L35" s="110">
        <v>75.0</v>
      </c>
      <c r="N35" s="100">
        <v>75.0</v>
      </c>
      <c r="P35" s="100">
        <v>0.0</v>
      </c>
      <c r="R35" s="100">
        <v>0.0</v>
      </c>
      <c r="T35" s="100">
        <v>0.0</v>
      </c>
      <c r="V35" s="100">
        <v>0.0</v>
      </c>
      <c r="X35" s="50">
        <v>0.0</v>
      </c>
      <c r="Z35" s="52">
        <v>25.0</v>
      </c>
      <c r="AB35" s="52">
        <v>25.0</v>
      </c>
      <c r="AD35" s="52">
        <v>0.0</v>
      </c>
      <c r="AE35" s="28"/>
      <c r="AF35" s="96">
        <f t="shared" si="1"/>
        <v>3546</v>
      </c>
      <c r="AG35" s="64">
        <f t="shared" si="2"/>
        <v>200</v>
      </c>
      <c r="AH35" s="64">
        <f t="shared" si="3"/>
        <v>0</v>
      </c>
      <c r="AI35" s="64">
        <f t="shared" si="4"/>
        <v>200</v>
      </c>
      <c r="AJ35" s="97">
        <f t="shared" si="5"/>
        <v>17.73</v>
      </c>
    </row>
    <row r="36">
      <c r="A36" s="64" t="s">
        <v>30</v>
      </c>
      <c r="B36" s="65">
        <f t="shared" si="6"/>
        <v>45689</v>
      </c>
      <c r="C36" s="64">
        <v>2.0</v>
      </c>
      <c r="D36" s="66" t="s">
        <v>24</v>
      </c>
      <c r="E36" s="45" t="s">
        <v>34</v>
      </c>
      <c r="F36" s="47">
        <v>0.0</v>
      </c>
      <c r="H36" s="49">
        <v>0.0</v>
      </c>
      <c r="J36" s="49">
        <v>0.0</v>
      </c>
      <c r="L36" s="110">
        <v>75.0</v>
      </c>
      <c r="N36" s="100">
        <v>75.0</v>
      </c>
      <c r="P36" s="100">
        <v>0.0</v>
      </c>
      <c r="R36" s="100">
        <v>0.0</v>
      </c>
      <c r="T36" s="100">
        <v>0.0</v>
      </c>
      <c r="V36" s="100">
        <v>0.0</v>
      </c>
      <c r="X36" s="50">
        <v>0.0</v>
      </c>
      <c r="Z36" s="52">
        <v>0.0</v>
      </c>
      <c r="AB36" s="52">
        <v>0.0</v>
      </c>
      <c r="AD36" s="52">
        <v>0.0</v>
      </c>
      <c r="AE36" s="28"/>
      <c r="AF36" s="96">
        <f t="shared" si="1"/>
        <v>2659.5</v>
      </c>
      <c r="AG36" s="64">
        <f t="shared" si="2"/>
        <v>150</v>
      </c>
      <c r="AH36" s="64">
        <f t="shared" si="3"/>
        <v>0</v>
      </c>
      <c r="AI36" s="64">
        <f t="shared" si="4"/>
        <v>150</v>
      </c>
      <c r="AJ36" s="97">
        <f t="shared" si="5"/>
        <v>17.73</v>
      </c>
    </row>
    <row r="37">
      <c r="A37" s="83" t="s">
        <v>31</v>
      </c>
      <c r="B37" s="84">
        <f t="shared" si="6"/>
        <v>45690</v>
      </c>
      <c r="C37" s="83">
        <v>2.0</v>
      </c>
      <c r="D37" s="85" t="s">
        <v>24</v>
      </c>
      <c r="E37" s="106" t="s">
        <v>34</v>
      </c>
      <c r="F37" s="87">
        <v>0.0</v>
      </c>
      <c r="G37" s="75"/>
      <c r="H37" s="88">
        <v>0.0</v>
      </c>
      <c r="I37" s="75"/>
      <c r="J37" s="88">
        <v>0.0</v>
      </c>
      <c r="K37" s="75"/>
      <c r="L37" s="113">
        <v>75.0</v>
      </c>
      <c r="M37" s="75"/>
      <c r="N37" s="107">
        <v>75.0</v>
      </c>
      <c r="O37" s="75"/>
      <c r="P37" s="107">
        <v>0.0</v>
      </c>
      <c r="Q37" s="75"/>
      <c r="R37" s="107">
        <v>0.0</v>
      </c>
      <c r="S37" s="75"/>
      <c r="T37" s="107">
        <v>0.0</v>
      </c>
      <c r="U37" s="75"/>
      <c r="V37" s="107">
        <v>0.0</v>
      </c>
      <c r="W37" s="75"/>
      <c r="X37" s="89">
        <v>0.0</v>
      </c>
      <c r="Y37" s="75"/>
      <c r="Z37" s="90">
        <v>0.0</v>
      </c>
      <c r="AA37" s="75"/>
      <c r="AB37" s="90">
        <v>0.0</v>
      </c>
      <c r="AC37" s="75"/>
      <c r="AD37" s="90">
        <v>0.0</v>
      </c>
      <c r="AE37" s="77"/>
      <c r="AF37" s="98">
        <f t="shared" si="1"/>
        <v>2659.5</v>
      </c>
      <c r="AG37" s="83">
        <f t="shared" si="2"/>
        <v>150</v>
      </c>
      <c r="AH37" s="83">
        <f t="shared" si="3"/>
        <v>0</v>
      </c>
      <c r="AI37" s="83">
        <f t="shared" si="4"/>
        <v>150</v>
      </c>
      <c r="AJ37" s="92">
        <f t="shared" si="5"/>
        <v>17.73</v>
      </c>
    </row>
    <row r="38">
      <c r="A38" s="42" t="s">
        <v>23</v>
      </c>
      <c r="B38" s="43">
        <f t="shared" si="6"/>
        <v>45691</v>
      </c>
      <c r="C38" s="42">
        <v>2.0</v>
      </c>
      <c r="D38" s="44" t="s">
        <v>32</v>
      </c>
      <c r="E38" s="99" t="s">
        <v>34</v>
      </c>
      <c r="F38" s="47">
        <v>0.0</v>
      </c>
      <c r="H38" s="49">
        <v>0.0</v>
      </c>
      <c r="J38" s="49">
        <v>0.0</v>
      </c>
      <c r="L38" s="110">
        <v>75.0</v>
      </c>
      <c r="N38" s="100">
        <v>75.0</v>
      </c>
      <c r="P38" s="100">
        <v>0.0</v>
      </c>
      <c r="R38" s="100">
        <v>0.0</v>
      </c>
      <c r="T38" s="100">
        <v>1.0</v>
      </c>
      <c r="V38" s="100">
        <v>1.0</v>
      </c>
      <c r="X38" s="56">
        <v>0.0</v>
      </c>
      <c r="Y38" s="57"/>
      <c r="Z38" s="58">
        <v>25.0</v>
      </c>
      <c r="AA38" s="57"/>
      <c r="AB38" s="58">
        <v>25.0</v>
      </c>
      <c r="AC38" s="57"/>
      <c r="AD38" s="58">
        <v>0.0</v>
      </c>
      <c r="AE38" s="59"/>
      <c r="AF38" s="94">
        <f t="shared" si="1"/>
        <v>4311.13</v>
      </c>
      <c r="AG38" s="42">
        <f t="shared" si="2"/>
        <v>200</v>
      </c>
      <c r="AH38" s="42">
        <f t="shared" si="3"/>
        <v>2</v>
      </c>
      <c r="AI38" s="42">
        <f t="shared" si="4"/>
        <v>202</v>
      </c>
      <c r="AJ38" s="95">
        <f t="shared" si="5"/>
        <v>21.34222772</v>
      </c>
    </row>
    <row r="39">
      <c r="A39" s="64" t="s">
        <v>26</v>
      </c>
      <c r="B39" s="65">
        <f t="shared" si="6"/>
        <v>45692</v>
      </c>
      <c r="C39" s="64">
        <v>2.0</v>
      </c>
      <c r="D39" s="66" t="s">
        <v>32</v>
      </c>
      <c r="E39" s="45" t="s">
        <v>34</v>
      </c>
      <c r="F39" s="47">
        <v>0.0</v>
      </c>
      <c r="H39" s="49">
        <v>0.0</v>
      </c>
      <c r="J39" s="49">
        <v>0.0</v>
      </c>
      <c r="L39" s="110">
        <v>75.0</v>
      </c>
      <c r="N39" s="100">
        <v>75.0</v>
      </c>
      <c r="P39" s="100">
        <v>0.0</v>
      </c>
      <c r="R39" s="100">
        <v>0.0</v>
      </c>
      <c r="T39" s="100">
        <v>0.0</v>
      </c>
      <c r="V39" s="100">
        <v>0.0</v>
      </c>
      <c r="X39" s="50">
        <v>0.0</v>
      </c>
      <c r="Z39" s="52">
        <v>25.0</v>
      </c>
      <c r="AB39" s="52">
        <v>25.0</v>
      </c>
      <c r="AD39" s="52">
        <v>0.0</v>
      </c>
      <c r="AE39" s="28"/>
      <c r="AF39" s="96">
        <f t="shared" si="1"/>
        <v>3546</v>
      </c>
      <c r="AG39" s="64">
        <f t="shared" si="2"/>
        <v>200</v>
      </c>
      <c r="AH39" s="64">
        <f t="shared" si="3"/>
        <v>0</v>
      </c>
      <c r="AI39" s="64">
        <f t="shared" si="4"/>
        <v>200</v>
      </c>
      <c r="AJ39" s="97">
        <f t="shared" si="5"/>
        <v>17.73</v>
      </c>
    </row>
    <row r="40">
      <c r="A40" s="64" t="s">
        <v>27</v>
      </c>
      <c r="B40" s="65">
        <f t="shared" si="6"/>
        <v>45693</v>
      </c>
      <c r="C40" s="64">
        <v>2.0</v>
      </c>
      <c r="D40" s="66" t="s">
        <v>32</v>
      </c>
      <c r="E40" s="45" t="s">
        <v>34</v>
      </c>
      <c r="F40" s="47">
        <v>0.0</v>
      </c>
      <c r="H40" s="49">
        <v>0.0</v>
      </c>
      <c r="J40" s="49">
        <v>0.0</v>
      </c>
      <c r="L40" s="110">
        <v>75.0</v>
      </c>
      <c r="N40" s="100">
        <v>75.0</v>
      </c>
      <c r="P40" s="100">
        <v>0.0</v>
      </c>
      <c r="R40" s="100">
        <v>0.0</v>
      </c>
      <c r="T40" s="100">
        <v>0.0</v>
      </c>
      <c r="V40" s="100">
        <v>0.0</v>
      </c>
      <c r="X40" s="50">
        <v>0.0</v>
      </c>
      <c r="Z40" s="52">
        <v>25.0</v>
      </c>
      <c r="AB40" s="52">
        <v>25.0</v>
      </c>
      <c r="AD40" s="52">
        <v>0.0</v>
      </c>
      <c r="AE40" s="28"/>
      <c r="AF40" s="96">
        <f t="shared" si="1"/>
        <v>3546</v>
      </c>
      <c r="AG40" s="64">
        <f t="shared" si="2"/>
        <v>200</v>
      </c>
      <c r="AH40" s="64">
        <f t="shared" si="3"/>
        <v>0</v>
      </c>
      <c r="AI40" s="64">
        <f t="shared" si="4"/>
        <v>200</v>
      </c>
      <c r="AJ40" s="97">
        <f t="shared" si="5"/>
        <v>17.73</v>
      </c>
    </row>
    <row r="41">
      <c r="A41" s="64" t="s">
        <v>28</v>
      </c>
      <c r="B41" s="65">
        <f t="shared" si="6"/>
        <v>45694</v>
      </c>
      <c r="C41" s="64">
        <v>2.0</v>
      </c>
      <c r="D41" s="66" t="s">
        <v>32</v>
      </c>
      <c r="E41" s="45" t="s">
        <v>34</v>
      </c>
      <c r="F41" s="47">
        <v>0.0</v>
      </c>
      <c r="H41" s="49">
        <v>0.0</v>
      </c>
      <c r="J41" s="49">
        <v>0.0</v>
      </c>
      <c r="L41" s="110">
        <v>75.0</v>
      </c>
      <c r="N41" s="100">
        <v>75.0</v>
      </c>
      <c r="P41" s="100">
        <v>0.0</v>
      </c>
      <c r="R41" s="100">
        <v>0.0</v>
      </c>
      <c r="T41" s="100">
        <v>0.0</v>
      </c>
      <c r="V41" s="100">
        <v>0.0</v>
      </c>
      <c r="X41" s="50">
        <v>0.0</v>
      </c>
      <c r="Z41" s="52">
        <v>25.0</v>
      </c>
      <c r="AB41" s="52">
        <v>25.0</v>
      </c>
      <c r="AD41" s="52">
        <v>0.0</v>
      </c>
      <c r="AE41" s="28"/>
      <c r="AF41" s="96">
        <f t="shared" si="1"/>
        <v>3546</v>
      </c>
      <c r="AG41" s="64">
        <f t="shared" si="2"/>
        <v>200</v>
      </c>
      <c r="AH41" s="64">
        <f t="shared" si="3"/>
        <v>0</v>
      </c>
      <c r="AI41" s="64">
        <f t="shared" si="4"/>
        <v>200</v>
      </c>
      <c r="AJ41" s="97">
        <f t="shared" si="5"/>
        <v>17.73</v>
      </c>
    </row>
    <row r="42">
      <c r="A42" s="64" t="s">
        <v>29</v>
      </c>
      <c r="B42" s="65">
        <f t="shared" si="6"/>
        <v>45695</v>
      </c>
      <c r="C42" s="64">
        <v>2.0</v>
      </c>
      <c r="D42" s="66" t="s">
        <v>32</v>
      </c>
      <c r="E42" s="45" t="s">
        <v>34</v>
      </c>
      <c r="F42" s="47">
        <v>0.0</v>
      </c>
      <c r="H42" s="49">
        <v>0.0</v>
      </c>
      <c r="J42" s="49">
        <v>0.0</v>
      </c>
      <c r="L42" s="110">
        <v>75.0</v>
      </c>
      <c r="N42" s="100">
        <v>75.0</v>
      </c>
      <c r="P42" s="100">
        <v>0.0</v>
      </c>
      <c r="R42" s="100">
        <v>0.0</v>
      </c>
      <c r="T42" s="100">
        <v>0.0</v>
      </c>
      <c r="V42" s="100">
        <v>0.0</v>
      </c>
      <c r="X42" s="50">
        <v>0.0</v>
      </c>
      <c r="Z42" s="52">
        <v>25.0</v>
      </c>
      <c r="AB42" s="52">
        <v>25.0</v>
      </c>
      <c r="AD42" s="52">
        <v>0.0</v>
      </c>
      <c r="AE42" s="28"/>
      <c r="AF42" s="96">
        <f t="shared" si="1"/>
        <v>3546</v>
      </c>
      <c r="AG42" s="64">
        <f t="shared" si="2"/>
        <v>200</v>
      </c>
      <c r="AH42" s="64">
        <f t="shared" si="3"/>
        <v>0</v>
      </c>
      <c r="AI42" s="64">
        <f t="shared" si="4"/>
        <v>200</v>
      </c>
      <c r="AJ42" s="97">
        <f t="shared" si="5"/>
        <v>17.73</v>
      </c>
    </row>
    <row r="43">
      <c r="A43" s="64" t="s">
        <v>30</v>
      </c>
      <c r="B43" s="65">
        <f t="shared" si="6"/>
        <v>45696</v>
      </c>
      <c r="C43" s="64">
        <v>2.0</v>
      </c>
      <c r="D43" s="66" t="s">
        <v>32</v>
      </c>
      <c r="E43" s="45" t="s">
        <v>34</v>
      </c>
      <c r="F43" s="47">
        <v>0.0</v>
      </c>
      <c r="H43" s="49">
        <v>0.0</v>
      </c>
      <c r="J43" s="49">
        <v>0.0</v>
      </c>
      <c r="L43" s="110">
        <v>75.0</v>
      </c>
      <c r="N43" s="100">
        <v>75.0</v>
      </c>
      <c r="P43" s="100">
        <v>0.0</v>
      </c>
      <c r="R43" s="100">
        <v>0.0</v>
      </c>
      <c r="T43" s="100">
        <v>0.0</v>
      </c>
      <c r="V43" s="100">
        <v>0.0</v>
      </c>
      <c r="X43" s="50">
        <v>0.0</v>
      </c>
      <c r="Z43" s="52">
        <v>0.0</v>
      </c>
      <c r="AB43" s="52">
        <v>0.0</v>
      </c>
      <c r="AD43" s="52">
        <v>0.0</v>
      </c>
      <c r="AE43" s="28"/>
      <c r="AF43" s="96">
        <f t="shared" si="1"/>
        <v>2659.5</v>
      </c>
      <c r="AG43" s="64">
        <f t="shared" si="2"/>
        <v>150</v>
      </c>
      <c r="AH43" s="64">
        <f t="shared" si="3"/>
        <v>0</v>
      </c>
      <c r="AI43" s="64">
        <f t="shared" si="4"/>
        <v>150</v>
      </c>
      <c r="AJ43" s="97">
        <f t="shared" si="5"/>
        <v>17.73</v>
      </c>
    </row>
    <row r="44">
      <c r="A44" s="83" t="s">
        <v>31</v>
      </c>
      <c r="B44" s="84">
        <f t="shared" si="6"/>
        <v>45697</v>
      </c>
      <c r="C44" s="83">
        <v>2.0</v>
      </c>
      <c r="D44" s="85" t="s">
        <v>32</v>
      </c>
      <c r="E44" s="106" t="s">
        <v>34</v>
      </c>
      <c r="F44" s="87">
        <v>0.0</v>
      </c>
      <c r="G44" s="75"/>
      <c r="H44" s="88">
        <v>0.0</v>
      </c>
      <c r="I44" s="75"/>
      <c r="J44" s="88">
        <v>0.0</v>
      </c>
      <c r="K44" s="75"/>
      <c r="L44" s="113">
        <v>75.0</v>
      </c>
      <c r="M44" s="75"/>
      <c r="N44" s="107">
        <v>75.0</v>
      </c>
      <c r="O44" s="75"/>
      <c r="P44" s="107">
        <v>0.0</v>
      </c>
      <c r="Q44" s="75"/>
      <c r="R44" s="107">
        <v>0.0</v>
      </c>
      <c r="S44" s="75"/>
      <c r="T44" s="123">
        <v>0.0</v>
      </c>
      <c r="U44" s="75"/>
      <c r="V44" s="107">
        <v>0.0</v>
      </c>
      <c r="W44" s="75"/>
      <c r="X44" s="89">
        <v>0.0</v>
      </c>
      <c r="Y44" s="75"/>
      <c r="Z44" s="90">
        <v>0.0</v>
      </c>
      <c r="AA44" s="75"/>
      <c r="AB44" s="90">
        <v>0.0</v>
      </c>
      <c r="AC44" s="75"/>
      <c r="AD44" s="90">
        <v>0.0</v>
      </c>
      <c r="AE44" s="77"/>
      <c r="AF44" s="98">
        <f t="shared" si="1"/>
        <v>2659.5</v>
      </c>
      <c r="AG44" s="83">
        <f t="shared" si="2"/>
        <v>150</v>
      </c>
      <c r="AH44" s="83">
        <f t="shared" si="3"/>
        <v>0</v>
      </c>
      <c r="AI44" s="83">
        <f t="shared" si="4"/>
        <v>150</v>
      </c>
      <c r="AJ44" s="92">
        <f t="shared" si="5"/>
        <v>17.73</v>
      </c>
    </row>
    <row r="45">
      <c r="A45" s="42" t="s">
        <v>23</v>
      </c>
      <c r="B45" s="43">
        <f t="shared" si="6"/>
        <v>45698</v>
      </c>
      <c r="C45" s="42">
        <v>2.0</v>
      </c>
      <c r="D45" s="44" t="s">
        <v>33</v>
      </c>
      <c r="E45" s="99" t="s">
        <v>37</v>
      </c>
      <c r="F45" s="124">
        <v>80.0</v>
      </c>
      <c r="H45" s="125">
        <v>80.0</v>
      </c>
      <c r="J45" s="125">
        <v>0.0</v>
      </c>
      <c r="L45" s="126">
        <v>175.0</v>
      </c>
      <c r="N45" s="127">
        <v>175.0</v>
      </c>
      <c r="P45" s="100">
        <v>0.0</v>
      </c>
      <c r="R45" s="100">
        <v>0.0</v>
      </c>
      <c r="T45" s="100">
        <v>1.0</v>
      </c>
      <c r="V45" s="100">
        <v>1.0</v>
      </c>
      <c r="X45" s="56">
        <v>0.0</v>
      </c>
      <c r="Y45" s="57"/>
      <c r="Z45" s="58">
        <v>25.0</v>
      </c>
      <c r="AA45" s="57"/>
      <c r="AB45" s="58">
        <v>25.0</v>
      </c>
      <c r="AC45" s="57"/>
      <c r="AD45" s="58">
        <v>0.0</v>
      </c>
      <c r="AE45" s="59"/>
      <c r="AF45" s="94">
        <f t="shared" si="1"/>
        <v>12324.33</v>
      </c>
      <c r="AG45" s="42">
        <f t="shared" si="2"/>
        <v>560</v>
      </c>
      <c r="AH45" s="42">
        <f t="shared" si="3"/>
        <v>2</v>
      </c>
      <c r="AI45" s="42">
        <f t="shared" si="4"/>
        <v>562</v>
      </c>
      <c r="AJ45" s="95">
        <f t="shared" si="5"/>
        <v>21.92941281</v>
      </c>
    </row>
    <row r="46">
      <c r="A46" s="64" t="s">
        <v>26</v>
      </c>
      <c r="B46" s="65">
        <f t="shared" si="6"/>
        <v>45699</v>
      </c>
      <c r="C46" s="64">
        <v>2.0</v>
      </c>
      <c r="D46" s="66" t="s">
        <v>33</v>
      </c>
      <c r="E46" s="45" t="s">
        <v>37</v>
      </c>
      <c r="F46" s="124">
        <v>120.0</v>
      </c>
      <c r="H46" s="125">
        <v>120.0</v>
      </c>
      <c r="J46" s="125">
        <v>0.0</v>
      </c>
      <c r="L46" s="126">
        <v>115.0</v>
      </c>
      <c r="N46" s="127">
        <v>115.0</v>
      </c>
      <c r="P46" s="100">
        <v>0.0</v>
      </c>
      <c r="R46" s="100">
        <v>0.0</v>
      </c>
      <c r="T46" s="100">
        <v>0.0</v>
      </c>
      <c r="V46" s="100">
        <v>0.0</v>
      </c>
      <c r="X46" s="50">
        <v>0.0</v>
      </c>
      <c r="Z46" s="52">
        <v>25.0</v>
      </c>
      <c r="AB46" s="52">
        <v>25.0</v>
      </c>
      <c r="AD46" s="52">
        <v>0.0</v>
      </c>
      <c r="AE46" s="28"/>
      <c r="AF46" s="96">
        <f t="shared" si="1"/>
        <v>11665.2</v>
      </c>
      <c r="AG46" s="64">
        <f t="shared" si="2"/>
        <v>520</v>
      </c>
      <c r="AH46" s="64">
        <f t="shared" si="3"/>
        <v>0</v>
      </c>
      <c r="AI46" s="64">
        <f t="shared" si="4"/>
        <v>520</v>
      </c>
      <c r="AJ46" s="97">
        <f t="shared" si="5"/>
        <v>22.43307692</v>
      </c>
    </row>
    <row r="47">
      <c r="A47" s="64" t="s">
        <v>27</v>
      </c>
      <c r="B47" s="65">
        <f t="shared" si="6"/>
        <v>45700</v>
      </c>
      <c r="C47" s="64">
        <v>2.0</v>
      </c>
      <c r="D47" s="66" t="s">
        <v>33</v>
      </c>
      <c r="E47" s="45" t="s">
        <v>37</v>
      </c>
      <c r="F47" s="124">
        <v>120.0</v>
      </c>
      <c r="H47" s="125">
        <v>120.0</v>
      </c>
      <c r="J47" s="125">
        <v>0.0</v>
      </c>
      <c r="L47" s="126">
        <v>115.0</v>
      </c>
      <c r="N47" s="127">
        <v>115.0</v>
      </c>
      <c r="P47" s="100">
        <v>0.0</v>
      </c>
      <c r="R47" s="100">
        <v>0.0</v>
      </c>
      <c r="T47" s="100">
        <v>0.0</v>
      </c>
      <c r="V47" s="100">
        <v>0.0</v>
      </c>
      <c r="X47" s="50">
        <v>0.0</v>
      </c>
      <c r="Z47" s="52">
        <v>25.0</v>
      </c>
      <c r="AB47" s="52">
        <v>25.0</v>
      </c>
      <c r="AD47" s="52">
        <v>0.0</v>
      </c>
      <c r="AE47" s="28"/>
      <c r="AF47" s="96">
        <f t="shared" si="1"/>
        <v>11665.2</v>
      </c>
      <c r="AG47" s="64">
        <f t="shared" si="2"/>
        <v>520</v>
      </c>
      <c r="AH47" s="64">
        <f t="shared" si="3"/>
        <v>0</v>
      </c>
      <c r="AI47" s="64">
        <f t="shared" si="4"/>
        <v>520</v>
      </c>
      <c r="AJ47" s="97">
        <f t="shared" si="5"/>
        <v>22.43307692</v>
      </c>
    </row>
    <row r="48">
      <c r="A48" s="64" t="s">
        <v>28</v>
      </c>
      <c r="B48" s="65">
        <f t="shared" si="6"/>
        <v>45701</v>
      </c>
      <c r="C48" s="64">
        <v>2.0</v>
      </c>
      <c r="D48" s="66" t="s">
        <v>33</v>
      </c>
      <c r="E48" s="45" t="s">
        <v>37</v>
      </c>
      <c r="F48" s="124">
        <v>120.0</v>
      </c>
      <c r="H48" s="125">
        <v>120.0</v>
      </c>
      <c r="J48" s="125">
        <v>0.0</v>
      </c>
      <c r="L48" s="126">
        <v>115.0</v>
      </c>
      <c r="N48" s="127">
        <v>115.0</v>
      </c>
      <c r="P48" s="100">
        <v>0.0</v>
      </c>
      <c r="R48" s="100">
        <v>0.0</v>
      </c>
      <c r="T48" s="100">
        <v>0.0</v>
      </c>
      <c r="V48" s="100">
        <v>0.0</v>
      </c>
      <c r="X48" s="50">
        <v>0.0</v>
      </c>
      <c r="Z48" s="52">
        <v>25.0</v>
      </c>
      <c r="AB48" s="52">
        <v>25.0</v>
      </c>
      <c r="AD48" s="52">
        <v>0.0</v>
      </c>
      <c r="AE48" s="28"/>
      <c r="AF48" s="96">
        <f t="shared" si="1"/>
        <v>11665.2</v>
      </c>
      <c r="AG48" s="64">
        <f t="shared" si="2"/>
        <v>520</v>
      </c>
      <c r="AH48" s="64">
        <f t="shared" si="3"/>
        <v>0</v>
      </c>
      <c r="AI48" s="64">
        <f t="shared" si="4"/>
        <v>520</v>
      </c>
      <c r="AJ48" s="97">
        <f t="shared" si="5"/>
        <v>22.43307692</v>
      </c>
    </row>
    <row r="49">
      <c r="A49" s="64" t="s">
        <v>29</v>
      </c>
      <c r="B49" s="65">
        <f t="shared" si="6"/>
        <v>45702</v>
      </c>
      <c r="C49" s="64">
        <v>2.0</v>
      </c>
      <c r="D49" s="66" t="s">
        <v>33</v>
      </c>
      <c r="E49" s="45" t="s">
        <v>37</v>
      </c>
      <c r="F49" s="124">
        <v>120.0</v>
      </c>
      <c r="H49" s="125">
        <v>120.0</v>
      </c>
      <c r="J49" s="125">
        <v>0.0</v>
      </c>
      <c r="L49" s="126">
        <v>115.0</v>
      </c>
      <c r="N49" s="127">
        <v>115.0</v>
      </c>
      <c r="P49" s="100">
        <v>0.0</v>
      </c>
      <c r="R49" s="100">
        <v>0.0</v>
      </c>
      <c r="T49" s="100">
        <v>0.0</v>
      </c>
      <c r="V49" s="100">
        <v>0.0</v>
      </c>
      <c r="X49" s="50">
        <v>0.0</v>
      </c>
      <c r="Z49" s="52">
        <v>25.0</v>
      </c>
      <c r="AB49" s="52">
        <v>25.0</v>
      </c>
      <c r="AD49" s="52">
        <v>0.0</v>
      </c>
      <c r="AE49" s="28"/>
      <c r="AF49" s="96">
        <f t="shared" si="1"/>
        <v>11665.2</v>
      </c>
      <c r="AG49" s="64">
        <f t="shared" si="2"/>
        <v>520</v>
      </c>
      <c r="AH49" s="64">
        <f t="shared" si="3"/>
        <v>0</v>
      </c>
      <c r="AI49" s="64">
        <f t="shared" si="4"/>
        <v>520</v>
      </c>
      <c r="AJ49" s="97">
        <f t="shared" si="5"/>
        <v>22.43307692</v>
      </c>
    </row>
    <row r="50">
      <c r="A50" s="64" t="s">
        <v>30</v>
      </c>
      <c r="B50" s="65">
        <f t="shared" si="6"/>
        <v>45703</v>
      </c>
      <c r="C50" s="64">
        <v>2.0</v>
      </c>
      <c r="D50" s="66" t="s">
        <v>33</v>
      </c>
      <c r="E50" s="45" t="s">
        <v>37</v>
      </c>
      <c r="F50" s="124">
        <v>120.0</v>
      </c>
      <c r="H50" s="125">
        <v>120.0</v>
      </c>
      <c r="J50" s="125">
        <v>0.0</v>
      </c>
      <c r="L50" s="126">
        <v>115.0</v>
      </c>
      <c r="N50" s="127">
        <v>115.0</v>
      </c>
      <c r="P50" s="100">
        <v>0.0</v>
      </c>
      <c r="R50" s="100">
        <v>0.0</v>
      </c>
      <c r="T50" s="100">
        <v>0.0</v>
      </c>
      <c r="V50" s="100">
        <v>0.0</v>
      </c>
      <c r="X50" s="50">
        <v>0.0</v>
      </c>
      <c r="Z50" s="52">
        <v>0.0</v>
      </c>
      <c r="AB50" s="52">
        <v>0.0</v>
      </c>
      <c r="AD50" s="52">
        <v>0.0</v>
      </c>
      <c r="AE50" s="28"/>
      <c r="AF50" s="96">
        <f t="shared" si="1"/>
        <v>10778.7</v>
      </c>
      <c r="AG50" s="64">
        <f t="shared" si="2"/>
        <v>470</v>
      </c>
      <c r="AH50" s="64">
        <f t="shared" si="3"/>
        <v>0</v>
      </c>
      <c r="AI50" s="64">
        <f t="shared" si="4"/>
        <v>470</v>
      </c>
      <c r="AJ50" s="97">
        <f t="shared" si="5"/>
        <v>22.93340426</v>
      </c>
    </row>
    <row r="51">
      <c r="A51" s="83" t="s">
        <v>31</v>
      </c>
      <c r="B51" s="84">
        <f t="shared" si="6"/>
        <v>45704</v>
      </c>
      <c r="C51" s="83">
        <v>2.0</v>
      </c>
      <c r="D51" s="85" t="s">
        <v>33</v>
      </c>
      <c r="E51" s="106" t="s">
        <v>37</v>
      </c>
      <c r="F51" s="132">
        <v>120.0</v>
      </c>
      <c r="G51" s="75"/>
      <c r="H51" s="133">
        <v>120.0</v>
      </c>
      <c r="I51" s="75"/>
      <c r="J51" s="133">
        <v>0.0</v>
      </c>
      <c r="K51" s="75"/>
      <c r="L51" s="135">
        <v>115.0</v>
      </c>
      <c r="M51" s="75"/>
      <c r="N51" s="136">
        <v>115.0</v>
      </c>
      <c r="O51" s="75"/>
      <c r="P51" s="107">
        <v>0.0</v>
      </c>
      <c r="Q51" s="75"/>
      <c r="R51" s="107">
        <v>0.0</v>
      </c>
      <c r="S51" s="75"/>
      <c r="T51" s="107">
        <v>0.0</v>
      </c>
      <c r="U51" s="75"/>
      <c r="V51" s="107">
        <v>0.0</v>
      </c>
      <c r="W51" s="75"/>
      <c r="X51" s="89">
        <v>0.0</v>
      </c>
      <c r="Y51" s="75"/>
      <c r="Z51" s="90">
        <v>0.0</v>
      </c>
      <c r="AA51" s="75"/>
      <c r="AB51" s="90">
        <v>0.0</v>
      </c>
      <c r="AC51" s="75"/>
      <c r="AD51" s="90">
        <v>0.0</v>
      </c>
      <c r="AE51" s="77"/>
      <c r="AF51" s="98">
        <f t="shared" si="1"/>
        <v>10778.7</v>
      </c>
      <c r="AG51" s="83">
        <f t="shared" si="2"/>
        <v>470</v>
      </c>
      <c r="AH51" s="83">
        <f t="shared" si="3"/>
        <v>0</v>
      </c>
      <c r="AI51" s="83">
        <f t="shared" si="4"/>
        <v>470</v>
      </c>
      <c r="AJ51" s="92">
        <f t="shared" si="5"/>
        <v>22.93340426</v>
      </c>
    </row>
    <row r="52">
      <c r="A52" s="42" t="s">
        <v>23</v>
      </c>
      <c r="B52" s="43">
        <f t="shared" si="6"/>
        <v>45705</v>
      </c>
      <c r="C52" s="42">
        <v>2.0</v>
      </c>
      <c r="D52" s="44" t="s">
        <v>36</v>
      </c>
      <c r="E52" s="99" t="s">
        <v>37</v>
      </c>
      <c r="F52" s="124">
        <v>140.0</v>
      </c>
      <c r="H52" s="125">
        <v>140.0</v>
      </c>
      <c r="J52" s="125">
        <v>0.0</v>
      </c>
      <c r="L52" s="126">
        <v>168.0</v>
      </c>
      <c r="N52" s="127">
        <v>168.0</v>
      </c>
      <c r="P52" s="100">
        <v>0.0</v>
      </c>
      <c r="R52" s="100">
        <v>0.0</v>
      </c>
      <c r="T52" s="100">
        <v>1.0</v>
      </c>
      <c r="V52" s="100">
        <v>1.0</v>
      </c>
      <c r="X52" s="56">
        <v>0.0</v>
      </c>
      <c r="Y52" s="57"/>
      <c r="Z52" s="58">
        <v>15.0</v>
      </c>
      <c r="AA52" s="57"/>
      <c r="AB52" s="58">
        <v>15.0</v>
      </c>
      <c r="AC52" s="57"/>
      <c r="AD52" s="58">
        <v>0.0</v>
      </c>
      <c r="AE52" s="59"/>
      <c r="AF52" s="94">
        <f t="shared" si="1"/>
        <v>15071.91</v>
      </c>
      <c r="AG52" s="42">
        <f t="shared" si="2"/>
        <v>646</v>
      </c>
      <c r="AH52" s="42">
        <f t="shared" si="3"/>
        <v>2</v>
      </c>
      <c r="AI52" s="42">
        <f t="shared" si="4"/>
        <v>648</v>
      </c>
      <c r="AJ52" s="95">
        <f t="shared" si="5"/>
        <v>23.25912037</v>
      </c>
    </row>
    <row r="53">
      <c r="A53" s="64" t="s">
        <v>26</v>
      </c>
      <c r="B53" s="65">
        <f t="shared" si="6"/>
        <v>45706</v>
      </c>
      <c r="C53" s="64">
        <v>2.0</v>
      </c>
      <c r="D53" s="66" t="s">
        <v>36</v>
      </c>
      <c r="E53" s="45" t="s">
        <v>37</v>
      </c>
      <c r="F53" s="124">
        <v>140.0</v>
      </c>
      <c r="H53" s="125">
        <v>140.0</v>
      </c>
      <c r="J53" s="125">
        <v>0.0</v>
      </c>
      <c r="L53" s="126">
        <v>168.0</v>
      </c>
      <c r="N53" s="127">
        <v>168.0</v>
      </c>
      <c r="P53" s="100">
        <v>0.0</v>
      </c>
      <c r="R53" s="100">
        <v>0.0</v>
      </c>
      <c r="T53" s="100">
        <v>0.0</v>
      </c>
      <c r="V53" s="100">
        <v>0.0</v>
      </c>
      <c r="X53" s="50">
        <v>0.0</v>
      </c>
      <c r="Z53" s="52">
        <v>15.0</v>
      </c>
      <c r="AB53" s="52">
        <v>15.0</v>
      </c>
      <c r="AD53" s="52">
        <v>0.0</v>
      </c>
      <c r="AE53" s="28"/>
      <c r="AF53" s="96">
        <f t="shared" si="1"/>
        <v>14306.78</v>
      </c>
      <c r="AG53" s="64">
        <f t="shared" si="2"/>
        <v>646</v>
      </c>
      <c r="AH53" s="64">
        <f t="shared" si="3"/>
        <v>0</v>
      </c>
      <c r="AI53" s="64">
        <f t="shared" si="4"/>
        <v>646</v>
      </c>
      <c r="AJ53" s="97">
        <f t="shared" si="5"/>
        <v>22.14671827</v>
      </c>
    </row>
    <row r="54">
      <c r="A54" s="64" t="s">
        <v>27</v>
      </c>
      <c r="B54" s="65">
        <f t="shared" si="6"/>
        <v>45707</v>
      </c>
      <c r="C54" s="64">
        <v>2.0</v>
      </c>
      <c r="D54" s="66" t="s">
        <v>36</v>
      </c>
      <c r="E54" s="45" t="s">
        <v>37</v>
      </c>
      <c r="F54" s="124">
        <v>140.0</v>
      </c>
      <c r="H54" s="125">
        <v>140.0</v>
      </c>
      <c r="J54" s="125">
        <v>0.0</v>
      </c>
      <c r="L54" s="126">
        <v>168.0</v>
      </c>
      <c r="N54" s="127">
        <v>168.0</v>
      </c>
      <c r="P54" s="100">
        <v>0.0</v>
      </c>
      <c r="R54" s="100">
        <v>0.0</v>
      </c>
      <c r="T54" s="100">
        <v>0.0</v>
      </c>
      <c r="V54" s="100">
        <v>0.0</v>
      </c>
      <c r="X54" s="50">
        <v>0.0</v>
      </c>
      <c r="Z54" s="52">
        <v>15.0</v>
      </c>
      <c r="AB54" s="52">
        <v>15.0</v>
      </c>
      <c r="AD54" s="52">
        <v>0.0</v>
      </c>
      <c r="AE54" s="28"/>
      <c r="AF54" s="96">
        <f t="shared" si="1"/>
        <v>14306.78</v>
      </c>
      <c r="AG54" s="64">
        <f t="shared" si="2"/>
        <v>646</v>
      </c>
      <c r="AH54" s="64">
        <f t="shared" si="3"/>
        <v>0</v>
      </c>
      <c r="AI54" s="64">
        <f t="shared" si="4"/>
        <v>646</v>
      </c>
      <c r="AJ54" s="97">
        <f t="shared" si="5"/>
        <v>22.14671827</v>
      </c>
    </row>
    <row r="55">
      <c r="A55" s="64" t="s">
        <v>28</v>
      </c>
      <c r="B55" s="65">
        <f t="shared" si="6"/>
        <v>45708</v>
      </c>
      <c r="C55" s="64">
        <v>2.0</v>
      </c>
      <c r="D55" s="66" t="s">
        <v>36</v>
      </c>
      <c r="E55" s="45" t="s">
        <v>37</v>
      </c>
      <c r="F55" s="124">
        <v>140.0</v>
      </c>
      <c r="H55" s="125">
        <v>140.0</v>
      </c>
      <c r="J55" s="125">
        <v>0.0</v>
      </c>
      <c r="L55" s="126">
        <v>168.0</v>
      </c>
      <c r="N55" s="127">
        <v>168.0</v>
      </c>
      <c r="P55" s="100">
        <v>0.0</v>
      </c>
      <c r="R55" s="100">
        <v>0.0</v>
      </c>
      <c r="T55" s="100">
        <v>0.0</v>
      </c>
      <c r="V55" s="100">
        <v>0.0</v>
      </c>
      <c r="X55" s="50">
        <v>0.0</v>
      </c>
      <c r="Z55" s="52">
        <v>15.0</v>
      </c>
      <c r="AB55" s="52">
        <v>15.0</v>
      </c>
      <c r="AD55" s="52">
        <v>0.0</v>
      </c>
      <c r="AE55" s="28"/>
      <c r="AF55" s="96">
        <f t="shared" si="1"/>
        <v>14306.78</v>
      </c>
      <c r="AG55" s="64">
        <f t="shared" si="2"/>
        <v>646</v>
      </c>
      <c r="AH55" s="64">
        <f t="shared" si="3"/>
        <v>0</v>
      </c>
      <c r="AI55" s="64">
        <f t="shared" si="4"/>
        <v>646</v>
      </c>
      <c r="AJ55" s="97">
        <f t="shared" si="5"/>
        <v>22.14671827</v>
      </c>
    </row>
    <row r="56">
      <c r="A56" s="64" t="s">
        <v>29</v>
      </c>
      <c r="B56" s="65">
        <f t="shared" si="6"/>
        <v>45709</v>
      </c>
      <c r="C56" s="64">
        <v>2.0</v>
      </c>
      <c r="D56" s="66" t="s">
        <v>36</v>
      </c>
      <c r="E56" s="45" t="s">
        <v>37</v>
      </c>
      <c r="F56" s="124">
        <v>140.0</v>
      </c>
      <c r="H56" s="125">
        <v>140.0</v>
      </c>
      <c r="J56" s="125">
        <v>0.0</v>
      </c>
      <c r="L56" s="126">
        <v>168.0</v>
      </c>
      <c r="N56" s="127">
        <v>168.0</v>
      </c>
      <c r="P56" s="100">
        <v>0.0</v>
      </c>
      <c r="R56" s="100">
        <v>0.0</v>
      </c>
      <c r="T56" s="100">
        <v>0.0</v>
      </c>
      <c r="V56" s="100">
        <v>0.0</v>
      </c>
      <c r="X56" s="50">
        <v>0.0</v>
      </c>
      <c r="Z56" s="52">
        <v>15.0</v>
      </c>
      <c r="AB56" s="52">
        <v>15.0</v>
      </c>
      <c r="AD56" s="52">
        <v>0.0</v>
      </c>
      <c r="AE56" s="28"/>
      <c r="AF56" s="96">
        <f t="shared" si="1"/>
        <v>14306.78</v>
      </c>
      <c r="AG56" s="64">
        <f t="shared" si="2"/>
        <v>646</v>
      </c>
      <c r="AH56" s="64">
        <f t="shared" si="3"/>
        <v>0</v>
      </c>
      <c r="AI56" s="64">
        <f t="shared" si="4"/>
        <v>646</v>
      </c>
      <c r="AJ56" s="97">
        <f t="shared" si="5"/>
        <v>22.14671827</v>
      </c>
    </row>
    <row r="57">
      <c r="A57" s="64" t="s">
        <v>30</v>
      </c>
      <c r="B57" s="65">
        <f t="shared" si="6"/>
        <v>45710</v>
      </c>
      <c r="C57" s="64">
        <v>2.0</v>
      </c>
      <c r="D57" s="66" t="s">
        <v>36</v>
      </c>
      <c r="E57" s="45" t="s">
        <v>37</v>
      </c>
      <c r="F57" s="124">
        <v>140.0</v>
      </c>
      <c r="H57" s="125">
        <v>140.0</v>
      </c>
      <c r="J57" s="125">
        <v>0.0</v>
      </c>
      <c r="L57" s="126">
        <v>168.0</v>
      </c>
      <c r="N57" s="127">
        <v>168.0</v>
      </c>
      <c r="P57" s="100">
        <v>0.0</v>
      </c>
      <c r="R57" s="100">
        <v>0.0</v>
      </c>
      <c r="T57" s="100">
        <v>0.0</v>
      </c>
      <c r="V57" s="100">
        <v>0.0</v>
      </c>
      <c r="X57" s="50">
        <v>0.0</v>
      </c>
      <c r="Z57" s="52">
        <v>0.0</v>
      </c>
      <c r="AB57" s="52">
        <v>0.0</v>
      </c>
      <c r="AD57" s="52">
        <v>0.0</v>
      </c>
      <c r="AE57" s="28"/>
      <c r="AF57" s="96">
        <f t="shared" si="1"/>
        <v>13774.88</v>
      </c>
      <c r="AG57" s="64">
        <f t="shared" si="2"/>
        <v>616</v>
      </c>
      <c r="AH57" s="64">
        <f t="shared" si="3"/>
        <v>0</v>
      </c>
      <c r="AI57" s="64">
        <f t="shared" si="4"/>
        <v>616</v>
      </c>
      <c r="AJ57" s="97">
        <f t="shared" si="5"/>
        <v>22.36181818</v>
      </c>
    </row>
    <row r="58">
      <c r="A58" s="83" t="s">
        <v>31</v>
      </c>
      <c r="B58" s="84">
        <f t="shared" si="6"/>
        <v>45711</v>
      </c>
      <c r="C58" s="83">
        <v>2.0</v>
      </c>
      <c r="D58" s="85" t="s">
        <v>36</v>
      </c>
      <c r="E58" s="106" t="s">
        <v>37</v>
      </c>
      <c r="F58" s="132">
        <v>140.0</v>
      </c>
      <c r="G58" s="75"/>
      <c r="H58" s="133">
        <v>140.0</v>
      </c>
      <c r="I58" s="75"/>
      <c r="J58" s="133">
        <v>0.0</v>
      </c>
      <c r="K58" s="75"/>
      <c r="L58" s="135">
        <v>168.0</v>
      </c>
      <c r="M58" s="75"/>
      <c r="N58" s="136">
        <v>168.0</v>
      </c>
      <c r="O58" s="75"/>
      <c r="P58" s="107">
        <v>168.0</v>
      </c>
      <c r="Q58" s="75"/>
      <c r="R58" s="107">
        <v>0.0</v>
      </c>
      <c r="S58" s="75"/>
      <c r="T58" s="107">
        <v>0.0</v>
      </c>
      <c r="U58" s="75"/>
      <c r="V58" s="107">
        <v>0.0</v>
      </c>
      <c r="W58" s="75"/>
      <c r="X58" s="89">
        <v>0.0</v>
      </c>
      <c r="Y58" s="75"/>
      <c r="Z58" s="90">
        <v>0.0</v>
      </c>
      <c r="AA58" s="75"/>
      <c r="AB58" s="90">
        <v>0.0</v>
      </c>
      <c r="AC58" s="75"/>
      <c r="AD58" s="90">
        <v>0.0</v>
      </c>
      <c r="AE58" s="77"/>
      <c r="AF58" s="98">
        <f t="shared" si="1"/>
        <v>16753.52</v>
      </c>
      <c r="AG58" s="83">
        <f t="shared" si="2"/>
        <v>784</v>
      </c>
      <c r="AH58" s="83">
        <f t="shared" si="3"/>
        <v>0</v>
      </c>
      <c r="AI58" s="83">
        <f t="shared" si="4"/>
        <v>784</v>
      </c>
      <c r="AJ58" s="92">
        <f t="shared" si="5"/>
        <v>21.36928571</v>
      </c>
    </row>
    <row r="59">
      <c r="A59" s="42" t="s">
        <v>23</v>
      </c>
      <c r="B59" s="43">
        <f t="shared" si="6"/>
        <v>45712</v>
      </c>
      <c r="C59" s="42">
        <v>3.0</v>
      </c>
      <c r="D59" s="44" t="s">
        <v>24</v>
      </c>
      <c r="E59" s="99" t="s">
        <v>37</v>
      </c>
      <c r="F59" s="124">
        <v>140.0</v>
      </c>
      <c r="H59" s="125">
        <v>140.0</v>
      </c>
      <c r="J59" s="125">
        <v>0.0</v>
      </c>
      <c r="L59" s="126">
        <v>100.0</v>
      </c>
      <c r="N59" s="127">
        <v>100.0</v>
      </c>
      <c r="P59" s="100">
        <v>0.0</v>
      </c>
      <c r="R59" s="100">
        <v>0.0</v>
      </c>
      <c r="T59" s="100">
        <v>1.0</v>
      </c>
      <c r="V59" s="100">
        <v>1.0</v>
      </c>
      <c r="X59" s="56">
        <v>0.0</v>
      </c>
      <c r="Y59" s="57"/>
      <c r="Z59" s="58">
        <v>15.0</v>
      </c>
      <c r="AA59" s="57"/>
      <c r="AB59" s="58">
        <v>15.0</v>
      </c>
      <c r="AC59" s="57"/>
      <c r="AD59" s="58">
        <v>0.0</v>
      </c>
      <c r="AE59" s="59"/>
      <c r="AF59" s="94">
        <f t="shared" si="1"/>
        <v>12660.63</v>
      </c>
      <c r="AG59" s="42">
        <f t="shared" si="2"/>
        <v>510</v>
      </c>
      <c r="AH59" s="42">
        <f t="shared" si="3"/>
        <v>2</v>
      </c>
      <c r="AI59" s="42">
        <f t="shared" si="4"/>
        <v>512</v>
      </c>
      <c r="AJ59" s="95">
        <f t="shared" si="5"/>
        <v>24.72779297</v>
      </c>
    </row>
    <row r="60">
      <c r="A60" s="64" t="s">
        <v>26</v>
      </c>
      <c r="B60" s="65">
        <f t="shared" si="6"/>
        <v>45713</v>
      </c>
      <c r="C60" s="64">
        <v>3.0</v>
      </c>
      <c r="D60" s="66" t="s">
        <v>24</v>
      </c>
      <c r="E60" s="45" t="s">
        <v>37</v>
      </c>
      <c r="F60" s="124">
        <v>140.0</v>
      </c>
      <c r="H60" s="125">
        <v>140.0</v>
      </c>
      <c r="J60" s="125">
        <v>0.0</v>
      </c>
      <c r="L60" s="126">
        <v>168.0</v>
      </c>
      <c r="N60" s="127">
        <v>168.0</v>
      </c>
      <c r="P60" s="100">
        <v>0.0</v>
      </c>
      <c r="R60" s="100">
        <v>0.0</v>
      </c>
      <c r="T60" s="100">
        <v>0.0</v>
      </c>
      <c r="V60" s="100">
        <v>0.0</v>
      </c>
      <c r="X60" s="50">
        <v>0.0</v>
      </c>
      <c r="Z60" s="52">
        <v>15.0</v>
      </c>
      <c r="AB60" s="52">
        <v>15.0</v>
      </c>
      <c r="AD60" s="52">
        <v>0.0</v>
      </c>
      <c r="AE60" s="28"/>
      <c r="AF60" s="96">
        <f t="shared" si="1"/>
        <v>14306.78</v>
      </c>
      <c r="AG60" s="64">
        <f t="shared" si="2"/>
        <v>646</v>
      </c>
      <c r="AH60" s="64">
        <f t="shared" si="3"/>
        <v>0</v>
      </c>
      <c r="AI60" s="64">
        <f t="shared" si="4"/>
        <v>646</v>
      </c>
      <c r="AJ60" s="97">
        <f t="shared" si="5"/>
        <v>22.14671827</v>
      </c>
    </row>
    <row r="61">
      <c r="A61" s="64" t="s">
        <v>27</v>
      </c>
      <c r="B61" s="65">
        <f t="shared" si="6"/>
        <v>45714</v>
      </c>
      <c r="C61" s="64">
        <v>3.0</v>
      </c>
      <c r="D61" s="66" t="s">
        <v>24</v>
      </c>
      <c r="E61" s="45" t="s">
        <v>37</v>
      </c>
      <c r="F61" s="124">
        <v>0.0</v>
      </c>
      <c r="H61" s="125">
        <v>0.0</v>
      </c>
      <c r="J61" s="125">
        <v>0.0</v>
      </c>
      <c r="L61" s="126">
        <v>168.0</v>
      </c>
      <c r="N61" s="127">
        <v>168.0</v>
      </c>
      <c r="P61" s="100">
        <v>0.0</v>
      </c>
      <c r="R61" s="100">
        <v>0.0</v>
      </c>
      <c r="T61" s="100">
        <v>0.0</v>
      </c>
      <c r="V61" s="100">
        <v>0.0</v>
      </c>
      <c r="X61" s="50">
        <v>0.0</v>
      </c>
      <c r="Z61" s="52">
        <v>15.0</v>
      </c>
      <c r="AB61" s="52">
        <v>15.0</v>
      </c>
      <c r="AD61" s="52">
        <v>0.0</v>
      </c>
      <c r="AE61" s="28"/>
      <c r="AF61" s="96">
        <f t="shared" si="1"/>
        <v>6489.18</v>
      </c>
      <c r="AG61" s="64">
        <f t="shared" si="2"/>
        <v>366</v>
      </c>
      <c r="AH61" s="64">
        <f t="shared" si="3"/>
        <v>0</v>
      </c>
      <c r="AI61" s="64">
        <f t="shared" si="4"/>
        <v>366</v>
      </c>
      <c r="AJ61" s="97">
        <f t="shared" si="5"/>
        <v>17.73</v>
      </c>
    </row>
    <row r="62">
      <c r="A62" s="64" t="s">
        <v>28</v>
      </c>
      <c r="B62" s="65">
        <f t="shared" si="6"/>
        <v>45715</v>
      </c>
      <c r="C62" s="64">
        <v>3.0</v>
      </c>
      <c r="D62" s="66" t="s">
        <v>24</v>
      </c>
      <c r="E62" s="45" t="s">
        <v>37</v>
      </c>
      <c r="F62" s="124">
        <v>0.0</v>
      </c>
      <c r="H62" s="125">
        <v>140.0</v>
      </c>
      <c r="J62" s="125">
        <v>140.0</v>
      </c>
      <c r="L62" s="126">
        <v>168.0</v>
      </c>
      <c r="N62" s="127">
        <v>168.0</v>
      </c>
      <c r="P62" s="100">
        <v>0.0</v>
      </c>
      <c r="R62" s="100">
        <v>0.0</v>
      </c>
      <c r="T62" s="100">
        <v>0.0</v>
      </c>
      <c r="V62" s="100">
        <v>0.0</v>
      </c>
      <c r="X62" s="50">
        <v>0.0</v>
      </c>
      <c r="Z62" s="52">
        <v>15.0</v>
      </c>
      <c r="AB62" s="52">
        <v>15.0</v>
      </c>
      <c r="AD62" s="52">
        <v>0.0</v>
      </c>
      <c r="AE62" s="28"/>
      <c r="AF62" s="96">
        <f t="shared" si="1"/>
        <v>14306.78</v>
      </c>
      <c r="AG62" s="64">
        <f t="shared" si="2"/>
        <v>646</v>
      </c>
      <c r="AH62" s="64">
        <f t="shared" si="3"/>
        <v>0</v>
      </c>
      <c r="AI62" s="64">
        <f t="shared" si="4"/>
        <v>646</v>
      </c>
      <c r="AJ62" s="97">
        <f t="shared" si="5"/>
        <v>22.14671827</v>
      </c>
    </row>
    <row r="63">
      <c r="A63" s="64" t="s">
        <v>29</v>
      </c>
      <c r="B63" s="65">
        <f t="shared" si="6"/>
        <v>45716</v>
      </c>
      <c r="C63" s="64">
        <v>3.0</v>
      </c>
      <c r="D63" s="66" t="s">
        <v>24</v>
      </c>
      <c r="E63" s="45" t="s">
        <v>37</v>
      </c>
      <c r="F63" s="124">
        <v>0.0</v>
      </c>
      <c r="H63" s="125">
        <v>140.0</v>
      </c>
      <c r="J63" s="125">
        <v>140.0</v>
      </c>
      <c r="L63" s="126">
        <v>168.0</v>
      </c>
      <c r="N63" s="127">
        <v>168.0</v>
      </c>
      <c r="P63" s="100">
        <v>0.0</v>
      </c>
      <c r="R63" s="100">
        <v>0.0</v>
      </c>
      <c r="T63" s="100">
        <v>0.0</v>
      </c>
      <c r="V63" s="100">
        <v>0.0</v>
      </c>
      <c r="X63" s="50">
        <v>0.0</v>
      </c>
      <c r="Z63" s="52">
        <v>15.0</v>
      </c>
      <c r="AB63" s="52">
        <v>15.0</v>
      </c>
      <c r="AD63" s="52">
        <v>0.0</v>
      </c>
      <c r="AE63" s="28"/>
      <c r="AF63" s="96">
        <f t="shared" si="1"/>
        <v>14306.78</v>
      </c>
      <c r="AG63" s="64">
        <f t="shared" si="2"/>
        <v>646</v>
      </c>
      <c r="AH63" s="64">
        <f t="shared" si="3"/>
        <v>0</v>
      </c>
      <c r="AI63" s="64">
        <f t="shared" si="4"/>
        <v>646</v>
      </c>
      <c r="AJ63" s="97">
        <f t="shared" si="5"/>
        <v>22.14671827</v>
      </c>
    </row>
    <row r="64">
      <c r="A64" s="64" t="s">
        <v>30</v>
      </c>
      <c r="B64" s="65">
        <f t="shared" si="6"/>
        <v>45717</v>
      </c>
      <c r="C64" s="64">
        <v>3.0</v>
      </c>
      <c r="D64" s="66" t="s">
        <v>24</v>
      </c>
      <c r="E64" s="45" t="s">
        <v>37</v>
      </c>
      <c r="F64" s="124">
        <v>140.0</v>
      </c>
      <c r="H64" s="125">
        <v>140.0</v>
      </c>
      <c r="J64" s="125">
        <v>0.0</v>
      </c>
      <c r="L64" s="126">
        <v>255.0</v>
      </c>
      <c r="N64" s="127">
        <v>255.0</v>
      </c>
      <c r="P64" s="100">
        <v>0.0</v>
      </c>
      <c r="R64" s="100">
        <v>0.0</v>
      </c>
      <c r="T64" s="100">
        <v>0.0</v>
      </c>
      <c r="V64" s="100">
        <v>0.0</v>
      </c>
      <c r="X64" s="50">
        <v>0.0</v>
      </c>
      <c r="Z64" s="52">
        <v>0.0</v>
      </c>
      <c r="AB64" s="52">
        <v>0.0</v>
      </c>
      <c r="AD64" s="52">
        <v>0.0</v>
      </c>
      <c r="AE64" s="28"/>
      <c r="AF64" s="96">
        <f t="shared" si="1"/>
        <v>16859.9</v>
      </c>
      <c r="AG64" s="64">
        <f t="shared" si="2"/>
        <v>790</v>
      </c>
      <c r="AH64" s="64">
        <f t="shared" si="3"/>
        <v>0</v>
      </c>
      <c r="AI64" s="64">
        <f t="shared" si="4"/>
        <v>790</v>
      </c>
      <c r="AJ64" s="97">
        <f t="shared" si="5"/>
        <v>21.34164557</v>
      </c>
    </row>
    <row r="65">
      <c r="A65" s="83" t="s">
        <v>31</v>
      </c>
      <c r="B65" s="84">
        <f t="shared" si="6"/>
        <v>45718</v>
      </c>
      <c r="C65" s="83">
        <v>3.0</v>
      </c>
      <c r="D65" s="85" t="s">
        <v>24</v>
      </c>
      <c r="E65" s="106" t="s">
        <v>37</v>
      </c>
      <c r="F65" s="132">
        <v>140.0</v>
      </c>
      <c r="G65" s="75"/>
      <c r="H65" s="133">
        <v>140.0</v>
      </c>
      <c r="I65" s="75"/>
      <c r="J65" s="133">
        <v>0.0</v>
      </c>
      <c r="K65" s="75"/>
      <c r="L65" s="135">
        <v>255.0</v>
      </c>
      <c r="M65" s="75"/>
      <c r="N65" s="136">
        <v>255.0</v>
      </c>
      <c r="O65" s="75"/>
      <c r="P65" s="107">
        <v>0.0</v>
      </c>
      <c r="Q65" s="75"/>
      <c r="R65" s="107">
        <v>0.0</v>
      </c>
      <c r="S65" s="75"/>
      <c r="T65" s="107">
        <v>0.0</v>
      </c>
      <c r="U65" s="75"/>
      <c r="V65" s="107">
        <v>0.0</v>
      </c>
      <c r="W65" s="75"/>
      <c r="X65" s="89">
        <v>0.0</v>
      </c>
      <c r="Y65" s="75"/>
      <c r="Z65" s="90">
        <v>0.0</v>
      </c>
      <c r="AA65" s="75"/>
      <c r="AB65" s="90">
        <v>0.0</v>
      </c>
      <c r="AC65" s="75"/>
      <c r="AD65" s="90">
        <v>0.0</v>
      </c>
      <c r="AE65" s="77"/>
      <c r="AF65" s="98">
        <f t="shared" si="1"/>
        <v>16859.9</v>
      </c>
      <c r="AG65" s="83">
        <f t="shared" si="2"/>
        <v>790</v>
      </c>
      <c r="AH65" s="83">
        <f t="shared" si="3"/>
        <v>0</v>
      </c>
      <c r="AI65" s="83">
        <f t="shared" si="4"/>
        <v>790</v>
      </c>
      <c r="AJ65" s="92">
        <f t="shared" si="5"/>
        <v>21.34164557</v>
      </c>
    </row>
    <row r="66">
      <c r="A66" s="42" t="s">
        <v>23</v>
      </c>
      <c r="B66" s="43">
        <f t="shared" si="6"/>
        <v>45719</v>
      </c>
      <c r="C66" s="42">
        <v>3.0</v>
      </c>
      <c r="D66" s="44" t="s">
        <v>32</v>
      </c>
      <c r="E66" s="99" t="s">
        <v>37</v>
      </c>
      <c r="F66" s="124">
        <v>121.0</v>
      </c>
      <c r="H66" s="125">
        <v>121.0</v>
      </c>
      <c r="J66" s="125">
        <v>0.0</v>
      </c>
      <c r="L66" s="126">
        <v>300.0</v>
      </c>
      <c r="N66" s="127">
        <v>300.0</v>
      </c>
      <c r="P66" s="100">
        <v>0.0</v>
      </c>
      <c r="R66" s="100">
        <v>0.0</v>
      </c>
      <c r="T66" s="100">
        <v>1.0</v>
      </c>
      <c r="V66" s="100">
        <v>1.0</v>
      </c>
      <c r="X66" s="56">
        <v>0.0</v>
      </c>
      <c r="Y66" s="57"/>
      <c r="Z66" s="58">
        <v>0.0</v>
      </c>
      <c r="AA66" s="57"/>
      <c r="AB66" s="58">
        <v>0.0</v>
      </c>
      <c r="AC66" s="57"/>
      <c r="AD66" s="58">
        <v>0.0</v>
      </c>
      <c r="AE66" s="59"/>
      <c r="AF66" s="94">
        <f t="shared" si="1"/>
        <v>18159.77</v>
      </c>
      <c r="AG66" s="42">
        <f t="shared" si="2"/>
        <v>842</v>
      </c>
      <c r="AH66" s="42">
        <f t="shared" si="3"/>
        <v>2</v>
      </c>
      <c r="AI66" s="42">
        <f t="shared" si="4"/>
        <v>844</v>
      </c>
      <c r="AJ66" s="95">
        <f t="shared" si="5"/>
        <v>21.51631517</v>
      </c>
    </row>
    <row r="67">
      <c r="A67" s="64" t="s">
        <v>26</v>
      </c>
      <c r="B67" s="65">
        <f t="shared" si="6"/>
        <v>45720</v>
      </c>
      <c r="C67" s="64">
        <v>3.0</v>
      </c>
      <c r="D67" s="66" t="s">
        <v>32</v>
      </c>
      <c r="E67" s="45" t="s">
        <v>37</v>
      </c>
      <c r="F67" s="124">
        <v>0.0</v>
      </c>
      <c r="H67" s="125">
        <v>0.0</v>
      </c>
      <c r="J67" s="125">
        <v>0.0</v>
      </c>
      <c r="L67" s="126">
        <v>300.0</v>
      </c>
      <c r="N67" s="127">
        <v>300.0</v>
      </c>
      <c r="P67" s="100">
        <v>0.0</v>
      </c>
      <c r="R67" s="100">
        <v>0.0</v>
      </c>
      <c r="T67" s="100">
        <v>0.0</v>
      </c>
      <c r="V67" s="100">
        <v>0.0</v>
      </c>
      <c r="X67" s="50">
        <v>0.0</v>
      </c>
      <c r="Z67" s="52">
        <v>0.0</v>
      </c>
      <c r="AB67" s="52">
        <v>0.0</v>
      </c>
      <c r="AD67" s="52">
        <v>0.0</v>
      </c>
      <c r="AE67" s="28"/>
      <c r="AF67" s="96">
        <f t="shared" si="1"/>
        <v>10638</v>
      </c>
      <c r="AG67" s="64">
        <f t="shared" si="2"/>
        <v>600</v>
      </c>
      <c r="AH67" s="64">
        <f t="shared" si="3"/>
        <v>0</v>
      </c>
      <c r="AI67" s="64">
        <f t="shared" si="4"/>
        <v>600</v>
      </c>
      <c r="AJ67" s="97">
        <f t="shared" si="5"/>
        <v>17.73</v>
      </c>
    </row>
    <row r="68">
      <c r="A68" s="64" t="s">
        <v>27</v>
      </c>
      <c r="B68" s="65">
        <f t="shared" si="6"/>
        <v>45721</v>
      </c>
      <c r="C68" s="64">
        <v>3.0</v>
      </c>
      <c r="D68" s="66" t="s">
        <v>32</v>
      </c>
      <c r="E68" s="45" t="s">
        <v>37</v>
      </c>
      <c r="F68" s="124">
        <v>121.0</v>
      </c>
      <c r="H68" s="125">
        <v>121.0</v>
      </c>
      <c r="J68" s="125">
        <v>0.0</v>
      </c>
      <c r="L68" s="126">
        <v>300.0</v>
      </c>
      <c r="N68" s="127">
        <v>300.0</v>
      </c>
      <c r="P68" s="100">
        <v>0.0</v>
      </c>
      <c r="R68" s="100">
        <v>0.0</v>
      </c>
      <c r="T68" s="100">
        <v>0.0</v>
      </c>
      <c r="V68" s="100">
        <v>0.0</v>
      </c>
      <c r="X68" s="50">
        <v>0.0</v>
      </c>
      <c r="Z68" s="52">
        <v>0.0</v>
      </c>
      <c r="AB68" s="52">
        <v>0.0</v>
      </c>
      <c r="AD68" s="52">
        <v>0.0</v>
      </c>
      <c r="AE68" s="28"/>
      <c r="AF68" s="96">
        <f t="shared" si="1"/>
        <v>17394.64</v>
      </c>
      <c r="AG68" s="64">
        <f t="shared" si="2"/>
        <v>842</v>
      </c>
      <c r="AH68" s="64">
        <f t="shared" si="3"/>
        <v>0</v>
      </c>
      <c r="AI68" s="64">
        <f t="shared" si="4"/>
        <v>842</v>
      </c>
      <c r="AJ68" s="97">
        <f t="shared" si="5"/>
        <v>20.65871734</v>
      </c>
    </row>
    <row r="69">
      <c r="A69" s="64" t="s">
        <v>28</v>
      </c>
      <c r="B69" s="65">
        <f t="shared" si="6"/>
        <v>45722</v>
      </c>
      <c r="C69" s="64">
        <v>3.0</v>
      </c>
      <c r="D69" s="66" t="s">
        <v>32</v>
      </c>
      <c r="E69" s="45" t="s">
        <v>37</v>
      </c>
      <c r="F69" s="124">
        <v>80.0</v>
      </c>
      <c r="H69" s="125">
        <v>120.0</v>
      </c>
      <c r="J69" s="125">
        <v>105.0</v>
      </c>
      <c r="L69" s="126">
        <v>300.0</v>
      </c>
      <c r="N69" s="127">
        <v>300.0</v>
      </c>
      <c r="P69" s="100">
        <v>0.0</v>
      </c>
      <c r="R69" s="100">
        <v>0.0</v>
      </c>
      <c r="T69" s="100">
        <v>0.0</v>
      </c>
      <c r="V69" s="100">
        <v>0.0</v>
      </c>
      <c r="X69" s="50">
        <v>0.0</v>
      </c>
      <c r="Z69" s="52">
        <v>0.0</v>
      </c>
      <c r="AB69" s="52">
        <v>0.0</v>
      </c>
      <c r="AD69" s="52">
        <v>0.0</v>
      </c>
      <c r="AE69" s="28"/>
      <c r="AF69" s="96">
        <f t="shared" si="1"/>
        <v>19153.6</v>
      </c>
      <c r="AG69" s="64">
        <f t="shared" si="2"/>
        <v>905</v>
      </c>
      <c r="AH69" s="64">
        <f t="shared" si="3"/>
        <v>0</v>
      </c>
      <c r="AI69" s="64">
        <f t="shared" si="4"/>
        <v>905</v>
      </c>
      <c r="AJ69" s="97">
        <f t="shared" si="5"/>
        <v>21.1641989</v>
      </c>
    </row>
    <row r="70">
      <c r="A70" s="64" t="s">
        <v>29</v>
      </c>
      <c r="B70" s="65">
        <f t="shared" si="6"/>
        <v>45723</v>
      </c>
      <c r="C70" s="64">
        <v>3.0</v>
      </c>
      <c r="D70" s="66" t="s">
        <v>32</v>
      </c>
      <c r="E70" s="45" t="s">
        <v>37</v>
      </c>
      <c r="F70" s="124">
        <v>0.0</v>
      </c>
      <c r="H70" s="125">
        <v>105.0</v>
      </c>
      <c r="J70" s="125">
        <v>105.0</v>
      </c>
      <c r="L70" s="126">
        <v>300.0</v>
      </c>
      <c r="N70" s="127">
        <v>300.0</v>
      </c>
      <c r="P70" s="100">
        <v>0.0</v>
      </c>
      <c r="R70" s="100">
        <v>0.0</v>
      </c>
      <c r="T70" s="100">
        <v>0.0</v>
      </c>
      <c r="V70" s="100">
        <v>0.0</v>
      </c>
      <c r="X70" s="50">
        <v>0.0</v>
      </c>
      <c r="Z70" s="52">
        <v>0.0</v>
      </c>
      <c r="AB70" s="52">
        <v>0.0</v>
      </c>
      <c r="AD70" s="52">
        <v>0.0</v>
      </c>
      <c r="AE70" s="28"/>
      <c r="AF70" s="96">
        <f t="shared" si="1"/>
        <v>16501.2</v>
      </c>
      <c r="AG70" s="64">
        <f t="shared" si="2"/>
        <v>810</v>
      </c>
      <c r="AH70" s="64">
        <f t="shared" si="3"/>
        <v>0</v>
      </c>
      <c r="AI70" s="64">
        <f t="shared" si="4"/>
        <v>810</v>
      </c>
      <c r="AJ70" s="97">
        <f t="shared" si="5"/>
        <v>20.37185185</v>
      </c>
    </row>
    <row r="71">
      <c r="A71" s="64" t="s">
        <v>30</v>
      </c>
      <c r="B71" s="65">
        <f t="shared" si="6"/>
        <v>45724</v>
      </c>
      <c r="C71" s="64">
        <v>3.0</v>
      </c>
      <c r="D71" s="66" t="s">
        <v>32</v>
      </c>
      <c r="E71" s="45" t="s">
        <v>37</v>
      </c>
      <c r="F71" s="124">
        <v>90.0</v>
      </c>
      <c r="H71" s="125">
        <v>90.0</v>
      </c>
      <c r="J71" s="125">
        <v>0.0</v>
      </c>
      <c r="L71" s="126">
        <v>300.0</v>
      </c>
      <c r="N71" s="127">
        <v>300.0</v>
      </c>
      <c r="P71" s="100">
        <v>0.0</v>
      </c>
      <c r="R71" s="100">
        <v>0.0</v>
      </c>
      <c r="T71" s="100">
        <v>0.0</v>
      </c>
      <c r="V71" s="100">
        <v>0.0</v>
      </c>
      <c r="X71" s="50">
        <v>0.0</v>
      </c>
      <c r="Z71" s="52">
        <v>0.0</v>
      </c>
      <c r="AB71" s="52">
        <v>0.0</v>
      </c>
      <c r="AD71" s="52">
        <v>0.0</v>
      </c>
      <c r="AE71" s="28"/>
      <c r="AF71" s="96">
        <f t="shared" si="1"/>
        <v>15663.6</v>
      </c>
      <c r="AG71" s="64">
        <f t="shared" si="2"/>
        <v>780</v>
      </c>
      <c r="AH71" s="64">
        <f t="shared" si="3"/>
        <v>0</v>
      </c>
      <c r="AI71" s="64">
        <f t="shared" si="4"/>
        <v>780</v>
      </c>
      <c r="AJ71" s="97">
        <f t="shared" si="5"/>
        <v>20.08153846</v>
      </c>
    </row>
    <row r="72">
      <c r="A72" s="83" t="s">
        <v>31</v>
      </c>
      <c r="B72" s="84">
        <f t="shared" si="6"/>
        <v>45725</v>
      </c>
      <c r="C72" s="83">
        <v>3.0</v>
      </c>
      <c r="D72" s="85" t="s">
        <v>32</v>
      </c>
      <c r="E72" s="106" t="s">
        <v>37</v>
      </c>
      <c r="F72" s="132">
        <v>90.0</v>
      </c>
      <c r="G72" s="75"/>
      <c r="H72" s="133">
        <v>90.0</v>
      </c>
      <c r="I72" s="75"/>
      <c r="J72" s="133">
        <v>0.0</v>
      </c>
      <c r="K72" s="75"/>
      <c r="L72" s="135">
        <v>300.0</v>
      </c>
      <c r="M72" s="75"/>
      <c r="N72" s="136">
        <v>300.0</v>
      </c>
      <c r="O72" s="75"/>
      <c r="P72" s="107">
        <v>0.0</v>
      </c>
      <c r="Q72" s="75"/>
      <c r="R72" s="107">
        <v>0.0</v>
      </c>
      <c r="S72" s="75"/>
      <c r="T72" s="107">
        <v>0.0</v>
      </c>
      <c r="U72" s="75"/>
      <c r="V72" s="107">
        <v>0.0</v>
      </c>
      <c r="W72" s="75"/>
      <c r="X72" s="89">
        <v>0.0</v>
      </c>
      <c r="Y72" s="75"/>
      <c r="Z72" s="90">
        <v>0.0</v>
      </c>
      <c r="AA72" s="75"/>
      <c r="AB72" s="90">
        <v>0.0</v>
      </c>
      <c r="AC72" s="75"/>
      <c r="AD72" s="90">
        <v>0.0</v>
      </c>
      <c r="AE72" s="77"/>
      <c r="AF72" s="98">
        <f t="shared" si="1"/>
        <v>15663.6</v>
      </c>
      <c r="AG72" s="83">
        <f t="shared" si="2"/>
        <v>780</v>
      </c>
      <c r="AH72" s="83">
        <f t="shared" si="3"/>
        <v>0</v>
      </c>
      <c r="AI72" s="83">
        <f t="shared" si="4"/>
        <v>780</v>
      </c>
      <c r="AJ72" s="92">
        <f t="shared" si="5"/>
        <v>20.08153846</v>
      </c>
    </row>
    <row r="73">
      <c r="A73" s="42" t="s">
        <v>23</v>
      </c>
      <c r="B73" s="43">
        <f t="shared" si="6"/>
        <v>45726</v>
      </c>
      <c r="C73" s="42">
        <v>3.0</v>
      </c>
      <c r="D73" s="44" t="s">
        <v>33</v>
      </c>
      <c r="E73" s="99" t="s">
        <v>37</v>
      </c>
      <c r="F73" s="124">
        <v>0.0</v>
      </c>
      <c r="H73" s="125">
        <v>0.0</v>
      </c>
      <c r="J73" s="125">
        <v>0.0</v>
      </c>
      <c r="L73" s="126">
        <v>300.0</v>
      </c>
      <c r="N73" s="127">
        <v>300.0</v>
      </c>
      <c r="P73" s="100">
        <v>0.0</v>
      </c>
      <c r="R73" s="100">
        <v>0.0</v>
      </c>
      <c r="T73" s="100">
        <v>1.0</v>
      </c>
      <c r="V73" s="100">
        <v>1.0</v>
      </c>
      <c r="X73" s="56">
        <v>0.0</v>
      </c>
      <c r="Y73" s="57"/>
      <c r="Z73" s="58">
        <v>0.0</v>
      </c>
      <c r="AA73" s="57"/>
      <c r="AB73" s="58">
        <v>0.0</v>
      </c>
      <c r="AC73" s="57"/>
      <c r="AD73" s="58">
        <v>0.0</v>
      </c>
      <c r="AE73" s="59"/>
      <c r="AF73" s="94">
        <f t="shared" si="1"/>
        <v>11403.13</v>
      </c>
      <c r="AG73" s="42">
        <f t="shared" si="2"/>
        <v>600</v>
      </c>
      <c r="AH73" s="42">
        <f t="shared" si="3"/>
        <v>2</v>
      </c>
      <c r="AI73" s="42">
        <f t="shared" si="4"/>
        <v>602</v>
      </c>
      <c r="AJ73" s="95">
        <f t="shared" si="5"/>
        <v>18.94207641</v>
      </c>
    </row>
    <row r="74">
      <c r="A74" s="64" t="s">
        <v>26</v>
      </c>
      <c r="B74" s="65">
        <f t="shared" si="6"/>
        <v>45727</v>
      </c>
      <c r="C74" s="64">
        <v>3.0</v>
      </c>
      <c r="D74" s="66" t="s">
        <v>33</v>
      </c>
      <c r="E74" s="45" t="s">
        <v>37</v>
      </c>
      <c r="F74" s="124">
        <v>0.0</v>
      </c>
      <c r="H74" s="125">
        <v>90.0</v>
      </c>
      <c r="J74" s="125">
        <v>90.0</v>
      </c>
      <c r="L74" s="126">
        <v>300.0</v>
      </c>
      <c r="N74" s="127">
        <v>300.0</v>
      </c>
      <c r="P74" s="100">
        <v>0.0</v>
      </c>
      <c r="R74" s="100">
        <v>0.0</v>
      </c>
      <c r="T74" s="100">
        <v>0.0</v>
      </c>
      <c r="V74" s="100">
        <v>0.0</v>
      </c>
      <c r="X74" s="50">
        <v>0.0</v>
      </c>
      <c r="Z74" s="52">
        <v>0.0</v>
      </c>
      <c r="AB74" s="52">
        <v>0.0</v>
      </c>
      <c r="AD74" s="52">
        <v>0.0</v>
      </c>
      <c r="AE74" s="28"/>
      <c r="AF74" s="96">
        <f t="shared" si="1"/>
        <v>15663.6</v>
      </c>
      <c r="AG74" s="64">
        <f t="shared" si="2"/>
        <v>780</v>
      </c>
      <c r="AH74" s="64">
        <f t="shared" si="3"/>
        <v>0</v>
      </c>
      <c r="AI74" s="64">
        <f t="shared" si="4"/>
        <v>780</v>
      </c>
      <c r="AJ74" s="97">
        <f t="shared" si="5"/>
        <v>20.08153846</v>
      </c>
    </row>
    <row r="75">
      <c r="A75" s="64" t="s">
        <v>27</v>
      </c>
      <c r="B75" s="65">
        <f t="shared" si="6"/>
        <v>45728</v>
      </c>
      <c r="C75" s="64">
        <v>3.0</v>
      </c>
      <c r="D75" s="66" t="s">
        <v>33</v>
      </c>
      <c r="E75" s="45" t="s">
        <v>37</v>
      </c>
      <c r="F75" s="124">
        <v>90.0</v>
      </c>
      <c r="H75" s="125">
        <v>90.0</v>
      </c>
      <c r="J75" s="125">
        <v>0.0</v>
      </c>
      <c r="L75" s="126">
        <v>300.0</v>
      </c>
      <c r="N75" s="127">
        <v>300.0</v>
      </c>
      <c r="P75" s="100">
        <v>0.0</v>
      </c>
      <c r="R75" s="100">
        <v>0.0</v>
      </c>
      <c r="T75" s="100">
        <v>0.0</v>
      </c>
      <c r="V75" s="100">
        <v>0.0</v>
      </c>
      <c r="X75" s="50">
        <v>0.0</v>
      </c>
      <c r="Z75" s="52">
        <v>0.0</v>
      </c>
      <c r="AB75" s="52">
        <v>0.0</v>
      </c>
      <c r="AD75" s="52">
        <v>0.0</v>
      </c>
      <c r="AE75" s="28"/>
      <c r="AF75" s="96">
        <f t="shared" si="1"/>
        <v>15663.6</v>
      </c>
      <c r="AG75" s="64">
        <f t="shared" si="2"/>
        <v>780</v>
      </c>
      <c r="AH75" s="64">
        <f t="shared" si="3"/>
        <v>0</v>
      </c>
      <c r="AI75" s="64">
        <f t="shared" si="4"/>
        <v>780</v>
      </c>
      <c r="AJ75" s="97">
        <f t="shared" si="5"/>
        <v>20.08153846</v>
      </c>
    </row>
    <row r="76">
      <c r="A76" s="64" t="s">
        <v>28</v>
      </c>
      <c r="B76" s="65">
        <f t="shared" si="6"/>
        <v>45729</v>
      </c>
      <c r="C76" s="64">
        <v>3.0</v>
      </c>
      <c r="D76" s="66" t="s">
        <v>33</v>
      </c>
      <c r="E76" s="45" t="s">
        <v>37</v>
      </c>
      <c r="F76" s="124">
        <v>0.0</v>
      </c>
      <c r="H76" s="125">
        <v>90.0</v>
      </c>
      <c r="J76" s="125">
        <v>90.0</v>
      </c>
      <c r="L76" s="126">
        <v>300.0</v>
      </c>
      <c r="N76" s="127">
        <v>300.0</v>
      </c>
      <c r="P76" s="100">
        <v>0.0</v>
      </c>
      <c r="R76" s="100">
        <v>0.0</v>
      </c>
      <c r="T76" s="100">
        <v>0.0</v>
      </c>
      <c r="V76" s="100">
        <v>0.0</v>
      </c>
      <c r="X76" s="50">
        <v>0.0</v>
      </c>
      <c r="Z76" s="52">
        <v>0.0</v>
      </c>
      <c r="AB76" s="52">
        <v>0.0</v>
      </c>
      <c r="AD76" s="52">
        <v>0.0</v>
      </c>
      <c r="AE76" s="28"/>
      <c r="AF76" s="96">
        <f t="shared" si="1"/>
        <v>15663.6</v>
      </c>
      <c r="AG76" s="64">
        <f t="shared" si="2"/>
        <v>780</v>
      </c>
      <c r="AH76" s="64">
        <f t="shared" si="3"/>
        <v>0</v>
      </c>
      <c r="AI76" s="64">
        <f t="shared" si="4"/>
        <v>780</v>
      </c>
      <c r="AJ76" s="97">
        <f t="shared" si="5"/>
        <v>20.08153846</v>
      </c>
    </row>
    <row r="77">
      <c r="A77" s="64" t="s">
        <v>29</v>
      </c>
      <c r="B77" s="65">
        <f t="shared" si="6"/>
        <v>45730</v>
      </c>
      <c r="C77" s="64">
        <v>3.0</v>
      </c>
      <c r="D77" s="66" t="s">
        <v>33</v>
      </c>
      <c r="E77" s="45" t="s">
        <v>37</v>
      </c>
      <c r="F77" s="124">
        <v>90.0</v>
      </c>
      <c r="H77" s="125">
        <v>90.0</v>
      </c>
      <c r="J77" s="125">
        <v>0.0</v>
      </c>
      <c r="L77" s="126">
        <v>300.0</v>
      </c>
      <c r="N77" s="127">
        <v>300.0</v>
      </c>
      <c r="P77" s="100">
        <v>0.0</v>
      </c>
      <c r="R77" s="100">
        <v>0.0</v>
      </c>
      <c r="T77" s="100">
        <v>0.0</v>
      </c>
      <c r="V77" s="100">
        <v>0.0</v>
      </c>
      <c r="X77" s="50">
        <v>0.0</v>
      </c>
      <c r="Z77" s="52">
        <v>0.0</v>
      </c>
      <c r="AB77" s="52">
        <v>0.0</v>
      </c>
      <c r="AD77" s="52">
        <v>0.0</v>
      </c>
      <c r="AE77" s="28"/>
      <c r="AF77" s="96">
        <f t="shared" si="1"/>
        <v>15663.6</v>
      </c>
      <c r="AG77" s="64">
        <f t="shared" si="2"/>
        <v>780</v>
      </c>
      <c r="AH77" s="64">
        <f t="shared" si="3"/>
        <v>0</v>
      </c>
      <c r="AI77" s="64">
        <f t="shared" si="4"/>
        <v>780</v>
      </c>
      <c r="AJ77" s="97">
        <f t="shared" si="5"/>
        <v>20.08153846</v>
      </c>
    </row>
    <row r="78">
      <c r="A78" s="64" t="s">
        <v>30</v>
      </c>
      <c r="B78" s="65">
        <f t="shared" si="6"/>
        <v>45731</v>
      </c>
      <c r="C78" s="64">
        <v>3.0</v>
      </c>
      <c r="D78" s="66" t="s">
        <v>33</v>
      </c>
      <c r="E78" s="45" t="s">
        <v>37</v>
      </c>
      <c r="F78" s="124">
        <v>90.0</v>
      </c>
      <c r="H78" s="125">
        <v>90.0</v>
      </c>
      <c r="J78" s="125">
        <v>0.0</v>
      </c>
      <c r="L78" s="126">
        <v>300.0</v>
      </c>
      <c r="N78" s="127">
        <v>300.0</v>
      </c>
      <c r="P78" s="100">
        <v>0.0</v>
      </c>
      <c r="R78" s="100">
        <v>0.0</v>
      </c>
      <c r="T78" s="100">
        <v>0.0</v>
      </c>
      <c r="V78" s="100">
        <v>0.0</v>
      </c>
      <c r="X78" s="50">
        <v>0.0</v>
      </c>
      <c r="Z78" s="52">
        <v>0.0</v>
      </c>
      <c r="AB78" s="52">
        <v>0.0</v>
      </c>
      <c r="AD78" s="52">
        <v>0.0</v>
      </c>
      <c r="AE78" s="28"/>
      <c r="AF78" s="96">
        <f t="shared" si="1"/>
        <v>15663.6</v>
      </c>
      <c r="AG78" s="64">
        <f t="shared" si="2"/>
        <v>780</v>
      </c>
      <c r="AH78" s="64">
        <f t="shared" si="3"/>
        <v>0</v>
      </c>
      <c r="AI78" s="64">
        <f t="shared" si="4"/>
        <v>780</v>
      </c>
      <c r="AJ78" s="97">
        <f t="shared" si="5"/>
        <v>20.08153846</v>
      </c>
    </row>
    <row r="79">
      <c r="A79" s="83" t="s">
        <v>31</v>
      </c>
      <c r="B79" s="84">
        <f t="shared" si="6"/>
        <v>45732</v>
      </c>
      <c r="C79" s="83">
        <v>3.0</v>
      </c>
      <c r="D79" s="85" t="s">
        <v>33</v>
      </c>
      <c r="E79" s="106" t="s">
        <v>37</v>
      </c>
      <c r="F79" s="132">
        <v>0.0</v>
      </c>
      <c r="G79" s="75"/>
      <c r="H79" s="133">
        <v>90.0</v>
      </c>
      <c r="I79" s="75"/>
      <c r="J79" s="133">
        <v>90.0</v>
      </c>
      <c r="K79" s="75"/>
      <c r="L79" s="135">
        <v>300.0</v>
      </c>
      <c r="M79" s="75"/>
      <c r="N79" s="136">
        <v>300.0</v>
      </c>
      <c r="O79" s="75"/>
      <c r="P79" s="107">
        <v>0.0</v>
      </c>
      <c r="Q79" s="75"/>
      <c r="R79" s="107">
        <v>0.0</v>
      </c>
      <c r="S79" s="75"/>
      <c r="T79" s="107">
        <v>0.0</v>
      </c>
      <c r="U79" s="75"/>
      <c r="V79" s="107">
        <v>0.0</v>
      </c>
      <c r="W79" s="75"/>
      <c r="X79" s="89">
        <v>0.0</v>
      </c>
      <c r="Y79" s="75"/>
      <c r="Z79" s="90">
        <v>0.0</v>
      </c>
      <c r="AA79" s="75"/>
      <c r="AB79" s="90">
        <v>0.0</v>
      </c>
      <c r="AC79" s="75"/>
      <c r="AD79" s="90">
        <v>0.0</v>
      </c>
      <c r="AE79" s="77"/>
      <c r="AF79" s="98">
        <f t="shared" si="1"/>
        <v>15663.6</v>
      </c>
      <c r="AG79" s="83">
        <f t="shared" si="2"/>
        <v>780</v>
      </c>
      <c r="AH79" s="83">
        <f t="shared" si="3"/>
        <v>0</v>
      </c>
      <c r="AI79" s="83">
        <f t="shared" si="4"/>
        <v>780</v>
      </c>
      <c r="AJ79" s="92">
        <f t="shared" si="5"/>
        <v>20.08153846</v>
      </c>
    </row>
    <row r="80">
      <c r="A80" s="42" t="s">
        <v>23</v>
      </c>
      <c r="B80" s="43">
        <f t="shared" si="6"/>
        <v>45733</v>
      </c>
      <c r="C80" s="42">
        <v>3.0</v>
      </c>
      <c r="D80" s="44" t="s">
        <v>36</v>
      </c>
      <c r="E80" s="99" t="s">
        <v>37</v>
      </c>
      <c r="F80" s="124">
        <v>0.0</v>
      </c>
      <c r="H80" s="125">
        <v>90.0</v>
      </c>
      <c r="J80" s="125">
        <v>90.0</v>
      </c>
      <c r="L80" s="126">
        <v>300.0</v>
      </c>
      <c r="N80" s="127">
        <v>300.0</v>
      </c>
      <c r="P80" s="100">
        <v>0.0</v>
      </c>
      <c r="R80" s="100">
        <v>0.0</v>
      </c>
      <c r="T80" s="100">
        <v>1.0</v>
      </c>
      <c r="V80" s="100">
        <v>1.0</v>
      </c>
      <c r="X80" s="56">
        <v>0.0</v>
      </c>
      <c r="Y80" s="57"/>
      <c r="Z80" s="58">
        <v>0.0</v>
      </c>
      <c r="AA80" s="57"/>
      <c r="AB80" s="58">
        <v>0.0</v>
      </c>
      <c r="AC80" s="57"/>
      <c r="AD80" s="58">
        <v>0.0</v>
      </c>
      <c r="AE80" s="59"/>
      <c r="AF80" s="94">
        <f t="shared" si="1"/>
        <v>16428.73</v>
      </c>
      <c r="AG80" s="42">
        <f t="shared" si="2"/>
        <v>780</v>
      </c>
      <c r="AH80" s="42">
        <f t="shared" si="3"/>
        <v>2</v>
      </c>
      <c r="AI80" s="42">
        <f t="shared" si="4"/>
        <v>782</v>
      </c>
      <c r="AJ80" s="95">
        <f t="shared" si="5"/>
        <v>21.00860614</v>
      </c>
    </row>
    <row r="81">
      <c r="A81" s="64" t="s">
        <v>26</v>
      </c>
      <c r="B81" s="65">
        <f t="shared" si="6"/>
        <v>45734</v>
      </c>
      <c r="C81" s="64">
        <v>3.0</v>
      </c>
      <c r="D81" s="66" t="s">
        <v>36</v>
      </c>
      <c r="E81" s="45" t="s">
        <v>37</v>
      </c>
      <c r="F81" s="124">
        <v>90.0</v>
      </c>
      <c r="H81" s="125">
        <v>90.0</v>
      </c>
      <c r="J81" s="125">
        <v>0.0</v>
      </c>
      <c r="L81" s="126">
        <v>300.0</v>
      </c>
      <c r="N81" s="127">
        <v>300.0</v>
      </c>
      <c r="P81" s="100">
        <v>0.0</v>
      </c>
      <c r="R81" s="100">
        <v>0.0</v>
      </c>
      <c r="T81" s="100">
        <v>0.0</v>
      </c>
      <c r="V81" s="100">
        <v>0.0</v>
      </c>
      <c r="X81" s="50">
        <v>0.0</v>
      </c>
      <c r="Z81" s="52">
        <v>0.0</v>
      </c>
      <c r="AB81" s="52">
        <v>0.0</v>
      </c>
      <c r="AD81" s="52">
        <v>0.0</v>
      </c>
      <c r="AE81" s="28"/>
      <c r="AF81" s="96">
        <f t="shared" si="1"/>
        <v>15663.6</v>
      </c>
      <c r="AG81" s="64">
        <f t="shared" si="2"/>
        <v>780</v>
      </c>
      <c r="AH81" s="64">
        <f t="shared" si="3"/>
        <v>0</v>
      </c>
      <c r="AI81" s="64">
        <f t="shared" si="4"/>
        <v>780</v>
      </c>
      <c r="AJ81" s="97">
        <f t="shared" si="5"/>
        <v>20.08153846</v>
      </c>
    </row>
    <row r="82">
      <c r="A82" s="64" t="s">
        <v>27</v>
      </c>
      <c r="B82" s="65">
        <f t="shared" si="6"/>
        <v>45735</v>
      </c>
      <c r="C82" s="64">
        <v>3.0</v>
      </c>
      <c r="D82" s="66" t="s">
        <v>36</v>
      </c>
      <c r="E82" s="45" t="s">
        <v>37</v>
      </c>
      <c r="F82" s="124">
        <v>82.0</v>
      </c>
      <c r="H82" s="125">
        <v>82.0</v>
      </c>
      <c r="J82" s="125">
        <v>0.0</v>
      </c>
      <c r="L82" s="126">
        <v>300.0</v>
      </c>
      <c r="N82" s="127">
        <v>300.0</v>
      </c>
      <c r="P82" s="100">
        <v>0.0</v>
      </c>
      <c r="R82" s="100">
        <v>0.0</v>
      </c>
      <c r="T82" s="100">
        <v>0.0</v>
      </c>
      <c r="V82" s="100">
        <v>0.0</v>
      </c>
      <c r="X82" s="50">
        <v>0.0</v>
      </c>
      <c r="Z82" s="52">
        <v>0.0</v>
      </c>
      <c r="AB82" s="52">
        <v>0.0</v>
      </c>
      <c r="AD82" s="52">
        <v>0.0</v>
      </c>
      <c r="AE82" s="28"/>
      <c r="AF82" s="96">
        <f t="shared" si="1"/>
        <v>15216.88</v>
      </c>
      <c r="AG82" s="64">
        <f t="shared" si="2"/>
        <v>764</v>
      </c>
      <c r="AH82" s="64">
        <f t="shared" si="3"/>
        <v>0</v>
      </c>
      <c r="AI82" s="64">
        <f t="shared" si="4"/>
        <v>764</v>
      </c>
      <c r="AJ82" s="97">
        <f t="shared" si="5"/>
        <v>19.9173822</v>
      </c>
    </row>
    <row r="83">
      <c r="A83" s="64" t="s">
        <v>28</v>
      </c>
      <c r="B83" s="65">
        <f t="shared" si="6"/>
        <v>45736</v>
      </c>
      <c r="C83" s="64">
        <v>3.0</v>
      </c>
      <c r="D83" s="66" t="s">
        <v>36</v>
      </c>
      <c r="E83" s="45" t="s">
        <v>37</v>
      </c>
      <c r="F83" s="124">
        <v>0.0</v>
      </c>
      <c r="H83" s="125">
        <v>82.0</v>
      </c>
      <c r="J83" s="125">
        <v>82.0</v>
      </c>
      <c r="L83" s="126">
        <v>300.0</v>
      </c>
      <c r="N83" s="127">
        <v>300.0</v>
      </c>
      <c r="P83" s="100">
        <v>0.0</v>
      </c>
      <c r="R83" s="100">
        <v>0.0</v>
      </c>
      <c r="T83" s="100">
        <v>0.0</v>
      </c>
      <c r="V83" s="100">
        <v>0.0</v>
      </c>
      <c r="X83" s="50">
        <v>0.0</v>
      </c>
      <c r="Z83" s="52">
        <v>0.0</v>
      </c>
      <c r="AB83" s="52">
        <v>0.0</v>
      </c>
      <c r="AD83" s="52">
        <v>0.0</v>
      </c>
      <c r="AE83" s="28"/>
      <c r="AF83" s="96">
        <f t="shared" si="1"/>
        <v>15216.88</v>
      </c>
      <c r="AG83" s="64">
        <f t="shared" si="2"/>
        <v>764</v>
      </c>
      <c r="AH83" s="64">
        <f t="shared" si="3"/>
        <v>0</v>
      </c>
      <c r="AI83" s="64">
        <f t="shared" si="4"/>
        <v>764</v>
      </c>
      <c r="AJ83" s="97">
        <f t="shared" si="5"/>
        <v>19.9173822</v>
      </c>
    </row>
    <row r="84">
      <c r="A84" s="64" t="s">
        <v>29</v>
      </c>
      <c r="B84" s="65">
        <f t="shared" si="6"/>
        <v>45737</v>
      </c>
      <c r="C84" s="64">
        <v>3.0</v>
      </c>
      <c r="D84" s="66" t="s">
        <v>36</v>
      </c>
      <c r="E84" s="45" t="s">
        <v>37</v>
      </c>
      <c r="F84" s="124">
        <v>80.0</v>
      </c>
      <c r="H84" s="125">
        <v>80.0</v>
      </c>
      <c r="J84" s="125">
        <v>0.0</v>
      </c>
      <c r="L84" s="126">
        <v>300.0</v>
      </c>
      <c r="N84" s="127">
        <v>300.0</v>
      </c>
      <c r="P84" s="100">
        <v>0.0</v>
      </c>
      <c r="R84" s="100">
        <v>0.0</v>
      </c>
      <c r="T84" s="100">
        <v>0.0</v>
      </c>
      <c r="V84" s="100">
        <v>0.0</v>
      </c>
      <c r="X84" s="50">
        <v>0.0</v>
      </c>
      <c r="Z84" s="52">
        <v>0.0</v>
      </c>
      <c r="AB84" s="52">
        <v>0.0</v>
      </c>
      <c r="AD84" s="52">
        <v>0.0</v>
      </c>
      <c r="AE84" s="28"/>
      <c r="AF84" s="96">
        <f t="shared" si="1"/>
        <v>15105.2</v>
      </c>
      <c r="AG84" s="64">
        <f t="shared" si="2"/>
        <v>760</v>
      </c>
      <c r="AH84" s="64">
        <f t="shared" si="3"/>
        <v>0</v>
      </c>
      <c r="AI84" s="64">
        <f t="shared" si="4"/>
        <v>760</v>
      </c>
      <c r="AJ84" s="97">
        <f t="shared" si="5"/>
        <v>19.87526316</v>
      </c>
    </row>
    <row r="85">
      <c r="A85" s="64" t="s">
        <v>30</v>
      </c>
      <c r="B85" s="65">
        <f t="shared" si="6"/>
        <v>45738</v>
      </c>
      <c r="C85" s="64">
        <v>3.0</v>
      </c>
      <c r="D85" s="66" t="s">
        <v>36</v>
      </c>
      <c r="E85" s="45" t="s">
        <v>37</v>
      </c>
      <c r="F85" s="124">
        <v>80.0</v>
      </c>
      <c r="H85" s="125">
        <v>80.0</v>
      </c>
      <c r="J85" s="125">
        <v>0.0</v>
      </c>
      <c r="L85" s="126">
        <v>300.0</v>
      </c>
      <c r="N85" s="127">
        <v>300.0</v>
      </c>
      <c r="P85" s="100">
        <v>0.0</v>
      </c>
      <c r="R85" s="100">
        <v>0.0</v>
      </c>
      <c r="T85" s="100">
        <v>0.0</v>
      </c>
      <c r="V85" s="100">
        <v>0.0</v>
      </c>
      <c r="X85" s="50">
        <v>0.0</v>
      </c>
      <c r="Z85" s="52">
        <v>0.0</v>
      </c>
      <c r="AB85" s="52">
        <v>0.0</v>
      </c>
      <c r="AD85" s="52">
        <v>0.0</v>
      </c>
      <c r="AE85" s="28"/>
      <c r="AF85" s="96">
        <f t="shared" si="1"/>
        <v>15105.2</v>
      </c>
      <c r="AG85" s="64">
        <f t="shared" si="2"/>
        <v>760</v>
      </c>
      <c r="AH85" s="64">
        <f t="shared" si="3"/>
        <v>0</v>
      </c>
      <c r="AI85" s="64">
        <f t="shared" si="4"/>
        <v>760</v>
      </c>
      <c r="AJ85" s="97">
        <f t="shared" si="5"/>
        <v>19.87526316</v>
      </c>
    </row>
    <row r="86">
      <c r="A86" s="83" t="s">
        <v>31</v>
      </c>
      <c r="B86" s="84">
        <f t="shared" si="6"/>
        <v>45739</v>
      </c>
      <c r="C86" s="83">
        <v>3.0</v>
      </c>
      <c r="D86" s="85" t="s">
        <v>36</v>
      </c>
      <c r="E86" s="106" t="s">
        <v>37</v>
      </c>
      <c r="F86" s="132">
        <v>80.0</v>
      </c>
      <c r="G86" s="75"/>
      <c r="H86" s="133">
        <v>80.0</v>
      </c>
      <c r="I86" s="75"/>
      <c r="J86" s="133">
        <v>80.0</v>
      </c>
      <c r="K86" s="75"/>
      <c r="L86" s="135">
        <v>300.0</v>
      </c>
      <c r="M86" s="75"/>
      <c r="N86" s="136">
        <v>300.0</v>
      </c>
      <c r="O86" s="75"/>
      <c r="P86" s="107">
        <v>0.0</v>
      </c>
      <c r="Q86" s="75"/>
      <c r="R86" s="107">
        <v>0.0</v>
      </c>
      <c r="S86" s="75"/>
      <c r="T86" s="107">
        <v>0.0</v>
      </c>
      <c r="U86" s="75"/>
      <c r="V86" s="107">
        <v>0.0</v>
      </c>
      <c r="W86" s="75"/>
      <c r="X86" s="89">
        <v>0.0</v>
      </c>
      <c r="Y86" s="75"/>
      <c r="Z86" s="90">
        <v>0.0</v>
      </c>
      <c r="AA86" s="75"/>
      <c r="AB86" s="90">
        <v>0.0</v>
      </c>
      <c r="AC86" s="75"/>
      <c r="AD86" s="90">
        <v>0.0</v>
      </c>
      <c r="AE86" s="77"/>
      <c r="AF86" s="98">
        <f t="shared" si="1"/>
        <v>17338.8</v>
      </c>
      <c r="AG86" s="83">
        <f t="shared" si="2"/>
        <v>840</v>
      </c>
      <c r="AH86" s="83">
        <f t="shared" si="3"/>
        <v>0</v>
      </c>
      <c r="AI86" s="83">
        <f t="shared" si="4"/>
        <v>840</v>
      </c>
      <c r="AJ86" s="92">
        <f t="shared" si="5"/>
        <v>20.64142857</v>
      </c>
    </row>
    <row r="87">
      <c r="A87" s="42" t="s">
        <v>23</v>
      </c>
      <c r="B87" s="43">
        <f t="shared" si="6"/>
        <v>45740</v>
      </c>
      <c r="C87" s="42">
        <v>4.0</v>
      </c>
      <c r="D87" s="44" t="s">
        <v>24</v>
      </c>
      <c r="E87" s="99" t="s">
        <v>38</v>
      </c>
      <c r="F87" s="47">
        <v>0.0</v>
      </c>
      <c r="H87" s="49">
        <v>0.0</v>
      </c>
      <c r="J87" s="49">
        <v>0.0</v>
      </c>
      <c r="L87" s="110">
        <v>280.0</v>
      </c>
      <c r="N87" s="100">
        <v>280.0</v>
      </c>
      <c r="P87" s="100">
        <v>0.0</v>
      </c>
      <c r="R87" s="100">
        <v>0.0</v>
      </c>
      <c r="T87" s="100">
        <v>1.0</v>
      </c>
      <c r="V87" s="100">
        <v>1.0</v>
      </c>
      <c r="X87" s="56">
        <v>0.0</v>
      </c>
      <c r="Y87" s="57"/>
      <c r="Z87" s="58">
        <v>0.0</v>
      </c>
      <c r="AA87" s="57"/>
      <c r="AB87" s="58">
        <v>0.0</v>
      </c>
      <c r="AC87" s="57"/>
      <c r="AD87" s="58">
        <v>0.0</v>
      </c>
      <c r="AE87" s="59"/>
      <c r="AF87" s="94">
        <f t="shared" si="1"/>
        <v>10693.93</v>
      </c>
      <c r="AG87" s="42">
        <f t="shared" si="2"/>
        <v>560</v>
      </c>
      <c r="AH87" s="42">
        <f t="shared" si="3"/>
        <v>2</v>
      </c>
      <c r="AI87" s="42">
        <f t="shared" si="4"/>
        <v>562</v>
      </c>
      <c r="AJ87" s="95">
        <f t="shared" si="5"/>
        <v>19.0283452</v>
      </c>
    </row>
    <row r="88">
      <c r="A88" s="64" t="s">
        <v>26</v>
      </c>
      <c r="B88" s="65">
        <f t="shared" si="6"/>
        <v>45741</v>
      </c>
      <c r="C88" s="64">
        <v>4.0</v>
      </c>
      <c r="D88" s="66" t="s">
        <v>24</v>
      </c>
      <c r="E88" s="45" t="s">
        <v>38</v>
      </c>
      <c r="F88" s="47">
        <v>0.0</v>
      </c>
      <c r="H88" s="49">
        <v>0.0</v>
      </c>
      <c r="J88" s="49">
        <v>0.0</v>
      </c>
      <c r="L88" s="110">
        <v>280.0</v>
      </c>
      <c r="N88" s="100">
        <v>280.0</v>
      </c>
      <c r="P88" s="100">
        <v>0.0</v>
      </c>
      <c r="R88" s="100">
        <v>0.0</v>
      </c>
      <c r="T88" s="100">
        <v>0.0</v>
      </c>
      <c r="V88" s="100">
        <v>0.0</v>
      </c>
      <c r="X88" s="50">
        <v>0.0</v>
      </c>
      <c r="Z88" s="52">
        <v>0.0</v>
      </c>
      <c r="AB88" s="52">
        <v>0.0</v>
      </c>
      <c r="AD88" s="52">
        <v>0.0</v>
      </c>
      <c r="AE88" s="28"/>
      <c r="AF88" s="96">
        <f t="shared" si="1"/>
        <v>9928.8</v>
      </c>
      <c r="AG88" s="64">
        <f t="shared" si="2"/>
        <v>560</v>
      </c>
      <c r="AH88" s="64">
        <f t="shared" si="3"/>
        <v>0</v>
      </c>
      <c r="AI88" s="64">
        <f t="shared" si="4"/>
        <v>560</v>
      </c>
      <c r="AJ88" s="97">
        <f t="shared" si="5"/>
        <v>17.73</v>
      </c>
    </row>
    <row r="89">
      <c r="A89" s="64" t="s">
        <v>27</v>
      </c>
      <c r="B89" s="65">
        <f t="shared" si="6"/>
        <v>45742</v>
      </c>
      <c r="C89" s="64">
        <v>4.0</v>
      </c>
      <c r="D89" s="66" t="s">
        <v>24</v>
      </c>
      <c r="E89" s="45" t="s">
        <v>38</v>
      </c>
      <c r="F89" s="47">
        <v>0.0</v>
      </c>
      <c r="H89" s="49">
        <v>0.0</v>
      </c>
      <c r="J89" s="49">
        <v>0.0</v>
      </c>
      <c r="L89" s="110">
        <v>280.0</v>
      </c>
      <c r="N89" s="100">
        <v>280.0</v>
      </c>
      <c r="P89" s="100">
        <v>0.0</v>
      </c>
      <c r="R89" s="100">
        <v>0.0</v>
      </c>
      <c r="T89" s="100">
        <v>0.0</v>
      </c>
      <c r="V89" s="100">
        <v>0.0</v>
      </c>
      <c r="X89" s="50">
        <v>0.0</v>
      </c>
      <c r="Z89" s="52">
        <v>0.0</v>
      </c>
      <c r="AB89" s="52">
        <v>0.0</v>
      </c>
      <c r="AD89" s="52">
        <v>0.0</v>
      </c>
      <c r="AE89" s="28"/>
      <c r="AF89" s="96">
        <f t="shared" si="1"/>
        <v>9928.8</v>
      </c>
      <c r="AG89" s="64">
        <f t="shared" si="2"/>
        <v>560</v>
      </c>
      <c r="AH89" s="64">
        <f t="shared" si="3"/>
        <v>0</v>
      </c>
      <c r="AI89" s="64">
        <f t="shared" si="4"/>
        <v>560</v>
      </c>
      <c r="AJ89" s="97">
        <f t="shared" si="5"/>
        <v>17.73</v>
      </c>
    </row>
    <row r="90">
      <c r="A90" s="64" t="s">
        <v>28</v>
      </c>
      <c r="B90" s="65">
        <f t="shared" si="6"/>
        <v>45743</v>
      </c>
      <c r="C90" s="64">
        <v>4.0</v>
      </c>
      <c r="D90" s="66" t="s">
        <v>24</v>
      </c>
      <c r="E90" s="45" t="s">
        <v>38</v>
      </c>
      <c r="F90" s="47">
        <v>0.0</v>
      </c>
      <c r="H90" s="49">
        <v>0.0</v>
      </c>
      <c r="J90" s="49">
        <v>0.0</v>
      </c>
      <c r="L90" s="110">
        <v>252.0</v>
      </c>
      <c r="N90" s="100">
        <v>252.0</v>
      </c>
      <c r="P90" s="100">
        <v>0.0</v>
      </c>
      <c r="R90" s="100">
        <v>0.0</v>
      </c>
      <c r="T90" s="100">
        <v>0.0</v>
      </c>
      <c r="V90" s="100">
        <v>0.0</v>
      </c>
      <c r="X90" s="50">
        <v>0.0</v>
      </c>
      <c r="Z90" s="52">
        <v>0.0</v>
      </c>
      <c r="AB90" s="52">
        <v>0.0</v>
      </c>
      <c r="AD90" s="52">
        <v>0.0</v>
      </c>
      <c r="AE90" s="28"/>
      <c r="AF90" s="96">
        <f t="shared" si="1"/>
        <v>8935.92</v>
      </c>
      <c r="AG90" s="64">
        <f t="shared" si="2"/>
        <v>504</v>
      </c>
      <c r="AH90" s="64">
        <f t="shared" si="3"/>
        <v>0</v>
      </c>
      <c r="AI90" s="64">
        <f t="shared" si="4"/>
        <v>504</v>
      </c>
      <c r="AJ90" s="97">
        <f t="shared" si="5"/>
        <v>17.73</v>
      </c>
    </row>
    <row r="91">
      <c r="A91" s="64" t="s">
        <v>29</v>
      </c>
      <c r="B91" s="65">
        <f t="shared" si="6"/>
        <v>45744</v>
      </c>
      <c r="C91" s="64">
        <v>4.0</v>
      </c>
      <c r="D91" s="66" t="s">
        <v>24</v>
      </c>
      <c r="E91" s="45" t="s">
        <v>38</v>
      </c>
      <c r="F91" s="47">
        <v>0.0</v>
      </c>
      <c r="H91" s="49">
        <v>0.0</v>
      </c>
      <c r="J91" s="49">
        <v>0.0</v>
      </c>
      <c r="L91" s="110">
        <v>252.0</v>
      </c>
      <c r="N91" s="100">
        <v>252.0</v>
      </c>
      <c r="P91" s="100">
        <v>0.0</v>
      </c>
      <c r="R91" s="100">
        <v>0.0</v>
      </c>
      <c r="T91" s="100">
        <v>0.0</v>
      </c>
      <c r="V91" s="100">
        <v>0.0</v>
      </c>
      <c r="X91" s="50">
        <v>0.0</v>
      </c>
      <c r="Z91" s="52">
        <v>0.0</v>
      </c>
      <c r="AB91" s="52">
        <v>0.0</v>
      </c>
      <c r="AD91" s="52">
        <v>0.0</v>
      </c>
      <c r="AE91" s="28"/>
      <c r="AF91" s="96">
        <f t="shared" si="1"/>
        <v>8935.92</v>
      </c>
      <c r="AG91" s="64">
        <f t="shared" si="2"/>
        <v>504</v>
      </c>
      <c r="AH91" s="64">
        <f t="shared" si="3"/>
        <v>0</v>
      </c>
      <c r="AI91" s="64">
        <f t="shared" si="4"/>
        <v>504</v>
      </c>
      <c r="AJ91" s="97">
        <f t="shared" si="5"/>
        <v>17.73</v>
      </c>
    </row>
    <row r="92">
      <c r="A92" s="64" t="s">
        <v>30</v>
      </c>
      <c r="B92" s="65">
        <f t="shared" si="6"/>
        <v>45745</v>
      </c>
      <c r="C92" s="64">
        <v>4.0</v>
      </c>
      <c r="D92" s="66" t="s">
        <v>24</v>
      </c>
      <c r="E92" s="45" t="s">
        <v>38</v>
      </c>
      <c r="F92" s="47">
        <v>0.0</v>
      </c>
      <c r="H92" s="49">
        <v>0.0</v>
      </c>
      <c r="J92" s="49">
        <v>0.0</v>
      </c>
      <c r="L92" s="110">
        <v>252.0</v>
      </c>
      <c r="N92" s="100">
        <v>252.0</v>
      </c>
      <c r="P92" s="100">
        <v>0.0</v>
      </c>
      <c r="R92" s="100">
        <v>0.0</v>
      </c>
      <c r="T92" s="100">
        <v>0.0</v>
      </c>
      <c r="V92" s="100">
        <v>0.0</v>
      </c>
      <c r="X92" s="50">
        <v>0.0</v>
      </c>
      <c r="Z92" s="52">
        <v>0.0</v>
      </c>
      <c r="AB92" s="52">
        <v>0.0</v>
      </c>
      <c r="AD92" s="52">
        <v>0.0</v>
      </c>
      <c r="AE92" s="28"/>
      <c r="AF92" s="96">
        <f t="shared" si="1"/>
        <v>8935.92</v>
      </c>
      <c r="AG92" s="64">
        <f t="shared" si="2"/>
        <v>504</v>
      </c>
      <c r="AH92" s="64">
        <f t="shared" si="3"/>
        <v>0</v>
      </c>
      <c r="AI92" s="64">
        <f t="shared" si="4"/>
        <v>504</v>
      </c>
      <c r="AJ92" s="97">
        <f t="shared" si="5"/>
        <v>17.73</v>
      </c>
    </row>
    <row r="93">
      <c r="A93" s="83" t="s">
        <v>31</v>
      </c>
      <c r="B93" s="84">
        <f t="shared" si="6"/>
        <v>45746</v>
      </c>
      <c r="C93" s="83">
        <v>4.0</v>
      </c>
      <c r="D93" s="85" t="s">
        <v>24</v>
      </c>
      <c r="E93" s="106" t="s">
        <v>38</v>
      </c>
      <c r="F93" s="87">
        <v>0.0</v>
      </c>
      <c r="G93" s="75"/>
      <c r="H93" s="88">
        <v>0.0</v>
      </c>
      <c r="I93" s="75"/>
      <c r="J93" s="88">
        <v>0.0</v>
      </c>
      <c r="K93" s="75"/>
      <c r="L93" s="113">
        <v>252.0</v>
      </c>
      <c r="M93" s="75"/>
      <c r="N93" s="107">
        <v>252.0</v>
      </c>
      <c r="O93" s="75"/>
      <c r="P93" s="107">
        <v>0.0</v>
      </c>
      <c r="Q93" s="75"/>
      <c r="R93" s="107">
        <v>0.0</v>
      </c>
      <c r="S93" s="75"/>
      <c r="T93" s="107">
        <v>0.0</v>
      </c>
      <c r="U93" s="75"/>
      <c r="V93" s="107">
        <v>0.0</v>
      </c>
      <c r="W93" s="75"/>
      <c r="X93" s="89">
        <v>0.0</v>
      </c>
      <c r="Y93" s="75"/>
      <c r="Z93" s="90">
        <v>0.0</v>
      </c>
      <c r="AA93" s="75"/>
      <c r="AB93" s="90">
        <v>0.0</v>
      </c>
      <c r="AC93" s="75"/>
      <c r="AD93" s="90">
        <v>0.0</v>
      </c>
      <c r="AE93" s="77"/>
      <c r="AF93" s="98">
        <f t="shared" si="1"/>
        <v>8935.92</v>
      </c>
      <c r="AG93" s="83">
        <f t="shared" si="2"/>
        <v>504</v>
      </c>
      <c r="AH93" s="83">
        <f t="shared" si="3"/>
        <v>0</v>
      </c>
      <c r="AI93" s="83">
        <f t="shared" si="4"/>
        <v>504</v>
      </c>
      <c r="AJ93" s="92">
        <f t="shared" si="5"/>
        <v>17.73</v>
      </c>
    </row>
    <row r="94">
      <c r="A94" s="42" t="s">
        <v>23</v>
      </c>
      <c r="B94" s="43">
        <f t="shared" si="6"/>
        <v>45747</v>
      </c>
      <c r="C94" s="42">
        <v>4.0</v>
      </c>
      <c r="D94" s="44" t="s">
        <v>32</v>
      </c>
      <c r="E94" s="99" t="s">
        <v>38</v>
      </c>
      <c r="F94" s="47">
        <v>0.0</v>
      </c>
      <c r="H94" s="49">
        <v>0.0</v>
      </c>
      <c r="J94" s="49">
        <v>0.0</v>
      </c>
      <c r="L94" s="110">
        <v>252.0</v>
      </c>
      <c r="N94" s="100">
        <v>252.0</v>
      </c>
      <c r="P94" s="100">
        <v>0.0</v>
      </c>
      <c r="R94" s="100">
        <v>0.0</v>
      </c>
      <c r="T94" s="100">
        <v>1.0</v>
      </c>
      <c r="V94" s="100">
        <v>1.0</v>
      </c>
      <c r="X94" s="56">
        <v>0.0</v>
      </c>
      <c r="Y94" s="57"/>
      <c r="Z94" s="58">
        <v>0.0</v>
      </c>
      <c r="AA94" s="57"/>
      <c r="AB94" s="58">
        <v>0.0</v>
      </c>
      <c r="AC94" s="57"/>
      <c r="AD94" s="58">
        <v>0.0</v>
      </c>
      <c r="AE94" s="59"/>
      <c r="AF94" s="94">
        <f t="shared" si="1"/>
        <v>9701.05</v>
      </c>
      <c r="AG94" s="42">
        <f t="shared" si="2"/>
        <v>504</v>
      </c>
      <c r="AH94" s="42">
        <f t="shared" si="3"/>
        <v>2</v>
      </c>
      <c r="AI94" s="42">
        <f t="shared" si="4"/>
        <v>506</v>
      </c>
      <c r="AJ94" s="95">
        <f t="shared" si="5"/>
        <v>19.17203557</v>
      </c>
    </row>
    <row r="95">
      <c r="A95" s="64" t="s">
        <v>26</v>
      </c>
      <c r="B95" s="65">
        <f t="shared" si="6"/>
        <v>45748</v>
      </c>
      <c r="C95" s="64">
        <v>4.0</v>
      </c>
      <c r="D95" s="66" t="s">
        <v>32</v>
      </c>
      <c r="E95" s="45" t="s">
        <v>38</v>
      </c>
      <c r="F95" s="47">
        <v>0.0</v>
      </c>
      <c r="H95" s="49">
        <v>0.0</v>
      </c>
      <c r="J95" s="49">
        <v>0.0</v>
      </c>
      <c r="L95" s="110">
        <v>252.0</v>
      </c>
      <c r="N95" s="100">
        <v>252.0</v>
      </c>
      <c r="P95" s="100">
        <v>0.0</v>
      </c>
      <c r="R95" s="100">
        <v>0.0</v>
      </c>
      <c r="T95" s="100">
        <v>0.0</v>
      </c>
      <c r="V95" s="100">
        <v>0.0</v>
      </c>
      <c r="X95" s="50">
        <v>0.0</v>
      </c>
      <c r="Z95" s="52">
        <v>0.0</v>
      </c>
      <c r="AB95" s="52">
        <v>0.0</v>
      </c>
      <c r="AD95" s="52">
        <v>0.0</v>
      </c>
      <c r="AE95" s="28"/>
      <c r="AF95" s="96">
        <f t="shared" si="1"/>
        <v>8935.92</v>
      </c>
      <c r="AG95" s="64">
        <f t="shared" si="2"/>
        <v>504</v>
      </c>
      <c r="AH95" s="64">
        <f t="shared" si="3"/>
        <v>0</v>
      </c>
      <c r="AI95" s="64">
        <f t="shared" si="4"/>
        <v>504</v>
      </c>
      <c r="AJ95" s="97">
        <f t="shared" si="5"/>
        <v>17.73</v>
      </c>
    </row>
    <row r="96">
      <c r="A96" s="64" t="s">
        <v>27</v>
      </c>
      <c r="B96" s="65">
        <f t="shared" si="6"/>
        <v>45749</v>
      </c>
      <c r="C96" s="64">
        <v>4.0</v>
      </c>
      <c r="D96" s="66" t="s">
        <v>32</v>
      </c>
      <c r="E96" s="45" t="s">
        <v>38</v>
      </c>
      <c r="F96" s="47">
        <v>0.0</v>
      </c>
      <c r="H96" s="49">
        <v>0.0</v>
      </c>
      <c r="J96" s="49">
        <v>0.0</v>
      </c>
      <c r="L96" s="110">
        <v>252.0</v>
      </c>
      <c r="N96" s="100">
        <v>252.0</v>
      </c>
      <c r="P96" s="100">
        <v>0.0</v>
      </c>
      <c r="R96" s="100">
        <v>0.0</v>
      </c>
      <c r="T96" s="100">
        <v>0.0</v>
      </c>
      <c r="V96" s="100">
        <v>0.0</v>
      </c>
      <c r="X96" s="50">
        <v>0.0</v>
      </c>
      <c r="Z96" s="52">
        <v>0.0</v>
      </c>
      <c r="AB96" s="52">
        <v>0.0</v>
      </c>
      <c r="AD96" s="52">
        <v>0.0</v>
      </c>
      <c r="AE96" s="28"/>
      <c r="AF96" s="96">
        <f t="shared" si="1"/>
        <v>8935.92</v>
      </c>
      <c r="AG96" s="64">
        <f t="shared" si="2"/>
        <v>504</v>
      </c>
      <c r="AH96" s="64">
        <f t="shared" si="3"/>
        <v>0</v>
      </c>
      <c r="AI96" s="64">
        <f t="shared" si="4"/>
        <v>504</v>
      </c>
      <c r="AJ96" s="97">
        <f t="shared" si="5"/>
        <v>17.73</v>
      </c>
    </row>
    <row r="97">
      <c r="A97" s="64" t="s">
        <v>28</v>
      </c>
      <c r="B97" s="65">
        <f t="shared" si="6"/>
        <v>45750</v>
      </c>
      <c r="C97" s="64">
        <v>4.0</v>
      </c>
      <c r="D97" s="66" t="s">
        <v>32</v>
      </c>
      <c r="E97" s="45" t="s">
        <v>38</v>
      </c>
      <c r="F97" s="47">
        <v>0.0</v>
      </c>
      <c r="H97" s="49">
        <v>0.0</v>
      </c>
      <c r="J97" s="49">
        <v>0.0</v>
      </c>
      <c r="L97" s="110">
        <v>77.0</v>
      </c>
      <c r="N97" s="100">
        <v>77.0</v>
      </c>
      <c r="P97" s="100">
        <v>0.0</v>
      </c>
      <c r="R97" s="100">
        <v>0.0</v>
      </c>
      <c r="T97" s="100">
        <v>0.0</v>
      </c>
      <c r="V97" s="100">
        <v>0.0</v>
      </c>
      <c r="X97" s="50">
        <v>0.0</v>
      </c>
      <c r="Z97" s="52">
        <v>25.0</v>
      </c>
      <c r="AB97" s="52">
        <v>25.0</v>
      </c>
      <c r="AD97" s="52">
        <v>0.0</v>
      </c>
      <c r="AE97" s="28"/>
      <c r="AF97" s="96">
        <f t="shared" si="1"/>
        <v>3616.92</v>
      </c>
      <c r="AG97" s="64">
        <f t="shared" si="2"/>
        <v>204</v>
      </c>
      <c r="AH97" s="64">
        <f t="shared" si="3"/>
        <v>0</v>
      </c>
      <c r="AI97" s="64">
        <f t="shared" si="4"/>
        <v>204</v>
      </c>
      <c r="AJ97" s="97">
        <f t="shared" si="5"/>
        <v>17.73</v>
      </c>
    </row>
    <row r="98">
      <c r="A98" s="64" t="s">
        <v>29</v>
      </c>
      <c r="B98" s="65">
        <f t="shared" si="6"/>
        <v>45751</v>
      </c>
      <c r="C98" s="64">
        <v>4.0</v>
      </c>
      <c r="D98" s="66" t="s">
        <v>32</v>
      </c>
      <c r="E98" s="45" t="s">
        <v>38</v>
      </c>
      <c r="F98" s="47">
        <v>0.0</v>
      </c>
      <c r="H98" s="49">
        <v>0.0</v>
      </c>
      <c r="J98" s="49">
        <v>0.0</v>
      </c>
      <c r="L98" s="110">
        <v>0.0</v>
      </c>
      <c r="N98" s="100">
        <v>0.0</v>
      </c>
      <c r="P98" s="100">
        <v>0.0</v>
      </c>
      <c r="R98" s="100">
        <v>0.0</v>
      </c>
      <c r="T98" s="100">
        <v>0.0</v>
      </c>
      <c r="V98" s="100">
        <v>0.0</v>
      </c>
      <c r="X98" s="50">
        <v>0.0</v>
      </c>
      <c r="Z98" s="52">
        <v>0.0</v>
      </c>
      <c r="AB98" s="52">
        <v>0.0</v>
      </c>
      <c r="AD98" s="52">
        <v>0.0</v>
      </c>
      <c r="AE98" s="28"/>
      <c r="AF98" s="96">
        <f t="shared" si="1"/>
        <v>0</v>
      </c>
      <c r="AG98" s="64">
        <f t="shared" si="2"/>
        <v>0</v>
      </c>
      <c r="AH98" s="64">
        <f t="shared" si="3"/>
        <v>0</v>
      </c>
      <c r="AI98" s="64">
        <f t="shared" si="4"/>
        <v>0</v>
      </c>
      <c r="AJ98" s="68" t="str">
        <f t="shared" si="5"/>
        <v/>
      </c>
    </row>
    <row r="99">
      <c r="A99" s="64" t="s">
        <v>30</v>
      </c>
      <c r="B99" s="65">
        <f t="shared" si="6"/>
        <v>45752</v>
      </c>
      <c r="C99" s="64">
        <v>4.0</v>
      </c>
      <c r="D99" s="66" t="s">
        <v>32</v>
      </c>
      <c r="E99" s="45" t="s">
        <v>38</v>
      </c>
      <c r="F99" s="47">
        <v>0.0</v>
      </c>
      <c r="H99" s="49">
        <v>0.0</v>
      </c>
      <c r="J99" s="49">
        <v>0.0</v>
      </c>
      <c r="L99" s="110">
        <v>0.0</v>
      </c>
      <c r="N99" s="100">
        <v>0.0</v>
      </c>
      <c r="P99" s="100">
        <v>0.0</v>
      </c>
      <c r="R99" s="100">
        <v>0.0</v>
      </c>
      <c r="T99" s="100">
        <v>0.0</v>
      </c>
      <c r="V99" s="100">
        <v>0.0</v>
      </c>
      <c r="X99" s="50">
        <v>0.0</v>
      </c>
      <c r="Z99" s="52">
        <v>0.0</v>
      </c>
      <c r="AB99" s="52">
        <v>0.0</v>
      </c>
      <c r="AD99" s="52">
        <v>0.0</v>
      </c>
      <c r="AE99" s="28"/>
      <c r="AF99" s="96">
        <f t="shared" si="1"/>
        <v>0</v>
      </c>
      <c r="AG99" s="64">
        <f t="shared" si="2"/>
        <v>0</v>
      </c>
      <c r="AH99" s="64">
        <f t="shared" si="3"/>
        <v>0</v>
      </c>
      <c r="AI99" s="64">
        <f t="shared" si="4"/>
        <v>0</v>
      </c>
      <c r="AJ99" s="68" t="str">
        <f t="shared" si="5"/>
        <v/>
      </c>
    </row>
    <row r="100">
      <c r="A100" s="83" t="s">
        <v>31</v>
      </c>
      <c r="B100" s="84">
        <f t="shared" si="6"/>
        <v>45753</v>
      </c>
      <c r="C100" s="83">
        <v>4.0</v>
      </c>
      <c r="D100" s="85" t="s">
        <v>32</v>
      </c>
      <c r="E100" s="106" t="s">
        <v>38</v>
      </c>
      <c r="F100" s="87">
        <v>0.0</v>
      </c>
      <c r="G100" s="75"/>
      <c r="H100" s="88">
        <v>0.0</v>
      </c>
      <c r="I100" s="75"/>
      <c r="J100" s="88">
        <v>0.0</v>
      </c>
      <c r="K100" s="75"/>
      <c r="L100" s="113">
        <v>0.0</v>
      </c>
      <c r="M100" s="75"/>
      <c r="N100" s="107">
        <v>0.0</v>
      </c>
      <c r="O100" s="75"/>
      <c r="P100" s="107">
        <v>0.0</v>
      </c>
      <c r="Q100" s="75"/>
      <c r="R100" s="107">
        <v>0.0</v>
      </c>
      <c r="S100" s="75"/>
      <c r="T100" s="107">
        <v>0.0</v>
      </c>
      <c r="U100" s="75"/>
      <c r="V100" s="107">
        <v>0.0</v>
      </c>
      <c r="W100" s="75"/>
      <c r="X100" s="89">
        <v>0.0</v>
      </c>
      <c r="Y100" s="75"/>
      <c r="Z100" s="90">
        <v>0.0</v>
      </c>
      <c r="AA100" s="75"/>
      <c r="AB100" s="90">
        <v>0.0</v>
      </c>
      <c r="AC100" s="75"/>
      <c r="AD100" s="90">
        <v>0.0</v>
      </c>
      <c r="AE100" s="77"/>
      <c r="AF100" s="98">
        <f t="shared" si="1"/>
        <v>0</v>
      </c>
      <c r="AG100" s="83">
        <f t="shared" si="2"/>
        <v>0</v>
      </c>
      <c r="AH100" s="83">
        <f t="shared" si="3"/>
        <v>0</v>
      </c>
      <c r="AI100" s="83">
        <f t="shared" si="4"/>
        <v>0</v>
      </c>
      <c r="AJ100" s="152" t="str">
        <f t="shared" si="5"/>
        <v/>
      </c>
    </row>
    <row r="101">
      <c r="A101" s="42" t="s">
        <v>23</v>
      </c>
      <c r="B101" s="43">
        <f t="shared" si="6"/>
        <v>45754</v>
      </c>
      <c r="C101" s="42">
        <v>4.0</v>
      </c>
      <c r="D101" s="44" t="s">
        <v>33</v>
      </c>
      <c r="E101" s="99" t="s">
        <v>38</v>
      </c>
      <c r="F101" s="47">
        <v>0.0</v>
      </c>
      <c r="H101" s="49">
        <v>0.0</v>
      </c>
      <c r="J101" s="49">
        <v>0.0</v>
      </c>
      <c r="L101" s="110">
        <v>77.0</v>
      </c>
      <c r="N101" s="100">
        <v>77.0</v>
      </c>
      <c r="P101" s="100">
        <v>0.0</v>
      </c>
      <c r="R101" s="100">
        <v>0.0</v>
      </c>
      <c r="T101" s="100">
        <v>1.0</v>
      </c>
      <c r="V101" s="100">
        <v>1.0</v>
      </c>
      <c r="X101" s="56">
        <v>0.0</v>
      </c>
      <c r="Y101" s="57"/>
      <c r="Z101" s="58">
        <v>25.0</v>
      </c>
      <c r="AA101" s="57"/>
      <c r="AB101" s="58">
        <v>25.0</v>
      </c>
      <c r="AC101" s="57"/>
      <c r="AD101" s="58">
        <v>0.0</v>
      </c>
      <c r="AE101" s="59"/>
      <c r="AF101" s="94">
        <f t="shared" si="1"/>
        <v>4382.05</v>
      </c>
      <c r="AG101" s="42">
        <f t="shared" si="2"/>
        <v>204</v>
      </c>
      <c r="AH101" s="42">
        <f t="shared" si="3"/>
        <v>2</v>
      </c>
      <c r="AI101" s="42">
        <f t="shared" si="4"/>
        <v>206</v>
      </c>
      <c r="AJ101" s="95">
        <f t="shared" si="5"/>
        <v>21.27208738</v>
      </c>
    </row>
    <row r="102">
      <c r="A102" s="64" t="s">
        <v>26</v>
      </c>
      <c r="B102" s="65">
        <f t="shared" si="6"/>
        <v>45755</v>
      </c>
      <c r="C102" s="64">
        <v>4.0</v>
      </c>
      <c r="D102" s="66" t="s">
        <v>33</v>
      </c>
      <c r="E102" s="45" t="s">
        <v>38</v>
      </c>
      <c r="F102" s="47">
        <v>0.0</v>
      </c>
      <c r="H102" s="49">
        <v>0.0</v>
      </c>
      <c r="J102" s="49">
        <v>0.0</v>
      </c>
      <c r="L102" s="110">
        <v>77.0</v>
      </c>
      <c r="N102" s="100">
        <v>77.0</v>
      </c>
      <c r="P102" s="100">
        <v>0.0</v>
      </c>
      <c r="R102" s="100">
        <v>0.0</v>
      </c>
      <c r="T102" s="100">
        <v>0.0</v>
      </c>
      <c r="V102" s="100">
        <v>0.0</v>
      </c>
      <c r="X102" s="50">
        <v>0.0</v>
      </c>
      <c r="Z102" s="52">
        <v>25.0</v>
      </c>
      <c r="AB102" s="52">
        <v>25.0</v>
      </c>
      <c r="AD102" s="52">
        <v>0.0</v>
      </c>
      <c r="AE102" s="28"/>
      <c r="AF102" s="96">
        <f t="shared" si="1"/>
        <v>3616.92</v>
      </c>
      <c r="AG102" s="64">
        <f t="shared" si="2"/>
        <v>204</v>
      </c>
      <c r="AH102" s="64">
        <f t="shared" si="3"/>
        <v>0</v>
      </c>
      <c r="AI102" s="64">
        <f t="shared" si="4"/>
        <v>204</v>
      </c>
      <c r="AJ102" s="97">
        <f t="shared" si="5"/>
        <v>17.73</v>
      </c>
    </row>
    <row r="103">
      <c r="A103" s="64" t="s">
        <v>27</v>
      </c>
      <c r="B103" s="65">
        <f t="shared" si="6"/>
        <v>45756</v>
      </c>
      <c r="C103" s="64">
        <v>4.0</v>
      </c>
      <c r="D103" s="66" t="s">
        <v>33</v>
      </c>
      <c r="E103" s="45" t="s">
        <v>38</v>
      </c>
      <c r="F103" s="47">
        <v>0.0</v>
      </c>
      <c r="H103" s="49">
        <v>0.0</v>
      </c>
      <c r="J103" s="49">
        <v>0.0</v>
      </c>
      <c r="L103" s="110">
        <v>77.0</v>
      </c>
      <c r="N103" s="100">
        <v>77.0</v>
      </c>
      <c r="P103" s="100">
        <v>0.0</v>
      </c>
      <c r="R103" s="100">
        <v>0.0</v>
      </c>
      <c r="T103" s="100">
        <v>0.0</v>
      </c>
      <c r="V103" s="100">
        <v>0.0</v>
      </c>
      <c r="X103" s="50">
        <v>0.0</v>
      </c>
      <c r="Z103" s="52">
        <v>25.0</v>
      </c>
      <c r="AB103" s="52">
        <v>25.0</v>
      </c>
      <c r="AD103" s="52">
        <v>0.0</v>
      </c>
      <c r="AE103" s="28"/>
      <c r="AF103" s="96">
        <f t="shared" si="1"/>
        <v>3616.92</v>
      </c>
      <c r="AG103" s="64">
        <f t="shared" si="2"/>
        <v>204</v>
      </c>
      <c r="AH103" s="64">
        <f t="shared" si="3"/>
        <v>0</v>
      </c>
      <c r="AI103" s="64">
        <f t="shared" si="4"/>
        <v>204</v>
      </c>
      <c r="AJ103" s="97">
        <f t="shared" si="5"/>
        <v>17.73</v>
      </c>
    </row>
    <row r="104">
      <c r="A104" s="64" t="s">
        <v>28</v>
      </c>
      <c r="B104" s="65">
        <f t="shared" si="6"/>
        <v>45757</v>
      </c>
      <c r="C104" s="64">
        <v>4.0</v>
      </c>
      <c r="D104" s="66" t="s">
        <v>33</v>
      </c>
      <c r="E104" s="45" t="s">
        <v>38</v>
      </c>
      <c r="F104" s="47">
        <v>0.0</v>
      </c>
      <c r="H104" s="49">
        <v>0.0</v>
      </c>
      <c r="J104" s="49">
        <v>0.0</v>
      </c>
      <c r="L104" s="110">
        <v>77.0</v>
      </c>
      <c r="N104" s="100">
        <v>77.0</v>
      </c>
      <c r="P104" s="100">
        <v>0.0</v>
      </c>
      <c r="R104" s="100">
        <v>0.0</v>
      </c>
      <c r="T104" s="100">
        <v>0.0</v>
      </c>
      <c r="V104" s="100">
        <v>0.0</v>
      </c>
      <c r="X104" s="50">
        <v>0.0</v>
      </c>
      <c r="Z104" s="52">
        <v>25.0</v>
      </c>
      <c r="AB104" s="52">
        <v>25.0</v>
      </c>
      <c r="AD104" s="52">
        <v>0.0</v>
      </c>
      <c r="AE104" s="28"/>
      <c r="AF104" s="96">
        <f t="shared" si="1"/>
        <v>3616.92</v>
      </c>
      <c r="AG104" s="64">
        <f t="shared" si="2"/>
        <v>204</v>
      </c>
      <c r="AH104" s="64">
        <f t="shared" si="3"/>
        <v>0</v>
      </c>
      <c r="AI104" s="64">
        <f t="shared" si="4"/>
        <v>204</v>
      </c>
      <c r="AJ104" s="97">
        <f t="shared" si="5"/>
        <v>17.73</v>
      </c>
    </row>
    <row r="105">
      <c r="A105" s="64" t="s">
        <v>29</v>
      </c>
      <c r="B105" s="65">
        <f t="shared" si="6"/>
        <v>45758</v>
      </c>
      <c r="C105" s="64">
        <v>4.0</v>
      </c>
      <c r="D105" s="66" t="s">
        <v>33</v>
      </c>
      <c r="E105" s="45" t="s">
        <v>38</v>
      </c>
      <c r="F105" s="47">
        <v>0.0</v>
      </c>
      <c r="H105" s="49">
        <v>0.0</v>
      </c>
      <c r="J105" s="49">
        <v>0.0</v>
      </c>
      <c r="L105" s="110">
        <v>77.0</v>
      </c>
      <c r="N105" s="100">
        <v>77.0</v>
      </c>
      <c r="P105" s="100">
        <v>0.0</v>
      </c>
      <c r="R105" s="100">
        <v>0.0</v>
      </c>
      <c r="T105" s="100">
        <v>0.0</v>
      </c>
      <c r="V105" s="100">
        <v>0.0</v>
      </c>
      <c r="X105" s="50">
        <v>0.0</v>
      </c>
      <c r="Z105" s="52">
        <v>25.0</v>
      </c>
      <c r="AB105" s="52">
        <v>25.0</v>
      </c>
      <c r="AD105" s="52">
        <v>0.0</v>
      </c>
      <c r="AE105" s="28"/>
      <c r="AF105" s="96">
        <f t="shared" si="1"/>
        <v>3616.92</v>
      </c>
      <c r="AG105" s="64">
        <f t="shared" si="2"/>
        <v>204</v>
      </c>
      <c r="AH105" s="64">
        <f t="shared" si="3"/>
        <v>0</v>
      </c>
      <c r="AI105" s="64">
        <f t="shared" si="4"/>
        <v>204</v>
      </c>
      <c r="AJ105" s="97">
        <f t="shared" si="5"/>
        <v>17.73</v>
      </c>
    </row>
    <row r="106">
      <c r="A106" s="64" t="s">
        <v>30</v>
      </c>
      <c r="B106" s="65">
        <f t="shared" si="6"/>
        <v>45759</v>
      </c>
      <c r="C106" s="64">
        <v>4.0</v>
      </c>
      <c r="D106" s="66" t="s">
        <v>33</v>
      </c>
      <c r="E106" s="45" t="s">
        <v>38</v>
      </c>
      <c r="F106" s="47">
        <v>0.0</v>
      </c>
      <c r="H106" s="49">
        <v>0.0</v>
      </c>
      <c r="J106" s="49">
        <v>0.0</v>
      </c>
      <c r="L106" s="110">
        <v>77.0</v>
      </c>
      <c r="N106" s="100">
        <v>77.0</v>
      </c>
      <c r="P106" s="100">
        <v>0.0</v>
      </c>
      <c r="R106" s="100">
        <v>0.0</v>
      </c>
      <c r="T106" s="100">
        <v>0.0</v>
      </c>
      <c r="V106" s="100">
        <v>0.0</v>
      </c>
      <c r="X106" s="50">
        <v>0.0</v>
      </c>
      <c r="Z106" s="52">
        <v>25.0</v>
      </c>
      <c r="AB106" s="52">
        <v>25.0</v>
      </c>
      <c r="AD106" s="52">
        <v>0.0</v>
      </c>
      <c r="AE106" s="28"/>
      <c r="AF106" s="96">
        <f t="shared" si="1"/>
        <v>3616.92</v>
      </c>
      <c r="AG106" s="64">
        <f t="shared" si="2"/>
        <v>204</v>
      </c>
      <c r="AH106" s="64">
        <f t="shared" si="3"/>
        <v>0</v>
      </c>
      <c r="AI106" s="64">
        <f t="shared" si="4"/>
        <v>204</v>
      </c>
      <c r="AJ106" s="97">
        <f t="shared" si="5"/>
        <v>17.73</v>
      </c>
    </row>
    <row r="107">
      <c r="A107" s="83" t="s">
        <v>31</v>
      </c>
      <c r="B107" s="84">
        <f t="shared" si="6"/>
        <v>45760</v>
      </c>
      <c r="C107" s="83">
        <v>4.0</v>
      </c>
      <c r="D107" s="85" t="s">
        <v>33</v>
      </c>
      <c r="E107" s="106" t="s">
        <v>38</v>
      </c>
      <c r="F107" s="87">
        <v>0.0</v>
      </c>
      <c r="G107" s="75"/>
      <c r="H107" s="88">
        <v>0.0</v>
      </c>
      <c r="I107" s="75"/>
      <c r="J107" s="88">
        <v>0.0</v>
      </c>
      <c r="K107" s="75"/>
      <c r="L107" s="113">
        <v>0.0</v>
      </c>
      <c r="M107" s="75"/>
      <c r="N107" s="107">
        <v>0.0</v>
      </c>
      <c r="O107" s="75"/>
      <c r="P107" s="107">
        <v>0.0</v>
      </c>
      <c r="Q107" s="75"/>
      <c r="R107" s="107">
        <v>0.0</v>
      </c>
      <c r="S107" s="75"/>
      <c r="T107" s="107">
        <v>0.0</v>
      </c>
      <c r="U107" s="75"/>
      <c r="V107" s="107">
        <v>0.0</v>
      </c>
      <c r="W107" s="75"/>
      <c r="X107" s="89">
        <v>0.0</v>
      </c>
      <c r="Y107" s="75"/>
      <c r="Z107" s="90">
        <v>0.0</v>
      </c>
      <c r="AA107" s="75"/>
      <c r="AB107" s="90">
        <v>0.0</v>
      </c>
      <c r="AC107" s="75"/>
      <c r="AD107" s="90">
        <v>0.0</v>
      </c>
      <c r="AE107" s="77"/>
      <c r="AF107" s="98">
        <f t="shared" si="1"/>
        <v>0</v>
      </c>
      <c r="AG107" s="83">
        <f t="shared" si="2"/>
        <v>0</v>
      </c>
      <c r="AH107" s="83">
        <f t="shared" si="3"/>
        <v>0</v>
      </c>
      <c r="AI107" s="83">
        <f t="shared" si="4"/>
        <v>0</v>
      </c>
      <c r="AJ107" s="152" t="str">
        <f t="shared" si="5"/>
        <v/>
      </c>
    </row>
    <row r="108">
      <c r="A108" s="42" t="s">
        <v>23</v>
      </c>
      <c r="B108" s="43">
        <f t="shared" si="6"/>
        <v>45761</v>
      </c>
      <c r="C108" s="42">
        <v>4.0</v>
      </c>
      <c r="D108" s="44" t="s">
        <v>36</v>
      </c>
      <c r="E108" s="99" t="s">
        <v>38</v>
      </c>
      <c r="F108" s="47">
        <v>0.0</v>
      </c>
      <c r="H108" s="49">
        <v>0.0</v>
      </c>
      <c r="J108" s="49">
        <v>0.0</v>
      </c>
      <c r="L108" s="110">
        <v>77.0</v>
      </c>
      <c r="N108" s="100">
        <v>77.0</v>
      </c>
      <c r="P108" s="100">
        <v>0.0</v>
      </c>
      <c r="R108" s="100">
        <v>35.0</v>
      </c>
      <c r="T108" s="100">
        <v>1.0</v>
      </c>
      <c r="V108" s="100">
        <v>1.0</v>
      </c>
      <c r="X108" s="56">
        <v>0.0</v>
      </c>
      <c r="Y108" s="57"/>
      <c r="Z108" s="58">
        <v>25.0</v>
      </c>
      <c r="AA108" s="57"/>
      <c r="AB108" s="58">
        <v>25.0</v>
      </c>
      <c r="AC108" s="57"/>
      <c r="AD108" s="58">
        <v>0.0</v>
      </c>
      <c r="AE108" s="59"/>
      <c r="AF108" s="94">
        <f t="shared" si="1"/>
        <v>4628.45</v>
      </c>
      <c r="AG108" s="42">
        <f t="shared" si="2"/>
        <v>239</v>
      </c>
      <c r="AH108" s="42">
        <f t="shared" si="3"/>
        <v>2</v>
      </c>
      <c r="AI108" s="42">
        <f t="shared" si="4"/>
        <v>241</v>
      </c>
      <c r="AJ108" s="95">
        <f t="shared" si="5"/>
        <v>19.20518672</v>
      </c>
    </row>
    <row r="109">
      <c r="A109" s="64" t="s">
        <v>26</v>
      </c>
      <c r="B109" s="65">
        <f t="shared" si="6"/>
        <v>45762</v>
      </c>
      <c r="C109" s="64">
        <v>4.0</v>
      </c>
      <c r="D109" s="66" t="s">
        <v>36</v>
      </c>
      <c r="E109" s="45" t="s">
        <v>38</v>
      </c>
      <c r="F109" s="47">
        <v>0.0</v>
      </c>
      <c r="H109" s="49">
        <v>0.0</v>
      </c>
      <c r="J109" s="49">
        <v>0.0</v>
      </c>
      <c r="L109" s="110">
        <v>77.0</v>
      </c>
      <c r="N109" s="100">
        <v>77.0</v>
      </c>
      <c r="P109" s="100">
        <v>0.0</v>
      </c>
      <c r="R109" s="100">
        <v>50.0</v>
      </c>
      <c r="T109" s="100">
        <v>0.0</v>
      </c>
      <c r="V109" s="100">
        <v>0.0</v>
      </c>
      <c r="X109" s="50">
        <v>0.0</v>
      </c>
      <c r="Z109" s="52">
        <v>25.0</v>
      </c>
      <c r="AB109" s="52">
        <v>25.0</v>
      </c>
      <c r="AD109" s="52">
        <v>0.0</v>
      </c>
      <c r="AE109" s="28"/>
      <c r="AF109" s="96">
        <f t="shared" si="1"/>
        <v>3968.92</v>
      </c>
      <c r="AG109" s="64">
        <f t="shared" si="2"/>
        <v>254</v>
      </c>
      <c r="AH109" s="64">
        <f t="shared" si="3"/>
        <v>0</v>
      </c>
      <c r="AI109" s="64">
        <f t="shared" si="4"/>
        <v>254</v>
      </c>
      <c r="AJ109" s="97">
        <f t="shared" si="5"/>
        <v>15.62566929</v>
      </c>
    </row>
    <row r="110">
      <c r="A110" s="64" t="s">
        <v>27</v>
      </c>
      <c r="B110" s="65">
        <f t="shared" si="6"/>
        <v>45763</v>
      </c>
      <c r="C110" s="64">
        <v>4.0</v>
      </c>
      <c r="D110" s="66" t="s">
        <v>36</v>
      </c>
      <c r="E110" s="45" t="s">
        <v>38</v>
      </c>
      <c r="F110" s="47">
        <v>0.0</v>
      </c>
      <c r="H110" s="49">
        <v>0.0</v>
      </c>
      <c r="J110" s="49">
        <v>0.0</v>
      </c>
      <c r="L110" s="110">
        <v>77.0</v>
      </c>
      <c r="N110" s="100">
        <v>77.0</v>
      </c>
      <c r="P110" s="100">
        <v>0.0</v>
      </c>
      <c r="R110" s="100">
        <v>0.0</v>
      </c>
      <c r="T110" s="100">
        <v>0.0</v>
      </c>
      <c r="V110" s="100">
        <v>0.0</v>
      </c>
      <c r="X110" s="50">
        <v>0.0</v>
      </c>
      <c r="Z110" s="52">
        <v>25.0</v>
      </c>
      <c r="AB110" s="52">
        <v>25.0</v>
      </c>
      <c r="AD110" s="52">
        <v>0.0</v>
      </c>
      <c r="AE110" s="28"/>
      <c r="AF110" s="96">
        <f t="shared" si="1"/>
        <v>3616.92</v>
      </c>
      <c r="AG110" s="64">
        <f t="shared" si="2"/>
        <v>204</v>
      </c>
      <c r="AH110" s="64">
        <f t="shared" si="3"/>
        <v>0</v>
      </c>
      <c r="AI110" s="64">
        <f t="shared" si="4"/>
        <v>204</v>
      </c>
      <c r="AJ110" s="97">
        <f t="shared" si="5"/>
        <v>17.73</v>
      </c>
    </row>
    <row r="111">
      <c r="A111" s="64" t="s">
        <v>28</v>
      </c>
      <c r="B111" s="65">
        <f t="shared" si="6"/>
        <v>45764</v>
      </c>
      <c r="C111" s="64">
        <v>4.0</v>
      </c>
      <c r="D111" s="66" t="s">
        <v>36</v>
      </c>
      <c r="E111" s="45" t="s">
        <v>38</v>
      </c>
      <c r="F111" s="47">
        <v>0.0</v>
      </c>
      <c r="H111" s="49">
        <v>0.0</v>
      </c>
      <c r="J111" s="49">
        <v>0.0</v>
      </c>
      <c r="L111" s="110">
        <v>77.0</v>
      </c>
      <c r="N111" s="100">
        <v>77.0</v>
      </c>
      <c r="P111" s="100">
        <v>0.0</v>
      </c>
      <c r="R111" s="100">
        <v>35.0</v>
      </c>
      <c r="T111" s="100">
        <v>0.0</v>
      </c>
      <c r="V111" s="100">
        <v>0.0</v>
      </c>
      <c r="X111" s="50">
        <v>0.0</v>
      </c>
      <c r="Z111" s="52">
        <v>25.0</v>
      </c>
      <c r="AB111" s="52">
        <v>25.0</v>
      </c>
      <c r="AD111" s="52">
        <v>0.0</v>
      </c>
      <c r="AE111" s="28"/>
      <c r="AF111" s="96">
        <f t="shared" si="1"/>
        <v>3863.32</v>
      </c>
      <c r="AG111" s="64">
        <f t="shared" si="2"/>
        <v>239</v>
      </c>
      <c r="AH111" s="64">
        <f t="shared" si="3"/>
        <v>0</v>
      </c>
      <c r="AI111" s="64">
        <f t="shared" si="4"/>
        <v>239</v>
      </c>
      <c r="AJ111" s="97">
        <f t="shared" si="5"/>
        <v>16.16451883</v>
      </c>
    </row>
    <row r="112">
      <c r="A112" s="64" t="s">
        <v>29</v>
      </c>
      <c r="B112" s="65">
        <f t="shared" si="6"/>
        <v>45765</v>
      </c>
      <c r="C112" s="64">
        <v>4.0</v>
      </c>
      <c r="D112" s="66" t="s">
        <v>36</v>
      </c>
      <c r="E112" s="45" t="s">
        <v>38</v>
      </c>
      <c r="F112" s="47">
        <v>0.0</v>
      </c>
      <c r="H112" s="49">
        <v>0.0</v>
      </c>
      <c r="J112" s="49">
        <v>0.0</v>
      </c>
      <c r="L112" s="110">
        <v>77.0</v>
      </c>
      <c r="N112" s="100">
        <v>77.0</v>
      </c>
      <c r="P112" s="100">
        <v>0.0</v>
      </c>
      <c r="R112" s="100">
        <v>35.0</v>
      </c>
      <c r="T112" s="100">
        <v>0.0</v>
      </c>
      <c r="V112" s="100">
        <v>0.0</v>
      </c>
      <c r="X112" s="50">
        <v>0.0</v>
      </c>
      <c r="Z112" s="52">
        <v>25.0</v>
      </c>
      <c r="AB112" s="52">
        <v>25.0</v>
      </c>
      <c r="AD112" s="52">
        <v>0.0</v>
      </c>
      <c r="AE112" s="28"/>
      <c r="AF112" s="96">
        <f t="shared" si="1"/>
        <v>3863.32</v>
      </c>
      <c r="AG112" s="64">
        <f t="shared" si="2"/>
        <v>239</v>
      </c>
      <c r="AH112" s="64">
        <f t="shared" si="3"/>
        <v>0</v>
      </c>
      <c r="AI112" s="64">
        <f t="shared" si="4"/>
        <v>239</v>
      </c>
      <c r="AJ112" s="97">
        <f t="shared" si="5"/>
        <v>16.16451883</v>
      </c>
    </row>
    <row r="113">
      <c r="A113" s="64" t="s">
        <v>30</v>
      </c>
      <c r="B113" s="65">
        <f t="shared" si="6"/>
        <v>45766</v>
      </c>
      <c r="C113" s="64">
        <v>4.0</v>
      </c>
      <c r="D113" s="66" t="s">
        <v>36</v>
      </c>
      <c r="E113" s="45" t="s">
        <v>38</v>
      </c>
      <c r="F113" s="47">
        <v>0.0</v>
      </c>
      <c r="H113" s="49">
        <v>0.0</v>
      </c>
      <c r="J113" s="49">
        <v>0.0</v>
      </c>
      <c r="L113" s="110">
        <v>77.0</v>
      </c>
      <c r="N113" s="100">
        <v>77.0</v>
      </c>
      <c r="P113" s="100">
        <v>0.0</v>
      </c>
      <c r="R113" s="100">
        <v>0.0</v>
      </c>
      <c r="T113" s="100">
        <v>0.0</v>
      </c>
      <c r="V113" s="100">
        <v>0.0</v>
      </c>
      <c r="X113" s="50">
        <v>0.0</v>
      </c>
      <c r="Z113" s="52">
        <v>25.0</v>
      </c>
      <c r="AB113" s="52">
        <v>25.0</v>
      </c>
      <c r="AD113" s="52">
        <v>0.0</v>
      </c>
      <c r="AE113" s="28"/>
      <c r="AF113" s="96">
        <f t="shared" si="1"/>
        <v>3616.92</v>
      </c>
      <c r="AG113" s="64">
        <f t="shared" si="2"/>
        <v>204</v>
      </c>
      <c r="AH113" s="64">
        <f t="shared" si="3"/>
        <v>0</v>
      </c>
      <c r="AI113" s="64">
        <f t="shared" si="4"/>
        <v>204</v>
      </c>
      <c r="AJ113" s="97">
        <f t="shared" si="5"/>
        <v>17.73</v>
      </c>
    </row>
    <row r="114">
      <c r="A114" s="83" t="s">
        <v>31</v>
      </c>
      <c r="B114" s="84">
        <f t="shared" si="6"/>
        <v>45767</v>
      </c>
      <c r="C114" s="83">
        <v>4.0</v>
      </c>
      <c r="D114" s="85" t="s">
        <v>36</v>
      </c>
      <c r="E114" s="106" t="s">
        <v>38</v>
      </c>
      <c r="F114" s="87">
        <v>0.0</v>
      </c>
      <c r="G114" s="75"/>
      <c r="H114" s="88">
        <v>0.0</v>
      </c>
      <c r="I114" s="75"/>
      <c r="J114" s="88">
        <v>0.0</v>
      </c>
      <c r="K114" s="75"/>
      <c r="L114" s="113">
        <v>0.0</v>
      </c>
      <c r="M114" s="75"/>
      <c r="N114" s="107">
        <v>0.0</v>
      </c>
      <c r="O114" s="75"/>
      <c r="P114" s="107">
        <v>0.0</v>
      </c>
      <c r="Q114" s="75"/>
      <c r="R114" s="107">
        <v>0.0</v>
      </c>
      <c r="S114" s="75"/>
      <c r="T114" s="107">
        <v>0.0</v>
      </c>
      <c r="U114" s="75"/>
      <c r="V114" s="107">
        <v>0.0</v>
      </c>
      <c r="W114" s="75"/>
      <c r="X114" s="89">
        <v>0.0</v>
      </c>
      <c r="Y114" s="75"/>
      <c r="Z114" s="90">
        <v>0.0</v>
      </c>
      <c r="AA114" s="75"/>
      <c r="AB114" s="90">
        <v>0.0</v>
      </c>
      <c r="AC114" s="75"/>
      <c r="AD114" s="90">
        <v>0.0</v>
      </c>
      <c r="AE114" s="77"/>
      <c r="AF114" s="98">
        <f t="shared" si="1"/>
        <v>0</v>
      </c>
      <c r="AG114" s="83">
        <f t="shared" si="2"/>
        <v>0</v>
      </c>
      <c r="AH114" s="83">
        <f t="shared" si="3"/>
        <v>0</v>
      </c>
      <c r="AI114" s="83">
        <f t="shared" si="4"/>
        <v>0</v>
      </c>
      <c r="AJ114" s="152" t="str">
        <f t="shared" si="5"/>
        <v/>
      </c>
    </row>
    <row r="115">
      <c r="A115" s="42" t="s">
        <v>23</v>
      </c>
      <c r="B115" s="43">
        <f t="shared" si="6"/>
        <v>45768</v>
      </c>
      <c r="C115" s="42">
        <v>5.0</v>
      </c>
      <c r="D115" s="44" t="s">
        <v>24</v>
      </c>
      <c r="E115" s="99" t="s">
        <v>38</v>
      </c>
      <c r="F115" s="47">
        <v>0.0</v>
      </c>
      <c r="H115" s="49">
        <v>0.0</v>
      </c>
      <c r="J115" s="49">
        <v>0.0</v>
      </c>
      <c r="L115" s="110">
        <v>77.0</v>
      </c>
      <c r="N115" s="100">
        <v>77.0</v>
      </c>
      <c r="P115" s="100">
        <v>0.0</v>
      </c>
      <c r="R115" s="100">
        <v>35.0</v>
      </c>
      <c r="T115" s="100">
        <v>1.0</v>
      </c>
      <c r="V115" s="100">
        <v>1.0</v>
      </c>
      <c r="X115" s="56">
        <v>0.0</v>
      </c>
      <c r="Y115" s="57"/>
      <c r="Z115" s="58">
        <v>25.0</v>
      </c>
      <c r="AA115" s="57"/>
      <c r="AB115" s="58">
        <v>25.0</v>
      </c>
      <c r="AC115" s="57"/>
      <c r="AD115" s="58">
        <v>0.0</v>
      </c>
      <c r="AE115" s="59"/>
      <c r="AF115" s="94">
        <f t="shared" si="1"/>
        <v>4628.45</v>
      </c>
      <c r="AG115" s="42">
        <f t="shared" si="2"/>
        <v>239</v>
      </c>
      <c r="AH115" s="42">
        <f t="shared" si="3"/>
        <v>2</v>
      </c>
      <c r="AI115" s="42">
        <f t="shared" si="4"/>
        <v>241</v>
      </c>
      <c r="AJ115" s="95">
        <f t="shared" si="5"/>
        <v>19.20518672</v>
      </c>
    </row>
    <row r="116">
      <c r="A116" s="64" t="s">
        <v>26</v>
      </c>
      <c r="B116" s="65">
        <f t="shared" si="6"/>
        <v>45769</v>
      </c>
      <c r="C116" s="64">
        <v>5.0</v>
      </c>
      <c r="D116" s="66" t="s">
        <v>24</v>
      </c>
      <c r="E116" s="45" t="s">
        <v>38</v>
      </c>
      <c r="F116" s="47">
        <v>0.0</v>
      </c>
      <c r="H116" s="49">
        <v>0.0</v>
      </c>
      <c r="J116" s="49">
        <v>0.0</v>
      </c>
      <c r="L116" s="110">
        <v>77.0</v>
      </c>
      <c r="N116" s="100">
        <v>77.0</v>
      </c>
      <c r="P116" s="100">
        <v>0.0</v>
      </c>
      <c r="R116" s="100">
        <v>35.0</v>
      </c>
      <c r="T116" s="100">
        <v>0.0</v>
      </c>
      <c r="V116" s="100">
        <v>0.0</v>
      </c>
      <c r="X116" s="50">
        <v>0.0</v>
      </c>
      <c r="Z116" s="52">
        <v>25.0</v>
      </c>
      <c r="AB116" s="52">
        <v>25.0</v>
      </c>
      <c r="AD116" s="52">
        <v>0.0</v>
      </c>
      <c r="AE116" s="28"/>
      <c r="AF116" s="96">
        <f t="shared" si="1"/>
        <v>3863.32</v>
      </c>
      <c r="AG116" s="64">
        <f t="shared" si="2"/>
        <v>239</v>
      </c>
      <c r="AH116" s="64">
        <f t="shared" si="3"/>
        <v>0</v>
      </c>
      <c r="AI116" s="64">
        <f t="shared" si="4"/>
        <v>239</v>
      </c>
      <c r="AJ116" s="97">
        <f t="shared" si="5"/>
        <v>16.16451883</v>
      </c>
    </row>
    <row r="117">
      <c r="A117" s="64" t="s">
        <v>27</v>
      </c>
      <c r="B117" s="65">
        <f t="shared" si="6"/>
        <v>45770</v>
      </c>
      <c r="C117" s="64">
        <v>5.0</v>
      </c>
      <c r="D117" s="66" t="s">
        <v>24</v>
      </c>
      <c r="E117" s="45" t="s">
        <v>38</v>
      </c>
      <c r="F117" s="47">
        <v>0.0</v>
      </c>
      <c r="H117" s="49">
        <v>0.0</v>
      </c>
      <c r="J117" s="49">
        <v>0.0</v>
      </c>
      <c r="L117" s="110">
        <v>77.0</v>
      </c>
      <c r="N117" s="100">
        <v>77.0</v>
      </c>
      <c r="P117" s="100">
        <v>0.0</v>
      </c>
      <c r="R117" s="100">
        <v>35.0</v>
      </c>
      <c r="T117" s="100">
        <v>0.0</v>
      </c>
      <c r="V117" s="100">
        <v>0.0</v>
      </c>
      <c r="X117" s="50">
        <v>0.0</v>
      </c>
      <c r="Z117" s="52">
        <v>25.0</v>
      </c>
      <c r="AB117" s="52">
        <v>25.0</v>
      </c>
      <c r="AD117" s="52">
        <v>0.0</v>
      </c>
      <c r="AE117" s="28"/>
      <c r="AF117" s="96">
        <f t="shared" si="1"/>
        <v>3863.32</v>
      </c>
      <c r="AG117" s="64">
        <f t="shared" si="2"/>
        <v>239</v>
      </c>
      <c r="AH117" s="64">
        <f t="shared" si="3"/>
        <v>0</v>
      </c>
      <c r="AI117" s="64">
        <f t="shared" si="4"/>
        <v>239</v>
      </c>
      <c r="AJ117" s="97">
        <f t="shared" si="5"/>
        <v>16.16451883</v>
      </c>
    </row>
    <row r="118">
      <c r="A118" s="64" t="s">
        <v>28</v>
      </c>
      <c r="B118" s="65">
        <f t="shared" si="6"/>
        <v>45771</v>
      </c>
      <c r="C118" s="64">
        <v>5.0</v>
      </c>
      <c r="D118" s="66" t="s">
        <v>24</v>
      </c>
      <c r="E118" s="45" t="s">
        <v>38</v>
      </c>
      <c r="F118" s="47">
        <v>0.0</v>
      </c>
      <c r="H118" s="49">
        <v>0.0</v>
      </c>
      <c r="J118" s="49">
        <v>0.0</v>
      </c>
      <c r="L118" s="110">
        <v>77.0</v>
      </c>
      <c r="N118" s="100">
        <v>77.0</v>
      </c>
      <c r="P118" s="100">
        <v>0.0</v>
      </c>
      <c r="R118" s="100">
        <v>35.0</v>
      </c>
      <c r="T118" s="100">
        <v>0.0</v>
      </c>
      <c r="V118" s="100">
        <v>0.0</v>
      </c>
      <c r="X118" s="50">
        <v>0.0</v>
      </c>
      <c r="Z118" s="52">
        <v>25.0</v>
      </c>
      <c r="AB118" s="52">
        <v>25.0</v>
      </c>
      <c r="AD118" s="52">
        <v>0.0</v>
      </c>
      <c r="AE118" s="28"/>
      <c r="AF118" s="96">
        <f t="shared" si="1"/>
        <v>3863.32</v>
      </c>
      <c r="AG118" s="64">
        <f t="shared" si="2"/>
        <v>239</v>
      </c>
      <c r="AH118" s="64">
        <f t="shared" si="3"/>
        <v>0</v>
      </c>
      <c r="AI118" s="64">
        <f t="shared" si="4"/>
        <v>239</v>
      </c>
      <c r="AJ118" s="97">
        <f t="shared" si="5"/>
        <v>16.16451883</v>
      </c>
    </row>
    <row r="119">
      <c r="A119" s="64" t="s">
        <v>29</v>
      </c>
      <c r="B119" s="65">
        <f t="shared" si="6"/>
        <v>45772</v>
      </c>
      <c r="C119" s="64">
        <v>5.0</v>
      </c>
      <c r="D119" s="66" t="s">
        <v>24</v>
      </c>
      <c r="E119" s="45" t="s">
        <v>38</v>
      </c>
      <c r="F119" s="47">
        <v>0.0</v>
      </c>
      <c r="H119" s="49">
        <v>0.0</v>
      </c>
      <c r="J119" s="49">
        <v>0.0</v>
      </c>
      <c r="L119" s="110">
        <v>77.0</v>
      </c>
      <c r="N119" s="100">
        <v>77.0</v>
      </c>
      <c r="P119" s="100">
        <v>0.0</v>
      </c>
      <c r="R119" s="100">
        <v>35.0</v>
      </c>
      <c r="T119" s="100">
        <v>0.0</v>
      </c>
      <c r="V119" s="100">
        <v>0.0</v>
      </c>
      <c r="X119" s="50">
        <v>0.0</v>
      </c>
      <c r="Z119" s="52">
        <v>25.0</v>
      </c>
      <c r="AB119" s="52">
        <v>25.0</v>
      </c>
      <c r="AD119" s="52">
        <v>0.0</v>
      </c>
      <c r="AE119" s="28"/>
      <c r="AF119" s="96">
        <f t="shared" si="1"/>
        <v>3863.32</v>
      </c>
      <c r="AG119" s="64">
        <f t="shared" si="2"/>
        <v>239</v>
      </c>
      <c r="AH119" s="64">
        <f t="shared" si="3"/>
        <v>0</v>
      </c>
      <c r="AI119" s="64">
        <f t="shared" si="4"/>
        <v>239</v>
      </c>
      <c r="AJ119" s="97">
        <f t="shared" si="5"/>
        <v>16.16451883</v>
      </c>
    </row>
    <row r="120">
      <c r="A120" s="64" t="s">
        <v>30</v>
      </c>
      <c r="B120" s="65">
        <f t="shared" si="6"/>
        <v>45773</v>
      </c>
      <c r="C120" s="64">
        <v>5.0</v>
      </c>
      <c r="D120" s="66" t="s">
        <v>24</v>
      </c>
      <c r="E120" s="45" t="s">
        <v>38</v>
      </c>
      <c r="F120" s="47">
        <v>0.0</v>
      </c>
      <c r="H120" s="49">
        <v>0.0</v>
      </c>
      <c r="J120" s="49">
        <v>0.0</v>
      </c>
      <c r="L120" s="110">
        <v>77.0</v>
      </c>
      <c r="N120" s="100">
        <v>77.0</v>
      </c>
      <c r="P120" s="100">
        <v>0.0</v>
      </c>
      <c r="R120" s="100">
        <v>0.0</v>
      </c>
      <c r="T120" s="100">
        <v>0.0</v>
      </c>
      <c r="V120" s="100">
        <v>0.0</v>
      </c>
      <c r="X120" s="50">
        <v>0.0</v>
      </c>
      <c r="Z120" s="52">
        <v>25.0</v>
      </c>
      <c r="AB120" s="52">
        <v>25.0</v>
      </c>
      <c r="AD120" s="52">
        <v>0.0</v>
      </c>
      <c r="AE120" s="28"/>
      <c r="AF120" s="96">
        <f t="shared" si="1"/>
        <v>3616.92</v>
      </c>
      <c r="AG120" s="64">
        <f t="shared" si="2"/>
        <v>204</v>
      </c>
      <c r="AH120" s="64">
        <f t="shared" si="3"/>
        <v>0</v>
      </c>
      <c r="AI120" s="64">
        <f t="shared" si="4"/>
        <v>204</v>
      </c>
      <c r="AJ120" s="97">
        <f t="shared" si="5"/>
        <v>17.73</v>
      </c>
    </row>
    <row r="121">
      <c r="A121" s="83" t="s">
        <v>31</v>
      </c>
      <c r="B121" s="84">
        <f t="shared" si="6"/>
        <v>45774</v>
      </c>
      <c r="C121" s="83">
        <v>5.0</v>
      </c>
      <c r="D121" s="85" t="s">
        <v>24</v>
      </c>
      <c r="E121" s="106" t="s">
        <v>38</v>
      </c>
      <c r="F121" s="87">
        <v>0.0</v>
      </c>
      <c r="G121" s="75"/>
      <c r="H121" s="88">
        <v>0.0</v>
      </c>
      <c r="I121" s="75"/>
      <c r="J121" s="88">
        <v>0.0</v>
      </c>
      <c r="K121" s="75"/>
      <c r="L121" s="113">
        <v>0.0</v>
      </c>
      <c r="M121" s="75"/>
      <c r="N121" s="107">
        <v>0.0</v>
      </c>
      <c r="O121" s="75"/>
      <c r="P121" s="123">
        <v>0.0</v>
      </c>
      <c r="Q121" s="75"/>
      <c r="R121" s="123">
        <v>0.0</v>
      </c>
      <c r="S121" s="75"/>
      <c r="T121" s="123">
        <v>0.0</v>
      </c>
      <c r="U121" s="75"/>
      <c r="V121" s="123">
        <v>0.0</v>
      </c>
      <c r="W121" s="75"/>
      <c r="X121" s="89">
        <v>0.0</v>
      </c>
      <c r="Y121" s="75"/>
      <c r="Z121" s="90">
        <v>0.0</v>
      </c>
      <c r="AA121" s="75"/>
      <c r="AB121" s="90">
        <v>0.0</v>
      </c>
      <c r="AC121" s="75"/>
      <c r="AD121" s="90">
        <v>0.0</v>
      </c>
      <c r="AE121" s="77"/>
      <c r="AF121" s="98">
        <f t="shared" si="1"/>
        <v>0</v>
      </c>
      <c r="AG121" s="83">
        <f t="shared" si="2"/>
        <v>0</v>
      </c>
      <c r="AH121" s="83">
        <f t="shared" si="3"/>
        <v>0</v>
      </c>
      <c r="AI121" s="83">
        <f t="shared" si="4"/>
        <v>0</v>
      </c>
      <c r="AJ121" s="152" t="str">
        <f t="shared" si="5"/>
        <v/>
      </c>
    </row>
    <row r="122">
      <c r="A122" s="42" t="s">
        <v>23</v>
      </c>
      <c r="B122" s="43">
        <f t="shared" si="6"/>
        <v>45775</v>
      </c>
      <c r="C122" s="42">
        <v>5.0</v>
      </c>
      <c r="D122" s="44" t="s">
        <v>32</v>
      </c>
      <c r="E122" s="99" t="s">
        <v>38</v>
      </c>
      <c r="F122" s="47">
        <v>0.0</v>
      </c>
      <c r="H122" s="49">
        <v>0.0</v>
      </c>
      <c r="J122" s="49">
        <v>0.0</v>
      </c>
      <c r="L122" s="110">
        <v>77.0</v>
      </c>
      <c r="N122" s="100">
        <v>77.0</v>
      </c>
      <c r="P122" s="100">
        <v>0.0</v>
      </c>
      <c r="R122" s="100">
        <v>0.0</v>
      </c>
      <c r="T122" s="100">
        <v>1.0</v>
      </c>
      <c r="V122" s="100">
        <v>1.0</v>
      </c>
      <c r="X122" s="56">
        <v>0.0</v>
      </c>
      <c r="Y122" s="57"/>
      <c r="Z122" s="58">
        <v>25.0</v>
      </c>
      <c r="AA122" s="57"/>
      <c r="AB122" s="58">
        <v>25.0</v>
      </c>
      <c r="AC122" s="57"/>
      <c r="AD122" s="58">
        <v>0.0</v>
      </c>
      <c r="AE122" s="59"/>
      <c r="AF122" s="94">
        <f t="shared" si="1"/>
        <v>4382.05</v>
      </c>
      <c r="AG122" s="42">
        <f t="shared" si="2"/>
        <v>204</v>
      </c>
      <c r="AH122" s="42">
        <f t="shared" si="3"/>
        <v>2</v>
      </c>
      <c r="AI122" s="42">
        <f t="shared" si="4"/>
        <v>206</v>
      </c>
      <c r="AJ122" s="95">
        <f t="shared" si="5"/>
        <v>21.27208738</v>
      </c>
    </row>
    <row r="123">
      <c r="A123" s="64" t="s">
        <v>26</v>
      </c>
      <c r="B123" s="65">
        <f t="shared" si="6"/>
        <v>45776</v>
      </c>
      <c r="C123" s="64">
        <v>5.0</v>
      </c>
      <c r="D123" s="66" t="s">
        <v>32</v>
      </c>
      <c r="E123" s="45" t="s">
        <v>38</v>
      </c>
      <c r="F123" s="47">
        <v>0.0</v>
      </c>
      <c r="H123" s="49">
        <v>0.0</v>
      </c>
      <c r="J123" s="49">
        <v>0.0</v>
      </c>
      <c r="L123" s="110">
        <v>77.0</v>
      </c>
      <c r="N123" s="100">
        <v>77.0</v>
      </c>
      <c r="P123" s="100">
        <v>0.0</v>
      </c>
      <c r="R123" s="100">
        <v>35.0</v>
      </c>
      <c r="T123" s="100">
        <v>0.0</v>
      </c>
      <c r="V123" s="100">
        <v>0.0</v>
      </c>
      <c r="X123" s="50">
        <v>0.0</v>
      </c>
      <c r="Z123" s="52">
        <v>25.0</v>
      </c>
      <c r="AB123" s="52">
        <v>25.0</v>
      </c>
      <c r="AD123" s="52">
        <v>0.0</v>
      </c>
      <c r="AE123" s="28"/>
      <c r="AF123" s="96">
        <f t="shared" si="1"/>
        <v>3863.32</v>
      </c>
      <c r="AG123" s="64">
        <f t="shared" si="2"/>
        <v>239</v>
      </c>
      <c r="AH123" s="64">
        <f t="shared" si="3"/>
        <v>0</v>
      </c>
      <c r="AI123" s="64">
        <f t="shared" si="4"/>
        <v>239</v>
      </c>
      <c r="AJ123" s="97">
        <f t="shared" si="5"/>
        <v>16.16451883</v>
      </c>
    </row>
    <row r="124">
      <c r="A124" s="64" t="s">
        <v>27</v>
      </c>
      <c r="B124" s="65">
        <f t="shared" si="6"/>
        <v>45777</v>
      </c>
      <c r="C124" s="64">
        <v>5.0</v>
      </c>
      <c r="D124" s="66" t="s">
        <v>32</v>
      </c>
      <c r="E124" s="45" t="s">
        <v>38</v>
      </c>
      <c r="F124" s="47">
        <v>0.0</v>
      </c>
      <c r="H124" s="49">
        <v>0.0</v>
      </c>
      <c r="J124" s="49">
        <v>0.0</v>
      </c>
      <c r="L124" s="110">
        <v>77.0</v>
      </c>
      <c r="N124" s="100">
        <v>77.0</v>
      </c>
      <c r="P124" s="100">
        <v>0.0</v>
      </c>
      <c r="R124" s="100">
        <v>0.0</v>
      </c>
      <c r="T124" s="100">
        <v>0.0</v>
      </c>
      <c r="V124" s="100">
        <v>0.0</v>
      </c>
      <c r="X124" s="50">
        <v>0.0</v>
      </c>
      <c r="Z124" s="52">
        <v>25.0</v>
      </c>
      <c r="AB124" s="52">
        <v>25.0</v>
      </c>
      <c r="AD124" s="52">
        <v>0.0</v>
      </c>
      <c r="AE124" s="28"/>
      <c r="AF124" s="96">
        <f t="shared" si="1"/>
        <v>3616.92</v>
      </c>
      <c r="AG124" s="64">
        <f t="shared" si="2"/>
        <v>204</v>
      </c>
      <c r="AH124" s="64">
        <f t="shared" si="3"/>
        <v>0</v>
      </c>
      <c r="AI124" s="64">
        <f t="shared" si="4"/>
        <v>204</v>
      </c>
      <c r="AJ124" s="97">
        <f t="shared" si="5"/>
        <v>17.73</v>
      </c>
    </row>
    <row r="125">
      <c r="A125" s="64" t="s">
        <v>28</v>
      </c>
      <c r="B125" s="65">
        <f t="shared" si="6"/>
        <v>45778</v>
      </c>
      <c r="C125" s="64">
        <v>5.0</v>
      </c>
      <c r="D125" s="66" t="s">
        <v>32</v>
      </c>
      <c r="E125" s="45" t="s">
        <v>38</v>
      </c>
      <c r="F125" s="47">
        <v>0.0</v>
      </c>
      <c r="H125" s="49">
        <v>0.0</v>
      </c>
      <c r="J125" s="49">
        <v>0.0</v>
      </c>
      <c r="L125" s="110">
        <v>77.0</v>
      </c>
      <c r="N125" s="100">
        <v>77.0</v>
      </c>
      <c r="P125" s="100">
        <v>0.0</v>
      </c>
      <c r="R125" s="100">
        <v>35.0</v>
      </c>
      <c r="T125" s="100">
        <v>0.0</v>
      </c>
      <c r="V125" s="100">
        <v>0.0</v>
      </c>
      <c r="X125" s="50">
        <v>0.0</v>
      </c>
      <c r="Z125" s="52">
        <v>25.0</v>
      </c>
      <c r="AB125" s="52">
        <v>25.0</v>
      </c>
      <c r="AD125" s="52">
        <v>0.0</v>
      </c>
      <c r="AE125" s="28"/>
      <c r="AF125" s="96">
        <f t="shared" si="1"/>
        <v>3863.32</v>
      </c>
      <c r="AG125" s="64">
        <f t="shared" si="2"/>
        <v>239</v>
      </c>
      <c r="AH125" s="64">
        <f t="shared" si="3"/>
        <v>0</v>
      </c>
      <c r="AI125" s="64">
        <f t="shared" si="4"/>
        <v>239</v>
      </c>
      <c r="AJ125" s="97">
        <f t="shared" si="5"/>
        <v>16.16451883</v>
      </c>
    </row>
    <row r="126">
      <c r="A126" s="64" t="s">
        <v>29</v>
      </c>
      <c r="B126" s="65">
        <f t="shared" si="6"/>
        <v>45779</v>
      </c>
      <c r="C126" s="64">
        <v>5.0</v>
      </c>
      <c r="D126" s="66" t="s">
        <v>32</v>
      </c>
      <c r="E126" s="45" t="s">
        <v>38</v>
      </c>
      <c r="F126" s="47">
        <v>0.0</v>
      </c>
      <c r="H126" s="49">
        <v>0.0</v>
      </c>
      <c r="J126" s="49">
        <v>0.0</v>
      </c>
      <c r="L126" s="110">
        <v>77.0</v>
      </c>
      <c r="N126" s="100">
        <v>77.0</v>
      </c>
      <c r="P126" s="100">
        <v>0.0</v>
      </c>
      <c r="R126" s="100">
        <v>35.0</v>
      </c>
      <c r="T126" s="100">
        <v>0.0</v>
      </c>
      <c r="V126" s="100">
        <v>0.0</v>
      </c>
      <c r="X126" s="50">
        <v>0.0</v>
      </c>
      <c r="Z126" s="52">
        <v>25.0</v>
      </c>
      <c r="AB126" s="52">
        <v>25.0</v>
      </c>
      <c r="AD126" s="52">
        <v>0.0</v>
      </c>
      <c r="AE126" s="28"/>
      <c r="AF126" s="96">
        <f t="shared" si="1"/>
        <v>3863.32</v>
      </c>
      <c r="AG126" s="64">
        <f t="shared" si="2"/>
        <v>239</v>
      </c>
      <c r="AH126" s="64">
        <f t="shared" si="3"/>
        <v>0</v>
      </c>
      <c r="AI126" s="64">
        <f t="shared" si="4"/>
        <v>239</v>
      </c>
      <c r="AJ126" s="97">
        <f t="shared" si="5"/>
        <v>16.16451883</v>
      </c>
    </row>
    <row r="127">
      <c r="A127" s="64" t="s">
        <v>30</v>
      </c>
      <c r="B127" s="65">
        <f t="shared" si="6"/>
        <v>45780</v>
      </c>
      <c r="C127" s="64">
        <v>5.0</v>
      </c>
      <c r="D127" s="66" t="s">
        <v>32</v>
      </c>
      <c r="E127" s="45" t="s">
        <v>38</v>
      </c>
      <c r="F127" s="47">
        <v>0.0</v>
      </c>
      <c r="H127" s="49">
        <v>0.0</v>
      </c>
      <c r="J127" s="49">
        <v>0.0</v>
      </c>
      <c r="L127" s="110">
        <v>77.0</v>
      </c>
      <c r="N127" s="100">
        <v>77.0</v>
      </c>
      <c r="P127" s="100">
        <v>0.0</v>
      </c>
      <c r="R127" s="100">
        <v>0.0</v>
      </c>
      <c r="T127" s="100">
        <v>0.0</v>
      </c>
      <c r="V127" s="100">
        <v>0.0</v>
      </c>
      <c r="X127" s="50">
        <v>0.0</v>
      </c>
      <c r="Z127" s="52">
        <v>25.0</v>
      </c>
      <c r="AB127" s="52">
        <v>25.0</v>
      </c>
      <c r="AD127" s="52">
        <v>0.0</v>
      </c>
      <c r="AE127" s="28"/>
      <c r="AF127" s="96">
        <f t="shared" si="1"/>
        <v>3616.92</v>
      </c>
      <c r="AG127" s="64">
        <f t="shared" si="2"/>
        <v>204</v>
      </c>
      <c r="AH127" s="64">
        <f t="shared" si="3"/>
        <v>0</v>
      </c>
      <c r="AI127" s="64">
        <f t="shared" si="4"/>
        <v>204</v>
      </c>
      <c r="AJ127" s="97">
        <f t="shared" si="5"/>
        <v>17.73</v>
      </c>
    </row>
    <row r="128">
      <c r="A128" s="83" t="s">
        <v>31</v>
      </c>
      <c r="B128" s="84">
        <f t="shared" si="6"/>
        <v>45781</v>
      </c>
      <c r="C128" s="83">
        <v>5.0</v>
      </c>
      <c r="D128" s="85" t="s">
        <v>32</v>
      </c>
      <c r="E128" s="106" t="s">
        <v>38</v>
      </c>
      <c r="F128" s="87">
        <v>0.0</v>
      </c>
      <c r="G128" s="75"/>
      <c r="H128" s="88">
        <v>0.0</v>
      </c>
      <c r="I128" s="75"/>
      <c r="J128" s="88">
        <v>0.0</v>
      </c>
      <c r="K128" s="75"/>
      <c r="L128" s="113">
        <v>0.0</v>
      </c>
      <c r="M128" s="75"/>
      <c r="N128" s="107">
        <v>0.0</v>
      </c>
      <c r="O128" s="75"/>
      <c r="P128" s="107">
        <v>0.0</v>
      </c>
      <c r="Q128" s="75"/>
      <c r="R128" s="107">
        <v>0.0</v>
      </c>
      <c r="S128" s="75"/>
      <c r="T128" s="107">
        <v>0.0</v>
      </c>
      <c r="U128" s="75"/>
      <c r="V128" s="107">
        <v>0.0</v>
      </c>
      <c r="W128" s="75"/>
      <c r="X128" s="89">
        <v>0.0</v>
      </c>
      <c r="Y128" s="75"/>
      <c r="Z128" s="90">
        <v>0.0</v>
      </c>
      <c r="AA128" s="75"/>
      <c r="AB128" s="90">
        <v>0.0</v>
      </c>
      <c r="AC128" s="75"/>
      <c r="AD128" s="90">
        <v>0.0</v>
      </c>
      <c r="AE128" s="77"/>
      <c r="AF128" s="98">
        <f t="shared" si="1"/>
        <v>0</v>
      </c>
      <c r="AG128" s="83">
        <f t="shared" si="2"/>
        <v>0</v>
      </c>
      <c r="AH128" s="83">
        <f t="shared" si="3"/>
        <v>0</v>
      </c>
      <c r="AI128" s="83">
        <f t="shared" si="4"/>
        <v>0</v>
      </c>
      <c r="AJ128" s="152" t="str">
        <f t="shared" si="5"/>
        <v/>
      </c>
    </row>
    <row r="129">
      <c r="A129" s="42" t="s">
        <v>23</v>
      </c>
      <c r="B129" s="43">
        <f t="shared" si="6"/>
        <v>45782</v>
      </c>
      <c r="C129" s="42">
        <v>5.0</v>
      </c>
      <c r="D129" s="44" t="s">
        <v>33</v>
      </c>
      <c r="E129" s="99" t="s">
        <v>38</v>
      </c>
      <c r="F129" s="47">
        <v>0.0</v>
      </c>
      <c r="H129" s="49">
        <v>0.0</v>
      </c>
      <c r="J129" s="49">
        <v>0.0</v>
      </c>
      <c r="L129" s="110">
        <v>69.0</v>
      </c>
      <c r="N129" s="100">
        <v>69.0</v>
      </c>
      <c r="P129" s="100">
        <v>0.0</v>
      </c>
      <c r="R129" s="100">
        <v>35.0</v>
      </c>
      <c r="T129" s="100">
        <v>1.0</v>
      </c>
      <c r="V129" s="100">
        <v>1.0</v>
      </c>
      <c r="X129" s="56">
        <v>0.0</v>
      </c>
      <c r="Y129" s="57"/>
      <c r="Z129" s="58">
        <v>25.0</v>
      </c>
      <c r="AA129" s="57"/>
      <c r="AB129" s="58">
        <v>25.0</v>
      </c>
      <c r="AC129" s="57"/>
      <c r="AD129" s="58">
        <v>0.0</v>
      </c>
      <c r="AE129" s="59"/>
      <c r="AF129" s="94">
        <f t="shared" si="1"/>
        <v>4344.77</v>
      </c>
      <c r="AG129" s="42">
        <f t="shared" si="2"/>
        <v>223</v>
      </c>
      <c r="AH129" s="42">
        <f t="shared" si="3"/>
        <v>2</v>
      </c>
      <c r="AI129" s="42">
        <f t="shared" si="4"/>
        <v>225</v>
      </c>
      <c r="AJ129" s="95">
        <f t="shared" si="5"/>
        <v>19.31008889</v>
      </c>
    </row>
    <row r="130">
      <c r="A130" s="64" t="s">
        <v>26</v>
      </c>
      <c r="B130" s="65">
        <f t="shared" si="6"/>
        <v>45783</v>
      </c>
      <c r="C130" s="64">
        <v>5.0</v>
      </c>
      <c r="D130" s="66" t="s">
        <v>33</v>
      </c>
      <c r="E130" s="45" t="s">
        <v>38</v>
      </c>
      <c r="F130" s="47">
        <v>0.0</v>
      </c>
      <c r="H130" s="49">
        <v>0.0</v>
      </c>
      <c r="J130" s="49">
        <v>0.0</v>
      </c>
      <c r="L130" s="110">
        <v>69.0</v>
      </c>
      <c r="N130" s="100">
        <v>69.0</v>
      </c>
      <c r="P130" s="100">
        <v>0.0</v>
      </c>
      <c r="R130" s="100">
        <v>35.0</v>
      </c>
      <c r="T130" s="100">
        <v>0.0</v>
      </c>
      <c r="V130" s="100">
        <v>0.0</v>
      </c>
      <c r="X130" s="50">
        <v>0.0</v>
      </c>
      <c r="Z130" s="52">
        <v>25.0</v>
      </c>
      <c r="AB130" s="52">
        <v>25.0</v>
      </c>
      <c r="AD130" s="52">
        <v>0.0</v>
      </c>
      <c r="AE130" s="28"/>
      <c r="AF130" s="96">
        <f t="shared" si="1"/>
        <v>3579.64</v>
      </c>
      <c r="AG130" s="64">
        <f t="shared" si="2"/>
        <v>223</v>
      </c>
      <c r="AH130" s="64">
        <f t="shared" si="3"/>
        <v>0</v>
      </c>
      <c r="AI130" s="64">
        <f t="shared" si="4"/>
        <v>223</v>
      </c>
      <c r="AJ130" s="97">
        <f t="shared" si="5"/>
        <v>16.05219731</v>
      </c>
    </row>
    <row r="131">
      <c r="A131" s="64" t="s">
        <v>27</v>
      </c>
      <c r="B131" s="65">
        <f t="shared" si="6"/>
        <v>45784</v>
      </c>
      <c r="C131" s="64">
        <v>5.0</v>
      </c>
      <c r="D131" s="66" t="s">
        <v>33</v>
      </c>
      <c r="E131" s="45" t="s">
        <v>38</v>
      </c>
      <c r="F131" s="47">
        <v>0.0</v>
      </c>
      <c r="H131" s="49">
        <v>0.0</v>
      </c>
      <c r="J131" s="49">
        <v>0.0</v>
      </c>
      <c r="L131" s="110">
        <v>69.0</v>
      </c>
      <c r="N131" s="100">
        <v>69.0</v>
      </c>
      <c r="P131" s="100">
        <v>0.0</v>
      </c>
      <c r="R131" s="100">
        <v>0.0</v>
      </c>
      <c r="T131" s="100">
        <v>0.0</v>
      </c>
      <c r="V131" s="100">
        <v>0.0</v>
      </c>
      <c r="X131" s="50">
        <v>0.0</v>
      </c>
      <c r="Z131" s="52">
        <v>25.0</v>
      </c>
      <c r="AB131" s="52">
        <v>25.0</v>
      </c>
      <c r="AD131" s="52">
        <v>0.0</v>
      </c>
      <c r="AE131" s="28"/>
      <c r="AF131" s="96">
        <f t="shared" si="1"/>
        <v>3333.24</v>
      </c>
      <c r="AG131" s="64">
        <f t="shared" si="2"/>
        <v>188</v>
      </c>
      <c r="AH131" s="64">
        <f t="shared" si="3"/>
        <v>0</v>
      </c>
      <c r="AI131" s="64">
        <f t="shared" si="4"/>
        <v>188</v>
      </c>
      <c r="AJ131" s="97">
        <f t="shared" si="5"/>
        <v>17.73</v>
      </c>
    </row>
    <row r="132">
      <c r="A132" s="64" t="s">
        <v>28</v>
      </c>
      <c r="B132" s="65">
        <f t="shared" si="6"/>
        <v>45785</v>
      </c>
      <c r="C132" s="64">
        <v>5.0</v>
      </c>
      <c r="D132" s="66" t="s">
        <v>33</v>
      </c>
      <c r="E132" s="45" t="s">
        <v>38</v>
      </c>
      <c r="F132" s="47">
        <v>0.0</v>
      </c>
      <c r="H132" s="49">
        <v>0.0</v>
      </c>
      <c r="J132" s="49">
        <v>0.0</v>
      </c>
      <c r="L132" s="110">
        <v>69.0</v>
      </c>
      <c r="N132" s="100">
        <v>69.0</v>
      </c>
      <c r="P132" s="100">
        <v>0.0</v>
      </c>
      <c r="R132" s="100">
        <v>35.0</v>
      </c>
      <c r="T132" s="100">
        <v>0.0</v>
      </c>
      <c r="V132" s="100">
        <v>0.0</v>
      </c>
      <c r="X132" s="50">
        <v>0.0</v>
      </c>
      <c r="Z132" s="52">
        <v>25.0</v>
      </c>
      <c r="AB132" s="52">
        <v>25.0</v>
      </c>
      <c r="AD132" s="52">
        <v>0.0</v>
      </c>
      <c r="AE132" s="28"/>
      <c r="AF132" s="96">
        <f t="shared" si="1"/>
        <v>3579.64</v>
      </c>
      <c r="AG132" s="64">
        <f t="shared" si="2"/>
        <v>223</v>
      </c>
      <c r="AH132" s="64">
        <f t="shared" si="3"/>
        <v>0</v>
      </c>
      <c r="AI132" s="64">
        <f t="shared" si="4"/>
        <v>223</v>
      </c>
      <c r="AJ132" s="97">
        <f t="shared" si="5"/>
        <v>16.05219731</v>
      </c>
    </row>
    <row r="133">
      <c r="A133" s="64" t="s">
        <v>29</v>
      </c>
      <c r="B133" s="65">
        <f t="shared" si="6"/>
        <v>45786</v>
      </c>
      <c r="C133" s="64">
        <v>5.0</v>
      </c>
      <c r="D133" s="66" t="s">
        <v>33</v>
      </c>
      <c r="E133" s="45" t="s">
        <v>38</v>
      </c>
      <c r="F133" s="47">
        <v>0.0</v>
      </c>
      <c r="H133" s="49">
        <v>0.0</v>
      </c>
      <c r="J133" s="49">
        <v>0.0</v>
      </c>
      <c r="L133" s="110">
        <v>69.0</v>
      </c>
      <c r="N133" s="100">
        <v>69.0</v>
      </c>
      <c r="P133" s="100">
        <v>0.0</v>
      </c>
      <c r="R133" s="100">
        <v>0.0</v>
      </c>
      <c r="T133" s="100">
        <v>0.0</v>
      </c>
      <c r="V133" s="100">
        <v>0.0</v>
      </c>
      <c r="X133" s="50">
        <v>0.0</v>
      </c>
      <c r="Z133" s="52">
        <v>25.0</v>
      </c>
      <c r="AB133" s="52">
        <v>25.0</v>
      </c>
      <c r="AD133" s="52">
        <v>0.0</v>
      </c>
      <c r="AE133" s="28"/>
      <c r="AF133" s="96">
        <f t="shared" si="1"/>
        <v>3333.24</v>
      </c>
      <c r="AG133" s="64">
        <f t="shared" si="2"/>
        <v>188</v>
      </c>
      <c r="AH133" s="64">
        <f t="shared" si="3"/>
        <v>0</v>
      </c>
      <c r="AI133" s="64">
        <f t="shared" si="4"/>
        <v>188</v>
      </c>
      <c r="AJ133" s="97">
        <f t="shared" si="5"/>
        <v>17.73</v>
      </c>
    </row>
    <row r="134">
      <c r="A134" s="64" t="s">
        <v>30</v>
      </c>
      <c r="B134" s="65">
        <f t="shared" si="6"/>
        <v>45787</v>
      </c>
      <c r="C134" s="64">
        <v>5.0</v>
      </c>
      <c r="D134" s="66" t="s">
        <v>33</v>
      </c>
      <c r="E134" s="45" t="s">
        <v>38</v>
      </c>
      <c r="F134" s="47">
        <v>0.0</v>
      </c>
      <c r="H134" s="49">
        <v>0.0</v>
      </c>
      <c r="J134" s="49">
        <v>0.0</v>
      </c>
      <c r="L134" s="110">
        <v>69.0</v>
      </c>
      <c r="N134" s="100">
        <v>69.0</v>
      </c>
      <c r="P134" s="100">
        <v>0.0</v>
      </c>
      <c r="R134" s="100">
        <v>0.0</v>
      </c>
      <c r="T134" s="100">
        <v>0.0</v>
      </c>
      <c r="V134" s="100">
        <v>0.0</v>
      </c>
      <c r="X134" s="50">
        <v>0.0</v>
      </c>
      <c r="Z134" s="52">
        <v>25.0</v>
      </c>
      <c r="AB134" s="52">
        <v>25.0</v>
      </c>
      <c r="AD134" s="52">
        <v>0.0</v>
      </c>
      <c r="AE134" s="28"/>
      <c r="AF134" s="96">
        <f t="shared" si="1"/>
        <v>3333.24</v>
      </c>
      <c r="AG134" s="64">
        <f t="shared" si="2"/>
        <v>188</v>
      </c>
      <c r="AH134" s="64">
        <f t="shared" si="3"/>
        <v>0</v>
      </c>
      <c r="AI134" s="64">
        <f t="shared" si="4"/>
        <v>188</v>
      </c>
      <c r="AJ134" s="97">
        <f t="shared" si="5"/>
        <v>17.73</v>
      </c>
    </row>
    <row r="135">
      <c r="A135" s="83" t="s">
        <v>31</v>
      </c>
      <c r="B135" s="84">
        <f t="shared" si="6"/>
        <v>45788</v>
      </c>
      <c r="C135" s="83">
        <v>5.0</v>
      </c>
      <c r="D135" s="85" t="s">
        <v>33</v>
      </c>
      <c r="E135" s="106" t="s">
        <v>38</v>
      </c>
      <c r="F135" s="87">
        <v>0.0</v>
      </c>
      <c r="G135" s="75"/>
      <c r="H135" s="88">
        <v>0.0</v>
      </c>
      <c r="I135" s="75"/>
      <c r="J135" s="88">
        <v>0.0</v>
      </c>
      <c r="K135" s="75"/>
      <c r="L135" s="113">
        <v>0.0</v>
      </c>
      <c r="M135" s="75"/>
      <c r="N135" s="107">
        <v>0.0</v>
      </c>
      <c r="O135" s="75"/>
      <c r="P135" s="107">
        <v>0.0</v>
      </c>
      <c r="Q135" s="75"/>
      <c r="R135" s="107">
        <v>0.0</v>
      </c>
      <c r="S135" s="75"/>
      <c r="T135" s="107">
        <v>0.0</v>
      </c>
      <c r="U135" s="75"/>
      <c r="V135" s="107">
        <v>0.0</v>
      </c>
      <c r="W135" s="75"/>
      <c r="X135" s="89">
        <v>0.0</v>
      </c>
      <c r="Y135" s="75"/>
      <c r="Z135" s="90">
        <v>0.0</v>
      </c>
      <c r="AA135" s="75"/>
      <c r="AB135" s="90">
        <v>0.0</v>
      </c>
      <c r="AC135" s="75"/>
      <c r="AD135" s="90">
        <v>0.0</v>
      </c>
      <c r="AE135" s="77"/>
      <c r="AF135" s="98">
        <f t="shared" si="1"/>
        <v>0</v>
      </c>
      <c r="AG135" s="83">
        <f t="shared" si="2"/>
        <v>0</v>
      </c>
      <c r="AH135" s="83">
        <f t="shared" si="3"/>
        <v>0</v>
      </c>
      <c r="AI135" s="83">
        <f t="shared" si="4"/>
        <v>0</v>
      </c>
      <c r="AJ135" s="152" t="str">
        <f t="shared" si="5"/>
        <v/>
      </c>
    </row>
    <row r="136">
      <c r="A136" s="42" t="s">
        <v>23</v>
      </c>
      <c r="B136" s="43">
        <f t="shared" si="6"/>
        <v>45789</v>
      </c>
      <c r="C136" s="42">
        <v>5.0</v>
      </c>
      <c r="D136" s="44" t="s">
        <v>36</v>
      </c>
      <c r="E136" s="99" t="s">
        <v>38</v>
      </c>
      <c r="F136" s="47">
        <v>0.0</v>
      </c>
      <c r="H136" s="49">
        <v>0.0</v>
      </c>
      <c r="J136" s="49">
        <v>0.0</v>
      </c>
      <c r="L136" s="110">
        <v>69.0</v>
      </c>
      <c r="N136" s="100">
        <v>69.0</v>
      </c>
      <c r="P136" s="100">
        <v>0.0</v>
      </c>
      <c r="R136" s="100">
        <v>35.0</v>
      </c>
      <c r="T136" s="100">
        <v>1.0</v>
      </c>
      <c r="V136" s="100">
        <v>1.0</v>
      </c>
      <c r="X136" s="56">
        <v>0.0</v>
      </c>
      <c r="Y136" s="57"/>
      <c r="Z136" s="58">
        <v>25.0</v>
      </c>
      <c r="AA136" s="57"/>
      <c r="AB136" s="58">
        <v>25.0</v>
      </c>
      <c r="AC136" s="57"/>
      <c r="AD136" s="58">
        <v>0.0</v>
      </c>
      <c r="AE136" s="59"/>
      <c r="AF136" s="94">
        <f t="shared" si="1"/>
        <v>4344.77</v>
      </c>
      <c r="AG136" s="42">
        <f t="shared" si="2"/>
        <v>223</v>
      </c>
      <c r="AH136" s="42">
        <f t="shared" si="3"/>
        <v>2</v>
      </c>
      <c r="AI136" s="42">
        <f t="shared" si="4"/>
        <v>225</v>
      </c>
      <c r="AJ136" s="95">
        <f t="shared" si="5"/>
        <v>19.31008889</v>
      </c>
    </row>
    <row r="137">
      <c r="A137" s="64" t="s">
        <v>26</v>
      </c>
      <c r="B137" s="65">
        <f t="shared" si="6"/>
        <v>45790</v>
      </c>
      <c r="C137" s="64">
        <v>5.0</v>
      </c>
      <c r="D137" s="66" t="s">
        <v>36</v>
      </c>
      <c r="E137" s="45" t="s">
        <v>38</v>
      </c>
      <c r="F137" s="47">
        <v>0.0</v>
      </c>
      <c r="H137" s="49">
        <v>0.0</v>
      </c>
      <c r="J137" s="49">
        <v>0.0</v>
      </c>
      <c r="L137" s="110">
        <v>69.0</v>
      </c>
      <c r="N137" s="100">
        <v>69.0</v>
      </c>
      <c r="P137" s="100">
        <v>0.0</v>
      </c>
      <c r="R137" s="100">
        <v>35.0</v>
      </c>
      <c r="T137" s="100">
        <v>0.0</v>
      </c>
      <c r="V137" s="100">
        <v>0.0</v>
      </c>
      <c r="X137" s="50">
        <v>0.0</v>
      </c>
      <c r="Z137" s="52">
        <v>25.0</v>
      </c>
      <c r="AB137" s="52">
        <v>25.0</v>
      </c>
      <c r="AD137" s="52">
        <v>0.0</v>
      </c>
      <c r="AE137" s="28"/>
      <c r="AF137" s="96">
        <f t="shared" si="1"/>
        <v>3579.64</v>
      </c>
      <c r="AG137" s="64">
        <f t="shared" si="2"/>
        <v>223</v>
      </c>
      <c r="AH137" s="64">
        <f t="shared" si="3"/>
        <v>0</v>
      </c>
      <c r="AI137" s="64">
        <f t="shared" si="4"/>
        <v>223</v>
      </c>
      <c r="AJ137" s="97">
        <f t="shared" si="5"/>
        <v>16.05219731</v>
      </c>
    </row>
    <row r="138">
      <c r="A138" s="64" t="s">
        <v>27</v>
      </c>
      <c r="B138" s="65">
        <f t="shared" si="6"/>
        <v>45791</v>
      </c>
      <c r="C138" s="64">
        <v>5.0</v>
      </c>
      <c r="D138" s="66" t="s">
        <v>36</v>
      </c>
      <c r="E138" s="45" t="s">
        <v>38</v>
      </c>
      <c r="F138" s="47">
        <v>0.0</v>
      </c>
      <c r="H138" s="49">
        <v>0.0</v>
      </c>
      <c r="J138" s="49">
        <v>0.0</v>
      </c>
      <c r="L138" s="110">
        <v>69.0</v>
      </c>
      <c r="N138" s="100">
        <v>69.0</v>
      </c>
      <c r="P138" s="100">
        <v>0.0</v>
      </c>
      <c r="R138" s="100">
        <v>0.0</v>
      </c>
      <c r="T138" s="100">
        <v>0.0</v>
      </c>
      <c r="V138" s="100">
        <v>0.0</v>
      </c>
      <c r="X138" s="50">
        <v>0.0</v>
      </c>
      <c r="Z138" s="52">
        <v>25.0</v>
      </c>
      <c r="AB138" s="52">
        <v>25.0</v>
      </c>
      <c r="AD138" s="52">
        <v>0.0</v>
      </c>
      <c r="AE138" s="28"/>
      <c r="AF138" s="96">
        <f t="shared" si="1"/>
        <v>3333.24</v>
      </c>
      <c r="AG138" s="64">
        <f t="shared" si="2"/>
        <v>188</v>
      </c>
      <c r="AH138" s="64">
        <f t="shared" si="3"/>
        <v>0</v>
      </c>
      <c r="AI138" s="64">
        <f t="shared" si="4"/>
        <v>188</v>
      </c>
      <c r="AJ138" s="97">
        <f t="shared" si="5"/>
        <v>17.73</v>
      </c>
    </row>
    <row r="139">
      <c r="A139" s="64" t="s">
        <v>28</v>
      </c>
      <c r="B139" s="65">
        <f t="shared" si="6"/>
        <v>45792</v>
      </c>
      <c r="C139" s="64">
        <v>5.0</v>
      </c>
      <c r="D139" s="66" t="s">
        <v>36</v>
      </c>
      <c r="E139" s="45" t="s">
        <v>38</v>
      </c>
      <c r="F139" s="47">
        <v>0.0</v>
      </c>
      <c r="H139" s="49">
        <v>0.0</v>
      </c>
      <c r="J139" s="49">
        <v>0.0</v>
      </c>
      <c r="L139" s="110">
        <v>69.0</v>
      </c>
      <c r="N139" s="100">
        <v>69.0</v>
      </c>
      <c r="P139" s="100">
        <v>0.0</v>
      </c>
      <c r="R139" s="100">
        <v>35.0</v>
      </c>
      <c r="T139" s="100">
        <v>0.0</v>
      </c>
      <c r="V139" s="100">
        <v>0.0</v>
      </c>
      <c r="X139" s="50">
        <v>0.0</v>
      </c>
      <c r="Z139" s="52">
        <v>25.0</v>
      </c>
      <c r="AB139" s="52">
        <v>25.0</v>
      </c>
      <c r="AD139" s="52">
        <v>0.0</v>
      </c>
      <c r="AE139" s="28"/>
      <c r="AF139" s="96">
        <f t="shared" si="1"/>
        <v>3579.64</v>
      </c>
      <c r="AG139" s="64">
        <f t="shared" si="2"/>
        <v>223</v>
      </c>
      <c r="AH139" s="64">
        <f t="shared" si="3"/>
        <v>0</v>
      </c>
      <c r="AI139" s="64">
        <f t="shared" si="4"/>
        <v>223</v>
      </c>
      <c r="AJ139" s="97">
        <f t="shared" si="5"/>
        <v>16.05219731</v>
      </c>
    </row>
    <row r="140">
      <c r="A140" s="64" t="s">
        <v>29</v>
      </c>
      <c r="B140" s="65">
        <f t="shared" si="6"/>
        <v>45793</v>
      </c>
      <c r="C140" s="64">
        <v>5.0</v>
      </c>
      <c r="D140" s="66" t="s">
        <v>36</v>
      </c>
      <c r="E140" s="45" t="s">
        <v>38</v>
      </c>
      <c r="F140" s="47">
        <v>0.0</v>
      </c>
      <c r="H140" s="49">
        <v>0.0</v>
      </c>
      <c r="J140" s="49">
        <v>0.0</v>
      </c>
      <c r="L140" s="110">
        <v>69.0</v>
      </c>
      <c r="N140" s="100">
        <v>69.0</v>
      </c>
      <c r="P140" s="100">
        <v>0.0</v>
      </c>
      <c r="R140" s="100">
        <v>35.0</v>
      </c>
      <c r="T140" s="100">
        <v>0.0</v>
      </c>
      <c r="V140" s="100">
        <v>0.0</v>
      </c>
      <c r="X140" s="50">
        <v>0.0</v>
      </c>
      <c r="Z140" s="52">
        <v>25.0</v>
      </c>
      <c r="AB140" s="52">
        <v>25.0</v>
      </c>
      <c r="AD140" s="52">
        <v>0.0</v>
      </c>
      <c r="AE140" s="28"/>
      <c r="AF140" s="96">
        <f t="shared" si="1"/>
        <v>3579.64</v>
      </c>
      <c r="AG140" s="64">
        <f t="shared" si="2"/>
        <v>223</v>
      </c>
      <c r="AH140" s="64">
        <f t="shared" si="3"/>
        <v>0</v>
      </c>
      <c r="AI140" s="64">
        <f t="shared" si="4"/>
        <v>223</v>
      </c>
      <c r="AJ140" s="97">
        <f t="shared" si="5"/>
        <v>16.05219731</v>
      </c>
    </row>
    <row r="141">
      <c r="A141" s="64" t="s">
        <v>30</v>
      </c>
      <c r="B141" s="65">
        <f t="shared" si="6"/>
        <v>45794</v>
      </c>
      <c r="C141" s="64">
        <v>5.0</v>
      </c>
      <c r="D141" s="66" t="s">
        <v>36</v>
      </c>
      <c r="E141" s="45" t="s">
        <v>38</v>
      </c>
      <c r="F141" s="47">
        <v>0.0</v>
      </c>
      <c r="H141" s="49">
        <v>0.0</v>
      </c>
      <c r="J141" s="49">
        <v>0.0</v>
      </c>
      <c r="L141" s="110">
        <v>69.0</v>
      </c>
      <c r="N141" s="100">
        <v>69.0</v>
      </c>
      <c r="P141" s="100">
        <v>0.0</v>
      </c>
      <c r="R141" s="100">
        <v>0.0</v>
      </c>
      <c r="T141" s="100">
        <v>0.0</v>
      </c>
      <c r="V141" s="100">
        <v>0.0</v>
      </c>
      <c r="X141" s="50">
        <v>0.0</v>
      </c>
      <c r="Z141" s="52">
        <v>25.0</v>
      </c>
      <c r="AB141" s="52">
        <v>25.0</v>
      </c>
      <c r="AD141" s="52">
        <v>0.0</v>
      </c>
      <c r="AE141" s="28"/>
      <c r="AF141" s="96">
        <f t="shared" si="1"/>
        <v>3333.24</v>
      </c>
      <c r="AG141" s="64">
        <f t="shared" si="2"/>
        <v>188</v>
      </c>
      <c r="AH141" s="64">
        <f t="shared" si="3"/>
        <v>0</v>
      </c>
      <c r="AI141" s="64">
        <f t="shared" si="4"/>
        <v>188</v>
      </c>
      <c r="AJ141" s="97">
        <f t="shared" si="5"/>
        <v>17.73</v>
      </c>
    </row>
    <row r="142">
      <c r="A142" s="83" t="s">
        <v>31</v>
      </c>
      <c r="B142" s="84">
        <f t="shared" si="6"/>
        <v>45795</v>
      </c>
      <c r="C142" s="83">
        <v>5.0</v>
      </c>
      <c r="D142" s="85" t="s">
        <v>36</v>
      </c>
      <c r="E142" s="106" t="s">
        <v>38</v>
      </c>
      <c r="F142" s="87">
        <v>0.0</v>
      </c>
      <c r="G142" s="75"/>
      <c r="H142" s="88">
        <v>0.0</v>
      </c>
      <c r="I142" s="75"/>
      <c r="J142" s="88">
        <v>0.0</v>
      </c>
      <c r="K142" s="75"/>
      <c r="L142" s="113">
        <v>0.0</v>
      </c>
      <c r="M142" s="75"/>
      <c r="N142" s="107">
        <v>0.0</v>
      </c>
      <c r="O142" s="75"/>
      <c r="P142" s="107">
        <v>0.0</v>
      </c>
      <c r="Q142" s="75"/>
      <c r="R142" s="107">
        <v>0.0</v>
      </c>
      <c r="S142" s="75"/>
      <c r="T142" s="107">
        <v>0.0</v>
      </c>
      <c r="U142" s="75"/>
      <c r="V142" s="107">
        <v>0.0</v>
      </c>
      <c r="W142" s="75"/>
      <c r="X142" s="89">
        <v>0.0</v>
      </c>
      <c r="Y142" s="75"/>
      <c r="Z142" s="90">
        <v>0.0</v>
      </c>
      <c r="AA142" s="75"/>
      <c r="AB142" s="90">
        <v>0.0</v>
      </c>
      <c r="AC142" s="75"/>
      <c r="AD142" s="90">
        <v>0.0</v>
      </c>
      <c r="AE142" s="77"/>
      <c r="AF142" s="98">
        <f t="shared" si="1"/>
        <v>0</v>
      </c>
      <c r="AG142" s="83">
        <f t="shared" si="2"/>
        <v>0</v>
      </c>
      <c r="AH142" s="83">
        <f t="shared" si="3"/>
        <v>0</v>
      </c>
      <c r="AI142" s="83">
        <f t="shared" si="4"/>
        <v>0</v>
      </c>
      <c r="AJ142" s="152" t="str">
        <f t="shared" si="5"/>
        <v/>
      </c>
    </row>
    <row r="143">
      <c r="A143" s="42" t="s">
        <v>23</v>
      </c>
      <c r="B143" s="43">
        <f t="shared" si="6"/>
        <v>45796</v>
      </c>
      <c r="C143" s="42">
        <v>6.0</v>
      </c>
      <c r="D143" s="44" t="s">
        <v>24</v>
      </c>
      <c r="E143" s="99" t="s">
        <v>39</v>
      </c>
      <c r="F143" s="47">
        <v>0.0</v>
      </c>
      <c r="H143" s="49">
        <v>0.0</v>
      </c>
      <c r="J143" s="49">
        <v>0.0</v>
      </c>
      <c r="L143" s="110">
        <v>69.0</v>
      </c>
      <c r="N143" s="100">
        <v>69.0</v>
      </c>
      <c r="P143" s="100">
        <v>0.0</v>
      </c>
      <c r="R143" s="100">
        <v>35.0</v>
      </c>
      <c r="T143" s="100">
        <v>1.0</v>
      </c>
      <c r="V143" s="100">
        <v>1.0</v>
      </c>
      <c r="X143" s="56">
        <v>0.0</v>
      </c>
      <c r="Y143" s="57"/>
      <c r="Z143" s="58">
        <v>25.0</v>
      </c>
      <c r="AA143" s="57"/>
      <c r="AB143" s="58">
        <v>25.0</v>
      </c>
      <c r="AC143" s="57"/>
      <c r="AD143" s="58">
        <v>0.0</v>
      </c>
      <c r="AE143" s="59"/>
      <c r="AF143" s="94">
        <f t="shared" si="1"/>
        <v>4344.77</v>
      </c>
      <c r="AG143" s="42">
        <f t="shared" si="2"/>
        <v>223</v>
      </c>
      <c r="AH143" s="42">
        <f t="shared" si="3"/>
        <v>2</v>
      </c>
      <c r="AI143" s="42">
        <f t="shared" si="4"/>
        <v>225</v>
      </c>
      <c r="AJ143" s="95">
        <f t="shared" si="5"/>
        <v>19.31008889</v>
      </c>
    </row>
    <row r="144">
      <c r="A144" s="64" t="s">
        <v>26</v>
      </c>
      <c r="B144" s="65">
        <f t="shared" si="6"/>
        <v>45797</v>
      </c>
      <c r="C144" s="64">
        <v>6.0</v>
      </c>
      <c r="D144" s="66" t="s">
        <v>24</v>
      </c>
      <c r="E144" s="45" t="s">
        <v>39</v>
      </c>
      <c r="F144" s="47">
        <v>0.0</v>
      </c>
      <c r="H144" s="49">
        <v>0.0</v>
      </c>
      <c r="J144" s="49">
        <v>0.0</v>
      </c>
      <c r="L144" s="110">
        <v>69.0</v>
      </c>
      <c r="N144" s="100">
        <v>69.0</v>
      </c>
      <c r="P144" s="100">
        <v>0.0</v>
      </c>
      <c r="R144" s="100">
        <v>35.0</v>
      </c>
      <c r="T144" s="100">
        <v>0.0</v>
      </c>
      <c r="V144" s="100">
        <v>0.0</v>
      </c>
      <c r="X144" s="50">
        <v>0.0</v>
      </c>
      <c r="Z144" s="52">
        <v>25.0</v>
      </c>
      <c r="AB144" s="52">
        <v>25.0</v>
      </c>
      <c r="AD144" s="52">
        <v>0.0</v>
      </c>
      <c r="AE144" s="28"/>
      <c r="AF144" s="96">
        <f t="shared" si="1"/>
        <v>3579.64</v>
      </c>
      <c r="AG144" s="64">
        <f t="shared" si="2"/>
        <v>223</v>
      </c>
      <c r="AH144" s="64">
        <f t="shared" si="3"/>
        <v>0</v>
      </c>
      <c r="AI144" s="64">
        <f t="shared" si="4"/>
        <v>223</v>
      </c>
      <c r="AJ144" s="97">
        <f t="shared" si="5"/>
        <v>16.05219731</v>
      </c>
    </row>
    <row r="145">
      <c r="A145" s="64" t="s">
        <v>27</v>
      </c>
      <c r="B145" s="65">
        <f t="shared" si="6"/>
        <v>45798</v>
      </c>
      <c r="C145" s="64">
        <v>6.0</v>
      </c>
      <c r="D145" s="66" t="s">
        <v>24</v>
      </c>
      <c r="E145" s="45" t="s">
        <v>39</v>
      </c>
      <c r="F145" s="47">
        <v>0.0</v>
      </c>
      <c r="H145" s="49">
        <v>0.0</v>
      </c>
      <c r="J145" s="49">
        <v>0.0</v>
      </c>
      <c r="L145" s="110">
        <v>69.0</v>
      </c>
      <c r="N145" s="100">
        <v>69.0</v>
      </c>
      <c r="P145" s="100">
        <v>0.0</v>
      </c>
      <c r="R145" s="100">
        <v>0.0</v>
      </c>
      <c r="T145" s="100">
        <v>0.0</v>
      </c>
      <c r="V145" s="100">
        <v>0.0</v>
      </c>
      <c r="X145" s="50">
        <v>0.0</v>
      </c>
      <c r="Z145" s="52">
        <v>25.0</v>
      </c>
      <c r="AB145" s="52">
        <v>25.0</v>
      </c>
      <c r="AD145" s="52">
        <v>0.0</v>
      </c>
      <c r="AE145" s="28"/>
      <c r="AF145" s="96">
        <f t="shared" si="1"/>
        <v>3333.24</v>
      </c>
      <c r="AG145" s="64">
        <f t="shared" si="2"/>
        <v>188</v>
      </c>
      <c r="AH145" s="64">
        <f t="shared" si="3"/>
        <v>0</v>
      </c>
      <c r="AI145" s="64">
        <f t="shared" si="4"/>
        <v>188</v>
      </c>
      <c r="AJ145" s="97">
        <f t="shared" si="5"/>
        <v>17.73</v>
      </c>
    </row>
    <row r="146">
      <c r="A146" s="64" t="s">
        <v>28</v>
      </c>
      <c r="B146" s="65">
        <f t="shared" si="6"/>
        <v>45799</v>
      </c>
      <c r="C146" s="64">
        <v>6.0</v>
      </c>
      <c r="D146" s="66" t="s">
        <v>24</v>
      </c>
      <c r="E146" s="45" t="s">
        <v>39</v>
      </c>
      <c r="F146" s="47">
        <v>0.0</v>
      </c>
      <c r="H146" s="49">
        <v>0.0</v>
      </c>
      <c r="J146" s="49">
        <v>0.0</v>
      </c>
      <c r="L146" s="110">
        <v>69.0</v>
      </c>
      <c r="N146" s="100">
        <v>69.0</v>
      </c>
      <c r="P146" s="100">
        <v>0.0</v>
      </c>
      <c r="R146" s="100">
        <v>50.0</v>
      </c>
      <c r="T146" s="100">
        <v>0.0</v>
      </c>
      <c r="V146" s="100">
        <v>0.0</v>
      </c>
      <c r="X146" s="50">
        <v>35.0</v>
      </c>
      <c r="Z146" s="52">
        <v>25.0</v>
      </c>
      <c r="AB146" s="52">
        <v>25.0</v>
      </c>
      <c r="AD146" s="52">
        <v>0.0</v>
      </c>
      <c r="AE146" s="28"/>
      <c r="AF146" s="96">
        <f t="shared" si="1"/>
        <v>3991.14</v>
      </c>
      <c r="AG146" s="64">
        <f t="shared" si="2"/>
        <v>273</v>
      </c>
      <c r="AH146" s="64">
        <f t="shared" si="3"/>
        <v>0</v>
      </c>
      <c r="AI146" s="64">
        <f t="shared" si="4"/>
        <v>273</v>
      </c>
      <c r="AJ146" s="97">
        <f t="shared" si="5"/>
        <v>14.61956044</v>
      </c>
    </row>
    <row r="147">
      <c r="A147" s="64" t="s">
        <v>29</v>
      </c>
      <c r="B147" s="65">
        <f t="shared" si="6"/>
        <v>45800</v>
      </c>
      <c r="C147" s="64">
        <v>6.0</v>
      </c>
      <c r="D147" s="66" t="s">
        <v>24</v>
      </c>
      <c r="E147" s="45" t="s">
        <v>39</v>
      </c>
      <c r="F147" s="47">
        <v>0.0</v>
      </c>
      <c r="H147" s="49">
        <v>0.0</v>
      </c>
      <c r="J147" s="49">
        <v>0.0</v>
      </c>
      <c r="L147" s="110">
        <v>69.0</v>
      </c>
      <c r="N147" s="100">
        <v>69.0</v>
      </c>
      <c r="P147" s="100">
        <v>0.0</v>
      </c>
      <c r="R147" s="100">
        <v>35.0</v>
      </c>
      <c r="T147" s="100">
        <v>0.0</v>
      </c>
      <c r="V147" s="100">
        <v>0.0</v>
      </c>
      <c r="X147" s="50">
        <v>0.0</v>
      </c>
      <c r="Z147" s="52">
        <v>25.0</v>
      </c>
      <c r="AB147" s="52">
        <v>25.0</v>
      </c>
      <c r="AD147" s="52">
        <v>0.0</v>
      </c>
      <c r="AE147" s="28"/>
      <c r="AF147" s="96">
        <f t="shared" si="1"/>
        <v>3579.64</v>
      </c>
      <c r="AG147" s="64">
        <f t="shared" si="2"/>
        <v>223</v>
      </c>
      <c r="AH147" s="64">
        <f t="shared" si="3"/>
        <v>0</v>
      </c>
      <c r="AI147" s="64">
        <f t="shared" si="4"/>
        <v>223</v>
      </c>
      <c r="AJ147" s="97">
        <f t="shared" si="5"/>
        <v>16.05219731</v>
      </c>
    </row>
    <row r="148">
      <c r="A148" s="64" t="s">
        <v>30</v>
      </c>
      <c r="B148" s="65">
        <f t="shared" si="6"/>
        <v>45801</v>
      </c>
      <c r="C148" s="64">
        <v>6.0</v>
      </c>
      <c r="D148" s="66" t="s">
        <v>24</v>
      </c>
      <c r="E148" s="45" t="s">
        <v>39</v>
      </c>
      <c r="F148" s="47">
        <v>0.0</v>
      </c>
      <c r="H148" s="49">
        <v>0.0</v>
      </c>
      <c r="J148" s="49">
        <v>0.0</v>
      </c>
      <c r="L148" s="110">
        <v>69.0</v>
      </c>
      <c r="N148" s="100">
        <v>69.0</v>
      </c>
      <c r="P148" s="100">
        <v>0.0</v>
      </c>
      <c r="R148" s="100">
        <v>35.0</v>
      </c>
      <c r="T148" s="100">
        <v>0.0</v>
      </c>
      <c r="V148" s="100">
        <v>0.0</v>
      </c>
      <c r="X148" s="50">
        <v>0.0</v>
      </c>
      <c r="Z148" s="52">
        <v>25.0</v>
      </c>
      <c r="AB148" s="52">
        <v>25.0</v>
      </c>
      <c r="AD148" s="52">
        <v>0.0</v>
      </c>
      <c r="AE148" s="28"/>
      <c r="AF148" s="96">
        <f t="shared" si="1"/>
        <v>3579.64</v>
      </c>
      <c r="AG148" s="64">
        <f t="shared" si="2"/>
        <v>223</v>
      </c>
      <c r="AH148" s="64">
        <f t="shared" si="3"/>
        <v>0</v>
      </c>
      <c r="AI148" s="64">
        <f t="shared" si="4"/>
        <v>223</v>
      </c>
      <c r="AJ148" s="97">
        <f t="shared" si="5"/>
        <v>16.05219731</v>
      </c>
    </row>
    <row r="149">
      <c r="A149" s="83" t="s">
        <v>31</v>
      </c>
      <c r="B149" s="84">
        <f t="shared" si="6"/>
        <v>45802</v>
      </c>
      <c r="C149" s="83">
        <v>6.0</v>
      </c>
      <c r="D149" s="85" t="s">
        <v>24</v>
      </c>
      <c r="E149" s="106" t="s">
        <v>39</v>
      </c>
      <c r="F149" s="87">
        <v>0.0</v>
      </c>
      <c r="G149" s="75"/>
      <c r="H149" s="88">
        <v>0.0</v>
      </c>
      <c r="I149" s="75"/>
      <c r="J149" s="88">
        <v>0.0</v>
      </c>
      <c r="K149" s="75"/>
      <c r="L149" s="113">
        <v>0.0</v>
      </c>
      <c r="M149" s="75"/>
      <c r="N149" s="107">
        <v>0.0</v>
      </c>
      <c r="O149" s="75"/>
      <c r="P149" s="107">
        <v>0.0</v>
      </c>
      <c r="Q149" s="75"/>
      <c r="R149" s="107">
        <v>0.0</v>
      </c>
      <c r="S149" s="75"/>
      <c r="T149" s="107">
        <v>0.0</v>
      </c>
      <c r="U149" s="75"/>
      <c r="V149" s="107">
        <v>0.0</v>
      </c>
      <c r="W149" s="75"/>
      <c r="X149" s="89">
        <v>0.0</v>
      </c>
      <c r="Y149" s="75"/>
      <c r="Z149" s="90">
        <v>0.0</v>
      </c>
      <c r="AA149" s="75"/>
      <c r="AB149" s="90">
        <v>0.0</v>
      </c>
      <c r="AC149" s="75"/>
      <c r="AD149" s="90">
        <v>0.0</v>
      </c>
      <c r="AE149" s="77"/>
      <c r="AF149" s="98">
        <f t="shared" si="1"/>
        <v>0</v>
      </c>
      <c r="AG149" s="83">
        <f t="shared" si="2"/>
        <v>0</v>
      </c>
      <c r="AH149" s="83">
        <f t="shared" si="3"/>
        <v>0</v>
      </c>
      <c r="AI149" s="83">
        <f t="shared" si="4"/>
        <v>0</v>
      </c>
      <c r="AJ149" s="152" t="str">
        <f t="shared" si="5"/>
        <v/>
      </c>
    </row>
    <row r="150">
      <c r="A150" s="42" t="s">
        <v>23</v>
      </c>
      <c r="B150" s="43">
        <f t="shared" si="6"/>
        <v>45803</v>
      </c>
      <c r="C150" s="42">
        <v>6.0</v>
      </c>
      <c r="D150" s="44" t="s">
        <v>32</v>
      </c>
      <c r="E150" s="99" t="s">
        <v>39</v>
      </c>
      <c r="F150" s="47">
        <v>0.0</v>
      </c>
      <c r="H150" s="49">
        <v>0.0</v>
      </c>
      <c r="J150" s="49">
        <v>0.0</v>
      </c>
      <c r="L150" s="110">
        <v>69.0</v>
      </c>
      <c r="N150" s="100">
        <v>69.0</v>
      </c>
      <c r="P150" s="100">
        <v>0.0</v>
      </c>
      <c r="R150" s="100">
        <v>50.0</v>
      </c>
      <c r="T150" s="100">
        <v>1.0</v>
      </c>
      <c r="V150" s="100">
        <v>1.0</v>
      </c>
      <c r="X150" s="56">
        <v>35.0</v>
      </c>
      <c r="Y150" s="57"/>
      <c r="Z150" s="58">
        <v>25.0</v>
      </c>
      <c r="AA150" s="57"/>
      <c r="AB150" s="58">
        <v>25.0</v>
      </c>
      <c r="AC150" s="57"/>
      <c r="AD150" s="58">
        <v>0.0</v>
      </c>
      <c r="AE150" s="59"/>
      <c r="AF150" s="94">
        <f t="shared" si="1"/>
        <v>4756.27</v>
      </c>
      <c r="AG150" s="42">
        <f t="shared" si="2"/>
        <v>273</v>
      </c>
      <c r="AH150" s="42">
        <f t="shared" si="3"/>
        <v>2</v>
      </c>
      <c r="AI150" s="42">
        <f t="shared" si="4"/>
        <v>275</v>
      </c>
      <c r="AJ150" s="95">
        <f t="shared" si="5"/>
        <v>17.29552727</v>
      </c>
    </row>
    <row r="151">
      <c r="A151" s="64" t="s">
        <v>26</v>
      </c>
      <c r="B151" s="65">
        <f t="shared" si="6"/>
        <v>45804</v>
      </c>
      <c r="C151" s="64">
        <v>6.0</v>
      </c>
      <c r="D151" s="66" t="s">
        <v>32</v>
      </c>
      <c r="E151" s="45" t="s">
        <v>39</v>
      </c>
      <c r="F151" s="47">
        <v>0.0</v>
      </c>
      <c r="H151" s="49">
        <v>0.0</v>
      </c>
      <c r="J151" s="49">
        <v>0.0</v>
      </c>
      <c r="L151" s="110">
        <v>69.0</v>
      </c>
      <c r="N151" s="100">
        <v>69.0</v>
      </c>
      <c r="P151" s="100">
        <v>0.0</v>
      </c>
      <c r="R151" s="100">
        <v>0.0</v>
      </c>
      <c r="T151" s="100">
        <v>0.0</v>
      </c>
      <c r="V151" s="100">
        <v>0.0</v>
      </c>
      <c r="X151" s="50">
        <v>0.0</v>
      </c>
      <c r="Z151" s="52">
        <v>25.0</v>
      </c>
      <c r="AB151" s="52">
        <v>25.0</v>
      </c>
      <c r="AD151" s="52">
        <v>0.0</v>
      </c>
      <c r="AE151" s="28"/>
      <c r="AF151" s="96">
        <f t="shared" si="1"/>
        <v>3333.24</v>
      </c>
      <c r="AG151" s="64">
        <f t="shared" si="2"/>
        <v>188</v>
      </c>
      <c r="AH151" s="64">
        <f t="shared" si="3"/>
        <v>0</v>
      </c>
      <c r="AI151" s="64">
        <f t="shared" si="4"/>
        <v>188</v>
      </c>
      <c r="AJ151" s="97">
        <f t="shared" si="5"/>
        <v>17.73</v>
      </c>
    </row>
    <row r="152">
      <c r="A152" s="64" t="s">
        <v>27</v>
      </c>
      <c r="B152" s="65">
        <f t="shared" si="6"/>
        <v>45805</v>
      </c>
      <c r="C152" s="64">
        <v>6.0</v>
      </c>
      <c r="D152" s="66" t="s">
        <v>32</v>
      </c>
      <c r="E152" s="45" t="s">
        <v>39</v>
      </c>
      <c r="F152" s="47">
        <v>0.0</v>
      </c>
      <c r="H152" s="49">
        <v>0.0</v>
      </c>
      <c r="J152" s="49">
        <v>0.0</v>
      </c>
      <c r="L152" s="110">
        <v>69.0</v>
      </c>
      <c r="N152" s="100">
        <v>69.0</v>
      </c>
      <c r="P152" s="100">
        <v>0.0</v>
      </c>
      <c r="R152" s="100">
        <v>0.0</v>
      </c>
      <c r="T152" s="100">
        <v>0.0</v>
      </c>
      <c r="V152" s="100">
        <v>0.0</v>
      </c>
      <c r="X152" s="50">
        <v>0.0</v>
      </c>
      <c r="Z152" s="52">
        <v>25.0</v>
      </c>
      <c r="AB152" s="52">
        <v>25.0</v>
      </c>
      <c r="AD152" s="52">
        <v>0.0</v>
      </c>
      <c r="AE152" s="28"/>
      <c r="AF152" s="96">
        <f t="shared" si="1"/>
        <v>3333.24</v>
      </c>
      <c r="AG152" s="64">
        <f t="shared" si="2"/>
        <v>188</v>
      </c>
      <c r="AH152" s="64">
        <f t="shared" si="3"/>
        <v>0</v>
      </c>
      <c r="AI152" s="64">
        <f t="shared" si="4"/>
        <v>188</v>
      </c>
      <c r="AJ152" s="97">
        <f t="shared" si="5"/>
        <v>17.73</v>
      </c>
    </row>
    <row r="153">
      <c r="A153" s="64" t="s">
        <v>28</v>
      </c>
      <c r="B153" s="65">
        <f t="shared" si="6"/>
        <v>45806</v>
      </c>
      <c r="C153" s="64">
        <v>6.0</v>
      </c>
      <c r="D153" s="66" t="s">
        <v>32</v>
      </c>
      <c r="E153" s="45" t="s">
        <v>39</v>
      </c>
      <c r="F153" s="47">
        <v>0.0</v>
      </c>
      <c r="H153" s="49">
        <v>0.0</v>
      </c>
      <c r="J153" s="49">
        <v>0.0</v>
      </c>
      <c r="L153" s="110">
        <v>69.0</v>
      </c>
      <c r="N153" s="100">
        <v>69.0</v>
      </c>
      <c r="P153" s="100">
        <v>0.0</v>
      </c>
      <c r="R153" s="100">
        <v>50.0</v>
      </c>
      <c r="T153" s="100">
        <v>0.0</v>
      </c>
      <c r="V153" s="100">
        <v>0.0</v>
      </c>
      <c r="X153" s="50">
        <v>35.0</v>
      </c>
      <c r="Z153" s="52">
        <v>25.0</v>
      </c>
      <c r="AB153" s="52">
        <v>25.0</v>
      </c>
      <c r="AD153" s="52">
        <v>0.0</v>
      </c>
      <c r="AE153" s="28"/>
      <c r="AF153" s="96">
        <f t="shared" si="1"/>
        <v>3991.14</v>
      </c>
      <c r="AG153" s="64">
        <f t="shared" si="2"/>
        <v>273</v>
      </c>
      <c r="AH153" s="64">
        <f t="shared" si="3"/>
        <v>0</v>
      </c>
      <c r="AI153" s="64">
        <f t="shared" si="4"/>
        <v>273</v>
      </c>
      <c r="AJ153" s="97">
        <f t="shared" si="5"/>
        <v>14.61956044</v>
      </c>
    </row>
    <row r="154">
      <c r="A154" s="64" t="s">
        <v>29</v>
      </c>
      <c r="B154" s="65">
        <f t="shared" si="6"/>
        <v>45807</v>
      </c>
      <c r="C154" s="64">
        <v>6.0</v>
      </c>
      <c r="D154" s="66" t="s">
        <v>32</v>
      </c>
      <c r="E154" s="45" t="s">
        <v>39</v>
      </c>
      <c r="F154" s="47">
        <v>0.0</v>
      </c>
      <c r="H154" s="49">
        <v>0.0</v>
      </c>
      <c r="J154" s="49">
        <v>0.0</v>
      </c>
      <c r="L154" s="110">
        <v>69.0</v>
      </c>
      <c r="N154" s="100">
        <v>69.0</v>
      </c>
      <c r="P154" s="100">
        <v>0.0</v>
      </c>
      <c r="R154" s="100">
        <v>0.0</v>
      </c>
      <c r="T154" s="100">
        <v>0.0</v>
      </c>
      <c r="V154" s="100">
        <v>0.0</v>
      </c>
      <c r="X154" s="50">
        <v>0.0</v>
      </c>
      <c r="Z154" s="52">
        <v>25.0</v>
      </c>
      <c r="AB154" s="52">
        <v>25.0</v>
      </c>
      <c r="AD154" s="52">
        <v>0.0</v>
      </c>
      <c r="AE154" s="28"/>
      <c r="AF154" s="96">
        <f t="shared" si="1"/>
        <v>3333.24</v>
      </c>
      <c r="AG154" s="64">
        <f t="shared" si="2"/>
        <v>188</v>
      </c>
      <c r="AH154" s="64">
        <f t="shared" si="3"/>
        <v>0</v>
      </c>
      <c r="AI154" s="64">
        <f t="shared" si="4"/>
        <v>188</v>
      </c>
      <c r="AJ154" s="97">
        <f t="shared" si="5"/>
        <v>17.73</v>
      </c>
    </row>
    <row r="155">
      <c r="A155" s="64" t="s">
        <v>30</v>
      </c>
      <c r="B155" s="65">
        <f t="shared" si="6"/>
        <v>45808</v>
      </c>
      <c r="C155" s="64">
        <v>6.0</v>
      </c>
      <c r="D155" s="66" t="s">
        <v>32</v>
      </c>
      <c r="E155" s="45" t="s">
        <v>39</v>
      </c>
      <c r="F155" s="47">
        <v>0.0</v>
      </c>
      <c r="H155" s="49">
        <v>0.0</v>
      </c>
      <c r="J155" s="49">
        <v>0.0</v>
      </c>
      <c r="L155" s="110">
        <v>69.0</v>
      </c>
      <c r="N155" s="100">
        <v>69.0</v>
      </c>
      <c r="P155" s="100">
        <v>0.0</v>
      </c>
      <c r="R155" s="100">
        <v>0.0</v>
      </c>
      <c r="T155" s="100">
        <v>0.0</v>
      </c>
      <c r="V155" s="100">
        <v>0.0</v>
      </c>
      <c r="X155" s="50">
        <v>25.0</v>
      </c>
      <c r="Z155" s="52">
        <v>25.0</v>
      </c>
      <c r="AB155" s="52">
        <v>25.0</v>
      </c>
      <c r="AD155" s="52">
        <v>0.0</v>
      </c>
      <c r="AE155" s="28"/>
      <c r="AF155" s="96">
        <f t="shared" si="1"/>
        <v>3551.74</v>
      </c>
      <c r="AG155" s="64">
        <f t="shared" si="2"/>
        <v>213</v>
      </c>
      <c r="AH155" s="64">
        <f t="shared" si="3"/>
        <v>0</v>
      </c>
      <c r="AI155" s="64">
        <f t="shared" si="4"/>
        <v>213</v>
      </c>
      <c r="AJ155" s="97">
        <f t="shared" si="5"/>
        <v>16.67483568</v>
      </c>
    </row>
    <row r="156">
      <c r="A156" s="83" t="s">
        <v>31</v>
      </c>
      <c r="B156" s="84">
        <f t="shared" si="6"/>
        <v>45809</v>
      </c>
      <c r="C156" s="83">
        <v>6.0</v>
      </c>
      <c r="D156" s="85" t="s">
        <v>32</v>
      </c>
      <c r="E156" s="106" t="s">
        <v>39</v>
      </c>
      <c r="F156" s="87">
        <v>0.0</v>
      </c>
      <c r="G156" s="75"/>
      <c r="H156" s="88">
        <v>0.0</v>
      </c>
      <c r="I156" s="75"/>
      <c r="J156" s="88">
        <v>0.0</v>
      </c>
      <c r="K156" s="75"/>
      <c r="L156" s="113">
        <v>0.0</v>
      </c>
      <c r="M156" s="75"/>
      <c r="N156" s="107">
        <v>0.0</v>
      </c>
      <c r="O156" s="75"/>
      <c r="P156" s="107">
        <v>0.0</v>
      </c>
      <c r="Q156" s="75"/>
      <c r="R156" s="107">
        <v>0.0</v>
      </c>
      <c r="S156" s="75"/>
      <c r="T156" s="107">
        <v>0.0</v>
      </c>
      <c r="U156" s="75"/>
      <c r="V156" s="107">
        <v>0.0</v>
      </c>
      <c r="W156" s="75"/>
      <c r="X156" s="89">
        <v>0.0</v>
      </c>
      <c r="Y156" s="75"/>
      <c r="Z156" s="90">
        <v>0.0</v>
      </c>
      <c r="AA156" s="75"/>
      <c r="AB156" s="90">
        <v>0.0</v>
      </c>
      <c r="AC156" s="75"/>
      <c r="AD156" s="90">
        <v>0.0</v>
      </c>
      <c r="AE156" s="77"/>
      <c r="AF156" s="98">
        <f t="shared" si="1"/>
        <v>0</v>
      </c>
      <c r="AG156" s="83">
        <f t="shared" si="2"/>
        <v>0</v>
      </c>
      <c r="AH156" s="83">
        <f t="shared" si="3"/>
        <v>0</v>
      </c>
      <c r="AI156" s="83">
        <f t="shared" si="4"/>
        <v>0</v>
      </c>
      <c r="AJ156" s="152" t="str">
        <f t="shared" si="5"/>
        <v/>
      </c>
    </row>
    <row r="157">
      <c r="A157" s="42" t="s">
        <v>23</v>
      </c>
      <c r="B157" s="43">
        <f t="shared" si="6"/>
        <v>45810</v>
      </c>
      <c r="C157" s="42">
        <v>6.0</v>
      </c>
      <c r="D157" s="44" t="s">
        <v>33</v>
      </c>
      <c r="E157" s="99" t="s">
        <v>39</v>
      </c>
      <c r="F157" s="47">
        <v>0.0</v>
      </c>
      <c r="H157" s="49">
        <v>0.0</v>
      </c>
      <c r="J157" s="49">
        <v>0.0</v>
      </c>
      <c r="L157" s="110">
        <v>69.0</v>
      </c>
      <c r="N157" s="100">
        <v>69.0</v>
      </c>
      <c r="P157" s="100">
        <v>0.0</v>
      </c>
      <c r="R157" s="100">
        <v>50.0</v>
      </c>
      <c r="T157" s="100">
        <v>1.0</v>
      </c>
      <c r="V157" s="100">
        <v>1.0</v>
      </c>
      <c r="X157" s="56">
        <v>35.0</v>
      </c>
      <c r="Y157" s="57"/>
      <c r="Z157" s="58">
        <v>25.0</v>
      </c>
      <c r="AA157" s="57"/>
      <c r="AB157" s="58">
        <v>25.0</v>
      </c>
      <c r="AC157" s="57"/>
      <c r="AD157" s="58">
        <v>0.0</v>
      </c>
      <c r="AE157" s="59"/>
      <c r="AF157" s="94">
        <f t="shared" si="1"/>
        <v>4756.27</v>
      </c>
      <c r="AG157" s="42">
        <f t="shared" si="2"/>
        <v>273</v>
      </c>
      <c r="AH157" s="42">
        <f t="shared" si="3"/>
        <v>2</v>
      </c>
      <c r="AI157" s="42">
        <f t="shared" si="4"/>
        <v>275</v>
      </c>
      <c r="AJ157" s="95">
        <f t="shared" si="5"/>
        <v>17.29552727</v>
      </c>
    </row>
    <row r="158">
      <c r="A158" s="64" t="s">
        <v>26</v>
      </c>
      <c r="B158" s="65">
        <f t="shared" si="6"/>
        <v>45811</v>
      </c>
      <c r="C158" s="64">
        <v>6.0</v>
      </c>
      <c r="D158" s="66" t="s">
        <v>33</v>
      </c>
      <c r="E158" s="45" t="s">
        <v>39</v>
      </c>
      <c r="F158" s="47">
        <v>0.0</v>
      </c>
      <c r="H158" s="49">
        <v>0.0</v>
      </c>
      <c r="J158" s="49">
        <v>0.0</v>
      </c>
      <c r="L158" s="110">
        <v>69.0</v>
      </c>
      <c r="N158" s="100">
        <v>69.0</v>
      </c>
      <c r="P158" s="100">
        <v>0.0</v>
      </c>
      <c r="R158" s="100">
        <v>50.0</v>
      </c>
      <c r="T158" s="100">
        <v>0.0</v>
      </c>
      <c r="V158" s="100">
        <v>0.0</v>
      </c>
      <c r="X158" s="50">
        <v>35.0</v>
      </c>
      <c r="Z158" s="52">
        <v>25.0</v>
      </c>
      <c r="AB158" s="52">
        <v>25.0</v>
      </c>
      <c r="AD158" s="52">
        <v>0.0</v>
      </c>
      <c r="AE158" s="28"/>
      <c r="AF158" s="96">
        <f t="shared" si="1"/>
        <v>3991.14</v>
      </c>
      <c r="AG158" s="64">
        <f t="shared" si="2"/>
        <v>273</v>
      </c>
      <c r="AH158" s="64">
        <f t="shared" si="3"/>
        <v>0</v>
      </c>
      <c r="AI158" s="64">
        <f t="shared" si="4"/>
        <v>273</v>
      </c>
      <c r="AJ158" s="97">
        <f t="shared" si="5"/>
        <v>14.61956044</v>
      </c>
    </row>
    <row r="159">
      <c r="A159" s="64" t="s">
        <v>27</v>
      </c>
      <c r="B159" s="65">
        <f t="shared" si="6"/>
        <v>45812</v>
      </c>
      <c r="C159" s="64">
        <v>6.0</v>
      </c>
      <c r="D159" s="66" t="s">
        <v>33</v>
      </c>
      <c r="E159" s="45" t="s">
        <v>39</v>
      </c>
      <c r="F159" s="47">
        <v>0.0</v>
      </c>
      <c r="H159" s="49">
        <v>0.0</v>
      </c>
      <c r="J159" s="49">
        <v>0.0</v>
      </c>
      <c r="L159" s="110">
        <v>69.0</v>
      </c>
      <c r="N159" s="100">
        <v>69.0</v>
      </c>
      <c r="P159" s="100">
        <v>0.0</v>
      </c>
      <c r="R159" s="100">
        <v>0.0</v>
      </c>
      <c r="T159" s="100">
        <v>0.0</v>
      </c>
      <c r="V159" s="100">
        <v>0.0</v>
      </c>
      <c r="X159" s="50">
        <v>0.0</v>
      </c>
      <c r="Z159" s="52">
        <v>25.0</v>
      </c>
      <c r="AB159" s="52">
        <v>25.0</v>
      </c>
      <c r="AD159" s="52">
        <v>0.0</v>
      </c>
      <c r="AE159" s="28"/>
      <c r="AF159" s="96">
        <f t="shared" si="1"/>
        <v>3333.24</v>
      </c>
      <c r="AG159" s="64">
        <f t="shared" si="2"/>
        <v>188</v>
      </c>
      <c r="AH159" s="64">
        <f t="shared" si="3"/>
        <v>0</v>
      </c>
      <c r="AI159" s="64">
        <f t="shared" si="4"/>
        <v>188</v>
      </c>
      <c r="AJ159" s="97">
        <f t="shared" si="5"/>
        <v>17.73</v>
      </c>
    </row>
    <row r="160">
      <c r="A160" s="64" t="s">
        <v>28</v>
      </c>
      <c r="B160" s="65">
        <f t="shared" si="6"/>
        <v>45813</v>
      </c>
      <c r="C160" s="64">
        <v>6.0</v>
      </c>
      <c r="D160" s="66" t="s">
        <v>33</v>
      </c>
      <c r="E160" s="45" t="s">
        <v>39</v>
      </c>
      <c r="F160" s="47">
        <v>0.0</v>
      </c>
      <c r="H160" s="49">
        <v>0.0</v>
      </c>
      <c r="J160" s="49">
        <v>0.0</v>
      </c>
      <c r="L160" s="110">
        <v>69.0</v>
      </c>
      <c r="N160" s="100">
        <v>69.0</v>
      </c>
      <c r="P160" s="100">
        <v>0.0</v>
      </c>
      <c r="R160" s="100">
        <v>50.0</v>
      </c>
      <c r="T160" s="100">
        <v>0.0</v>
      </c>
      <c r="V160" s="100">
        <v>0.0</v>
      </c>
      <c r="X160" s="50">
        <v>35.0</v>
      </c>
      <c r="Z160" s="52">
        <v>25.0</v>
      </c>
      <c r="AB160" s="52">
        <v>25.0</v>
      </c>
      <c r="AD160" s="52">
        <v>0.0</v>
      </c>
      <c r="AE160" s="28"/>
      <c r="AF160" s="96">
        <f t="shared" si="1"/>
        <v>3991.14</v>
      </c>
      <c r="AG160" s="64">
        <f t="shared" si="2"/>
        <v>273</v>
      </c>
      <c r="AH160" s="64">
        <f t="shared" si="3"/>
        <v>0</v>
      </c>
      <c r="AI160" s="64">
        <f t="shared" si="4"/>
        <v>273</v>
      </c>
      <c r="AJ160" s="97">
        <f t="shared" si="5"/>
        <v>14.61956044</v>
      </c>
    </row>
    <row r="161">
      <c r="A161" s="64" t="s">
        <v>29</v>
      </c>
      <c r="B161" s="65">
        <f t="shared" si="6"/>
        <v>45814</v>
      </c>
      <c r="C161" s="64">
        <v>6.0</v>
      </c>
      <c r="D161" s="66" t="s">
        <v>33</v>
      </c>
      <c r="E161" s="45" t="s">
        <v>39</v>
      </c>
      <c r="F161" s="47">
        <v>0.0</v>
      </c>
      <c r="H161" s="49">
        <v>0.0</v>
      </c>
      <c r="J161" s="49">
        <v>0.0</v>
      </c>
      <c r="L161" s="110">
        <v>69.0</v>
      </c>
      <c r="N161" s="100">
        <v>69.0</v>
      </c>
      <c r="P161" s="100">
        <v>0.0</v>
      </c>
      <c r="R161" s="100">
        <v>0.0</v>
      </c>
      <c r="T161" s="100">
        <v>0.0</v>
      </c>
      <c r="V161" s="100">
        <v>0.0</v>
      </c>
      <c r="X161" s="50">
        <v>0.0</v>
      </c>
      <c r="Z161" s="52">
        <v>25.0</v>
      </c>
      <c r="AB161" s="52">
        <v>25.0</v>
      </c>
      <c r="AD161" s="52">
        <v>0.0</v>
      </c>
      <c r="AE161" s="28"/>
      <c r="AF161" s="96">
        <f t="shared" si="1"/>
        <v>3333.24</v>
      </c>
      <c r="AG161" s="64">
        <f t="shared" si="2"/>
        <v>188</v>
      </c>
      <c r="AH161" s="64">
        <f t="shared" si="3"/>
        <v>0</v>
      </c>
      <c r="AI161" s="64">
        <f t="shared" si="4"/>
        <v>188</v>
      </c>
      <c r="AJ161" s="97">
        <f t="shared" si="5"/>
        <v>17.73</v>
      </c>
    </row>
    <row r="162">
      <c r="A162" s="64" t="s">
        <v>30</v>
      </c>
      <c r="B162" s="65">
        <f t="shared" si="6"/>
        <v>45815</v>
      </c>
      <c r="C162" s="64">
        <v>6.0</v>
      </c>
      <c r="D162" s="66" t="s">
        <v>33</v>
      </c>
      <c r="E162" s="45" t="s">
        <v>39</v>
      </c>
      <c r="F162" s="47">
        <v>0.0</v>
      </c>
      <c r="H162" s="49">
        <v>0.0</v>
      </c>
      <c r="J162" s="49">
        <v>0.0</v>
      </c>
      <c r="L162" s="110">
        <v>69.0</v>
      </c>
      <c r="N162" s="100">
        <v>69.0</v>
      </c>
      <c r="P162" s="100">
        <v>0.0</v>
      </c>
      <c r="R162" s="100">
        <v>0.0</v>
      </c>
      <c r="T162" s="100">
        <v>0.0</v>
      </c>
      <c r="V162" s="100">
        <v>0.0</v>
      </c>
      <c r="X162" s="50">
        <v>0.0</v>
      </c>
      <c r="Z162" s="52">
        <v>25.0</v>
      </c>
      <c r="AB162" s="52">
        <v>25.0</v>
      </c>
      <c r="AD162" s="52">
        <v>0.0</v>
      </c>
      <c r="AE162" s="28"/>
      <c r="AF162" s="96">
        <f t="shared" si="1"/>
        <v>3333.24</v>
      </c>
      <c r="AG162" s="64">
        <f t="shared" si="2"/>
        <v>188</v>
      </c>
      <c r="AH162" s="64">
        <f t="shared" si="3"/>
        <v>0</v>
      </c>
      <c r="AI162" s="64">
        <f t="shared" si="4"/>
        <v>188</v>
      </c>
      <c r="AJ162" s="97">
        <f t="shared" si="5"/>
        <v>17.73</v>
      </c>
    </row>
    <row r="163">
      <c r="A163" s="83" t="s">
        <v>31</v>
      </c>
      <c r="B163" s="84">
        <f t="shared" si="6"/>
        <v>45816</v>
      </c>
      <c r="C163" s="83">
        <v>6.0</v>
      </c>
      <c r="D163" s="85" t="s">
        <v>33</v>
      </c>
      <c r="E163" s="106" t="s">
        <v>39</v>
      </c>
      <c r="F163" s="87">
        <v>0.0</v>
      </c>
      <c r="G163" s="75"/>
      <c r="H163" s="88">
        <v>0.0</v>
      </c>
      <c r="I163" s="75"/>
      <c r="J163" s="88">
        <v>0.0</v>
      </c>
      <c r="K163" s="75"/>
      <c r="L163" s="113">
        <v>0.0</v>
      </c>
      <c r="M163" s="75"/>
      <c r="N163" s="107">
        <v>0.0</v>
      </c>
      <c r="O163" s="75"/>
      <c r="P163" s="107">
        <v>0.0</v>
      </c>
      <c r="Q163" s="75"/>
      <c r="R163" s="107">
        <v>0.0</v>
      </c>
      <c r="S163" s="75"/>
      <c r="T163" s="107">
        <v>0.0</v>
      </c>
      <c r="U163" s="75"/>
      <c r="V163" s="107">
        <v>0.0</v>
      </c>
      <c r="W163" s="75"/>
      <c r="X163" s="89">
        <v>0.0</v>
      </c>
      <c r="Y163" s="75"/>
      <c r="Z163" s="90">
        <v>0.0</v>
      </c>
      <c r="AA163" s="75"/>
      <c r="AB163" s="90">
        <v>0.0</v>
      </c>
      <c r="AC163" s="75"/>
      <c r="AD163" s="90">
        <v>0.0</v>
      </c>
      <c r="AE163" s="77"/>
      <c r="AF163" s="98">
        <f t="shared" si="1"/>
        <v>0</v>
      </c>
      <c r="AG163" s="83">
        <f t="shared" si="2"/>
        <v>0</v>
      </c>
      <c r="AH163" s="83">
        <f t="shared" si="3"/>
        <v>0</v>
      </c>
      <c r="AI163" s="83">
        <f t="shared" si="4"/>
        <v>0</v>
      </c>
      <c r="AJ163" s="152" t="str">
        <f t="shared" si="5"/>
        <v/>
      </c>
    </row>
    <row r="164">
      <c r="A164" s="42" t="s">
        <v>23</v>
      </c>
      <c r="B164" s="43">
        <f t="shared" si="6"/>
        <v>45817</v>
      </c>
      <c r="C164" s="42">
        <v>6.0</v>
      </c>
      <c r="D164" s="44" t="s">
        <v>36</v>
      </c>
      <c r="E164" s="99" t="s">
        <v>39</v>
      </c>
      <c r="F164" s="47">
        <v>0.0</v>
      </c>
      <c r="H164" s="49">
        <v>0.0</v>
      </c>
      <c r="J164" s="49">
        <v>0.0</v>
      </c>
      <c r="L164" s="110">
        <v>69.0</v>
      </c>
      <c r="N164" s="100">
        <v>69.0</v>
      </c>
      <c r="P164" s="100">
        <v>0.0</v>
      </c>
      <c r="R164" s="100">
        <v>50.0</v>
      </c>
      <c r="T164" s="100">
        <v>1.0</v>
      </c>
      <c r="V164" s="100">
        <v>1.0</v>
      </c>
      <c r="X164" s="56">
        <v>38.0</v>
      </c>
      <c r="Y164" s="57"/>
      <c r="Z164" s="58">
        <v>25.0</v>
      </c>
      <c r="AA164" s="57"/>
      <c r="AB164" s="58">
        <v>25.0</v>
      </c>
      <c r="AC164" s="57"/>
      <c r="AD164" s="58">
        <v>0.0</v>
      </c>
      <c r="AE164" s="59"/>
      <c r="AF164" s="94">
        <f t="shared" si="1"/>
        <v>4782.49</v>
      </c>
      <c r="AG164" s="42">
        <f t="shared" si="2"/>
        <v>276</v>
      </c>
      <c r="AH164" s="42">
        <f t="shared" si="3"/>
        <v>2</v>
      </c>
      <c r="AI164" s="42">
        <f t="shared" si="4"/>
        <v>278</v>
      </c>
      <c r="AJ164" s="95">
        <f t="shared" si="5"/>
        <v>17.20320144</v>
      </c>
    </row>
    <row r="165">
      <c r="A165" s="64" t="s">
        <v>26</v>
      </c>
      <c r="B165" s="65">
        <f t="shared" si="6"/>
        <v>45818</v>
      </c>
      <c r="C165" s="64">
        <v>6.0</v>
      </c>
      <c r="D165" s="66" t="s">
        <v>36</v>
      </c>
      <c r="E165" s="45" t="s">
        <v>39</v>
      </c>
      <c r="F165" s="47">
        <v>0.0</v>
      </c>
      <c r="H165" s="49">
        <v>0.0</v>
      </c>
      <c r="J165" s="49">
        <v>0.0</v>
      </c>
      <c r="L165" s="110">
        <v>69.0</v>
      </c>
      <c r="N165" s="100">
        <v>69.0</v>
      </c>
      <c r="P165" s="100">
        <v>0.0</v>
      </c>
      <c r="R165" s="100">
        <v>50.0</v>
      </c>
      <c r="T165" s="100">
        <v>0.0</v>
      </c>
      <c r="V165" s="100">
        <v>0.0</v>
      </c>
      <c r="X165" s="50">
        <v>30.0</v>
      </c>
      <c r="Z165" s="52">
        <v>25.0</v>
      </c>
      <c r="AB165" s="52">
        <v>25.0</v>
      </c>
      <c r="AD165" s="52">
        <v>0.0</v>
      </c>
      <c r="AE165" s="28"/>
      <c r="AF165" s="96">
        <f t="shared" si="1"/>
        <v>3947.44</v>
      </c>
      <c r="AG165" s="64">
        <f t="shared" si="2"/>
        <v>268</v>
      </c>
      <c r="AH165" s="64">
        <f t="shared" si="3"/>
        <v>0</v>
      </c>
      <c r="AI165" s="64">
        <f t="shared" si="4"/>
        <v>268</v>
      </c>
      <c r="AJ165" s="97">
        <f t="shared" si="5"/>
        <v>14.72925373</v>
      </c>
    </row>
    <row r="166">
      <c r="A166" s="64" t="s">
        <v>27</v>
      </c>
      <c r="B166" s="65">
        <f t="shared" si="6"/>
        <v>45819</v>
      </c>
      <c r="C166" s="64">
        <v>6.0</v>
      </c>
      <c r="D166" s="66" t="s">
        <v>36</v>
      </c>
      <c r="E166" s="45" t="s">
        <v>39</v>
      </c>
      <c r="F166" s="47">
        <v>0.0</v>
      </c>
      <c r="H166" s="49">
        <v>0.0</v>
      </c>
      <c r="J166" s="49">
        <v>0.0</v>
      </c>
      <c r="L166" s="110">
        <v>69.0</v>
      </c>
      <c r="N166" s="100">
        <v>69.0</v>
      </c>
      <c r="P166" s="100">
        <v>0.0</v>
      </c>
      <c r="R166" s="100">
        <v>50.0</v>
      </c>
      <c r="T166" s="100">
        <v>0.0</v>
      </c>
      <c r="V166" s="100">
        <v>0.0</v>
      </c>
      <c r="X166" s="50">
        <v>30.0</v>
      </c>
      <c r="Z166" s="52">
        <v>25.0</v>
      </c>
      <c r="AB166" s="52">
        <v>25.0</v>
      </c>
      <c r="AD166" s="52">
        <v>0.0</v>
      </c>
      <c r="AE166" s="28"/>
      <c r="AF166" s="96">
        <f t="shared" si="1"/>
        <v>3947.44</v>
      </c>
      <c r="AG166" s="64">
        <f t="shared" si="2"/>
        <v>268</v>
      </c>
      <c r="AH166" s="64">
        <f t="shared" si="3"/>
        <v>0</v>
      </c>
      <c r="AI166" s="64">
        <f t="shared" si="4"/>
        <v>268</v>
      </c>
      <c r="AJ166" s="97">
        <f t="shared" si="5"/>
        <v>14.72925373</v>
      </c>
    </row>
    <row r="167">
      <c r="A167" s="64" t="s">
        <v>28</v>
      </c>
      <c r="B167" s="65">
        <f t="shared" si="6"/>
        <v>45820</v>
      </c>
      <c r="C167" s="64">
        <v>6.0</v>
      </c>
      <c r="D167" s="66" t="s">
        <v>36</v>
      </c>
      <c r="E167" s="45" t="s">
        <v>39</v>
      </c>
      <c r="F167" s="47">
        <v>0.0</v>
      </c>
      <c r="H167" s="49">
        <v>0.0</v>
      </c>
      <c r="J167" s="49">
        <v>0.0</v>
      </c>
      <c r="L167" s="110">
        <v>69.0</v>
      </c>
      <c r="N167" s="100">
        <v>69.0</v>
      </c>
      <c r="P167" s="100">
        <v>0.0</v>
      </c>
      <c r="R167" s="100">
        <v>0.0</v>
      </c>
      <c r="T167" s="100">
        <v>0.0</v>
      </c>
      <c r="V167" s="100">
        <v>0.0</v>
      </c>
      <c r="X167" s="50">
        <v>0.0</v>
      </c>
      <c r="Z167" s="52">
        <v>25.0</v>
      </c>
      <c r="AB167" s="52">
        <v>25.0</v>
      </c>
      <c r="AD167" s="52">
        <v>0.0</v>
      </c>
      <c r="AE167" s="28"/>
      <c r="AF167" s="96">
        <f t="shared" si="1"/>
        <v>3333.24</v>
      </c>
      <c r="AG167" s="64">
        <f t="shared" si="2"/>
        <v>188</v>
      </c>
      <c r="AH167" s="64">
        <f t="shared" si="3"/>
        <v>0</v>
      </c>
      <c r="AI167" s="64">
        <f t="shared" si="4"/>
        <v>188</v>
      </c>
      <c r="AJ167" s="97">
        <f t="shared" si="5"/>
        <v>17.73</v>
      </c>
    </row>
    <row r="168">
      <c r="A168" s="64" t="s">
        <v>29</v>
      </c>
      <c r="B168" s="65">
        <f t="shared" si="6"/>
        <v>45821</v>
      </c>
      <c r="C168" s="64">
        <v>6.0</v>
      </c>
      <c r="D168" s="66" t="s">
        <v>36</v>
      </c>
      <c r="E168" s="45" t="s">
        <v>39</v>
      </c>
      <c r="F168" s="47">
        <v>0.0</v>
      </c>
      <c r="H168" s="49">
        <v>0.0</v>
      </c>
      <c r="J168" s="49">
        <v>0.0</v>
      </c>
      <c r="L168" s="110">
        <v>69.0</v>
      </c>
      <c r="N168" s="100">
        <v>69.0</v>
      </c>
      <c r="P168" s="100">
        <v>0.0</v>
      </c>
      <c r="R168" s="100">
        <v>50.0</v>
      </c>
      <c r="T168" s="100">
        <v>0.0</v>
      </c>
      <c r="V168" s="100">
        <v>0.0</v>
      </c>
      <c r="X168" s="50">
        <v>30.0</v>
      </c>
      <c r="Z168" s="52">
        <v>25.0</v>
      </c>
      <c r="AB168" s="52">
        <v>25.0</v>
      </c>
      <c r="AD168" s="52">
        <v>0.0</v>
      </c>
      <c r="AE168" s="28"/>
      <c r="AF168" s="96">
        <f t="shared" si="1"/>
        <v>3947.44</v>
      </c>
      <c r="AG168" s="64">
        <f t="shared" si="2"/>
        <v>268</v>
      </c>
      <c r="AH168" s="64">
        <f t="shared" si="3"/>
        <v>0</v>
      </c>
      <c r="AI168" s="64">
        <f t="shared" si="4"/>
        <v>268</v>
      </c>
      <c r="AJ168" s="97">
        <f t="shared" si="5"/>
        <v>14.72925373</v>
      </c>
    </row>
    <row r="169">
      <c r="A169" s="64" t="s">
        <v>30</v>
      </c>
      <c r="B169" s="65">
        <f t="shared" si="6"/>
        <v>45822</v>
      </c>
      <c r="C169" s="64">
        <v>6.0</v>
      </c>
      <c r="D169" s="66" t="s">
        <v>36</v>
      </c>
      <c r="E169" s="45" t="s">
        <v>39</v>
      </c>
      <c r="F169" s="47">
        <v>0.0</v>
      </c>
      <c r="H169" s="49">
        <v>0.0</v>
      </c>
      <c r="J169" s="49">
        <v>0.0</v>
      </c>
      <c r="L169" s="110">
        <v>69.0</v>
      </c>
      <c r="N169" s="100">
        <v>69.0</v>
      </c>
      <c r="P169" s="100">
        <v>0.0</v>
      </c>
      <c r="R169" s="100">
        <v>0.0</v>
      </c>
      <c r="T169" s="100">
        <v>0.0</v>
      </c>
      <c r="V169" s="100">
        <v>0.0</v>
      </c>
      <c r="X169" s="50">
        <v>0.0</v>
      </c>
      <c r="Z169" s="52">
        <v>25.0</v>
      </c>
      <c r="AB169" s="52">
        <v>25.0</v>
      </c>
      <c r="AD169" s="52">
        <v>0.0</v>
      </c>
      <c r="AE169" s="28"/>
      <c r="AF169" s="96">
        <f t="shared" si="1"/>
        <v>3333.24</v>
      </c>
      <c r="AG169" s="64">
        <f t="shared" si="2"/>
        <v>188</v>
      </c>
      <c r="AH169" s="64">
        <f t="shared" si="3"/>
        <v>0</v>
      </c>
      <c r="AI169" s="64">
        <f t="shared" si="4"/>
        <v>188</v>
      </c>
      <c r="AJ169" s="97">
        <f t="shared" si="5"/>
        <v>17.73</v>
      </c>
    </row>
    <row r="170">
      <c r="A170" s="83" t="s">
        <v>31</v>
      </c>
      <c r="B170" s="84">
        <f t="shared" si="6"/>
        <v>45823</v>
      </c>
      <c r="C170" s="83">
        <v>6.0</v>
      </c>
      <c r="D170" s="85" t="s">
        <v>36</v>
      </c>
      <c r="E170" s="106" t="s">
        <v>39</v>
      </c>
      <c r="F170" s="87">
        <v>0.0</v>
      </c>
      <c r="G170" s="75"/>
      <c r="H170" s="88">
        <v>0.0</v>
      </c>
      <c r="I170" s="75"/>
      <c r="J170" s="88">
        <v>0.0</v>
      </c>
      <c r="K170" s="75"/>
      <c r="L170" s="113">
        <v>0.0</v>
      </c>
      <c r="M170" s="75"/>
      <c r="N170" s="107">
        <v>0.0</v>
      </c>
      <c r="O170" s="75"/>
      <c r="P170" s="107">
        <v>0.0</v>
      </c>
      <c r="Q170" s="75"/>
      <c r="R170" s="107">
        <v>0.0</v>
      </c>
      <c r="S170" s="75"/>
      <c r="T170" s="107">
        <v>0.0</v>
      </c>
      <c r="U170" s="75"/>
      <c r="V170" s="107">
        <v>0.0</v>
      </c>
      <c r="W170" s="75"/>
      <c r="X170" s="89">
        <v>0.0</v>
      </c>
      <c r="Y170" s="75"/>
      <c r="Z170" s="90">
        <v>0.0</v>
      </c>
      <c r="AA170" s="75"/>
      <c r="AB170" s="90">
        <v>0.0</v>
      </c>
      <c r="AC170" s="75"/>
      <c r="AD170" s="90">
        <v>0.0</v>
      </c>
      <c r="AE170" s="77"/>
      <c r="AF170" s="98">
        <f t="shared" si="1"/>
        <v>0</v>
      </c>
      <c r="AG170" s="83">
        <f t="shared" si="2"/>
        <v>0</v>
      </c>
      <c r="AH170" s="83">
        <f t="shared" si="3"/>
        <v>0</v>
      </c>
      <c r="AI170" s="83">
        <f t="shared" si="4"/>
        <v>0</v>
      </c>
      <c r="AJ170" s="152" t="str">
        <f t="shared" si="5"/>
        <v/>
      </c>
    </row>
    <row r="171">
      <c r="A171" s="42" t="s">
        <v>23</v>
      </c>
      <c r="B171" s="43">
        <f t="shared" si="6"/>
        <v>45824</v>
      </c>
      <c r="C171" s="42">
        <v>7.0</v>
      </c>
      <c r="D171" s="44" t="s">
        <v>24</v>
      </c>
      <c r="E171" s="99" t="s">
        <v>39</v>
      </c>
      <c r="F171" s="47">
        <v>0.0</v>
      </c>
      <c r="H171" s="49">
        <v>0.0</v>
      </c>
      <c r="J171" s="49">
        <v>0.0</v>
      </c>
      <c r="L171" s="110">
        <v>69.0</v>
      </c>
      <c r="N171" s="100">
        <v>69.0</v>
      </c>
      <c r="P171" s="100">
        <v>0.0</v>
      </c>
      <c r="R171" s="100">
        <v>50.0</v>
      </c>
      <c r="T171" s="100">
        <v>1.0</v>
      </c>
      <c r="V171" s="100">
        <v>1.0</v>
      </c>
      <c r="X171" s="56">
        <v>28.0</v>
      </c>
      <c r="Y171" s="57"/>
      <c r="Z171" s="58">
        <v>25.0</v>
      </c>
      <c r="AA171" s="57"/>
      <c r="AB171" s="58">
        <v>25.0</v>
      </c>
      <c r="AC171" s="57"/>
      <c r="AD171" s="58">
        <v>0.0</v>
      </c>
      <c r="AE171" s="59"/>
      <c r="AF171" s="94">
        <f t="shared" si="1"/>
        <v>4695.09</v>
      </c>
      <c r="AG171" s="42">
        <f t="shared" si="2"/>
        <v>266</v>
      </c>
      <c r="AH171" s="42">
        <f t="shared" si="3"/>
        <v>2</v>
      </c>
      <c r="AI171" s="42">
        <f t="shared" si="4"/>
        <v>268</v>
      </c>
      <c r="AJ171" s="95">
        <f t="shared" si="5"/>
        <v>17.51899254</v>
      </c>
    </row>
    <row r="172">
      <c r="A172" s="64" t="s">
        <v>26</v>
      </c>
      <c r="B172" s="65">
        <f t="shared" si="6"/>
        <v>45825</v>
      </c>
      <c r="C172" s="64">
        <v>7.0</v>
      </c>
      <c r="D172" s="66" t="s">
        <v>24</v>
      </c>
      <c r="E172" s="45" t="s">
        <v>39</v>
      </c>
      <c r="F172" s="47">
        <v>0.0</v>
      </c>
      <c r="H172" s="49">
        <v>0.0</v>
      </c>
      <c r="J172" s="49">
        <v>0.0</v>
      </c>
      <c r="L172" s="110">
        <v>69.0</v>
      </c>
      <c r="N172" s="100">
        <v>69.0</v>
      </c>
      <c r="P172" s="100">
        <v>0.0</v>
      </c>
      <c r="R172" s="100">
        <v>50.0</v>
      </c>
      <c r="T172" s="100">
        <v>0.0</v>
      </c>
      <c r="V172" s="100">
        <v>0.0</v>
      </c>
      <c r="X172" s="50">
        <v>28.0</v>
      </c>
      <c r="Z172" s="52">
        <v>25.0</v>
      </c>
      <c r="AB172" s="52">
        <v>25.0</v>
      </c>
      <c r="AD172" s="52">
        <v>0.0</v>
      </c>
      <c r="AE172" s="28"/>
      <c r="AF172" s="96">
        <f t="shared" si="1"/>
        <v>3929.96</v>
      </c>
      <c r="AG172" s="64">
        <f t="shared" si="2"/>
        <v>266</v>
      </c>
      <c r="AH172" s="64">
        <f t="shared" si="3"/>
        <v>0</v>
      </c>
      <c r="AI172" s="64">
        <f t="shared" si="4"/>
        <v>266</v>
      </c>
      <c r="AJ172" s="97">
        <f t="shared" si="5"/>
        <v>14.77428571</v>
      </c>
    </row>
    <row r="173">
      <c r="A173" s="64" t="s">
        <v>27</v>
      </c>
      <c r="B173" s="65">
        <f t="shared" si="6"/>
        <v>45826</v>
      </c>
      <c r="C173" s="64">
        <v>7.0</v>
      </c>
      <c r="D173" s="66" t="s">
        <v>24</v>
      </c>
      <c r="E173" s="45" t="s">
        <v>39</v>
      </c>
      <c r="F173" s="47">
        <v>0.0</v>
      </c>
      <c r="H173" s="49">
        <v>0.0</v>
      </c>
      <c r="J173" s="49">
        <v>0.0</v>
      </c>
      <c r="L173" s="110">
        <v>69.0</v>
      </c>
      <c r="N173" s="100">
        <v>69.0</v>
      </c>
      <c r="P173" s="100">
        <v>0.0</v>
      </c>
      <c r="R173" s="100">
        <v>0.0</v>
      </c>
      <c r="T173" s="100">
        <v>0.0</v>
      </c>
      <c r="V173" s="100">
        <v>0.0</v>
      </c>
      <c r="X173" s="50">
        <v>0.0</v>
      </c>
      <c r="Z173" s="52">
        <v>25.0</v>
      </c>
      <c r="AB173" s="52">
        <v>25.0</v>
      </c>
      <c r="AD173" s="52">
        <v>0.0</v>
      </c>
      <c r="AE173" s="28"/>
      <c r="AF173" s="96">
        <f t="shared" si="1"/>
        <v>3333.24</v>
      </c>
      <c r="AG173" s="64">
        <f t="shared" si="2"/>
        <v>188</v>
      </c>
      <c r="AH173" s="64">
        <f t="shared" si="3"/>
        <v>0</v>
      </c>
      <c r="AI173" s="64">
        <f t="shared" si="4"/>
        <v>188</v>
      </c>
      <c r="AJ173" s="97">
        <f t="shared" si="5"/>
        <v>17.73</v>
      </c>
    </row>
    <row r="174">
      <c r="A174" s="64" t="s">
        <v>28</v>
      </c>
      <c r="B174" s="65">
        <f t="shared" si="6"/>
        <v>45827</v>
      </c>
      <c r="C174" s="64">
        <v>7.0</v>
      </c>
      <c r="D174" s="66" t="s">
        <v>24</v>
      </c>
      <c r="E174" s="45" t="s">
        <v>39</v>
      </c>
      <c r="F174" s="47">
        <v>0.0</v>
      </c>
      <c r="H174" s="49">
        <v>0.0</v>
      </c>
      <c r="J174" s="49">
        <v>0.0</v>
      </c>
      <c r="L174" s="110">
        <v>69.0</v>
      </c>
      <c r="N174" s="100">
        <v>69.0</v>
      </c>
      <c r="P174" s="100">
        <v>0.0</v>
      </c>
      <c r="R174" s="100">
        <v>50.0</v>
      </c>
      <c r="T174" s="100">
        <v>0.0</v>
      </c>
      <c r="V174" s="100">
        <v>0.0</v>
      </c>
      <c r="X174" s="50">
        <v>28.0</v>
      </c>
      <c r="Z174" s="52">
        <v>25.0</v>
      </c>
      <c r="AB174" s="52">
        <v>25.0</v>
      </c>
      <c r="AD174" s="52">
        <v>0.0</v>
      </c>
      <c r="AE174" s="28"/>
      <c r="AF174" s="96">
        <f t="shared" si="1"/>
        <v>3929.96</v>
      </c>
      <c r="AG174" s="64">
        <f t="shared" si="2"/>
        <v>266</v>
      </c>
      <c r="AH174" s="64">
        <f t="shared" si="3"/>
        <v>0</v>
      </c>
      <c r="AI174" s="64">
        <f t="shared" si="4"/>
        <v>266</v>
      </c>
      <c r="AJ174" s="97">
        <f t="shared" si="5"/>
        <v>14.77428571</v>
      </c>
    </row>
    <row r="175">
      <c r="A175" s="64" t="s">
        <v>29</v>
      </c>
      <c r="B175" s="65">
        <f t="shared" si="6"/>
        <v>45828</v>
      </c>
      <c r="C175" s="64">
        <v>7.0</v>
      </c>
      <c r="D175" s="66" t="s">
        <v>24</v>
      </c>
      <c r="E175" s="45" t="s">
        <v>39</v>
      </c>
      <c r="F175" s="47">
        <v>0.0</v>
      </c>
      <c r="H175" s="49">
        <v>0.0</v>
      </c>
      <c r="J175" s="49">
        <v>0.0</v>
      </c>
      <c r="L175" s="110">
        <v>69.0</v>
      </c>
      <c r="N175" s="100">
        <v>69.0</v>
      </c>
      <c r="P175" s="100">
        <v>0.0</v>
      </c>
      <c r="R175" s="100">
        <v>50.0</v>
      </c>
      <c r="T175" s="100">
        <v>0.0</v>
      </c>
      <c r="V175" s="100">
        <v>0.0</v>
      </c>
      <c r="X175" s="50">
        <v>28.0</v>
      </c>
      <c r="Z175" s="52">
        <v>25.0</v>
      </c>
      <c r="AB175" s="52">
        <v>25.0</v>
      </c>
      <c r="AD175" s="52">
        <v>0.0</v>
      </c>
      <c r="AE175" s="28"/>
      <c r="AF175" s="96">
        <f t="shared" si="1"/>
        <v>3929.96</v>
      </c>
      <c r="AG175" s="64">
        <f t="shared" si="2"/>
        <v>266</v>
      </c>
      <c r="AH175" s="64">
        <f t="shared" si="3"/>
        <v>0</v>
      </c>
      <c r="AI175" s="64">
        <f t="shared" si="4"/>
        <v>266</v>
      </c>
      <c r="AJ175" s="97">
        <f t="shared" si="5"/>
        <v>14.77428571</v>
      </c>
    </row>
    <row r="176">
      <c r="A176" s="64" t="s">
        <v>30</v>
      </c>
      <c r="B176" s="65">
        <f t="shared" si="6"/>
        <v>45829</v>
      </c>
      <c r="C176" s="64">
        <v>7.0</v>
      </c>
      <c r="D176" s="66" t="s">
        <v>24</v>
      </c>
      <c r="E176" s="45" t="s">
        <v>39</v>
      </c>
      <c r="F176" s="47">
        <v>0.0</v>
      </c>
      <c r="H176" s="49">
        <v>0.0</v>
      </c>
      <c r="J176" s="49">
        <v>0.0</v>
      </c>
      <c r="L176" s="110">
        <v>69.0</v>
      </c>
      <c r="N176" s="100">
        <v>69.0</v>
      </c>
      <c r="P176" s="100">
        <v>0.0</v>
      </c>
      <c r="R176" s="100">
        <v>0.0</v>
      </c>
      <c r="T176" s="100">
        <v>0.0</v>
      </c>
      <c r="V176" s="100">
        <v>0.0</v>
      </c>
      <c r="X176" s="50">
        <v>0.0</v>
      </c>
      <c r="Z176" s="52">
        <v>25.0</v>
      </c>
      <c r="AB176" s="52">
        <v>25.0</v>
      </c>
      <c r="AD176" s="52">
        <v>0.0</v>
      </c>
      <c r="AE176" s="28"/>
      <c r="AF176" s="96">
        <f t="shared" si="1"/>
        <v>3333.24</v>
      </c>
      <c r="AG176" s="64">
        <f t="shared" si="2"/>
        <v>188</v>
      </c>
      <c r="AH176" s="64">
        <f t="shared" si="3"/>
        <v>0</v>
      </c>
      <c r="AI176" s="64">
        <f t="shared" si="4"/>
        <v>188</v>
      </c>
      <c r="AJ176" s="97">
        <f t="shared" si="5"/>
        <v>17.73</v>
      </c>
    </row>
    <row r="177">
      <c r="A177" s="83" t="s">
        <v>31</v>
      </c>
      <c r="B177" s="84">
        <f t="shared" si="6"/>
        <v>45830</v>
      </c>
      <c r="C177" s="83">
        <v>7.0</v>
      </c>
      <c r="D177" s="85" t="s">
        <v>24</v>
      </c>
      <c r="E177" s="106" t="s">
        <v>39</v>
      </c>
      <c r="F177" s="87">
        <v>0.0</v>
      </c>
      <c r="G177" s="75"/>
      <c r="H177" s="88">
        <v>0.0</v>
      </c>
      <c r="I177" s="75"/>
      <c r="J177" s="88">
        <v>0.0</v>
      </c>
      <c r="K177" s="75"/>
      <c r="L177" s="113">
        <v>0.0</v>
      </c>
      <c r="M177" s="75"/>
      <c r="N177" s="107">
        <v>0.0</v>
      </c>
      <c r="O177" s="75"/>
      <c r="P177" s="107">
        <v>0.0</v>
      </c>
      <c r="Q177" s="75"/>
      <c r="R177" s="107">
        <v>0.0</v>
      </c>
      <c r="S177" s="75"/>
      <c r="T177" s="107">
        <v>0.0</v>
      </c>
      <c r="U177" s="75"/>
      <c r="V177" s="107">
        <v>0.0</v>
      </c>
      <c r="W177" s="75"/>
      <c r="X177" s="89">
        <v>0.0</v>
      </c>
      <c r="Y177" s="75"/>
      <c r="Z177" s="90">
        <v>0.0</v>
      </c>
      <c r="AA177" s="75"/>
      <c r="AB177" s="90">
        <v>0.0</v>
      </c>
      <c r="AC177" s="75"/>
      <c r="AD177" s="90">
        <v>0.0</v>
      </c>
      <c r="AE177" s="77"/>
      <c r="AF177" s="98">
        <f t="shared" si="1"/>
        <v>0</v>
      </c>
      <c r="AG177" s="83">
        <f t="shared" si="2"/>
        <v>0</v>
      </c>
      <c r="AH177" s="83">
        <f t="shared" si="3"/>
        <v>0</v>
      </c>
      <c r="AI177" s="83">
        <f t="shared" si="4"/>
        <v>0</v>
      </c>
      <c r="AJ177" s="152" t="str">
        <f t="shared" si="5"/>
        <v/>
      </c>
    </row>
    <row r="178">
      <c r="A178" s="42" t="s">
        <v>23</v>
      </c>
      <c r="B178" s="43">
        <f t="shared" si="6"/>
        <v>45831</v>
      </c>
      <c r="C178" s="42">
        <v>7.0</v>
      </c>
      <c r="D178" s="44" t="s">
        <v>32</v>
      </c>
      <c r="E178" s="99" t="s">
        <v>39</v>
      </c>
      <c r="F178" s="47">
        <v>0.0</v>
      </c>
      <c r="H178" s="49">
        <v>0.0</v>
      </c>
      <c r="J178" s="49">
        <v>0.0</v>
      </c>
      <c r="L178" s="110">
        <v>69.0</v>
      </c>
      <c r="N178" s="100">
        <v>69.0</v>
      </c>
      <c r="P178" s="100">
        <v>0.0</v>
      </c>
      <c r="R178" s="100">
        <v>50.0</v>
      </c>
      <c r="T178" s="100">
        <v>1.0</v>
      </c>
      <c r="V178" s="100">
        <v>1.0</v>
      </c>
      <c r="X178" s="56">
        <v>31.0</v>
      </c>
      <c r="Y178" s="57"/>
      <c r="Z178" s="58">
        <v>25.0</v>
      </c>
      <c r="AA178" s="57"/>
      <c r="AB178" s="58">
        <v>25.0</v>
      </c>
      <c r="AC178" s="57"/>
      <c r="AD178" s="58">
        <v>0.0</v>
      </c>
      <c r="AE178" s="59"/>
      <c r="AF178" s="94">
        <f t="shared" si="1"/>
        <v>4721.31</v>
      </c>
      <c r="AG178" s="42">
        <f t="shared" si="2"/>
        <v>269</v>
      </c>
      <c r="AH178" s="42">
        <f t="shared" si="3"/>
        <v>2</v>
      </c>
      <c r="AI178" s="42">
        <f t="shared" si="4"/>
        <v>271</v>
      </c>
      <c r="AJ178" s="95">
        <f t="shared" si="5"/>
        <v>17.42180812</v>
      </c>
    </row>
    <row r="179">
      <c r="A179" s="64" t="s">
        <v>26</v>
      </c>
      <c r="B179" s="65">
        <f t="shared" si="6"/>
        <v>45832</v>
      </c>
      <c r="C179" s="64">
        <v>7.0</v>
      </c>
      <c r="D179" s="66" t="s">
        <v>32</v>
      </c>
      <c r="E179" s="45" t="s">
        <v>39</v>
      </c>
      <c r="F179" s="47">
        <v>0.0</v>
      </c>
      <c r="H179" s="49">
        <v>0.0</v>
      </c>
      <c r="J179" s="49">
        <v>0.0</v>
      </c>
      <c r="L179" s="110">
        <v>69.0</v>
      </c>
      <c r="N179" s="100">
        <v>69.0</v>
      </c>
      <c r="P179" s="100">
        <v>0.0</v>
      </c>
      <c r="R179" s="100">
        <v>50.0</v>
      </c>
      <c r="T179" s="100">
        <v>0.0</v>
      </c>
      <c r="V179" s="100">
        <v>0.0</v>
      </c>
      <c r="X179" s="50">
        <v>31.0</v>
      </c>
      <c r="Z179" s="52">
        <v>25.0</v>
      </c>
      <c r="AB179" s="52">
        <v>25.0</v>
      </c>
      <c r="AD179" s="52">
        <v>0.0</v>
      </c>
      <c r="AE179" s="28"/>
      <c r="AF179" s="96">
        <f t="shared" si="1"/>
        <v>3956.18</v>
      </c>
      <c r="AG179" s="64">
        <f t="shared" si="2"/>
        <v>269</v>
      </c>
      <c r="AH179" s="64">
        <f t="shared" si="3"/>
        <v>0</v>
      </c>
      <c r="AI179" s="64">
        <f t="shared" si="4"/>
        <v>269</v>
      </c>
      <c r="AJ179" s="97">
        <f t="shared" si="5"/>
        <v>14.70698885</v>
      </c>
    </row>
    <row r="180">
      <c r="A180" s="64" t="s">
        <v>27</v>
      </c>
      <c r="B180" s="65">
        <f t="shared" si="6"/>
        <v>45833</v>
      </c>
      <c r="C180" s="64">
        <v>7.0</v>
      </c>
      <c r="D180" s="66" t="s">
        <v>32</v>
      </c>
      <c r="E180" s="45" t="s">
        <v>39</v>
      </c>
      <c r="F180" s="47">
        <v>0.0</v>
      </c>
      <c r="H180" s="49">
        <v>0.0</v>
      </c>
      <c r="J180" s="49">
        <v>0.0</v>
      </c>
      <c r="L180" s="110">
        <v>69.0</v>
      </c>
      <c r="N180" s="100">
        <v>69.0</v>
      </c>
      <c r="P180" s="100">
        <v>0.0</v>
      </c>
      <c r="R180" s="100">
        <v>50.0</v>
      </c>
      <c r="T180" s="100">
        <v>0.0</v>
      </c>
      <c r="V180" s="100">
        <v>0.0</v>
      </c>
      <c r="X180" s="50">
        <v>31.0</v>
      </c>
      <c r="Z180" s="52">
        <v>25.0</v>
      </c>
      <c r="AB180" s="52">
        <v>25.0</v>
      </c>
      <c r="AD180" s="52">
        <v>0.0</v>
      </c>
      <c r="AE180" s="28"/>
      <c r="AF180" s="96">
        <f t="shared" si="1"/>
        <v>3956.18</v>
      </c>
      <c r="AG180" s="64">
        <f t="shared" si="2"/>
        <v>269</v>
      </c>
      <c r="AH180" s="64">
        <f t="shared" si="3"/>
        <v>0</v>
      </c>
      <c r="AI180" s="64">
        <f t="shared" si="4"/>
        <v>269</v>
      </c>
      <c r="AJ180" s="97">
        <f t="shared" si="5"/>
        <v>14.70698885</v>
      </c>
    </row>
    <row r="181">
      <c r="A181" s="64" t="s">
        <v>28</v>
      </c>
      <c r="B181" s="65">
        <f t="shared" si="6"/>
        <v>45834</v>
      </c>
      <c r="C181" s="64">
        <v>7.0</v>
      </c>
      <c r="D181" s="66" t="s">
        <v>32</v>
      </c>
      <c r="E181" s="45" t="s">
        <v>39</v>
      </c>
      <c r="F181" s="47">
        <v>0.0</v>
      </c>
      <c r="H181" s="49">
        <v>0.0</v>
      </c>
      <c r="J181" s="49">
        <v>0.0</v>
      </c>
      <c r="L181" s="110">
        <v>69.0</v>
      </c>
      <c r="N181" s="100">
        <v>69.0</v>
      </c>
      <c r="P181" s="100">
        <v>0.0</v>
      </c>
      <c r="R181" s="100">
        <v>50.0</v>
      </c>
      <c r="T181" s="100">
        <v>0.0</v>
      </c>
      <c r="V181" s="100">
        <v>0.0</v>
      </c>
      <c r="X181" s="50">
        <v>31.0</v>
      </c>
      <c r="Z181" s="52">
        <v>25.0</v>
      </c>
      <c r="AB181" s="52">
        <v>25.0</v>
      </c>
      <c r="AD181" s="52">
        <v>0.0</v>
      </c>
      <c r="AE181" s="28"/>
      <c r="AF181" s="96">
        <f t="shared" si="1"/>
        <v>3956.18</v>
      </c>
      <c r="AG181" s="64">
        <f t="shared" si="2"/>
        <v>269</v>
      </c>
      <c r="AH181" s="64">
        <f t="shared" si="3"/>
        <v>0</v>
      </c>
      <c r="AI181" s="64">
        <f t="shared" si="4"/>
        <v>269</v>
      </c>
      <c r="AJ181" s="97">
        <f t="shared" si="5"/>
        <v>14.70698885</v>
      </c>
    </row>
    <row r="182">
      <c r="A182" s="64" t="s">
        <v>29</v>
      </c>
      <c r="B182" s="65">
        <f t="shared" si="6"/>
        <v>45835</v>
      </c>
      <c r="C182" s="64">
        <v>7.0</v>
      </c>
      <c r="D182" s="66" t="s">
        <v>32</v>
      </c>
      <c r="E182" s="45" t="s">
        <v>39</v>
      </c>
      <c r="F182" s="47">
        <v>0.0</v>
      </c>
      <c r="H182" s="49">
        <v>0.0</v>
      </c>
      <c r="J182" s="49">
        <v>0.0</v>
      </c>
      <c r="L182" s="110">
        <v>69.0</v>
      </c>
      <c r="N182" s="100">
        <v>69.0</v>
      </c>
      <c r="P182" s="100">
        <v>0.0</v>
      </c>
      <c r="R182" s="100">
        <v>50.0</v>
      </c>
      <c r="T182" s="100">
        <v>0.0</v>
      </c>
      <c r="V182" s="100">
        <v>0.0</v>
      </c>
      <c r="X182" s="50">
        <v>31.0</v>
      </c>
      <c r="Z182" s="52">
        <v>25.0</v>
      </c>
      <c r="AB182" s="52">
        <v>25.0</v>
      </c>
      <c r="AD182" s="52">
        <v>0.0</v>
      </c>
      <c r="AE182" s="28"/>
      <c r="AF182" s="96">
        <f t="shared" si="1"/>
        <v>3956.18</v>
      </c>
      <c r="AG182" s="64">
        <f t="shared" si="2"/>
        <v>269</v>
      </c>
      <c r="AH182" s="64">
        <f t="shared" si="3"/>
        <v>0</v>
      </c>
      <c r="AI182" s="64">
        <f t="shared" si="4"/>
        <v>269</v>
      </c>
      <c r="AJ182" s="97">
        <f t="shared" si="5"/>
        <v>14.70698885</v>
      </c>
    </row>
    <row r="183">
      <c r="A183" s="64" t="s">
        <v>30</v>
      </c>
      <c r="B183" s="65">
        <f t="shared" si="6"/>
        <v>45836</v>
      </c>
      <c r="C183" s="64">
        <v>7.0</v>
      </c>
      <c r="D183" s="66" t="s">
        <v>32</v>
      </c>
      <c r="E183" s="45" t="s">
        <v>39</v>
      </c>
      <c r="F183" s="47">
        <v>0.0</v>
      </c>
      <c r="H183" s="49">
        <v>0.0</v>
      </c>
      <c r="J183" s="49">
        <v>0.0</v>
      </c>
      <c r="L183" s="110">
        <v>69.0</v>
      </c>
      <c r="N183" s="100">
        <v>69.0</v>
      </c>
      <c r="P183" s="100">
        <v>0.0</v>
      </c>
      <c r="R183" s="100">
        <v>0.0</v>
      </c>
      <c r="T183" s="100">
        <v>0.0</v>
      </c>
      <c r="V183" s="100">
        <v>0.0</v>
      </c>
      <c r="X183" s="50">
        <v>0.0</v>
      </c>
      <c r="Z183" s="52">
        <v>25.0</v>
      </c>
      <c r="AB183" s="52">
        <v>25.0</v>
      </c>
      <c r="AD183" s="52">
        <v>0.0</v>
      </c>
      <c r="AE183" s="28"/>
      <c r="AF183" s="96">
        <f t="shared" si="1"/>
        <v>3333.24</v>
      </c>
      <c r="AG183" s="64">
        <f t="shared" si="2"/>
        <v>188</v>
      </c>
      <c r="AH183" s="64">
        <f t="shared" si="3"/>
        <v>0</v>
      </c>
      <c r="AI183" s="64">
        <f t="shared" si="4"/>
        <v>188</v>
      </c>
      <c r="AJ183" s="97">
        <f t="shared" si="5"/>
        <v>17.73</v>
      </c>
    </row>
    <row r="184">
      <c r="A184" s="83" t="s">
        <v>31</v>
      </c>
      <c r="B184" s="84">
        <f t="shared" si="6"/>
        <v>45837</v>
      </c>
      <c r="C184" s="83">
        <v>7.0</v>
      </c>
      <c r="D184" s="85" t="s">
        <v>32</v>
      </c>
      <c r="E184" s="106" t="s">
        <v>39</v>
      </c>
      <c r="F184" s="87">
        <v>0.0</v>
      </c>
      <c r="G184" s="75"/>
      <c r="H184" s="88">
        <v>0.0</v>
      </c>
      <c r="I184" s="75"/>
      <c r="J184" s="88">
        <v>0.0</v>
      </c>
      <c r="K184" s="75"/>
      <c r="L184" s="113">
        <v>0.0</v>
      </c>
      <c r="M184" s="75"/>
      <c r="N184" s="107">
        <v>0.0</v>
      </c>
      <c r="O184" s="75"/>
      <c r="P184" s="107">
        <v>0.0</v>
      </c>
      <c r="Q184" s="75"/>
      <c r="R184" s="107">
        <v>0.0</v>
      </c>
      <c r="S184" s="75"/>
      <c r="T184" s="107">
        <v>0.0</v>
      </c>
      <c r="U184" s="75"/>
      <c r="V184" s="107">
        <v>0.0</v>
      </c>
      <c r="W184" s="75"/>
      <c r="X184" s="89">
        <v>0.0</v>
      </c>
      <c r="Y184" s="75"/>
      <c r="Z184" s="90">
        <v>0.0</v>
      </c>
      <c r="AA184" s="75"/>
      <c r="AB184" s="90">
        <v>0.0</v>
      </c>
      <c r="AC184" s="75"/>
      <c r="AD184" s="90">
        <v>0.0</v>
      </c>
      <c r="AE184" s="77"/>
      <c r="AF184" s="98">
        <f t="shared" si="1"/>
        <v>0</v>
      </c>
      <c r="AG184" s="83">
        <f t="shared" si="2"/>
        <v>0</v>
      </c>
      <c r="AH184" s="83">
        <f t="shared" si="3"/>
        <v>0</v>
      </c>
      <c r="AI184" s="83">
        <f t="shared" si="4"/>
        <v>0</v>
      </c>
      <c r="AJ184" s="152" t="str">
        <f t="shared" si="5"/>
        <v/>
      </c>
    </row>
    <row r="185">
      <c r="A185" s="42" t="s">
        <v>23</v>
      </c>
      <c r="B185" s="43">
        <f t="shared" si="6"/>
        <v>45838</v>
      </c>
      <c r="C185" s="42">
        <v>7.0</v>
      </c>
      <c r="D185" s="44" t="s">
        <v>33</v>
      </c>
      <c r="E185" s="99" t="s">
        <v>39</v>
      </c>
      <c r="F185" s="47">
        <v>0.0</v>
      </c>
      <c r="H185" s="49">
        <v>0.0</v>
      </c>
      <c r="J185" s="49">
        <v>0.0</v>
      </c>
      <c r="L185" s="110">
        <v>69.0</v>
      </c>
      <c r="N185" s="100">
        <v>69.0</v>
      </c>
      <c r="P185" s="100">
        <v>0.0</v>
      </c>
      <c r="R185" s="100">
        <v>50.0</v>
      </c>
      <c r="T185" s="100">
        <v>1.0</v>
      </c>
      <c r="V185" s="100">
        <v>1.0</v>
      </c>
      <c r="X185" s="56">
        <v>33.0</v>
      </c>
      <c r="Y185" s="57"/>
      <c r="Z185" s="58">
        <v>25.0</v>
      </c>
      <c r="AA185" s="57"/>
      <c r="AB185" s="58">
        <v>25.0</v>
      </c>
      <c r="AC185" s="57"/>
      <c r="AD185" s="58">
        <v>0.0</v>
      </c>
      <c r="AE185" s="59"/>
      <c r="AF185" s="94">
        <f t="shared" si="1"/>
        <v>4738.79</v>
      </c>
      <c r="AG185" s="42">
        <f t="shared" si="2"/>
        <v>271</v>
      </c>
      <c r="AH185" s="42">
        <f t="shared" si="3"/>
        <v>2</v>
      </c>
      <c r="AI185" s="42">
        <f t="shared" si="4"/>
        <v>273</v>
      </c>
      <c r="AJ185" s="95">
        <f t="shared" si="5"/>
        <v>17.35820513</v>
      </c>
    </row>
    <row r="186">
      <c r="A186" s="64" t="s">
        <v>26</v>
      </c>
      <c r="B186" s="65">
        <f t="shared" si="6"/>
        <v>45839</v>
      </c>
      <c r="C186" s="64">
        <v>7.0</v>
      </c>
      <c r="D186" s="66" t="s">
        <v>33</v>
      </c>
      <c r="E186" s="45" t="s">
        <v>39</v>
      </c>
      <c r="F186" s="47">
        <v>0.0</v>
      </c>
      <c r="H186" s="49">
        <v>0.0</v>
      </c>
      <c r="J186" s="49">
        <v>0.0</v>
      </c>
      <c r="L186" s="110">
        <v>69.0</v>
      </c>
      <c r="N186" s="100">
        <v>69.0</v>
      </c>
      <c r="P186" s="100">
        <v>0.0</v>
      </c>
      <c r="R186" s="100">
        <v>0.0</v>
      </c>
      <c r="T186" s="100">
        <v>0.0</v>
      </c>
      <c r="V186" s="100">
        <v>0.0</v>
      </c>
      <c r="X186" s="50">
        <v>0.0</v>
      </c>
      <c r="Z186" s="52">
        <v>25.0</v>
      </c>
      <c r="AB186" s="52">
        <v>25.0</v>
      </c>
      <c r="AD186" s="52">
        <v>0.0</v>
      </c>
      <c r="AE186" s="28"/>
      <c r="AF186" s="96">
        <f t="shared" si="1"/>
        <v>3333.24</v>
      </c>
      <c r="AG186" s="64">
        <f t="shared" si="2"/>
        <v>188</v>
      </c>
      <c r="AH186" s="64">
        <f t="shared" si="3"/>
        <v>0</v>
      </c>
      <c r="AI186" s="64">
        <f t="shared" si="4"/>
        <v>188</v>
      </c>
      <c r="AJ186" s="97">
        <f t="shared" si="5"/>
        <v>17.73</v>
      </c>
    </row>
    <row r="187">
      <c r="A187" s="64" t="s">
        <v>27</v>
      </c>
      <c r="B187" s="65">
        <f t="shared" si="6"/>
        <v>45840</v>
      </c>
      <c r="C187" s="64">
        <v>7.0</v>
      </c>
      <c r="D187" s="66" t="s">
        <v>33</v>
      </c>
      <c r="E187" s="45" t="s">
        <v>39</v>
      </c>
      <c r="F187" s="47">
        <v>0.0</v>
      </c>
      <c r="H187" s="49">
        <v>0.0</v>
      </c>
      <c r="J187" s="49">
        <v>0.0</v>
      </c>
      <c r="L187" s="110">
        <v>69.0</v>
      </c>
      <c r="N187" s="100">
        <v>69.0</v>
      </c>
      <c r="P187" s="100">
        <v>0.0</v>
      </c>
      <c r="R187" s="100">
        <v>50.0</v>
      </c>
      <c r="T187" s="100">
        <v>0.0</v>
      </c>
      <c r="V187" s="100">
        <v>0.0</v>
      </c>
      <c r="X187" s="50">
        <v>27.0</v>
      </c>
      <c r="Z187" s="52">
        <v>25.0</v>
      </c>
      <c r="AB187" s="52">
        <v>25.0</v>
      </c>
      <c r="AD187" s="52">
        <v>0.0</v>
      </c>
      <c r="AE187" s="28"/>
      <c r="AF187" s="96">
        <f t="shared" si="1"/>
        <v>3921.22</v>
      </c>
      <c r="AG187" s="64">
        <f t="shared" si="2"/>
        <v>265</v>
      </c>
      <c r="AH187" s="64">
        <f t="shared" si="3"/>
        <v>0</v>
      </c>
      <c r="AI187" s="64">
        <f t="shared" si="4"/>
        <v>265</v>
      </c>
      <c r="AJ187" s="97">
        <f t="shared" si="5"/>
        <v>14.7970566</v>
      </c>
    </row>
    <row r="188">
      <c r="A188" s="64" t="s">
        <v>28</v>
      </c>
      <c r="B188" s="65">
        <f t="shared" si="6"/>
        <v>45841</v>
      </c>
      <c r="C188" s="64">
        <v>7.0</v>
      </c>
      <c r="D188" s="66" t="s">
        <v>33</v>
      </c>
      <c r="E188" s="45" t="s">
        <v>39</v>
      </c>
      <c r="F188" s="47">
        <v>0.0</v>
      </c>
      <c r="H188" s="49">
        <v>0.0</v>
      </c>
      <c r="J188" s="49">
        <v>0.0</v>
      </c>
      <c r="L188" s="110">
        <v>69.0</v>
      </c>
      <c r="N188" s="100">
        <v>69.0</v>
      </c>
      <c r="P188" s="100">
        <v>0.0</v>
      </c>
      <c r="R188" s="100">
        <v>50.0</v>
      </c>
      <c r="T188" s="100">
        <v>0.0</v>
      </c>
      <c r="V188" s="100">
        <v>0.0</v>
      </c>
      <c r="X188" s="50">
        <v>27.0</v>
      </c>
      <c r="Z188" s="52">
        <v>25.0</v>
      </c>
      <c r="AB188" s="52">
        <v>25.0</v>
      </c>
      <c r="AD188" s="52">
        <v>0.0</v>
      </c>
      <c r="AE188" s="28"/>
      <c r="AF188" s="96">
        <f t="shared" si="1"/>
        <v>3921.22</v>
      </c>
      <c r="AG188" s="64">
        <f t="shared" si="2"/>
        <v>265</v>
      </c>
      <c r="AH188" s="64">
        <f t="shared" si="3"/>
        <v>0</v>
      </c>
      <c r="AI188" s="64">
        <f t="shared" si="4"/>
        <v>265</v>
      </c>
      <c r="AJ188" s="97">
        <f t="shared" si="5"/>
        <v>14.7970566</v>
      </c>
    </row>
    <row r="189">
      <c r="A189" s="64" t="s">
        <v>29</v>
      </c>
      <c r="B189" s="65">
        <f t="shared" si="6"/>
        <v>45842</v>
      </c>
      <c r="C189" s="64">
        <v>7.0</v>
      </c>
      <c r="D189" s="66" t="s">
        <v>33</v>
      </c>
      <c r="E189" s="45" t="s">
        <v>39</v>
      </c>
      <c r="F189" s="47">
        <v>0.0</v>
      </c>
      <c r="H189" s="49">
        <v>0.0</v>
      </c>
      <c r="J189" s="49">
        <v>0.0</v>
      </c>
      <c r="L189" s="110">
        <v>69.0</v>
      </c>
      <c r="N189" s="100">
        <v>69.0</v>
      </c>
      <c r="P189" s="100">
        <v>0.0</v>
      </c>
      <c r="R189" s="100">
        <v>50.0</v>
      </c>
      <c r="T189" s="100">
        <v>0.0</v>
      </c>
      <c r="V189" s="100">
        <v>0.0</v>
      </c>
      <c r="X189" s="50">
        <v>27.0</v>
      </c>
      <c r="Z189" s="52">
        <v>25.0</v>
      </c>
      <c r="AB189" s="52">
        <v>25.0</v>
      </c>
      <c r="AD189" s="52">
        <v>0.0</v>
      </c>
      <c r="AE189" s="28"/>
      <c r="AF189" s="96">
        <f t="shared" si="1"/>
        <v>3921.22</v>
      </c>
      <c r="AG189" s="64">
        <f t="shared" si="2"/>
        <v>265</v>
      </c>
      <c r="AH189" s="64">
        <f t="shared" si="3"/>
        <v>0</v>
      </c>
      <c r="AI189" s="64">
        <f t="shared" si="4"/>
        <v>265</v>
      </c>
      <c r="AJ189" s="97">
        <f t="shared" si="5"/>
        <v>14.7970566</v>
      </c>
    </row>
    <row r="190">
      <c r="A190" s="64" t="s">
        <v>30</v>
      </c>
      <c r="B190" s="65">
        <f t="shared" si="6"/>
        <v>45843</v>
      </c>
      <c r="C190" s="64">
        <v>7.0</v>
      </c>
      <c r="D190" s="66" t="s">
        <v>33</v>
      </c>
      <c r="E190" s="45" t="s">
        <v>39</v>
      </c>
      <c r="F190" s="47">
        <v>0.0</v>
      </c>
      <c r="H190" s="49">
        <v>0.0</v>
      </c>
      <c r="J190" s="49">
        <v>0.0</v>
      </c>
      <c r="L190" s="110">
        <v>69.0</v>
      </c>
      <c r="N190" s="100">
        <v>69.0</v>
      </c>
      <c r="P190" s="100">
        <v>0.0</v>
      </c>
      <c r="R190" s="100">
        <v>0.0</v>
      </c>
      <c r="T190" s="100">
        <v>0.0</v>
      </c>
      <c r="V190" s="100">
        <v>0.0</v>
      </c>
      <c r="X190" s="50">
        <v>0.0</v>
      </c>
      <c r="Z190" s="52">
        <v>25.0</v>
      </c>
      <c r="AB190" s="52">
        <v>25.0</v>
      </c>
      <c r="AD190" s="52">
        <v>0.0</v>
      </c>
      <c r="AE190" s="28"/>
      <c r="AF190" s="96">
        <f t="shared" si="1"/>
        <v>3333.24</v>
      </c>
      <c r="AG190" s="64">
        <f t="shared" si="2"/>
        <v>188</v>
      </c>
      <c r="AH190" s="64">
        <f t="shared" si="3"/>
        <v>0</v>
      </c>
      <c r="AI190" s="64">
        <f t="shared" si="4"/>
        <v>188</v>
      </c>
      <c r="AJ190" s="97">
        <f t="shared" si="5"/>
        <v>17.73</v>
      </c>
    </row>
    <row r="191">
      <c r="A191" s="83" t="s">
        <v>31</v>
      </c>
      <c r="B191" s="84">
        <f t="shared" si="6"/>
        <v>45844</v>
      </c>
      <c r="C191" s="83">
        <v>7.0</v>
      </c>
      <c r="D191" s="85" t="s">
        <v>33</v>
      </c>
      <c r="E191" s="106" t="s">
        <v>39</v>
      </c>
      <c r="F191" s="87">
        <v>0.0</v>
      </c>
      <c r="G191" s="75"/>
      <c r="H191" s="88">
        <v>0.0</v>
      </c>
      <c r="I191" s="75"/>
      <c r="J191" s="88">
        <v>0.0</v>
      </c>
      <c r="K191" s="75"/>
      <c r="L191" s="113">
        <v>0.0</v>
      </c>
      <c r="M191" s="75"/>
      <c r="N191" s="107">
        <v>0.0</v>
      </c>
      <c r="O191" s="75"/>
      <c r="P191" s="107">
        <v>0.0</v>
      </c>
      <c r="Q191" s="75"/>
      <c r="R191" s="107">
        <v>0.0</v>
      </c>
      <c r="S191" s="75"/>
      <c r="T191" s="107">
        <v>0.0</v>
      </c>
      <c r="U191" s="75"/>
      <c r="V191" s="107">
        <v>0.0</v>
      </c>
      <c r="W191" s="75"/>
      <c r="X191" s="89">
        <v>0.0</v>
      </c>
      <c r="Y191" s="75"/>
      <c r="Z191" s="90">
        <v>0.0</v>
      </c>
      <c r="AA191" s="75"/>
      <c r="AB191" s="90">
        <v>0.0</v>
      </c>
      <c r="AC191" s="75"/>
      <c r="AD191" s="90">
        <v>0.0</v>
      </c>
      <c r="AE191" s="77"/>
      <c r="AF191" s="98">
        <f t="shared" si="1"/>
        <v>0</v>
      </c>
      <c r="AG191" s="83">
        <f t="shared" si="2"/>
        <v>0</v>
      </c>
      <c r="AH191" s="83">
        <f t="shared" si="3"/>
        <v>0</v>
      </c>
      <c r="AI191" s="83">
        <f t="shared" si="4"/>
        <v>0</v>
      </c>
      <c r="AJ191" s="152" t="str">
        <f t="shared" si="5"/>
        <v/>
      </c>
    </row>
    <row r="192">
      <c r="A192" s="42" t="s">
        <v>23</v>
      </c>
      <c r="B192" s="43">
        <f t="shared" si="6"/>
        <v>45845</v>
      </c>
      <c r="C192" s="42">
        <v>7.0</v>
      </c>
      <c r="D192" s="44" t="s">
        <v>36</v>
      </c>
      <c r="E192" s="99" t="s">
        <v>39</v>
      </c>
      <c r="F192" s="47">
        <v>0.0</v>
      </c>
      <c r="H192" s="49">
        <v>0.0</v>
      </c>
      <c r="J192" s="49">
        <v>0.0</v>
      </c>
      <c r="L192" s="110">
        <v>69.0</v>
      </c>
      <c r="N192" s="100">
        <v>69.0</v>
      </c>
      <c r="P192" s="100">
        <v>0.0</v>
      </c>
      <c r="R192" s="100">
        <v>0.0</v>
      </c>
      <c r="T192" s="100">
        <v>1.0</v>
      </c>
      <c r="V192" s="100">
        <v>1.0</v>
      </c>
      <c r="X192" s="56">
        <v>0.0</v>
      </c>
      <c r="Y192" s="57"/>
      <c r="Z192" s="58">
        <v>25.0</v>
      </c>
      <c r="AA192" s="57"/>
      <c r="AB192" s="58">
        <v>25.0</v>
      </c>
      <c r="AC192" s="57"/>
      <c r="AD192" s="58">
        <v>0.0</v>
      </c>
      <c r="AE192" s="59"/>
      <c r="AF192" s="94">
        <f t="shared" si="1"/>
        <v>4098.37</v>
      </c>
      <c r="AG192" s="42">
        <f t="shared" si="2"/>
        <v>188</v>
      </c>
      <c r="AH192" s="42">
        <f t="shared" si="3"/>
        <v>2</v>
      </c>
      <c r="AI192" s="42">
        <f t="shared" si="4"/>
        <v>190</v>
      </c>
      <c r="AJ192" s="95">
        <f t="shared" si="5"/>
        <v>21.57036842</v>
      </c>
    </row>
    <row r="193">
      <c r="A193" s="64" t="s">
        <v>26</v>
      </c>
      <c r="B193" s="65">
        <f t="shared" si="6"/>
        <v>45846</v>
      </c>
      <c r="C193" s="64">
        <v>7.0</v>
      </c>
      <c r="D193" s="66" t="s">
        <v>36</v>
      </c>
      <c r="E193" s="45" t="s">
        <v>39</v>
      </c>
      <c r="F193" s="47">
        <v>0.0</v>
      </c>
      <c r="H193" s="49">
        <v>0.0</v>
      </c>
      <c r="J193" s="49">
        <v>0.0</v>
      </c>
      <c r="L193" s="110">
        <v>69.0</v>
      </c>
      <c r="N193" s="100">
        <v>69.0</v>
      </c>
      <c r="P193" s="100">
        <v>0.0</v>
      </c>
      <c r="R193" s="100">
        <v>0.0</v>
      </c>
      <c r="T193" s="100">
        <v>0.0</v>
      </c>
      <c r="V193" s="100">
        <v>0.0</v>
      </c>
      <c r="X193" s="50">
        <v>0.0</v>
      </c>
      <c r="Z193" s="52">
        <v>25.0</v>
      </c>
      <c r="AB193" s="52">
        <v>25.0</v>
      </c>
      <c r="AD193" s="52">
        <v>0.0</v>
      </c>
      <c r="AE193" s="28"/>
      <c r="AF193" s="96">
        <f t="shared" si="1"/>
        <v>3333.24</v>
      </c>
      <c r="AG193" s="64">
        <f t="shared" si="2"/>
        <v>188</v>
      </c>
      <c r="AH193" s="64">
        <f t="shared" si="3"/>
        <v>0</v>
      </c>
      <c r="AI193" s="64">
        <f t="shared" si="4"/>
        <v>188</v>
      </c>
      <c r="AJ193" s="97">
        <f t="shared" si="5"/>
        <v>17.73</v>
      </c>
    </row>
    <row r="194">
      <c r="A194" s="64" t="s">
        <v>27</v>
      </c>
      <c r="B194" s="65">
        <f t="shared" si="6"/>
        <v>45847</v>
      </c>
      <c r="C194" s="64">
        <v>7.0</v>
      </c>
      <c r="D194" s="66" t="s">
        <v>36</v>
      </c>
      <c r="E194" s="45" t="s">
        <v>39</v>
      </c>
      <c r="F194" s="47">
        <v>0.0</v>
      </c>
      <c r="H194" s="49">
        <v>0.0</v>
      </c>
      <c r="J194" s="49">
        <v>0.0</v>
      </c>
      <c r="L194" s="110">
        <v>69.0</v>
      </c>
      <c r="N194" s="100">
        <v>69.0</v>
      </c>
      <c r="P194" s="100">
        <v>0.0</v>
      </c>
      <c r="R194" s="100">
        <v>50.0</v>
      </c>
      <c r="T194" s="100">
        <v>0.0</v>
      </c>
      <c r="V194" s="100">
        <v>0.0</v>
      </c>
      <c r="X194" s="50">
        <v>30.0</v>
      </c>
      <c r="Z194" s="52">
        <v>25.0</v>
      </c>
      <c r="AB194" s="52">
        <v>25.0</v>
      </c>
      <c r="AD194" s="52">
        <v>0.0</v>
      </c>
      <c r="AE194" s="28"/>
      <c r="AF194" s="96">
        <f t="shared" si="1"/>
        <v>3947.44</v>
      </c>
      <c r="AG194" s="64">
        <f t="shared" si="2"/>
        <v>268</v>
      </c>
      <c r="AH194" s="64">
        <f t="shared" si="3"/>
        <v>0</v>
      </c>
      <c r="AI194" s="64">
        <f t="shared" si="4"/>
        <v>268</v>
      </c>
      <c r="AJ194" s="97">
        <f t="shared" si="5"/>
        <v>14.72925373</v>
      </c>
    </row>
    <row r="195">
      <c r="A195" s="64" t="s">
        <v>28</v>
      </c>
      <c r="B195" s="65">
        <f t="shared" si="6"/>
        <v>45848</v>
      </c>
      <c r="C195" s="64">
        <v>7.0</v>
      </c>
      <c r="D195" s="66" t="s">
        <v>36</v>
      </c>
      <c r="E195" s="45" t="s">
        <v>39</v>
      </c>
      <c r="F195" s="47">
        <v>0.0</v>
      </c>
      <c r="H195" s="49">
        <v>0.0</v>
      </c>
      <c r="J195" s="49">
        <v>0.0</v>
      </c>
      <c r="L195" s="110">
        <v>69.0</v>
      </c>
      <c r="N195" s="100">
        <v>69.0</v>
      </c>
      <c r="P195" s="100">
        <v>0.0</v>
      </c>
      <c r="R195" s="100">
        <v>50.0</v>
      </c>
      <c r="T195" s="100">
        <v>0.0</v>
      </c>
      <c r="V195" s="100">
        <v>0.0</v>
      </c>
      <c r="X195" s="50">
        <v>33.0</v>
      </c>
      <c r="Z195" s="52">
        <v>25.0</v>
      </c>
      <c r="AB195" s="52">
        <v>25.0</v>
      </c>
      <c r="AD195" s="52">
        <v>0.0</v>
      </c>
      <c r="AE195" s="28"/>
      <c r="AF195" s="96">
        <f t="shared" si="1"/>
        <v>3973.66</v>
      </c>
      <c r="AG195" s="64">
        <f t="shared" si="2"/>
        <v>271</v>
      </c>
      <c r="AH195" s="64">
        <f t="shared" si="3"/>
        <v>0</v>
      </c>
      <c r="AI195" s="64">
        <f t="shared" si="4"/>
        <v>271</v>
      </c>
      <c r="AJ195" s="97">
        <f t="shared" si="5"/>
        <v>14.66295203</v>
      </c>
    </row>
    <row r="196">
      <c r="A196" s="64" t="s">
        <v>29</v>
      </c>
      <c r="B196" s="65">
        <f t="shared" si="6"/>
        <v>45849</v>
      </c>
      <c r="C196" s="64">
        <v>7.0</v>
      </c>
      <c r="D196" s="66" t="s">
        <v>36</v>
      </c>
      <c r="E196" s="45" t="s">
        <v>39</v>
      </c>
      <c r="F196" s="47">
        <v>0.0</v>
      </c>
      <c r="H196" s="49">
        <v>0.0</v>
      </c>
      <c r="J196" s="49">
        <v>0.0</v>
      </c>
      <c r="L196" s="110">
        <v>69.0</v>
      </c>
      <c r="N196" s="100">
        <v>69.0</v>
      </c>
      <c r="P196" s="100">
        <v>0.0</v>
      </c>
      <c r="R196" s="100">
        <v>50.0</v>
      </c>
      <c r="T196" s="100">
        <v>0.0</v>
      </c>
      <c r="V196" s="100">
        <v>0.0</v>
      </c>
      <c r="X196" s="50">
        <v>33.0</v>
      </c>
      <c r="Z196" s="52">
        <v>25.0</v>
      </c>
      <c r="AB196" s="52">
        <v>25.0</v>
      </c>
      <c r="AD196" s="52">
        <v>0.0</v>
      </c>
      <c r="AE196" s="28"/>
      <c r="AF196" s="96">
        <f t="shared" si="1"/>
        <v>3973.66</v>
      </c>
      <c r="AG196" s="64">
        <f t="shared" si="2"/>
        <v>271</v>
      </c>
      <c r="AH196" s="64">
        <f t="shared" si="3"/>
        <v>0</v>
      </c>
      <c r="AI196" s="64">
        <f t="shared" si="4"/>
        <v>271</v>
      </c>
      <c r="AJ196" s="97">
        <f t="shared" si="5"/>
        <v>14.66295203</v>
      </c>
    </row>
    <row r="197">
      <c r="A197" s="64" t="s">
        <v>30</v>
      </c>
      <c r="B197" s="65">
        <f t="shared" si="6"/>
        <v>45850</v>
      </c>
      <c r="C197" s="64">
        <v>7.0</v>
      </c>
      <c r="D197" s="66" t="s">
        <v>36</v>
      </c>
      <c r="E197" s="45" t="s">
        <v>39</v>
      </c>
      <c r="F197" s="47">
        <v>0.0</v>
      </c>
      <c r="H197" s="49">
        <v>0.0</v>
      </c>
      <c r="J197" s="49">
        <v>0.0</v>
      </c>
      <c r="L197" s="110">
        <v>69.0</v>
      </c>
      <c r="N197" s="100">
        <v>69.0</v>
      </c>
      <c r="P197" s="100">
        <v>0.0</v>
      </c>
      <c r="R197" s="100">
        <v>50.0</v>
      </c>
      <c r="T197" s="100">
        <v>0.0</v>
      </c>
      <c r="V197" s="100">
        <v>0.0</v>
      </c>
      <c r="X197" s="50">
        <v>0.0</v>
      </c>
      <c r="Z197" s="52">
        <v>25.0</v>
      </c>
      <c r="AB197" s="52">
        <v>25.0</v>
      </c>
      <c r="AD197" s="52">
        <v>0.0</v>
      </c>
      <c r="AE197" s="28"/>
      <c r="AF197" s="96">
        <f t="shared" si="1"/>
        <v>3685.24</v>
      </c>
      <c r="AG197" s="64">
        <f t="shared" si="2"/>
        <v>238</v>
      </c>
      <c r="AH197" s="64">
        <f t="shared" si="3"/>
        <v>0</v>
      </c>
      <c r="AI197" s="64">
        <f t="shared" si="4"/>
        <v>238</v>
      </c>
      <c r="AJ197" s="97">
        <f t="shared" si="5"/>
        <v>15.48420168</v>
      </c>
    </row>
    <row r="198">
      <c r="A198" s="83" t="s">
        <v>31</v>
      </c>
      <c r="B198" s="84">
        <f t="shared" si="6"/>
        <v>45851</v>
      </c>
      <c r="C198" s="83">
        <v>7.0</v>
      </c>
      <c r="D198" s="85" t="s">
        <v>36</v>
      </c>
      <c r="E198" s="106" t="s">
        <v>39</v>
      </c>
      <c r="F198" s="87">
        <v>0.0</v>
      </c>
      <c r="G198" s="75"/>
      <c r="H198" s="88">
        <v>0.0</v>
      </c>
      <c r="I198" s="75"/>
      <c r="J198" s="88">
        <v>0.0</v>
      </c>
      <c r="K198" s="75"/>
      <c r="L198" s="113">
        <v>0.0</v>
      </c>
      <c r="M198" s="75"/>
      <c r="N198" s="107">
        <v>0.0</v>
      </c>
      <c r="O198" s="75"/>
      <c r="P198" s="107">
        <v>0.0</v>
      </c>
      <c r="Q198" s="75"/>
      <c r="R198" s="107">
        <v>0.0</v>
      </c>
      <c r="S198" s="75"/>
      <c r="T198" s="107">
        <v>0.0</v>
      </c>
      <c r="U198" s="75"/>
      <c r="V198" s="107">
        <v>0.0</v>
      </c>
      <c r="W198" s="75"/>
      <c r="X198" s="89">
        <v>0.0</v>
      </c>
      <c r="Y198" s="75"/>
      <c r="Z198" s="90">
        <v>0.0</v>
      </c>
      <c r="AA198" s="75"/>
      <c r="AB198" s="90">
        <v>0.0</v>
      </c>
      <c r="AC198" s="75"/>
      <c r="AD198" s="90">
        <v>0.0</v>
      </c>
      <c r="AE198" s="77"/>
      <c r="AF198" s="98">
        <f t="shared" si="1"/>
        <v>0</v>
      </c>
      <c r="AG198" s="83">
        <f t="shared" si="2"/>
        <v>0</v>
      </c>
      <c r="AH198" s="83">
        <f t="shared" si="3"/>
        <v>0</v>
      </c>
      <c r="AI198" s="83">
        <f t="shared" si="4"/>
        <v>0</v>
      </c>
      <c r="AJ198" s="152" t="str">
        <f t="shared" si="5"/>
        <v/>
      </c>
    </row>
    <row r="199">
      <c r="A199" s="42" t="s">
        <v>23</v>
      </c>
      <c r="B199" s="43">
        <f t="shared" si="6"/>
        <v>45852</v>
      </c>
      <c r="C199" s="42">
        <v>8.0</v>
      </c>
      <c r="D199" s="44" t="s">
        <v>24</v>
      </c>
      <c r="E199" s="99" t="s">
        <v>39</v>
      </c>
      <c r="F199" s="47">
        <v>0.0</v>
      </c>
      <c r="H199" s="49">
        <v>0.0</v>
      </c>
      <c r="J199" s="49">
        <v>0.0</v>
      </c>
      <c r="L199" s="110">
        <v>69.0</v>
      </c>
      <c r="N199" s="100">
        <v>69.0</v>
      </c>
      <c r="P199" s="100">
        <v>0.0</v>
      </c>
      <c r="R199" s="100">
        <v>50.0</v>
      </c>
      <c r="T199" s="100">
        <v>1.0</v>
      </c>
      <c r="V199" s="100">
        <v>1.0</v>
      </c>
      <c r="X199" s="56">
        <v>32.0</v>
      </c>
      <c r="Y199" s="57"/>
      <c r="Z199" s="58">
        <v>25.0</v>
      </c>
      <c r="AA199" s="57"/>
      <c r="AB199" s="58">
        <v>25.0</v>
      </c>
      <c r="AC199" s="57"/>
      <c r="AD199" s="58">
        <v>0.0</v>
      </c>
      <c r="AE199" s="59"/>
      <c r="AF199" s="94">
        <f t="shared" si="1"/>
        <v>4730.05</v>
      </c>
      <c r="AG199" s="42">
        <f t="shared" si="2"/>
        <v>270</v>
      </c>
      <c r="AH199" s="42">
        <f t="shared" si="3"/>
        <v>2</v>
      </c>
      <c r="AI199" s="42">
        <f t="shared" si="4"/>
        <v>272</v>
      </c>
      <c r="AJ199" s="95">
        <f t="shared" si="5"/>
        <v>17.38988971</v>
      </c>
    </row>
    <row r="200">
      <c r="A200" s="64" t="s">
        <v>26</v>
      </c>
      <c r="B200" s="65">
        <f t="shared" si="6"/>
        <v>45853</v>
      </c>
      <c r="C200" s="64">
        <v>8.0</v>
      </c>
      <c r="D200" s="66" t="s">
        <v>24</v>
      </c>
      <c r="E200" s="45" t="s">
        <v>39</v>
      </c>
      <c r="F200" s="47">
        <v>0.0</v>
      </c>
      <c r="H200" s="49">
        <v>0.0</v>
      </c>
      <c r="J200" s="49">
        <v>0.0</v>
      </c>
      <c r="L200" s="110">
        <v>69.0</v>
      </c>
      <c r="N200" s="100">
        <v>69.0</v>
      </c>
      <c r="P200" s="100">
        <v>0.0</v>
      </c>
      <c r="R200" s="100">
        <v>50.0</v>
      </c>
      <c r="T200" s="100">
        <v>0.0</v>
      </c>
      <c r="V200" s="100">
        <v>0.0</v>
      </c>
      <c r="X200" s="50">
        <v>32.0</v>
      </c>
      <c r="Z200" s="52">
        <v>25.0</v>
      </c>
      <c r="AB200" s="52">
        <v>25.0</v>
      </c>
      <c r="AD200" s="52">
        <v>0.0</v>
      </c>
      <c r="AE200" s="28"/>
      <c r="AF200" s="96">
        <f t="shared" si="1"/>
        <v>3964.92</v>
      </c>
      <c r="AG200" s="64">
        <f t="shared" si="2"/>
        <v>270</v>
      </c>
      <c r="AH200" s="64">
        <f t="shared" si="3"/>
        <v>0</v>
      </c>
      <c r="AI200" s="64">
        <f t="shared" si="4"/>
        <v>270</v>
      </c>
      <c r="AJ200" s="97">
        <f t="shared" si="5"/>
        <v>14.68488889</v>
      </c>
    </row>
    <row r="201">
      <c r="A201" s="64" t="s">
        <v>27</v>
      </c>
      <c r="B201" s="65">
        <f t="shared" si="6"/>
        <v>45854</v>
      </c>
      <c r="C201" s="64">
        <v>8.0</v>
      </c>
      <c r="D201" s="66" t="s">
        <v>24</v>
      </c>
      <c r="E201" s="45" t="s">
        <v>39</v>
      </c>
      <c r="F201" s="47">
        <v>0.0</v>
      </c>
      <c r="H201" s="49">
        <v>0.0</v>
      </c>
      <c r="J201" s="49">
        <v>0.0</v>
      </c>
      <c r="L201" s="110">
        <v>69.0</v>
      </c>
      <c r="N201" s="100">
        <v>69.0</v>
      </c>
      <c r="P201" s="100">
        <v>0.0</v>
      </c>
      <c r="R201" s="100">
        <v>50.0</v>
      </c>
      <c r="T201" s="100">
        <v>0.0</v>
      </c>
      <c r="V201" s="100">
        <v>0.0</v>
      </c>
      <c r="X201" s="50">
        <v>32.0</v>
      </c>
      <c r="Z201" s="52">
        <v>25.0</v>
      </c>
      <c r="AB201" s="52">
        <v>25.0</v>
      </c>
      <c r="AD201" s="52">
        <v>0.0</v>
      </c>
      <c r="AE201" s="28"/>
      <c r="AF201" s="96">
        <f t="shared" si="1"/>
        <v>3964.92</v>
      </c>
      <c r="AG201" s="64">
        <f t="shared" si="2"/>
        <v>270</v>
      </c>
      <c r="AH201" s="64">
        <f t="shared" si="3"/>
        <v>0</v>
      </c>
      <c r="AI201" s="64">
        <f t="shared" si="4"/>
        <v>270</v>
      </c>
      <c r="AJ201" s="97">
        <f t="shared" si="5"/>
        <v>14.68488889</v>
      </c>
    </row>
    <row r="202">
      <c r="A202" s="64" t="s">
        <v>28</v>
      </c>
      <c r="B202" s="65">
        <f t="shared" si="6"/>
        <v>45855</v>
      </c>
      <c r="C202" s="64">
        <v>8.0</v>
      </c>
      <c r="D202" s="66" t="s">
        <v>24</v>
      </c>
      <c r="E202" s="45" t="s">
        <v>39</v>
      </c>
      <c r="F202" s="47">
        <v>0.0</v>
      </c>
      <c r="H202" s="49">
        <v>0.0</v>
      </c>
      <c r="J202" s="49">
        <v>0.0</v>
      </c>
      <c r="L202" s="110">
        <v>69.0</v>
      </c>
      <c r="N202" s="100">
        <v>69.0</v>
      </c>
      <c r="P202" s="100">
        <v>0.0</v>
      </c>
      <c r="R202" s="100">
        <v>50.0</v>
      </c>
      <c r="T202" s="100">
        <v>0.0</v>
      </c>
      <c r="V202" s="100">
        <v>0.0</v>
      </c>
      <c r="X202" s="50">
        <v>32.0</v>
      </c>
      <c r="Z202" s="52">
        <v>25.0</v>
      </c>
      <c r="AB202" s="52">
        <v>25.0</v>
      </c>
      <c r="AD202" s="52">
        <v>0.0</v>
      </c>
      <c r="AE202" s="28"/>
      <c r="AF202" s="96">
        <f t="shared" si="1"/>
        <v>3964.92</v>
      </c>
      <c r="AG202" s="64">
        <f t="shared" si="2"/>
        <v>270</v>
      </c>
      <c r="AH202" s="64">
        <f t="shared" si="3"/>
        <v>0</v>
      </c>
      <c r="AI202" s="64">
        <f t="shared" si="4"/>
        <v>270</v>
      </c>
      <c r="AJ202" s="97">
        <f t="shared" si="5"/>
        <v>14.68488889</v>
      </c>
    </row>
    <row r="203">
      <c r="A203" s="64" t="s">
        <v>29</v>
      </c>
      <c r="B203" s="65">
        <f t="shared" si="6"/>
        <v>45856</v>
      </c>
      <c r="C203" s="64">
        <v>8.0</v>
      </c>
      <c r="D203" s="66" t="s">
        <v>24</v>
      </c>
      <c r="E203" s="45" t="s">
        <v>39</v>
      </c>
      <c r="F203" s="47">
        <v>0.0</v>
      </c>
      <c r="H203" s="49">
        <v>0.0</v>
      </c>
      <c r="J203" s="49">
        <v>0.0</v>
      </c>
      <c r="L203" s="110">
        <v>69.0</v>
      </c>
      <c r="N203" s="100">
        <v>69.0</v>
      </c>
      <c r="P203" s="100">
        <v>0.0</v>
      </c>
      <c r="R203" s="100">
        <v>50.0</v>
      </c>
      <c r="T203" s="100">
        <v>0.0</v>
      </c>
      <c r="V203" s="100">
        <v>0.0</v>
      </c>
      <c r="X203" s="50">
        <v>32.0</v>
      </c>
      <c r="Z203" s="52">
        <v>25.0</v>
      </c>
      <c r="AB203" s="52">
        <v>25.0</v>
      </c>
      <c r="AD203" s="52">
        <v>0.0</v>
      </c>
      <c r="AE203" s="28"/>
      <c r="AF203" s="96">
        <f t="shared" si="1"/>
        <v>3964.92</v>
      </c>
      <c r="AG203" s="64">
        <f t="shared" si="2"/>
        <v>270</v>
      </c>
      <c r="AH203" s="64">
        <f t="shared" si="3"/>
        <v>0</v>
      </c>
      <c r="AI203" s="64">
        <f t="shared" si="4"/>
        <v>270</v>
      </c>
      <c r="AJ203" s="97">
        <f t="shared" si="5"/>
        <v>14.68488889</v>
      </c>
    </row>
    <row r="204">
      <c r="A204" s="64" t="s">
        <v>30</v>
      </c>
      <c r="B204" s="65">
        <f t="shared" si="6"/>
        <v>45857</v>
      </c>
      <c r="C204" s="64">
        <v>8.0</v>
      </c>
      <c r="D204" s="66" t="s">
        <v>24</v>
      </c>
      <c r="E204" s="45" t="s">
        <v>39</v>
      </c>
      <c r="F204" s="47">
        <v>0.0</v>
      </c>
      <c r="H204" s="49">
        <v>0.0</v>
      </c>
      <c r="J204" s="49">
        <v>0.0</v>
      </c>
      <c r="L204" s="110">
        <v>99.0</v>
      </c>
      <c r="N204" s="100">
        <v>99.0</v>
      </c>
      <c r="P204" s="100">
        <v>0.0</v>
      </c>
      <c r="R204" s="100">
        <v>0.0</v>
      </c>
      <c r="T204" s="100">
        <v>0.0</v>
      </c>
      <c r="V204" s="100">
        <v>0.0</v>
      </c>
      <c r="X204" s="50">
        <v>0.0</v>
      </c>
      <c r="Z204" s="52">
        <v>25.0</v>
      </c>
      <c r="AB204" s="52">
        <v>25.0</v>
      </c>
      <c r="AD204" s="52">
        <v>0.0</v>
      </c>
      <c r="AE204" s="28"/>
      <c r="AF204" s="96">
        <f t="shared" si="1"/>
        <v>4397.04</v>
      </c>
      <c r="AG204" s="64">
        <f t="shared" si="2"/>
        <v>248</v>
      </c>
      <c r="AH204" s="64">
        <f t="shared" si="3"/>
        <v>0</v>
      </c>
      <c r="AI204" s="64">
        <f t="shared" si="4"/>
        <v>248</v>
      </c>
      <c r="AJ204" s="97">
        <f t="shared" si="5"/>
        <v>17.73</v>
      </c>
    </row>
    <row r="205">
      <c r="A205" s="83" t="s">
        <v>31</v>
      </c>
      <c r="B205" s="84">
        <f t="shared" si="6"/>
        <v>45858</v>
      </c>
      <c r="C205" s="83">
        <v>8.0</v>
      </c>
      <c r="D205" s="85" t="s">
        <v>24</v>
      </c>
      <c r="E205" s="106" t="s">
        <v>39</v>
      </c>
      <c r="F205" s="87">
        <v>0.0</v>
      </c>
      <c r="G205" s="75"/>
      <c r="H205" s="88">
        <v>0.0</v>
      </c>
      <c r="I205" s="75"/>
      <c r="J205" s="88">
        <v>0.0</v>
      </c>
      <c r="K205" s="75"/>
      <c r="L205" s="113">
        <v>30.0</v>
      </c>
      <c r="M205" s="75"/>
      <c r="N205" s="107">
        <v>30.0</v>
      </c>
      <c r="O205" s="75"/>
      <c r="P205" s="107">
        <v>0.0</v>
      </c>
      <c r="Q205" s="75"/>
      <c r="R205" s="107">
        <v>0.0</v>
      </c>
      <c r="S205" s="75"/>
      <c r="T205" s="107">
        <v>0.0</v>
      </c>
      <c r="U205" s="75"/>
      <c r="V205" s="107">
        <v>0.0</v>
      </c>
      <c r="W205" s="75"/>
      <c r="X205" s="89">
        <v>0.0</v>
      </c>
      <c r="Y205" s="75"/>
      <c r="Z205" s="90">
        <v>0.0</v>
      </c>
      <c r="AA205" s="75"/>
      <c r="AB205" s="90">
        <v>0.0</v>
      </c>
      <c r="AC205" s="75"/>
      <c r="AD205" s="90">
        <v>0.0</v>
      </c>
      <c r="AE205" s="77"/>
      <c r="AF205" s="98">
        <f t="shared" si="1"/>
        <v>1063.8</v>
      </c>
      <c r="AG205" s="83">
        <f t="shared" si="2"/>
        <v>60</v>
      </c>
      <c r="AH205" s="83">
        <f t="shared" si="3"/>
        <v>0</v>
      </c>
      <c r="AI205" s="83">
        <f t="shared" si="4"/>
        <v>60</v>
      </c>
      <c r="AJ205" s="92">
        <f t="shared" si="5"/>
        <v>17.73</v>
      </c>
    </row>
    <row r="206">
      <c r="A206" s="42" t="s">
        <v>23</v>
      </c>
      <c r="B206" s="43">
        <f t="shared" si="6"/>
        <v>45859</v>
      </c>
      <c r="C206" s="42">
        <v>8.0</v>
      </c>
      <c r="D206" s="44" t="s">
        <v>32</v>
      </c>
      <c r="E206" s="99" t="s">
        <v>39</v>
      </c>
      <c r="F206" s="47">
        <v>0.0</v>
      </c>
      <c r="H206" s="49">
        <v>0.0</v>
      </c>
      <c r="J206" s="49">
        <v>0.0</v>
      </c>
      <c r="L206" s="110">
        <v>30.0</v>
      </c>
      <c r="N206" s="100">
        <v>30.0</v>
      </c>
      <c r="P206" s="100">
        <v>0.0</v>
      </c>
      <c r="R206" s="100">
        <v>0.0</v>
      </c>
      <c r="T206" s="100">
        <v>1.0</v>
      </c>
      <c r="V206" s="100">
        <v>1.0</v>
      </c>
      <c r="X206" s="56">
        <v>32.0</v>
      </c>
      <c r="Y206" s="57"/>
      <c r="Z206" s="58">
        <v>0.0</v>
      </c>
      <c r="AA206" s="57"/>
      <c r="AB206" s="58">
        <v>0.0</v>
      </c>
      <c r="AC206" s="57"/>
      <c r="AD206" s="58">
        <v>0.0</v>
      </c>
      <c r="AE206" s="59"/>
      <c r="AF206" s="94">
        <f t="shared" si="1"/>
        <v>2108.61</v>
      </c>
      <c r="AG206" s="42">
        <f t="shared" si="2"/>
        <v>92</v>
      </c>
      <c r="AH206" s="42">
        <f t="shared" si="3"/>
        <v>2</v>
      </c>
      <c r="AI206" s="42">
        <f t="shared" si="4"/>
        <v>94</v>
      </c>
      <c r="AJ206" s="95">
        <f t="shared" si="5"/>
        <v>22.43202128</v>
      </c>
    </row>
    <row r="207">
      <c r="A207" s="64" t="s">
        <v>26</v>
      </c>
      <c r="B207" s="65">
        <f t="shared" si="6"/>
        <v>45860</v>
      </c>
      <c r="C207" s="64">
        <v>8.0</v>
      </c>
      <c r="D207" s="66" t="s">
        <v>32</v>
      </c>
      <c r="E207" s="45" t="s">
        <v>39</v>
      </c>
      <c r="F207" s="47">
        <v>0.0</v>
      </c>
      <c r="H207" s="49">
        <v>0.0</v>
      </c>
      <c r="J207" s="49">
        <v>0.0</v>
      </c>
      <c r="L207" s="110">
        <v>99.0</v>
      </c>
      <c r="N207" s="100">
        <v>99.0</v>
      </c>
      <c r="P207" s="100">
        <v>0.0</v>
      </c>
      <c r="R207" s="100">
        <v>50.0</v>
      </c>
      <c r="T207" s="100">
        <v>0.0</v>
      </c>
      <c r="V207" s="100">
        <v>0.0</v>
      </c>
      <c r="X207" s="50">
        <v>32.0</v>
      </c>
      <c r="Z207" s="52">
        <v>25.0</v>
      </c>
      <c r="AB207" s="52">
        <v>25.0</v>
      </c>
      <c r="AD207" s="52">
        <v>0.0</v>
      </c>
      <c r="AE207" s="28"/>
      <c r="AF207" s="96">
        <f t="shared" si="1"/>
        <v>5028.72</v>
      </c>
      <c r="AG207" s="64">
        <f t="shared" si="2"/>
        <v>330</v>
      </c>
      <c r="AH207" s="64">
        <f t="shared" si="3"/>
        <v>0</v>
      </c>
      <c r="AI207" s="64">
        <f t="shared" si="4"/>
        <v>330</v>
      </c>
      <c r="AJ207" s="97">
        <f t="shared" si="5"/>
        <v>15.23854545</v>
      </c>
    </row>
    <row r="208">
      <c r="A208" s="64" t="s">
        <v>27</v>
      </c>
      <c r="B208" s="65">
        <f t="shared" si="6"/>
        <v>45861</v>
      </c>
      <c r="C208" s="64">
        <v>8.0</v>
      </c>
      <c r="D208" s="66" t="s">
        <v>32</v>
      </c>
      <c r="E208" s="45" t="s">
        <v>39</v>
      </c>
      <c r="F208" s="47">
        <v>0.0</v>
      </c>
      <c r="H208" s="49">
        <v>0.0</v>
      </c>
      <c r="J208" s="49">
        <v>0.0</v>
      </c>
      <c r="L208" s="110">
        <v>99.0</v>
      </c>
      <c r="N208" s="100">
        <v>99.0</v>
      </c>
      <c r="P208" s="100">
        <v>0.0</v>
      </c>
      <c r="R208" s="100">
        <v>0.0</v>
      </c>
      <c r="T208" s="100">
        <v>0.0</v>
      </c>
      <c r="V208" s="100">
        <v>0.0</v>
      </c>
      <c r="X208" s="50">
        <v>32.0</v>
      </c>
      <c r="Z208" s="52">
        <v>25.0</v>
      </c>
      <c r="AB208" s="52">
        <v>25.0</v>
      </c>
      <c r="AD208" s="52">
        <v>0.0</v>
      </c>
      <c r="AE208" s="28"/>
      <c r="AF208" s="96">
        <f t="shared" si="1"/>
        <v>4676.72</v>
      </c>
      <c r="AG208" s="64">
        <f t="shared" si="2"/>
        <v>280</v>
      </c>
      <c r="AH208" s="64">
        <f t="shared" si="3"/>
        <v>0</v>
      </c>
      <c r="AI208" s="64">
        <f t="shared" si="4"/>
        <v>280</v>
      </c>
      <c r="AJ208" s="97">
        <f t="shared" si="5"/>
        <v>16.70257143</v>
      </c>
    </row>
    <row r="209">
      <c r="A209" s="64" t="s">
        <v>28</v>
      </c>
      <c r="B209" s="65">
        <f t="shared" si="6"/>
        <v>45862</v>
      </c>
      <c r="C209" s="64">
        <v>8.0</v>
      </c>
      <c r="D209" s="66" t="s">
        <v>32</v>
      </c>
      <c r="E209" s="45" t="s">
        <v>39</v>
      </c>
      <c r="F209" s="47">
        <v>0.0</v>
      </c>
      <c r="H209" s="49">
        <v>0.0</v>
      </c>
      <c r="J209" s="49">
        <v>0.0</v>
      </c>
      <c r="L209" s="110">
        <v>99.0</v>
      </c>
      <c r="N209" s="100">
        <v>99.0</v>
      </c>
      <c r="P209" s="100">
        <v>0.0</v>
      </c>
      <c r="R209" s="100">
        <v>50.0</v>
      </c>
      <c r="T209" s="100">
        <v>0.0</v>
      </c>
      <c r="V209" s="100">
        <v>0.0</v>
      </c>
      <c r="X209" s="50">
        <v>32.0</v>
      </c>
      <c r="Z209" s="52">
        <v>25.0</v>
      </c>
      <c r="AB209" s="52">
        <v>25.0</v>
      </c>
      <c r="AD209" s="52">
        <v>0.0</v>
      </c>
      <c r="AE209" s="28"/>
      <c r="AF209" s="96">
        <f t="shared" si="1"/>
        <v>5028.72</v>
      </c>
      <c r="AG209" s="64">
        <f t="shared" si="2"/>
        <v>330</v>
      </c>
      <c r="AH209" s="64">
        <f t="shared" si="3"/>
        <v>0</v>
      </c>
      <c r="AI209" s="64">
        <f t="shared" si="4"/>
        <v>330</v>
      </c>
      <c r="AJ209" s="97">
        <f t="shared" si="5"/>
        <v>15.23854545</v>
      </c>
    </row>
    <row r="210">
      <c r="A210" s="64" t="s">
        <v>29</v>
      </c>
      <c r="B210" s="65">
        <f t="shared" si="6"/>
        <v>45863</v>
      </c>
      <c r="C210" s="64">
        <v>8.0</v>
      </c>
      <c r="D210" s="66" t="s">
        <v>32</v>
      </c>
      <c r="E210" s="45" t="s">
        <v>39</v>
      </c>
      <c r="F210" s="47">
        <v>0.0</v>
      </c>
      <c r="H210" s="49">
        <v>0.0</v>
      </c>
      <c r="J210" s="49">
        <v>0.0</v>
      </c>
      <c r="L210" s="110">
        <v>79.0</v>
      </c>
      <c r="N210" s="100">
        <v>79.0</v>
      </c>
      <c r="P210" s="100">
        <v>0.0</v>
      </c>
      <c r="R210" s="100">
        <v>50.0</v>
      </c>
      <c r="T210" s="100">
        <v>0.0</v>
      </c>
      <c r="V210" s="100">
        <v>0.0</v>
      </c>
      <c r="X210" s="50">
        <v>32.0</v>
      </c>
      <c r="Z210" s="52">
        <v>25.0</v>
      </c>
      <c r="AB210" s="52">
        <v>25.0</v>
      </c>
      <c r="AD210" s="52">
        <v>0.0</v>
      </c>
      <c r="AE210" s="28"/>
      <c r="AF210" s="96">
        <f t="shared" si="1"/>
        <v>4319.52</v>
      </c>
      <c r="AG210" s="64">
        <f t="shared" si="2"/>
        <v>290</v>
      </c>
      <c r="AH210" s="64">
        <f t="shared" si="3"/>
        <v>0</v>
      </c>
      <c r="AI210" s="64">
        <f t="shared" si="4"/>
        <v>290</v>
      </c>
      <c r="AJ210" s="97">
        <f t="shared" si="5"/>
        <v>14.89489655</v>
      </c>
    </row>
    <row r="211">
      <c r="A211" s="64" t="s">
        <v>30</v>
      </c>
      <c r="B211" s="65">
        <f t="shared" si="6"/>
        <v>45864</v>
      </c>
      <c r="C211" s="64">
        <v>8.0</v>
      </c>
      <c r="D211" s="66" t="s">
        <v>32</v>
      </c>
      <c r="E211" s="45" t="s">
        <v>39</v>
      </c>
      <c r="F211" s="47">
        <v>0.0</v>
      </c>
      <c r="H211" s="49">
        <v>0.0</v>
      </c>
      <c r="J211" s="49">
        <v>0.0</v>
      </c>
      <c r="L211" s="110">
        <v>64.0</v>
      </c>
      <c r="N211" s="100">
        <v>64.0</v>
      </c>
      <c r="P211" s="100">
        <v>0.0</v>
      </c>
      <c r="R211" s="100">
        <v>0.0</v>
      </c>
      <c r="T211" s="100">
        <v>0.0</v>
      </c>
      <c r="V211" s="100">
        <v>0.0</v>
      </c>
      <c r="X211" s="50">
        <v>0.0</v>
      </c>
      <c r="Z211" s="52">
        <v>25.0</v>
      </c>
      <c r="AB211" s="52">
        <v>25.0</v>
      </c>
      <c r="AD211" s="52">
        <v>0.0</v>
      </c>
      <c r="AE211" s="28"/>
      <c r="AF211" s="96">
        <f t="shared" si="1"/>
        <v>3155.94</v>
      </c>
      <c r="AG211" s="64">
        <f t="shared" si="2"/>
        <v>178</v>
      </c>
      <c r="AH211" s="64">
        <f t="shared" si="3"/>
        <v>0</v>
      </c>
      <c r="AI211" s="64">
        <f t="shared" si="4"/>
        <v>178</v>
      </c>
      <c r="AJ211" s="97">
        <f t="shared" si="5"/>
        <v>17.73</v>
      </c>
    </row>
    <row r="212">
      <c r="A212" s="83" t="s">
        <v>31</v>
      </c>
      <c r="B212" s="84">
        <f t="shared" si="6"/>
        <v>45865</v>
      </c>
      <c r="C212" s="83">
        <v>8.0</v>
      </c>
      <c r="D212" s="85" t="s">
        <v>32</v>
      </c>
      <c r="E212" s="106" t="s">
        <v>39</v>
      </c>
      <c r="F212" s="87">
        <v>0.0</v>
      </c>
      <c r="G212" s="75"/>
      <c r="H212" s="88">
        <v>0.0</v>
      </c>
      <c r="I212" s="75"/>
      <c r="J212" s="88">
        <v>0.0</v>
      </c>
      <c r="K212" s="75"/>
      <c r="L212" s="113">
        <v>15.0</v>
      </c>
      <c r="M212" s="75"/>
      <c r="N212" s="107">
        <v>15.0</v>
      </c>
      <c r="O212" s="75"/>
      <c r="P212" s="107">
        <v>0.0</v>
      </c>
      <c r="Q212" s="75"/>
      <c r="R212" s="107">
        <v>0.0</v>
      </c>
      <c r="S212" s="75"/>
      <c r="T212" s="107">
        <v>0.0</v>
      </c>
      <c r="U212" s="75"/>
      <c r="V212" s="107">
        <v>0.0</v>
      </c>
      <c r="W212" s="75"/>
      <c r="X212" s="89">
        <v>0.0</v>
      </c>
      <c r="Y212" s="75"/>
      <c r="Z212" s="90">
        <v>0.0</v>
      </c>
      <c r="AA212" s="75"/>
      <c r="AB212" s="90">
        <v>0.0</v>
      </c>
      <c r="AC212" s="75"/>
      <c r="AD212" s="90">
        <v>0.0</v>
      </c>
      <c r="AE212" s="77"/>
      <c r="AF212" s="98">
        <f t="shared" si="1"/>
        <v>531.9</v>
      </c>
      <c r="AG212" s="83">
        <f t="shared" si="2"/>
        <v>30</v>
      </c>
      <c r="AH212" s="83">
        <f t="shared" si="3"/>
        <v>0</v>
      </c>
      <c r="AI212" s="83">
        <f t="shared" si="4"/>
        <v>30</v>
      </c>
      <c r="AJ212" s="92">
        <f t="shared" si="5"/>
        <v>17.73</v>
      </c>
    </row>
    <row r="213">
      <c r="A213" s="42" t="s">
        <v>23</v>
      </c>
      <c r="B213" s="43">
        <f t="shared" si="6"/>
        <v>45866</v>
      </c>
      <c r="C213" s="42">
        <v>8.0</v>
      </c>
      <c r="D213" s="44" t="s">
        <v>33</v>
      </c>
      <c r="E213" s="99" t="s">
        <v>39</v>
      </c>
      <c r="F213" s="47">
        <v>0.0</v>
      </c>
      <c r="H213" s="49">
        <v>0.0</v>
      </c>
      <c r="J213" s="49">
        <v>0.0</v>
      </c>
      <c r="L213" s="110">
        <v>64.0</v>
      </c>
      <c r="N213" s="100">
        <v>64.0</v>
      </c>
      <c r="P213" s="100">
        <v>0.0</v>
      </c>
      <c r="R213" s="100">
        <v>50.0</v>
      </c>
      <c r="T213" s="100">
        <v>1.0</v>
      </c>
      <c r="V213" s="100">
        <v>1.0</v>
      </c>
      <c r="X213" s="56">
        <v>28.0</v>
      </c>
      <c r="Y213" s="57"/>
      <c r="Z213" s="58">
        <v>25.0</v>
      </c>
      <c r="AA213" s="57"/>
      <c r="AB213" s="58">
        <v>25.0</v>
      </c>
      <c r="AC213" s="57"/>
      <c r="AD213" s="58">
        <v>0.0</v>
      </c>
      <c r="AE213" s="59"/>
      <c r="AF213" s="94">
        <f t="shared" si="1"/>
        <v>4517.79</v>
      </c>
      <c r="AG213" s="42">
        <f t="shared" si="2"/>
        <v>256</v>
      </c>
      <c r="AH213" s="42">
        <f t="shared" si="3"/>
        <v>2</v>
      </c>
      <c r="AI213" s="42">
        <f t="shared" si="4"/>
        <v>258</v>
      </c>
      <c r="AJ213" s="95">
        <f t="shared" si="5"/>
        <v>17.51081395</v>
      </c>
    </row>
    <row r="214">
      <c r="A214" s="64" t="s">
        <v>26</v>
      </c>
      <c r="B214" s="65">
        <f t="shared" si="6"/>
        <v>45867</v>
      </c>
      <c r="C214" s="64">
        <v>8.0</v>
      </c>
      <c r="D214" s="66" t="s">
        <v>33</v>
      </c>
      <c r="E214" s="45" t="s">
        <v>39</v>
      </c>
      <c r="F214" s="47">
        <v>0.0</v>
      </c>
      <c r="H214" s="49">
        <v>0.0</v>
      </c>
      <c r="J214" s="49">
        <v>0.0</v>
      </c>
      <c r="L214" s="110">
        <v>69.0</v>
      </c>
      <c r="N214" s="100">
        <v>69.0</v>
      </c>
      <c r="P214" s="100">
        <v>0.0</v>
      </c>
      <c r="R214" s="100">
        <v>50.0</v>
      </c>
      <c r="T214" s="100">
        <v>0.0</v>
      </c>
      <c r="V214" s="100">
        <v>0.0</v>
      </c>
      <c r="X214" s="50">
        <v>28.0</v>
      </c>
      <c r="Z214" s="52">
        <v>25.0</v>
      </c>
      <c r="AB214" s="52">
        <v>25.0</v>
      </c>
      <c r="AD214" s="52">
        <v>0.0</v>
      </c>
      <c r="AE214" s="28"/>
      <c r="AF214" s="96">
        <f t="shared" si="1"/>
        <v>3929.96</v>
      </c>
      <c r="AG214" s="64">
        <f t="shared" si="2"/>
        <v>266</v>
      </c>
      <c r="AH214" s="64">
        <f t="shared" si="3"/>
        <v>0</v>
      </c>
      <c r="AI214" s="64">
        <f t="shared" si="4"/>
        <v>266</v>
      </c>
      <c r="AJ214" s="97">
        <f t="shared" si="5"/>
        <v>14.77428571</v>
      </c>
    </row>
    <row r="215">
      <c r="A215" s="64" t="s">
        <v>27</v>
      </c>
      <c r="B215" s="65">
        <f t="shared" si="6"/>
        <v>45868</v>
      </c>
      <c r="C215" s="64">
        <v>8.0</v>
      </c>
      <c r="D215" s="66" t="s">
        <v>33</v>
      </c>
      <c r="E215" s="45" t="s">
        <v>39</v>
      </c>
      <c r="F215" s="47">
        <v>0.0</v>
      </c>
      <c r="H215" s="49">
        <v>0.0</v>
      </c>
      <c r="J215" s="49">
        <v>0.0</v>
      </c>
      <c r="L215" s="110">
        <v>69.0</v>
      </c>
      <c r="N215" s="100">
        <v>69.0</v>
      </c>
      <c r="P215" s="100">
        <v>0.0</v>
      </c>
      <c r="R215" s="100">
        <v>0.0</v>
      </c>
      <c r="T215" s="100">
        <v>0.0</v>
      </c>
      <c r="V215" s="100">
        <v>0.0</v>
      </c>
      <c r="X215" s="50">
        <v>28.0</v>
      </c>
      <c r="Z215" s="52">
        <v>25.0</v>
      </c>
      <c r="AB215" s="52">
        <v>25.0</v>
      </c>
      <c r="AD215" s="52">
        <v>0.0</v>
      </c>
      <c r="AE215" s="28"/>
      <c r="AF215" s="96">
        <f t="shared" si="1"/>
        <v>3577.96</v>
      </c>
      <c r="AG215" s="64">
        <f t="shared" si="2"/>
        <v>216</v>
      </c>
      <c r="AH215" s="64">
        <f t="shared" si="3"/>
        <v>0</v>
      </c>
      <c r="AI215" s="64">
        <f t="shared" si="4"/>
        <v>216</v>
      </c>
      <c r="AJ215" s="97">
        <f t="shared" si="5"/>
        <v>16.56462963</v>
      </c>
    </row>
    <row r="216">
      <c r="A216" s="64" t="s">
        <v>28</v>
      </c>
      <c r="B216" s="65">
        <f t="shared" si="6"/>
        <v>45869</v>
      </c>
      <c r="C216" s="64">
        <v>8.0</v>
      </c>
      <c r="D216" s="66" t="s">
        <v>33</v>
      </c>
      <c r="E216" s="45" t="s">
        <v>39</v>
      </c>
      <c r="F216" s="47">
        <v>0.0</v>
      </c>
      <c r="H216" s="49">
        <v>0.0</v>
      </c>
      <c r="J216" s="49">
        <v>0.0</v>
      </c>
      <c r="L216" s="110">
        <v>69.0</v>
      </c>
      <c r="N216" s="100">
        <v>69.0</v>
      </c>
      <c r="P216" s="100">
        <v>0.0</v>
      </c>
      <c r="R216" s="100">
        <v>50.0</v>
      </c>
      <c r="T216" s="100">
        <v>0.0</v>
      </c>
      <c r="V216" s="100">
        <v>0.0</v>
      </c>
      <c r="X216" s="50">
        <v>26.0</v>
      </c>
      <c r="Z216" s="52">
        <v>25.0</v>
      </c>
      <c r="AB216" s="52">
        <v>25.0</v>
      </c>
      <c r="AD216" s="52">
        <v>0.0</v>
      </c>
      <c r="AE216" s="28"/>
      <c r="AF216" s="96">
        <f t="shared" si="1"/>
        <v>3912.48</v>
      </c>
      <c r="AG216" s="64">
        <f t="shared" si="2"/>
        <v>264</v>
      </c>
      <c r="AH216" s="64">
        <f t="shared" si="3"/>
        <v>0</v>
      </c>
      <c r="AI216" s="64">
        <f t="shared" si="4"/>
        <v>264</v>
      </c>
      <c r="AJ216" s="97">
        <f t="shared" si="5"/>
        <v>14.82</v>
      </c>
    </row>
    <row r="217">
      <c r="A217" s="64" t="s">
        <v>29</v>
      </c>
      <c r="B217" s="65">
        <f t="shared" si="6"/>
        <v>45870</v>
      </c>
      <c r="C217" s="64">
        <v>8.0</v>
      </c>
      <c r="D217" s="66" t="s">
        <v>33</v>
      </c>
      <c r="E217" s="45" t="s">
        <v>39</v>
      </c>
      <c r="F217" s="47">
        <v>0.0</v>
      </c>
      <c r="H217" s="49">
        <v>0.0</v>
      </c>
      <c r="J217" s="49">
        <v>0.0</v>
      </c>
      <c r="L217" s="110">
        <v>69.0</v>
      </c>
      <c r="N217" s="100">
        <v>69.0</v>
      </c>
      <c r="P217" s="100">
        <v>0.0</v>
      </c>
      <c r="R217" s="100">
        <v>50.0</v>
      </c>
      <c r="T217" s="100">
        <v>0.0</v>
      </c>
      <c r="V217" s="100">
        <v>0.0</v>
      </c>
      <c r="X217" s="50">
        <v>26.0</v>
      </c>
      <c r="Z217" s="52">
        <v>25.0</v>
      </c>
      <c r="AB217" s="52">
        <v>25.0</v>
      </c>
      <c r="AD217" s="52">
        <v>0.0</v>
      </c>
      <c r="AE217" s="28"/>
      <c r="AF217" s="96">
        <f t="shared" si="1"/>
        <v>3912.48</v>
      </c>
      <c r="AG217" s="64">
        <f t="shared" si="2"/>
        <v>264</v>
      </c>
      <c r="AH217" s="64">
        <f t="shared" si="3"/>
        <v>0</v>
      </c>
      <c r="AI217" s="64">
        <f t="shared" si="4"/>
        <v>264</v>
      </c>
      <c r="AJ217" s="97">
        <f t="shared" si="5"/>
        <v>14.82</v>
      </c>
    </row>
    <row r="218">
      <c r="A218" s="64" t="s">
        <v>30</v>
      </c>
      <c r="B218" s="65">
        <f t="shared" si="6"/>
        <v>45871</v>
      </c>
      <c r="C218" s="64">
        <v>8.0</v>
      </c>
      <c r="D218" s="66" t="s">
        <v>33</v>
      </c>
      <c r="E218" s="45" t="s">
        <v>39</v>
      </c>
      <c r="F218" s="47">
        <v>0.0</v>
      </c>
      <c r="H218" s="49">
        <v>0.0</v>
      </c>
      <c r="J218" s="49">
        <v>0.0</v>
      </c>
      <c r="L218" s="110">
        <v>69.0</v>
      </c>
      <c r="N218" s="100">
        <v>69.0</v>
      </c>
      <c r="P218" s="100">
        <v>0.0</v>
      </c>
      <c r="R218" s="100">
        <v>0.0</v>
      </c>
      <c r="T218" s="100">
        <v>0.0</v>
      </c>
      <c r="V218" s="100">
        <v>0.0</v>
      </c>
      <c r="X218" s="50">
        <v>0.0</v>
      </c>
      <c r="Z218" s="52">
        <v>25.0</v>
      </c>
      <c r="AB218" s="52">
        <v>25.0</v>
      </c>
      <c r="AD218" s="52">
        <v>0.0</v>
      </c>
      <c r="AE218" s="28"/>
      <c r="AF218" s="96">
        <f t="shared" si="1"/>
        <v>3333.24</v>
      </c>
      <c r="AG218" s="64">
        <f t="shared" si="2"/>
        <v>188</v>
      </c>
      <c r="AH218" s="64">
        <f t="shared" si="3"/>
        <v>0</v>
      </c>
      <c r="AI218" s="64">
        <f t="shared" si="4"/>
        <v>188</v>
      </c>
      <c r="AJ218" s="97">
        <f t="shared" si="5"/>
        <v>17.73</v>
      </c>
    </row>
    <row r="219">
      <c r="A219" s="83" t="s">
        <v>31</v>
      </c>
      <c r="B219" s="84">
        <f t="shared" si="6"/>
        <v>45872</v>
      </c>
      <c r="C219" s="83">
        <v>8.0</v>
      </c>
      <c r="D219" s="85" t="s">
        <v>33</v>
      </c>
      <c r="E219" s="106" t="s">
        <v>39</v>
      </c>
      <c r="F219" s="87">
        <v>0.0</v>
      </c>
      <c r="G219" s="75"/>
      <c r="H219" s="88">
        <v>0.0</v>
      </c>
      <c r="I219" s="75"/>
      <c r="J219" s="88">
        <v>0.0</v>
      </c>
      <c r="K219" s="75"/>
      <c r="L219" s="113">
        <v>0.0</v>
      </c>
      <c r="M219" s="75"/>
      <c r="N219" s="107">
        <v>0.0</v>
      </c>
      <c r="O219" s="75"/>
      <c r="P219" s="107">
        <v>0.0</v>
      </c>
      <c r="Q219" s="75"/>
      <c r="R219" s="107">
        <v>0.0</v>
      </c>
      <c r="S219" s="75"/>
      <c r="T219" s="107">
        <v>0.0</v>
      </c>
      <c r="U219" s="75"/>
      <c r="V219" s="107">
        <v>0.0</v>
      </c>
      <c r="W219" s="75"/>
      <c r="X219" s="89">
        <v>0.0</v>
      </c>
      <c r="Y219" s="75"/>
      <c r="Z219" s="90">
        <v>0.0</v>
      </c>
      <c r="AA219" s="75"/>
      <c r="AB219" s="90">
        <v>0.0</v>
      </c>
      <c r="AC219" s="75"/>
      <c r="AD219" s="90">
        <v>0.0</v>
      </c>
      <c r="AE219" s="77"/>
      <c r="AF219" s="98">
        <f t="shared" si="1"/>
        <v>0</v>
      </c>
      <c r="AG219" s="83">
        <f t="shared" si="2"/>
        <v>0</v>
      </c>
      <c r="AH219" s="83">
        <f t="shared" si="3"/>
        <v>0</v>
      </c>
      <c r="AI219" s="83">
        <f t="shared" si="4"/>
        <v>0</v>
      </c>
      <c r="AJ219" s="152" t="str">
        <f t="shared" si="5"/>
        <v/>
      </c>
    </row>
    <row r="220">
      <c r="A220" s="42" t="s">
        <v>23</v>
      </c>
      <c r="B220" s="43">
        <f t="shared" si="6"/>
        <v>45873</v>
      </c>
      <c r="C220" s="42">
        <v>8.0</v>
      </c>
      <c r="D220" s="44" t="s">
        <v>36</v>
      </c>
      <c r="E220" s="99" t="s">
        <v>39</v>
      </c>
      <c r="F220" s="47">
        <v>0.0</v>
      </c>
      <c r="H220" s="49">
        <v>0.0</v>
      </c>
      <c r="J220" s="49">
        <v>0.0</v>
      </c>
      <c r="L220" s="110">
        <v>73.0</v>
      </c>
      <c r="N220" s="100">
        <v>73.0</v>
      </c>
      <c r="P220" s="100">
        <v>0.0</v>
      </c>
      <c r="R220" s="100">
        <v>50.0</v>
      </c>
      <c r="T220" s="100">
        <v>1.0</v>
      </c>
      <c r="V220" s="100">
        <v>1.0</v>
      </c>
      <c r="X220" s="56">
        <v>27.0</v>
      </c>
      <c r="Y220" s="57"/>
      <c r="Z220" s="58">
        <v>25.0</v>
      </c>
      <c r="AA220" s="57"/>
      <c r="AB220" s="58">
        <v>25.0</v>
      </c>
      <c r="AC220" s="57"/>
      <c r="AD220" s="58">
        <v>0.0</v>
      </c>
      <c r="AE220" s="59"/>
      <c r="AF220" s="94">
        <f t="shared" si="1"/>
        <v>4828.19</v>
      </c>
      <c r="AG220" s="42">
        <f t="shared" si="2"/>
        <v>273</v>
      </c>
      <c r="AH220" s="42">
        <f t="shared" si="3"/>
        <v>2</v>
      </c>
      <c r="AI220" s="42">
        <f t="shared" si="4"/>
        <v>275</v>
      </c>
      <c r="AJ220" s="95">
        <f t="shared" si="5"/>
        <v>17.55705455</v>
      </c>
    </row>
    <row r="221">
      <c r="A221" s="64" t="s">
        <v>26</v>
      </c>
      <c r="B221" s="65">
        <f t="shared" si="6"/>
        <v>45874</v>
      </c>
      <c r="C221" s="64">
        <v>8.0</v>
      </c>
      <c r="D221" s="66" t="s">
        <v>36</v>
      </c>
      <c r="E221" s="45" t="s">
        <v>39</v>
      </c>
      <c r="F221" s="47">
        <v>0.0</v>
      </c>
      <c r="H221" s="49">
        <v>0.0</v>
      </c>
      <c r="J221" s="49">
        <v>0.0</v>
      </c>
      <c r="L221" s="110">
        <v>73.0</v>
      </c>
      <c r="N221" s="100">
        <v>73.0</v>
      </c>
      <c r="P221" s="100">
        <v>0.0</v>
      </c>
      <c r="R221" s="100">
        <v>0.0</v>
      </c>
      <c r="T221" s="100">
        <v>0.0</v>
      </c>
      <c r="V221" s="100">
        <v>0.0</v>
      </c>
      <c r="X221" s="50">
        <v>27.0</v>
      </c>
      <c r="Z221" s="52">
        <v>25.0</v>
      </c>
      <c r="AB221" s="52">
        <v>25.0</v>
      </c>
      <c r="AD221" s="52">
        <v>0.0</v>
      </c>
      <c r="AE221" s="28"/>
      <c r="AF221" s="96">
        <f t="shared" si="1"/>
        <v>3711.06</v>
      </c>
      <c r="AG221" s="64">
        <f t="shared" si="2"/>
        <v>223</v>
      </c>
      <c r="AH221" s="64">
        <f t="shared" si="3"/>
        <v>0</v>
      </c>
      <c r="AI221" s="64">
        <f t="shared" si="4"/>
        <v>223</v>
      </c>
      <c r="AJ221" s="97">
        <f t="shared" si="5"/>
        <v>16.64152466</v>
      </c>
    </row>
    <row r="222">
      <c r="A222" s="64" t="s">
        <v>27</v>
      </c>
      <c r="B222" s="65">
        <f t="shared" si="6"/>
        <v>45875</v>
      </c>
      <c r="C222" s="64">
        <v>8.0</v>
      </c>
      <c r="D222" s="66" t="s">
        <v>36</v>
      </c>
      <c r="E222" s="45" t="s">
        <v>39</v>
      </c>
      <c r="F222" s="47">
        <v>0.0</v>
      </c>
      <c r="H222" s="49">
        <v>0.0</v>
      </c>
      <c r="J222" s="49">
        <v>0.0</v>
      </c>
      <c r="L222" s="110">
        <v>73.0</v>
      </c>
      <c r="N222" s="100">
        <v>73.0</v>
      </c>
      <c r="P222" s="100">
        <v>0.0</v>
      </c>
      <c r="R222" s="100">
        <v>50.0</v>
      </c>
      <c r="T222" s="100">
        <v>0.0</v>
      </c>
      <c r="V222" s="100">
        <v>0.0</v>
      </c>
      <c r="X222" s="50">
        <v>27.0</v>
      </c>
      <c r="Z222" s="52">
        <v>25.0</v>
      </c>
      <c r="AB222" s="52">
        <v>25.0</v>
      </c>
      <c r="AD222" s="52">
        <v>0.0</v>
      </c>
      <c r="AE222" s="28"/>
      <c r="AF222" s="96">
        <f t="shared" si="1"/>
        <v>4063.06</v>
      </c>
      <c r="AG222" s="64">
        <f t="shared" si="2"/>
        <v>273</v>
      </c>
      <c r="AH222" s="64">
        <f t="shared" si="3"/>
        <v>0</v>
      </c>
      <c r="AI222" s="64">
        <f t="shared" si="4"/>
        <v>273</v>
      </c>
      <c r="AJ222" s="97">
        <f t="shared" si="5"/>
        <v>14.88300366</v>
      </c>
    </row>
    <row r="223">
      <c r="A223" s="64" t="s">
        <v>28</v>
      </c>
      <c r="B223" s="65">
        <f t="shared" si="6"/>
        <v>45876</v>
      </c>
      <c r="C223" s="64">
        <v>8.0</v>
      </c>
      <c r="D223" s="66" t="s">
        <v>36</v>
      </c>
      <c r="E223" s="45" t="s">
        <v>39</v>
      </c>
      <c r="F223" s="47">
        <v>0.0</v>
      </c>
      <c r="H223" s="49">
        <v>0.0</v>
      </c>
      <c r="J223" s="49">
        <v>0.0</v>
      </c>
      <c r="L223" s="110">
        <v>73.0</v>
      </c>
      <c r="N223" s="100">
        <v>73.0</v>
      </c>
      <c r="P223" s="100">
        <v>0.0</v>
      </c>
      <c r="R223" s="100">
        <v>50.0</v>
      </c>
      <c r="T223" s="100">
        <v>0.0</v>
      </c>
      <c r="V223" s="100">
        <v>0.0</v>
      </c>
      <c r="X223" s="50">
        <v>27.0</v>
      </c>
      <c r="Z223" s="52">
        <v>25.0</v>
      </c>
      <c r="AB223" s="52">
        <v>25.0</v>
      </c>
      <c r="AD223" s="52">
        <v>0.0</v>
      </c>
      <c r="AE223" s="28"/>
      <c r="AF223" s="96">
        <f t="shared" si="1"/>
        <v>4063.06</v>
      </c>
      <c r="AG223" s="64">
        <f t="shared" si="2"/>
        <v>273</v>
      </c>
      <c r="AH223" s="64">
        <f t="shared" si="3"/>
        <v>0</v>
      </c>
      <c r="AI223" s="64">
        <f t="shared" si="4"/>
        <v>273</v>
      </c>
      <c r="AJ223" s="97">
        <f t="shared" si="5"/>
        <v>14.88300366</v>
      </c>
    </row>
    <row r="224">
      <c r="A224" s="64" t="s">
        <v>29</v>
      </c>
      <c r="B224" s="65">
        <f t="shared" si="6"/>
        <v>45877</v>
      </c>
      <c r="C224" s="64">
        <v>8.0</v>
      </c>
      <c r="D224" s="66" t="s">
        <v>36</v>
      </c>
      <c r="E224" s="45" t="s">
        <v>39</v>
      </c>
      <c r="F224" s="47">
        <v>0.0</v>
      </c>
      <c r="H224" s="49">
        <v>0.0</v>
      </c>
      <c r="J224" s="49">
        <v>0.0</v>
      </c>
      <c r="L224" s="110">
        <v>73.0</v>
      </c>
      <c r="N224" s="100">
        <v>73.0</v>
      </c>
      <c r="P224" s="100">
        <v>0.0</v>
      </c>
      <c r="R224" s="100">
        <v>50.0</v>
      </c>
      <c r="T224" s="100">
        <v>0.0</v>
      </c>
      <c r="V224" s="100">
        <v>0.0</v>
      </c>
      <c r="X224" s="50">
        <v>27.0</v>
      </c>
      <c r="Z224" s="52">
        <v>25.0</v>
      </c>
      <c r="AB224" s="52">
        <v>25.0</v>
      </c>
      <c r="AD224" s="52">
        <v>0.0</v>
      </c>
      <c r="AE224" s="28"/>
      <c r="AF224" s="96">
        <f t="shared" si="1"/>
        <v>4063.06</v>
      </c>
      <c r="AG224" s="64">
        <f t="shared" si="2"/>
        <v>273</v>
      </c>
      <c r="AH224" s="64">
        <f t="shared" si="3"/>
        <v>0</v>
      </c>
      <c r="AI224" s="64">
        <f t="shared" si="4"/>
        <v>273</v>
      </c>
      <c r="AJ224" s="97">
        <f t="shared" si="5"/>
        <v>14.88300366</v>
      </c>
    </row>
    <row r="225">
      <c r="A225" s="64" t="s">
        <v>30</v>
      </c>
      <c r="B225" s="65">
        <f t="shared" si="6"/>
        <v>45878</v>
      </c>
      <c r="C225" s="64">
        <v>8.0</v>
      </c>
      <c r="D225" s="66" t="s">
        <v>36</v>
      </c>
      <c r="E225" s="45" t="s">
        <v>39</v>
      </c>
      <c r="F225" s="47">
        <v>0.0</v>
      </c>
      <c r="H225" s="49">
        <v>0.0</v>
      </c>
      <c r="J225" s="49">
        <v>0.0</v>
      </c>
      <c r="L225" s="110">
        <v>73.0</v>
      </c>
      <c r="N225" s="100">
        <v>73.0</v>
      </c>
      <c r="P225" s="100">
        <v>0.0</v>
      </c>
      <c r="R225" s="100">
        <v>0.0</v>
      </c>
      <c r="T225" s="100">
        <v>0.0</v>
      </c>
      <c r="V225" s="100">
        <v>0.0</v>
      </c>
      <c r="X225" s="50">
        <v>0.0</v>
      </c>
      <c r="Z225" s="52">
        <v>25.0</v>
      </c>
      <c r="AB225" s="52">
        <v>25.0</v>
      </c>
      <c r="AD225" s="52">
        <v>0.0</v>
      </c>
      <c r="AE225" s="28"/>
      <c r="AF225" s="96">
        <f t="shared" si="1"/>
        <v>3475.08</v>
      </c>
      <c r="AG225" s="64">
        <f t="shared" si="2"/>
        <v>196</v>
      </c>
      <c r="AH225" s="64">
        <f t="shared" si="3"/>
        <v>0</v>
      </c>
      <c r="AI225" s="64">
        <f t="shared" si="4"/>
        <v>196</v>
      </c>
      <c r="AJ225" s="97">
        <f t="shared" si="5"/>
        <v>17.73</v>
      </c>
    </row>
    <row r="226">
      <c r="A226" s="83" t="s">
        <v>31</v>
      </c>
      <c r="B226" s="84">
        <f t="shared" si="6"/>
        <v>45879</v>
      </c>
      <c r="C226" s="83">
        <v>8.0</v>
      </c>
      <c r="D226" s="85" t="s">
        <v>36</v>
      </c>
      <c r="E226" s="106" t="s">
        <v>39</v>
      </c>
      <c r="F226" s="87">
        <v>0.0</v>
      </c>
      <c r="G226" s="75"/>
      <c r="H226" s="88">
        <v>0.0</v>
      </c>
      <c r="I226" s="75"/>
      <c r="J226" s="88">
        <v>0.0</v>
      </c>
      <c r="K226" s="75"/>
      <c r="L226" s="113">
        <v>0.0</v>
      </c>
      <c r="M226" s="75"/>
      <c r="N226" s="107">
        <v>0.0</v>
      </c>
      <c r="O226" s="75"/>
      <c r="P226" s="107">
        <v>0.0</v>
      </c>
      <c r="Q226" s="75"/>
      <c r="R226" s="107">
        <v>0.0</v>
      </c>
      <c r="S226" s="75"/>
      <c r="T226" s="107">
        <v>0.0</v>
      </c>
      <c r="U226" s="75"/>
      <c r="V226" s="107">
        <v>0.0</v>
      </c>
      <c r="W226" s="75"/>
      <c r="X226" s="89">
        <v>0.0</v>
      </c>
      <c r="Y226" s="75"/>
      <c r="Z226" s="90">
        <v>0.0</v>
      </c>
      <c r="AA226" s="75"/>
      <c r="AB226" s="90">
        <v>0.0</v>
      </c>
      <c r="AC226" s="75"/>
      <c r="AD226" s="90">
        <v>0.0</v>
      </c>
      <c r="AE226" s="77"/>
      <c r="AF226" s="98">
        <f t="shared" si="1"/>
        <v>0</v>
      </c>
      <c r="AG226" s="83">
        <f t="shared" si="2"/>
        <v>0</v>
      </c>
      <c r="AH226" s="83">
        <f t="shared" si="3"/>
        <v>0</v>
      </c>
      <c r="AI226" s="83">
        <f t="shared" si="4"/>
        <v>0</v>
      </c>
      <c r="AJ226" s="152" t="str">
        <f t="shared" si="5"/>
        <v/>
      </c>
    </row>
    <row r="227">
      <c r="A227" s="42" t="s">
        <v>23</v>
      </c>
      <c r="B227" s="43">
        <f t="shared" si="6"/>
        <v>45880</v>
      </c>
      <c r="C227" s="42">
        <v>9.0</v>
      </c>
      <c r="D227" s="44" t="s">
        <v>24</v>
      </c>
      <c r="E227" s="99" t="s">
        <v>39</v>
      </c>
      <c r="F227" s="47">
        <v>0.0</v>
      </c>
      <c r="H227" s="49">
        <v>0.0</v>
      </c>
      <c r="J227" s="49">
        <v>0.0</v>
      </c>
      <c r="L227" s="110">
        <v>73.0</v>
      </c>
      <c r="N227" s="100">
        <v>73.0</v>
      </c>
      <c r="P227" s="100">
        <v>0.0</v>
      </c>
      <c r="R227" s="100">
        <v>50.0</v>
      </c>
      <c r="T227" s="100">
        <v>1.0</v>
      </c>
      <c r="V227" s="100">
        <v>1.0</v>
      </c>
      <c r="X227" s="56">
        <v>0.0</v>
      </c>
      <c r="Y227" s="57"/>
      <c r="Z227" s="58">
        <v>25.0</v>
      </c>
      <c r="AA227" s="57"/>
      <c r="AB227" s="58">
        <v>25.0</v>
      </c>
      <c r="AC227" s="57"/>
      <c r="AD227" s="58">
        <v>0.0</v>
      </c>
      <c r="AE227" s="59"/>
      <c r="AF227" s="94">
        <f t="shared" si="1"/>
        <v>4592.21</v>
      </c>
      <c r="AG227" s="42">
        <f t="shared" si="2"/>
        <v>246</v>
      </c>
      <c r="AH227" s="42">
        <f t="shared" si="3"/>
        <v>2</v>
      </c>
      <c r="AI227" s="42">
        <f t="shared" si="4"/>
        <v>248</v>
      </c>
      <c r="AJ227" s="95">
        <f t="shared" si="5"/>
        <v>18.51697581</v>
      </c>
    </row>
    <row r="228">
      <c r="A228" s="64" t="s">
        <v>26</v>
      </c>
      <c r="B228" s="65">
        <f t="shared" si="6"/>
        <v>45881</v>
      </c>
      <c r="C228" s="64">
        <v>9.0</v>
      </c>
      <c r="D228" s="66" t="s">
        <v>24</v>
      </c>
      <c r="E228" s="45" t="s">
        <v>39</v>
      </c>
      <c r="F228" s="47">
        <v>0.0</v>
      </c>
      <c r="H228" s="49">
        <v>0.0</v>
      </c>
      <c r="J228" s="49">
        <v>0.0</v>
      </c>
      <c r="L228" s="110">
        <v>73.0</v>
      </c>
      <c r="N228" s="100">
        <v>73.0</v>
      </c>
      <c r="P228" s="100">
        <v>0.0</v>
      </c>
      <c r="R228" s="100">
        <v>50.0</v>
      </c>
      <c r="T228" s="100">
        <v>0.0</v>
      </c>
      <c r="V228" s="100">
        <v>0.0</v>
      </c>
      <c r="X228" s="50">
        <v>0.0</v>
      </c>
      <c r="Z228" s="52">
        <v>25.0</v>
      </c>
      <c r="AB228" s="52">
        <v>25.0</v>
      </c>
      <c r="AD228" s="52">
        <v>0.0</v>
      </c>
      <c r="AE228" s="28"/>
      <c r="AF228" s="96">
        <f t="shared" si="1"/>
        <v>3827.08</v>
      </c>
      <c r="AG228" s="64">
        <f t="shared" si="2"/>
        <v>246</v>
      </c>
      <c r="AH228" s="64">
        <f t="shared" si="3"/>
        <v>0</v>
      </c>
      <c r="AI228" s="64">
        <f t="shared" si="4"/>
        <v>246</v>
      </c>
      <c r="AJ228" s="97">
        <f t="shared" si="5"/>
        <v>15.55723577</v>
      </c>
    </row>
    <row r="229">
      <c r="A229" s="64" t="s">
        <v>27</v>
      </c>
      <c r="B229" s="65">
        <f t="shared" si="6"/>
        <v>45882</v>
      </c>
      <c r="C229" s="64">
        <v>9.0</v>
      </c>
      <c r="D229" s="66" t="s">
        <v>24</v>
      </c>
      <c r="E229" s="45" t="s">
        <v>39</v>
      </c>
      <c r="F229" s="47">
        <v>0.0</v>
      </c>
      <c r="H229" s="49">
        <v>0.0</v>
      </c>
      <c r="J229" s="49">
        <v>0.0</v>
      </c>
      <c r="L229" s="110">
        <v>73.0</v>
      </c>
      <c r="N229" s="100">
        <v>73.0</v>
      </c>
      <c r="P229" s="100">
        <v>0.0</v>
      </c>
      <c r="R229" s="100">
        <v>50.0</v>
      </c>
      <c r="T229" s="100">
        <v>0.0</v>
      </c>
      <c r="V229" s="100">
        <v>0.0</v>
      </c>
      <c r="X229" s="50">
        <v>0.0</v>
      </c>
      <c r="Z229" s="52">
        <v>25.0</v>
      </c>
      <c r="AB229" s="52">
        <v>25.0</v>
      </c>
      <c r="AD229" s="52">
        <v>0.0</v>
      </c>
      <c r="AE229" s="28"/>
      <c r="AF229" s="96">
        <f t="shared" si="1"/>
        <v>3827.08</v>
      </c>
      <c r="AG229" s="64">
        <f t="shared" si="2"/>
        <v>246</v>
      </c>
      <c r="AH229" s="64">
        <f t="shared" si="3"/>
        <v>0</v>
      </c>
      <c r="AI229" s="64">
        <f t="shared" si="4"/>
        <v>246</v>
      </c>
      <c r="AJ229" s="97">
        <f t="shared" si="5"/>
        <v>15.55723577</v>
      </c>
    </row>
    <row r="230">
      <c r="A230" s="64" t="s">
        <v>28</v>
      </c>
      <c r="B230" s="65">
        <f t="shared" si="6"/>
        <v>45883</v>
      </c>
      <c r="C230" s="64">
        <v>9.0</v>
      </c>
      <c r="D230" s="66" t="s">
        <v>24</v>
      </c>
      <c r="E230" s="45" t="s">
        <v>39</v>
      </c>
      <c r="F230" s="47">
        <v>0.0</v>
      </c>
      <c r="H230" s="49">
        <v>0.0</v>
      </c>
      <c r="J230" s="49">
        <v>0.0</v>
      </c>
      <c r="L230" s="110">
        <v>73.0</v>
      </c>
      <c r="N230" s="100">
        <v>73.0</v>
      </c>
      <c r="P230" s="100">
        <v>0.0</v>
      </c>
      <c r="R230" s="100">
        <v>50.0</v>
      </c>
      <c r="T230" s="100">
        <v>0.0</v>
      </c>
      <c r="V230" s="100">
        <v>0.0</v>
      </c>
      <c r="X230" s="50">
        <v>0.0</v>
      </c>
      <c r="Z230" s="52">
        <v>25.0</v>
      </c>
      <c r="AB230" s="52">
        <v>25.0</v>
      </c>
      <c r="AD230" s="52">
        <v>0.0</v>
      </c>
      <c r="AE230" s="28"/>
      <c r="AF230" s="96">
        <f t="shared" si="1"/>
        <v>3827.08</v>
      </c>
      <c r="AG230" s="64">
        <f t="shared" si="2"/>
        <v>246</v>
      </c>
      <c r="AH230" s="64">
        <f t="shared" si="3"/>
        <v>0</v>
      </c>
      <c r="AI230" s="64">
        <f t="shared" si="4"/>
        <v>246</v>
      </c>
      <c r="AJ230" s="97">
        <f t="shared" si="5"/>
        <v>15.55723577</v>
      </c>
    </row>
    <row r="231">
      <c r="A231" s="64" t="s">
        <v>29</v>
      </c>
      <c r="B231" s="65">
        <f t="shared" si="6"/>
        <v>45884</v>
      </c>
      <c r="C231" s="64">
        <v>9.0</v>
      </c>
      <c r="D231" s="66" t="s">
        <v>24</v>
      </c>
      <c r="E231" s="45" t="s">
        <v>39</v>
      </c>
      <c r="F231" s="47">
        <v>0.0</v>
      </c>
      <c r="H231" s="49">
        <v>0.0</v>
      </c>
      <c r="J231" s="49">
        <v>0.0</v>
      </c>
      <c r="L231" s="110">
        <v>73.0</v>
      </c>
      <c r="N231" s="100">
        <v>73.0</v>
      </c>
      <c r="P231" s="100">
        <v>0.0</v>
      </c>
      <c r="R231" s="100">
        <v>50.0</v>
      </c>
      <c r="T231" s="100">
        <v>0.0</v>
      </c>
      <c r="V231" s="100">
        <v>0.0</v>
      </c>
      <c r="X231" s="50">
        <v>0.0</v>
      </c>
      <c r="Z231" s="52">
        <v>25.0</v>
      </c>
      <c r="AB231" s="52">
        <v>25.0</v>
      </c>
      <c r="AD231" s="52">
        <v>0.0</v>
      </c>
      <c r="AE231" s="28"/>
      <c r="AF231" s="96">
        <f t="shared" si="1"/>
        <v>3827.08</v>
      </c>
      <c r="AG231" s="64">
        <f t="shared" si="2"/>
        <v>246</v>
      </c>
      <c r="AH231" s="64">
        <f t="shared" si="3"/>
        <v>0</v>
      </c>
      <c r="AI231" s="64">
        <f t="shared" si="4"/>
        <v>246</v>
      </c>
      <c r="AJ231" s="97">
        <f t="shared" si="5"/>
        <v>15.55723577</v>
      </c>
    </row>
    <row r="232">
      <c r="A232" s="64" t="s">
        <v>30</v>
      </c>
      <c r="B232" s="65">
        <f t="shared" si="6"/>
        <v>45885</v>
      </c>
      <c r="C232" s="64">
        <v>9.0</v>
      </c>
      <c r="D232" s="66" t="s">
        <v>24</v>
      </c>
      <c r="E232" s="45" t="s">
        <v>39</v>
      </c>
      <c r="F232" s="47">
        <v>0.0</v>
      </c>
      <c r="H232" s="49">
        <v>0.0</v>
      </c>
      <c r="J232" s="49">
        <v>0.0</v>
      </c>
      <c r="L232" s="110">
        <v>73.0</v>
      </c>
      <c r="N232" s="100">
        <v>73.0</v>
      </c>
      <c r="P232" s="100">
        <v>0.0</v>
      </c>
      <c r="R232" s="100">
        <v>0.0</v>
      </c>
      <c r="T232" s="100">
        <v>0.0</v>
      </c>
      <c r="V232" s="100">
        <v>0.0</v>
      </c>
      <c r="X232" s="50">
        <v>0.0</v>
      </c>
      <c r="Z232" s="52">
        <v>25.0</v>
      </c>
      <c r="AB232" s="52">
        <v>25.0</v>
      </c>
      <c r="AD232" s="52">
        <v>0.0</v>
      </c>
      <c r="AE232" s="28"/>
      <c r="AF232" s="96">
        <f t="shared" si="1"/>
        <v>3475.08</v>
      </c>
      <c r="AG232" s="64">
        <f t="shared" si="2"/>
        <v>196</v>
      </c>
      <c r="AH232" s="64">
        <f t="shared" si="3"/>
        <v>0</v>
      </c>
      <c r="AI232" s="64">
        <f t="shared" si="4"/>
        <v>196</v>
      </c>
      <c r="AJ232" s="97">
        <f t="shared" si="5"/>
        <v>17.73</v>
      </c>
    </row>
    <row r="233">
      <c r="A233" s="83" t="s">
        <v>31</v>
      </c>
      <c r="B233" s="84">
        <f t="shared" si="6"/>
        <v>45886</v>
      </c>
      <c r="C233" s="83">
        <v>9.0</v>
      </c>
      <c r="D233" s="85" t="s">
        <v>24</v>
      </c>
      <c r="E233" s="106" t="s">
        <v>39</v>
      </c>
      <c r="F233" s="87">
        <v>0.0</v>
      </c>
      <c r="G233" s="75"/>
      <c r="H233" s="88">
        <v>0.0</v>
      </c>
      <c r="I233" s="75"/>
      <c r="J233" s="88">
        <v>0.0</v>
      </c>
      <c r="K233" s="75"/>
      <c r="L233" s="113">
        <v>0.0</v>
      </c>
      <c r="M233" s="75"/>
      <c r="N233" s="107">
        <v>0.0</v>
      </c>
      <c r="O233" s="75"/>
      <c r="P233" s="107">
        <v>0.0</v>
      </c>
      <c r="Q233" s="75"/>
      <c r="R233" s="107">
        <v>0.0</v>
      </c>
      <c r="S233" s="75"/>
      <c r="T233" s="107">
        <v>0.0</v>
      </c>
      <c r="U233" s="75"/>
      <c r="V233" s="107">
        <v>0.0</v>
      </c>
      <c r="W233" s="75"/>
      <c r="X233" s="89">
        <v>0.0</v>
      </c>
      <c r="Y233" s="75"/>
      <c r="Z233" s="90">
        <v>0.0</v>
      </c>
      <c r="AA233" s="75"/>
      <c r="AB233" s="90">
        <v>0.0</v>
      </c>
      <c r="AC233" s="75"/>
      <c r="AD233" s="90">
        <v>0.0</v>
      </c>
      <c r="AE233" s="77"/>
      <c r="AF233" s="98">
        <f t="shared" si="1"/>
        <v>0</v>
      </c>
      <c r="AG233" s="83">
        <f t="shared" si="2"/>
        <v>0</v>
      </c>
      <c r="AH233" s="83">
        <f t="shared" si="3"/>
        <v>0</v>
      </c>
      <c r="AI233" s="83">
        <f t="shared" si="4"/>
        <v>0</v>
      </c>
      <c r="AJ233" s="152" t="str">
        <f t="shared" si="5"/>
        <v/>
      </c>
    </row>
    <row r="234">
      <c r="A234" s="42" t="s">
        <v>23</v>
      </c>
      <c r="B234" s="43">
        <f t="shared" si="6"/>
        <v>45887</v>
      </c>
      <c r="C234" s="42">
        <v>9.0</v>
      </c>
      <c r="D234" s="44" t="s">
        <v>32</v>
      </c>
      <c r="E234" s="99" t="s">
        <v>39</v>
      </c>
      <c r="F234" s="47">
        <v>0.0</v>
      </c>
      <c r="H234" s="49">
        <v>0.0</v>
      </c>
      <c r="J234" s="49">
        <v>0.0</v>
      </c>
      <c r="L234" s="110">
        <v>73.0</v>
      </c>
      <c r="N234" s="100">
        <v>73.0</v>
      </c>
      <c r="P234" s="100">
        <v>0.0</v>
      </c>
      <c r="R234" s="100">
        <v>50.0</v>
      </c>
      <c r="T234" s="100">
        <v>1.0</v>
      </c>
      <c r="V234" s="100">
        <v>1.0</v>
      </c>
      <c r="X234" s="56">
        <v>25.0</v>
      </c>
      <c r="Y234" s="57"/>
      <c r="Z234" s="58">
        <v>25.0</v>
      </c>
      <c r="AA234" s="57"/>
      <c r="AB234" s="58">
        <v>25.0</v>
      </c>
      <c r="AC234" s="57"/>
      <c r="AD234" s="58">
        <v>0.0</v>
      </c>
      <c r="AE234" s="59"/>
      <c r="AF234" s="94">
        <f t="shared" si="1"/>
        <v>4810.71</v>
      </c>
      <c r="AG234" s="42">
        <f t="shared" si="2"/>
        <v>271</v>
      </c>
      <c r="AH234" s="42">
        <f t="shared" si="3"/>
        <v>2</v>
      </c>
      <c r="AI234" s="42">
        <f t="shared" si="4"/>
        <v>273</v>
      </c>
      <c r="AJ234" s="95">
        <f t="shared" si="5"/>
        <v>17.62164835</v>
      </c>
    </row>
    <row r="235">
      <c r="A235" s="64" t="s">
        <v>26</v>
      </c>
      <c r="B235" s="65">
        <f t="shared" si="6"/>
        <v>45888</v>
      </c>
      <c r="C235" s="64">
        <v>9.0</v>
      </c>
      <c r="D235" s="66" t="s">
        <v>32</v>
      </c>
      <c r="E235" s="45" t="s">
        <v>39</v>
      </c>
      <c r="F235" s="47">
        <v>0.0</v>
      </c>
      <c r="H235" s="49">
        <v>0.0</v>
      </c>
      <c r="J235" s="49">
        <v>0.0</v>
      </c>
      <c r="L235" s="110">
        <v>73.0</v>
      </c>
      <c r="N235" s="100">
        <v>73.0</v>
      </c>
      <c r="P235" s="100">
        <v>0.0</v>
      </c>
      <c r="R235" s="100">
        <v>0.0</v>
      </c>
      <c r="T235" s="100">
        <v>0.0</v>
      </c>
      <c r="V235" s="100">
        <v>0.0</v>
      </c>
      <c r="X235" s="50">
        <v>0.0</v>
      </c>
      <c r="Z235" s="52">
        <v>25.0</v>
      </c>
      <c r="AB235" s="52">
        <v>25.0</v>
      </c>
      <c r="AD235" s="52">
        <v>0.0</v>
      </c>
      <c r="AE235" s="28"/>
      <c r="AF235" s="96">
        <f t="shared" si="1"/>
        <v>3475.08</v>
      </c>
      <c r="AG235" s="64">
        <f t="shared" si="2"/>
        <v>196</v>
      </c>
      <c r="AH235" s="64">
        <f t="shared" si="3"/>
        <v>0</v>
      </c>
      <c r="AI235" s="64">
        <f t="shared" si="4"/>
        <v>196</v>
      </c>
      <c r="AJ235" s="97">
        <f t="shared" si="5"/>
        <v>17.73</v>
      </c>
    </row>
    <row r="236">
      <c r="A236" s="64" t="s">
        <v>27</v>
      </c>
      <c r="B236" s="65">
        <f t="shared" si="6"/>
        <v>45889</v>
      </c>
      <c r="C236" s="64">
        <v>9.0</v>
      </c>
      <c r="D236" s="66" t="s">
        <v>32</v>
      </c>
      <c r="E236" s="45" t="s">
        <v>39</v>
      </c>
      <c r="F236" s="47">
        <v>0.0</v>
      </c>
      <c r="H236" s="49">
        <v>0.0</v>
      </c>
      <c r="J236" s="49">
        <v>0.0</v>
      </c>
      <c r="L236" s="110">
        <v>73.0</v>
      </c>
      <c r="N236" s="100">
        <v>73.0</v>
      </c>
      <c r="P236" s="100">
        <v>0.0</v>
      </c>
      <c r="R236" s="100">
        <v>0.0</v>
      </c>
      <c r="T236" s="100">
        <v>0.0</v>
      </c>
      <c r="V236" s="100">
        <v>0.0</v>
      </c>
      <c r="X236" s="50">
        <v>0.0</v>
      </c>
      <c r="Z236" s="52">
        <v>25.0</v>
      </c>
      <c r="AB236" s="52">
        <v>25.0</v>
      </c>
      <c r="AD236" s="52">
        <v>0.0</v>
      </c>
      <c r="AE236" s="28"/>
      <c r="AF236" s="96">
        <f t="shared" si="1"/>
        <v>3475.08</v>
      </c>
      <c r="AG236" s="64">
        <f t="shared" si="2"/>
        <v>196</v>
      </c>
      <c r="AH236" s="64">
        <f t="shared" si="3"/>
        <v>0</v>
      </c>
      <c r="AI236" s="64">
        <f t="shared" si="4"/>
        <v>196</v>
      </c>
      <c r="AJ236" s="97">
        <f t="shared" si="5"/>
        <v>17.73</v>
      </c>
    </row>
    <row r="237">
      <c r="A237" s="64" t="s">
        <v>28</v>
      </c>
      <c r="B237" s="65">
        <f t="shared" si="6"/>
        <v>45890</v>
      </c>
      <c r="C237" s="64">
        <v>9.0</v>
      </c>
      <c r="D237" s="66" t="s">
        <v>32</v>
      </c>
      <c r="E237" s="45" t="s">
        <v>39</v>
      </c>
      <c r="F237" s="47">
        <v>0.0</v>
      </c>
      <c r="H237" s="49">
        <v>0.0</v>
      </c>
      <c r="J237" s="49">
        <v>0.0</v>
      </c>
      <c r="L237" s="110">
        <v>73.0</v>
      </c>
      <c r="N237" s="100">
        <v>73.0</v>
      </c>
      <c r="P237" s="100">
        <v>0.0</v>
      </c>
      <c r="R237" s="100">
        <v>0.0</v>
      </c>
      <c r="T237" s="100">
        <v>0.0</v>
      </c>
      <c r="V237" s="100">
        <v>0.0</v>
      </c>
      <c r="X237" s="50">
        <v>0.0</v>
      </c>
      <c r="Z237" s="52">
        <v>25.0</v>
      </c>
      <c r="AB237" s="52">
        <v>25.0</v>
      </c>
      <c r="AD237" s="52">
        <v>0.0</v>
      </c>
      <c r="AE237" s="28"/>
      <c r="AF237" s="96">
        <f t="shared" si="1"/>
        <v>3475.08</v>
      </c>
      <c r="AG237" s="64">
        <f t="shared" si="2"/>
        <v>196</v>
      </c>
      <c r="AH237" s="64">
        <f t="shared" si="3"/>
        <v>0</v>
      </c>
      <c r="AI237" s="64">
        <f t="shared" si="4"/>
        <v>196</v>
      </c>
      <c r="AJ237" s="97">
        <f t="shared" si="5"/>
        <v>17.73</v>
      </c>
    </row>
    <row r="238">
      <c r="A238" s="64" t="s">
        <v>29</v>
      </c>
      <c r="B238" s="65">
        <f t="shared" si="6"/>
        <v>45891</v>
      </c>
      <c r="C238" s="64">
        <v>9.0</v>
      </c>
      <c r="D238" s="66" t="s">
        <v>32</v>
      </c>
      <c r="E238" s="45" t="s">
        <v>39</v>
      </c>
      <c r="F238" s="47">
        <v>0.0</v>
      </c>
      <c r="H238" s="49">
        <v>0.0</v>
      </c>
      <c r="J238" s="49">
        <v>0.0</v>
      </c>
      <c r="L238" s="110">
        <v>73.0</v>
      </c>
      <c r="N238" s="100">
        <v>73.0</v>
      </c>
      <c r="P238" s="100">
        <v>0.0</v>
      </c>
      <c r="R238" s="100">
        <v>0.0</v>
      </c>
      <c r="T238" s="100">
        <v>0.0</v>
      </c>
      <c r="V238" s="100">
        <v>0.0</v>
      </c>
      <c r="X238" s="50">
        <v>0.0</v>
      </c>
      <c r="Z238" s="52">
        <v>25.0</v>
      </c>
      <c r="AB238" s="52">
        <v>25.0</v>
      </c>
      <c r="AD238" s="52">
        <v>0.0</v>
      </c>
      <c r="AE238" s="28"/>
      <c r="AF238" s="96">
        <f t="shared" si="1"/>
        <v>3475.08</v>
      </c>
      <c r="AG238" s="64">
        <f t="shared" si="2"/>
        <v>196</v>
      </c>
      <c r="AH238" s="64">
        <f t="shared" si="3"/>
        <v>0</v>
      </c>
      <c r="AI238" s="64">
        <f t="shared" si="4"/>
        <v>196</v>
      </c>
      <c r="AJ238" s="97">
        <f t="shared" si="5"/>
        <v>17.73</v>
      </c>
    </row>
    <row r="239">
      <c r="A239" s="64" t="s">
        <v>30</v>
      </c>
      <c r="B239" s="65">
        <f t="shared" si="6"/>
        <v>45892</v>
      </c>
      <c r="C239" s="64">
        <v>9.0</v>
      </c>
      <c r="D239" s="66" t="s">
        <v>32</v>
      </c>
      <c r="E239" s="45" t="s">
        <v>39</v>
      </c>
      <c r="F239" s="47">
        <v>0.0</v>
      </c>
      <c r="H239" s="49">
        <v>0.0</v>
      </c>
      <c r="J239" s="49">
        <v>0.0</v>
      </c>
      <c r="L239" s="110">
        <v>78.0</v>
      </c>
      <c r="N239" s="100">
        <v>78.0</v>
      </c>
      <c r="P239" s="100">
        <v>0.0</v>
      </c>
      <c r="R239" s="100">
        <v>0.0</v>
      </c>
      <c r="T239" s="100">
        <v>0.0</v>
      </c>
      <c r="V239" s="100">
        <v>0.0</v>
      </c>
      <c r="X239" s="50">
        <v>0.0</v>
      </c>
      <c r="Z239" s="52">
        <v>25.0</v>
      </c>
      <c r="AB239" s="52">
        <v>25.0</v>
      </c>
      <c r="AD239" s="52">
        <v>0.0</v>
      </c>
      <c r="AE239" s="28"/>
      <c r="AF239" s="96">
        <f t="shared" si="1"/>
        <v>3652.38</v>
      </c>
      <c r="AG239" s="64">
        <f t="shared" si="2"/>
        <v>206</v>
      </c>
      <c r="AH239" s="64">
        <f t="shared" si="3"/>
        <v>0</v>
      </c>
      <c r="AI239" s="64">
        <f t="shared" si="4"/>
        <v>206</v>
      </c>
      <c r="AJ239" s="97">
        <f t="shared" si="5"/>
        <v>17.73</v>
      </c>
    </row>
    <row r="240">
      <c r="A240" s="83" t="s">
        <v>31</v>
      </c>
      <c r="B240" s="84">
        <f t="shared" si="6"/>
        <v>45893</v>
      </c>
      <c r="C240" s="83">
        <v>9.0</v>
      </c>
      <c r="D240" s="85" t="s">
        <v>32</v>
      </c>
      <c r="E240" s="106" t="s">
        <v>39</v>
      </c>
      <c r="F240" s="87">
        <v>0.0</v>
      </c>
      <c r="G240" s="75"/>
      <c r="H240" s="88">
        <v>0.0</v>
      </c>
      <c r="I240" s="75"/>
      <c r="J240" s="88">
        <v>0.0</v>
      </c>
      <c r="K240" s="75"/>
      <c r="L240" s="113">
        <v>0.0</v>
      </c>
      <c r="M240" s="75"/>
      <c r="N240" s="107">
        <v>0.0</v>
      </c>
      <c r="O240" s="75"/>
      <c r="P240" s="107">
        <v>0.0</v>
      </c>
      <c r="Q240" s="75"/>
      <c r="R240" s="107">
        <v>0.0</v>
      </c>
      <c r="S240" s="75"/>
      <c r="T240" s="107">
        <v>0.0</v>
      </c>
      <c r="U240" s="75"/>
      <c r="V240" s="107">
        <v>0.0</v>
      </c>
      <c r="W240" s="75"/>
      <c r="X240" s="89">
        <v>0.0</v>
      </c>
      <c r="Y240" s="75"/>
      <c r="Z240" s="90">
        <v>0.0</v>
      </c>
      <c r="AA240" s="75"/>
      <c r="AB240" s="90">
        <v>0.0</v>
      </c>
      <c r="AC240" s="75"/>
      <c r="AD240" s="90">
        <v>0.0</v>
      </c>
      <c r="AE240" s="77"/>
      <c r="AF240" s="98">
        <f t="shared" si="1"/>
        <v>0</v>
      </c>
      <c r="AG240" s="83">
        <f t="shared" si="2"/>
        <v>0</v>
      </c>
      <c r="AH240" s="83">
        <f t="shared" si="3"/>
        <v>0</v>
      </c>
      <c r="AI240" s="83">
        <f t="shared" si="4"/>
        <v>0</v>
      </c>
      <c r="AJ240" s="152" t="str">
        <f t="shared" si="5"/>
        <v/>
      </c>
    </row>
    <row r="241">
      <c r="A241" s="42" t="s">
        <v>23</v>
      </c>
      <c r="B241" s="43">
        <f t="shared" si="6"/>
        <v>45894</v>
      </c>
      <c r="C241" s="42">
        <v>9.0</v>
      </c>
      <c r="D241" s="44" t="s">
        <v>33</v>
      </c>
      <c r="E241" s="99" t="s">
        <v>40</v>
      </c>
      <c r="F241" s="47">
        <v>0.0</v>
      </c>
      <c r="H241" s="49">
        <v>0.0</v>
      </c>
      <c r="J241" s="49">
        <v>0.0</v>
      </c>
      <c r="L241" s="110">
        <v>78.0</v>
      </c>
      <c r="N241" s="100">
        <v>78.0</v>
      </c>
      <c r="P241" s="100">
        <v>0.0</v>
      </c>
      <c r="R241" s="100">
        <v>0.0</v>
      </c>
      <c r="T241" s="100">
        <v>1.0</v>
      </c>
      <c r="V241" s="100">
        <v>1.0</v>
      </c>
      <c r="X241" s="56">
        <v>0.0</v>
      </c>
      <c r="Y241" s="57"/>
      <c r="Z241" s="58">
        <v>25.0</v>
      </c>
      <c r="AA241" s="57"/>
      <c r="AB241" s="58">
        <v>25.0</v>
      </c>
      <c r="AC241" s="57"/>
      <c r="AD241" s="58">
        <v>0.0</v>
      </c>
      <c r="AE241" s="59"/>
      <c r="AF241" s="94">
        <f t="shared" si="1"/>
        <v>4417.51</v>
      </c>
      <c r="AG241" s="42">
        <f t="shared" si="2"/>
        <v>206</v>
      </c>
      <c r="AH241" s="42">
        <f t="shared" si="3"/>
        <v>2</v>
      </c>
      <c r="AI241" s="42">
        <f t="shared" si="4"/>
        <v>208</v>
      </c>
      <c r="AJ241" s="95">
        <f t="shared" si="5"/>
        <v>21.23802885</v>
      </c>
    </row>
    <row r="242">
      <c r="A242" s="64" t="s">
        <v>26</v>
      </c>
      <c r="B242" s="65">
        <f t="shared" si="6"/>
        <v>45895</v>
      </c>
      <c r="C242" s="64">
        <v>9.0</v>
      </c>
      <c r="D242" s="66" t="s">
        <v>33</v>
      </c>
      <c r="E242" s="45" t="s">
        <v>40</v>
      </c>
      <c r="F242" s="47">
        <v>0.0</v>
      </c>
      <c r="H242" s="49">
        <v>0.0</v>
      </c>
      <c r="J242" s="49">
        <v>0.0</v>
      </c>
      <c r="L242" s="110">
        <v>78.0</v>
      </c>
      <c r="N242" s="100">
        <v>78.0</v>
      </c>
      <c r="P242" s="100">
        <v>0.0</v>
      </c>
      <c r="R242" s="100">
        <v>0.0</v>
      </c>
      <c r="T242" s="100">
        <v>0.0</v>
      </c>
      <c r="V242" s="100">
        <v>0.0</v>
      </c>
      <c r="X242" s="50">
        <v>0.0</v>
      </c>
      <c r="Z242" s="52">
        <v>25.0</v>
      </c>
      <c r="AB242" s="52">
        <v>25.0</v>
      </c>
      <c r="AD242" s="52">
        <v>0.0</v>
      </c>
      <c r="AE242" s="28"/>
      <c r="AF242" s="96">
        <f t="shared" si="1"/>
        <v>3652.38</v>
      </c>
      <c r="AG242" s="64">
        <f t="shared" si="2"/>
        <v>206</v>
      </c>
      <c r="AH242" s="64">
        <f t="shared" si="3"/>
        <v>0</v>
      </c>
      <c r="AI242" s="64">
        <f t="shared" si="4"/>
        <v>206</v>
      </c>
      <c r="AJ242" s="97">
        <f t="shared" si="5"/>
        <v>17.73</v>
      </c>
    </row>
    <row r="243">
      <c r="A243" s="64" t="s">
        <v>27</v>
      </c>
      <c r="B243" s="65">
        <f t="shared" si="6"/>
        <v>45896</v>
      </c>
      <c r="C243" s="64">
        <v>9.0</v>
      </c>
      <c r="D243" s="66" t="s">
        <v>33</v>
      </c>
      <c r="E243" s="45" t="s">
        <v>40</v>
      </c>
      <c r="F243" s="47">
        <v>0.0</v>
      </c>
      <c r="H243" s="49">
        <v>0.0</v>
      </c>
      <c r="J243" s="49">
        <v>0.0</v>
      </c>
      <c r="L243" s="110">
        <v>78.0</v>
      </c>
      <c r="N243" s="100">
        <v>78.0</v>
      </c>
      <c r="P243" s="100">
        <v>0.0</v>
      </c>
      <c r="R243" s="100">
        <v>0.0</v>
      </c>
      <c r="T243" s="100">
        <v>0.0</v>
      </c>
      <c r="V243" s="100">
        <v>0.0</v>
      </c>
      <c r="X243" s="50">
        <v>0.0</v>
      </c>
      <c r="Z243" s="52">
        <v>25.0</v>
      </c>
      <c r="AB243" s="52">
        <v>25.0</v>
      </c>
      <c r="AD243" s="52">
        <v>0.0</v>
      </c>
      <c r="AE243" s="28"/>
      <c r="AF243" s="96">
        <f t="shared" si="1"/>
        <v>3652.38</v>
      </c>
      <c r="AG243" s="64">
        <f t="shared" si="2"/>
        <v>206</v>
      </c>
      <c r="AH243" s="64">
        <f t="shared" si="3"/>
        <v>0</v>
      </c>
      <c r="AI243" s="64">
        <f t="shared" si="4"/>
        <v>206</v>
      </c>
      <c r="AJ243" s="97">
        <f t="shared" si="5"/>
        <v>17.73</v>
      </c>
    </row>
    <row r="244">
      <c r="A244" s="64" t="s">
        <v>28</v>
      </c>
      <c r="B244" s="65">
        <f t="shared" si="6"/>
        <v>45897</v>
      </c>
      <c r="C244" s="64">
        <v>9.0</v>
      </c>
      <c r="D244" s="66" t="s">
        <v>33</v>
      </c>
      <c r="E244" s="45" t="s">
        <v>40</v>
      </c>
      <c r="F244" s="47">
        <v>0.0</v>
      </c>
      <c r="H244" s="49">
        <v>0.0</v>
      </c>
      <c r="J244" s="49">
        <v>0.0</v>
      </c>
      <c r="L244" s="110">
        <v>78.0</v>
      </c>
      <c r="N244" s="100">
        <v>78.0</v>
      </c>
      <c r="P244" s="100">
        <v>0.0</v>
      </c>
      <c r="R244" s="100">
        <v>0.0</v>
      </c>
      <c r="T244" s="100">
        <v>0.0</v>
      </c>
      <c r="V244" s="100">
        <v>0.0</v>
      </c>
      <c r="X244" s="50">
        <v>0.0</v>
      </c>
      <c r="Z244" s="52">
        <v>25.0</v>
      </c>
      <c r="AB244" s="52">
        <v>25.0</v>
      </c>
      <c r="AD244" s="52">
        <v>0.0</v>
      </c>
      <c r="AE244" s="28"/>
      <c r="AF244" s="96">
        <f t="shared" si="1"/>
        <v>3652.38</v>
      </c>
      <c r="AG244" s="64">
        <f t="shared" si="2"/>
        <v>206</v>
      </c>
      <c r="AH244" s="64">
        <f t="shared" si="3"/>
        <v>0</v>
      </c>
      <c r="AI244" s="64">
        <f t="shared" si="4"/>
        <v>206</v>
      </c>
      <c r="AJ244" s="97">
        <f t="shared" si="5"/>
        <v>17.73</v>
      </c>
    </row>
    <row r="245">
      <c r="A245" s="64" t="s">
        <v>29</v>
      </c>
      <c r="B245" s="65">
        <f t="shared" si="6"/>
        <v>45898</v>
      </c>
      <c r="C245" s="64">
        <v>9.0</v>
      </c>
      <c r="D245" s="66" t="s">
        <v>33</v>
      </c>
      <c r="E245" s="45" t="s">
        <v>40</v>
      </c>
      <c r="F245" s="47">
        <v>0.0</v>
      </c>
      <c r="H245" s="49">
        <v>0.0</v>
      </c>
      <c r="J245" s="49">
        <v>0.0</v>
      </c>
      <c r="L245" s="110">
        <v>78.0</v>
      </c>
      <c r="N245" s="100">
        <v>78.0</v>
      </c>
      <c r="P245" s="100">
        <v>0.0</v>
      </c>
      <c r="R245" s="100">
        <v>0.0</v>
      </c>
      <c r="T245" s="100">
        <v>0.0</v>
      </c>
      <c r="V245" s="100">
        <v>0.0</v>
      </c>
      <c r="X245" s="50">
        <v>0.0</v>
      </c>
      <c r="Z245" s="52">
        <v>25.0</v>
      </c>
      <c r="AB245" s="52">
        <v>25.0</v>
      </c>
      <c r="AD245" s="52">
        <v>0.0</v>
      </c>
      <c r="AE245" s="28"/>
      <c r="AF245" s="96">
        <f t="shared" si="1"/>
        <v>3652.38</v>
      </c>
      <c r="AG245" s="64">
        <f t="shared" si="2"/>
        <v>206</v>
      </c>
      <c r="AH245" s="64">
        <f t="shared" si="3"/>
        <v>0</v>
      </c>
      <c r="AI245" s="64">
        <f t="shared" si="4"/>
        <v>206</v>
      </c>
      <c r="AJ245" s="97">
        <f t="shared" si="5"/>
        <v>17.73</v>
      </c>
    </row>
    <row r="246">
      <c r="A246" s="64" t="s">
        <v>30</v>
      </c>
      <c r="B246" s="65">
        <f t="shared" si="6"/>
        <v>45899</v>
      </c>
      <c r="C246" s="64">
        <v>9.0</v>
      </c>
      <c r="D246" s="66" t="s">
        <v>33</v>
      </c>
      <c r="E246" s="45" t="s">
        <v>40</v>
      </c>
      <c r="F246" s="47">
        <v>0.0</v>
      </c>
      <c r="H246" s="49">
        <v>0.0</v>
      </c>
      <c r="J246" s="49">
        <v>0.0</v>
      </c>
      <c r="L246" s="110">
        <v>78.0</v>
      </c>
      <c r="N246" s="100">
        <v>78.0</v>
      </c>
      <c r="P246" s="100">
        <v>0.0</v>
      </c>
      <c r="R246" s="100">
        <v>0.0</v>
      </c>
      <c r="T246" s="100">
        <v>0.0</v>
      </c>
      <c r="V246" s="100">
        <v>0.0</v>
      </c>
      <c r="X246" s="50">
        <v>0.0</v>
      </c>
      <c r="Z246" s="52">
        <v>25.0</v>
      </c>
      <c r="AB246" s="52">
        <v>25.0</v>
      </c>
      <c r="AD246" s="52">
        <v>0.0</v>
      </c>
      <c r="AE246" s="28"/>
      <c r="AF246" s="96">
        <f t="shared" si="1"/>
        <v>3652.38</v>
      </c>
      <c r="AG246" s="64">
        <f t="shared" si="2"/>
        <v>206</v>
      </c>
      <c r="AH246" s="64">
        <f t="shared" si="3"/>
        <v>0</v>
      </c>
      <c r="AI246" s="64">
        <f t="shared" si="4"/>
        <v>206</v>
      </c>
      <c r="AJ246" s="97">
        <f t="shared" si="5"/>
        <v>17.73</v>
      </c>
    </row>
    <row r="247">
      <c r="A247" s="83" t="s">
        <v>31</v>
      </c>
      <c r="B247" s="84">
        <f t="shared" si="6"/>
        <v>45900</v>
      </c>
      <c r="C247" s="83">
        <v>9.0</v>
      </c>
      <c r="D247" s="85" t="s">
        <v>33</v>
      </c>
      <c r="E247" s="106" t="s">
        <v>40</v>
      </c>
      <c r="F247" s="87">
        <v>0.0</v>
      </c>
      <c r="G247" s="75"/>
      <c r="H247" s="88">
        <v>0.0</v>
      </c>
      <c r="I247" s="75"/>
      <c r="J247" s="88">
        <v>0.0</v>
      </c>
      <c r="K247" s="75"/>
      <c r="L247" s="113">
        <v>0.0</v>
      </c>
      <c r="M247" s="75"/>
      <c r="N247" s="107">
        <v>0.0</v>
      </c>
      <c r="O247" s="75"/>
      <c r="P247" s="107">
        <v>0.0</v>
      </c>
      <c r="Q247" s="75"/>
      <c r="R247" s="107">
        <v>0.0</v>
      </c>
      <c r="S247" s="75"/>
      <c r="T247" s="107">
        <v>0.0</v>
      </c>
      <c r="U247" s="75"/>
      <c r="V247" s="107">
        <v>0.0</v>
      </c>
      <c r="W247" s="75"/>
      <c r="X247" s="89">
        <v>0.0</v>
      </c>
      <c r="Y247" s="75"/>
      <c r="Z247" s="90">
        <v>0.0</v>
      </c>
      <c r="AA247" s="75"/>
      <c r="AB247" s="90">
        <v>0.0</v>
      </c>
      <c r="AC247" s="75"/>
      <c r="AD247" s="90">
        <v>0.0</v>
      </c>
      <c r="AE247" s="77"/>
      <c r="AF247" s="98">
        <f t="shared" si="1"/>
        <v>0</v>
      </c>
      <c r="AG247" s="83">
        <f t="shared" si="2"/>
        <v>0</v>
      </c>
      <c r="AH247" s="83">
        <f t="shared" si="3"/>
        <v>0</v>
      </c>
      <c r="AI247" s="83">
        <f t="shared" si="4"/>
        <v>0</v>
      </c>
      <c r="AJ247" s="152" t="str">
        <f t="shared" si="5"/>
        <v/>
      </c>
    </row>
    <row r="248">
      <c r="A248" s="42" t="s">
        <v>23</v>
      </c>
      <c r="B248" s="43">
        <f t="shared" si="6"/>
        <v>45901</v>
      </c>
      <c r="C248" s="42">
        <v>9.0</v>
      </c>
      <c r="D248" s="44" t="s">
        <v>36</v>
      </c>
      <c r="E248" s="99" t="s">
        <v>40</v>
      </c>
      <c r="F248" s="47">
        <v>0.0</v>
      </c>
      <c r="H248" s="49">
        <v>0.0</v>
      </c>
      <c r="J248" s="49">
        <v>0.0</v>
      </c>
      <c r="L248" s="110">
        <v>78.0</v>
      </c>
      <c r="N248" s="100">
        <v>78.0</v>
      </c>
      <c r="P248" s="100">
        <v>0.0</v>
      </c>
      <c r="R248" s="100">
        <v>0.0</v>
      </c>
      <c r="T248" s="100">
        <v>1.0</v>
      </c>
      <c r="V248" s="100">
        <v>1.0</v>
      </c>
      <c r="X248" s="56">
        <v>0.0</v>
      </c>
      <c r="Y248" s="57"/>
      <c r="Z248" s="58">
        <v>25.0</v>
      </c>
      <c r="AA248" s="57"/>
      <c r="AB248" s="58">
        <v>25.0</v>
      </c>
      <c r="AC248" s="57"/>
      <c r="AD248" s="58">
        <v>0.0</v>
      </c>
      <c r="AE248" s="59"/>
      <c r="AF248" s="94">
        <f t="shared" si="1"/>
        <v>4417.51</v>
      </c>
      <c r="AG248" s="42">
        <f t="shared" si="2"/>
        <v>206</v>
      </c>
      <c r="AH248" s="42">
        <f t="shared" si="3"/>
        <v>2</v>
      </c>
      <c r="AI248" s="42">
        <f t="shared" si="4"/>
        <v>208</v>
      </c>
      <c r="AJ248" s="95">
        <f t="shared" si="5"/>
        <v>21.23802885</v>
      </c>
    </row>
    <row r="249">
      <c r="A249" s="64" t="s">
        <v>26</v>
      </c>
      <c r="B249" s="65">
        <f t="shared" si="6"/>
        <v>45902</v>
      </c>
      <c r="C249" s="64">
        <v>9.0</v>
      </c>
      <c r="D249" s="66" t="s">
        <v>36</v>
      </c>
      <c r="E249" s="45" t="s">
        <v>40</v>
      </c>
      <c r="F249" s="47">
        <v>0.0</v>
      </c>
      <c r="H249" s="49">
        <v>0.0</v>
      </c>
      <c r="J249" s="49">
        <v>0.0</v>
      </c>
      <c r="L249" s="110">
        <v>78.0</v>
      </c>
      <c r="N249" s="100">
        <v>78.0</v>
      </c>
      <c r="P249" s="100">
        <v>0.0</v>
      </c>
      <c r="R249" s="100">
        <v>0.0</v>
      </c>
      <c r="T249" s="100">
        <v>0.0</v>
      </c>
      <c r="V249" s="100">
        <v>0.0</v>
      </c>
      <c r="X249" s="50">
        <v>0.0</v>
      </c>
      <c r="Z249" s="52">
        <v>25.0</v>
      </c>
      <c r="AB249" s="52">
        <v>25.0</v>
      </c>
      <c r="AD249" s="52">
        <v>0.0</v>
      </c>
      <c r="AE249" s="28"/>
      <c r="AF249" s="96">
        <f t="shared" si="1"/>
        <v>3652.38</v>
      </c>
      <c r="AG249" s="64">
        <f t="shared" si="2"/>
        <v>206</v>
      </c>
      <c r="AH249" s="64">
        <f t="shared" si="3"/>
        <v>0</v>
      </c>
      <c r="AI249" s="64">
        <f t="shared" si="4"/>
        <v>206</v>
      </c>
      <c r="AJ249" s="97">
        <f t="shared" si="5"/>
        <v>17.73</v>
      </c>
    </row>
    <row r="250">
      <c r="A250" s="64" t="s">
        <v>27</v>
      </c>
      <c r="B250" s="65">
        <f t="shared" si="6"/>
        <v>45903</v>
      </c>
      <c r="C250" s="64">
        <v>9.0</v>
      </c>
      <c r="D250" s="66" t="s">
        <v>36</v>
      </c>
      <c r="E250" s="45" t="s">
        <v>40</v>
      </c>
      <c r="F250" s="47">
        <v>0.0</v>
      </c>
      <c r="H250" s="49">
        <v>0.0</v>
      </c>
      <c r="J250" s="49">
        <v>0.0</v>
      </c>
      <c r="L250" s="110">
        <v>78.0</v>
      </c>
      <c r="N250" s="100">
        <v>78.0</v>
      </c>
      <c r="P250" s="100">
        <v>0.0</v>
      </c>
      <c r="R250" s="100">
        <v>0.0</v>
      </c>
      <c r="T250" s="100">
        <v>0.0</v>
      </c>
      <c r="V250" s="100">
        <v>0.0</v>
      </c>
      <c r="X250" s="50">
        <v>0.0</v>
      </c>
      <c r="Z250" s="52">
        <v>25.0</v>
      </c>
      <c r="AB250" s="52">
        <v>25.0</v>
      </c>
      <c r="AD250" s="52">
        <v>0.0</v>
      </c>
      <c r="AE250" s="28"/>
      <c r="AF250" s="96">
        <f t="shared" si="1"/>
        <v>3652.38</v>
      </c>
      <c r="AG250" s="64">
        <f t="shared" si="2"/>
        <v>206</v>
      </c>
      <c r="AH250" s="64">
        <f t="shared" si="3"/>
        <v>0</v>
      </c>
      <c r="AI250" s="64">
        <f t="shared" si="4"/>
        <v>206</v>
      </c>
      <c r="AJ250" s="97">
        <f t="shared" si="5"/>
        <v>17.73</v>
      </c>
    </row>
    <row r="251">
      <c r="A251" s="64" t="s">
        <v>28</v>
      </c>
      <c r="B251" s="65">
        <f t="shared" si="6"/>
        <v>45904</v>
      </c>
      <c r="C251" s="64">
        <v>9.0</v>
      </c>
      <c r="D251" s="66" t="s">
        <v>36</v>
      </c>
      <c r="E251" s="45" t="s">
        <v>40</v>
      </c>
      <c r="F251" s="47">
        <v>0.0</v>
      </c>
      <c r="H251" s="49">
        <v>0.0</v>
      </c>
      <c r="J251" s="49">
        <v>0.0</v>
      </c>
      <c r="L251" s="110">
        <v>78.0</v>
      </c>
      <c r="N251" s="100">
        <v>78.0</v>
      </c>
      <c r="P251" s="100">
        <v>0.0</v>
      </c>
      <c r="R251" s="100">
        <v>0.0</v>
      </c>
      <c r="T251" s="100">
        <v>0.0</v>
      </c>
      <c r="V251" s="100">
        <v>0.0</v>
      </c>
      <c r="X251" s="50">
        <v>0.0</v>
      </c>
      <c r="Z251" s="52">
        <v>25.0</v>
      </c>
      <c r="AB251" s="52">
        <v>25.0</v>
      </c>
      <c r="AD251" s="52">
        <v>0.0</v>
      </c>
      <c r="AE251" s="28"/>
      <c r="AF251" s="96">
        <f t="shared" si="1"/>
        <v>3652.38</v>
      </c>
      <c r="AG251" s="64">
        <f t="shared" si="2"/>
        <v>206</v>
      </c>
      <c r="AH251" s="64">
        <f t="shared" si="3"/>
        <v>0</v>
      </c>
      <c r="AI251" s="64">
        <f t="shared" si="4"/>
        <v>206</v>
      </c>
      <c r="AJ251" s="97">
        <f t="shared" si="5"/>
        <v>17.73</v>
      </c>
    </row>
    <row r="252">
      <c r="A252" s="64" t="s">
        <v>29</v>
      </c>
      <c r="B252" s="65">
        <f t="shared" si="6"/>
        <v>45905</v>
      </c>
      <c r="C252" s="64">
        <v>9.0</v>
      </c>
      <c r="D252" s="66" t="s">
        <v>36</v>
      </c>
      <c r="E252" s="45" t="s">
        <v>40</v>
      </c>
      <c r="F252" s="47">
        <v>0.0</v>
      </c>
      <c r="H252" s="49">
        <v>0.0</v>
      </c>
      <c r="J252" s="49">
        <v>0.0</v>
      </c>
      <c r="L252" s="110">
        <v>78.0</v>
      </c>
      <c r="N252" s="100">
        <v>78.0</v>
      </c>
      <c r="P252" s="100">
        <v>0.0</v>
      </c>
      <c r="R252" s="100">
        <v>0.0</v>
      </c>
      <c r="T252" s="100">
        <v>0.0</v>
      </c>
      <c r="V252" s="100">
        <v>0.0</v>
      </c>
      <c r="X252" s="50">
        <v>0.0</v>
      </c>
      <c r="Z252" s="52">
        <v>25.0</v>
      </c>
      <c r="AB252" s="52">
        <v>25.0</v>
      </c>
      <c r="AD252" s="52">
        <v>0.0</v>
      </c>
      <c r="AE252" s="28"/>
      <c r="AF252" s="96">
        <f t="shared" si="1"/>
        <v>3652.38</v>
      </c>
      <c r="AG252" s="64">
        <f t="shared" si="2"/>
        <v>206</v>
      </c>
      <c r="AH252" s="64">
        <f t="shared" si="3"/>
        <v>0</v>
      </c>
      <c r="AI252" s="64">
        <f t="shared" si="4"/>
        <v>206</v>
      </c>
      <c r="AJ252" s="97">
        <f t="shared" si="5"/>
        <v>17.73</v>
      </c>
    </row>
    <row r="253">
      <c r="A253" s="64" t="s">
        <v>30</v>
      </c>
      <c r="B253" s="65">
        <f t="shared" si="6"/>
        <v>45906</v>
      </c>
      <c r="C253" s="64">
        <v>9.0</v>
      </c>
      <c r="D253" s="66" t="s">
        <v>36</v>
      </c>
      <c r="E253" s="45" t="s">
        <v>40</v>
      </c>
      <c r="F253" s="47">
        <v>0.0</v>
      </c>
      <c r="H253" s="49">
        <v>0.0</v>
      </c>
      <c r="J253" s="49">
        <v>0.0</v>
      </c>
      <c r="L253" s="110">
        <v>78.0</v>
      </c>
      <c r="N253" s="100">
        <v>78.0</v>
      </c>
      <c r="P253" s="100">
        <v>0.0</v>
      </c>
      <c r="R253" s="100">
        <v>0.0</v>
      </c>
      <c r="T253" s="100">
        <v>0.0</v>
      </c>
      <c r="V253" s="100">
        <v>0.0</v>
      </c>
      <c r="X253" s="50">
        <v>0.0</v>
      </c>
      <c r="Z253" s="52">
        <v>25.0</v>
      </c>
      <c r="AB253" s="52">
        <v>25.0</v>
      </c>
      <c r="AD253" s="52">
        <v>0.0</v>
      </c>
      <c r="AE253" s="28"/>
      <c r="AF253" s="96">
        <f t="shared" si="1"/>
        <v>3652.38</v>
      </c>
      <c r="AG253" s="64">
        <f t="shared" si="2"/>
        <v>206</v>
      </c>
      <c r="AH253" s="64">
        <f t="shared" si="3"/>
        <v>0</v>
      </c>
      <c r="AI253" s="64">
        <f t="shared" si="4"/>
        <v>206</v>
      </c>
      <c r="AJ253" s="97">
        <f t="shared" si="5"/>
        <v>17.73</v>
      </c>
    </row>
    <row r="254">
      <c r="A254" s="83" t="s">
        <v>31</v>
      </c>
      <c r="B254" s="84">
        <f t="shared" si="6"/>
        <v>45907</v>
      </c>
      <c r="C254" s="83">
        <v>9.0</v>
      </c>
      <c r="D254" s="85" t="s">
        <v>36</v>
      </c>
      <c r="E254" s="106" t="s">
        <v>40</v>
      </c>
      <c r="F254" s="87">
        <v>0.0</v>
      </c>
      <c r="G254" s="75"/>
      <c r="H254" s="88">
        <v>0.0</v>
      </c>
      <c r="I254" s="75"/>
      <c r="J254" s="88">
        <v>0.0</v>
      </c>
      <c r="K254" s="75"/>
      <c r="L254" s="113">
        <v>0.0</v>
      </c>
      <c r="M254" s="75"/>
      <c r="N254" s="107">
        <v>0.0</v>
      </c>
      <c r="O254" s="75"/>
      <c r="P254" s="107">
        <v>0.0</v>
      </c>
      <c r="Q254" s="75"/>
      <c r="R254" s="107">
        <v>0.0</v>
      </c>
      <c r="S254" s="75"/>
      <c r="T254" s="107">
        <v>0.0</v>
      </c>
      <c r="U254" s="75"/>
      <c r="V254" s="107">
        <v>0.0</v>
      </c>
      <c r="W254" s="75"/>
      <c r="X254" s="89">
        <v>0.0</v>
      </c>
      <c r="Y254" s="75"/>
      <c r="Z254" s="90">
        <v>0.0</v>
      </c>
      <c r="AA254" s="75"/>
      <c r="AB254" s="90">
        <v>0.0</v>
      </c>
      <c r="AC254" s="75"/>
      <c r="AD254" s="90">
        <v>0.0</v>
      </c>
      <c r="AE254" s="77"/>
      <c r="AF254" s="98">
        <f t="shared" si="1"/>
        <v>0</v>
      </c>
      <c r="AG254" s="83">
        <f t="shared" si="2"/>
        <v>0</v>
      </c>
      <c r="AH254" s="83">
        <f t="shared" si="3"/>
        <v>0</v>
      </c>
      <c r="AI254" s="83">
        <f t="shared" si="4"/>
        <v>0</v>
      </c>
      <c r="AJ254" s="152" t="str">
        <f t="shared" si="5"/>
        <v/>
      </c>
    </row>
    <row r="255">
      <c r="A255" s="42" t="s">
        <v>23</v>
      </c>
      <c r="B255" s="43">
        <f t="shared" si="6"/>
        <v>45908</v>
      </c>
      <c r="C255" s="42">
        <v>10.0</v>
      </c>
      <c r="D255" s="44" t="s">
        <v>24</v>
      </c>
      <c r="E255" s="99" t="s">
        <v>40</v>
      </c>
      <c r="F255" s="47">
        <v>0.0</v>
      </c>
      <c r="H255" s="49">
        <v>0.0</v>
      </c>
      <c r="J255" s="49">
        <v>0.0</v>
      </c>
      <c r="L255" s="110">
        <v>81.0</v>
      </c>
      <c r="N255" s="100">
        <v>81.0</v>
      </c>
      <c r="P255" s="100">
        <v>0.0</v>
      </c>
      <c r="R255" s="100">
        <v>0.0</v>
      </c>
      <c r="T255" s="100">
        <v>1.0</v>
      </c>
      <c r="V255" s="100">
        <v>1.0</v>
      </c>
      <c r="X255" s="56">
        <v>0.0</v>
      </c>
      <c r="Y255" s="57"/>
      <c r="Z255" s="58">
        <v>25.0</v>
      </c>
      <c r="AA255" s="57"/>
      <c r="AB255" s="58">
        <v>25.0</v>
      </c>
      <c r="AC255" s="57"/>
      <c r="AD255" s="58">
        <v>0.0</v>
      </c>
      <c r="AE255" s="59"/>
      <c r="AF255" s="94">
        <f t="shared" si="1"/>
        <v>4523.89</v>
      </c>
      <c r="AG255" s="42">
        <f t="shared" si="2"/>
        <v>212</v>
      </c>
      <c r="AH255" s="42">
        <f t="shared" si="3"/>
        <v>2</v>
      </c>
      <c r="AI255" s="42">
        <f t="shared" si="4"/>
        <v>214</v>
      </c>
      <c r="AJ255" s="95">
        <f t="shared" si="5"/>
        <v>21.1396729</v>
      </c>
    </row>
    <row r="256">
      <c r="A256" s="64" t="s">
        <v>26</v>
      </c>
      <c r="B256" s="65">
        <f t="shared" si="6"/>
        <v>45909</v>
      </c>
      <c r="C256" s="64">
        <v>10.0</v>
      </c>
      <c r="D256" s="66" t="s">
        <v>24</v>
      </c>
      <c r="E256" s="45" t="s">
        <v>40</v>
      </c>
      <c r="F256" s="47">
        <v>0.0</v>
      </c>
      <c r="H256" s="49">
        <v>0.0</v>
      </c>
      <c r="J256" s="49">
        <v>0.0</v>
      </c>
      <c r="L256" s="110">
        <v>81.0</v>
      </c>
      <c r="N256" s="100">
        <v>81.0</v>
      </c>
      <c r="P256" s="100">
        <v>0.0</v>
      </c>
      <c r="R256" s="100">
        <v>0.0</v>
      </c>
      <c r="T256" s="100">
        <v>0.0</v>
      </c>
      <c r="V256" s="100">
        <v>0.0</v>
      </c>
      <c r="X256" s="50">
        <v>0.0</v>
      </c>
      <c r="Z256" s="52">
        <v>25.0</v>
      </c>
      <c r="AB256" s="52">
        <v>25.0</v>
      </c>
      <c r="AD256" s="52">
        <v>0.0</v>
      </c>
      <c r="AE256" s="28"/>
      <c r="AF256" s="96">
        <f t="shared" si="1"/>
        <v>3758.76</v>
      </c>
      <c r="AG256" s="64">
        <f t="shared" si="2"/>
        <v>212</v>
      </c>
      <c r="AH256" s="64">
        <f t="shared" si="3"/>
        <v>0</v>
      </c>
      <c r="AI256" s="64">
        <f t="shared" si="4"/>
        <v>212</v>
      </c>
      <c r="AJ256" s="97">
        <f t="shared" si="5"/>
        <v>17.73</v>
      </c>
    </row>
    <row r="257">
      <c r="A257" s="64" t="s">
        <v>27</v>
      </c>
      <c r="B257" s="65">
        <f t="shared" si="6"/>
        <v>45910</v>
      </c>
      <c r="C257" s="64">
        <v>10.0</v>
      </c>
      <c r="D257" s="66" t="s">
        <v>24</v>
      </c>
      <c r="E257" s="45" t="s">
        <v>40</v>
      </c>
      <c r="F257" s="47">
        <v>0.0</v>
      </c>
      <c r="H257" s="49">
        <v>0.0</v>
      </c>
      <c r="J257" s="49">
        <v>0.0</v>
      </c>
      <c r="L257" s="110">
        <v>81.0</v>
      </c>
      <c r="N257" s="100">
        <v>81.0</v>
      </c>
      <c r="P257" s="100">
        <v>0.0</v>
      </c>
      <c r="R257" s="100">
        <v>0.0</v>
      </c>
      <c r="T257" s="100">
        <v>0.0</v>
      </c>
      <c r="V257" s="100">
        <v>0.0</v>
      </c>
      <c r="X257" s="50">
        <v>0.0</v>
      </c>
      <c r="Z257" s="52">
        <v>25.0</v>
      </c>
      <c r="AB257" s="52">
        <v>25.0</v>
      </c>
      <c r="AD257" s="52">
        <v>0.0</v>
      </c>
      <c r="AE257" s="28"/>
      <c r="AF257" s="96">
        <f t="shared" si="1"/>
        <v>3758.76</v>
      </c>
      <c r="AG257" s="64">
        <f t="shared" si="2"/>
        <v>212</v>
      </c>
      <c r="AH257" s="64">
        <f t="shared" si="3"/>
        <v>0</v>
      </c>
      <c r="AI257" s="64">
        <f t="shared" si="4"/>
        <v>212</v>
      </c>
      <c r="AJ257" s="97">
        <f t="shared" si="5"/>
        <v>17.73</v>
      </c>
    </row>
    <row r="258">
      <c r="A258" s="64" t="s">
        <v>28</v>
      </c>
      <c r="B258" s="65">
        <f t="shared" si="6"/>
        <v>45911</v>
      </c>
      <c r="C258" s="64">
        <v>10.0</v>
      </c>
      <c r="D258" s="66" t="s">
        <v>24</v>
      </c>
      <c r="E258" s="45" t="s">
        <v>40</v>
      </c>
      <c r="F258" s="47">
        <v>0.0</v>
      </c>
      <c r="H258" s="49">
        <v>0.0</v>
      </c>
      <c r="J258" s="49">
        <v>0.0</v>
      </c>
      <c r="L258" s="110">
        <v>81.0</v>
      </c>
      <c r="N258" s="100">
        <v>81.0</v>
      </c>
      <c r="P258" s="100">
        <v>0.0</v>
      </c>
      <c r="R258" s="100">
        <v>0.0</v>
      </c>
      <c r="T258" s="100">
        <v>0.0</v>
      </c>
      <c r="V258" s="100">
        <v>0.0</v>
      </c>
      <c r="X258" s="50">
        <v>0.0</v>
      </c>
      <c r="Z258" s="52">
        <v>25.0</v>
      </c>
      <c r="AB258" s="52">
        <v>25.0</v>
      </c>
      <c r="AD258" s="52">
        <v>0.0</v>
      </c>
      <c r="AE258" s="28"/>
      <c r="AF258" s="96">
        <f t="shared" si="1"/>
        <v>3758.76</v>
      </c>
      <c r="AG258" s="64">
        <f t="shared" si="2"/>
        <v>212</v>
      </c>
      <c r="AH258" s="64">
        <f t="shared" si="3"/>
        <v>0</v>
      </c>
      <c r="AI258" s="64">
        <f t="shared" si="4"/>
        <v>212</v>
      </c>
      <c r="AJ258" s="97">
        <f t="shared" si="5"/>
        <v>17.73</v>
      </c>
    </row>
    <row r="259">
      <c r="A259" s="64" t="s">
        <v>29</v>
      </c>
      <c r="B259" s="65">
        <f t="shared" si="6"/>
        <v>45912</v>
      </c>
      <c r="C259" s="64">
        <v>10.0</v>
      </c>
      <c r="D259" s="66" t="s">
        <v>24</v>
      </c>
      <c r="E259" s="45" t="s">
        <v>40</v>
      </c>
      <c r="F259" s="47">
        <v>0.0</v>
      </c>
      <c r="H259" s="49">
        <v>0.0</v>
      </c>
      <c r="J259" s="49">
        <v>0.0</v>
      </c>
      <c r="L259" s="110">
        <v>81.0</v>
      </c>
      <c r="N259" s="100">
        <v>81.0</v>
      </c>
      <c r="P259" s="100">
        <v>0.0</v>
      </c>
      <c r="R259" s="100">
        <v>0.0</v>
      </c>
      <c r="T259" s="100">
        <v>0.0</v>
      </c>
      <c r="V259" s="100">
        <v>0.0</v>
      </c>
      <c r="X259" s="50">
        <v>0.0</v>
      </c>
      <c r="Z259" s="52">
        <v>25.0</v>
      </c>
      <c r="AB259" s="52">
        <v>25.0</v>
      </c>
      <c r="AD259" s="52">
        <v>0.0</v>
      </c>
      <c r="AE259" s="28"/>
      <c r="AF259" s="96">
        <f t="shared" si="1"/>
        <v>3758.76</v>
      </c>
      <c r="AG259" s="64">
        <f t="shared" si="2"/>
        <v>212</v>
      </c>
      <c r="AH259" s="64">
        <f t="shared" si="3"/>
        <v>0</v>
      </c>
      <c r="AI259" s="64">
        <f t="shared" si="4"/>
        <v>212</v>
      </c>
      <c r="AJ259" s="97">
        <f t="shared" si="5"/>
        <v>17.73</v>
      </c>
    </row>
    <row r="260">
      <c r="A260" s="64" t="s">
        <v>30</v>
      </c>
      <c r="B260" s="65">
        <f t="shared" si="6"/>
        <v>45913</v>
      </c>
      <c r="C260" s="64">
        <v>10.0</v>
      </c>
      <c r="D260" s="66" t="s">
        <v>24</v>
      </c>
      <c r="E260" s="45" t="s">
        <v>40</v>
      </c>
      <c r="F260" s="47">
        <v>0.0</v>
      </c>
      <c r="H260" s="49">
        <v>0.0</v>
      </c>
      <c r="J260" s="49">
        <v>0.0</v>
      </c>
      <c r="L260" s="110">
        <v>81.0</v>
      </c>
      <c r="N260" s="100">
        <v>81.0</v>
      </c>
      <c r="P260" s="100">
        <v>0.0</v>
      </c>
      <c r="R260" s="100">
        <v>0.0</v>
      </c>
      <c r="T260" s="100">
        <v>0.0</v>
      </c>
      <c r="V260" s="100">
        <v>0.0</v>
      </c>
      <c r="X260" s="50">
        <v>0.0</v>
      </c>
      <c r="Z260" s="52">
        <v>25.0</v>
      </c>
      <c r="AB260" s="52">
        <v>25.0</v>
      </c>
      <c r="AD260" s="52">
        <v>0.0</v>
      </c>
      <c r="AE260" s="28"/>
      <c r="AF260" s="96">
        <f t="shared" si="1"/>
        <v>3758.76</v>
      </c>
      <c r="AG260" s="64">
        <f t="shared" si="2"/>
        <v>212</v>
      </c>
      <c r="AH260" s="64">
        <f t="shared" si="3"/>
        <v>0</v>
      </c>
      <c r="AI260" s="64">
        <f t="shared" si="4"/>
        <v>212</v>
      </c>
      <c r="AJ260" s="97">
        <f t="shared" si="5"/>
        <v>17.73</v>
      </c>
    </row>
    <row r="261">
      <c r="A261" s="83" t="s">
        <v>31</v>
      </c>
      <c r="B261" s="84">
        <f t="shared" si="6"/>
        <v>45914</v>
      </c>
      <c r="C261" s="83">
        <v>10.0</v>
      </c>
      <c r="D261" s="85" t="s">
        <v>24</v>
      </c>
      <c r="E261" s="106" t="s">
        <v>40</v>
      </c>
      <c r="F261" s="87">
        <v>0.0</v>
      </c>
      <c r="G261" s="75"/>
      <c r="H261" s="88">
        <v>0.0</v>
      </c>
      <c r="I261" s="75"/>
      <c r="J261" s="88">
        <v>0.0</v>
      </c>
      <c r="K261" s="75"/>
      <c r="L261" s="113">
        <v>0.0</v>
      </c>
      <c r="M261" s="75"/>
      <c r="N261" s="107">
        <v>0.0</v>
      </c>
      <c r="O261" s="75"/>
      <c r="P261" s="107">
        <v>0.0</v>
      </c>
      <c r="Q261" s="75"/>
      <c r="R261" s="107">
        <v>0.0</v>
      </c>
      <c r="S261" s="75"/>
      <c r="T261" s="107">
        <v>0.0</v>
      </c>
      <c r="U261" s="75"/>
      <c r="V261" s="107">
        <v>0.0</v>
      </c>
      <c r="W261" s="75"/>
      <c r="X261" s="89">
        <v>0.0</v>
      </c>
      <c r="Y261" s="75"/>
      <c r="Z261" s="90">
        <v>0.0</v>
      </c>
      <c r="AA261" s="75"/>
      <c r="AB261" s="90">
        <v>0.0</v>
      </c>
      <c r="AC261" s="75"/>
      <c r="AD261" s="90">
        <v>0.0</v>
      </c>
      <c r="AE261" s="77"/>
      <c r="AF261" s="98">
        <f t="shared" si="1"/>
        <v>0</v>
      </c>
      <c r="AG261" s="83">
        <f t="shared" si="2"/>
        <v>0</v>
      </c>
      <c r="AH261" s="83">
        <f t="shared" si="3"/>
        <v>0</v>
      </c>
      <c r="AI261" s="83">
        <f t="shared" si="4"/>
        <v>0</v>
      </c>
      <c r="AJ261" s="152" t="str">
        <f t="shared" si="5"/>
        <v/>
      </c>
    </row>
    <row r="262">
      <c r="A262" s="42" t="s">
        <v>23</v>
      </c>
      <c r="B262" s="43">
        <f t="shared" si="6"/>
        <v>45915</v>
      </c>
      <c r="C262" s="42">
        <v>10.0</v>
      </c>
      <c r="D262" s="44" t="s">
        <v>32</v>
      </c>
      <c r="E262" s="99" t="s">
        <v>40</v>
      </c>
      <c r="F262" s="47">
        <v>0.0</v>
      </c>
      <c r="H262" s="49">
        <v>0.0</v>
      </c>
      <c r="J262" s="49">
        <v>0.0</v>
      </c>
      <c r="L262" s="110">
        <v>81.0</v>
      </c>
      <c r="N262" s="100">
        <v>81.0</v>
      </c>
      <c r="P262" s="100">
        <v>0.0</v>
      </c>
      <c r="R262" s="100">
        <v>0.0</v>
      </c>
      <c r="T262" s="100">
        <v>1.0</v>
      </c>
      <c r="V262" s="100">
        <v>1.0</v>
      </c>
      <c r="X262" s="56">
        <v>0.0</v>
      </c>
      <c r="Y262" s="57"/>
      <c r="Z262" s="58">
        <v>25.0</v>
      </c>
      <c r="AA262" s="57"/>
      <c r="AB262" s="58">
        <v>25.0</v>
      </c>
      <c r="AC262" s="57"/>
      <c r="AD262" s="58">
        <v>0.0</v>
      </c>
      <c r="AE262" s="59"/>
      <c r="AF262" s="94">
        <f t="shared" si="1"/>
        <v>4523.89</v>
      </c>
      <c r="AG262" s="42">
        <f t="shared" si="2"/>
        <v>212</v>
      </c>
      <c r="AH262" s="42">
        <f t="shared" si="3"/>
        <v>2</v>
      </c>
      <c r="AI262" s="42">
        <f t="shared" si="4"/>
        <v>214</v>
      </c>
      <c r="AJ262" s="95">
        <f t="shared" si="5"/>
        <v>21.1396729</v>
      </c>
    </row>
    <row r="263">
      <c r="A263" s="64" t="s">
        <v>26</v>
      </c>
      <c r="B263" s="65">
        <f t="shared" si="6"/>
        <v>45916</v>
      </c>
      <c r="C263" s="64">
        <v>10.0</v>
      </c>
      <c r="D263" s="66" t="s">
        <v>32</v>
      </c>
      <c r="E263" s="45" t="s">
        <v>40</v>
      </c>
      <c r="F263" s="47">
        <v>0.0</v>
      </c>
      <c r="H263" s="49">
        <v>0.0</v>
      </c>
      <c r="J263" s="49">
        <v>0.0</v>
      </c>
      <c r="L263" s="110">
        <v>81.0</v>
      </c>
      <c r="N263" s="100">
        <v>81.0</v>
      </c>
      <c r="P263" s="100">
        <v>0.0</v>
      </c>
      <c r="R263" s="100">
        <v>0.0</v>
      </c>
      <c r="T263" s="100">
        <v>0.0</v>
      </c>
      <c r="V263" s="100">
        <v>0.0</v>
      </c>
      <c r="X263" s="50">
        <v>0.0</v>
      </c>
      <c r="Z263" s="52">
        <v>25.0</v>
      </c>
      <c r="AB263" s="52">
        <v>25.0</v>
      </c>
      <c r="AD263" s="52">
        <v>0.0</v>
      </c>
      <c r="AE263" s="28"/>
      <c r="AF263" s="96">
        <f t="shared" si="1"/>
        <v>3758.76</v>
      </c>
      <c r="AG263" s="64">
        <f t="shared" si="2"/>
        <v>212</v>
      </c>
      <c r="AH263" s="64">
        <f t="shared" si="3"/>
        <v>0</v>
      </c>
      <c r="AI263" s="64">
        <f t="shared" si="4"/>
        <v>212</v>
      </c>
      <c r="AJ263" s="97">
        <f t="shared" si="5"/>
        <v>17.73</v>
      </c>
    </row>
    <row r="264">
      <c r="A264" s="64" t="s">
        <v>27</v>
      </c>
      <c r="B264" s="65">
        <f t="shared" si="6"/>
        <v>45917</v>
      </c>
      <c r="C264" s="64">
        <v>10.0</v>
      </c>
      <c r="D264" s="66" t="s">
        <v>32</v>
      </c>
      <c r="E264" s="45" t="s">
        <v>40</v>
      </c>
      <c r="F264" s="47">
        <v>0.0</v>
      </c>
      <c r="H264" s="49">
        <v>0.0</v>
      </c>
      <c r="J264" s="49">
        <v>0.0</v>
      </c>
      <c r="L264" s="110">
        <v>81.0</v>
      </c>
      <c r="N264" s="100">
        <v>81.0</v>
      </c>
      <c r="P264" s="100">
        <v>0.0</v>
      </c>
      <c r="R264" s="100">
        <v>0.0</v>
      </c>
      <c r="T264" s="100">
        <v>0.0</v>
      </c>
      <c r="V264" s="100">
        <v>0.0</v>
      </c>
      <c r="X264" s="50">
        <v>0.0</v>
      </c>
      <c r="Z264" s="52">
        <v>25.0</v>
      </c>
      <c r="AB264" s="52">
        <v>25.0</v>
      </c>
      <c r="AD264" s="52">
        <v>0.0</v>
      </c>
      <c r="AE264" s="28"/>
      <c r="AF264" s="96">
        <f t="shared" si="1"/>
        <v>3758.76</v>
      </c>
      <c r="AG264" s="64">
        <f t="shared" si="2"/>
        <v>212</v>
      </c>
      <c r="AH264" s="64">
        <f t="shared" si="3"/>
        <v>0</v>
      </c>
      <c r="AI264" s="64">
        <f t="shared" si="4"/>
        <v>212</v>
      </c>
      <c r="AJ264" s="97">
        <f t="shared" si="5"/>
        <v>17.73</v>
      </c>
    </row>
    <row r="265">
      <c r="A265" s="64" t="s">
        <v>28</v>
      </c>
      <c r="B265" s="65">
        <f t="shared" si="6"/>
        <v>45918</v>
      </c>
      <c r="C265" s="64">
        <v>10.0</v>
      </c>
      <c r="D265" s="66" t="s">
        <v>32</v>
      </c>
      <c r="E265" s="45" t="s">
        <v>40</v>
      </c>
      <c r="F265" s="47">
        <v>0.0</v>
      </c>
      <c r="H265" s="49">
        <v>0.0</v>
      </c>
      <c r="J265" s="49">
        <v>0.0</v>
      </c>
      <c r="L265" s="110">
        <v>81.0</v>
      </c>
      <c r="N265" s="100">
        <v>81.0</v>
      </c>
      <c r="P265" s="100">
        <v>0.0</v>
      </c>
      <c r="R265" s="100">
        <v>0.0</v>
      </c>
      <c r="T265" s="100">
        <v>0.0</v>
      </c>
      <c r="V265" s="100">
        <v>0.0</v>
      </c>
      <c r="X265" s="50">
        <v>0.0</v>
      </c>
      <c r="Z265" s="52">
        <v>25.0</v>
      </c>
      <c r="AB265" s="52">
        <v>25.0</v>
      </c>
      <c r="AD265" s="52">
        <v>0.0</v>
      </c>
      <c r="AE265" s="28"/>
      <c r="AF265" s="96">
        <f t="shared" si="1"/>
        <v>3758.76</v>
      </c>
      <c r="AG265" s="64">
        <f t="shared" si="2"/>
        <v>212</v>
      </c>
      <c r="AH265" s="64">
        <f t="shared" si="3"/>
        <v>0</v>
      </c>
      <c r="AI265" s="64">
        <f t="shared" si="4"/>
        <v>212</v>
      </c>
      <c r="AJ265" s="97">
        <f t="shared" si="5"/>
        <v>17.73</v>
      </c>
    </row>
    <row r="266">
      <c r="A266" s="64" t="s">
        <v>29</v>
      </c>
      <c r="B266" s="65">
        <f t="shared" si="6"/>
        <v>45919</v>
      </c>
      <c r="C266" s="64">
        <v>10.0</v>
      </c>
      <c r="D266" s="66" t="s">
        <v>32</v>
      </c>
      <c r="E266" s="45" t="s">
        <v>40</v>
      </c>
      <c r="F266" s="47">
        <v>0.0</v>
      </c>
      <c r="H266" s="49">
        <v>0.0</v>
      </c>
      <c r="J266" s="49">
        <v>0.0</v>
      </c>
      <c r="L266" s="110">
        <v>81.0</v>
      </c>
      <c r="N266" s="100">
        <v>81.0</v>
      </c>
      <c r="P266" s="100">
        <v>0.0</v>
      </c>
      <c r="R266" s="100">
        <v>0.0</v>
      </c>
      <c r="T266" s="100">
        <v>0.0</v>
      </c>
      <c r="V266" s="100">
        <v>0.0</v>
      </c>
      <c r="X266" s="50">
        <v>0.0</v>
      </c>
      <c r="Z266" s="52">
        <v>25.0</v>
      </c>
      <c r="AB266" s="52">
        <v>25.0</v>
      </c>
      <c r="AD266" s="52">
        <v>0.0</v>
      </c>
      <c r="AE266" s="28"/>
      <c r="AF266" s="96">
        <f t="shared" si="1"/>
        <v>3758.76</v>
      </c>
      <c r="AG266" s="64">
        <f t="shared" si="2"/>
        <v>212</v>
      </c>
      <c r="AH266" s="64">
        <f t="shared" si="3"/>
        <v>0</v>
      </c>
      <c r="AI266" s="64">
        <f t="shared" si="4"/>
        <v>212</v>
      </c>
      <c r="AJ266" s="97">
        <f t="shared" si="5"/>
        <v>17.73</v>
      </c>
    </row>
    <row r="267">
      <c r="A267" s="64" t="s">
        <v>30</v>
      </c>
      <c r="B267" s="65">
        <f t="shared" si="6"/>
        <v>45920</v>
      </c>
      <c r="C267" s="64">
        <v>10.0</v>
      </c>
      <c r="D267" s="66" t="s">
        <v>32</v>
      </c>
      <c r="E267" s="45" t="s">
        <v>40</v>
      </c>
      <c r="F267" s="47">
        <v>0.0</v>
      </c>
      <c r="H267" s="49">
        <v>0.0</v>
      </c>
      <c r="J267" s="49">
        <v>0.0</v>
      </c>
      <c r="L267" s="110">
        <v>81.0</v>
      </c>
      <c r="N267" s="100">
        <v>81.0</v>
      </c>
      <c r="P267" s="100">
        <v>0.0</v>
      </c>
      <c r="R267" s="100">
        <v>0.0</v>
      </c>
      <c r="T267" s="100">
        <v>0.0</v>
      </c>
      <c r="V267" s="100">
        <v>0.0</v>
      </c>
      <c r="X267" s="50">
        <v>0.0</v>
      </c>
      <c r="Z267" s="52">
        <v>25.0</v>
      </c>
      <c r="AB267" s="52">
        <v>25.0</v>
      </c>
      <c r="AD267" s="52">
        <v>0.0</v>
      </c>
      <c r="AE267" s="28"/>
      <c r="AF267" s="96">
        <f t="shared" si="1"/>
        <v>3758.76</v>
      </c>
      <c r="AG267" s="64">
        <f t="shared" si="2"/>
        <v>212</v>
      </c>
      <c r="AH267" s="64">
        <f t="shared" si="3"/>
        <v>0</v>
      </c>
      <c r="AI267" s="64">
        <f t="shared" si="4"/>
        <v>212</v>
      </c>
      <c r="AJ267" s="97">
        <f t="shared" si="5"/>
        <v>17.73</v>
      </c>
    </row>
    <row r="268">
      <c r="A268" s="83" t="s">
        <v>31</v>
      </c>
      <c r="B268" s="84">
        <f t="shared" si="6"/>
        <v>45921</v>
      </c>
      <c r="C268" s="83">
        <v>10.0</v>
      </c>
      <c r="D268" s="85" t="s">
        <v>32</v>
      </c>
      <c r="E268" s="106" t="s">
        <v>40</v>
      </c>
      <c r="F268" s="87">
        <v>0.0</v>
      </c>
      <c r="G268" s="75"/>
      <c r="H268" s="88">
        <v>0.0</v>
      </c>
      <c r="I268" s="75"/>
      <c r="J268" s="88">
        <v>0.0</v>
      </c>
      <c r="K268" s="75"/>
      <c r="L268" s="113">
        <v>0.0</v>
      </c>
      <c r="M268" s="75"/>
      <c r="N268" s="107">
        <v>0.0</v>
      </c>
      <c r="O268" s="75"/>
      <c r="P268" s="107">
        <v>0.0</v>
      </c>
      <c r="Q268" s="75"/>
      <c r="R268" s="107">
        <v>0.0</v>
      </c>
      <c r="S268" s="75"/>
      <c r="T268" s="107">
        <v>0.0</v>
      </c>
      <c r="U268" s="75"/>
      <c r="V268" s="107">
        <v>0.0</v>
      </c>
      <c r="W268" s="75"/>
      <c r="X268" s="89">
        <v>0.0</v>
      </c>
      <c r="Y268" s="75"/>
      <c r="Z268" s="90">
        <v>0.0</v>
      </c>
      <c r="AA268" s="75"/>
      <c r="AB268" s="90">
        <v>0.0</v>
      </c>
      <c r="AC268" s="75"/>
      <c r="AD268" s="90">
        <v>0.0</v>
      </c>
      <c r="AE268" s="77"/>
      <c r="AF268" s="98">
        <f t="shared" si="1"/>
        <v>0</v>
      </c>
      <c r="AG268" s="83">
        <f t="shared" si="2"/>
        <v>0</v>
      </c>
      <c r="AH268" s="83">
        <f t="shared" si="3"/>
        <v>0</v>
      </c>
      <c r="AI268" s="83">
        <f t="shared" si="4"/>
        <v>0</v>
      </c>
      <c r="AJ268" s="152" t="str">
        <f t="shared" si="5"/>
        <v/>
      </c>
    </row>
    <row r="269">
      <c r="A269" s="42" t="s">
        <v>23</v>
      </c>
      <c r="B269" s="43">
        <f t="shared" si="6"/>
        <v>45922</v>
      </c>
      <c r="C269" s="42">
        <v>10.0</v>
      </c>
      <c r="D269" s="44" t="s">
        <v>33</v>
      </c>
      <c r="E269" s="99" t="s">
        <v>40</v>
      </c>
      <c r="F269" s="47">
        <v>0.0</v>
      </c>
      <c r="H269" s="49">
        <v>0.0</v>
      </c>
      <c r="J269" s="49">
        <v>0.0</v>
      </c>
      <c r="L269" s="110">
        <v>81.0</v>
      </c>
      <c r="N269" s="100">
        <v>81.0</v>
      </c>
      <c r="P269" s="100">
        <v>0.0</v>
      </c>
      <c r="R269" s="100">
        <v>45.0</v>
      </c>
      <c r="T269" s="100">
        <v>1.0</v>
      </c>
      <c r="V269" s="100">
        <v>1.0</v>
      </c>
      <c r="X269" s="56">
        <v>0.0</v>
      </c>
      <c r="Y269" s="57"/>
      <c r="Z269" s="58">
        <v>25.0</v>
      </c>
      <c r="AA269" s="57"/>
      <c r="AB269" s="58">
        <v>25.0</v>
      </c>
      <c r="AC269" s="57"/>
      <c r="AD269" s="58">
        <v>0.0</v>
      </c>
      <c r="AE269" s="59"/>
      <c r="AF269" s="94">
        <f t="shared" si="1"/>
        <v>4840.69</v>
      </c>
      <c r="AG269" s="42">
        <f t="shared" si="2"/>
        <v>257</v>
      </c>
      <c r="AH269" s="42">
        <f t="shared" si="3"/>
        <v>2</v>
      </c>
      <c r="AI269" s="42">
        <f t="shared" si="4"/>
        <v>259</v>
      </c>
      <c r="AJ269" s="95">
        <f t="shared" si="5"/>
        <v>18.68992278</v>
      </c>
    </row>
    <row r="270">
      <c r="A270" s="64" t="s">
        <v>26</v>
      </c>
      <c r="B270" s="65">
        <f t="shared" si="6"/>
        <v>45923</v>
      </c>
      <c r="C270" s="64">
        <v>10.0</v>
      </c>
      <c r="D270" s="66" t="s">
        <v>33</v>
      </c>
      <c r="E270" s="45" t="s">
        <v>40</v>
      </c>
      <c r="F270" s="47">
        <v>0.0</v>
      </c>
      <c r="H270" s="49">
        <v>0.0</v>
      </c>
      <c r="J270" s="49">
        <v>0.0</v>
      </c>
      <c r="L270" s="110">
        <v>81.0</v>
      </c>
      <c r="N270" s="100">
        <v>81.0</v>
      </c>
      <c r="P270" s="100">
        <v>0.0</v>
      </c>
      <c r="R270" s="100">
        <v>45.0</v>
      </c>
      <c r="T270" s="100">
        <v>0.0</v>
      </c>
      <c r="V270" s="100">
        <v>0.0</v>
      </c>
      <c r="X270" s="50">
        <v>0.0</v>
      </c>
      <c r="Z270" s="52">
        <v>25.0</v>
      </c>
      <c r="AB270" s="52">
        <v>25.0</v>
      </c>
      <c r="AD270" s="52">
        <v>0.0</v>
      </c>
      <c r="AE270" s="28"/>
      <c r="AF270" s="96">
        <f t="shared" si="1"/>
        <v>4075.56</v>
      </c>
      <c r="AG270" s="64">
        <f t="shared" si="2"/>
        <v>257</v>
      </c>
      <c r="AH270" s="64">
        <f t="shared" si="3"/>
        <v>0</v>
      </c>
      <c r="AI270" s="64">
        <f t="shared" si="4"/>
        <v>257</v>
      </c>
      <c r="AJ270" s="97">
        <f t="shared" si="5"/>
        <v>15.85821012</v>
      </c>
    </row>
    <row r="271">
      <c r="A271" s="64" t="s">
        <v>27</v>
      </c>
      <c r="B271" s="65">
        <f t="shared" si="6"/>
        <v>45924</v>
      </c>
      <c r="C271" s="64">
        <v>10.0</v>
      </c>
      <c r="D271" s="66" t="s">
        <v>33</v>
      </c>
      <c r="E271" s="45" t="s">
        <v>40</v>
      </c>
      <c r="F271" s="47">
        <v>0.0</v>
      </c>
      <c r="H271" s="49">
        <v>0.0</v>
      </c>
      <c r="J271" s="49">
        <v>0.0</v>
      </c>
      <c r="L271" s="110">
        <v>81.0</v>
      </c>
      <c r="N271" s="100">
        <v>81.0</v>
      </c>
      <c r="P271" s="100">
        <v>0.0</v>
      </c>
      <c r="R271" s="100">
        <v>45.0</v>
      </c>
      <c r="T271" s="100">
        <v>0.0</v>
      </c>
      <c r="V271" s="100">
        <v>0.0</v>
      </c>
      <c r="X271" s="50">
        <v>0.0</v>
      </c>
      <c r="Z271" s="52">
        <v>25.0</v>
      </c>
      <c r="AB271" s="52">
        <v>25.0</v>
      </c>
      <c r="AD271" s="52">
        <v>0.0</v>
      </c>
      <c r="AE271" s="28"/>
      <c r="AF271" s="96">
        <f t="shared" si="1"/>
        <v>4075.56</v>
      </c>
      <c r="AG271" s="64">
        <f t="shared" si="2"/>
        <v>257</v>
      </c>
      <c r="AH271" s="64">
        <f t="shared" si="3"/>
        <v>0</v>
      </c>
      <c r="AI271" s="64">
        <f t="shared" si="4"/>
        <v>257</v>
      </c>
      <c r="AJ271" s="97">
        <f t="shared" si="5"/>
        <v>15.85821012</v>
      </c>
    </row>
    <row r="272">
      <c r="A272" s="64" t="s">
        <v>28</v>
      </c>
      <c r="B272" s="65">
        <f t="shared" si="6"/>
        <v>45925</v>
      </c>
      <c r="C272" s="64">
        <v>10.0</v>
      </c>
      <c r="D272" s="66" t="s">
        <v>33</v>
      </c>
      <c r="E272" s="45" t="s">
        <v>40</v>
      </c>
      <c r="F272" s="47">
        <v>0.0</v>
      </c>
      <c r="H272" s="49">
        <v>0.0</v>
      </c>
      <c r="J272" s="49">
        <v>0.0</v>
      </c>
      <c r="L272" s="110">
        <v>81.0</v>
      </c>
      <c r="N272" s="100">
        <v>81.0</v>
      </c>
      <c r="P272" s="100">
        <v>0.0</v>
      </c>
      <c r="R272" s="100">
        <v>45.0</v>
      </c>
      <c r="T272" s="100">
        <v>0.0</v>
      </c>
      <c r="V272" s="100">
        <v>0.0</v>
      </c>
      <c r="X272" s="50">
        <v>0.0</v>
      </c>
      <c r="Z272" s="52">
        <v>25.0</v>
      </c>
      <c r="AB272" s="52">
        <v>25.0</v>
      </c>
      <c r="AD272" s="52">
        <v>0.0</v>
      </c>
      <c r="AE272" s="28"/>
      <c r="AF272" s="96">
        <f t="shared" si="1"/>
        <v>4075.56</v>
      </c>
      <c r="AG272" s="64">
        <f t="shared" si="2"/>
        <v>257</v>
      </c>
      <c r="AH272" s="64">
        <f t="shared" si="3"/>
        <v>0</v>
      </c>
      <c r="AI272" s="64">
        <f t="shared" si="4"/>
        <v>257</v>
      </c>
      <c r="AJ272" s="97">
        <f t="shared" si="5"/>
        <v>15.85821012</v>
      </c>
    </row>
    <row r="273">
      <c r="A273" s="64" t="s">
        <v>29</v>
      </c>
      <c r="B273" s="65">
        <f t="shared" si="6"/>
        <v>45926</v>
      </c>
      <c r="C273" s="64">
        <v>10.0</v>
      </c>
      <c r="D273" s="66" t="s">
        <v>33</v>
      </c>
      <c r="E273" s="45" t="s">
        <v>40</v>
      </c>
      <c r="F273" s="47">
        <v>0.0</v>
      </c>
      <c r="H273" s="49">
        <v>0.0</v>
      </c>
      <c r="J273" s="49">
        <v>0.0</v>
      </c>
      <c r="L273" s="110">
        <v>81.0</v>
      </c>
      <c r="N273" s="100">
        <v>81.0</v>
      </c>
      <c r="P273" s="100">
        <v>0.0</v>
      </c>
      <c r="R273" s="100">
        <v>45.0</v>
      </c>
      <c r="T273" s="100">
        <v>0.0</v>
      </c>
      <c r="V273" s="100">
        <v>0.0</v>
      </c>
      <c r="X273" s="50">
        <v>0.0</v>
      </c>
      <c r="Z273" s="52">
        <v>25.0</v>
      </c>
      <c r="AB273" s="52">
        <v>25.0</v>
      </c>
      <c r="AD273" s="52">
        <v>0.0</v>
      </c>
      <c r="AE273" s="28"/>
      <c r="AF273" s="96">
        <f t="shared" si="1"/>
        <v>4075.56</v>
      </c>
      <c r="AG273" s="64">
        <f t="shared" si="2"/>
        <v>257</v>
      </c>
      <c r="AH273" s="64">
        <f t="shared" si="3"/>
        <v>0</v>
      </c>
      <c r="AI273" s="64">
        <f t="shared" si="4"/>
        <v>257</v>
      </c>
      <c r="AJ273" s="97">
        <f t="shared" si="5"/>
        <v>15.85821012</v>
      </c>
    </row>
    <row r="274">
      <c r="A274" s="64" t="s">
        <v>30</v>
      </c>
      <c r="B274" s="65">
        <f t="shared" si="6"/>
        <v>45927</v>
      </c>
      <c r="C274" s="64">
        <v>10.0</v>
      </c>
      <c r="D274" s="66" t="s">
        <v>33</v>
      </c>
      <c r="E274" s="45" t="s">
        <v>40</v>
      </c>
      <c r="F274" s="47">
        <v>0.0</v>
      </c>
      <c r="H274" s="49">
        <v>0.0</v>
      </c>
      <c r="J274" s="49">
        <v>0.0</v>
      </c>
      <c r="L274" s="110">
        <v>81.0</v>
      </c>
      <c r="N274" s="100">
        <v>81.0</v>
      </c>
      <c r="P274" s="100">
        <v>0.0</v>
      </c>
      <c r="R274" s="100">
        <v>45.0</v>
      </c>
      <c r="T274" s="100">
        <v>0.0</v>
      </c>
      <c r="V274" s="100">
        <v>0.0</v>
      </c>
      <c r="X274" s="50">
        <v>0.0</v>
      </c>
      <c r="Z274" s="52">
        <v>25.0</v>
      </c>
      <c r="AB274" s="52">
        <v>25.0</v>
      </c>
      <c r="AD274" s="52">
        <v>0.0</v>
      </c>
      <c r="AE274" s="28"/>
      <c r="AF274" s="96">
        <f t="shared" si="1"/>
        <v>4075.56</v>
      </c>
      <c r="AG274" s="64">
        <f t="shared" si="2"/>
        <v>257</v>
      </c>
      <c r="AH274" s="64">
        <f t="shared" si="3"/>
        <v>0</v>
      </c>
      <c r="AI274" s="64">
        <f t="shared" si="4"/>
        <v>257</v>
      </c>
      <c r="AJ274" s="97">
        <f t="shared" si="5"/>
        <v>15.85821012</v>
      </c>
    </row>
    <row r="275">
      <c r="A275" s="83" t="s">
        <v>31</v>
      </c>
      <c r="B275" s="84">
        <f t="shared" si="6"/>
        <v>45928</v>
      </c>
      <c r="C275" s="83">
        <v>10.0</v>
      </c>
      <c r="D275" s="85" t="s">
        <v>33</v>
      </c>
      <c r="E275" s="106" t="s">
        <v>40</v>
      </c>
      <c r="F275" s="87">
        <v>0.0</v>
      </c>
      <c r="G275" s="75"/>
      <c r="H275" s="88">
        <v>0.0</v>
      </c>
      <c r="I275" s="75"/>
      <c r="J275" s="88">
        <v>0.0</v>
      </c>
      <c r="K275" s="75"/>
      <c r="L275" s="113">
        <v>0.0</v>
      </c>
      <c r="M275" s="75"/>
      <c r="N275" s="107">
        <v>0.0</v>
      </c>
      <c r="O275" s="75"/>
      <c r="P275" s="107">
        <v>0.0</v>
      </c>
      <c r="Q275" s="75"/>
      <c r="R275" s="107">
        <v>0.0</v>
      </c>
      <c r="S275" s="75"/>
      <c r="T275" s="107">
        <v>0.0</v>
      </c>
      <c r="U275" s="75"/>
      <c r="V275" s="107">
        <v>0.0</v>
      </c>
      <c r="W275" s="75"/>
      <c r="X275" s="89">
        <v>0.0</v>
      </c>
      <c r="Y275" s="75"/>
      <c r="Z275" s="90">
        <v>0.0</v>
      </c>
      <c r="AA275" s="75"/>
      <c r="AB275" s="90">
        <v>0.0</v>
      </c>
      <c r="AC275" s="75"/>
      <c r="AD275" s="90">
        <v>0.0</v>
      </c>
      <c r="AE275" s="77"/>
      <c r="AF275" s="98">
        <f t="shared" si="1"/>
        <v>0</v>
      </c>
      <c r="AG275" s="83">
        <f t="shared" si="2"/>
        <v>0</v>
      </c>
      <c r="AH275" s="83">
        <f t="shared" si="3"/>
        <v>0</v>
      </c>
      <c r="AI275" s="83">
        <f t="shared" si="4"/>
        <v>0</v>
      </c>
      <c r="AJ275" s="152" t="str">
        <f t="shared" si="5"/>
        <v/>
      </c>
    </row>
    <row r="276">
      <c r="A276" s="42" t="s">
        <v>23</v>
      </c>
      <c r="B276" s="43">
        <f t="shared" si="6"/>
        <v>45929</v>
      </c>
      <c r="C276" s="42">
        <v>10.0</v>
      </c>
      <c r="D276" s="44" t="s">
        <v>36</v>
      </c>
      <c r="E276" s="99" t="s">
        <v>40</v>
      </c>
      <c r="F276" s="47">
        <v>0.0</v>
      </c>
      <c r="H276" s="49">
        <v>0.0</v>
      </c>
      <c r="J276" s="49">
        <v>0.0</v>
      </c>
      <c r="L276" s="110">
        <v>81.0</v>
      </c>
      <c r="N276" s="100">
        <v>81.0</v>
      </c>
      <c r="P276" s="100">
        <v>0.0</v>
      </c>
      <c r="R276" s="100">
        <v>45.0</v>
      </c>
      <c r="T276" s="100">
        <v>1.0</v>
      </c>
      <c r="V276" s="100">
        <v>1.0</v>
      </c>
      <c r="X276" s="56">
        <v>0.0</v>
      </c>
      <c r="Y276" s="57"/>
      <c r="Z276" s="58">
        <v>25.0</v>
      </c>
      <c r="AA276" s="57"/>
      <c r="AB276" s="58">
        <v>25.0</v>
      </c>
      <c r="AC276" s="57"/>
      <c r="AD276" s="58">
        <v>0.0</v>
      </c>
      <c r="AE276" s="59"/>
      <c r="AF276" s="94">
        <f t="shared" si="1"/>
        <v>4840.69</v>
      </c>
      <c r="AG276" s="42">
        <f t="shared" si="2"/>
        <v>257</v>
      </c>
      <c r="AH276" s="42">
        <f t="shared" si="3"/>
        <v>2</v>
      </c>
      <c r="AI276" s="42">
        <f t="shared" si="4"/>
        <v>259</v>
      </c>
      <c r="AJ276" s="95">
        <f t="shared" si="5"/>
        <v>18.68992278</v>
      </c>
    </row>
    <row r="277">
      <c r="A277" s="64" t="s">
        <v>26</v>
      </c>
      <c r="B277" s="65">
        <f t="shared" si="6"/>
        <v>45930</v>
      </c>
      <c r="C277" s="64">
        <v>10.0</v>
      </c>
      <c r="D277" s="66" t="s">
        <v>36</v>
      </c>
      <c r="E277" s="45" t="s">
        <v>40</v>
      </c>
      <c r="F277" s="47">
        <v>0.0</v>
      </c>
      <c r="H277" s="49">
        <v>0.0</v>
      </c>
      <c r="J277" s="49">
        <v>0.0</v>
      </c>
      <c r="L277" s="110">
        <v>81.0</v>
      </c>
      <c r="N277" s="100">
        <v>81.0</v>
      </c>
      <c r="P277" s="100">
        <v>0.0</v>
      </c>
      <c r="R277" s="100">
        <v>45.0</v>
      </c>
      <c r="T277" s="100">
        <v>0.0</v>
      </c>
      <c r="V277" s="100">
        <v>0.0</v>
      </c>
      <c r="X277" s="50">
        <v>0.0</v>
      </c>
      <c r="Z277" s="52">
        <v>25.0</v>
      </c>
      <c r="AB277" s="52">
        <v>25.0</v>
      </c>
      <c r="AD277" s="52">
        <v>0.0</v>
      </c>
      <c r="AE277" s="28"/>
      <c r="AF277" s="96">
        <f t="shared" si="1"/>
        <v>4075.56</v>
      </c>
      <c r="AG277" s="64">
        <f t="shared" si="2"/>
        <v>257</v>
      </c>
      <c r="AH277" s="64">
        <f t="shared" si="3"/>
        <v>0</v>
      </c>
      <c r="AI277" s="64">
        <f t="shared" si="4"/>
        <v>257</v>
      </c>
      <c r="AJ277" s="97">
        <f t="shared" si="5"/>
        <v>15.85821012</v>
      </c>
    </row>
    <row r="278">
      <c r="A278" s="64" t="s">
        <v>27</v>
      </c>
      <c r="B278" s="65">
        <f t="shared" si="6"/>
        <v>45931</v>
      </c>
      <c r="C278" s="64">
        <v>10.0</v>
      </c>
      <c r="D278" s="66" t="s">
        <v>36</v>
      </c>
      <c r="E278" s="45" t="s">
        <v>40</v>
      </c>
      <c r="F278" s="47">
        <v>0.0</v>
      </c>
      <c r="H278" s="49">
        <v>0.0</v>
      </c>
      <c r="J278" s="49">
        <v>0.0</v>
      </c>
      <c r="L278" s="110">
        <v>60.0</v>
      </c>
      <c r="N278" s="100">
        <v>60.0</v>
      </c>
      <c r="P278" s="100">
        <v>0.0</v>
      </c>
      <c r="R278" s="100">
        <v>45.0</v>
      </c>
      <c r="T278" s="100">
        <v>0.0</v>
      </c>
      <c r="V278" s="100">
        <v>0.0</v>
      </c>
      <c r="X278" s="50">
        <v>0.0</v>
      </c>
      <c r="Z278" s="52">
        <v>25.0</v>
      </c>
      <c r="AB278" s="52">
        <v>25.0</v>
      </c>
      <c r="AD278" s="52">
        <v>0.0</v>
      </c>
      <c r="AE278" s="28"/>
      <c r="AF278" s="96">
        <f t="shared" si="1"/>
        <v>3330.9</v>
      </c>
      <c r="AG278" s="64">
        <f t="shared" si="2"/>
        <v>215</v>
      </c>
      <c r="AH278" s="64">
        <f t="shared" si="3"/>
        <v>0</v>
      </c>
      <c r="AI278" s="64">
        <f t="shared" si="4"/>
        <v>215</v>
      </c>
      <c r="AJ278" s="97">
        <f t="shared" si="5"/>
        <v>15.49255814</v>
      </c>
    </row>
    <row r="279">
      <c r="A279" s="64" t="s">
        <v>28</v>
      </c>
      <c r="B279" s="65">
        <f t="shared" si="6"/>
        <v>45932</v>
      </c>
      <c r="C279" s="64">
        <v>10.0</v>
      </c>
      <c r="D279" s="66" t="s">
        <v>36</v>
      </c>
      <c r="E279" s="45" t="s">
        <v>40</v>
      </c>
      <c r="F279" s="47">
        <v>0.0</v>
      </c>
      <c r="H279" s="49">
        <v>0.0</v>
      </c>
      <c r="J279" s="49">
        <v>0.0</v>
      </c>
      <c r="L279" s="110">
        <v>60.0</v>
      </c>
      <c r="N279" s="100">
        <v>60.0</v>
      </c>
      <c r="P279" s="100">
        <v>0.0</v>
      </c>
      <c r="R279" s="100">
        <v>45.0</v>
      </c>
      <c r="T279" s="100">
        <v>0.0</v>
      </c>
      <c r="V279" s="100">
        <v>0.0</v>
      </c>
      <c r="X279" s="50">
        <v>0.0</v>
      </c>
      <c r="Z279" s="52">
        <v>25.0</v>
      </c>
      <c r="AB279" s="52">
        <v>25.0</v>
      </c>
      <c r="AD279" s="52">
        <v>0.0</v>
      </c>
      <c r="AE279" s="28"/>
      <c r="AF279" s="96">
        <f t="shared" si="1"/>
        <v>3330.9</v>
      </c>
      <c r="AG279" s="64">
        <f t="shared" si="2"/>
        <v>215</v>
      </c>
      <c r="AH279" s="64">
        <f t="shared" si="3"/>
        <v>0</v>
      </c>
      <c r="AI279" s="64">
        <f t="shared" si="4"/>
        <v>215</v>
      </c>
      <c r="AJ279" s="97">
        <f t="shared" si="5"/>
        <v>15.49255814</v>
      </c>
    </row>
    <row r="280">
      <c r="A280" s="64" t="s">
        <v>29</v>
      </c>
      <c r="B280" s="65">
        <f t="shared" si="6"/>
        <v>45933</v>
      </c>
      <c r="C280" s="64">
        <v>10.0</v>
      </c>
      <c r="D280" s="66" t="s">
        <v>36</v>
      </c>
      <c r="E280" s="45" t="s">
        <v>40</v>
      </c>
      <c r="F280" s="47">
        <v>0.0</v>
      </c>
      <c r="H280" s="49">
        <v>0.0</v>
      </c>
      <c r="J280" s="49">
        <v>0.0</v>
      </c>
      <c r="L280" s="110">
        <v>60.0</v>
      </c>
      <c r="N280" s="100">
        <v>60.0</v>
      </c>
      <c r="P280" s="100">
        <v>0.0</v>
      </c>
      <c r="R280" s="100">
        <v>45.0</v>
      </c>
      <c r="T280" s="100">
        <v>0.0</v>
      </c>
      <c r="V280" s="100">
        <v>0.0</v>
      </c>
      <c r="X280" s="50">
        <v>0.0</v>
      </c>
      <c r="Z280" s="52">
        <v>25.0</v>
      </c>
      <c r="AB280" s="52">
        <v>25.0</v>
      </c>
      <c r="AD280" s="52">
        <v>0.0</v>
      </c>
      <c r="AE280" s="28"/>
      <c r="AF280" s="96">
        <f t="shared" si="1"/>
        <v>3330.9</v>
      </c>
      <c r="AG280" s="64">
        <f t="shared" si="2"/>
        <v>215</v>
      </c>
      <c r="AH280" s="64">
        <f t="shared" si="3"/>
        <v>0</v>
      </c>
      <c r="AI280" s="64">
        <f t="shared" si="4"/>
        <v>215</v>
      </c>
      <c r="AJ280" s="97">
        <f t="shared" si="5"/>
        <v>15.49255814</v>
      </c>
    </row>
    <row r="281">
      <c r="A281" s="64" t="s">
        <v>30</v>
      </c>
      <c r="B281" s="65">
        <f t="shared" si="6"/>
        <v>45934</v>
      </c>
      <c r="C281" s="64">
        <v>10.0</v>
      </c>
      <c r="D281" s="66" t="s">
        <v>36</v>
      </c>
      <c r="E281" s="45" t="s">
        <v>40</v>
      </c>
      <c r="F281" s="47">
        <v>0.0</v>
      </c>
      <c r="H281" s="49">
        <v>0.0</v>
      </c>
      <c r="J281" s="49">
        <v>0.0</v>
      </c>
      <c r="L281" s="110">
        <v>60.0</v>
      </c>
      <c r="N281" s="100">
        <v>60.0</v>
      </c>
      <c r="P281" s="100">
        <v>0.0</v>
      </c>
      <c r="R281" s="100">
        <v>45.0</v>
      </c>
      <c r="T281" s="100">
        <v>0.0</v>
      </c>
      <c r="V281" s="100">
        <v>0.0</v>
      </c>
      <c r="X281" s="50">
        <v>0.0</v>
      </c>
      <c r="Z281" s="52">
        <v>25.0</v>
      </c>
      <c r="AB281" s="52">
        <v>25.0</v>
      </c>
      <c r="AD281" s="52">
        <v>0.0</v>
      </c>
      <c r="AE281" s="28"/>
      <c r="AF281" s="96">
        <f t="shared" si="1"/>
        <v>3330.9</v>
      </c>
      <c r="AG281" s="64">
        <f t="shared" si="2"/>
        <v>215</v>
      </c>
      <c r="AH281" s="64">
        <f t="shared" si="3"/>
        <v>0</v>
      </c>
      <c r="AI281" s="64">
        <f t="shared" si="4"/>
        <v>215</v>
      </c>
      <c r="AJ281" s="97">
        <f t="shared" si="5"/>
        <v>15.49255814</v>
      </c>
    </row>
    <row r="282">
      <c r="A282" s="83" t="s">
        <v>31</v>
      </c>
      <c r="B282" s="84">
        <f t="shared" si="6"/>
        <v>45935</v>
      </c>
      <c r="C282" s="83">
        <v>10.0</v>
      </c>
      <c r="D282" s="85" t="s">
        <v>36</v>
      </c>
      <c r="E282" s="106" t="s">
        <v>40</v>
      </c>
      <c r="F282" s="87">
        <v>0.0</v>
      </c>
      <c r="G282" s="75"/>
      <c r="H282" s="88">
        <v>0.0</v>
      </c>
      <c r="I282" s="75"/>
      <c r="J282" s="88">
        <v>0.0</v>
      </c>
      <c r="K282" s="75"/>
      <c r="L282" s="113">
        <v>0.0</v>
      </c>
      <c r="M282" s="75"/>
      <c r="N282" s="107">
        <v>0.0</v>
      </c>
      <c r="O282" s="75"/>
      <c r="P282" s="107">
        <v>0.0</v>
      </c>
      <c r="Q282" s="75"/>
      <c r="R282" s="107">
        <v>0.0</v>
      </c>
      <c r="S282" s="75"/>
      <c r="T282" s="107">
        <v>0.0</v>
      </c>
      <c r="U282" s="75"/>
      <c r="V282" s="107">
        <v>0.0</v>
      </c>
      <c r="W282" s="75"/>
      <c r="X282" s="89">
        <v>0.0</v>
      </c>
      <c r="Y282" s="75"/>
      <c r="Z282" s="90">
        <v>0.0</v>
      </c>
      <c r="AA282" s="75"/>
      <c r="AB282" s="90">
        <v>0.0</v>
      </c>
      <c r="AC282" s="75"/>
      <c r="AD282" s="90">
        <v>0.0</v>
      </c>
      <c r="AE282" s="77"/>
      <c r="AF282" s="98">
        <f t="shared" si="1"/>
        <v>0</v>
      </c>
      <c r="AG282" s="83">
        <f t="shared" si="2"/>
        <v>0</v>
      </c>
      <c r="AH282" s="83">
        <f t="shared" si="3"/>
        <v>0</v>
      </c>
      <c r="AI282" s="83">
        <f t="shared" si="4"/>
        <v>0</v>
      </c>
      <c r="AJ282" s="152" t="str">
        <f t="shared" si="5"/>
        <v/>
      </c>
    </row>
    <row r="283">
      <c r="A283" s="42" t="s">
        <v>23</v>
      </c>
      <c r="B283" s="43">
        <f t="shared" si="6"/>
        <v>45936</v>
      </c>
      <c r="C283" s="42">
        <v>11.0</v>
      </c>
      <c r="D283" s="44" t="s">
        <v>24</v>
      </c>
      <c r="E283" s="99" t="s">
        <v>40</v>
      </c>
      <c r="F283" s="47">
        <v>0.0</v>
      </c>
      <c r="H283" s="49">
        <v>0.0</v>
      </c>
      <c r="J283" s="49">
        <v>0.0</v>
      </c>
      <c r="L283" s="110">
        <v>60.0</v>
      </c>
      <c r="N283" s="100">
        <v>60.0</v>
      </c>
      <c r="P283" s="100">
        <v>0.0</v>
      </c>
      <c r="R283" s="100">
        <v>45.0</v>
      </c>
      <c r="T283" s="100">
        <v>1.0</v>
      </c>
      <c r="V283" s="100">
        <v>1.0</v>
      </c>
      <c r="X283" s="56">
        <v>0.0</v>
      </c>
      <c r="Y283" s="57"/>
      <c r="Z283" s="58">
        <v>25.0</v>
      </c>
      <c r="AA283" s="57"/>
      <c r="AB283" s="58">
        <v>25.0</v>
      </c>
      <c r="AC283" s="57"/>
      <c r="AD283" s="58">
        <v>0.0</v>
      </c>
      <c r="AE283" s="59"/>
      <c r="AF283" s="94">
        <f t="shared" si="1"/>
        <v>4096.03</v>
      </c>
      <c r="AG283" s="42">
        <f t="shared" si="2"/>
        <v>215</v>
      </c>
      <c r="AH283" s="42">
        <f t="shared" si="3"/>
        <v>2</v>
      </c>
      <c r="AI283" s="42">
        <f t="shared" si="4"/>
        <v>217</v>
      </c>
      <c r="AJ283" s="95">
        <f t="shared" si="5"/>
        <v>18.87571429</v>
      </c>
    </row>
    <row r="284">
      <c r="A284" s="64" t="s">
        <v>26</v>
      </c>
      <c r="B284" s="65">
        <f t="shared" si="6"/>
        <v>45937</v>
      </c>
      <c r="C284" s="64">
        <v>11.0</v>
      </c>
      <c r="D284" s="66" t="s">
        <v>24</v>
      </c>
      <c r="E284" s="45" t="s">
        <v>40</v>
      </c>
      <c r="F284" s="47">
        <v>0.0</v>
      </c>
      <c r="H284" s="49">
        <v>0.0</v>
      </c>
      <c r="J284" s="49">
        <v>0.0</v>
      </c>
      <c r="L284" s="110">
        <v>60.0</v>
      </c>
      <c r="N284" s="100">
        <v>60.0</v>
      </c>
      <c r="P284" s="100">
        <v>0.0</v>
      </c>
      <c r="R284" s="100">
        <v>45.0</v>
      </c>
      <c r="T284" s="100">
        <v>0.0</v>
      </c>
      <c r="V284" s="100">
        <v>0.0</v>
      </c>
      <c r="X284" s="50">
        <v>0.0</v>
      </c>
      <c r="Z284" s="52">
        <v>25.0</v>
      </c>
      <c r="AB284" s="52">
        <v>25.0</v>
      </c>
      <c r="AD284" s="52">
        <v>0.0</v>
      </c>
      <c r="AE284" s="28"/>
      <c r="AF284" s="96">
        <f t="shared" si="1"/>
        <v>3330.9</v>
      </c>
      <c r="AG284" s="64">
        <f t="shared" si="2"/>
        <v>215</v>
      </c>
      <c r="AH284" s="64">
        <f t="shared" si="3"/>
        <v>0</v>
      </c>
      <c r="AI284" s="64">
        <f t="shared" si="4"/>
        <v>215</v>
      </c>
      <c r="AJ284" s="97">
        <f t="shared" si="5"/>
        <v>15.49255814</v>
      </c>
    </row>
    <row r="285">
      <c r="A285" s="64" t="s">
        <v>27</v>
      </c>
      <c r="B285" s="65">
        <f t="shared" si="6"/>
        <v>45938</v>
      </c>
      <c r="C285" s="64">
        <v>11.0</v>
      </c>
      <c r="D285" s="66" t="s">
        <v>24</v>
      </c>
      <c r="E285" s="45" t="s">
        <v>40</v>
      </c>
      <c r="F285" s="47">
        <v>0.0</v>
      </c>
      <c r="H285" s="49">
        <v>0.0</v>
      </c>
      <c r="J285" s="49">
        <v>0.0</v>
      </c>
      <c r="L285" s="110">
        <v>60.0</v>
      </c>
      <c r="N285" s="100">
        <v>60.0</v>
      </c>
      <c r="P285" s="100">
        <v>0.0</v>
      </c>
      <c r="R285" s="100">
        <v>45.0</v>
      </c>
      <c r="T285" s="100">
        <v>0.0</v>
      </c>
      <c r="V285" s="100">
        <v>0.0</v>
      </c>
      <c r="X285" s="50">
        <v>0.0</v>
      </c>
      <c r="Z285" s="52">
        <v>25.0</v>
      </c>
      <c r="AB285" s="52">
        <v>25.0</v>
      </c>
      <c r="AD285" s="52">
        <v>0.0</v>
      </c>
      <c r="AE285" s="28"/>
      <c r="AF285" s="96">
        <f t="shared" si="1"/>
        <v>3330.9</v>
      </c>
      <c r="AG285" s="64">
        <f t="shared" si="2"/>
        <v>215</v>
      </c>
      <c r="AH285" s="64">
        <f t="shared" si="3"/>
        <v>0</v>
      </c>
      <c r="AI285" s="64">
        <f t="shared" si="4"/>
        <v>215</v>
      </c>
      <c r="AJ285" s="97">
        <f t="shared" si="5"/>
        <v>15.49255814</v>
      </c>
    </row>
    <row r="286">
      <c r="A286" s="64" t="s">
        <v>28</v>
      </c>
      <c r="B286" s="65">
        <f t="shared" si="6"/>
        <v>45939</v>
      </c>
      <c r="C286" s="64">
        <v>11.0</v>
      </c>
      <c r="D286" s="66" t="s">
        <v>24</v>
      </c>
      <c r="E286" s="45" t="s">
        <v>40</v>
      </c>
      <c r="F286" s="47">
        <v>0.0</v>
      </c>
      <c r="H286" s="49">
        <v>0.0</v>
      </c>
      <c r="J286" s="49">
        <v>0.0</v>
      </c>
      <c r="L286" s="110">
        <v>60.0</v>
      </c>
      <c r="N286" s="100">
        <v>60.0</v>
      </c>
      <c r="P286" s="100">
        <v>0.0</v>
      </c>
      <c r="R286" s="100">
        <v>45.0</v>
      </c>
      <c r="T286" s="100">
        <v>0.0</v>
      </c>
      <c r="V286" s="100">
        <v>0.0</v>
      </c>
      <c r="X286" s="50">
        <v>0.0</v>
      </c>
      <c r="Z286" s="52">
        <v>25.0</v>
      </c>
      <c r="AB286" s="52">
        <v>25.0</v>
      </c>
      <c r="AD286" s="52">
        <v>0.0</v>
      </c>
      <c r="AE286" s="28"/>
      <c r="AF286" s="96">
        <f t="shared" si="1"/>
        <v>3330.9</v>
      </c>
      <c r="AG286" s="64">
        <f t="shared" si="2"/>
        <v>215</v>
      </c>
      <c r="AH286" s="64">
        <f t="shared" si="3"/>
        <v>0</v>
      </c>
      <c r="AI286" s="64">
        <f t="shared" si="4"/>
        <v>215</v>
      </c>
      <c r="AJ286" s="97">
        <f t="shared" si="5"/>
        <v>15.49255814</v>
      </c>
    </row>
    <row r="287">
      <c r="A287" s="64" t="s">
        <v>29</v>
      </c>
      <c r="B287" s="65">
        <f t="shared" si="6"/>
        <v>45940</v>
      </c>
      <c r="C287" s="64">
        <v>11.0</v>
      </c>
      <c r="D287" s="66" t="s">
        <v>24</v>
      </c>
      <c r="E287" s="45" t="s">
        <v>40</v>
      </c>
      <c r="F287" s="47">
        <v>0.0</v>
      </c>
      <c r="H287" s="49">
        <v>0.0</v>
      </c>
      <c r="J287" s="49">
        <v>0.0</v>
      </c>
      <c r="L287" s="110">
        <v>60.0</v>
      </c>
      <c r="N287" s="100">
        <v>60.0</v>
      </c>
      <c r="P287" s="100">
        <v>0.0</v>
      </c>
      <c r="R287" s="100">
        <v>45.0</v>
      </c>
      <c r="T287" s="100">
        <v>0.0</v>
      </c>
      <c r="V287" s="100">
        <v>0.0</v>
      </c>
      <c r="X287" s="50">
        <v>0.0</v>
      </c>
      <c r="Z287" s="52">
        <v>25.0</v>
      </c>
      <c r="AB287" s="52">
        <v>25.0</v>
      </c>
      <c r="AD287" s="52">
        <v>0.0</v>
      </c>
      <c r="AE287" s="28"/>
      <c r="AF287" s="96">
        <f t="shared" si="1"/>
        <v>3330.9</v>
      </c>
      <c r="AG287" s="64">
        <f t="shared" si="2"/>
        <v>215</v>
      </c>
      <c r="AH287" s="64">
        <f t="shared" si="3"/>
        <v>0</v>
      </c>
      <c r="AI287" s="64">
        <f t="shared" si="4"/>
        <v>215</v>
      </c>
      <c r="AJ287" s="97">
        <f t="shared" si="5"/>
        <v>15.49255814</v>
      </c>
    </row>
    <row r="288">
      <c r="A288" s="64" t="s">
        <v>30</v>
      </c>
      <c r="B288" s="65">
        <f t="shared" si="6"/>
        <v>45941</v>
      </c>
      <c r="C288" s="64">
        <v>11.0</v>
      </c>
      <c r="D288" s="66" t="s">
        <v>24</v>
      </c>
      <c r="E288" s="45" t="s">
        <v>40</v>
      </c>
      <c r="F288" s="47">
        <v>0.0</v>
      </c>
      <c r="H288" s="49">
        <v>0.0</v>
      </c>
      <c r="J288" s="49">
        <v>0.0</v>
      </c>
      <c r="L288" s="110">
        <v>60.0</v>
      </c>
      <c r="N288" s="100">
        <v>60.0</v>
      </c>
      <c r="P288" s="100">
        <v>0.0</v>
      </c>
      <c r="R288" s="100">
        <v>45.0</v>
      </c>
      <c r="T288" s="100">
        <v>0.0</v>
      </c>
      <c r="V288" s="100">
        <v>0.0</v>
      </c>
      <c r="X288" s="50">
        <v>0.0</v>
      </c>
      <c r="Z288" s="52">
        <v>0.0</v>
      </c>
      <c r="AB288" s="52">
        <v>0.0</v>
      </c>
      <c r="AD288" s="52">
        <v>0.0</v>
      </c>
      <c r="AE288" s="28"/>
      <c r="AF288" s="96">
        <f t="shared" si="1"/>
        <v>2444.4</v>
      </c>
      <c r="AG288" s="64">
        <f t="shared" si="2"/>
        <v>165</v>
      </c>
      <c r="AH288" s="64">
        <f t="shared" si="3"/>
        <v>0</v>
      </c>
      <c r="AI288" s="64">
        <f t="shared" si="4"/>
        <v>165</v>
      </c>
      <c r="AJ288" s="97">
        <f t="shared" si="5"/>
        <v>14.81454545</v>
      </c>
    </row>
    <row r="289">
      <c r="A289" s="83" t="s">
        <v>31</v>
      </c>
      <c r="B289" s="84">
        <f t="shared" si="6"/>
        <v>45942</v>
      </c>
      <c r="C289" s="83">
        <v>11.0</v>
      </c>
      <c r="D289" s="85" t="s">
        <v>24</v>
      </c>
      <c r="E289" s="106" t="s">
        <v>40</v>
      </c>
      <c r="F289" s="87">
        <v>0.0</v>
      </c>
      <c r="G289" s="75"/>
      <c r="H289" s="88">
        <v>0.0</v>
      </c>
      <c r="I289" s="75"/>
      <c r="J289" s="88">
        <v>0.0</v>
      </c>
      <c r="K289" s="75"/>
      <c r="L289" s="113">
        <v>0.0</v>
      </c>
      <c r="M289" s="75"/>
      <c r="N289" s="107">
        <v>0.0</v>
      </c>
      <c r="O289" s="75"/>
      <c r="P289" s="107">
        <v>0.0</v>
      </c>
      <c r="Q289" s="75"/>
      <c r="R289" s="107">
        <v>0.0</v>
      </c>
      <c r="S289" s="75"/>
      <c r="T289" s="107">
        <v>0.0</v>
      </c>
      <c r="U289" s="75"/>
      <c r="V289" s="107">
        <v>0.0</v>
      </c>
      <c r="W289" s="75"/>
      <c r="X289" s="89">
        <v>0.0</v>
      </c>
      <c r="Y289" s="75"/>
      <c r="Z289" s="90">
        <v>0.0</v>
      </c>
      <c r="AA289" s="75"/>
      <c r="AB289" s="90">
        <v>0.0</v>
      </c>
      <c r="AC289" s="75"/>
      <c r="AD289" s="90">
        <v>0.0</v>
      </c>
      <c r="AE289" s="77"/>
      <c r="AF289" s="98">
        <f t="shared" si="1"/>
        <v>0</v>
      </c>
      <c r="AG289" s="83">
        <f t="shared" si="2"/>
        <v>0</v>
      </c>
      <c r="AH289" s="83">
        <f t="shared" si="3"/>
        <v>0</v>
      </c>
      <c r="AI289" s="83">
        <f t="shared" si="4"/>
        <v>0</v>
      </c>
      <c r="AJ289" s="152" t="str">
        <f t="shared" si="5"/>
        <v/>
      </c>
    </row>
    <row r="290">
      <c r="A290" s="42" t="s">
        <v>23</v>
      </c>
      <c r="B290" s="43">
        <f t="shared" si="6"/>
        <v>45943</v>
      </c>
      <c r="C290" s="42">
        <v>11.0</v>
      </c>
      <c r="D290" s="44" t="s">
        <v>32</v>
      </c>
      <c r="E290" s="99" t="s">
        <v>40</v>
      </c>
      <c r="F290" s="47">
        <v>0.0</v>
      </c>
      <c r="H290" s="49">
        <v>0.0</v>
      </c>
      <c r="J290" s="49">
        <v>0.0</v>
      </c>
      <c r="L290" s="110">
        <v>60.0</v>
      </c>
      <c r="N290" s="100">
        <v>60.0</v>
      </c>
      <c r="P290" s="100">
        <v>0.0</v>
      </c>
      <c r="R290" s="100">
        <v>45.0</v>
      </c>
      <c r="T290" s="100">
        <v>1.0</v>
      </c>
      <c r="V290" s="100">
        <v>1.0</v>
      </c>
      <c r="X290" s="56">
        <v>0.0</v>
      </c>
      <c r="Y290" s="57"/>
      <c r="Z290" s="58">
        <v>25.0</v>
      </c>
      <c r="AA290" s="57"/>
      <c r="AB290" s="58">
        <v>25.0</v>
      </c>
      <c r="AC290" s="57"/>
      <c r="AD290" s="58">
        <v>0.0</v>
      </c>
      <c r="AE290" s="59"/>
      <c r="AF290" s="94">
        <f t="shared" si="1"/>
        <v>4096.03</v>
      </c>
      <c r="AG290" s="42">
        <f t="shared" si="2"/>
        <v>215</v>
      </c>
      <c r="AH290" s="42">
        <f t="shared" si="3"/>
        <v>2</v>
      </c>
      <c r="AI290" s="42">
        <f t="shared" si="4"/>
        <v>217</v>
      </c>
      <c r="AJ290" s="95">
        <f t="shared" si="5"/>
        <v>18.87571429</v>
      </c>
    </row>
    <row r="291">
      <c r="A291" s="64" t="s">
        <v>26</v>
      </c>
      <c r="B291" s="65">
        <f t="shared" si="6"/>
        <v>45944</v>
      </c>
      <c r="C291" s="64">
        <v>11.0</v>
      </c>
      <c r="D291" s="66" t="s">
        <v>32</v>
      </c>
      <c r="E291" s="45" t="s">
        <v>40</v>
      </c>
      <c r="F291" s="47">
        <v>0.0</v>
      </c>
      <c r="H291" s="49">
        <v>0.0</v>
      </c>
      <c r="J291" s="49">
        <v>0.0</v>
      </c>
      <c r="L291" s="110">
        <v>60.0</v>
      </c>
      <c r="N291" s="100">
        <v>60.0</v>
      </c>
      <c r="P291" s="100">
        <v>0.0</v>
      </c>
      <c r="R291" s="100">
        <v>45.0</v>
      </c>
      <c r="T291" s="100">
        <v>0.0</v>
      </c>
      <c r="V291" s="100">
        <v>0.0</v>
      </c>
      <c r="X291" s="50">
        <v>0.0</v>
      </c>
      <c r="Z291" s="52">
        <v>25.0</v>
      </c>
      <c r="AB291" s="52">
        <v>25.0</v>
      </c>
      <c r="AD291" s="52">
        <v>0.0</v>
      </c>
      <c r="AE291" s="28"/>
      <c r="AF291" s="96">
        <f t="shared" si="1"/>
        <v>3330.9</v>
      </c>
      <c r="AG291" s="64">
        <f t="shared" si="2"/>
        <v>215</v>
      </c>
      <c r="AH291" s="64">
        <f t="shared" si="3"/>
        <v>0</v>
      </c>
      <c r="AI291" s="64">
        <f t="shared" si="4"/>
        <v>215</v>
      </c>
      <c r="AJ291" s="97">
        <f t="shared" si="5"/>
        <v>15.49255814</v>
      </c>
    </row>
    <row r="292">
      <c r="A292" s="64" t="s">
        <v>27</v>
      </c>
      <c r="B292" s="65">
        <f t="shared" si="6"/>
        <v>45945</v>
      </c>
      <c r="C292" s="64">
        <v>11.0</v>
      </c>
      <c r="D292" s="66" t="s">
        <v>32</v>
      </c>
      <c r="E292" s="45" t="s">
        <v>40</v>
      </c>
      <c r="F292" s="47">
        <v>0.0</v>
      </c>
      <c r="H292" s="49">
        <v>0.0</v>
      </c>
      <c r="J292" s="49">
        <v>0.0</v>
      </c>
      <c r="L292" s="110">
        <v>60.0</v>
      </c>
      <c r="N292" s="100">
        <v>60.0</v>
      </c>
      <c r="P292" s="100">
        <v>0.0</v>
      </c>
      <c r="R292" s="100">
        <v>45.0</v>
      </c>
      <c r="T292" s="100">
        <v>0.0</v>
      </c>
      <c r="V292" s="100">
        <v>0.0</v>
      </c>
      <c r="X292" s="50">
        <v>0.0</v>
      </c>
      <c r="Z292" s="52">
        <v>25.0</v>
      </c>
      <c r="AB292" s="52">
        <v>25.0</v>
      </c>
      <c r="AD292" s="52">
        <v>0.0</v>
      </c>
      <c r="AE292" s="28"/>
      <c r="AF292" s="96">
        <f t="shared" si="1"/>
        <v>3330.9</v>
      </c>
      <c r="AG292" s="64">
        <f t="shared" si="2"/>
        <v>215</v>
      </c>
      <c r="AH292" s="64">
        <f t="shared" si="3"/>
        <v>0</v>
      </c>
      <c r="AI292" s="64">
        <f t="shared" si="4"/>
        <v>215</v>
      </c>
      <c r="AJ292" s="97">
        <f t="shared" si="5"/>
        <v>15.49255814</v>
      </c>
    </row>
    <row r="293">
      <c r="A293" s="64" t="s">
        <v>28</v>
      </c>
      <c r="B293" s="65">
        <f t="shared" si="6"/>
        <v>45946</v>
      </c>
      <c r="C293" s="64">
        <v>11.0</v>
      </c>
      <c r="D293" s="66" t="s">
        <v>32</v>
      </c>
      <c r="E293" s="45" t="s">
        <v>40</v>
      </c>
      <c r="F293" s="47">
        <v>0.0</v>
      </c>
      <c r="H293" s="49">
        <v>0.0</v>
      </c>
      <c r="J293" s="49">
        <v>0.0</v>
      </c>
      <c r="L293" s="110">
        <v>60.0</v>
      </c>
      <c r="N293" s="100">
        <v>60.0</v>
      </c>
      <c r="P293" s="100">
        <v>0.0</v>
      </c>
      <c r="R293" s="100">
        <v>45.0</v>
      </c>
      <c r="T293" s="100">
        <v>0.0</v>
      </c>
      <c r="V293" s="100">
        <v>0.0</v>
      </c>
      <c r="X293" s="50">
        <v>0.0</v>
      </c>
      <c r="Z293" s="52">
        <v>25.0</v>
      </c>
      <c r="AB293" s="52">
        <v>25.0</v>
      </c>
      <c r="AD293" s="52">
        <v>0.0</v>
      </c>
      <c r="AE293" s="28"/>
      <c r="AF293" s="96">
        <f t="shared" si="1"/>
        <v>3330.9</v>
      </c>
      <c r="AG293" s="64">
        <f t="shared" si="2"/>
        <v>215</v>
      </c>
      <c r="AH293" s="64">
        <f t="shared" si="3"/>
        <v>0</v>
      </c>
      <c r="AI293" s="64">
        <f t="shared" si="4"/>
        <v>215</v>
      </c>
      <c r="AJ293" s="97">
        <f t="shared" si="5"/>
        <v>15.49255814</v>
      </c>
    </row>
    <row r="294">
      <c r="A294" s="64" t="s">
        <v>29</v>
      </c>
      <c r="B294" s="65">
        <f t="shared" si="6"/>
        <v>45947</v>
      </c>
      <c r="C294" s="64">
        <v>11.0</v>
      </c>
      <c r="D294" s="66" t="s">
        <v>32</v>
      </c>
      <c r="E294" s="45" t="s">
        <v>40</v>
      </c>
      <c r="F294" s="47">
        <v>0.0</v>
      </c>
      <c r="H294" s="49">
        <v>0.0</v>
      </c>
      <c r="J294" s="49">
        <v>0.0</v>
      </c>
      <c r="L294" s="110">
        <v>60.0</v>
      </c>
      <c r="N294" s="100">
        <v>60.0</v>
      </c>
      <c r="P294" s="100">
        <v>0.0</v>
      </c>
      <c r="R294" s="100">
        <v>45.0</v>
      </c>
      <c r="T294" s="100">
        <v>0.0</v>
      </c>
      <c r="V294" s="100">
        <v>0.0</v>
      </c>
      <c r="X294" s="50">
        <v>0.0</v>
      </c>
      <c r="Z294" s="52">
        <v>25.0</v>
      </c>
      <c r="AB294" s="52">
        <v>25.0</v>
      </c>
      <c r="AD294" s="52">
        <v>0.0</v>
      </c>
      <c r="AE294" s="28"/>
      <c r="AF294" s="96">
        <f t="shared" si="1"/>
        <v>3330.9</v>
      </c>
      <c r="AG294" s="64">
        <f t="shared" si="2"/>
        <v>215</v>
      </c>
      <c r="AH294" s="64">
        <f t="shared" si="3"/>
        <v>0</v>
      </c>
      <c r="AI294" s="64">
        <f t="shared" si="4"/>
        <v>215</v>
      </c>
      <c r="AJ294" s="97">
        <f t="shared" si="5"/>
        <v>15.49255814</v>
      </c>
    </row>
    <row r="295">
      <c r="A295" s="64" t="s">
        <v>30</v>
      </c>
      <c r="B295" s="65">
        <f t="shared" si="6"/>
        <v>45948</v>
      </c>
      <c r="C295" s="64">
        <v>11.0</v>
      </c>
      <c r="D295" s="66" t="s">
        <v>32</v>
      </c>
      <c r="E295" s="45" t="s">
        <v>40</v>
      </c>
      <c r="F295" s="47">
        <v>0.0</v>
      </c>
      <c r="H295" s="49">
        <v>0.0</v>
      </c>
      <c r="J295" s="49">
        <v>0.0</v>
      </c>
      <c r="L295" s="110">
        <v>60.0</v>
      </c>
      <c r="N295" s="100">
        <v>60.0</v>
      </c>
      <c r="P295" s="100">
        <v>0.0</v>
      </c>
      <c r="R295" s="100">
        <v>45.0</v>
      </c>
      <c r="T295" s="100">
        <v>0.0</v>
      </c>
      <c r="V295" s="100">
        <v>0.0</v>
      </c>
      <c r="X295" s="50">
        <v>0.0</v>
      </c>
      <c r="Z295" s="52">
        <v>0.0</v>
      </c>
      <c r="AB295" s="52">
        <v>0.0</v>
      </c>
      <c r="AD295" s="52">
        <v>0.0</v>
      </c>
      <c r="AE295" s="28"/>
      <c r="AF295" s="96">
        <f t="shared" si="1"/>
        <v>2444.4</v>
      </c>
      <c r="AG295" s="64">
        <f t="shared" si="2"/>
        <v>165</v>
      </c>
      <c r="AH295" s="64">
        <f t="shared" si="3"/>
        <v>0</v>
      </c>
      <c r="AI295" s="64">
        <f t="shared" si="4"/>
        <v>165</v>
      </c>
      <c r="AJ295" s="97">
        <f t="shared" si="5"/>
        <v>14.81454545</v>
      </c>
    </row>
    <row r="296">
      <c r="A296" s="83" t="s">
        <v>31</v>
      </c>
      <c r="B296" s="84">
        <f t="shared" si="6"/>
        <v>45949</v>
      </c>
      <c r="C296" s="83">
        <v>11.0</v>
      </c>
      <c r="D296" s="85" t="s">
        <v>32</v>
      </c>
      <c r="E296" s="106" t="s">
        <v>40</v>
      </c>
      <c r="F296" s="87">
        <v>0.0</v>
      </c>
      <c r="G296" s="75"/>
      <c r="H296" s="88">
        <v>0.0</v>
      </c>
      <c r="I296" s="75"/>
      <c r="J296" s="88">
        <v>0.0</v>
      </c>
      <c r="K296" s="75"/>
      <c r="L296" s="113">
        <v>60.0</v>
      </c>
      <c r="M296" s="75"/>
      <c r="N296" s="107">
        <v>60.0</v>
      </c>
      <c r="O296" s="75"/>
      <c r="P296" s="107">
        <v>0.0</v>
      </c>
      <c r="Q296" s="75"/>
      <c r="R296" s="107">
        <v>0.0</v>
      </c>
      <c r="S296" s="75"/>
      <c r="T296" s="107">
        <v>0.0</v>
      </c>
      <c r="U296" s="75"/>
      <c r="V296" s="107">
        <v>0.0</v>
      </c>
      <c r="W296" s="75"/>
      <c r="X296" s="89">
        <v>0.0</v>
      </c>
      <c r="Y296" s="75"/>
      <c r="Z296" s="90">
        <v>0.0</v>
      </c>
      <c r="AA296" s="75"/>
      <c r="AB296" s="90">
        <v>0.0</v>
      </c>
      <c r="AC296" s="75"/>
      <c r="AD296" s="90">
        <v>0.0</v>
      </c>
      <c r="AE296" s="77"/>
      <c r="AF296" s="98">
        <f t="shared" si="1"/>
        <v>2127.6</v>
      </c>
      <c r="AG296" s="83">
        <f t="shared" si="2"/>
        <v>120</v>
      </c>
      <c r="AH296" s="83">
        <f t="shared" si="3"/>
        <v>0</v>
      </c>
      <c r="AI296" s="83">
        <f t="shared" si="4"/>
        <v>120</v>
      </c>
      <c r="AJ296" s="92">
        <f t="shared" si="5"/>
        <v>17.73</v>
      </c>
    </row>
    <row r="297">
      <c r="A297" s="42" t="s">
        <v>23</v>
      </c>
      <c r="B297" s="43">
        <f t="shared" si="6"/>
        <v>45950</v>
      </c>
      <c r="C297" s="42">
        <v>11.0</v>
      </c>
      <c r="D297" s="44" t="s">
        <v>33</v>
      </c>
      <c r="E297" s="99" t="s">
        <v>40</v>
      </c>
      <c r="F297" s="47">
        <v>0.0</v>
      </c>
      <c r="H297" s="49">
        <v>0.0</v>
      </c>
      <c r="J297" s="49">
        <v>0.0</v>
      </c>
      <c r="L297" s="110">
        <v>0.0</v>
      </c>
      <c r="N297" s="100">
        <v>0.0</v>
      </c>
      <c r="P297" s="100">
        <v>0.0</v>
      </c>
      <c r="R297" s="100">
        <v>0.0</v>
      </c>
      <c r="T297" s="100">
        <v>1.0</v>
      </c>
      <c r="V297" s="100">
        <v>1.0</v>
      </c>
      <c r="X297" s="56">
        <v>0.0</v>
      </c>
      <c r="Y297" s="57"/>
      <c r="Z297" s="58">
        <v>25.0</v>
      </c>
      <c r="AA297" s="57"/>
      <c r="AB297" s="58">
        <v>25.0</v>
      </c>
      <c r="AC297" s="57"/>
      <c r="AD297" s="58">
        <v>0.0</v>
      </c>
      <c r="AE297" s="59"/>
      <c r="AF297" s="94">
        <f t="shared" si="1"/>
        <v>1651.63</v>
      </c>
      <c r="AG297" s="42">
        <f t="shared" si="2"/>
        <v>50</v>
      </c>
      <c r="AH297" s="42">
        <f t="shared" si="3"/>
        <v>2</v>
      </c>
      <c r="AI297" s="42">
        <f t="shared" si="4"/>
        <v>52</v>
      </c>
      <c r="AJ297" s="95">
        <f t="shared" si="5"/>
        <v>31.76211538</v>
      </c>
    </row>
    <row r="298">
      <c r="A298" s="64" t="s">
        <v>26</v>
      </c>
      <c r="B298" s="65">
        <f t="shared" si="6"/>
        <v>45951</v>
      </c>
      <c r="C298" s="64">
        <v>11.0</v>
      </c>
      <c r="D298" s="66" t="s">
        <v>33</v>
      </c>
      <c r="E298" s="45" t="s">
        <v>40</v>
      </c>
      <c r="F298" s="47">
        <v>0.0</v>
      </c>
      <c r="H298" s="49">
        <v>0.0</v>
      </c>
      <c r="J298" s="49">
        <v>0.0</v>
      </c>
      <c r="L298" s="110">
        <v>60.0</v>
      </c>
      <c r="N298" s="100">
        <v>60.0</v>
      </c>
      <c r="P298" s="100">
        <v>0.0</v>
      </c>
      <c r="R298" s="100">
        <v>0.0</v>
      </c>
      <c r="T298" s="100">
        <v>0.0</v>
      </c>
      <c r="V298" s="100">
        <v>0.0</v>
      </c>
      <c r="X298" s="50">
        <v>0.0</v>
      </c>
      <c r="Z298" s="52">
        <v>25.0</v>
      </c>
      <c r="AB298" s="52">
        <v>25.0</v>
      </c>
      <c r="AD298" s="52">
        <v>0.0</v>
      </c>
      <c r="AE298" s="28"/>
      <c r="AF298" s="96">
        <f t="shared" si="1"/>
        <v>3014.1</v>
      </c>
      <c r="AG298" s="64">
        <f t="shared" si="2"/>
        <v>170</v>
      </c>
      <c r="AH298" s="64">
        <f t="shared" si="3"/>
        <v>0</v>
      </c>
      <c r="AI298" s="64">
        <f t="shared" si="4"/>
        <v>170</v>
      </c>
      <c r="AJ298" s="97">
        <f t="shared" si="5"/>
        <v>17.73</v>
      </c>
    </row>
    <row r="299">
      <c r="A299" s="64" t="s">
        <v>27</v>
      </c>
      <c r="B299" s="65">
        <f t="shared" si="6"/>
        <v>45952</v>
      </c>
      <c r="C299" s="64">
        <v>11.0</v>
      </c>
      <c r="D299" s="66" t="s">
        <v>33</v>
      </c>
      <c r="E299" s="45" t="s">
        <v>40</v>
      </c>
      <c r="F299" s="47">
        <v>0.0</v>
      </c>
      <c r="H299" s="49">
        <v>0.0</v>
      </c>
      <c r="J299" s="49">
        <v>0.0</v>
      </c>
      <c r="L299" s="110">
        <v>60.0</v>
      </c>
      <c r="N299" s="100">
        <v>60.0</v>
      </c>
      <c r="P299" s="100">
        <v>0.0</v>
      </c>
      <c r="R299" s="100">
        <v>0.0</v>
      </c>
      <c r="T299" s="100">
        <v>0.0</v>
      </c>
      <c r="V299" s="100">
        <v>0.0</v>
      </c>
      <c r="X299" s="50">
        <v>0.0</v>
      </c>
      <c r="Z299" s="52">
        <v>25.0</v>
      </c>
      <c r="AB299" s="52">
        <v>25.0</v>
      </c>
      <c r="AD299" s="52">
        <v>0.0</v>
      </c>
      <c r="AE299" s="28"/>
      <c r="AF299" s="96">
        <f t="shared" si="1"/>
        <v>3014.1</v>
      </c>
      <c r="AG299" s="64">
        <f t="shared" si="2"/>
        <v>170</v>
      </c>
      <c r="AH299" s="64">
        <f t="shared" si="3"/>
        <v>0</v>
      </c>
      <c r="AI299" s="64">
        <f t="shared" si="4"/>
        <v>170</v>
      </c>
      <c r="AJ299" s="97">
        <f t="shared" si="5"/>
        <v>17.73</v>
      </c>
    </row>
    <row r="300">
      <c r="A300" s="64" t="s">
        <v>28</v>
      </c>
      <c r="B300" s="65">
        <f t="shared" si="6"/>
        <v>45953</v>
      </c>
      <c r="C300" s="64">
        <v>11.0</v>
      </c>
      <c r="D300" s="66" t="s">
        <v>33</v>
      </c>
      <c r="E300" s="45" t="s">
        <v>40</v>
      </c>
      <c r="F300" s="47">
        <v>0.0</v>
      </c>
      <c r="H300" s="49">
        <v>0.0</v>
      </c>
      <c r="J300" s="49">
        <v>0.0</v>
      </c>
      <c r="L300" s="110">
        <v>60.0</v>
      </c>
      <c r="N300" s="100">
        <v>60.0</v>
      </c>
      <c r="P300" s="100">
        <v>0.0</v>
      </c>
      <c r="R300" s="100">
        <v>0.0</v>
      </c>
      <c r="T300" s="100">
        <v>0.0</v>
      </c>
      <c r="V300" s="100">
        <v>0.0</v>
      </c>
      <c r="X300" s="50">
        <v>0.0</v>
      </c>
      <c r="Z300" s="52">
        <v>25.0</v>
      </c>
      <c r="AB300" s="52">
        <v>25.0</v>
      </c>
      <c r="AD300" s="52">
        <v>0.0</v>
      </c>
      <c r="AE300" s="28"/>
      <c r="AF300" s="96">
        <f t="shared" si="1"/>
        <v>3014.1</v>
      </c>
      <c r="AG300" s="64">
        <f t="shared" si="2"/>
        <v>170</v>
      </c>
      <c r="AH300" s="64">
        <f t="shared" si="3"/>
        <v>0</v>
      </c>
      <c r="AI300" s="64">
        <f t="shared" si="4"/>
        <v>170</v>
      </c>
      <c r="AJ300" s="97">
        <f t="shared" si="5"/>
        <v>17.73</v>
      </c>
    </row>
    <row r="301">
      <c r="A301" s="64" t="s">
        <v>29</v>
      </c>
      <c r="B301" s="65">
        <f t="shared" si="6"/>
        <v>45954</v>
      </c>
      <c r="C301" s="64">
        <v>11.0</v>
      </c>
      <c r="D301" s="66" t="s">
        <v>33</v>
      </c>
      <c r="E301" s="45" t="s">
        <v>40</v>
      </c>
      <c r="F301" s="47">
        <v>0.0</v>
      </c>
      <c r="H301" s="49">
        <v>0.0</v>
      </c>
      <c r="J301" s="49">
        <v>0.0</v>
      </c>
      <c r="L301" s="110">
        <v>60.0</v>
      </c>
      <c r="N301" s="100">
        <v>60.0</v>
      </c>
      <c r="P301" s="100">
        <v>0.0</v>
      </c>
      <c r="R301" s="100">
        <v>0.0</v>
      </c>
      <c r="T301" s="100">
        <v>0.0</v>
      </c>
      <c r="V301" s="100">
        <v>0.0</v>
      </c>
      <c r="X301" s="50">
        <v>0.0</v>
      </c>
      <c r="Z301" s="52">
        <v>25.0</v>
      </c>
      <c r="AB301" s="52">
        <v>25.0</v>
      </c>
      <c r="AD301" s="52">
        <v>0.0</v>
      </c>
      <c r="AE301" s="28"/>
      <c r="AF301" s="96">
        <f t="shared" si="1"/>
        <v>3014.1</v>
      </c>
      <c r="AG301" s="64">
        <f t="shared" si="2"/>
        <v>170</v>
      </c>
      <c r="AH301" s="64">
        <f t="shared" si="3"/>
        <v>0</v>
      </c>
      <c r="AI301" s="64">
        <f t="shared" si="4"/>
        <v>170</v>
      </c>
      <c r="AJ301" s="97">
        <f t="shared" si="5"/>
        <v>17.73</v>
      </c>
    </row>
    <row r="302">
      <c r="A302" s="64" t="s">
        <v>30</v>
      </c>
      <c r="B302" s="65">
        <f t="shared" si="6"/>
        <v>45955</v>
      </c>
      <c r="C302" s="64">
        <v>11.0</v>
      </c>
      <c r="D302" s="66" t="s">
        <v>33</v>
      </c>
      <c r="E302" s="45" t="s">
        <v>40</v>
      </c>
      <c r="F302" s="47">
        <v>0.0</v>
      </c>
      <c r="H302" s="49">
        <v>0.0</v>
      </c>
      <c r="J302" s="49">
        <v>0.0</v>
      </c>
      <c r="L302" s="110">
        <v>60.0</v>
      </c>
      <c r="N302" s="100">
        <v>60.0</v>
      </c>
      <c r="P302" s="100">
        <v>0.0</v>
      </c>
      <c r="R302" s="100">
        <v>0.0</v>
      </c>
      <c r="T302" s="100">
        <v>0.0</v>
      </c>
      <c r="V302" s="100">
        <v>0.0</v>
      </c>
      <c r="X302" s="50">
        <v>0.0</v>
      </c>
      <c r="Z302" s="52">
        <v>0.0</v>
      </c>
      <c r="AB302" s="52">
        <v>0.0</v>
      </c>
      <c r="AD302" s="52">
        <v>0.0</v>
      </c>
      <c r="AE302" s="28"/>
      <c r="AF302" s="96">
        <f t="shared" si="1"/>
        <v>2127.6</v>
      </c>
      <c r="AG302" s="64">
        <f t="shared" si="2"/>
        <v>120</v>
      </c>
      <c r="AH302" s="64">
        <f t="shared" si="3"/>
        <v>0</v>
      </c>
      <c r="AI302" s="64">
        <f t="shared" si="4"/>
        <v>120</v>
      </c>
      <c r="AJ302" s="97">
        <f t="shared" si="5"/>
        <v>17.73</v>
      </c>
    </row>
    <row r="303">
      <c r="A303" s="83" t="s">
        <v>31</v>
      </c>
      <c r="B303" s="84">
        <f t="shared" si="6"/>
        <v>45956</v>
      </c>
      <c r="C303" s="83">
        <v>11.0</v>
      </c>
      <c r="D303" s="85" t="s">
        <v>33</v>
      </c>
      <c r="E303" s="106" t="s">
        <v>40</v>
      </c>
      <c r="F303" s="87">
        <v>0.0</v>
      </c>
      <c r="G303" s="75"/>
      <c r="H303" s="88">
        <v>0.0</v>
      </c>
      <c r="I303" s="75"/>
      <c r="J303" s="88">
        <v>0.0</v>
      </c>
      <c r="K303" s="75"/>
      <c r="L303" s="113">
        <v>60.0</v>
      </c>
      <c r="M303" s="75"/>
      <c r="N303" s="107">
        <v>60.0</v>
      </c>
      <c r="O303" s="75"/>
      <c r="P303" s="107">
        <v>0.0</v>
      </c>
      <c r="Q303" s="75"/>
      <c r="R303" s="107">
        <v>0.0</v>
      </c>
      <c r="S303" s="75"/>
      <c r="T303" s="107">
        <v>0.0</v>
      </c>
      <c r="U303" s="75"/>
      <c r="V303" s="107">
        <v>0.0</v>
      </c>
      <c r="W303" s="75"/>
      <c r="X303" s="89">
        <v>0.0</v>
      </c>
      <c r="Y303" s="75"/>
      <c r="Z303" s="90">
        <v>0.0</v>
      </c>
      <c r="AA303" s="75"/>
      <c r="AB303" s="90">
        <v>0.0</v>
      </c>
      <c r="AC303" s="75"/>
      <c r="AD303" s="90">
        <v>0.0</v>
      </c>
      <c r="AE303" s="77"/>
      <c r="AF303" s="98">
        <f t="shared" si="1"/>
        <v>2127.6</v>
      </c>
      <c r="AG303" s="83">
        <f t="shared" si="2"/>
        <v>120</v>
      </c>
      <c r="AH303" s="83">
        <f t="shared" si="3"/>
        <v>0</v>
      </c>
      <c r="AI303" s="83">
        <f t="shared" si="4"/>
        <v>120</v>
      </c>
      <c r="AJ303" s="92">
        <f t="shared" si="5"/>
        <v>17.73</v>
      </c>
    </row>
    <row r="304">
      <c r="A304" s="42" t="s">
        <v>23</v>
      </c>
      <c r="B304" s="43">
        <f t="shared" si="6"/>
        <v>45957</v>
      </c>
      <c r="C304" s="42">
        <v>11.0</v>
      </c>
      <c r="D304" s="44" t="s">
        <v>36</v>
      </c>
      <c r="E304" s="99" t="s">
        <v>40</v>
      </c>
      <c r="F304" s="47">
        <v>0.0</v>
      </c>
      <c r="H304" s="49">
        <v>0.0</v>
      </c>
      <c r="J304" s="49">
        <v>0.0</v>
      </c>
      <c r="L304" s="110">
        <v>0.0</v>
      </c>
      <c r="N304" s="100">
        <v>0.0</v>
      </c>
      <c r="P304" s="100">
        <v>0.0</v>
      </c>
      <c r="R304" s="100">
        <v>0.0</v>
      </c>
      <c r="T304" s="100">
        <v>1.0</v>
      </c>
      <c r="V304" s="100">
        <v>1.0</v>
      </c>
      <c r="X304" s="56">
        <v>0.0</v>
      </c>
      <c r="Y304" s="57"/>
      <c r="Z304" s="58">
        <v>25.0</v>
      </c>
      <c r="AA304" s="57"/>
      <c r="AB304" s="58">
        <v>25.0</v>
      </c>
      <c r="AC304" s="57"/>
      <c r="AD304" s="58">
        <v>0.0</v>
      </c>
      <c r="AE304" s="59"/>
      <c r="AF304" s="94">
        <f t="shared" si="1"/>
        <v>1651.63</v>
      </c>
      <c r="AG304" s="42">
        <f t="shared" si="2"/>
        <v>50</v>
      </c>
      <c r="AH304" s="42">
        <f t="shared" si="3"/>
        <v>2</v>
      </c>
      <c r="AI304" s="42">
        <f t="shared" si="4"/>
        <v>52</v>
      </c>
      <c r="AJ304" s="95">
        <f t="shared" si="5"/>
        <v>31.76211538</v>
      </c>
    </row>
    <row r="305">
      <c r="A305" s="64" t="s">
        <v>26</v>
      </c>
      <c r="B305" s="65">
        <f t="shared" si="6"/>
        <v>45958</v>
      </c>
      <c r="C305" s="64">
        <v>11.0</v>
      </c>
      <c r="D305" s="66" t="s">
        <v>36</v>
      </c>
      <c r="E305" s="45" t="s">
        <v>40</v>
      </c>
      <c r="F305" s="47">
        <v>0.0</v>
      </c>
      <c r="H305" s="49">
        <v>0.0</v>
      </c>
      <c r="J305" s="49">
        <v>0.0</v>
      </c>
      <c r="L305" s="110">
        <v>60.0</v>
      </c>
      <c r="N305" s="100">
        <v>60.0</v>
      </c>
      <c r="P305" s="100">
        <v>0.0</v>
      </c>
      <c r="R305" s="100">
        <v>0.0</v>
      </c>
      <c r="T305" s="100">
        <v>0.0</v>
      </c>
      <c r="V305" s="100">
        <v>0.0</v>
      </c>
      <c r="X305" s="50">
        <v>0.0</v>
      </c>
      <c r="Z305" s="52">
        <v>25.0</v>
      </c>
      <c r="AB305" s="52">
        <v>25.0</v>
      </c>
      <c r="AD305" s="52">
        <v>0.0</v>
      </c>
      <c r="AE305" s="28"/>
      <c r="AF305" s="96">
        <f t="shared" si="1"/>
        <v>3014.1</v>
      </c>
      <c r="AG305" s="64">
        <f t="shared" si="2"/>
        <v>170</v>
      </c>
      <c r="AH305" s="64">
        <f t="shared" si="3"/>
        <v>0</v>
      </c>
      <c r="AI305" s="64">
        <f t="shared" si="4"/>
        <v>170</v>
      </c>
      <c r="AJ305" s="97">
        <f t="shared" si="5"/>
        <v>17.73</v>
      </c>
    </row>
    <row r="306">
      <c r="A306" s="64" t="s">
        <v>27</v>
      </c>
      <c r="B306" s="65">
        <f t="shared" si="6"/>
        <v>45959</v>
      </c>
      <c r="C306" s="64">
        <v>11.0</v>
      </c>
      <c r="D306" s="66" t="s">
        <v>36</v>
      </c>
      <c r="E306" s="45" t="s">
        <v>40</v>
      </c>
      <c r="F306" s="47">
        <v>0.0</v>
      </c>
      <c r="H306" s="49">
        <v>0.0</v>
      </c>
      <c r="J306" s="49">
        <v>0.0</v>
      </c>
      <c r="L306" s="110">
        <v>60.0</v>
      </c>
      <c r="N306" s="100">
        <v>60.0</v>
      </c>
      <c r="P306" s="100">
        <v>0.0</v>
      </c>
      <c r="R306" s="100">
        <v>0.0</v>
      </c>
      <c r="T306" s="100">
        <v>0.0</v>
      </c>
      <c r="V306" s="100">
        <v>0.0</v>
      </c>
      <c r="X306" s="50">
        <v>0.0</v>
      </c>
      <c r="Z306" s="52">
        <v>25.0</v>
      </c>
      <c r="AB306" s="52">
        <v>25.0</v>
      </c>
      <c r="AD306" s="52">
        <v>0.0</v>
      </c>
      <c r="AE306" s="28"/>
      <c r="AF306" s="96">
        <f t="shared" si="1"/>
        <v>3014.1</v>
      </c>
      <c r="AG306" s="64">
        <f t="shared" si="2"/>
        <v>170</v>
      </c>
      <c r="AH306" s="64">
        <f t="shared" si="3"/>
        <v>0</v>
      </c>
      <c r="AI306" s="64">
        <f t="shared" si="4"/>
        <v>170</v>
      </c>
      <c r="AJ306" s="97">
        <f t="shared" si="5"/>
        <v>17.73</v>
      </c>
    </row>
    <row r="307">
      <c r="A307" s="64" t="s">
        <v>28</v>
      </c>
      <c r="B307" s="65">
        <f t="shared" si="6"/>
        <v>45960</v>
      </c>
      <c r="C307" s="64">
        <v>11.0</v>
      </c>
      <c r="D307" s="66" t="s">
        <v>36</v>
      </c>
      <c r="E307" s="45" t="s">
        <v>40</v>
      </c>
      <c r="F307" s="47">
        <v>0.0</v>
      </c>
      <c r="H307" s="49">
        <v>0.0</v>
      </c>
      <c r="J307" s="49">
        <v>0.0</v>
      </c>
      <c r="L307" s="110">
        <v>5.0</v>
      </c>
      <c r="N307" s="100">
        <v>5.0</v>
      </c>
      <c r="P307" s="100">
        <v>0.0</v>
      </c>
      <c r="R307" s="100">
        <v>0.0</v>
      </c>
      <c r="T307" s="100">
        <v>0.0</v>
      </c>
      <c r="V307" s="100">
        <v>0.0</v>
      </c>
      <c r="X307" s="50">
        <v>0.0</v>
      </c>
      <c r="Z307" s="52">
        <v>25.0</v>
      </c>
      <c r="AB307" s="52">
        <v>25.0</v>
      </c>
      <c r="AD307" s="52">
        <v>0.0</v>
      </c>
      <c r="AE307" s="28"/>
      <c r="AF307" s="96">
        <f t="shared" si="1"/>
        <v>1063.8</v>
      </c>
      <c r="AG307" s="64">
        <f t="shared" si="2"/>
        <v>60</v>
      </c>
      <c r="AH307" s="64">
        <f t="shared" si="3"/>
        <v>0</v>
      </c>
      <c r="AI307" s="64">
        <f t="shared" si="4"/>
        <v>60</v>
      </c>
      <c r="AJ307" s="97">
        <f t="shared" si="5"/>
        <v>17.73</v>
      </c>
    </row>
    <row r="308">
      <c r="A308" s="64" t="s">
        <v>29</v>
      </c>
      <c r="B308" s="65">
        <f t="shared" si="6"/>
        <v>45961</v>
      </c>
      <c r="C308" s="64">
        <v>11.0</v>
      </c>
      <c r="D308" s="66" t="s">
        <v>36</v>
      </c>
      <c r="E308" s="45" t="s">
        <v>40</v>
      </c>
      <c r="F308" s="47">
        <v>0.0</v>
      </c>
      <c r="H308" s="49">
        <v>0.0</v>
      </c>
      <c r="J308" s="49">
        <v>0.0</v>
      </c>
      <c r="L308" s="110">
        <v>5.0</v>
      </c>
      <c r="N308" s="100">
        <v>5.0</v>
      </c>
      <c r="P308" s="100">
        <v>0.0</v>
      </c>
      <c r="R308" s="100">
        <v>0.0</v>
      </c>
      <c r="T308" s="100">
        <v>0.0</v>
      </c>
      <c r="V308" s="100">
        <v>0.0</v>
      </c>
      <c r="X308" s="50">
        <v>0.0</v>
      </c>
      <c r="Z308" s="52">
        <v>25.0</v>
      </c>
      <c r="AB308" s="52">
        <v>25.0</v>
      </c>
      <c r="AD308" s="52">
        <v>0.0</v>
      </c>
      <c r="AE308" s="28"/>
      <c r="AF308" s="96">
        <f t="shared" si="1"/>
        <v>1063.8</v>
      </c>
      <c r="AG308" s="64">
        <f t="shared" si="2"/>
        <v>60</v>
      </c>
      <c r="AH308" s="64">
        <f t="shared" si="3"/>
        <v>0</v>
      </c>
      <c r="AI308" s="64">
        <f t="shared" si="4"/>
        <v>60</v>
      </c>
      <c r="AJ308" s="97">
        <f t="shared" si="5"/>
        <v>17.73</v>
      </c>
    </row>
    <row r="309">
      <c r="A309" s="64" t="s">
        <v>30</v>
      </c>
      <c r="B309" s="65">
        <f t="shared" si="6"/>
        <v>45962</v>
      </c>
      <c r="C309" s="64">
        <v>11.0</v>
      </c>
      <c r="D309" s="66" t="s">
        <v>36</v>
      </c>
      <c r="E309" s="45" t="s">
        <v>40</v>
      </c>
      <c r="F309" s="47">
        <v>0.0</v>
      </c>
      <c r="H309" s="49">
        <v>0.0</v>
      </c>
      <c r="J309" s="49">
        <v>0.0</v>
      </c>
      <c r="L309" s="110">
        <v>0.0</v>
      </c>
      <c r="N309" s="100">
        <v>0.0</v>
      </c>
      <c r="P309" s="100">
        <v>0.0</v>
      </c>
      <c r="R309" s="100">
        <v>0.0</v>
      </c>
      <c r="T309" s="100">
        <v>0.0</v>
      </c>
      <c r="V309" s="100">
        <v>0.0</v>
      </c>
      <c r="X309" s="50">
        <v>0.0</v>
      </c>
      <c r="Z309" s="52">
        <v>0.0</v>
      </c>
      <c r="AB309" s="52">
        <v>0.0</v>
      </c>
      <c r="AD309" s="52">
        <v>0.0</v>
      </c>
      <c r="AE309" s="28"/>
      <c r="AF309" s="96">
        <f t="shared" si="1"/>
        <v>0</v>
      </c>
      <c r="AG309" s="64">
        <f t="shared" si="2"/>
        <v>0</v>
      </c>
      <c r="AH309" s="64">
        <f t="shared" si="3"/>
        <v>0</v>
      </c>
      <c r="AI309" s="64">
        <f t="shared" si="4"/>
        <v>0</v>
      </c>
      <c r="AJ309" s="68" t="str">
        <f t="shared" si="5"/>
        <v/>
      </c>
    </row>
    <row r="310">
      <c r="A310" s="83" t="s">
        <v>31</v>
      </c>
      <c r="B310" s="84">
        <f t="shared" si="6"/>
        <v>45963</v>
      </c>
      <c r="C310" s="83">
        <v>11.0</v>
      </c>
      <c r="D310" s="85" t="s">
        <v>36</v>
      </c>
      <c r="E310" s="106" t="s">
        <v>40</v>
      </c>
      <c r="F310" s="87">
        <v>0.0</v>
      </c>
      <c r="G310" s="75"/>
      <c r="H310" s="88">
        <v>0.0</v>
      </c>
      <c r="I310" s="75"/>
      <c r="J310" s="88">
        <v>0.0</v>
      </c>
      <c r="K310" s="75"/>
      <c r="L310" s="113">
        <v>0.0</v>
      </c>
      <c r="M310" s="75"/>
      <c r="N310" s="107">
        <v>0.0</v>
      </c>
      <c r="O310" s="75"/>
      <c r="P310" s="107">
        <v>0.0</v>
      </c>
      <c r="Q310" s="75"/>
      <c r="R310" s="107">
        <v>0.0</v>
      </c>
      <c r="S310" s="75"/>
      <c r="T310" s="107">
        <v>0.0</v>
      </c>
      <c r="U310" s="75"/>
      <c r="V310" s="107">
        <v>0.0</v>
      </c>
      <c r="W310" s="75"/>
      <c r="X310" s="89">
        <v>0.0</v>
      </c>
      <c r="Y310" s="75"/>
      <c r="Z310" s="90">
        <v>0.0</v>
      </c>
      <c r="AA310" s="75"/>
      <c r="AB310" s="90">
        <v>0.0</v>
      </c>
      <c r="AC310" s="75"/>
      <c r="AD310" s="90">
        <v>0.0</v>
      </c>
      <c r="AE310" s="77"/>
      <c r="AF310" s="98">
        <f t="shared" si="1"/>
        <v>0</v>
      </c>
      <c r="AG310" s="83">
        <f t="shared" si="2"/>
        <v>0</v>
      </c>
      <c r="AH310" s="83">
        <f t="shared" si="3"/>
        <v>0</v>
      </c>
      <c r="AI310" s="83">
        <f t="shared" si="4"/>
        <v>0</v>
      </c>
      <c r="AJ310" s="152" t="str">
        <f t="shared" si="5"/>
        <v/>
      </c>
    </row>
    <row r="311">
      <c r="A311" s="42" t="s">
        <v>23</v>
      </c>
      <c r="B311" s="43">
        <f t="shared" si="6"/>
        <v>45964</v>
      </c>
      <c r="C311" s="42">
        <v>12.0</v>
      </c>
      <c r="D311" s="44" t="s">
        <v>24</v>
      </c>
      <c r="E311" s="99" t="s">
        <v>40</v>
      </c>
      <c r="F311" s="47">
        <v>0.0</v>
      </c>
      <c r="H311" s="49">
        <v>0.0</v>
      </c>
      <c r="J311" s="49">
        <v>0.0</v>
      </c>
      <c r="L311" s="110">
        <v>5.0</v>
      </c>
      <c r="N311" s="100">
        <v>5.0</v>
      </c>
      <c r="P311" s="100">
        <v>0.0</v>
      </c>
      <c r="R311" s="100">
        <v>0.0</v>
      </c>
      <c r="T311" s="100">
        <v>1.0</v>
      </c>
      <c r="V311" s="100">
        <v>1.0</v>
      </c>
      <c r="X311" s="56">
        <v>0.0</v>
      </c>
      <c r="Y311" s="57"/>
      <c r="Z311" s="58">
        <v>25.0</v>
      </c>
      <c r="AA311" s="57"/>
      <c r="AB311" s="58">
        <v>25.0</v>
      </c>
      <c r="AC311" s="57"/>
      <c r="AD311" s="58">
        <v>0.0</v>
      </c>
      <c r="AE311" s="59"/>
      <c r="AF311" s="94">
        <f t="shared" si="1"/>
        <v>1828.93</v>
      </c>
      <c r="AG311" s="42">
        <f t="shared" si="2"/>
        <v>60</v>
      </c>
      <c r="AH311" s="42">
        <f t="shared" si="3"/>
        <v>2</v>
      </c>
      <c r="AI311" s="42">
        <f t="shared" si="4"/>
        <v>62</v>
      </c>
      <c r="AJ311" s="95">
        <f t="shared" si="5"/>
        <v>29.49887097</v>
      </c>
    </row>
    <row r="312">
      <c r="A312" s="64" t="s">
        <v>26</v>
      </c>
      <c r="B312" s="65">
        <f t="shared" si="6"/>
        <v>45965</v>
      </c>
      <c r="C312" s="64">
        <v>12.0</v>
      </c>
      <c r="D312" s="66" t="s">
        <v>24</v>
      </c>
      <c r="E312" s="45" t="s">
        <v>40</v>
      </c>
      <c r="F312" s="47">
        <v>0.0</v>
      </c>
      <c r="H312" s="49">
        <v>0.0</v>
      </c>
      <c r="J312" s="49">
        <v>0.0</v>
      </c>
      <c r="L312" s="110">
        <v>30.0</v>
      </c>
      <c r="N312" s="100">
        <v>30.0</v>
      </c>
      <c r="P312" s="100">
        <v>0.0</v>
      </c>
      <c r="R312" s="100">
        <v>0.0</v>
      </c>
      <c r="T312" s="100">
        <v>0.0</v>
      </c>
      <c r="V312" s="100">
        <v>0.0</v>
      </c>
      <c r="X312" s="50">
        <v>0.0</v>
      </c>
      <c r="Z312" s="52">
        <v>25.0</v>
      </c>
      <c r="AB312" s="52">
        <v>25.0</v>
      </c>
      <c r="AD312" s="52">
        <v>0.0</v>
      </c>
      <c r="AE312" s="28"/>
      <c r="AF312" s="96">
        <f t="shared" si="1"/>
        <v>1950.3</v>
      </c>
      <c r="AG312" s="64">
        <f t="shared" si="2"/>
        <v>110</v>
      </c>
      <c r="AH312" s="64">
        <f t="shared" si="3"/>
        <v>0</v>
      </c>
      <c r="AI312" s="64">
        <f t="shared" si="4"/>
        <v>110</v>
      </c>
      <c r="AJ312" s="97">
        <f t="shared" si="5"/>
        <v>17.73</v>
      </c>
    </row>
    <row r="313">
      <c r="A313" s="64" t="s">
        <v>27</v>
      </c>
      <c r="B313" s="65">
        <f t="shared" si="6"/>
        <v>45966</v>
      </c>
      <c r="C313" s="64">
        <v>12.0</v>
      </c>
      <c r="D313" s="66" t="s">
        <v>24</v>
      </c>
      <c r="E313" s="45" t="s">
        <v>40</v>
      </c>
      <c r="F313" s="47">
        <v>0.0</v>
      </c>
      <c r="H313" s="49">
        <v>0.0</v>
      </c>
      <c r="J313" s="49">
        <v>0.0</v>
      </c>
      <c r="L313" s="110">
        <v>30.0</v>
      </c>
      <c r="N313" s="100">
        <v>30.0</v>
      </c>
      <c r="P313" s="100">
        <v>0.0</v>
      </c>
      <c r="R313" s="100">
        <v>0.0</v>
      </c>
      <c r="T313" s="100">
        <v>0.0</v>
      </c>
      <c r="V313" s="100">
        <v>0.0</v>
      </c>
      <c r="X313" s="50">
        <v>0.0</v>
      </c>
      <c r="Z313" s="52">
        <v>25.0</v>
      </c>
      <c r="AB313" s="52">
        <v>25.0</v>
      </c>
      <c r="AD313" s="52">
        <v>0.0</v>
      </c>
      <c r="AE313" s="28"/>
      <c r="AF313" s="96">
        <f t="shared" si="1"/>
        <v>1950.3</v>
      </c>
      <c r="AG313" s="64">
        <f t="shared" si="2"/>
        <v>110</v>
      </c>
      <c r="AH313" s="64">
        <f t="shared" si="3"/>
        <v>0</v>
      </c>
      <c r="AI313" s="64">
        <f t="shared" si="4"/>
        <v>110</v>
      </c>
      <c r="AJ313" s="97">
        <f t="shared" si="5"/>
        <v>17.73</v>
      </c>
    </row>
    <row r="314">
      <c r="A314" s="64" t="s">
        <v>28</v>
      </c>
      <c r="B314" s="65">
        <f t="shared" si="6"/>
        <v>45967</v>
      </c>
      <c r="C314" s="64">
        <v>12.0</v>
      </c>
      <c r="D314" s="66" t="s">
        <v>24</v>
      </c>
      <c r="E314" s="45" t="s">
        <v>40</v>
      </c>
      <c r="F314" s="47">
        <v>0.0</v>
      </c>
      <c r="H314" s="49">
        <v>0.0</v>
      </c>
      <c r="J314" s="49">
        <v>0.0</v>
      </c>
      <c r="L314" s="110">
        <v>30.0</v>
      </c>
      <c r="N314" s="100">
        <v>30.0</v>
      </c>
      <c r="P314" s="100">
        <v>0.0</v>
      </c>
      <c r="R314" s="100">
        <v>0.0</v>
      </c>
      <c r="T314" s="100">
        <v>0.0</v>
      </c>
      <c r="V314" s="100">
        <v>0.0</v>
      </c>
      <c r="X314" s="50">
        <v>0.0</v>
      </c>
      <c r="Z314" s="52">
        <v>25.0</v>
      </c>
      <c r="AB314" s="52">
        <v>25.0</v>
      </c>
      <c r="AD314" s="52">
        <v>0.0</v>
      </c>
      <c r="AE314" s="28"/>
      <c r="AF314" s="96">
        <f t="shared" si="1"/>
        <v>1950.3</v>
      </c>
      <c r="AG314" s="64">
        <f t="shared" si="2"/>
        <v>110</v>
      </c>
      <c r="AH314" s="64">
        <f t="shared" si="3"/>
        <v>0</v>
      </c>
      <c r="AI314" s="64">
        <f t="shared" si="4"/>
        <v>110</v>
      </c>
      <c r="AJ314" s="97">
        <f t="shared" si="5"/>
        <v>17.73</v>
      </c>
    </row>
    <row r="315">
      <c r="A315" s="64" t="s">
        <v>29</v>
      </c>
      <c r="B315" s="65">
        <f t="shared" si="6"/>
        <v>45968</v>
      </c>
      <c r="C315" s="64">
        <v>12.0</v>
      </c>
      <c r="D315" s="66" t="s">
        <v>24</v>
      </c>
      <c r="E315" s="45" t="s">
        <v>40</v>
      </c>
      <c r="F315" s="47">
        <v>0.0</v>
      </c>
      <c r="H315" s="49">
        <v>0.0</v>
      </c>
      <c r="J315" s="49">
        <v>0.0</v>
      </c>
      <c r="L315" s="110">
        <v>30.0</v>
      </c>
      <c r="N315" s="100">
        <v>30.0</v>
      </c>
      <c r="P315" s="100">
        <v>0.0</v>
      </c>
      <c r="R315" s="100">
        <v>0.0</v>
      </c>
      <c r="T315" s="100">
        <v>0.0</v>
      </c>
      <c r="V315" s="100">
        <v>0.0</v>
      </c>
      <c r="X315" s="50">
        <v>0.0</v>
      </c>
      <c r="Z315" s="52">
        <v>25.0</v>
      </c>
      <c r="AB315" s="52">
        <v>25.0</v>
      </c>
      <c r="AD315" s="52">
        <v>0.0</v>
      </c>
      <c r="AE315" s="28"/>
      <c r="AF315" s="96">
        <f t="shared" si="1"/>
        <v>1950.3</v>
      </c>
      <c r="AG315" s="64">
        <f t="shared" si="2"/>
        <v>110</v>
      </c>
      <c r="AH315" s="64">
        <f t="shared" si="3"/>
        <v>0</v>
      </c>
      <c r="AI315" s="64">
        <f t="shared" si="4"/>
        <v>110</v>
      </c>
      <c r="AJ315" s="97">
        <f t="shared" si="5"/>
        <v>17.73</v>
      </c>
    </row>
    <row r="316">
      <c r="A316" s="64" t="s">
        <v>30</v>
      </c>
      <c r="B316" s="65">
        <f t="shared" si="6"/>
        <v>45969</v>
      </c>
      <c r="C316" s="64">
        <v>12.0</v>
      </c>
      <c r="D316" s="66" t="s">
        <v>24</v>
      </c>
      <c r="E316" s="45" t="s">
        <v>40</v>
      </c>
      <c r="F316" s="47">
        <v>0.0</v>
      </c>
      <c r="H316" s="49">
        <v>0.0</v>
      </c>
      <c r="J316" s="49">
        <v>0.0</v>
      </c>
      <c r="L316" s="110">
        <v>30.0</v>
      </c>
      <c r="N316" s="100">
        <v>30.0</v>
      </c>
      <c r="P316" s="100">
        <v>0.0</v>
      </c>
      <c r="R316" s="100">
        <v>0.0</v>
      </c>
      <c r="T316" s="100">
        <v>0.0</v>
      </c>
      <c r="V316" s="100">
        <v>0.0</v>
      </c>
      <c r="X316" s="50">
        <v>0.0</v>
      </c>
      <c r="Z316" s="52">
        <v>0.0</v>
      </c>
      <c r="AB316" s="52">
        <v>0.0</v>
      </c>
      <c r="AD316" s="52">
        <v>0.0</v>
      </c>
      <c r="AE316" s="28"/>
      <c r="AF316" s="96">
        <f t="shared" si="1"/>
        <v>1063.8</v>
      </c>
      <c r="AG316" s="64">
        <f t="shared" si="2"/>
        <v>60</v>
      </c>
      <c r="AH316" s="64">
        <f t="shared" si="3"/>
        <v>0</v>
      </c>
      <c r="AI316" s="64">
        <f t="shared" si="4"/>
        <v>60</v>
      </c>
      <c r="AJ316" s="97">
        <f t="shared" si="5"/>
        <v>17.73</v>
      </c>
    </row>
    <row r="317">
      <c r="A317" s="83" t="s">
        <v>31</v>
      </c>
      <c r="B317" s="84">
        <f t="shared" si="6"/>
        <v>45970</v>
      </c>
      <c r="C317" s="83">
        <v>12.0</v>
      </c>
      <c r="D317" s="85" t="s">
        <v>24</v>
      </c>
      <c r="E317" s="106" t="s">
        <v>40</v>
      </c>
      <c r="F317" s="87">
        <v>0.0</v>
      </c>
      <c r="G317" s="75"/>
      <c r="H317" s="88">
        <v>0.0</v>
      </c>
      <c r="I317" s="75"/>
      <c r="J317" s="88">
        <v>0.0</v>
      </c>
      <c r="K317" s="75"/>
      <c r="L317" s="113">
        <v>30.0</v>
      </c>
      <c r="M317" s="75"/>
      <c r="N317" s="107">
        <v>30.0</v>
      </c>
      <c r="O317" s="75"/>
      <c r="P317" s="107">
        <v>0.0</v>
      </c>
      <c r="Q317" s="75"/>
      <c r="R317" s="107">
        <v>0.0</v>
      </c>
      <c r="S317" s="75"/>
      <c r="T317" s="107">
        <v>0.0</v>
      </c>
      <c r="U317" s="75"/>
      <c r="V317" s="107">
        <v>0.0</v>
      </c>
      <c r="W317" s="75"/>
      <c r="X317" s="89">
        <v>0.0</v>
      </c>
      <c r="Y317" s="75"/>
      <c r="Z317" s="90">
        <v>0.0</v>
      </c>
      <c r="AA317" s="75"/>
      <c r="AB317" s="90">
        <v>0.0</v>
      </c>
      <c r="AC317" s="75"/>
      <c r="AD317" s="90">
        <v>0.0</v>
      </c>
      <c r="AE317" s="77"/>
      <c r="AF317" s="98">
        <f t="shared" si="1"/>
        <v>1063.8</v>
      </c>
      <c r="AG317" s="83">
        <f t="shared" si="2"/>
        <v>60</v>
      </c>
      <c r="AH317" s="83">
        <f t="shared" si="3"/>
        <v>0</v>
      </c>
      <c r="AI317" s="83">
        <f t="shared" si="4"/>
        <v>60</v>
      </c>
      <c r="AJ317" s="92">
        <f t="shared" si="5"/>
        <v>17.73</v>
      </c>
    </row>
    <row r="318">
      <c r="A318" s="42" t="s">
        <v>23</v>
      </c>
      <c r="B318" s="43">
        <f t="shared" si="6"/>
        <v>45971</v>
      </c>
      <c r="C318" s="42">
        <v>12.0</v>
      </c>
      <c r="D318" s="44" t="s">
        <v>32</v>
      </c>
      <c r="E318" s="99" t="s">
        <v>40</v>
      </c>
      <c r="F318" s="47">
        <v>0.0</v>
      </c>
      <c r="H318" s="49">
        <v>0.0</v>
      </c>
      <c r="J318" s="49">
        <v>0.0</v>
      </c>
      <c r="L318" s="110">
        <v>30.0</v>
      </c>
      <c r="N318" s="100">
        <v>30.0</v>
      </c>
      <c r="P318" s="100">
        <v>0.0</v>
      </c>
      <c r="R318" s="100">
        <v>0.0</v>
      </c>
      <c r="T318" s="100">
        <v>1.0</v>
      </c>
      <c r="V318" s="100">
        <v>1.0</v>
      </c>
      <c r="X318" s="56">
        <v>0.0</v>
      </c>
      <c r="Y318" s="57"/>
      <c r="Z318" s="58">
        <v>25.0</v>
      </c>
      <c r="AA318" s="57"/>
      <c r="AB318" s="58">
        <v>25.0</v>
      </c>
      <c r="AC318" s="57"/>
      <c r="AD318" s="58">
        <v>0.0</v>
      </c>
      <c r="AE318" s="59"/>
      <c r="AF318" s="94">
        <f t="shared" si="1"/>
        <v>2715.43</v>
      </c>
      <c r="AG318" s="42">
        <f t="shared" si="2"/>
        <v>110</v>
      </c>
      <c r="AH318" s="42">
        <f t="shared" si="3"/>
        <v>2</v>
      </c>
      <c r="AI318" s="42">
        <f t="shared" si="4"/>
        <v>112</v>
      </c>
      <c r="AJ318" s="95">
        <f t="shared" si="5"/>
        <v>24.24491071</v>
      </c>
    </row>
    <row r="319">
      <c r="A319" s="64" t="s">
        <v>26</v>
      </c>
      <c r="B319" s="65">
        <f t="shared" si="6"/>
        <v>45972</v>
      </c>
      <c r="C319" s="64">
        <v>12.0</v>
      </c>
      <c r="D319" s="66" t="s">
        <v>32</v>
      </c>
      <c r="E319" s="45" t="s">
        <v>40</v>
      </c>
      <c r="F319" s="47">
        <v>0.0</v>
      </c>
      <c r="H319" s="49">
        <v>0.0</v>
      </c>
      <c r="J319" s="49">
        <v>0.0</v>
      </c>
      <c r="L319" s="110">
        <v>30.0</v>
      </c>
      <c r="N319" s="100">
        <v>30.0</v>
      </c>
      <c r="P319" s="100">
        <v>0.0</v>
      </c>
      <c r="R319" s="100">
        <v>0.0</v>
      </c>
      <c r="T319" s="100">
        <v>0.0</v>
      </c>
      <c r="V319" s="100">
        <v>0.0</v>
      </c>
      <c r="X319" s="50">
        <v>0.0</v>
      </c>
      <c r="Z319" s="52">
        <v>25.0</v>
      </c>
      <c r="AB319" s="52">
        <v>25.0</v>
      </c>
      <c r="AD319" s="52">
        <v>0.0</v>
      </c>
      <c r="AE319" s="28"/>
      <c r="AF319" s="96">
        <f t="shared" si="1"/>
        <v>1950.3</v>
      </c>
      <c r="AG319" s="64">
        <f t="shared" si="2"/>
        <v>110</v>
      </c>
      <c r="AH319" s="64">
        <f t="shared" si="3"/>
        <v>0</v>
      </c>
      <c r="AI319" s="64">
        <f t="shared" si="4"/>
        <v>110</v>
      </c>
      <c r="AJ319" s="97">
        <f t="shared" si="5"/>
        <v>17.73</v>
      </c>
    </row>
    <row r="320">
      <c r="A320" s="64" t="s">
        <v>27</v>
      </c>
      <c r="B320" s="65">
        <f t="shared" si="6"/>
        <v>45973</v>
      </c>
      <c r="C320" s="64">
        <v>12.0</v>
      </c>
      <c r="D320" s="66" t="s">
        <v>32</v>
      </c>
      <c r="E320" s="45" t="s">
        <v>40</v>
      </c>
      <c r="F320" s="47">
        <v>0.0</v>
      </c>
      <c r="H320" s="49">
        <v>0.0</v>
      </c>
      <c r="J320" s="49">
        <v>0.0</v>
      </c>
      <c r="L320" s="110">
        <v>30.0</v>
      </c>
      <c r="N320" s="100">
        <v>30.0</v>
      </c>
      <c r="P320" s="100">
        <v>0.0</v>
      </c>
      <c r="R320" s="100">
        <v>0.0</v>
      </c>
      <c r="T320" s="100">
        <v>0.0</v>
      </c>
      <c r="V320" s="100">
        <v>0.0</v>
      </c>
      <c r="X320" s="50">
        <v>0.0</v>
      </c>
      <c r="Z320" s="52">
        <v>25.0</v>
      </c>
      <c r="AB320" s="52">
        <v>25.0</v>
      </c>
      <c r="AD320" s="52">
        <v>0.0</v>
      </c>
      <c r="AE320" s="28"/>
      <c r="AF320" s="96">
        <f t="shared" si="1"/>
        <v>1950.3</v>
      </c>
      <c r="AG320" s="64">
        <f t="shared" si="2"/>
        <v>110</v>
      </c>
      <c r="AH320" s="64">
        <f t="shared" si="3"/>
        <v>0</v>
      </c>
      <c r="AI320" s="64">
        <f t="shared" si="4"/>
        <v>110</v>
      </c>
      <c r="AJ320" s="97">
        <f t="shared" si="5"/>
        <v>17.73</v>
      </c>
    </row>
    <row r="321">
      <c r="A321" s="64" t="s">
        <v>28</v>
      </c>
      <c r="B321" s="65">
        <f t="shared" si="6"/>
        <v>45974</v>
      </c>
      <c r="C321" s="64">
        <v>12.0</v>
      </c>
      <c r="D321" s="66" t="s">
        <v>32</v>
      </c>
      <c r="E321" s="45" t="s">
        <v>40</v>
      </c>
      <c r="F321" s="47">
        <v>0.0</v>
      </c>
      <c r="H321" s="49">
        <v>0.0</v>
      </c>
      <c r="J321" s="49">
        <v>0.0</v>
      </c>
      <c r="L321" s="110">
        <v>30.0</v>
      </c>
      <c r="N321" s="100">
        <v>30.0</v>
      </c>
      <c r="P321" s="100">
        <v>0.0</v>
      </c>
      <c r="R321" s="100">
        <v>0.0</v>
      </c>
      <c r="T321" s="100">
        <v>0.0</v>
      </c>
      <c r="V321" s="100">
        <v>0.0</v>
      </c>
      <c r="X321" s="50">
        <v>0.0</v>
      </c>
      <c r="Z321" s="52">
        <v>25.0</v>
      </c>
      <c r="AB321" s="52">
        <v>25.0</v>
      </c>
      <c r="AD321" s="52">
        <v>0.0</v>
      </c>
      <c r="AE321" s="28"/>
      <c r="AF321" s="96">
        <f t="shared" si="1"/>
        <v>1950.3</v>
      </c>
      <c r="AG321" s="64">
        <f t="shared" si="2"/>
        <v>110</v>
      </c>
      <c r="AH321" s="64">
        <f t="shared" si="3"/>
        <v>0</v>
      </c>
      <c r="AI321" s="64">
        <f t="shared" si="4"/>
        <v>110</v>
      </c>
      <c r="AJ321" s="97">
        <f t="shared" si="5"/>
        <v>17.73</v>
      </c>
    </row>
    <row r="322">
      <c r="A322" s="64" t="s">
        <v>29</v>
      </c>
      <c r="B322" s="65">
        <f t="shared" si="6"/>
        <v>45975</v>
      </c>
      <c r="C322" s="64">
        <v>12.0</v>
      </c>
      <c r="D322" s="66" t="s">
        <v>32</v>
      </c>
      <c r="E322" s="45" t="s">
        <v>40</v>
      </c>
      <c r="F322" s="47">
        <v>0.0</v>
      </c>
      <c r="H322" s="49">
        <v>0.0</v>
      </c>
      <c r="J322" s="49">
        <v>0.0</v>
      </c>
      <c r="L322" s="110">
        <v>30.0</v>
      </c>
      <c r="N322" s="100">
        <v>30.0</v>
      </c>
      <c r="P322" s="100">
        <v>0.0</v>
      </c>
      <c r="R322" s="100">
        <v>0.0</v>
      </c>
      <c r="T322" s="100">
        <v>0.0</v>
      </c>
      <c r="V322" s="100">
        <v>0.0</v>
      </c>
      <c r="X322" s="50">
        <v>0.0</v>
      </c>
      <c r="Z322" s="52">
        <v>25.0</v>
      </c>
      <c r="AB322" s="52">
        <v>25.0</v>
      </c>
      <c r="AD322" s="52">
        <v>0.0</v>
      </c>
      <c r="AE322" s="28"/>
      <c r="AF322" s="96">
        <f t="shared" si="1"/>
        <v>1950.3</v>
      </c>
      <c r="AG322" s="64">
        <f t="shared" si="2"/>
        <v>110</v>
      </c>
      <c r="AH322" s="64">
        <f t="shared" si="3"/>
        <v>0</v>
      </c>
      <c r="AI322" s="64">
        <f t="shared" si="4"/>
        <v>110</v>
      </c>
      <c r="AJ322" s="97">
        <f t="shared" si="5"/>
        <v>17.73</v>
      </c>
    </row>
    <row r="323">
      <c r="A323" s="64" t="s">
        <v>30</v>
      </c>
      <c r="B323" s="65">
        <f t="shared" si="6"/>
        <v>45976</v>
      </c>
      <c r="C323" s="64">
        <v>12.0</v>
      </c>
      <c r="D323" s="66" t="s">
        <v>32</v>
      </c>
      <c r="E323" s="45" t="s">
        <v>40</v>
      </c>
      <c r="F323" s="47">
        <v>0.0</v>
      </c>
      <c r="H323" s="49">
        <v>0.0</v>
      </c>
      <c r="J323" s="49">
        <v>0.0</v>
      </c>
      <c r="L323" s="110">
        <v>30.0</v>
      </c>
      <c r="N323" s="100">
        <v>30.0</v>
      </c>
      <c r="P323" s="100">
        <v>0.0</v>
      </c>
      <c r="R323" s="100">
        <v>0.0</v>
      </c>
      <c r="T323" s="100">
        <v>0.0</v>
      </c>
      <c r="V323" s="100">
        <v>0.0</v>
      </c>
      <c r="X323" s="50">
        <v>0.0</v>
      </c>
      <c r="Z323" s="52">
        <v>0.0</v>
      </c>
      <c r="AB323" s="52">
        <v>0.0</v>
      </c>
      <c r="AD323" s="52">
        <v>0.0</v>
      </c>
      <c r="AE323" s="28"/>
      <c r="AF323" s="96">
        <f t="shared" si="1"/>
        <v>1063.8</v>
      </c>
      <c r="AG323" s="64">
        <f t="shared" si="2"/>
        <v>60</v>
      </c>
      <c r="AH323" s="64">
        <f t="shared" si="3"/>
        <v>0</v>
      </c>
      <c r="AI323" s="64">
        <f t="shared" si="4"/>
        <v>60</v>
      </c>
      <c r="AJ323" s="97">
        <f t="shared" si="5"/>
        <v>17.73</v>
      </c>
    </row>
    <row r="324">
      <c r="A324" s="83" t="s">
        <v>31</v>
      </c>
      <c r="B324" s="84">
        <f t="shared" si="6"/>
        <v>45977</v>
      </c>
      <c r="C324" s="83">
        <v>12.0</v>
      </c>
      <c r="D324" s="85" t="s">
        <v>32</v>
      </c>
      <c r="E324" s="106" t="s">
        <v>40</v>
      </c>
      <c r="F324" s="87">
        <v>0.0</v>
      </c>
      <c r="G324" s="75"/>
      <c r="H324" s="88">
        <v>0.0</v>
      </c>
      <c r="I324" s="75"/>
      <c r="J324" s="88">
        <v>0.0</v>
      </c>
      <c r="K324" s="75"/>
      <c r="L324" s="113">
        <v>0.0</v>
      </c>
      <c r="M324" s="75"/>
      <c r="N324" s="107">
        <v>0.0</v>
      </c>
      <c r="O324" s="75"/>
      <c r="P324" s="107">
        <v>0.0</v>
      </c>
      <c r="Q324" s="75"/>
      <c r="R324" s="107">
        <v>0.0</v>
      </c>
      <c r="S324" s="75"/>
      <c r="T324" s="107">
        <v>0.0</v>
      </c>
      <c r="U324" s="75"/>
      <c r="V324" s="107">
        <v>0.0</v>
      </c>
      <c r="W324" s="75"/>
      <c r="X324" s="89">
        <v>0.0</v>
      </c>
      <c r="Y324" s="75"/>
      <c r="Z324" s="90">
        <v>0.0</v>
      </c>
      <c r="AA324" s="75"/>
      <c r="AB324" s="90">
        <v>0.0</v>
      </c>
      <c r="AC324" s="75"/>
      <c r="AD324" s="90">
        <v>0.0</v>
      </c>
      <c r="AE324" s="77"/>
      <c r="AF324" s="98">
        <f t="shared" si="1"/>
        <v>0</v>
      </c>
      <c r="AG324" s="83">
        <f t="shared" si="2"/>
        <v>0</v>
      </c>
      <c r="AH324" s="83">
        <f t="shared" si="3"/>
        <v>0</v>
      </c>
      <c r="AI324" s="83">
        <f t="shared" si="4"/>
        <v>0</v>
      </c>
      <c r="AJ324" s="152" t="str">
        <f t="shared" si="5"/>
        <v/>
      </c>
    </row>
    <row r="325">
      <c r="A325" s="42" t="s">
        <v>23</v>
      </c>
      <c r="B325" s="43">
        <f t="shared" si="6"/>
        <v>45978</v>
      </c>
      <c r="C325" s="42">
        <v>12.0</v>
      </c>
      <c r="D325" s="44" t="s">
        <v>33</v>
      </c>
      <c r="E325" s="99" t="s">
        <v>25</v>
      </c>
      <c r="F325" s="47">
        <v>0.0</v>
      </c>
      <c r="H325" s="49">
        <v>0.0</v>
      </c>
      <c r="J325" s="49">
        <v>0.0</v>
      </c>
      <c r="L325" s="110">
        <v>0.0</v>
      </c>
      <c r="N325" s="100">
        <v>0.0</v>
      </c>
      <c r="P325" s="100">
        <v>0.0</v>
      </c>
      <c r="R325" s="100">
        <v>0.0</v>
      </c>
      <c r="T325" s="100">
        <v>1.0</v>
      </c>
      <c r="V325" s="100">
        <v>1.0</v>
      </c>
      <c r="X325" s="56">
        <v>0.0</v>
      </c>
      <c r="Y325" s="57"/>
      <c r="Z325" s="58">
        <v>25.0</v>
      </c>
      <c r="AA325" s="57"/>
      <c r="AB325" s="58">
        <v>25.0</v>
      </c>
      <c r="AC325" s="57"/>
      <c r="AD325" s="58">
        <v>0.0</v>
      </c>
      <c r="AE325" s="59"/>
      <c r="AF325" s="94">
        <f t="shared" si="1"/>
        <v>1651.63</v>
      </c>
      <c r="AG325" s="42">
        <f t="shared" si="2"/>
        <v>50</v>
      </c>
      <c r="AH325" s="42">
        <f t="shared" si="3"/>
        <v>2</v>
      </c>
      <c r="AI325" s="42">
        <f t="shared" si="4"/>
        <v>52</v>
      </c>
      <c r="AJ325" s="95">
        <f t="shared" si="5"/>
        <v>31.76211538</v>
      </c>
    </row>
    <row r="326">
      <c r="A326" s="64" t="s">
        <v>26</v>
      </c>
      <c r="B326" s="65">
        <f t="shared" si="6"/>
        <v>45979</v>
      </c>
      <c r="C326" s="64">
        <v>12.0</v>
      </c>
      <c r="D326" s="66" t="s">
        <v>33</v>
      </c>
      <c r="E326" s="45" t="s">
        <v>25</v>
      </c>
      <c r="F326" s="47">
        <v>0.0</v>
      </c>
      <c r="H326" s="49">
        <v>0.0</v>
      </c>
      <c r="J326" s="49">
        <v>0.0</v>
      </c>
      <c r="L326" s="110">
        <v>0.0</v>
      </c>
      <c r="N326" s="100">
        <v>0.0</v>
      </c>
      <c r="P326" s="100">
        <v>0.0</v>
      </c>
      <c r="R326" s="100">
        <v>0.0</v>
      </c>
      <c r="T326" s="100">
        <v>0.0</v>
      </c>
      <c r="V326" s="100">
        <v>0.0</v>
      </c>
      <c r="X326" s="50">
        <v>0.0</v>
      </c>
      <c r="Z326" s="52">
        <v>0.0</v>
      </c>
      <c r="AB326" s="52">
        <v>0.0</v>
      </c>
      <c r="AD326" s="52">
        <v>0.0</v>
      </c>
      <c r="AE326" s="28"/>
      <c r="AF326" s="96">
        <f t="shared" si="1"/>
        <v>0</v>
      </c>
      <c r="AG326" s="64">
        <f t="shared" si="2"/>
        <v>0</v>
      </c>
      <c r="AH326" s="64">
        <f t="shared" si="3"/>
        <v>0</v>
      </c>
      <c r="AI326" s="64">
        <f t="shared" si="4"/>
        <v>0</v>
      </c>
      <c r="AJ326" s="68" t="str">
        <f t="shared" si="5"/>
        <v/>
      </c>
    </row>
    <row r="327">
      <c r="A327" s="64" t="s">
        <v>27</v>
      </c>
      <c r="B327" s="65">
        <f t="shared" si="6"/>
        <v>45980</v>
      </c>
      <c r="C327" s="64">
        <v>12.0</v>
      </c>
      <c r="D327" s="66" t="s">
        <v>33</v>
      </c>
      <c r="E327" s="45" t="s">
        <v>25</v>
      </c>
      <c r="F327" s="47">
        <v>0.0</v>
      </c>
      <c r="H327" s="49">
        <v>0.0</v>
      </c>
      <c r="J327" s="49">
        <v>0.0</v>
      </c>
      <c r="L327" s="110">
        <v>0.0</v>
      </c>
      <c r="N327" s="100">
        <v>0.0</v>
      </c>
      <c r="P327" s="100">
        <v>0.0</v>
      </c>
      <c r="R327" s="100">
        <v>0.0</v>
      </c>
      <c r="T327" s="100">
        <v>0.0</v>
      </c>
      <c r="V327" s="100">
        <v>0.0</v>
      </c>
      <c r="X327" s="50">
        <v>0.0</v>
      </c>
      <c r="Z327" s="52">
        <v>0.0</v>
      </c>
      <c r="AB327" s="52">
        <v>0.0</v>
      </c>
      <c r="AD327" s="52">
        <v>0.0</v>
      </c>
      <c r="AE327" s="28"/>
      <c r="AF327" s="96">
        <f t="shared" si="1"/>
        <v>0</v>
      </c>
      <c r="AG327" s="64">
        <f t="shared" si="2"/>
        <v>0</v>
      </c>
      <c r="AH327" s="64">
        <f t="shared" si="3"/>
        <v>0</v>
      </c>
      <c r="AI327" s="64">
        <f t="shared" si="4"/>
        <v>0</v>
      </c>
      <c r="AJ327" s="68" t="str">
        <f t="shared" si="5"/>
        <v/>
      </c>
    </row>
    <row r="328">
      <c r="A328" s="64" t="s">
        <v>28</v>
      </c>
      <c r="B328" s="65">
        <f t="shared" si="6"/>
        <v>45981</v>
      </c>
      <c r="C328" s="64">
        <v>12.0</v>
      </c>
      <c r="D328" s="66" t="s">
        <v>33</v>
      </c>
      <c r="E328" s="45" t="s">
        <v>25</v>
      </c>
      <c r="F328" s="47">
        <v>0.0</v>
      </c>
      <c r="H328" s="49">
        <v>0.0</v>
      </c>
      <c r="J328" s="49">
        <v>0.0</v>
      </c>
      <c r="L328" s="110">
        <v>0.0</v>
      </c>
      <c r="N328" s="100">
        <v>0.0</v>
      </c>
      <c r="P328" s="100">
        <v>0.0</v>
      </c>
      <c r="R328" s="100">
        <v>0.0</v>
      </c>
      <c r="T328" s="100">
        <v>0.0</v>
      </c>
      <c r="V328" s="100">
        <v>0.0</v>
      </c>
      <c r="X328" s="50">
        <v>0.0</v>
      </c>
      <c r="Z328" s="52">
        <v>0.0</v>
      </c>
      <c r="AB328" s="52">
        <v>0.0</v>
      </c>
      <c r="AD328" s="52">
        <v>0.0</v>
      </c>
      <c r="AE328" s="28"/>
      <c r="AF328" s="96">
        <f t="shared" si="1"/>
        <v>0</v>
      </c>
      <c r="AG328" s="64">
        <f t="shared" si="2"/>
        <v>0</v>
      </c>
      <c r="AH328" s="64">
        <f t="shared" si="3"/>
        <v>0</v>
      </c>
      <c r="AI328" s="64">
        <f t="shared" si="4"/>
        <v>0</v>
      </c>
      <c r="AJ328" s="68" t="str">
        <f t="shared" si="5"/>
        <v/>
      </c>
    </row>
    <row r="329">
      <c r="A329" s="64" t="s">
        <v>29</v>
      </c>
      <c r="B329" s="65">
        <f t="shared" si="6"/>
        <v>45982</v>
      </c>
      <c r="C329" s="64">
        <v>12.0</v>
      </c>
      <c r="D329" s="66" t="s">
        <v>33</v>
      </c>
      <c r="E329" s="45" t="s">
        <v>25</v>
      </c>
      <c r="F329" s="47">
        <v>0.0</v>
      </c>
      <c r="H329" s="49">
        <v>0.0</v>
      </c>
      <c r="J329" s="49">
        <v>0.0</v>
      </c>
      <c r="L329" s="110">
        <v>0.0</v>
      </c>
      <c r="N329" s="100">
        <v>0.0</v>
      </c>
      <c r="P329" s="100">
        <v>0.0</v>
      </c>
      <c r="R329" s="100">
        <v>0.0</v>
      </c>
      <c r="T329" s="100">
        <v>0.0</v>
      </c>
      <c r="V329" s="100">
        <v>0.0</v>
      </c>
      <c r="X329" s="50">
        <v>0.0</v>
      </c>
      <c r="Z329" s="52">
        <v>0.0</v>
      </c>
      <c r="AB329" s="52">
        <v>0.0</v>
      </c>
      <c r="AD329" s="52">
        <v>0.0</v>
      </c>
      <c r="AE329" s="28"/>
      <c r="AF329" s="96">
        <f t="shared" si="1"/>
        <v>0</v>
      </c>
      <c r="AG329" s="64">
        <f t="shared" si="2"/>
        <v>0</v>
      </c>
      <c r="AH329" s="64">
        <f t="shared" si="3"/>
        <v>0</v>
      </c>
      <c r="AI329" s="64">
        <f t="shared" si="4"/>
        <v>0</v>
      </c>
      <c r="AJ329" s="68" t="str">
        <f t="shared" si="5"/>
        <v/>
      </c>
    </row>
    <row r="330">
      <c r="A330" s="64" t="s">
        <v>30</v>
      </c>
      <c r="B330" s="65">
        <f t="shared" si="6"/>
        <v>45983</v>
      </c>
      <c r="C330" s="64">
        <v>12.0</v>
      </c>
      <c r="D330" s="66" t="s">
        <v>33</v>
      </c>
      <c r="E330" s="45" t="s">
        <v>25</v>
      </c>
      <c r="F330" s="47">
        <v>0.0</v>
      </c>
      <c r="H330" s="49">
        <v>0.0</v>
      </c>
      <c r="J330" s="49">
        <v>0.0</v>
      </c>
      <c r="L330" s="110">
        <v>0.0</v>
      </c>
      <c r="N330" s="100">
        <v>0.0</v>
      </c>
      <c r="P330" s="100">
        <v>0.0</v>
      </c>
      <c r="R330" s="100">
        <v>0.0</v>
      </c>
      <c r="T330" s="100">
        <v>0.0</v>
      </c>
      <c r="V330" s="100">
        <v>0.0</v>
      </c>
      <c r="X330" s="50">
        <v>0.0</v>
      </c>
      <c r="Z330" s="52">
        <v>0.0</v>
      </c>
      <c r="AB330" s="52">
        <v>0.0</v>
      </c>
      <c r="AD330" s="52">
        <v>0.0</v>
      </c>
      <c r="AE330" s="28"/>
      <c r="AF330" s="96">
        <f t="shared" si="1"/>
        <v>0</v>
      </c>
      <c r="AG330" s="64">
        <f t="shared" si="2"/>
        <v>0</v>
      </c>
      <c r="AH330" s="64">
        <f t="shared" si="3"/>
        <v>0</v>
      </c>
      <c r="AI330" s="64">
        <f t="shared" si="4"/>
        <v>0</v>
      </c>
      <c r="AJ330" s="68" t="str">
        <f t="shared" si="5"/>
        <v/>
      </c>
    </row>
    <row r="331">
      <c r="A331" s="83" t="s">
        <v>31</v>
      </c>
      <c r="B331" s="84">
        <f t="shared" si="6"/>
        <v>45984</v>
      </c>
      <c r="C331" s="83">
        <v>12.0</v>
      </c>
      <c r="D331" s="85" t="s">
        <v>33</v>
      </c>
      <c r="E331" s="106" t="s">
        <v>25</v>
      </c>
      <c r="F331" s="87">
        <v>0.0</v>
      </c>
      <c r="G331" s="75"/>
      <c r="H331" s="88">
        <v>0.0</v>
      </c>
      <c r="I331" s="75"/>
      <c r="J331" s="88">
        <v>0.0</v>
      </c>
      <c r="K331" s="75"/>
      <c r="L331" s="113">
        <v>0.0</v>
      </c>
      <c r="M331" s="75"/>
      <c r="N331" s="107">
        <v>0.0</v>
      </c>
      <c r="O331" s="75"/>
      <c r="P331" s="107">
        <v>0.0</v>
      </c>
      <c r="Q331" s="75"/>
      <c r="R331" s="107">
        <v>0.0</v>
      </c>
      <c r="S331" s="75"/>
      <c r="T331" s="107">
        <v>0.0</v>
      </c>
      <c r="U331" s="75"/>
      <c r="V331" s="107">
        <v>0.0</v>
      </c>
      <c r="W331" s="75"/>
      <c r="X331" s="89">
        <v>0.0</v>
      </c>
      <c r="Y331" s="75"/>
      <c r="Z331" s="90">
        <v>0.0</v>
      </c>
      <c r="AA331" s="75"/>
      <c r="AB331" s="90">
        <v>0.0</v>
      </c>
      <c r="AC331" s="75"/>
      <c r="AD331" s="90">
        <v>0.0</v>
      </c>
      <c r="AE331" s="77"/>
      <c r="AF331" s="98">
        <f t="shared" si="1"/>
        <v>0</v>
      </c>
      <c r="AG331" s="83">
        <f t="shared" si="2"/>
        <v>0</v>
      </c>
      <c r="AH331" s="83">
        <f t="shared" si="3"/>
        <v>0</v>
      </c>
      <c r="AI331" s="83">
        <f t="shared" si="4"/>
        <v>0</v>
      </c>
      <c r="AJ331" s="152" t="str">
        <f t="shared" si="5"/>
        <v/>
      </c>
    </row>
    <row r="332">
      <c r="A332" s="42" t="s">
        <v>23</v>
      </c>
      <c r="B332" s="43">
        <f t="shared" si="6"/>
        <v>45985</v>
      </c>
      <c r="C332" s="42">
        <v>12.0</v>
      </c>
      <c r="D332" s="44" t="s">
        <v>36</v>
      </c>
      <c r="E332" s="99" t="s">
        <v>25</v>
      </c>
      <c r="F332" s="47">
        <v>0.0</v>
      </c>
      <c r="H332" s="49">
        <v>0.0</v>
      </c>
      <c r="J332" s="49">
        <v>0.0</v>
      </c>
      <c r="L332" s="47">
        <v>0.0</v>
      </c>
      <c r="N332" s="49">
        <v>0.0</v>
      </c>
      <c r="P332" s="49">
        <v>0.0</v>
      </c>
      <c r="R332" s="49">
        <v>0.0</v>
      </c>
      <c r="T332" s="49">
        <v>0.0</v>
      </c>
      <c r="V332" s="49">
        <v>0.0</v>
      </c>
      <c r="X332" s="168">
        <v>0.0</v>
      </c>
      <c r="Y332" s="57"/>
      <c r="Z332" s="169">
        <v>0.0</v>
      </c>
      <c r="AA332" s="57"/>
      <c r="AB332" s="169">
        <v>0.0</v>
      </c>
      <c r="AC332" s="57"/>
      <c r="AD332" s="169">
        <v>0.0</v>
      </c>
      <c r="AE332" s="59"/>
      <c r="AF332" s="94">
        <f t="shared" si="1"/>
        <v>0</v>
      </c>
      <c r="AG332" s="42">
        <f t="shared" si="2"/>
        <v>0</v>
      </c>
      <c r="AH332" s="42">
        <f t="shared" si="3"/>
        <v>0</v>
      </c>
      <c r="AI332" s="42">
        <f t="shared" si="4"/>
        <v>0</v>
      </c>
      <c r="AJ332" s="63" t="str">
        <f t="shared" si="5"/>
        <v/>
      </c>
    </row>
    <row r="333">
      <c r="A333" s="64" t="s">
        <v>26</v>
      </c>
      <c r="B333" s="65">
        <f t="shared" si="6"/>
        <v>45986</v>
      </c>
      <c r="C333" s="64">
        <v>12.0</v>
      </c>
      <c r="D333" s="66" t="s">
        <v>36</v>
      </c>
      <c r="E333" s="45" t="s">
        <v>25</v>
      </c>
      <c r="F333" s="47">
        <v>0.0</v>
      </c>
      <c r="H333" s="49">
        <v>0.0</v>
      </c>
      <c r="J333" s="49">
        <v>0.0</v>
      </c>
      <c r="L333" s="47">
        <v>0.0</v>
      </c>
      <c r="N333" s="49">
        <v>0.0</v>
      </c>
      <c r="P333" s="49">
        <v>0.0</v>
      </c>
      <c r="R333" s="49">
        <v>0.0</v>
      </c>
      <c r="T333" s="49">
        <v>0.0</v>
      </c>
      <c r="V333" s="49">
        <v>0.0</v>
      </c>
      <c r="X333" s="47">
        <v>0.0</v>
      </c>
      <c r="Z333" s="49">
        <v>0.0</v>
      </c>
      <c r="AB333" s="49">
        <v>0.0</v>
      </c>
      <c r="AD333" s="49">
        <v>0.0</v>
      </c>
      <c r="AE333" s="28"/>
      <c r="AF333" s="96">
        <f t="shared" si="1"/>
        <v>0</v>
      </c>
      <c r="AG333" s="64">
        <f t="shared" si="2"/>
        <v>0</v>
      </c>
      <c r="AH333" s="64">
        <f t="shared" si="3"/>
        <v>0</v>
      </c>
      <c r="AI333" s="64">
        <f t="shared" si="4"/>
        <v>0</v>
      </c>
      <c r="AJ333" s="68" t="str">
        <f t="shared" si="5"/>
        <v/>
      </c>
    </row>
    <row r="334">
      <c r="A334" s="64" t="s">
        <v>27</v>
      </c>
      <c r="B334" s="65">
        <f t="shared" si="6"/>
        <v>45987</v>
      </c>
      <c r="C334" s="64">
        <v>12.0</v>
      </c>
      <c r="D334" s="66" t="s">
        <v>36</v>
      </c>
      <c r="E334" s="45" t="s">
        <v>25</v>
      </c>
      <c r="F334" s="47">
        <v>0.0</v>
      </c>
      <c r="H334" s="49">
        <v>0.0</v>
      </c>
      <c r="J334" s="49">
        <v>0.0</v>
      </c>
      <c r="L334" s="47">
        <v>0.0</v>
      </c>
      <c r="N334" s="49">
        <v>0.0</v>
      </c>
      <c r="P334" s="49">
        <v>0.0</v>
      </c>
      <c r="R334" s="49">
        <v>0.0</v>
      </c>
      <c r="T334" s="49">
        <v>0.0</v>
      </c>
      <c r="V334" s="49">
        <v>0.0</v>
      </c>
      <c r="X334" s="47">
        <v>0.0</v>
      </c>
      <c r="Z334" s="49">
        <v>0.0</v>
      </c>
      <c r="AB334" s="49">
        <v>0.0</v>
      </c>
      <c r="AD334" s="49">
        <v>0.0</v>
      </c>
      <c r="AE334" s="28"/>
      <c r="AF334" s="96">
        <f t="shared" si="1"/>
        <v>0</v>
      </c>
      <c r="AG334" s="64">
        <f t="shared" si="2"/>
        <v>0</v>
      </c>
      <c r="AH334" s="64">
        <f t="shared" si="3"/>
        <v>0</v>
      </c>
      <c r="AI334" s="64">
        <f t="shared" si="4"/>
        <v>0</v>
      </c>
      <c r="AJ334" s="68" t="str">
        <f t="shared" si="5"/>
        <v/>
      </c>
    </row>
    <row r="335">
      <c r="A335" s="64" t="s">
        <v>28</v>
      </c>
      <c r="B335" s="65">
        <f t="shared" si="6"/>
        <v>45988</v>
      </c>
      <c r="C335" s="64">
        <v>12.0</v>
      </c>
      <c r="D335" s="66" t="s">
        <v>36</v>
      </c>
      <c r="E335" s="45" t="s">
        <v>25</v>
      </c>
      <c r="F335" s="47">
        <v>0.0</v>
      </c>
      <c r="H335" s="49">
        <v>0.0</v>
      </c>
      <c r="J335" s="49">
        <v>0.0</v>
      </c>
      <c r="L335" s="47">
        <v>0.0</v>
      </c>
      <c r="N335" s="49">
        <v>0.0</v>
      </c>
      <c r="P335" s="49">
        <v>0.0</v>
      </c>
      <c r="R335" s="49">
        <v>0.0</v>
      </c>
      <c r="T335" s="49">
        <v>0.0</v>
      </c>
      <c r="V335" s="49">
        <v>0.0</v>
      </c>
      <c r="X335" s="47">
        <v>0.0</v>
      </c>
      <c r="Z335" s="49">
        <v>0.0</v>
      </c>
      <c r="AB335" s="49">
        <v>0.0</v>
      </c>
      <c r="AD335" s="49">
        <v>0.0</v>
      </c>
      <c r="AE335" s="28"/>
      <c r="AF335" s="96">
        <f t="shared" si="1"/>
        <v>0</v>
      </c>
      <c r="AG335" s="64">
        <f t="shared" si="2"/>
        <v>0</v>
      </c>
      <c r="AH335" s="64">
        <f t="shared" si="3"/>
        <v>0</v>
      </c>
      <c r="AI335" s="64">
        <f t="shared" si="4"/>
        <v>0</v>
      </c>
      <c r="AJ335" s="68" t="str">
        <f t="shared" si="5"/>
        <v/>
      </c>
    </row>
    <row r="336">
      <c r="A336" s="64" t="s">
        <v>29</v>
      </c>
      <c r="B336" s="65">
        <f t="shared" si="6"/>
        <v>45989</v>
      </c>
      <c r="C336" s="64">
        <v>12.0</v>
      </c>
      <c r="D336" s="66" t="s">
        <v>36</v>
      </c>
      <c r="E336" s="45" t="s">
        <v>25</v>
      </c>
      <c r="F336" s="47">
        <v>0.0</v>
      </c>
      <c r="H336" s="49">
        <v>0.0</v>
      </c>
      <c r="J336" s="49">
        <v>0.0</v>
      </c>
      <c r="L336" s="47">
        <v>0.0</v>
      </c>
      <c r="N336" s="49">
        <v>0.0</v>
      </c>
      <c r="P336" s="49">
        <v>0.0</v>
      </c>
      <c r="R336" s="49">
        <v>0.0</v>
      </c>
      <c r="T336" s="49">
        <v>0.0</v>
      </c>
      <c r="V336" s="49">
        <v>0.0</v>
      </c>
      <c r="X336" s="47">
        <v>0.0</v>
      </c>
      <c r="Z336" s="49">
        <v>0.0</v>
      </c>
      <c r="AB336" s="49">
        <v>0.0</v>
      </c>
      <c r="AD336" s="49">
        <v>0.0</v>
      </c>
      <c r="AE336" s="28"/>
      <c r="AF336" s="96">
        <f t="shared" si="1"/>
        <v>0</v>
      </c>
      <c r="AG336" s="64">
        <f t="shared" si="2"/>
        <v>0</v>
      </c>
      <c r="AH336" s="64">
        <f t="shared" si="3"/>
        <v>0</v>
      </c>
      <c r="AI336" s="64">
        <f t="shared" si="4"/>
        <v>0</v>
      </c>
      <c r="AJ336" s="68" t="str">
        <f t="shared" si="5"/>
        <v/>
      </c>
    </row>
    <row r="337">
      <c r="A337" s="64" t="s">
        <v>30</v>
      </c>
      <c r="B337" s="65">
        <f t="shared" si="6"/>
        <v>45990</v>
      </c>
      <c r="C337" s="64">
        <v>12.0</v>
      </c>
      <c r="D337" s="66" t="s">
        <v>36</v>
      </c>
      <c r="E337" s="45" t="s">
        <v>25</v>
      </c>
      <c r="F337" s="47">
        <v>0.0</v>
      </c>
      <c r="H337" s="49">
        <v>0.0</v>
      </c>
      <c r="J337" s="49">
        <v>0.0</v>
      </c>
      <c r="L337" s="47">
        <v>0.0</v>
      </c>
      <c r="N337" s="49">
        <v>0.0</v>
      </c>
      <c r="P337" s="49">
        <v>0.0</v>
      </c>
      <c r="R337" s="49">
        <v>0.0</v>
      </c>
      <c r="T337" s="49">
        <v>0.0</v>
      </c>
      <c r="V337" s="49">
        <v>0.0</v>
      </c>
      <c r="X337" s="47">
        <v>0.0</v>
      </c>
      <c r="Z337" s="49">
        <v>0.0</v>
      </c>
      <c r="AB337" s="49">
        <v>0.0</v>
      </c>
      <c r="AD337" s="49">
        <v>0.0</v>
      </c>
      <c r="AE337" s="28"/>
      <c r="AF337" s="96">
        <f t="shared" si="1"/>
        <v>0</v>
      </c>
      <c r="AG337" s="64">
        <f t="shared" si="2"/>
        <v>0</v>
      </c>
      <c r="AH337" s="64">
        <f t="shared" si="3"/>
        <v>0</v>
      </c>
      <c r="AI337" s="64">
        <f t="shared" si="4"/>
        <v>0</v>
      </c>
      <c r="AJ337" s="68" t="str">
        <f t="shared" si="5"/>
        <v/>
      </c>
    </row>
    <row r="338">
      <c r="A338" s="83" t="s">
        <v>31</v>
      </c>
      <c r="B338" s="84">
        <f t="shared" si="6"/>
        <v>45991</v>
      </c>
      <c r="C338" s="83">
        <v>12.0</v>
      </c>
      <c r="D338" s="85" t="s">
        <v>36</v>
      </c>
      <c r="E338" s="106" t="s">
        <v>25</v>
      </c>
      <c r="F338" s="87">
        <v>0.0</v>
      </c>
      <c r="G338" s="75"/>
      <c r="H338" s="88">
        <v>0.0</v>
      </c>
      <c r="I338" s="75"/>
      <c r="J338" s="88">
        <v>0.0</v>
      </c>
      <c r="K338" s="75"/>
      <c r="L338" s="87">
        <v>0.0</v>
      </c>
      <c r="M338" s="75"/>
      <c r="N338" s="88">
        <v>0.0</v>
      </c>
      <c r="O338" s="75"/>
      <c r="P338" s="88">
        <v>0.0</v>
      </c>
      <c r="Q338" s="75"/>
      <c r="R338" s="88">
        <v>0.0</v>
      </c>
      <c r="S338" s="75"/>
      <c r="T338" s="88">
        <v>0.0</v>
      </c>
      <c r="U338" s="75"/>
      <c r="V338" s="88">
        <v>0.0</v>
      </c>
      <c r="W338" s="75"/>
      <c r="X338" s="87">
        <v>0.0</v>
      </c>
      <c r="Y338" s="75"/>
      <c r="Z338" s="88">
        <v>0.0</v>
      </c>
      <c r="AA338" s="75"/>
      <c r="AB338" s="88">
        <v>0.0</v>
      </c>
      <c r="AC338" s="75"/>
      <c r="AD338" s="88">
        <v>0.0</v>
      </c>
      <c r="AE338" s="77"/>
      <c r="AF338" s="98">
        <f t="shared" si="1"/>
        <v>0</v>
      </c>
      <c r="AG338" s="83">
        <f t="shared" si="2"/>
        <v>0</v>
      </c>
      <c r="AH338" s="83">
        <f t="shared" si="3"/>
        <v>0</v>
      </c>
      <c r="AI338" s="83">
        <f t="shared" si="4"/>
        <v>0</v>
      </c>
      <c r="AJ338" s="152" t="str">
        <f t="shared" si="5"/>
        <v/>
      </c>
    </row>
    <row r="339">
      <c r="A339" s="42" t="s">
        <v>23</v>
      </c>
      <c r="B339" s="43">
        <f t="shared" si="6"/>
        <v>45992</v>
      </c>
      <c r="C339" s="42">
        <v>13.0</v>
      </c>
      <c r="D339" s="44" t="s">
        <v>24</v>
      </c>
      <c r="E339" s="99" t="s">
        <v>25</v>
      </c>
      <c r="F339" s="47">
        <v>0.0</v>
      </c>
      <c r="H339" s="49">
        <v>0.0</v>
      </c>
      <c r="J339" s="49">
        <v>0.0</v>
      </c>
      <c r="L339" s="47">
        <v>0.0</v>
      </c>
      <c r="N339" s="49">
        <v>0.0</v>
      </c>
      <c r="P339" s="49">
        <v>0.0</v>
      </c>
      <c r="R339" s="49">
        <v>0.0</v>
      </c>
      <c r="T339" s="49">
        <v>0.0</v>
      </c>
      <c r="V339" s="49">
        <v>0.0</v>
      </c>
      <c r="X339" s="168">
        <v>0.0</v>
      </c>
      <c r="Y339" s="57"/>
      <c r="Z339" s="169">
        <v>0.0</v>
      </c>
      <c r="AA339" s="57"/>
      <c r="AB339" s="169">
        <v>0.0</v>
      </c>
      <c r="AC339" s="57"/>
      <c r="AD339" s="169">
        <v>0.0</v>
      </c>
      <c r="AE339" s="59"/>
      <c r="AF339" s="94">
        <f t="shared" si="1"/>
        <v>0</v>
      </c>
      <c r="AG339" s="42">
        <f t="shared" si="2"/>
        <v>0</v>
      </c>
      <c r="AH339" s="42">
        <f t="shared" si="3"/>
        <v>0</v>
      </c>
      <c r="AI339" s="42">
        <f t="shared" si="4"/>
        <v>0</v>
      </c>
      <c r="AJ339" s="63" t="str">
        <f t="shared" si="5"/>
        <v/>
      </c>
    </row>
    <row r="340">
      <c r="A340" s="64" t="s">
        <v>26</v>
      </c>
      <c r="B340" s="65">
        <f t="shared" si="6"/>
        <v>45993</v>
      </c>
      <c r="C340" s="64">
        <v>13.0</v>
      </c>
      <c r="D340" s="66" t="s">
        <v>24</v>
      </c>
      <c r="E340" s="45" t="s">
        <v>25</v>
      </c>
      <c r="F340" s="47">
        <v>0.0</v>
      </c>
      <c r="H340" s="49">
        <v>0.0</v>
      </c>
      <c r="J340" s="49">
        <v>0.0</v>
      </c>
      <c r="L340" s="47">
        <v>0.0</v>
      </c>
      <c r="N340" s="49">
        <v>0.0</v>
      </c>
      <c r="P340" s="49">
        <v>0.0</v>
      </c>
      <c r="R340" s="49">
        <v>0.0</v>
      </c>
      <c r="T340" s="49">
        <v>0.0</v>
      </c>
      <c r="V340" s="49">
        <v>0.0</v>
      </c>
      <c r="X340" s="47">
        <v>0.0</v>
      </c>
      <c r="Z340" s="49">
        <v>0.0</v>
      </c>
      <c r="AB340" s="49">
        <v>0.0</v>
      </c>
      <c r="AD340" s="49">
        <v>0.0</v>
      </c>
      <c r="AE340" s="28"/>
      <c r="AF340" s="96">
        <f t="shared" si="1"/>
        <v>0</v>
      </c>
      <c r="AG340" s="64">
        <f t="shared" si="2"/>
        <v>0</v>
      </c>
      <c r="AH340" s="64">
        <f t="shared" si="3"/>
        <v>0</v>
      </c>
      <c r="AI340" s="64">
        <f t="shared" si="4"/>
        <v>0</v>
      </c>
      <c r="AJ340" s="68" t="str">
        <f t="shared" si="5"/>
        <v/>
      </c>
    </row>
    <row r="341">
      <c r="A341" s="64" t="s">
        <v>27</v>
      </c>
      <c r="B341" s="65">
        <f t="shared" si="6"/>
        <v>45994</v>
      </c>
      <c r="C341" s="64">
        <v>13.0</v>
      </c>
      <c r="D341" s="66" t="s">
        <v>24</v>
      </c>
      <c r="E341" s="45" t="s">
        <v>25</v>
      </c>
      <c r="F341" s="47">
        <v>0.0</v>
      </c>
      <c r="H341" s="49">
        <v>0.0</v>
      </c>
      <c r="J341" s="49">
        <v>0.0</v>
      </c>
      <c r="L341" s="47">
        <v>0.0</v>
      </c>
      <c r="N341" s="49">
        <v>0.0</v>
      </c>
      <c r="P341" s="49">
        <v>0.0</v>
      </c>
      <c r="R341" s="49">
        <v>0.0</v>
      </c>
      <c r="T341" s="49">
        <v>0.0</v>
      </c>
      <c r="V341" s="49">
        <v>0.0</v>
      </c>
      <c r="X341" s="47">
        <v>0.0</v>
      </c>
      <c r="Z341" s="49">
        <v>0.0</v>
      </c>
      <c r="AB341" s="49">
        <v>0.0</v>
      </c>
      <c r="AD341" s="49">
        <v>0.0</v>
      </c>
      <c r="AE341" s="28"/>
      <c r="AF341" s="96">
        <f t="shared" si="1"/>
        <v>0</v>
      </c>
      <c r="AG341" s="64">
        <f t="shared" si="2"/>
        <v>0</v>
      </c>
      <c r="AH341" s="64">
        <f t="shared" si="3"/>
        <v>0</v>
      </c>
      <c r="AI341" s="64">
        <f t="shared" si="4"/>
        <v>0</v>
      </c>
      <c r="AJ341" s="68" t="str">
        <f t="shared" si="5"/>
        <v/>
      </c>
    </row>
    <row r="342">
      <c r="A342" s="64" t="s">
        <v>28</v>
      </c>
      <c r="B342" s="65">
        <f t="shared" si="6"/>
        <v>45995</v>
      </c>
      <c r="C342" s="64">
        <v>13.0</v>
      </c>
      <c r="D342" s="66" t="s">
        <v>24</v>
      </c>
      <c r="E342" s="45" t="s">
        <v>25</v>
      </c>
      <c r="F342" s="47">
        <v>0.0</v>
      </c>
      <c r="H342" s="49">
        <v>0.0</v>
      </c>
      <c r="J342" s="49">
        <v>0.0</v>
      </c>
      <c r="L342" s="47">
        <v>0.0</v>
      </c>
      <c r="N342" s="49">
        <v>0.0</v>
      </c>
      <c r="P342" s="49">
        <v>0.0</v>
      </c>
      <c r="R342" s="49">
        <v>0.0</v>
      </c>
      <c r="T342" s="49">
        <v>0.0</v>
      </c>
      <c r="V342" s="49">
        <v>0.0</v>
      </c>
      <c r="X342" s="47">
        <v>0.0</v>
      </c>
      <c r="Z342" s="49">
        <v>0.0</v>
      </c>
      <c r="AB342" s="49">
        <v>0.0</v>
      </c>
      <c r="AD342" s="49">
        <v>0.0</v>
      </c>
      <c r="AE342" s="28"/>
      <c r="AF342" s="96">
        <f t="shared" si="1"/>
        <v>0</v>
      </c>
      <c r="AG342" s="64">
        <f t="shared" si="2"/>
        <v>0</v>
      </c>
      <c r="AH342" s="64">
        <f t="shared" si="3"/>
        <v>0</v>
      </c>
      <c r="AI342" s="64">
        <f t="shared" si="4"/>
        <v>0</v>
      </c>
      <c r="AJ342" s="68" t="str">
        <f t="shared" si="5"/>
        <v/>
      </c>
    </row>
    <row r="343">
      <c r="A343" s="64" t="s">
        <v>29</v>
      </c>
      <c r="B343" s="65">
        <f t="shared" si="6"/>
        <v>45996</v>
      </c>
      <c r="C343" s="64">
        <v>13.0</v>
      </c>
      <c r="D343" s="66" t="s">
        <v>24</v>
      </c>
      <c r="E343" s="45" t="s">
        <v>25</v>
      </c>
      <c r="F343" s="47">
        <v>0.0</v>
      </c>
      <c r="H343" s="49">
        <v>0.0</v>
      </c>
      <c r="J343" s="49">
        <v>0.0</v>
      </c>
      <c r="L343" s="47">
        <v>0.0</v>
      </c>
      <c r="N343" s="49">
        <v>0.0</v>
      </c>
      <c r="P343" s="49">
        <v>0.0</v>
      </c>
      <c r="R343" s="49">
        <v>0.0</v>
      </c>
      <c r="T343" s="49">
        <v>0.0</v>
      </c>
      <c r="V343" s="49">
        <v>0.0</v>
      </c>
      <c r="X343" s="47">
        <v>0.0</v>
      </c>
      <c r="Z343" s="49">
        <v>0.0</v>
      </c>
      <c r="AB343" s="49">
        <v>0.0</v>
      </c>
      <c r="AD343" s="49">
        <v>0.0</v>
      </c>
      <c r="AE343" s="28"/>
      <c r="AF343" s="96">
        <f t="shared" si="1"/>
        <v>0</v>
      </c>
      <c r="AG343" s="64">
        <f t="shared" si="2"/>
        <v>0</v>
      </c>
      <c r="AH343" s="64">
        <f t="shared" si="3"/>
        <v>0</v>
      </c>
      <c r="AI343" s="64">
        <f t="shared" si="4"/>
        <v>0</v>
      </c>
      <c r="AJ343" s="68" t="str">
        <f t="shared" si="5"/>
        <v/>
      </c>
    </row>
    <row r="344">
      <c r="A344" s="64" t="s">
        <v>30</v>
      </c>
      <c r="B344" s="65">
        <f t="shared" si="6"/>
        <v>45997</v>
      </c>
      <c r="C344" s="64">
        <v>13.0</v>
      </c>
      <c r="D344" s="66" t="s">
        <v>24</v>
      </c>
      <c r="E344" s="45" t="s">
        <v>25</v>
      </c>
      <c r="F344" s="47">
        <v>0.0</v>
      </c>
      <c r="H344" s="49">
        <v>0.0</v>
      </c>
      <c r="J344" s="49">
        <v>0.0</v>
      </c>
      <c r="L344" s="47">
        <v>0.0</v>
      </c>
      <c r="N344" s="49">
        <v>0.0</v>
      </c>
      <c r="P344" s="49">
        <v>0.0</v>
      </c>
      <c r="R344" s="49">
        <v>0.0</v>
      </c>
      <c r="T344" s="49">
        <v>0.0</v>
      </c>
      <c r="V344" s="49">
        <v>0.0</v>
      </c>
      <c r="X344" s="47">
        <v>0.0</v>
      </c>
      <c r="Z344" s="49">
        <v>0.0</v>
      </c>
      <c r="AB344" s="49">
        <v>0.0</v>
      </c>
      <c r="AD344" s="49">
        <v>0.0</v>
      </c>
      <c r="AE344" s="28"/>
      <c r="AF344" s="96">
        <f t="shared" si="1"/>
        <v>0</v>
      </c>
      <c r="AG344" s="64">
        <f t="shared" si="2"/>
        <v>0</v>
      </c>
      <c r="AH344" s="64">
        <f t="shared" si="3"/>
        <v>0</v>
      </c>
      <c r="AI344" s="64">
        <f t="shared" si="4"/>
        <v>0</v>
      </c>
      <c r="AJ344" s="68" t="str">
        <f t="shared" si="5"/>
        <v/>
      </c>
    </row>
    <row r="345">
      <c r="A345" s="83" t="s">
        <v>31</v>
      </c>
      <c r="B345" s="84">
        <f t="shared" si="6"/>
        <v>45998</v>
      </c>
      <c r="C345" s="83">
        <v>13.0</v>
      </c>
      <c r="D345" s="85" t="s">
        <v>24</v>
      </c>
      <c r="E345" s="106" t="s">
        <v>25</v>
      </c>
      <c r="F345" s="87">
        <v>0.0</v>
      </c>
      <c r="G345" s="75"/>
      <c r="H345" s="88">
        <v>0.0</v>
      </c>
      <c r="I345" s="75"/>
      <c r="J345" s="88">
        <v>0.0</v>
      </c>
      <c r="K345" s="75"/>
      <c r="L345" s="87">
        <v>0.0</v>
      </c>
      <c r="M345" s="75"/>
      <c r="N345" s="88">
        <v>0.0</v>
      </c>
      <c r="O345" s="75"/>
      <c r="P345" s="88">
        <v>0.0</v>
      </c>
      <c r="Q345" s="75"/>
      <c r="R345" s="88">
        <v>0.0</v>
      </c>
      <c r="S345" s="75"/>
      <c r="T345" s="88">
        <v>0.0</v>
      </c>
      <c r="U345" s="75"/>
      <c r="V345" s="88">
        <v>0.0</v>
      </c>
      <c r="W345" s="75"/>
      <c r="X345" s="87">
        <v>0.0</v>
      </c>
      <c r="Y345" s="75"/>
      <c r="Z345" s="88">
        <v>0.0</v>
      </c>
      <c r="AA345" s="75"/>
      <c r="AB345" s="88">
        <v>0.0</v>
      </c>
      <c r="AC345" s="75"/>
      <c r="AD345" s="88">
        <v>0.0</v>
      </c>
      <c r="AE345" s="77"/>
      <c r="AF345" s="98">
        <f t="shared" si="1"/>
        <v>0</v>
      </c>
      <c r="AG345" s="83">
        <f t="shared" si="2"/>
        <v>0</v>
      </c>
      <c r="AH345" s="83">
        <f t="shared" si="3"/>
        <v>0</v>
      </c>
      <c r="AI345" s="83">
        <f t="shared" si="4"/>
        <v>0</v>
      </c>
      <c r="AJ345" s="152" t="str">
        <f t="shared" si="5"/>
        <v/>
      </c>
    </row>
    <row r="346">
      <c r="A346" s="42" t="s">
        <v>23</v>
      </c>
      <c r="B346" s="43">
        <f t="shared" si="6"/>
        <v>45999</v>
      </c>
      <c r="C346" s="42">
        <v>13.0</v>
      </c>
      <c r="D346" s="44" t="s">
        <v>32</v>
      </c>
      <c r="E346" s="99" t="s">
        <v>25</v>
      </c>
      <c r="F346" s="47">
        <v>0.0</v>
      </c>
      <c r="H346" s="49">
        <v>0.0</v>
      </c>
      <c r="J346" s="49">
        <v>0.0</v>
      </c>
      <c r="L346" s="47">
        <v>0.0</v>
      </c>
      <c r="N346" s="49">
        <v>0.0</v>
      </c>
      <c r="P346" s="49">
        <v>0.0</v>
      </c>
      <c r="R346" s="49">
        <v>0.0</v>
      </c>
      <c r="T346" s="49">
        <v>0.0</v>
      </c>
      <c r="V346" s="49">
        <v>0.0</v>
      </c>
      <c r="X346" s="168">
        <v>0.0</v>
      </c>
      <c r="Y346" s="57"/>
      <c r="Z346" s="169">
        <v>0.0</v>
      </c>
      <c r="AA346" s="57"/>
      <c r="AB346" s="169">
        <v>0.0</v>
      </c>
      <c r="AC346" s="57"/>
      <c r="AD346" s="169">
        <v>0.0</v>
      </c>
      <c r="AE346" s="59"/>
      <c r="AF346" s="94">
        <f t="shared" si="1"/>
        <v>0</v>
      </c>
      <c r="AG346" s="42">
        <f t="shared" si="2"/>
        <v>0</v>
      </c>
      <c r="AH346" s="42">
        <f t="shared" si="3"/>
        <v>0</v>
      </c>
      <c r="AI346" s="42">
        <f t="shared" si="4"/>
        <v>0</v>
      </c>
      <c r="AJ346" s="63" t="str">
        <f t="shared" si="5"/>
        <v/>
      </c>
    </row>
    <row r="347">
      <c r="A347" s="64" t="s">
        <v>26</v>
      </c>
      <c r="B347" s="65">
        <f t="shared" si="6"/>
        <v>46000</v>
      </c>
      <c r="C347" s="64">
        <v>13.0</v>
      </c>
      <c r="D347" s="66" t="s">
        <v>32</v>
      </c>
      <c r="E347" s="45" t="s">
        <v>25</v>
      </c>
      <c r="F347" s="47">
        <v>0.0</v>
      </c>
      <c r="H347" s="49">
        <v>0.0</v>
      </c>
      <c r="J347" s="49">
        <v>0.0</v>
      </c>
      <c r="L347" s="47">
        <v>0.0</v>
      </c>
      <c r="N347" s="49">
        <v>0.0</v>
      </c>
      <c r="P347" s="49">
        <v>0.0</v>
      </c>
      <c r="R347" s="49">
        <v>0.0</v>
      </c>
      <c r="T347" s="49">
        <v>0.0</v>
      </c>
      <c r="V347" s="49">
        <v>0.0</v>
      </c>
      <c r="X347" s="47">
        <v>0.0</v>
      </c>
      <c r="Z347" s="49">
        <v>0.0</v>
      </c>
      <c r="AB347" s="49">
        <v>0.0</v>
      </c>
      <c r="AD347" s="49">
        <v>0.0</v>
      </c>
      <c r="AE347" s="28"/>
      <c r="AF347" s="96">
        <f t="shared" si="1"/>
        <v>0</v>
      </c>
      <c r="AG347" s="64">
        <f t="shared" si="2"/>
        <v>0</v>
      </c>
      <c r="AH347" s="64">
        <f t="shared" si="3"/>
        <v>0</v>
      </c>
      <c r="AI347" s="64">
        <f t="shared" si="4"/>
        <v>0</v>
      </c>
      <c r="AJ347" s="68" t="str">
        <f t="shared" si="5"/>
        <v/>
      </c>
    </row>
    <row r="348">
      <c r="A348" s="64" t="s">
        <v>27</v>
      </c>
      <c r="B348" s="65">
        <f t="shared" si="6"/>
        <v>46001</v>
      </c>
      <c r="C348" s="64">
        <v>13.0</v>
      </c>
      <c r="D348" s="66" t="s">
        <v>32</v>
      </c>
      <c r="E348" s="45" t="s">
        <v>25</v>
      </c>
      <c r="F348" s="47">
        <v>0.0</v>
      </c>
      <c r="H348" s="49">
        <v>0.0</v>
      </c>
      <c r="J348" s="49">
        <v>0.0</v>
      </c>
      <c r="L348" s="47">
        <v>0.0</v>
      </c>
      <c r="N348" s="49">
        <v>0.0</v>
      </c>
      <c r="P348" s="49">
        <v>0.0</v>
      </c>
      <c r="R348" s="49">
        <v>0.0</v>
      </c>
      <c r="T348" s="49">
        <v>0.0</v>
      </c>
      <c r="V348" s="49">
        <v>0.0</v>
      </c>
      <c r="X348" s="47">
        <v>0.0</v>
      </c>
      <c r="Z348" s="49">
        <v>0.0</v>
      </c>
      <c r="AB348" s="49">
        <v>0.0</v>
      </c>
      <c r="AD348" s="49">
        <v>0.0</v>
      </c>
      <c r="AE348" s="28"/>
      <c r="AF348" s="96">
        <f t="shared" si="1"/>
        <v>0</v>
      </c>
      <c r="AG348" s="64">
        <f t="shared" si="2"/>
        <v>0</v>
      </c>
      <c r="AH348" s="64">
        <f t="shared" si="3"/>
        <v>0</v>
      </c>
      <c r="AI348" s="64">
        <f t="shared" si="4"/>
        <v>0</v>
      </c>
      <c r="AJ348" s="68" t="str">
        <f t="shared" si="5"/>
        <v/>
      </c>
    </row>
    <row r="349">
      <c r="A349" s="64" t="s">
        <v>28</v>
      </c>
      <c r="B349" s="65">
        <f t="shared" si="6"/>
        <v>46002</v>
      </c>
      <c r="C349" s="64">
        <v>13.0</v>
      </c>
      <c r="D349" s="66" t="s">
        <v>32</v>
      </c>
      <c r="E349" s="45" t="s">
        <v>25</v>
      </c>
      <c r="F349" s="47">
        <v>0.0</v>
      </c>
      <c r="H349" s="49">
        <v>0.0</v>
      </c>
      <c r="J349" s="49">
        <v>0.0</v>
      </c>
      <c r="L349" s="47">
        <v>0.0</v>
      </c>
      <c r="N349" s="49">
        <v>0.0</v>
      </c>
      <c r="P349" s="49">
        <v>0.0</v>
      </c>
      <c r="R349" s="49">
        <v>0.0</v>
      </c>
      <c r="T349" s="49">
        <v>0.0</v>
      </c>
      <c r="V349" s="49">
        <v>0.0</v>
      </c>
      <c r="X349" s="47">
        <v>0.0</v>
      </c>
      <c r="Z349" s="49">
        <v>0.0</v>
      </c>
      <c r="AB349" s="49">
        <v>0.0</v>
      </c>
      <c r="AD349" s="49">
        <v>0.0</v>
      </c>
      <c r="AE349" s="28"/>
      <c r="AF349" s="96">
        <f t="shared" si="1"/>
        <v>0</v>
      </c>
      <c r="AG349" s="64">
        <f t="shared" si="2"/>
        <v>0</v>
      </c>
      <c r="AH349" s="64">
        <f t="shared" si="3"/>
        <v>0</v>
      </c>
      <c r="AI349" s="64">
        <f t="shared" si="4"/>
        <v>0</v>
      </c>
      <c r="AJ349" s="68" t="str">
        <f t="shared" si="5"/>
        <v/>
      </c>
    </row>
    <row r="350">
      <c r="A350" s="64" t="s">
        <v>29</v>
      </c>
      <c r="B350" s="65">
        <f t="shared" si="6"/>
        <v>46003</v>
      </c>
      <c r="C350" s="64">
        <v>13.0</v>
      </c>
      <c r="D350" s="66" t="s">
        <v>32</v>
      </c>
      <c r="E350" s="45" t="s">
        <v>25</v>
      </c>
      <c r="F350" s="47">
        <v>0.0</v>
      </c>
      <c r="H350" s="49">
        <v>0.0</v>
      </c>
      <c r="J350" s="49">
        <v>0.0</v>
      </c>
      <c r="L350" s="47">
        <v>0.0</v>
      </c>
      <c r="N350" s="49">
        <v>0.0</v>
      </c>
      <c r="P350" s="49">
        <v>0.0</v>
      </c>
      <c r="R350" s="49">
        <v>0.0</v>
      </c>
      <c r="T350" s="49">
        <v>0.0</v>
      </c>
      <c r="V350" s="49">
        <v>0.0</v>
      </c>
      <c r="X350" s="47">
        <v>0.0</v>
      </c>
      <c r="Z350" s="49">
        <v>0.0</v>
      </c>
      <c r="AB350" s="49">
        <v>0.0</v>
      </c>
      <c r="AD350" s="49">
        <v>0.0</v>
      </c>
      <c r="AE350" s="28"/>
      <c r="AF350" s="96">
        <f t="shared" si="1"/>
        <v>0</v>
      </c>
      <c r="AG350" s="64">
        <f t="shared" si="2"/>
        <v>0</v>
      </c>
      <c r="AH350" s="64">
        <f t="shared" si="3"/>
        <v>0</v>
      </c>
      <c r="AI350" s="64">
        <f t="shared" si="4"/>
        <v>0</v>
      </c>
      <c r="AJ350" s="68" t="str">
        <f t="shared" si="5"/>
        <v/>
      </c>
    </row>
    <row r="351">
      <c r="A351" s="64" t="s">
        <v>30</v>
      </c>
      <c r="B351" s="65">
        <f t="shared" si="6"/>
        <v>46004</v>
      </c>
      <c r="C351" s="64">
        <v>13.0</v>
      </c>
      <c r="D351" s="66" t="s">
        <v>32</v>
      </c>
      <c r="E351" s="45" t="s">
        <v>25</v>
      </c>
      <c r="F351" s="47">
        <v>0.0</v>
      </c>
      <c r="H351" s="49">
        <v>0.0</v>
      </c>
      <c r="J351" s="49">
        <v>0.0</v>
      </c>
      <c r="L351" s="47">
        <v>0.0</v>
      </c>
      <c r="N351" s="49">
        <v>0.0</v>
      </c>
      <c r="P351" s="49">
        <v>0.0</v>
      </c>
      <c r="R351" s="49">
        <v>0.0</v>
      </c>
      <c r="T351" s="49">
        <v>0.0</v>
      </c>
      <c r="V351" s="49">
        <v>0.0</v>
      </c>
      <c r="X351" s="47">
        <v>0.0</v>
      </c>
      <c r="Z351" s="49">
        <v>0.0</v>
      </c>
      <c r="AB351" s="49">
        <v>0.0</v>
      </c>
      <c r="AD351" s="49">
        <v>0.0</v>
      </c>
      <c r="AE351" s="28"/>
      <c r="AF351" s="96">
        <f t="shared" si="1"/>
        <v>0</v>
      </c>
      <c r="AG351" s="64">
        <f t="shared" si="2"/>
        <v>0</v>
      </c>
      <c r="AH351" s="64">
        <f t="shared" si="3"/>
        <v>0</v>
      </c>
      <c r="AI351" s="64">
        <f t="shared" si="4"/>
        <v>0</v>
      </c>
      <c r="AJ351" s="68" t="str">
        <f t="shared" si="5"/>
        <v/>
      </c>
    </row>
    <row r="352">
      <c r="A352" s="83" t="s">
        <v>31</v>
      </c>
      <c r="B352" s="84">
        <f t="shared" si="6"/>
        <v>46005</v>
      </c>
      <c r="C352" s="83">
        <v>13.0</v>
      </c>
      <c r="D352" s="85" t="s">
        <v>32</v>
      </c>
      <c r="E352" s="106" t="s">
        <v>25</v>
      </c>
      <c r="F352" s="87">
        <v>0.0</v>
      </c>
      <c r="G352" s="75"/>
      <c r="H352" s="88">
        <v>0.0</v>
      </c>
      <c r="I352" s="75"/>
      <c r="J352" s="88">
        <v>0.0</v>
      </c>
      <c r="K352" s="75"/>
      <c r="L352" s="87">
        <v>0.0</v>
      </c>
      <c r="M352" s="75"/>
      <c r="N352" s="88">
        <v>0.0</v>
      </c>
      <c r="O352" s="75"/>
      <c r="P352" s="88">
        <v>0.0</v>
      </c>
      <c r="Q352" s="75"/>
      <c r="R352" s="88">
        <v>0.0</v>
      </c>
      <c r="S352" s="75"/>
      <c r="T352" s="88">
        <v>0.0</v>
      </c>
      <c r="U352" s="75"/>
      <c r="V352" s="88">
        <v>0.0</v>
      </c>
      <c r="W352" s="75"/>
      <c r="X352" s="87">
        <v>0.0</v>
      </c>
      <c r="Y352" s="75"/>
      <c r="Z352" s="88">
        <v>0.0</v>
      </c>
      <c r="AA352" s="75"/>
      <c r="AB352" s="88">
        <v>0.0</v>
      </c>
      <c r="AC352" s="75"/>
      <c r="AD352" s="88">
        <v>0.0</v>
      </c>
      <c r="AE352" s="77"/>
      <c r="AF352" s="98">
        <f t="shared" si="1"/>
        <v>0</v>
      </c>
      <c r="AG352" s="83">
        <f t="shared" si="2"/>
        <v>0</v>
      </c>
      <c r="AH352" s="83">
        <f t="shared" si="3"/>
        <v>0</v>
      </c>
      <c r="AI352" s="83">
        <f t="shared" si="4"/>
        <v>0</v>
      </c>
      <c r="AJ352" s="152" t="str">
        <f t="shared" si="5"/>
        <v/>
      </c>
    </row>
    <row r="353">
      <c r="A353" s="42" t="s">
        <v>23</v>
      </c>
      <c r="B353" s="43">
        <f t="shared" si="6"/>
        <v>46006</v>
      </c>
      <c r="C353" s="42">
        <v>13.0</v>
      </c>
      <c r="D353" s="44" t="s">
        <v>33</v>
      </c>
      <c r="E353" s="99" t="s">
        <v>25</v>
      </c>
      <c r="F353" s="47">
        <v>0.0</v>
      </c>
      <c r="H353" s="49">
        <v>0.0</v>
      </c>
      <c r="J353" s="49">
        <v>0.0</v>
      </c>
      <c r="L353" s="47">
        <v>0.0</v>
      </c>
      <c r="N353" s="49">
        <v>0.0</v>
      </c>
      <c r="P353" s="49">
        <v>0.0</v>
      </c>
      <c r="R353" s="49">
        <v>0.0</v>
      </c>
      <c r="T353" s="49">
        <v>0.0</v>
      </c>
      <c r="V353" s="49">
        <v>0.0</v>
      </c>
      <c r="X353" s="168">
        <v>0.0</v>
      </c>
      <c r="Y353" s="57"/>
      <c r="Z353" s="169">
        <v>0.0</v>
      </c>
      <c r="AA353" s="57"/>
      <c r="AB353" s="169">
        <v>0.0</v>
      </c>
      <c r="AC353" s="57"/>
      <c r="AD353" s="169">
        <v>0.0</v>
      </c>
      <c r="AE353" s="59"/>
      <c r="AF353" s="94">
        <f t="shared" si="1"/>
        <v>0</v>
      </c>
      <c r="AG353" s="42">
        <f t="shared" si="2"/>
        <v>0</v>
      </c>
      <c r="AH353" s="42">
        <f t="shared" si="3"/>
        <v>0</v>
      </c>
      <c r="AI353" s="42">
        <f t="shared" si="4"/>
        <v>0</v>
      </c>
      <c r="AJ353" s="63" t="str">
        <f t="shared" si="5"/>
        <v/>
      </c>
    </row>
    <row r="354">
      <c r="A354" s="64" t="s">
        <v>26</v>
      </c>
      <c r="B354" s="65">
        <f t="shared" si="6"/>
        <v>46007</v>
      </c>
      <c r="C354" s="64">
        <v>13.0</v>
      </c>
      <c r="D354" s="66" t="s">
        <v>33</v>
      </c>
      <c r="E354" s="45" t="s">
        <v>25</v>
      </c>
      <c r="F354" s="47">
        <v>0.0</v>
      </c>
      <c r="H354" s="49">
        <v>0.0</v>
      </c>
      <c r="J354" s="49">
        <v>0.0</v>
      </c>
      <c r="L354" s="47">
        <v>0.0</v>
      </c>
      <c r="N354" s="49">
        <v>0.0</v>
      </c>
      <c r="P354" s="49">
        <v>0.0</v>
      </c>
      <c r="R354" s="49">
        <v>0.0</v>
      </c>
      <c r="T354" s="49">
        <v>0.0</v>
      </c>
      <c r="V354" s="49">
        <v>0.0</v>
      </c>
      <c r="X354" s="47">
        <v>0.0</v>
      </c>
      <c r="Z354" s="49">
        <v>0.0</v>
      </c>
      <c r="AB354" s="49">
        <v>0.0</v>
      </c>
      <c r="AD354" s="49">
        <v>0.0</v>
      </c>
      <c r="AE354" s="28"/>
      <c r="AF354" s="96">
        <f t="shared" si="1"/>
        <v>0</v>
      </c>
      <c r="AG354" s="64">
        <f t="shared" si="2"/>
        <v>0</v>
      </c>
      <c r="AH354" s="64">
        <f t="shared" si="3"/>
        <v>0</v>
      </c>
      <c r="AI354" s="64">
        <f t="shared" si="4"/>
        <v>0</v>
      </c>
      <c r="AJ354" s="68" t="str">
        <f t="shared" si="5"/>
        <v/>
      </c>
    </row>
    <row r="355">
      <c r="A355" s="64" t="s">
        <v>27</v>
      </c>
      <c r="B355" s="65">
        <f t="shared" si="6"/>
        <v>46008</v>
      </c>
      <c r="C355" s="64">
        <v>13.0</v>
      </c>
      <c r="D355" s="66" t="s">
        <v>33</v>
      </c>
      <c r="E355" s="45" t="s">
        <v>25</v>
      </c>
      <c r="F355" s="47">
        <v>0.0</v>
      </c>
      <c r="H355" s="49">
        <v>0.0</v>
      </c>
      <c r="J355" s="49">
        <v>0.0</v>
      </c>
      <c r="L355" s="47">
        <v>0.0</v>
      </c>
      <c r="N355" s="49">
        <v>0.0</v>
      </c>
      <c r="P355" s="49">
        <v>0.0</v>
      </c>
      <c r="R355" s="49">
        <v>0.0</v>
      </c>
      <c r="T355" s="49">
        <v>0.0</v>
      </c>
      <c r="V355" s="49">
        <v>0.0</v>
      </c>
      <c r="X355" s="47">
        <v>0.0</v>
      </c>
      <c r="Z355" s="49">
        <v>0.0</v>
      </c>
      <c r="AB355" s="49">
        <v>0.0</v>
      </c>
      <c r="AD355" s="49">
        <v>0.0</v>
      </c>
      <c r="AE355" s="28"/>
      <c r="AF355" s="96">
        <f t="shared" si="1"/>
        <v>0</v>
      </c>
      <c r="AG355" s="64">
        <f t="shared" si="2"/>
        <v>0</v>
      </c>
      <c r="AH355" s="64">
        <f t="shared" si="3"/>
        <v>0</v>
      </c>
      <c r="AI355" s="64">
        <f t="shared" si="4"/>
        <v>0</v>
      </c>
      <c r="AJ355" s="68" t="str">
        <f t="shared" si="5"/>
        <v/>
      </c>
    </row>
    <row r="356">
      <c r="A356" s="64" t="s">
        <v>28</v>
      </c>
      <c r="B356" s="65">
        <f t="shared" si="6"/>
        <v>46009</v>
      </c>
      <c r="C356" s="64">
        <v>13.0</v>
      </c>
      <c r="D356" s="66" t="s">
        <v>33</v>
      </c>
      <c r="E356" s="45" t="s">
        <v>25</v>
      </c>
      <c r="F356" s="47">
        <v>0.0</v>
      </c>
      <c r="H356" s="49">
        <v>0.0</v>
      </c>
      <c r="J356" s="49">
        <v>0.0</v>
      </c>
      <c r="L356" s="47">
        <v>0.0</v>
      </c>
      <c r="N356" s="49">
        <v>0.0</v>
      </c>
      <c r="P356" s="49">
        <v>0.0</v>
      </c>
      <c r="R356" s="49">
        <v>0.0</v>
      </c>
      <c r="T356" s="49">
        <v>0.0</v>
      </c>
      <c r="V356" s="49">
        <v>0.0</v>
      </c>
      <c r="X356" s="47">
        <v>0.0</v>
      </c>
      <c r="Z356" s="49">
        <v>0.0</v>
      </c>
      <c r="AB356" s="49">
        <v>0.0</v>
      </c>
      <c r="AD356" s="49">
        <v>0.0</v>
      </c>
      <c r="AE356" s="28"/>
      <c r="AF356" s="96">
        <f t="shared" si="1"/>
        <v>0</v>
      </c>
      <c r="AG356" s="64">
        <f t="shared" si="2"/>
        <v>0</v>
      </c>
      <c r="AH356" s="64">
        <f t="shared" si="3"/>
        <v>0</v>
      </c>
      <c r="AI356" s="64">
        <f t="shared" si="4"/>
        <v>0</v>
      </c>
      <c r="AJ356" s="68" t="str">
        <f t="shared" si="5"/>
        <v/>
      </c>
    </row>
    <row r="357">
      <c r="A357" s="64" t="s">
        <v>29</v>
      </c>
      <c r="B357" s="65">
        <f t="shared" si="6"/>
        <v>46010</v>
      </c>
      <c r="C357" s="64">
        <v>13.0</v>
      </c>
      <c r="D357" s="66" t="s">
        <v>33</v>
      </c>
      <c r="E357" s="45" t="s">
        <v>25</v>
      </c>
      <c r="F357" s="47">
        <v>0.0</v>
      </c>
      <c r="H357" s="49">
        <v>0.0</v>
      </c>
      <c r="J357" s="49">
        <v>0.0</v>
      </c>
      <c r="L357" s="47">
        <v>0.0</v>
      </c>
      <c r="N357" s="49">
        <v>0.0</v>
      </c>
      <c r="P357" s="49">
        <v>0.0</v>
      </c>
      <c r="R357" s="49">
        <v>0.0</v>
      </c>
      <c r="T357" s="49">
        <v>0.0</v>
      </c>
      <c r="V357" s="49">
        <v>0.0</v>
      </c>
      <c r="X357" s="47">
        <v>0.0</v>
      </c>
      <c r="Z357" s="49">
        <v>0.0</v>
      </c>
      <c r="AB357" s="49">
        <v>0.0</v>
      </c>
      <c r="AD357" s="49">
        <v>0.0</v>
      </c>
      <c r="AE357" s="28"/>
      <c r="AF357" s="96">
        <f t="shared" si="1"/>
        <v>0</v>
      </c>
      <c r="AG357" s="64">
        <f t="shared" si="2"/>
        <v>0</v>
      </c>
      <c r="AH357" s="64">
        <f t="shared" si="3"/>
        <v>0</v>
      </c>
      <c r="AI357" s="64">
        <f t="shared" si="4"/>
        <v>0</v>
      </c>
      <c r="AJ357" s="68" t="str">
        <f t="shared" si="5"/>
        <v/>
      </c>
    </row>
    <row r="358">
      <c r="A358" s="64" t="s">
        <v>30</v>
      </c>
      <c r="B358" s="65">
        <f t="shared" si="6"/>
        <v>46011</v>
      </c>
      <c r="C358" s="64">
        <v>13.0</v>
      </c>
      <c r="D358" s="66" t="s">
        <v>33</v>
      </c>
      <c r="E358" s="45" t="s">
        <v>25</v>
      </c>
      <c r="F358" s="47">
        <v>0.0</v>
      </c>
      <c r="H358" s="49">
        <v>0.0</v>
      </c>
      <c r="J358" s="49">
        <v>0.0</v>
      </c>
      <c r="L358" s="47">
        <v>0.0</v>
      </c>
      <c r="N358" s="49">
        <v>0.0</v>
      </c>
      <c r="P358" s="49">
        <v>0.0</v>
      </c>
      <c r="R358" s="49">
        <v>0.0</v>
      </c>
      <c r="T358" s="49">
        <v>0.0</v>
      </c>
      <c r="V358" s="49">
        <v>0.0</v>
      </c>
      <c r="X358" s="47">
        <v>0.0</v>
      </c>
      <c r="Z358" s="49">
        <v>0.0</v>
      </c>
      <c r="AB358" s="49">
        <v>0.0</v>
      </c>
      <c r="AD358" s="49">
        <v>0.0</v>
      </c>
      <c r="AE358" s="28"/>
      <c r="AF358" s="96">
        <f t="shared" si="1"/>
        <v>0</v>
      </c>
      <c r="AG358" s="64">
        <f t="shared" si="2"/>
        <v>0</v>
      </c>
      <c r="AH358" s="64">
        <f t="shared" si="3"/>
        <v>0</v>
      </c>
      <c r="AI358" s="64">
        <f t="shared" si="4"/>
        <v>0</v>
      </c>
      <c r="AJ358" s="68" t="str">
        <f t="shared" si="5"/>
        <v/>
      </c>
    </row>
    <row r="359">
      <c r="A359" s="83" t="s">
        <v>31</v>
      </c>
      <c r="B359" s="84">
        <f t="shared" si="6"/>
        <v>46012</v>
      </c>
      <c r="C359" s="83">
        <v>13.0</v>
      </c>
      <c r="D359" s="85" t="s">
        <v>33</v>
      </c>
      <c r="E359" s="106" t="s">
        <v>25</v>
      </c>
      <c r="F359" s="87">
        <v>0.0</v>
      </c>
      <c r="G359" s="75"/>
      <c r="H359" s="88">
        <v>0.0</v>
      </c>
      <c r="I359" s="75"/>
      <c r="J359" s="88">
        <v>0.0</v>
      </c>
      <c r="K359" s="75"/>
      <c r="L359" s="87">
        <v>0.0</v>
      </c>
      <c r="M359" s="75"/>
      <c r="N359" s="88">
        <v>0.0</v>
      </c>
      <c r="O359" s="75"/>
      <c r="P359" s="88">
        <v>0.0</v>
      </c>
      <c r="Q359" s="75"/>
      <c r="R359" s="88">
        <v>0.0</v>
      </c>
      <c r="S359" s="75"/>
      <c r="T359" s="88">
        <v>0.0</v>
      </c>
      <c r="U359" s="75"/>
      <c r="V359" s="88">
        <v>0.0</v>
      </c>
      <c r="W359" s="75"/>
      <c r="X359" s="87">
        <v>0.0</v>
      </c>
      <c r="Y359" s="75"/>
      <c r="Z359" s="88">
        <v>0.0</v>
      </c>
      <c r="AA359" s="75"/>
      <c r="AB359" s="88">
        <v>0.0</v>
      </c>
      <c r="AC359" s="75"/>
      <c r="AD359" s="88">
        <v>0.0</v>
      </c>
      <c r="AE359" s="77"/>
      <c r="AF359" s="98">
        <f t="shared" si="1"/>
        <v>0</v>
      </c>
      <c r="AG359" s="83">
        <f t="shared" si="2"/>
        <v>0</v>
      </c>
      <c r="AH359" s="83">
        <f t="shared" si="3"/>
        <v>0</v>
      </c>
      <c r="AI359" s="83">
        <f t="shared" si="4"/>
        <v>0</v>
      </c>
      <c r="AJ359" s="152" t="str">
        <f t="shared" si="5"/>
        <v/>
      </c>
    </row>
    <row r="360">
      <c r="A360" s="170"/>
      <c r="B360" s="170"/>
      <c r="C360" s="170"/>
      <c r="D360" s="170"/>
      <c r="E360" s="170"/>
      <c r="F360" s="170"/>
      <c r="G360" s="171">
        <f>sum(F3:G359)*G$2</f>
        <v>98390.08</v>
      </c>
      <c r="H360" s="170"/>
      <c r="I360" s="171">
        <f>sum(H3:I359)*I$2</f>
        <v>122596.72</v>
      </c>
      <c r="J360" s="170"/>
      <c r="K360" s="171">
        <f>sum(J3:K359)*K$2</f>
        <v>28255.04</v>
      </c>
      <c r="L360" s="170"/>
      <c r="M360" s="171">
        <f>sum(L3:M359)*M$2</f>
        <v>490606.83</v>
      </c>
      <c r="N360" s="170"/>
      <c r="O360" s="171">
        <f>sum(N3:O359)*O$2</f>
        <v>490606.83</v>
      </c>
      <c r="P360" s="170"/>
      <c r="Q360" s="171">
        <f>sum(P3:Q359)*Q$2</f>
        <v>2978.64</v>
      </c>
      <c r="R360" s="170"/>
      <c r="S360" s="171">
        <f>sum(R3:S359)*S$2</f>
        <v>30624</v>
      </c>
      <c r="T360" s="170"/>
      <c r="U360" s="171">
        <f>sum(T3:U359)*U$2</f>
        <v>23117.89</v>
      </c>
      <c r="V360" s="170"/>
      <c r="W360" s="171">
        <f>sum(V3:W359)*W$2</f>
        <v>12843.22</v>
      </c>
      <c r="X360" s="170"/>
      <c r="Y360" s="171">
        <f>sum(X3:Y359)*Y$2</f>
        <v>12725.44</v>
      </c>
      <c r="Z360" s="170"/>
      <c r="AA360" s="171">
        <f>sum(Z3:AA359)*AA$2</f>
        <v>95742</v>
      </c>
      <c r="AB360" s="170"/>
      <c r="AC360" s="171">
        <f>sum(AB3:AC359)*AC$2</f>
        <v>95742</v>
      </c>
      <c r="AD360" s="170"/>
      <c r="AE360" s="171">
        <f>sum(AD3:AE359)*AE$2</f>
        <v>0</v>
      </c>
      <c r="AF360" s="172">
        <f t="shared" ref="AF360:AI360" si="7">SUM(AF3:AF359)</f>
        <v>1504228.69</v>
      </c>
      <c r="AG360" s="173">
        <f t="shared" si="7"/>
        <v>81043</v>
      </c>
      <c r="AH360" s="173">
        <f t="shared" si="7"/>
        <v>94</v>
      </c>
      <c r="AI360" s="173">
        <f t="shared" si="7"/>
        <v>81137</v>
      </c>
      <c r="AJ360" s="170"/>
    </row>
    <row r="361">
      <c r="A361" s="174"/>
      <c r="B361" s="174"/>
      <c r="C361" s="175"/>
      <c r="D361" s="176"/>
      <c r="E361" s="177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  <c r="AA361" s="175"/>
      <c r="AB361" s="175"/>
      <c r="AC361" s="175"/>
      <c r="AD361" s="175"/>
      <c r="AE361" s="175"/>
      <c r="AF361" s="170"/>
      <c r="AG361" s="178"/>
      <c r="AH361" s="178"/>
      <c r="AI361" s="178"/>
      <c r="AJ361" s="175"/>
    </row>
    <row r="362">
      <c r="A362" s="174"/>
      <c r="B362" s="174"/>
      <c r="C362" s="175"/>
      <c r="D362" s="176"/>
      <c r="E362" s="177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  <c r="AA362" s="175"/>
      <c r="AB362" s="175"/>
      <c r="AC362" s="175"/>
      <c r="AD362" s="175"/>
      <c r="AE362" s="175"/>
      <c r="AF362" s="179" t="s">
        <v>41</v>
      </c>
      <c r="AG362" s="180">
        <f>AF364</f>
        <v>249241.84</v>
      </c>
      <c r="AH362" s="181" t="s">
        <v>42</v>
      </c>
      <c r="AI362" s="178"/>
      <c r="AJ362" s="175"/>
    </row>
    <row r="363">
      <c r="A363" s="174"/>
      <c r="B363" s="174"/>
      <c r="C363" s="175"/>
      <c r="D363" s="176"/>
      <c r="E363" s="177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  <c r="AA363" s="175"/>
      <c r="AB363" s="175"/>
      <c r="AC363" s="175"/>
      <c r="AD363" s="175"/>
      <c r="AE363" s="175"/>
      <c r="AF363" s="182">
        <f>sum(F3:K359)</f>
        <v>8927</v>
      </c>
      <c r="AG363" s="183" t="s">
        <v>43</v>
      </c>
      <c r="AH363" s="175"/>
      <c r="AI363" s="175"/>
      <c r="AJ363" s="175"/>
    </row>
    <row r="364">
      <c r="A364" s="174"/>
      <c r="B364" s="174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  <c r="AA364" s="175"/>
      <c r="AB364" s="175"/>
      <c r="AC364" s="175"/>
      <c r="AD364" s="175"/>
      <c r="AE364" s="175"/>
      <c r="AF364" s="184">
        <f>sum(F360:K360)</f>
        <v>249241.84</v>
      </c>
      <c r="AG364" s="185" t="s">
        <v>44</v>
      </c>
      <c r="AH364" s="175"/>
      <c r="AI364" s="175"/>
      <c r="AJ364" s="175"/>
    </row>
    <row r="365">
      <c r="A365" s="174"/>
      <c r="B365" s="174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6"/>
      <c r="S365" s="176"/>
      <c r="T365" s="176"/>
      <c r="U365" s="176"/>
      <c r="V365" s="176"/>
      <c r="W365" s="176"/>
      <c r="X365" s="176"/>
      <c r="Y365" s="176"/>
      <c r="Z365" s="176"/>
      <c r="AA365" s="176"/>
      <c r="AB365" s="176"/>
      <c r="AC365" s="176"/>
      <c r="AD365" s="176"/>
      <c r="AE365" s="176"/>
      <c r="AF365" s="186"/>
      <c r="AG365" s="183"/>
      <c r="AH365" s="176"/>
      <c r="AI365" s="175"/>
      <c r="AJ365" s="175"/>
    </row>
    <row r="366">
      <c r="A366" s="174"/>
      <c r="B366" s="174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6"/>
      <c r="S366" s="176"/>
      <c r="T366" s="176"/>
      <c r="U366" s="176"/>
      <c r="V366" s="176"/>
      <c r="W366" s="176"/>
      <c r="X366" s="176"/>
      <c r="Y366" s="176"/>
      <c r="Z366" s="176"/>
      <c r="AA366" s="176"/>
      <c r="AB366" s="176"/>
      <c r="AC366" s="176"/>
      <c r="AD366" s="176"/>
      <c r="AE366" s="176"/>
      <c r="AF366" s="187" t="s">
        <v>45</v>
      </c>
      <c r="AG366" s="188">
        <f>sum(AF368,AF371,AF374,AF377)</f>
        <v>1050777.41</v>
      </c>
      <c r="AH366" s="189" t="s">
        <v>42</v>
      </c>
      <c r="AI366" s="175"/>
      <c r="AJ366" s="175"/>
    </row>
    <row r="367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  <c r="AA367" s="175"/>
      <c r="AB367" s="175"/>
      <c r="AC367" s="175"/>
      <c r="AD367" s="175"/>
      <c r="AE367" s="175"/>
      <c r="AF367" s="182">
        <f>sum(L3:Q359)</f>
        <v>55510</v>
      </c>
      <c r="AG367" s="183" t="s">
        <v>43</v>
      </c>
      <c r="AH367" s="175"/>
      <c r="AI367" s="175"/>
      <c r="AJ367" s="175"/>
    </row>
    <row r="368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  <c r="AA368" s="175"/>
      <c r="AB368" s="175"/>
      <c r="AC368" s="175"/>
      <c r="AD368" s="175"/>
      <c r="AE368" s="175"/>
      <c r="AF368" s="184">
        <f>sum(L360:Q360)</f>
        <v>984192.3</v>
      </c>
      <c r="AG368" s="183" t="s">
        <v>44</v>
      </c>
      <c r="AH368" s="175"/>
      <c r="AI368" s="175"/>
      <c r="AJ368" s="175"/>
    </row>
    <row r="369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  <c r="AC369" s="175"/>
      <c r="AD369" s="175"/>
      <c r="AE369" s="175"/>
      <c r="AF369" s="186"/>
      <c r="AG369" s="183"/>
      <c r="AH369" s="175"/>
      <c r="AI369" s="175"/>
      <c r="AJ369" s="175"/>
    </row>
    <row r="370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  <c r="AA370" s="175"/>
      <c r="AB370" s="175"/>
      <c r="AC370" s="175"/>
      <c r="AD370" s="175"/>
      <c r="AE370" s="175"/>
      <c r="AF370" s="182">
        <f>sum(R3:S359)</f>
        <v>4350</v>
      </c>
      <c r="AG370" s="183" t="s">
        <v>46</v>
      </c>
      <c r="AH370" s="175"/>
      <c r="AI370" s="175"/>
      <c r="AJ370" s="175"/>
    </row>
    <row r="37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  <c r="AA371" s="175"/>
      <c r="AB371" s="175"/>
      <c r="AC371" s="175"/>
      <c r="AD371" s="175"/>
      <c r="AE371" s="175"/>
      <c r="AF371" s="184">
        <f>S360</f>
        <v>30624</v>
      </c>
      <c r="AG371" s="183" t="s">
        <v>44</v>
      </c>
      <c r="AH371" s="175"/>
      <c r="AI371" s="175"/>
      <c r="AJ371" s="175"/>
    </row>
    <row r="372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  <c r="AA372" s="175"/>
      <c r="AB372" s="175"/>
      <c r="AC372" s="175"/>
      <c r="AD372" s="175"/>
      <c r="AE372" s="175"/>
      <c r="AF372" s="186"/>
      <c r="AG372" s="183"/>
      <c r="AH372" s="175"/>
      <c r="AI372" s="175"/>
      <c r="AJ372" s="175"/>
    </row>
    <row r="373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  <c r="AA373" s="175"/>
      <c r="AB373" s="175"/>
      <c r="AC373" s="175"/>
      <c r="AD373" s="175"/>
      <c r="AE373" s="175"/>
      <c r="AF373" s="182">
        <f>sum(T3:U359)</f>
        <v>47</v>
      </c>
      <c r="AG373" s="183" t="s">
        <v>47</v>
      </c>
      <c r="AH373" s="175"/>
      <c r="AI373" s="175"/>
      <c r="AJ373" s="175"/>
    </row>
    <row r="374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  <c r="AA374" s="175"/>
      <c r="AB374" s="175"/>
      <c r="AC374" s="175"/>
      <c r="AD374" s="175"/>
      <c r="AE374" s="175"/>
      <c r="AF374" s="184">
        <f>U360</f>
        <v>23117.89</v>
      </c>
      <c r="AG374" s="183" t="s">
        <v>44</v>
      </c>
      <c r="AH374" s="175"/>
      <c r="AI374" s="175"/>
      <c r="AJ374" s="175"/>
    </row>
    <row r="375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  <c r="AA375" s="175"/>
      <c r="AB375" s="175"/>
      <c r="AC375" s="175"/>
      <c r="AD375" s="175"/>
      <c r="AE375" s="175"/>
      <c r="AF375" s="186"/>
      <c r="AG375" s="183"/>
      <c r="AH375" s="175"/>
      <c r="AI375" s="175"/>
      <c r="AJ375" s="175"/>
    </row>
    <row r="376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  <c r="AA376" s="175"/>
      <c r="AB376" s="175"/>
      <c r="AC376" s="175"/>
      <c r="AD376" s="175"/>
      <c r="AE376" s="175"/>
      <c r="AF376" s="182">
        <f>sum(V3:W359)</f>
        <v>47</v>
      </c>
      <c r="AG376" s="183" t="s">
        <v>48</v>
      </c>
      <c r="AH376" s="175"/>
      <c r="AI376" s="175"/>
      <c r="AJ376" s="175"/>
    </row>
    <row r="377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  <c r="AA377" s="175"/>
      <c r="AB377" s="175"/>
      <c r="AC377" s="175"/>
      <c r="AD377" s="175"/>
      <c r="AE377" s="175"/>
      <c r="AF377" s="184">
        <f>W360</f>
        <v>12843.22</v>
      </c>
      <c r="AG377" s="183" t="s">
        <v>44</v>
      </c>
      <c r="AH377" s="175"/>
      <c r="AI377" s="175"/>
      <c r="AJ377" s="175"/>
    </row>
    <row r="378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  <c r="AA378" s="175"/>
      <c r="AB378" s="175"/>
      <c r="AC378" s="175"/>
      <c r="AD378" s="175"/>
      <c r="AE378" s="175"/>
      <c r="AF378" s="186"/>
      <c r="AG378" s="183"/>
      <c r="AH378" s="175"/>
      <c r="AI378" s="175"/>
      <c r="AJ378" s="175"/>
    </row>
    <row r="379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  <c r="AC379" s="175"/>
      <c r="AD379" s="175"/>
      <c r="AE379" s="175"/>
      <c r="AF379" s="187" t="s">
        <v>3</v>
      </c>
      <c r="AG379" s="188">
        <f>sum(AF381,AF384)</f>
        <v>204209.44</v>
      </c>
      <c r="AH379" s="190" t="s">
        <v>42</v>
      </c>
      <c r="AI379" s="175"/>
      <c r="AJ379" s="175"/>
    </row>
    <row r="380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  <c r="AA380" s="175"/>
      <c r="AB380" s="175"/>
      <c r="AC380" s="175"/>
      <c r="AD380" s="175"/>
      <c r="AE380" s="175"/>
      <c r="AF380" s="182">
        <f>sum(Z3:AE359)</f>
        <v>10800</v>
      </c>
      <c r="AG380" s="183" t="s">
        <v>43</v>
      </c>
      <c r="AH380" s="175"/>
      <c r="AI380" s="175"/>
      <c r="AJ380" s="175"/>
    </row>
    <row r="38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  <c r="AA381" s="175"/>
      <c r="AB381" s="175"/>
      <c r="AC381" s="175"/>
      <c r="AD381" s="175"/>
      <c r="AE381" s="175"/>
      <c r="AF381" s="184">
        <f>sum(Z360:AE360)</f>
        <v>191484</v>
      </c>
      <c r="AG381" s="183" t="s">
        <v>44</v>
      </c>
      <c r="AH381" s="175"/>
      <c r="AI381" s="175"/>
      <c r="AJ381" s="175"/>
    </row>
    <row r="382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  <c r="AA382" s="175"/>
      <c r="AB382" s="175"/>
      <c r="AC382" s="175"/>
      <c r="AD382" s="175"/>
      <c r="AE382" s="175"/>
      <c r="AF382" s="186"/>
      <c r="AG382" s="183"/>
      <c r="AH382" s="175"/>
      <c r="AI382" s="175"/>
      <c r="AJ382" s="175"/>
    </row>
    <row r="383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  <c r="AA383" s="175"/>
      <c r="AB383" s="175"/>
      <c r="AC383" s="175"/>
      <c r="AD383" s="175"/>
      <c r="AE383" s="175"/>
      <c r="AF383" s="182">
        <f>sum(X3:Y359)</f>
        <v>1456</v>
      </c>
      <c r="AG383" s="183" t="s">
        <v>49</v>
      </c>
      <c r="AH383" s="175"/>
      <c r="AI383" s="175"/>
      <c r="AJ383" s="175"/>
    </row>
    <row r="384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  <c r="AA384" s="175"/>
      <c r="AB384" s="175"/>
      <c r="AC384" s="175"/>
      <c r="AD384" s="175"/>
      <c r="AE384" s="175"/>
      <c r="AF384" s="191">
        <f>Y360</f>
        <v>12725.44</v>
      </c>
      <c r="AG384" s="192" t="s">
        <v>44</v>
      </c>
      <c r="AH384" s="175"/>
      <c r="AI384" s="175"/>
      <c r="AJ384" s="175"/>
    </row>
    <row r="385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  <c r="AC385" s="175"/>
      <c r="AD385" s="175"/>
      <c r="AE385" s="175"/>
      <c r="AH385" s="175"/>
      <c r="AI385" s="175"/>
      <c r="AJ385" s="175"/>
    </row>
    <row r="386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  <c r="AA386" s="175"/>
      <c r="AB386" s="175"/>
      <c r="AC386" s="175"/>
      <c r="AD386" s="175"/>
      <c r="AE386" s="175"/>
      <c r="AF386" s="175"/>
      <c r="AG386" s="175"/>
      <c r="AH386" s="175"/>
      <c r="AI386" s="175"/>
      <c r="AJ386" s="175"/>
    </row>
    <row r="387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  <c r="AC387" s="175"/>
      <c r="AD387" s="175"/>
      <c r="AE387" s="175"/>
      <c r="AF387" s="193" t="s">
        <v>50</v>
      </c>
      <c r="AG387" s="175"/>
      <c r="AH387" s="175"/>
      <c r="AI387" s="175"/>
      <c r="AJ387" s="175"/>
    </row>
    <row r="388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  <c r="AA388" s="175"/>
      <c r="AB388" s="175"/>
      <c r="AC388" s="175"/>
      <c r="AD388" s="175"/>
      <c r="AE388" s="175"/>
      <c r="AF388" s="194">
        <f t="shared" ref="AF388:AF389" si="8">sum(AF380,AF383,AF370,AF367,AF363)</f>
        <v>81043</v>
      </c>
      <c r="AG388" s="175" t="s">
        <v>51</v>
      </c>
      <c r="AH388" s="175"/>
      <c r="AI388" s="175"/>
      <c r="AJ388" s="175"/>
    </row>
    <row r="389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  <c r="AA389" s="175"/>
      <c r="AB389" s="175"/>
      <c r="AC389" s="175"/>
      <c r="AD389" s="175"/>
      <c r="AE389" s="175"/>
      <c r="AF389" s="195">
        <f t="shared" si="8"/>
        <v>1468267.58</v>
      </c>
      <c r="AG389" s="175" t="s">
        <v>52</v>
      </c>
      <c r="AH389" s="175"/>
      <c r="AI389" s="175"/>
      <c r="AJ389" s="175"/>
    </row>
    <row r="390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  <c r="AA390" s="175"/>
      <c r="AB390" s="175"/>
      <c r="AC390" s="175"/>
      <c r="AD390" s="175"/>
      <c r="AE390" s="175"/>
      <c r="AF390" s="175"/>
      <c r="AG390" s="175"/>
      <c r="AH390" s="175"/>
      <c r="AI390" s="175"/>
      <c r="AJ390" s="175"/>
    </row>
    <row r="39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  <c r="AA391" s="175"/>
      <c r="AB391" s="175"/>
      <c r="AC391" s="175"/>
      <c r="AD391" s="175"/>
      <c r="AE391" s="175"/>
      <c r="AF391" s="195">
        <f>AF389*0.3</f>
        <v>440480.274</v>
      </c>
      <c r="AG391" s="175" t="s">
        <v>53</v>
      </c>
      <c r="AH391" s="175"/>
      <c r="AI391" s="175"/>
      <c r="AJ391" s="175"/>
    </row>
    <row r="392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  <c r="AA392" s="175"/>
      <c r="AB392" s="175"/>
      <c r="AC392" s="175"/>
      <c r="AD392" s="175"/>
      <c r="AE392" s="175"/>
      <c r="AF392" s="175"/>
      <c r="AG392" s="175"/>
      <c r="AH392" s="175"/>
      <c r="AI392" s="175"/>
      <c r="AJ392" s="175"/>
    </row>
    <row r="393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  <c r="AA393" s="175"/>
      <c r="AB393" s="175"/>
      <c r="AC393" s="175"/>
      <c r="AD393" s="175"/>
      <c r="AE393" s="175"/>
      <c r="AF393" s="195">
        <f>sum(AF374,AF377)</f>
        <v>35961.11</v>
      </c>
      <c r="AG393" s="175" t="s">
        <v>54</v>
      </c>
      <c r="AH393" s="175"/>
      <c r="AI393" s="175"/>
      <c r="AJ393" s="175"/>
    </row>
    <row r="394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  <c r="AA394" s="175"/>
      <c r="AB394" s="175"/>
      <c r="AC394" s="175"/>
      <c r="AD394" s="175"/>
      <c r="AE394" s="175"/>
      <c r="AF394" s="175"/>
      <c r="AG394" s="175"/>
      <c r="AH394" s="175"/>
      <c r="AI394" s="175"/>
      <c r="AJ394" s="175"/>
    </row>
    <row r="395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  <c r="AA395" s="175"/>
      <c r="AB395" s="175"/>
      <c r="AC395" s="175"/>
      <c r="AD395" s="175"/>
      <c r="AE395" s="175"/>
      <c r="AF395" s="195">
        <f>sum(AF389,AF393)</f>
        <v>1504228.69</v>
      </c>
      <c r="AG395" s="190" t="s">
        <v>55</v>
      </c>
      <c r="AH395" s="175"/>
      <c r="AI395" s="175"/>
      <c r="AJ395" s="175"/>
    </row>
    <row r="396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  <c r="AA396" s="175"/>
      <c r="AB396" s="175"/>
      <c r="AC396" s="175"/>
      <c r="AD396" s="175"/>
      <c r="AE396" s="175"/>
      <c r="AF396" s="175"/>
      <c r="AG396" s="175"/>
      <c r="AH396" s="175"/>
      <c r="AI396" s="175"/>
      <c r="AJ396" s="175"/>
    </row>
    <row r="397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  <c r="AA397" s="175"/>
      <c r="AB397" s="175"/>
      <c r="AC397" s="175"/>
      <c r="AD397" s="175"/>
      <c r="AE397" s="175"/>
      <c r="AF397" s="175"/>
      <c r="AG397" s="175"/>
      <c r="AH397" s="175"/>
      <c r="AI397" s="175"/>
      <c r="AJ397" s="175"/>
    </row>
    <row r="398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  <c r="AA398" s="175"/>
      <c r="AB398" s="175"/>
      <c r="AC398" s="175"/>
      <c r="AD398" s="175"/>
      <c r="AE398" s="175"/>
      <c r="AF398" s="193" t="s">
        <v>56</v>
      </c>
      <c r="AG398" s="175"/>
      <c r="AH398" s="175"/>
      <c r="AI398" s="175"/>
      <c r="AJ398" s="175"/>
    </row>
    <row r="399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 t="s">
        <v>41</v>
      </c>
      <c r="AG399" s="175"/>
      <c r="AH399" s="175"/>
      <c r="AI399" s="175"/>
      <c r="AJ399" s="175"/>
    </row>
    <row r="400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  <c r="AC400" s="175"/>
      <c r="AD400" s="175"/>
      <c r="AE400" s="175"/>
      <c r="AF400" s="195">
        <f>G2*0.7</f>
        <v>19.544</v>
      </c>
      <c r="AG400" s="175" t="s">
        <v>57</v>
      </c>
      <c r="AH400" s="175"/>
      <c r="AI400" s="175" t="s">
        <v>42</v>
      </c>
      <c r="AJ400" s="175"/>
    </row>
    <row r="40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175"/>
      <c r="AE401" s="175"/>
      <c r="AF401" s="170" t="s">
        <v>45</v>
      </c>
      <c r="AG401" s="175"/>
      <c r="AH401" s="175"/>
      <c r="AI401" s="175"/>
      <c r="AJ401" s="175"/>
    </row>
    <row r="402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95">
        <f>M2*0.7</f>
        <v>12.411</v>
      </c>
      <c r="AG402" s="175" t="s">
        <v>57</v>
      </c>
      <c r="AH402" s="175"/>
      <c r="AI402" s="175" t="s">
        <v>42</v>
      </c>
      <c r="AJ402" s="175"/>
    </row>
    <row r="403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  <c r="AC403" s="175"/>
      <c r="AD403" s="175"/>
      <c r="AE403" s="175"/>
      <c r="AF403" s="195">
        <f>S2*0.7</f>
        <v>4.928</v>
      </c>
      <c r="AG403" s="175" t="s">
        <v>58</v>
      </c>
      <c r="AH403" s="175"/>
      <c r="AI403" s="175" t="s">
        <v>42</v>
      </c>
      <c r="AJ403" s="175"/>
    </row>
    <row r="404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  <c r="AA404" s="175"/>
      <c r="AB404" s="175"/>
      <c r="AC404" s="175"/>
      <c r="AD404" s="175"/>
      <c r="AE404" s="175"/>
      <c r="AF404" s="195">
        <f>Y2*0.7</f>
        <v>6.118</v>
      </c>
      <c r="AG404" s="175" t="s">
        <v>49</v>
      </c>
      <c r="AH404" s="175"/>
      <c r="AI404" s="175" t="s">
        <v>42</v>
      </c>
      <c r="AJ404" s="175"/>
    </row>
    <row r="405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175"/>
      <c r="AE405" s="175"/>
      <c r="AF405" s="195">
        <f>AA2*0.7</f>
        <v>12.411</v>
      </c>
      <c r="AG405" s="175" t="s">
        <v>3</v>
      </c>
      <c r="AH405" s="175"/>
      <c r="AI405" s="175" t="s">
        <v>42</v>
      </c>
      <c r="AJ405" s="175"/>
    </row>
    <row r="406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  <c r="AC406" s="175"/>
      <c r="AD406" s="175"/>
      <c r="AE406" s="175"/>
      <c r="AF406" s="170"/>
      <c r="AG406" s="175"/>
      <c r="AH406" s="175"/>
      <c r="AI406" s="175"/>
      <c r="AJ406" s="175"/>
    </row>
    <row r="407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175"/>
      <c r="AE407" s="175"/>
      <c r="AF407" s="170" t="s">
        <v>59</v>
      </c>
      <c r="AG407" s="175"/>
      <c r="AH407" s="175"/>
      <c r="AI407" s="175"/>
      <c r="AJ407" s="175"/>
    </row>
    <row r="408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  <c r="AA408" s="175"/>
      <c r="AB408" s="175"/>
      <c r="AC408" s="175"/>
      <c r="AD408" s="175"/>
      <c r="AE408" s="175"/>
      <c r="AF408" s="195">
        <f>U2</f>
        <v>491.87</v>
      </c>
      <c r="AG408" s="175" t="s">
        <v>47</v>
      </c>
      <c r="AH408" s="175"/>
      <c r="AI408" s="175" t="s">
        <v>60</v>
      </c>
      <c r="AJ408" s="175"/>
    </row>
    <row r="409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  <c r="AA409" s="175"/>
      <c r="AB409" s="175"/>
      <c r="AC409" s="175"/>
      <c r="AD409" s="175"/>
      <c r="AE409" s="175"/>
      <c r="AF409" s="195">
        <f>W2</f>
        <v>273.26</v>
      </c>
      <c r="AG409" s="175" t="s">
        <v>48</v>
      </c>
      <c r="AH409" s="175"/>
      <c r="AI409" s="175" t="s">
        <v>60</v>
      </c>
      <c r="AJ409" s="175"/>
    </row>
    <row r="410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  <c r="AA410" s="175"/>
      <c r="AB410" s="175"/>
      <c r="AC410" s="175"/>
      <c r="AD410" s="175"/>
      <c r="AE410" s="175"/>
      <c r="AF410" s="175"/>
      <c r="AG410" s="175"/>
      <c r="AH410" s="175"/>
      <c r="AI410" s="175"/>
      <c r="AJ410" s="175"/>
    </row>
    <row r="41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175"/>
      <c r="AG411" s="175"/>
      <c r="AH411" s="175"/>
      <c r="AI411" s="175"/>
      <c r="AJ411" s="175"/>
    </row>
    <row r="412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  <c r="AC412" s="175"/>
      <c r="AD412" s="175"/>
      <c r="AE412" s="175"/>
      <c r="AF412" s="196">
        <v>2024.0</v>
      </c>
      <c r="AG412" s="197"/>
      <c r="AH412" s="197"/>
      <c r="AI412" s="197"/>
      <c r="AJ412" s="175"/>
    </row>
    <row r="413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  <c r="AF413" s="198" t="s">
        <v>61</v>
      </c>
      <c r="AG413" s="198">
        <v>73179.0</v>
      </c>
      <c r="AH413" s="197"/>
      <c r="AI413" s="197"/>
      <c r="AJ413" s="175"/>
    </row>
    <row r="414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  <c r="AA414" s="175"/>
      <c r="AB414" s="175"/>
      <c r="AC414" s="175"/>
      <c r="AD414" s="175"/>
      <c r="AE414" s="175"/>
      <c r="AF414" s="198" t="s">
        <v>62</v>
      </c>
      <c r="AG414" s="198">
        <v>7512.0</v>
      </c>
      <c r="AH414" s="197"/>
      <c r="AI414" s="197"/>
      <c r="AJ414" s="175"/>
    </row>
    <row r="415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  <c r="AA415" s="175"/>
      <c r="AB415" s="175"/>
      <c r="AC415" s="175"/>
      <c r="AD415" s="175"/>
      <c r="AE415" s="175"/>
      <c r="AF415" s="197"/>
      <c r="AG415" s="197"/>
      <c r="AH415" s="197"/>
      <c r="AI415" s="197"/>
      <c r="AJ415" s="175"/>
    </row>
    <row r="416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  <c r="AA416" s="175"/>
      <c r="AB416" s="175"/>
      <c r="AC416" s="175"/>
      <c r="AD416" s="175"/>
      <c r="AE416" s="175"/>
      <c r="AF416" s="198" t="s">
        <v>63</v>
      </c>
      <c r="AG416" s="197">
        <f>sum(AG413:AG414)</f>
        <v>80691</v>
      </c>
      <c r="AH416" s="198" t="s">
        <v>64</v>
      </c>
      <c r="AI416" s="199">
        <v>1433314.13</v>
      </c>
      <c r="AJ416" s="175"/>
    </row>
    <row r="417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  <c r="AA417" s="175"/>
      <c r="AB417" s="175"/>
      <c r="AC417" s="175"/>
      <c r="AD417" s="175"/>
      <c r="AE417" s="175"/>
      <c r="AF417" s="197"/>
      <c r="AG417" s="197"/>
      <c r="AH417" s="197"/>
      <c r="AI417" s="197"/>
      <c r="AJ417" s="175"/>
    </row>
    <row r="418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  <c r="AA418" s="175"/>
      <c r="AB418" s="175"/>
      <c r="AC418" s="175"/>
      <c r="AD418" s="175"/>
      <c r="AE418" s="175"/>
      <c r="AF418" s="198" t="s">
        <v>65</v>
      </c>
      <c r="AG418" s="200">
        <f>AI360</f>
        <v>81137</v>
      </c>
      <c r="AH418" s="198" t="s">
        <v>66</v>
      </c>
      <c r="AI418" s="201">
        <f>AF395</f>
        <v>1504228.69</v>
      </c>
      <c r="AJ418" s="175"/>
    </row>
    <row r="419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  <c r="AC419" s="175"/>
      <c r="AD419" s="175"/>
      <c r="AE419" s="175"/>
      <c r="AF419" s="197"/>
      <c r="AG419" s="197"/>
      <c r="AH419" s="197"/>
      <c r="AI419" s="197"/>
      <c r="AJ419" s="175"/>
    </row>
    <row r="420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  <c r="AA420" s="175"/>
      <c r="AB420" s="175"/>
      <c r="AC420" s="175"/>
      <c r="AD420" s="175"/>
      <c r="AE420" s="175"/>
      <c r="AF420" s="198" t="s">
        <v>67</v>
      </c>
      <c r="AG420" s="200">
        <f>AG418-AG416</f>
        <v>446</v>
      </c>
      <c r="AH420" s="197"/>
      <c r="AI420" s="201">
        <f>AI418-AI416</f>
        <v>70914.56</v>
      </c>
      <c r="AJ420" s="175"/>
    </row>
    <row r="42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  <c r="AA421" s="175"/>
      <c r="AB421" s="175"/>
      <c r="AC421" s="175"/>
      <c r="AD421" s="175"/>
      <c r="AE421" s="175"/>
      <c r="AF421" s="175"/>
      <c r="AG421" s="175"/>
      <c r="AH421" s="175"/>
      <c r="AI421" s="175"/>
      <c r="AJ421" s="175"/>
    </row>
    <row r="422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  <c r="AA422" s="175"/>
      <c r="AB422" s="175"/>
      <c r="AC422" s="175"/>
      <c r="AD422" s="175"/>
      <c r="AE422" s="175"/>
      <c r="AF422" s="175"/>
      <c r="AG422" s="175"/>
      <c r="AH422" s="175"/>
      <c r="AI422" s="175"/>
      <c r="AJ422" s="175"/>
    </row>
    <row r="423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  <c r="AA423" s="175"/>
      <c r="AB423" s="175"/>
      <c r="AC423" s="175"/>
      <c r="AD423" s="175"/>
      <c r="AE423" s="175"/>
      <c r="AF423" s="175"/>
      <c r="AG423" s="175"/>
      <c r="AH423" s="175"/>
      <c r="AI423" s="175"/>
      <c r="AJ423" s="175"/>
    </row>
    <row r="424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  <c r="AA424" s="175"/>
      <c r="AB424" s="175"/>
      <c r="AC424" s="175"/>
      <c r="AD424" s="175"/>
      <c r="AE424" s="175"/>
      <c r="AF424" s="175"/>
      <c r="AG424" s="175"/>
      <c r="AH424" s="175"/>
      <c r="AI424" s="175"/>
      <c r="AJ424" s="175"/>
    </row>
    <row r="425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  <c r="AA425" s="175"/>
      <c r="AB425" s="175"/>
      <c r="AC425" s="175"/>
      <c r="AD425" s="175"/>
      <c r="AE425" s="175"/>
      <c r="AF425" s="175"/>
      <c r="AG425" s="175"/>
      <c r="AH425" s="175"/>
      <c r="AI425" s="175"/>
      <c r="AJ425" s="175"/>
    </row>
    <row r="426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  <c r="AA426" s="175"/>
      <c r="AB426" s="175"/>
      <c r="AC426" s="175"/>
      <c r="AD426" s="175"/>
      <c r="AE426" s="175"/>
      <c r="AF426" s="175"/>
      <c r="AG426" s="175"/>
      <c r="AH426" s="175"/>
      <c r="AI426" s="175"/>
      <c r="AJ426" s="175"/>
    </row>
    <row r="427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  <c r="AA427" s="175"/>
      <c r="AB427" s="175"/>
      <c r="AC427" s="175"/>
      <c r="AD427" s="175"/>
      <c r="AE427" s="175"/>
      <c r="AF427" s="175"/>
      <c r="AG427" s="175"/>
      <c r="AH427" s="175"/>
      <c r="AI427" s="175"/>
      <c r="AJ427" s="175"/>
    </row>
    <row r="428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  <c r="AA428" s="175"/>
      <c r="AB428" s="175"/>
      <c r="AC428" s="175"/>
      <c r="AD428" s="175"/>
      <c r="AE428" s="175"/>
      <c r="AF428" s="175"/>
      <c r="AG428" s="175"/>
      <c r="AH428" s="175"/>
      <c r="AI428" s="175"/>
      <c r="AJ428" s="175"/>
    </row>
    <row r="429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  <c r="AA429" s="175"/>
      <c r="AB429" s="175"/>
      <c r="AC429" s="175"/>
      <c r="AD429" s="175"/>
      <c r="AE429" s="175"/>
      <c r="AF429" s="175"/>
      <c r="AG429" s="175"/>
      <c r="AH429" s="175"/>
      <c r="AI429" s="175"/>
      <c r="AJ429" s="175"/>
    </row>
    <row r="430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  <c r="AA430" s="175"/>
      <c r="AB430" s="175"/>
      <c r="AC430" s="175"/>
      <c r="AD430" s="175"/>
      <c r="AE430" s="175"/>
      <c r="AF430" s="175"/>
      <c r="AG430" s="175"/>
      <c r="AH430" s="175"/>
      <c r="AI430" s="175"/>
      <c r="AJ430" s="175"/>
    </row>
    <row r="43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  <c r="AA431" s="175"/>
      <c r="AB431" s="175"/>
      <c r="AC431" s="175"/>
      <c r="AD431" s="175"/>
      <c r="AE431" s="175"/>
      <c r="AF431" s="175"/>
      <c r="AG431" s="175"/>
      <c r="AH431" s="175"/>
      <c r="AI431" s="175"/>
      <c r="AJ431" s="175"/>
    </row>
    <row r="432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  <c r="AA432" s="175"/>
      <c r="AB432" s="175"/>
      <c r="AC432" s="175"/>
      <c r="AD432" s="175"/>
      <c r="AE432" s="175"/>
      <c r="AF432" s="175"/>
      <c r="AG432" s="175"/>
      <c r="AH432" s="175"/>
      <c r="AI432" s="175"/>
      <c r="AJ432" s="175"/>
    </row>
    <row r="433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  <c r="AA433" s="175"/>
      <c r="AB433" s="175"/>
      <c r="AC433" s="175"/>
      <c r="AD433" s="175"/>
      <c r="AE433" s="175"/>
      <c r="AF433" s="175"/>
      <c r="AG433" s="175"/>
      <c r="AH433" s="175"/>
      <c r="AI433" s="175"/>
      <c r="AJ433" s="175"/>
    </row>
    <row r="434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  <c r="AA434" s="175"/>
      <c r="AB434" s="175"/>
      <c r="AC434" s="175"/>
      <c r="AD434" s="175"/>
      <c r="AE434" s="175"/>
      <c r="AF434" s="175"/>
      <c r="AG434" s="175"/>
      <c r="AH434" s="175"/>
      <c r="AI434" s="175"/>
      <c r="AJ434" s="175"/>
    </row>
    <row r="435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  <c r="AA435" s="175"/>
      <c r="AB435" s="175"/>
      <c r="AC435" s="175"/>
      <c r="AD435" s="175"/>
      <c r="AE435" s="175"/>
      <c r="AF435" s="175"/>
      <c r="AG435" s="175"/>
      <c r="AH435" s="175"/>
      <c r="AI435" s="175"/>
      <c r="AJ435" s="175"/>
    </row>
    <row r="436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  <c r="AA436" s="175"/>
      <c r="AB436" s="175"/>
      <c r="AC436" s="175"/>
      <c r="AD436" s="175"/>
      <c r="AE436" s="175"/>
      <c r="AF436" s="175"/>
      <c r="AG436" s="175"/>
      <c r="AH436" s="175"/>
      <c r="AI436" s="175"/>
      <c r="AJ436" s="175"/>
    </row>
    <row r="437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  <c r="AA437" s="175"/>
      <c r="AB437" s="175"/>
      <c r="AC437" s="175"/>
      <c r="AD437" s="175"/>
      <c r="AE437" s="175"/>
      <c r="AF437" s="175"/>
      <c r="AG437" s="175"/>
      <c r="AH437" s="175"/>
      <c r="AI437" s="175"/>
      <c r="AJ437" s="175"/>
    </row>
    <row r="438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  <c r="AA438" s="175"/>
      <c r="AB438" s="175"/>
      <c r="AC438" s="175"/>
      <c r="AD438" s="175"/>
      <c r="AE438" s="175"/>
      <c r="AF438" s="175"/>
      <c r="AG438" s="175"/>
      <c r="AH438" s="175"/>
      <c r="AI438" s="175"/>
      <c r="AJ438" s="175"/>
    </row>
    <row r="439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  <c r="AA439" s="175"/>
      <c r="AB439" s="175"/>
      <c r="AC439" s="175"/>
      <c r="AD439" s="175"/>
      <c r="AE439" s="175"/>
      <c r="AF439" s="175"/>
      <c r="AG439" s="175"/>
      <c r="AH439" s="175"/>
      <c r="AI439" s="175"/>
      <c r="AJ439" s="175"/>
    </row>
    <row r="440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  <c r="AA440" s="175"/>
      <c r="AB440" s="175"/>
      <c r="AC440" s="175"/>
      <c r="AD440" s="175"/>
      <c r="AE440" s="175"/>
      <c r="AF440" s="175"/>
      <c r="AG440" s="175"/>
      <c r="AH440" s="175"/>
      <c r="AI440" s="175"/>
      <c r="AJ440" s="175"/>
    </row>
    <row r="44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  <c r="AA441" s="175"/>
      <c r="AB441" s="175"/>
      <c r="AC441" s="175"/>
      <c r="AD441" s="175"/>
      <c r="AE441" s="175"/>
      <c r="AF441" s="175"/>
      <c r="AG441" s="175"/>
      <c r="AH441" s="175"/>
      <c r="AI441" s="175"/>
      <c r="AJ441" s="175"/>
    </row>
    <row r="442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  <c r="AA442" s="175"/>
      <c r="AB442" s="175"/>
      <c r="AC442" s="175"/>
      <c r="AD442" s="175"/>
      <c r="AE442" s="175"/>
      <c r="AF442" s="175"/>
      <c r="AG442" s="175"/>
      <c r="AH442" s="175"/>
      <c r="AI442" s="175"/>
      <c r="AJ442" s="175"/>
    </row>
    <row r="443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  <c r="AA443" s="175"/>
      <c r="AB443" s="175"/>
      <c r="AC443" s="175"/>
      <c r="AD443" s="175"/>
      <c r="AE443" s="175"/>
      <c r="AF443" s="175"/>
      <c r="AG443" s="175"/>
      <c r="AH443" s="175"/>
      <c r="AI443" s="175"/>
      <c r="AJ443" s="175"/>
    </row>
    <row r="444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  <c r="AA444" s="175"/>
      <c r="AB444" s="175"/>
      <c r="AC444" s="175"/>
      <c r="AD444" s="175"/>
      <c r="AE444" s="175"/>
      <c r="AF444" s="175"/>
      <c r="AG444" s="175"/>
      <c r="AH444" s="175"/>
      <c r="AI444" s="175"/>
      <c r="AJ444" s="175"/>
    </row>
    <row r="445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  <c r="AA445" s="175"/>
      <c r="AB445" s="175"/>
      <c r="AC445" s="175"/>
      <c r="AD445" s="175"/>
      <c r="AE445" s="175"/>
      <c r="AF445" s="175"/>
      <c r="AG445" s="175"/>
      <c r="AH445" s="175"/>
      <c r="AI445" s="175"/>
      <c r="AJ445" s="175"/>
    </row>
    <row r="446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  <c r="AA446" s="175"/>
      <c r="AB446" s="175"/>
      <c r="AC446" s="175"/>
      <c r="AD446" s="175"/>
      <c r="AE446" s="175"/>
      <c r="AF446" s="175"/>
      <c r="AG446" s="175"/>
      <c r="AH446" s="175"/>
      <c r="AI446" s="175"/>
      <c r="AJ446" s="175"/>
    </row>
    <row r="447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  <c r="AA447" s="175"/>
      <c r="AB447" s="175"/>
      <c r="AC447" s="175"/>
      <c r="AD447" s="175"/>
      <c r="AE447" s="175"/>
      <c r="AF447" s="175"/>
      <c r="AG447" s="175"/>
      <c r="AH447" s="175"/>
      <c r="AI447" s="175"/>
      <c r="AJ447" s="175"/>
    </row>
    <row r="448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  <c r="AA448" s="175"/>
      <c r="AB448" s="175"/>
      <c r="AC448" s="175"/>
      <c r="AD448" s="175"/>
      <c r="AE448" s="175"/>
      <c r="AF448" s="175"/>
      <c r="AG448" s="175"/>
      <c r="AH448" s="175"/>
      <c r="AI448" s="175"/>
      <c r="AJ448" s="175"/>
    </row>
    <row r="449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  <c r="AA449" s="175"/>
      <c r="AB449" s="175"/>
      <c r="AC449" s="175"/>
      <c r="AD449" s="175"/>
      <c r="AE449" s="175"/>
      <c r="AF449" s="175"/>
      <c r="AG449" s="175"/>
      <c r="AH449" s="175"/>
      <c r="AI449" s="175"/>
      <c r="AJ449" s="175"/>
    </row>
    <row r="450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  <c r="AA450" s="175"/>
      <c r="AB450" s="175"/>
      <c r="AC450" s="175"/>
      <c r="AD450" s="175"/>
      <c r="AE450" s="175"/>
      <c r="AF450" s="175"/>
      <c r="AG450" s="175"/>
      <c r="AH450" s="175"/>
      <c r="AI450" s="175"/>
      <c r="AJ450" s="175"/>
    </row>
    <row r="45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  <c r="AA451" s="175"/>
      <c r="AB451" s="175"/>
      <c r="AC451" s="175"/>
      <c r="AD451" s="175"/>
      <c r="AE451" s="175"/>
      <c r="AF451" s="175"/>
      <c r="AG451" s="175"/>
      <c r="AH451" s="175"/>
      <c r="AI451" s="175"/>
      <c r="AJ451" s="175"/>
    </row>
    <row r="452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  <c r="AA452" s="175"/>
      <c r="AB452" s="175"/>
      <c r="AC452" s="175"/>
      <c r="AD452" s="175"/>
      <c r="AE452" s="175"/>
      <c r="AF452" s="175"/>
      <c r="AG452" s="175"/>
      <c r="AH452" s="175"/>
      <c r="AI452" s="175"/>
      <c r="AJ452" s="175"/>
    </row>
    <row r="453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  <c r="AA453" s="175"/>
      <c r="AB453" s="175"/>
      <c r="AC453" s="175"/>
      <c r="AD453" s="175"/>
      <c r="AE453" s="175"/>
      <c r="AF453" s="175"/>
      <c r="AG453" s="175"/>
      <c r="AH453" s="175"/>
      <c r="AI453" s="175"/>
      <c r="AJ453" s="175"/>
    </row>
    <row r="454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  <c r="AA454" s="175"/>
      <c r="AB454" s="175"/>
      <c r="AC454" s="175"/>
      <c r="AD454" s="175"/>
      <c r="AE454" s="175"/>
      <c r="AF454" s="175"/>
      <c r="AG454" s="175"/>
      <c r="AH454" s="175"/>
      <c r="AI454" s="175"/>
      <c r="AJ454" s="175"/>
    </row>
    <row r="455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  <c r="AA455" s="175"/>
      <c r="AB455" s="175"/>
      <c r="AC455" s="175"/>
      <c r="AD455" s="175"/>
      <c r="AE455" s="175"/>
      <c r="AF455" s="175"/>
      <c r="AG455" s="175"/>
      <c r="AH455" s="175"/>
      <c r="AI455" s="175"/>
      <c r="AJ455" s="175"/>
    </row>
    <row r="456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  <c r="AA456" s="175"/>
      <c r="AB456" s="175"/>
      <c r="AC456" s="175"/>
      <c r="AD456" s="175"/>
      <c r="AE456" s="175"/>
      <c r="AF456" s="175"/>
      <c r="AG456" s="175"/>
      <c r="AH456" s="175"/>
      <c r="AI456" s="175"/>
      <c r="AJ456" s="175"/>
    </row>
    <row r="457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  <c r="AA457" s="175"/>
      <c r="AB457" s="175"/>
      <c r="AC457" s="175"/>
      <c r="AD457" s="175"/>
      <c r="AE457" s="175"/>
      <c r="AF457" s="175"/>
      <c r="AG457" s="175"/>
      <c r="AH457" s="175"/>
      <c r="AI457" s="175"/>
      <c r="AJ457" s="175"/>
    </row>
    <row r="458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  <c r="AA458" s="175"/>
      <c r="AB458" s="175"/>
      <c r="AC458" s="175"/>
      <c r="AD458" s="175"/>
      <c r="AE458" s="175"/>
      <c r="AF458" s="175"/>
      <c r="AG458" s="175"/>
      <c r="AH458" s="175"/>
      <c r="AI458" s="175"/>
      <c r="AJ458" s="175"/>
    </row>
    <row r="459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  <c r="AA459" s="175"/>
      <c r="AB459" s="175"/>
      <c r="AC459" s="175"/>
      <c r="AD459" s="175"/>
      <c r="AE459" s="175"/>
      <c r="AF459" s="175"/>
      <c r="AG459" s="175"/>
      <c r="AH459" s="175"/>
      <c r="AI459" s="175"/>
      <c r="AJ459" s="175"/>
    </row>
    <row r="460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  <c r="AA460" s="175"/>
      <c r="AB460" s="175"/>
      <c r="AC460" s="175"/>
      <c r="AD460" s="175"/>
      <c r="AE460" s="175"/>
      <c r="AF460" s="175"/>
      <c r="AG460" s="175"/>
      <c r="AH460" s="175"/>
      <c r="AI460" s="175"/>
      <c r="AJ460" s="175"/>
    </row>
    <row r="46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  <c r="AA461" s="175"/>
      <c r="AB461" s="175"/>
      <c r="AC461" s="175"/>
      <c r="AD461" s="175"/>
      <c r="AE461" s="175"/>
      <c r="AF461" s="175"/>
      <c r="AG461" s="175"/>
      <c r="AH461" s="175"/>
      <c r="AI461" s="175"/>
      <c r="AJ461" s="175"/>
    </row>
    <row r="462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  <c r="AA462" s="175"/>
      <c r="AB462" s="175"/>
      <c r="AC462" s="175"/>
      <c r="AD462" s="175"/>
      <c r="AE462" s="175"/>
      <c r="AF462" s="175"/>
      <c r="AG462" s="175"/>
      <c r="AH462" s="175"/>
      <c r="AI462" s="175"/>
      <c r="AJ462" s="175"/>
    </row>
    <row r="463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  <c r="AA463" s="175"/>
      <c r="AB463" s="175"/>
      <c r="AC463" s="175"/>
      <c r="AD463" s="175"/>
      <c r="AE463" s="175"/>
      <c r="AF463" s="175"/>
      <c r="AG463" s="175"/>
      <c r="AH463" s="175"/>
      <c r="AI463" s="175"/>
      <c r="AJ463" s="175"/>
    </row>
    <row r="464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  <c r="AA464" s="175"/>
      <c r="AB464" s="175"/>
      <c r="AC464" s="175"/>
      <c r="AD464" s="175"/>
      <c r="AE464" s="175"/>
      <c r="AF464" s="175"/>
      <c r="AG464" s="175"/>
      <c r="AH464" s="175"/>
      <c r="AI464" s="175"/>
      <c r="AJ464" s="175"/>
    </row>
    <row r="465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  <c r="AA465" s="175"/>
      <c r="AB465" s="175"/>
      <c r="AC465" s="175"/>
      <c r="AD465" s="175"/>
      <c r="AE465" s="175"/>
      <c r="AF465" s="175"/>
      <c r="AG465" s="175"/>
      <c r="AH465" s="175"/>
      <c r="AI465" s="175"/>
      <c r="AJ465" s="175"/>
    </row>
    <row r="466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  <c r="AA466" s="175"/>
      <c r="AB466" s="175"/>
      <c r="AC466" s="175"/>
      <c r="AD466" s="175"/>
      <c r="AE466" s="175"/>
      <c r="AF466" s="175"/>
      <c r="AG466" s="175"/>
      <c r="AH466" s="175"/>
      <c r="AI466" s="175"/>
      <c r="AJ466" s="175"/>
    </row>
    <row r="467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  <c r="AA467" s="175"/>
      <c r="AB467" s="175"/>
      <c r="AC467" s="175"/>
      <c r="AD467" s="175"/>
      <c r="AE467" s="175"/>
      <c r="AF467" s="175"/>
      <c r="AG467" s="175"/>
      <c r="AH467" s="175"/>
      <c r="AI467" s="175"/>
      <c r="AJ467" s="175"/>
    </row>
    <row r="468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  <c r="AA468" s="175"/>
      <c r="AB468" s="175"/>
      <c r="AC468" s="175"/>
      <c r="AD468" s="175"/>
      <c r="AE468" s="175"/>
      <c r="AF468" s="175"/>
      <c r="AG468" s="175"/>
      <c r="AH468" s="175"/>
      <c r="AI468" s="175"/>
      <c r="AJ468" s="175"/>
    </row>
    <row r="469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  <c r="AA469" s="175"/>
      <c r="AB469" s="175"/>
      <c r="AC469" s="175"/>
      <c r="AD469" s="175"/>
      <c r="AE469" s="175"/>
      <c r="AF469" s="175"/>
      <c r="AG469" s="175"/>
      <c r="AH469" s="175"/>
      <c r="AI469" s="175"/>
      <c r="AJ469" s="175"/>
    </row>
    <row r="470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  <c r="AB470" s="175"/>
      <c r="AC470" s="175"/>
      <c r="AD470" s="175"/>
      <c r="AE470" s="175"/>
      <c r="AF470" s="175"/>
      <c r="AG470" s="175"/>
      <c r="AH470" s="175"/>
      <c r="AI470" s="175"/>
      <c r="AJ470" s="175"/>
    </row>
    <row r="47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  <c r="AA471" s="175"/>
      <c r="AB471" s="175"/>
      <c r="AC471" s="175"/>
      <c r="AD471" s="175"/>
      <c r="AE471" s="175"/>
      <c r="AF471" s="175"/>
      <c r="AG471" s="175"/>
      <c r="AH471" s="175"/>
      <c r="AI471" s="175"/>
      <c r="AJ471" s="175"/>
    </row>
    <row r="472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  <c r="AA472" s="175"/>
      <c r="AB472" s="175"/>
      <c r="AC472" s="175"/>
      <c r="AD472" s="175"/>
      <c r="AE472" s="175"/>
      <c r="AF472" s="175"/>
      <c r="AG472" s="175"/>
      <c r="AH472" s="175"/>
      <c r="AI472" s="175"/>
      <c r="AJ472" s="175"/>
    </row>
    <row r="473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  <c r="AA473" s="175"/>
      <c r="AB473" s="175"/>
      <c r="AC473" s="175"/>
      <c r="AD473" s="175"/>
      <c r="AE473" s="175"/>
      <c r="AF473" s="175"/>
      <c r="AG473" s="175"/>
      <c r="AH473" s="175"/>
      <c r="AI473" s="175"/>
      <c r="AJ473" s="175"/>
    </row>
    <row r="474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  <c r="AA474" s="175"/>
      <c r="AB474" s="175"/>
      <c r="AC474" s="175"/>
      <c r="AD474" s="175"/>
      <c r="AE474" s="175"/>
      <c r="AF474" s="175"/>
      <c r="AG474" s="175"/>
      <c r="AH474" s="175"/>
      <c r="AI474" s="175"/>
      <c r="AJ474" s="175"/>
    </row>
    <row r="475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  <c r="AA475" s="175"/>
      <c r="AB475" s="175"/>
      <c r="AC475" s="175"/>
      <c r="AD475" s="175"/>
      <c r="AE475" s="175"/>
      <c r="AF475" s="175"/>
      <c r="AG475" s="175"/>
      <c r="AH475" s="175"/>
      <c r="AI475" s="175"/>
      <c r="AJ475" s="175"/>
    </row>
    <row r="476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  <c r="AA476" s="175"/>
      <c r="AB476" s="175"/>
      <c r="AC476" s="175"/>
      <c r="AD476" s="175"/>
      <c r="AE476" s="175"/>
      <c r="AF476" s="175"/>
      <c r="AG476" s="175"/>
      <c r="AH476" s="175"/>
      <c r="AI476" s="175"/>
      <c r="AJ476" s="175"/>
    </row>
    <row r="477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  <c r="AA477" s="175"/>
      <c r="AB477" s="175"/>
      <c r="AC477" s="175"/>
      <c r="AD477" s="175"/>
      <c r="AE477" s="175"/>
      <c r="AF477" s="175"/>
      <c r="AG477" s="175"/>
      <c r="AH477" s="175"/>
      <c r="AI477" s="175"/>
      <c r="AJ477" s="175"/>
    </row>
    <row r="478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  <c r="AA478" s="175"/>
      <c r="AB478" s="175"/>
      <c r="AC478" s="175"/>
      <c r="AD478" s="175"/>
      <c r="AE478" s="175"/>
      <c r="AF478" s="175"/>
      <c r="AG478" s="175"/>
      <c r="AH478" s="175"/>
      <c r="AI478" s="175"/>
      <c r="AJ478" s="175"/>
    </row>
    <row r="479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  <c r="AA479" s="175"/>
      <c r="AB479" s="175"/>
      <c r="AC479" s="175"/>
      <c r="AD479" s="175"/>
      <c r="AE479" s="175"/>
      <c r="AF479" s="175"/>
      <c r="AG479" s="175"/>
      <c r="AH479" s="175"/>
      <c r="AI479" s="175"/>
      <c r="AJ479" s="175"/>
    </row>
    <row r="480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  <c r="AC480" s="175"/>
      <c r="AD480" s="175"/>
      <c r="AE480" s="175"/>
      <c r="AF480" s="175"/>
      <c r="AG480" s="175"/>
      <c r="AH480" s="175"/>
      <c r="AI480" s="175"/>
      <c r="AJ480" s="175"/>
    </row>
    <row r="48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  <c r="AA481" s="175"/>
      <c r="AB481" s="175"/>
      <c r="AC481" s="175"/>
      <c r="AD481" s="175"/>
      <c r="AE481" s="175"/>
      <c r="AF481" s="175"/>
      <c r="AG481" s="175"/>
      <c r="AH481" s="175"/>
      <c r="AI481" s="175"/>
      <c r="AJ481" s="175"/>
    </row>
    <row r="482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  <c r="AA482" s="175"/>
      <c r="AB482" s="175"/>
      <c r="AC482" s="175"/>
      <c r="AD482" s="175"/>
      <c r="AE482" s="175"/>
      <c r="AF482" s="175"/>
      <c r="AG482" s="175"/>
      <c r="AH482" s="175"/>
      <c r="AI482" s="175"/>
      <c r="AJ482" s="175"/>
    </row>
    <row r="483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  <c r="AA483" s="175"/>
      <c r="AB483" s="175"/>
      <c r="AC483" s="175"/>
      <c r="AD483" s="175"/>
      <c r="AE483" s="175"/>
      <c r="AF483" s="175"/>
      <c r="AG483" s="175"/>
      <c r="AH483" s="175"/>
      <c r="AI483" s="175"/>
      <c r="AJ483" s="175"/>
    </row>
    <row r="484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  <c r="AA484" s="175"/>
      <c r="AB484" s="175"/>
      <c r="AC484" s="175"/>
      <c r="AD484" s="175"/>
      <c r="AE484" s="175"/>
      <c r="AF484" s="175"/>
      <c r="AG484" s="175"/>
      <c r="AH484" s="175"/>
      <c r="AI484" s="175"/>
      <c r="AJ484" s="175"/>
    </row>
    <row r="485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  <c r="AA485" s="175"/>
      <c r="AB485" s="175"/>
      <c r="AC485" s="175"/>
      <c r="AD485" s="175"/>
      <c r="AE485" s="175"/>
      <c r="AF485" s="175"/>
      <c r="AG485" s="175"/>
      <c r="AH485" s="175"/>
      <c r="AI485" s="175"/>
      <c r="AJ485" s="175"/>
    </row>
    <row r="486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  <c r="AA486" s="175"/>
      <c r="AB486" s="175"/>
      <c r="AC486" s="175"/>
      <c r="AD486" s="175"/>
      <c r="AE486" s="175"/>
      <c r="AF486" s="175"/>
      <c r="AG486" s="175"/>
      <c r="AH486" s="175"/>
      <c r="AI486" s="175"/>
      <c r="AJ486" s="175"/>
    </row>
    <row r="487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  <c r="AA487" s="175"/>
      <c r="AB487" s="175"/>
      <c r="AC487" s="175"/>
      <c r="AD487" s="175"/>
      <c r="AE487" s="175"/>
      <c r="AF487" s="175"/>
      <c r="AG487" s="175"/>
      <c r="AH487" s="175"/>
      <c r="AI487" s="175"/>
      <c r="AJ487" s="175"/>
    </row>
    <row r="488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  <c r="AA488" s="175"/>
      <c r="AB488" s="175"/>
      <c r="AC488" s="175"/>
      <c r="AD488" s="175"/>
      <c r="AE488" s="175"/>
      <c r="AF488" s="175"/>
      <c r="AG488" s="175"/>
      <c r="AH488" s="175"/>
      <c r="AI488" s="175"/>
      <c r="AJ488" s="175"/>
    </row>
    <row r="489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  <c r="AA489" s="175"/>
      <c r="AB489" s="175"/>
      <c r="AC489" s="175"/>
      <c r="AD489" s="175"/>
      <c r="AE489" s="175"/>
      <c r="AF489" s="175"/>
      <c r="AG489" s="175"/>
      <c r="AH489" s="175"/>
      <c r="AI489" s="175"/>
      <c r="AJ489" s="175"/>
    </row>
    <row r="490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  <c r="AA490" s="175"/>
      <c r="AB490" s="175"/>
      <c r="AC490" s="175"/>
      <c r="AD490" s="175"/>
      <c r="AE490" s="175"/>
      <c r="AF490" s="175"/>
      <c r="AG490" s="175"/>
      <c r="AH490" s="175"/>
      <c r="AI490" s="175"/>
      <c r="AJ490" s="175"/>
    </row>
    <row r="49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  <c r="AA491" s="175"/>
      <c r="AB491" s="175"/>
      <c r="AC491" s="175"/>
      <c r="AD491" s="175"/>
      <c r="AE491" s="175"/>
      <c r="AF491" s="175"/>
      <c r="AG491" s="175"/>
      <c r="AH491" s="175"/>
      <c r="AI491" s="175"/>
      <c r="AJ491" s="175"/>
    </row>
    <row r="492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  <c r="AA492" s="175"/>
      <c r="AB492" s="175"/>
      <c r="AC492" s="175"/>
      <c r="AD492" s="175"/>
      <c r="AE492" s="175"/>
      <c r="AF492" s="175"/>
      <c r="AG492" s="175"/>
      <c r="AH492" s="175"/>
      <c r="AI492" s="175"/>
      <c r="AJ492" s="175"/>
    </row>
    <row r="493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  <c r="AA493" s="175"/>
      <c r="AB493" s="175"/>
      <c r="AC493" s="175"/>
      <c r="AD493" s="175"/>
      <c r="AE493" s="175"/>
      <c r="AF493" s="175"/>
      <c r="AG493" s="175"/>
      <c r="AH493" s="175"/>
      <c r="AI493" s="175"/>
      <c r="AJ493" s="175"/>
    </row>
    <row r="494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  <c r="AA494" s="175"/>
      <c r="AB494" s="175"/>
      <c r="AC494" s="175"/>
      <c r="AD494" s="175"/>
      <c r="AE494" s="175"/>
      <c r="AF494" s="175"/>
      <c r="AG494" s="175"/>
      <c r="AH494" s="175"/>
      <c r="AI494" s="175"/>
      <c r="AJ494" s="175"/>
    </row>
    <row r="495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  <c r="AA495" s="175"/>
      <c r="AB495" s="175"/>
      <c r="AC495" s="175"/>
      <c r="AD495" s="175"/>
      <c r="AE495" s="175"/>
      <c r="AF495" s="175"/>
      <c r="AG495" s="175"/>
      <c r="AH495" s="175"/>
      <c r="AI495" s="175"/>
      <c r="AJ495" s="175"/>
    </row>
    <row r="496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  <c r="AA496" s="175"/>
      <c r="AB496" s="175"/>
      <c r="AC496" s="175"/>
      <c r="AD496" s="175"/>
      <c r="AE496" s="175"/>
      <c r="AF496" s="175"/>
      <c r="AG496" s="175"/>
      <c r="AH496" s="175"/>
      <c r="AI496" s="175"/>
      <c r="AJ496" s="175"/>
    </row>
    <row r="497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  <c r="AA497" s="175"/>
      <c r="AB497" s="175"/>
      <c r="AC497" s="175"/>
      <c r="AD497" s="175"/>
      <c r="AE497" s="175"/>
      <c r="AF497" s="175"/>
      <c r="AG497" s="175"/>
      <c r="AH497" s="175"/>
      <c r="AI497" s="175"/>
      <c r="AJ497" s="175"/>
    </row>
    <row r="498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  <c r="AA498" s="175"/>
      <c r="AB498" s="175"/>
      <c r="AC498" s="175"/>
      <c r="AD498" s="175"/>
      <c r="AE498" s="175"/>
      <c r="AF498" s="175"/>
      <c r="AG498" s="175"/>
      <c r="AH498" s="175"/>
      <c r="AI498" s="175"/>
      <c r="AJ498" s="175"/>
    </row>
    <row r="499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  <c r="AA499" s="175"/>
      <c r="AB499" s="175"/>
      <c r="AC499" s="175"/>
      <c r="AD499" s="175"/>
      <c r="AE499" s="175"/>
      <c r="AF499" s="175"/>
      <c r="AG499" s="175"/>
      <c r="AH499" s="175"/>
      <c r="AI499" s="175"/>
      <c r="AJ499" s="175"/>
    </row>
    <row r="500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  <c r="AA500" s="175"/>
      <c r="AB500" s="175"/>
      <c r="AC500" s="175"/>
      <c r="AD500" s="175"/>
      <c r="AE500" s="175"/>
      <c r="AF500" s="175"/>
      <c r="AG500" s="175"/>
      <c r="AH500" s="175"/>
      <c r="AI500" s="175"/>
      <c r="AJ500" s="175"/>
    </row>
    <row r="50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  <c r="AA501" s="175"/>
      <c r="AB501" s="175"/>
      <c r="AC501" s="175"/>
      <c r="AD501" s="175"/>
      <c r="AE501" s="175"/>
      <c r="AF501" s="175"/>
      <c r="AG501" s="175"/>
      <c r="AH501" s="175"/>
      <c r="AI501" s="175"/>
      <c r="AJ501" s="175"/>
    </row>
    <row r="502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  <c r="AA502" s="175"/>
      <c r="AB502" s="175"/>
      <c r="AC502" s="175"/>
      <c r="AD502" s="175"/>
      <c r="AE502" s="175"/>
      <c r="AF502" s="175"/>
      <c r="AG502" s="175"/>
      <c r="AH502" s="175"/>
      <c r="AI502" s="175"/>
      <c r="AJ502" s="175"/>
    </row>
    <row r="503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  <c r="AA503" s="175"/>
      <c r="AB503" s="175"/>
      <c r="AC503" s="175"/>
      <c r="AD503" s="175"/>
      <c r="AE503" s="175"/>
      <c r="AF503" s="175"/>
      <c r="AG503" s="175"/>
      <c r="AH503" s="175"/>
      <c r="AI503" s="175"/>
      <c r="AJ503" s="175"/>
    </row>
    <row r="504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  <c r="AA504" s="175"/>
      <c r="AB504" s="175"/>
      <c r="AC504" s="175"/>
      <c r="AD504" s="175"/>
      <c r="AE504" s="175"/>
      <c r="AF504" s="175"/>
      <c r="AG504" s="175"/>
      <c r="AH504" s="175"/>
      <c r="AI504" s="175"/>
      <c r="AJ504" s="175"/>
    </row>
    <row r="505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  <c r="AA505" s="175"/>
      <c r="AB505" s="175"/>
      <c r="AC505" s="175"/>
      <c r="AD505" s="175"/>
      <c r="AE505" s="175"/>
      <c r="AF505" s="175"/>
      <c r="AG505" s="175"/>
      <c r="AH505" s="175"/>
      <c r="AI505" s="175"/>
      <c r="AJ505" s="175"/>
    </row>
    <row r="506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  <c r="AA506" s="175"/>
      <c r="AB506" s="175"/>
      <c r="AC506" s="175"/>
      <c r="AD506" s="175"/>
      <c r="AE506" s="175"/>
      <c r="AF506" s="175"/>
      <c r="AG506" s="175"/>
      <c r="AH506" s="175"/>
      <c r="AI506" s="175"/>
      <c r="AJ506" s="175"/>
    </row>
    <row r="507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  <c r="AA507" s="175"/>
      <c r="AB507" s="175"/>
      <c r="AC507" s="175"/>
      <c r="AD507" s="175"/>
      <c r="AE507" s="175"/>
      <c r="AF507" s="175"/>
      <c r="AG507" s="175"/>
      <c r="AH507" s="175"/>
      <c r="AI507" s="175"/>
      <c r="AJ507" s="175"/>
    </row>
    <row r="508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  <c r="AA508" s="175"/>
      <c r="AB508" s="175"/>
      <c r="AC508" s="175"/>
      <c r="AD508" s="175"/>
      <c r="AE508" s="175"/>
      <c r="AF508" s="175"/>
      <c r="AG508" s="175"/>
      <c r="AH508" s="175"/>
      <c r="AI508" s="175"/>
      <c r="AJ508" s="175"/>
    </row>
    <row r="509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  <c r="AA509" s="175"/>
      <c r="AB509" s="175"/>
      <c r="AC509" s="175"/>
      <c r="AD509" s="175"/>
      <c r="AE509" s="175"/>
      <c r="AF509" s="175"/>
      <c r="AG509" s="175"/>
      <c r="AH509" s="175"/>
      <c r="AI509" s="175"/>
      <c r="AJ509" s="175"/>
    </row>
    <row r="510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  <c r="AA510" s="175"/>
      <c r="AB510" s="175"/>
      <c r="AC510" s="175"/>
      <c r="AD510" s="175"/>
      <c r="AE510" s="175"/>
      <c r="AF510" s="175"/>
      <c r="AG510" s="175"/>
      <c r="AH510" s="175"/>
      <c r="AI510" s="175"/>
      <c r="AJ510" s="175"/>
    </row>
    <row r="51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  <c r="AA511" s="175"/>
      <c r="AB511" s="175"/>
      <c r="AC511" s="175"/>
      <c r="AD511" s="175"/>
      <c r="AE511" s="175"/>
      <c r="AF511" s="175"/>
      <c r="AG511" s="175"/>
      <c r="AH511" s="175"/>
      <c r="AI511" s="175"/>
      <c r="AJ511" s="175"/>
    </row>
    <row r="512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  <c r="AA512" s="175"/>
      <c r="AB512" s="175"/>
      <c r="AC512" s="175"/>
      <c r="AD512" s="175"/>
      <c r="AE512" s="175"/>
      <c r="AF512" s="175"/>
      <c r="AG512" s="175"/>
      <c r="AH512" s="175"/>
      <c r="AI512" s="175"/>
      <c r="AJ512" s="175"/>
    </row>
    <row r="513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  <c r="AA513" s="175"/>
      <c r="AB513" s="175"/>
      <c r="AC513" s="175"/>
      <c r="AD513" s="175"/>
      <c r="AE513" s="175"/>
      <c r="AF513" s="175"/>
      <c r="AG513" s="175"/>
      <c r="AH513" s="175"/>
      <c r="AI513" s="175"/>
      <c r="AJ513" s="175"/>
    </row>
    <row r="514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  <c r="AA514" s="175"/>
      <c r="AB514" s="175"/>
      <c r="AC514" s="175"/>
      <c r="AD514" s="175"/>
      <c r="AE514" s="175"/>
      <c r="AF514" s="175"/>
      <c r="AG514" s="175"/>
      <c r="AH514" s="175"/>
      <c r="AI514" s="175"/>
      <c r="AJ514" s="175"/>
    </row>
    <row r="515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  <c r="AA515" s="175"/>
      <c r="AB515" s="175"/>
      <c r="AC515" s="175"/>
      <c r="AD515" s="175"/>
      <c r="AE515" s="175"/>
      <c r="AF515" s="175"/>
      <c r="AG515" s="175"/>
      <c r="AH515" s="175"/>
      <c r="AI515" s="175"/>
      <c r="AJ515" s="175"/>
    </row>
    <row r="516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  <c r="AA516" s="175"/>
      <c r="AB516" s="175"/>
      <c r="AC516" s="175"/>
      <c r="AD516" s="175"/>
      <c r="AE516" s="175"/>
      <c r="AF516" s="175"/>
      <c r="AG516" s="175"/>
      <c r="AH516" s="175"/>
      <c r="AI516" s="175"/>
      <c r="AJ516" s="175"/>
    </row>
    <row r="517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  <c r="AA517" s="175"/>
      <c r="AB517" s="175"/>
      <c r="AC517" s="175"/>
      <c r="AD517" s="175"/>
      <c r="AE517" s="175"/>
      <c r="AF517" s="175"/>
      <c r="AG517" s="175"/>
      <c r="AH517" s="175"/>
      <c r="AI517" s="175"/>
      <c r="AJ517" s="175"/>
    </row>
    <row r="518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  <c r="AA518" s="175"/>
      <c r="AB518" s="175"/>
      <c r="AC518" s="175"/>
      <c r="AD518" s="175"/>
      <c r="AE518" s="175"/>
      <c r="AF518" s="175"/>
      <c r="AG518" s="175"/>
      <c r="AH518" s="175"/>
      <c r="AI518" s="175"/>
      <c r="AJ518" s="175"/>
    </row>
    <row r="519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  <c r="AA519" s="175"/>
      <c r="AB519" s="175"/>
      <c r="AC519" s="175"/>
      <c r="AD519" s="175"/>
      <c r="AE519" s="175"/>
      <c r="AF519" s="175"/>
      <c r="AG519" s="175"/>
      <c r="AH519" s="175"/>
      <c r="AI519" s="175"/>
      <c r="AJ519" s="175"/>
    </row>
    <row r="520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  <c r="AA520" s="175"/>
      <c r="AB520" s="175"/>
      <c r="AC520" s="175"/>
      <c r="AD520" s="175"/>
      <c r="AE520" s="175"/>
      <c r="AF520" s="175"/>
      <c r="AG520" s="175"/>
      <c r="AH520" s="175"/>
      <c r="AI520" s="175"/>
      <c r="AJ520" s="175"/>
    </row>
    <row r="52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  <c r="AA521" s="175"/>
      <c r="AB521" s="175"/>
      <c r="AC521" s="175"/>
      <c r="AD521" s="175"/>
      <c r="AE521" s="175"/>
      <c r="AF521" s="175"/>
      <c r="AG521" s="175"/>
      <c r="AH521" s="175"/>
      <c r="AI521" s="175"/>
      <c r="AJ521" s="175"/>
    </row>
    <row r="522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  <c r="AA522" s="175"/>
      <c r="AB522" s="175"/>
      <c r="AC522" s="175"/>
      <c r="AD522" s="175"/>
      <c r="AE522" s="175"/>
      <c r="AF522" s="175"/>
      <c r="AG522" s="175"/>
      <c r="AH522" s="175"/>
      <c r="AI522" s="175"/>
      <c r="AJ522" s="175"/>
    </row>
    <row r="523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  <c r="AA523" s="175"/>
      <c r="AB523" s="175"/>
      <c r="AC523" s="175"/>
      <c r="AD523" s="175"/>
      <c r="AE523" s="175"/>
      <c r="AF523" s="175"/>
      <c r="AG523" s="175"/>
      <c r="AH523" s="175"/>
      <c r="AI523" s="175"/>
      <c r="AJ523" s="175"/>
    </row>
    <row r="524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  <c r="AA524" s="175"/>
      <c r="AB524" s="175"/>
      <c r="AC524" s="175"/>
      <c r="AD524" s="175"/>
      <c r="AE524" s="175"/>
      <c r="AF524" s="175"/>
      <c r="AG524" s="175"/>
      <c r="AH524" s="175"/>
      <c r="AI524" s="175"/>
      <c r="AJ524" s="175"/>
    </row>
    <row r="525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  <c r="AA525" s="175"/>
      <c r="AB525" s="175"/>
      <c r="AC525" s="175"/>
      <c r="AD525" s="175"/>
      <c r="AE525" s="175"/>
      <c r="AF525" s="175"/>
      <c r="AG525" s="175"/>
      <c r="AH525" s="175"/>
      <c r="AI525" s="175"/>
      <c r="AJ525" s="175"/>
    </row>
    <row r="526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  <c r="AA526" s="175"/>
      <c r="AB526" s="175"/>
      <c r="AC526" s="175"/>
      <c r="AD526" s="175"/>
      <c r="AE526" s="175"/>
      <c r="AF526" s="175"/>
      <c r="AG526" s="175"/>
      <c r="AH526" s="175"/>
      <c r="AI526" s="175"/>
      <c r="AJ526" s="175"/>
    </row>
    <row r="527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  <c r="AA527" s="175"/>
      <c r="AB527" s="175"/>
      <c r="AC527" s="175"/>
      <c r="AD527" s="175"/>
      <c r="AE527" s="175"/>
      <c r="AF527" s="175"/>
      <c r="AG527" s="175"/>
      <c r="AH527" s="175"/>
      <c r="AI527" s="175"/>
      <c r="AJ527" s="175"/>
    </row>
    <row r="528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  <c r="AA528" s="175"/>
      <c r="AB528" s="175"/>
      <c r="AC528" s="175"/>
      <c r="AD528" s="175"/>
      <c r="AE528" s="175"/>
      <c r="AF528" s="175"/>
      <c r="AG528" s="175"/>
      <c r="AH528" s="175"/>
      <c r="AI528" s="175"/>
      <c r="AJ528" s="175"/>
    </row>
    <row r="529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  <c r="AA529" s="175"/>
      <c r="AB529" s="175"/>
      <c r="AC529" s="175"/>
      <c r="AD529" s="175"/>
      <c r="AE529" s="175"/>
      <c r="AF529" s="175"/>
      <c r="AG529" s="175"/>
      <c r="AH529" s="175"/>
      <c r="AI529" s="175"/>
      <c r="AJ529" s="175"/>
    </row>
    <row r="530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  <c r="AA530" s="175"/>
      <c r="AB530" s="175"/>
      <c r="AC530" s="175"/>
      <c r="AD530" s="175"/>
      <c r="AE530" s="175"/>
      <c r="AF530" s="175"/>
      <c r="AG530" s="175"/>
      <c r="AH530" s="175"/>
      <c r="AI530" s="175"/>
      <c r="AJ530" s="175"/>
    </row>
    <row r="53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  <c r="AC531" s="175"/>
      <c r="AD531" s="175"/>
      <c r="AE531" s="175"/>
      <c r="AF531" s="175"/>
      <c r="AG531" s="175"/>
      <c r="AH531" s="175"/>
      <c r="AI531" s="175"/>
      <c r="AJ531" s="175"/>
    </row>
    <row r="532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  <c r="AA532" s="175"/>
      <c r="AB532" s="175"/>
      <c r="AC532" s="175"/>
      <c r="AD532" s="175"/>
      <c r="AE532" s="175"/>
      <c r="AF532" s="175"/>
      <c r="AG532" s="175"/>
      <c r="AH532" s="175"/>
      <c r="AI532" s="175"/>
      <c r="AJ532" s="175"/>
    </row>
    <row r="533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  <c r="AA533" s="175"/>
      <c r="AB533" s="175"/>
      <c r="AC533" s="175"/>
      <c r="AD533" s="175"/>
      <c r="AE533" s="175"/>
      <c r="AF533" s="175"/>
      <c r="AG533" s="175"/>
      <c r="AH533" s="175"/>
      <c r="AI533" s="175"/>
      <c r="AJ533" s="175"/>
    </row>
    <row r="534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  <c r="AI534" s="175"/>
      <c r="AJ534" s="175"/>
    </row>
    <row r="535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  <c r="AC535" s="175"/>
      <c r="AD535" s="175"/>
      <c r="AE535" s="175"/>
      <c r="AF535" s="175"/>
      <c r="AG535" s="175"/>
      <c r="AH535" s="175"/>
      <c r="AI535" s="175"/>
      <c r="AJ535" s="175"/>
    </row>
    <row r="536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  <c r="AA536" s="175"/>
      <c r="AB536" s="175"/>
      <c r="AC536" s="175"/>
      <c r="AD536" s="175"/>
      <c r="AE536" s="175"/>
      <c r="AF536" s="175"/>
      <c r="AG536" s="175"/>
      <c r="AH536" s="175"/>
      <c r="AI536" s="175"/>
      <c r="AJ536" s="175"/>
    </row>
    <row r="537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  <c r="AA537" s="175"/>
      <c r="AB537" s="175"/>
      <c r="AC537" s="175"/>
      <c r="AD537" s="175"/>
      <c r="AE537" s="175"/>
      <c r="AF537" s="175"/>
      <c r="AG537" s="175"/>
      <c r="AH537" s="175"/>
      <c r="AI537" s="175"/>
      <c r="AJ537" s="175"/>
    </row>
    <row r="538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  <c r="AA538" s="175"/>
      <c r="AB538" s="175"/>
      <c r="AC538" s="175"/>
      <c r="AD538" s="175"/>
      <c r="AE538" s="175"/>
      <c r="AF538" s="175"/>
      <c r="AG538" s="175"/>
      <c r="AH538" s="175"/>
      <c r="AI538" s="175"/>
      <c r="AJ538" s="175"/>
    </row>
    <row r="539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  <c r="AA539" s="175"/>
      <c r="AB539" s="175"/>
      <c r="AC539" s="175"/>
      <c r="AD539" s="175"/>
      <c r="AE539" s="175"/>
      <c r="AF539" s="175"/>
      <c r="AG539" s="175"/>
      <c r="AH539" s="175"/>
      <c r="AI539" s="175"/>
      <c r="AJ539" s="175"/>
    </row>
    <row r="540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  <c r="AA540" s="175"/>
      <c r="AB540" s="175"/>
      <c r="AC540" s="175"/>
      <c r="AD540" s="175"/>
      <c r="AE540" s="175"/>
      <c r="AF540" s="175"/>
      <c r="AG540" s="175"/>
      <c r="AH540" s="175"/>
      <c r="AI540" s="175"/>
      <c r="AJ540" s="175"/>
    </row>
    <row r="54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  <c r="AA541" s="175"/>
      <c r="AB541" s="175"/>
      <c r="AC541" s="175"/>
      <c r="AD541" s="175"/>
      <c r="AE541" s="175"/>
      <c r="AF541" s="175"/>
      <c r="AG541" s="175"/>
      <c r="AH541" s="175"/>
      <c r="AI541" s="175"/>
      <c r="AJ541" s="175"/>
    </row>
    <row r="542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  <c r="AA542" s="175"/>
      <c r="AB542" s="175"/>
      <c r="AC542" s="175"/>
      <c r="AD542" s="175"/>
      <c r="AE542" s="175"/>
      <c r="AF542" s="175"/>
      <c r="AG542" s="175"/>
      <c r="AH542" s="175"/>
      <c r="AI542" s="175"/>
      <c r="AJ542" s="175"/>
    </row>
    <row r="543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  <c r="AA543" s="175"/>
      <c r="AB543" s="175"/>
      <c r="AC543" s="175"/>
      <c r="AD543" s="175"/>
      <c r="AE543" s="175"/>
      <c r="AF543" s="175"/>
      <c r="AG543" s="175"/>
      <c r="AH543" s="175"/>
      <c r="AI543" s="175"/>
      <c r="AJ543" s="175"/>
    </row>
    <row r="544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  <c r="AA544" s="175"/>
      <c r="AB544" s="175"/>
      <c r="AC544" s="175"/>
      <c r="AD544" s="175"/>
      <c r="AE544" s="175"/>
      <c r="AF544" s="175"/>
      <c r="AG544" s="175"/>
      <c r="AH544" s="175"/>
      <c r="AI544" s="175"/>
      <c r="AJ544" s="175"/>
    </row>
    <row r="545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  <c r="AA545" s="175"/>
      <c r="AB545" s="175"/>
      <c r="AC545" s="175"/>
      <c r="AD545" s="175"/>
      <c r="AE545" s="175"/>
      <c r="AF545" s="175"/>
      <c r="AG545" s="175"/>
      <c r="AH545" s="175"/>
      <c r="AI545" s="175"/>
      <c r="AJ545" s="175"/>
    </row>
    <row r="546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  <c r="AA546" s="175"/>
      <c r="AB546" s="175"/>
      <c r="AC546" s="175"/>
      <c r="AD546" s="175"/>
      <c r="AE546" s="175"/>
      <c r="AF546" s="175"/>
      <c r="AG546" s="175"/>
      <c r="AH546" s="175"/>
      <c r="AI546" s="175"/>
      <c r="AJ546" s="175"/>
    </row>
    <row r="547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  <c r="AA547" s="175"/>
      <c r="AB547" s="175"/>
      <c r="AC547" s="175"/>
      <c r="AD547" s="175"/>
      <c r="AE547" s="175"/>
      <c r="AF547" s="175"/>
      <c r="AG547" s="175"/>
      <c r="AH547" s="175"/>
      <c r="AI547" s="175"/>
      <c r="AJ547" s="175"/>
    </row>
    <row r="548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  <c r="AA548" s="175"/>
      <c r="AB548" s="175"/>
      <c r="AC548" s="175"/>
      <c r="AD548" s="175"/>
      <c r="AE548" s="175"/>
      <c r="AF548" s="175"/>
      <c r="AG548" s="175"/>
      <c r="AH548" s="175"/>
      <c r="AI548" s="175"/>
      <c r="AJ548" s="175"/>
    </row>
    <row r="549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  <c r="AA549" s="175"/>
      <c r="AB549" s="175"/>
      <c r="AC549" s="175"/>
      <c r="AD549" s="175"/>
      <c r="AE549" s="175"/>
      <c r="AF549" s="175"/>
      <c r="AG549" s="175"/>
      <c r="AH549" s="175"/>
      <c r="AI549" s="175"/>
      <c r="AJ549" s="175"/>
    </row>
    <row r="550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  <c r="AA550" s="175"/>
      <c r="AB550" s="175"/>
      <c r="AC550" s="175"/>
      <c r="AD550" s="175"/>
      <c r="AE550" s="175"/>
      <c r="AF550" s="175"/>
      <c r="AG550" s="175"/>
      <c r="AH550" s="175"/>
      <c r="AI550" s="175"/>
      <c r="AJ550" s="175"/>
    </row>
    <row r="55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  <c r="AA551" s="175"/>
      <c r="AB551" s="175"/>
      <c r="AC551" s="175"/>
      <c r="AD551" s="175"/>
      <c r="AE551" s="175"/>
      <c r="AF551" s="175"/>
      <c r="AG551" s="175"/>
      <c r="AH551" s="175"/>
      <c r="AI551" s="175"/>
      <c r="AJ551" s="175"/>
    </row>
    <row r="552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  <c r="AA552" s="175"/>
      <c r="AB552" s="175"/>
      <c r="AC552" s="175"/>
      <c r="AD552" s="175"/>
      <c r="AE552" s="175"/>
      <c r="AF552" s="175"/>
      <c r="AG552" s="175"/>
      <c r="AH552" s="175"/>
      <c r="AI552" s="175"/>
      <c r="AJ552" s="175"/>
    </row>
    <row r="553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  <c r="AA553" s="175"/>
      <c r="AB553" s="175"/>
      <c r="AC553" s="175"/>
      <c r="AD553" s="175"/>
      <c r="AE553" s="175"/>
      <c r="AF553" s="175"/>
      <c r="AG553" s="175"/>
      <c r="AH553" s="175"/>
      <c r="AI553" s="175"/>
      <c r="AJ553" s="175"/>
    </row>
    <row r="554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  <c r="AA554" s="175"/>
      <c r="AB554" s="175"/>
      <c r="AC554" s="175"/>
      <c r="AD554" s="175"/>
      <c r="AE554" s="175"/>
      <c r="AF554" s="175"/>
      <c r="AG554" s="175"/>
      <c r="AH554" s="175"/>
      <c r="AI554" s="175"/>
      <c r="AJ554" s="175"/>
    </row>
    <row r="555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  <c r="AA555" s="175"/>
      <c r="AB555" s="175"/>
      <c r="AC555" s="175"/>
      <c r="AD555" s="175"/>
      <c r="AE555" s="175"/>
      <c r="AF555" s="175"/>
      <c r="AG555" s="175"/>
      <c r="AH555" s="175"/>
      <c r="AI555" s="175"/>
      <c r="AJ555" s="175"/>
    </row>
    <row r="556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  <c r="AA556" s="175"/>
      <c r="AB556" s="175"/>
      <c r="AC556" s="175"/>
      <c r="AD556" s="175"/>
      <c r="AE556" s="175"/>
      <c r="AF556" s="175"/>
      <c r="AG556" s="175"/>
      <c r="AH556" s="175"/>
      <c r="AI556" s="175"/>
      <c r="AJ556" s="175"/>
    </row>
    <row r="557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  <c r="AA557" s="175"/>
      <c r="AB557" s="175"/>
      <c r="AC557" s="175"/>
      <c r="AD557" s="175"/>
      <c r="AE557" s="175"/>
      <c r="AF557" s="175"/>
      <c r="AG557" s="175"/>
      <c r="AH557" s="175"/>
      <c r="AI557" s="175"/>
      <c r="AJ557" s="175"/>
    </row>
    <row r="558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  <c r="AA558" s="175"/>
      <c r="AB558" s="175"/>
      <c r="AC558" s="175"/>
      <c r="AD558" s="175"/>
      <c r="AE558" s="175"/>
      <c r="AF558" s="175"/>
      <c r="AG558" s="175"/>
      <c r="AH558" s="175"/>
      <c r="AI558" s="175"/>
      <c r="AJ558" s="175"/>
    </row>
    <row r="559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  <c r="AA559" s="175"/>
      <c r="AB559" s="175"/>
      <c r="AC559" s="175"/>
      <c r="AD559" s="175"/>
      <c r="AE559" s="175"/>
      <c r="AF559" s="175"/>
      <c r="AG559" s="175"/>
      <c r="AH559" s="175"/>
      <c r="AI559" s="175"/>
      <c r="AJ559" s="175"/>
    </row>
    <row r="560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  <c r="AA560" s="175"/>
      <c r="AB560" s="175"/>
      <c r="AC560" s="175"/>
      <c r="AD560" s="175"/>
      <c r="AE560" s="175"/>
      <c r="AF560" s="175"/>
      <c r="AG560" s="175"/>
      <c r="AH560" s="175"/>
      <c r="AI560" s="175"/>
      <c r="AJ560" s="175"/>
    </row>
    <row r="56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  <c r="AA561" s="175"/>
      <c r="AB561" s="175"/>
      <c r="AC561" s="175"/>
      <c r="AD561" s="175"/>
      <c r="AE561" s="175"/>
      <c r="AF561" s="175"/>
      <c r="AG561" s="175"/>
      <c r="AH561" s="175"/>
      <c r="AI561" s="175"/>
      <c r="AJ561" s="175"/>
    </row>
    <row r="562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  <c r="AA562" s="175"/>
      <c r="AB562" s="175"/>
      <c r="AC562" s="175"/>
      <c r="AD562" s="175"/>
      <c r="AE562" s="175"/>
      <c r="AF562" s="175"/>
      <c r="AG562" s="175"/>
      <c r="AH562" s="175"/>
      <c r="AI562" s="175"/>
      <c r="AJ562" s="175"/>
    </row>
    <row r="563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  <c r="AA563" s="175"/>
      <c r="AB563" s="175"/>
      <c r="AC563" s="175"/>
      <c r="AD563" s="175"/>
      <c r="AE563" s="175"/>
      <c r="AF563" s="175"/>
      <c r="AG563" s="175"/>
      <c r="AH563" s="175"/>
      <c r="AI563" s="175"/>
      <c r="AJ563" s="175"/>
    </row>
    <row r="564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  <c r="AA564" s="175"/>
      <c r="AB564" s="175"/>
      <c r="AC564" s="175"/>
      <c r="AD564" s="175"/>
      <c r="AE564" s="175"/>
      <c r="AF564" s="175"/>
      <c r="AG564" s="175"/>
      <c r="AH564" s="175"/>
      <c r="AI564" s="175"/>
      <c r="AJ564" s="175"/>
    </row>
    <row r="56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  <c r="AA565" s="175"/>
      <c r="AB565" s="175"/>
      <c r="AC565" s="175"/>
      <c r="AD565" s="175"/>
      <c r="AE565" s="175"/>
      <c r="AF565" s="175"/>
      <c r="AG565" s="175"/>
      <c r="AH565" s="175"/>
      <c r="AI565" s="175"/>
      <c r="AJ565" s="175"/>
    </row>
    <row r="56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  <c r="AA566" s="175"/>
      <c r="AB566" s="175"/>
      <c r="AC566" s="175"/>
      <c r="AD566" s="175"/>
      <c r="AE566" s="175"/>
      <c r="AF566" s="175"/>
      <c r="AG566" s="175"/>
      <c r="AH566" s="175"/>
      <c r="AI566" s="175"/>
      <c r="AJ566" s="175"/>
    </row>
    <row r="567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  <c r="AA567" s="175"/>
      <c r="AB567" s="175"/>
      <c r="AC567" s="175"/>
      <c r="AD567" s="175"/>
      <c r="AE567" s="175"/>
      <c r="AF567" s="175"/>
      <c r="AG567" s="175"/>
      <c r="AH567" s="175"/>
      <c r="AI567" s="175"/>
      <c r="AJ567" s="175"/>
    </row>
    <row r="568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  <c r="AA568" s="175"/>
      <c r="AB568" s="175"/>
      <c r="AC568" s="175"/>
      <c r="AD568" s="175"/>
      <c r="AE568" s="175"/>
      <c r="AF568" s="175"/>
      <c r="AG568" s="175"/>
      <c r="AH568" s="175"/>
      <c r="AI568" s="175"/>
      <c r="AJ568" s="175"/>
    </row>
    <row r="569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  <c r="AA569" s="175"/>
      <c r="AB569" s="175"/>
      <c r="AC569" s="175"/>
      <c r="AD569" s="175"/>
      <c r="AE569" s="175"/>
      <c r="AF569" s="175"/>
      <c r="AG569" s="175"/>
      <c r="AH569" s="175"/>
      <c r="AI569" s="175"/>
      <c r="AJ569" s="175"/>
    </row>
    <row r="570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  <c r="AA570" s="175"/>
      <c r="AB570" s="175"/>
      <c r="AC570" s="175"/>
      <c r="AD570" s="175"/>
      <c r="AE570" s="175"/>
      <c r="AF570" s="175"/>
      <c r="AG570" s="175"/>
      <c r="AH570" s="175"/>
      <c r="AI570" s="175"/>
      <c r="AJ570" s="175"/>
    </row>
    <row r="5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  <c r="AA571" s="175"/>
      <c r="AB571" s="175"/>
      <c r="AC571" s="175"/>
      <c r="AD571" s="175"/>
      <c r="AE571" s="175"/>
      <c r="AF571" s="175"/>
      <c r="AG571" s="175"/>
      <c r="AH571" s="175"/>
      <c r="AI571" s="175"/>
      <c r="AJ571" s="175"/>
    </row>
    <row r="572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  <c r="AA572" s="175"/>
      <c r="AB572" s="175"/>
      <c r="AC572" s="175"/>
      <c r="AD572" s="175"/>
      <c r="AE572" s="175"/>
      <c r="AF572" s="175"/>
      <c r="AG572" s="175"/>
      <c r="AH572" s="175"/>
      <c r="AI572" s="175"/>
      <c r="AJ572" s="175"/>
    </row>
    <row r="573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  <c r="AA573" s="175"/>
      <c r="AB573" s="175"/>
      <c r="AC573" s="175"/>
      <c r="AD573" s="175"/>
      <c r="AE573" s="175"/>
      <c r="AF573" s="175"/>
      <c r="AG573" s="175"/>
      <c r="AH573" s="175"/>
      <c r="AI573" s="175"/>
      <c r="AJ573" s="175"/>
    </row>
    <row r="574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  <c r="AA574" s="175"/>
      <c r="AB574" s="175"/>
      <c r="AC574" s="175"/>
      <c r="AD574" s="175"/>
      <c r="AE574" s="175"/>
      <c r="AF574" s="175"/>
      <c r="AG574" s="175"/>
      <c r="AH574" s="175"/>
      <c r="AI574" s="175"/>
      <c r="AJ574" s="175"/>
    </row>
    <row r="57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  <c r="AA575" s="175"/>
      <c r="AB575" s="175"/>
      <c r="AC575" s="175"/>
      <c r="AD575" s="175"/>
      <c r="AE575" s="175"/>
      <c r="AF575" s="175"/>
      <c r="AG575" s="175"/>
      <c r="AH575" s="175"/>
      <c r="AI575" s="175"/>
      <c r="AJ575" s="175"/>
    </row>
    <row r="57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  <c r="AA576" s="175"/>
      <c r="AB576" s="175"/>
      <c r="AC576" s="175"/>
      <c r="AD576" s="175"/>
      <c r="AE576" s="175"/>
      <c r="AF576" s="175"/>
      <c r="AG576" s="175"/>
      <c r="AH576" s="175"/>
      <c r="AI576" s="175"/>
      <c r="AJ576" s="175"/>
    </row>
    <row r="577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  <c r="AA577" s="175"/>
      <c r="AB577" s="175"/>
      <c r="AC577" s="175"/>
      <c r="AD577" s="175"/>
      <c r="AE577" s="175"/>
      <c r="AF577" s="175"/>
      <c r="AG577" s="175"/>
      <c r="AH577" s="175"/>
      <c r="AI577" s="175"/>
      <c r="AJ577" s="175"/>
    </row>
    <row r="578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  <c r="AA578" s="175"/>
      <c r="AB578" s="175"/>
      <c r="AC578" s="175"/>
      <c r="AD578" s="175"/>
      <c r="AE578" s="175"/>
      <c r="AF578" s="175"/>
      <c r="AG578" s="175"/>
      <c r="AH578" s="175"/>
      <c r="AI578" s="175"/>
      <c r="AJ578" s="175"/>
    </row>
    <row r="579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  <c r="AA579" s="175"/>
      <c r="AB579" s="175"/>
      <c r="AC579" s="175"/>
      <c r="AD579" s="175"/>
      <c r="AE579" s="175"/>
      <c r="AF579" s="175"/>
      <c r="AG579" s="175"/>
      <c r="AH579" s="175"/>
      <c r="AI579" s="175"/>
      <c r="AJ579" s="175"/>
    </row>
    <row r="580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  <c r="AA580" s="175"/>
      <c r="AB580" s="175"/>
      <c r="AC580" s="175"/>
      <c r="AD580" s="175"/>
      <c r="AE580" s="175"/>
      <c r="AF580" s="175"/>
      <c r="AG580" s="175"/>
      <c r="AH580" s="175"/>
      <c r="AI580" s="175"/>
      <c r="AJ580" s="175"/>
    </row>
    <row r="58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  <c r="AA581" s="175"/>
      <c r="AB581" s="175"/>
      <c r="AC581" s="175"/>
      <c r="AD581" s="175"/>
      <c r="AE581" s="175"/>
      <c r="AF581" s="175"/>
      <c r="AG581" s="175"/>
      <c r="AH581" s="175"/>
      <c r="AI581" s="175"/>
      <c r="AJ581" s="175"/>
    </row>
    <row r="582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  <c r="AA582" s="175"/>
      <c r="AB582" s="175"/>
      <c r="AC582" s="175"/>
      <c r="AD582" s="175"/>
      <c r="AE582" s="175"/>
      <c r="AF582" s="175"/>
      <c r="AG582" s="175"/>
      <c r="AH582" s="175"/>
      <c r="AI582" s="175"/>
      <c r="AJ582" s="175"/>
    </row>
    <row r="583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  <c r="AA583" s="175"/>
      <c r="AB583" s="175"/>
      <c r="AC583" s="175"/>
      <c r="AD583" s="175"/>
      <c r="AE583" s="175"/>
      <c r="AF583" s="175"/>
      <c r="AG583" s="175"/>
      <c r="AH583" s="175"/>
      <c r="AI583" s="175"/>
      <c r="AJ583" s="175"/>
    </row>
    <row r="584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  <c r="AA584" s="175"/>
      <c r="AB584" s="175"/>
      <c r="AC584" s="175"/>
      <c r="AD584" s="175"/>
      <c r="AE584" s="175"/>
      <c r="AF584" s="175"/>
      <c r="AG584" s="175"/>
      <c r="AH584" s="175"/>
      <c r="AI584" s="175"/>
      <c r="AJ584" s="175"/>
    </row>
    <row r="58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  <c r="AA585" s="175"/>
      <c r="AB585" s="175"/>
      <c r="AC585" s="175"/>
      <c r="AD585" s="175"/>
      <c r="AE585" s="175"/>
      <c r="AF585" s="175"/>
      <c r="AG585" s="175"/>
      <c r="AH585" s="175"/>
      <c r="AI585" s="175"/>
      <c r="AJ585" s="175"/>
    </row>
    <row r="58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  <c r="AA586" s="175"/>
      <c r="AB586" s="175"/>
      <c r="AC586" s="175"/>
      <c r="AD586" s="175"/>
      <c r="AE586" s="175"/>
      <c r="AF586" s="175"/>
      <c r="AG586" s="175"/>
      <c r="AH586" s="175"/>
      <c r="AI586" s="175"/>
      <c r="AJ586" s="175"/>
    </row>
    <row r="587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  <c r="AA587" s="175"/>
      <c r="AB587" s="175"/>
      <c r="AC587" s="175"/>
      <c r="AD587" s="175"/>
      <c r="AE587" s="175"/>
      <c r="AF587" s="175"/>
      <c r="AG587" s="175"/>
      <c r="AH587" s="175"/>
      <c r="AI587" s="175"/>
      <c r="AJ587" s="175"/>
    </row>
    <row r="588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  <c r="AA588" s="175"/>
      <c r="AB588" s="175"/>
      <c r="AC588" s="175"/>
      <c r="AD588" s="175"/>
      <c r="AE588" s="175"/>
      <c r="AF588" s="175"/>
      <c r="AG588" s="175"/>
      <c r="AH588" s="175"/>
      <c r="AI588" s="175"/>
      <c r="AJ588" s="175"/>
    </row>
    <row r="589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  <c r="AA589" s="175"/>
      <c r="AB589" s="175"/>
      <c r="AC589" s="175"/>
      <c r="AD589" s="175"/>
      <c r="AE589" s="175"/>
      <c r="AF589" s="175"/>
      <c r="AG589" s="175"/>
      <c r="AH589" s="175"/>
      <c r="AI589" s="175"/>
      <c r="AJ589" s="175"/>
    </row>
    <row r="590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  <c r="AA590" s="175"/>
      <c r="AB590" s="175"/>
      <c r="AC590" s="175"/>
      <c r="AD590" s="175"/>
      <c r="AE590" s="175"/>
      <c r="AF590" s="175"/>
      <c r="AG590" s="175"/>
      <c r="AH590" s="175"/>
      <c r="AI590" s="175"/>
      <c r="AJ590" s="175"/>
    </row>
    <row r="59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  <c r="AA591" s="175"/>
      <c r="AB591" s="175"/>
      <c r="AC591" s="175"/>
      <c r="AD591" s="175"/>
      <c r="AE591" s="175"/>
      <c r="AF591" s="175"/>
      <c r="AG591" s="175"/>
      <c r="AH591" s="175"/>
      <c r="AI591" s="175"/>
      <c r="AJ591" s="175"/>
    </row>
    <row r="592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  <c r="AA592" s="175"/>
      <c r="AB592" s="175"/>
      <c r="AC592" s="175"/>
      <c r="AD592" s="175"/>
      <c r="AE592" s="175"/>
      <c r="AF592" s="175"/>
      <c r="AG592" s="175"/>
      <c r="AH592" s="175"/>
      <c r="AI592" s="175"/>
      <c r="AJ592" s="175"/>
    </row>
    <row r="593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  <c r="AA593" s="175"/>
      <c r="AB593" s="175"/>
      <c r="AC593" s="175"/>
      <c r="AD593" s="175"/>
      <c r="AE593" s="175"/>
      <c r="AF593" s="175"/>
      <c r="AG593" s="175"/>
      <c r="AH593" s="175"/>
      <c r="AI593" s="175"/>
      <c r="AJ593" s="175"/>
    </row>
    <row r="594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  <c r="AA594" s="175"/>
      <c r="AB594" s="175"/>
      <c r="AC594" s="175"/>
      <c r="AD594" s="175"/>
      <c r="AE594" s="175"/>
      <c r="AF594" s="175"/>
      <c r="AG594" s="175"/>
      <c r="AH594" s="175"/>
      <c r="AI594" s="175"/>
      <c r="AJ594" s="175"/>
    </row>
    <row r="59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  <c r="AA595" s="175"/>
      <c r="AB595" s="175"/>
      <c r="AC595" s="175"/>
      <c r="AD595" s="175"/>
      <c r="AE595" s="175"/>
      <c r="AF595" s="175"/>
      <c r="AG595" s="175"/>
      <c r="AH595" s="175"/>
      <c r="AI595" s="175"/>
      <c r="AJ595" s="175"/>
    </row>
    <row r="59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  <c r="AA596" s="175"/>
      <c r="AB596" s="175"/>
      <c r="AC596" s="175"/>
      <c r="AD596" s="175"/>
      <c r="AE596" s="175"/>
      <c r="AF596" s="175"/>
      <c r="AG596" s="175"/>
      <c r="AH596" s="175"/>
      <c r="AI596" s="175"/>
      <c r="AJ596" s="175"/>
    </row>
    <row r="597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  <c r="AA597" s="175"/>
      <c r="AB597" s="175"/>
      <c r="AC597" s="175"/>
      <c r="AD597" s="175"/>
      <c r="AE597" s="175"/>
      <c r="AF597" s="175"/>
      <c r="AG597" s="175"/>
      <c r="AH597" s="175"/>
      <c r="AI597" s="175"/>
      <c r="AJ597" s="175"/>
    </row>
    <row r="598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  <c r="AC598" s="175"/>
      <c r="AD598" s="175"/>
      <c r="AE598" s="175"/>
      <c r="AF598" s="175"/>
      <c r="AG598" s="175"/>
      <c r="AH598" s="175"/>
      <c r="AI598" s="175"/>
      <c r="AJ598" s="175"/>
    </row>
    <row r="599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  <c r="AA599" s="175"/>
      <c r="AB599" s="175"/>
      <c r="AC599" s="175"/>
      <c r="AD599" s="175"/>
      <c r="AE599" s="175"/>
      <c r="AF599" s="175"/>
      <c r="AG599" s="175"/>
      <c r="AH599" s="175"/>
      <c r="AI599" s="175"/>
      <c r="AJ599" s="175"/>
    </row>
    <row r="600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  <c r="AA600" s="175"/>
      <c r="AB600" s="175"/>
      <c r="AC600" s="175"/>
      <c r="AD600" s="175"/>
      <c r="AE600" s="175"/>
      <c r="AF600" s="175"/>
      <c r="AG600" s="175"/>
      <c r="AH600" s="175"/>
      <c r="AI600" s="175"/>
      <c r="AJ600" s="175"/>
    </row>
    <row r="60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  <c r="AA601" s="175"/>
      <c r="AB601" s="175"/>
      <c r="AC601" s="175"/>
      <c r="AD601" s="175"/>
      <c r="AE601" s="175"/>
      <c r="AF601" s="175"/>
      <c r="AG601" s="175"/>
      <c r="AH601" s="175"/>
      <c r="AI601" s="175"/>
      <c r="AJ601" s="175"/>
    </row>
    <row r="602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  <c r="AA602" s="175"/>
      <c r="AB602" s="175"/>
      <c r="AC602" s="175"/>
      <c r="AD602" s="175"/>
      <c r="AE602" s="175"/>
      <c r="AF602" s="175"/>
      <c r="AG602" s="175"/>
      <c r="AH602" s="175"/>
      <c r="AI602" s="175"/>
      <c r="AJ602" s="175"/>
    </row>
    <row r="603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  <c r="AA603" s="175"/>
      <c r="AB603" s="175"/>
      <c r="AC603" s="175"/>
      <c r="AD603" s="175"/>
      <c r="AE603" s="175"/>
      <c r="AF603" s="175"/>
      <c r="AG603" s="175"/>
      <c r="AH603" s="175"/>
      <c r="AI603" s="175"/>
      <c r="AJ603" s="175"/>
    </row>
    <row r="604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  <c r="AA604" s="175"/>
      <c r="AB604" s="175"/>
      <c r="AC604" s="175"/>
      <c r="AD604" s="175"/>
      <c r="AE604" s="175"/>
      <c r="AF604" s="175"/>
      <c r="AG604" s="175"/>
      <c r="AH604" s="175"/>
      <c r="AI604" s="175"/>
      <c r="AJ604" s="175"/>
    </row>
    <row r="60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  <c r="AA605" s="175"/>
      <c r="AB605" s="175"/>
      <c r="AC605" s="175"/>
      <c r="AD605" s="175"/>
      <c r="AE605" s="175"/>
      <c r="AF605" s="175"/>
      <c r="AG605" s="175"/>
      <c r="AH605" s="175"/>
      <c r="AI605" s="175"/>
      <c r="AJ605" s="175"/>
    </row>
    <row r="60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  <c r="AA606" s="175"/>
      <c r="AB606" s="175"/>
      <c r="AC606" s="175"/>
      <c r="AD606" s="175"/>
      <c r="AE606" s="175"/>
      <c r="AF606" s="175"/>
      <c r="AG606" s="175"/>
      <c r="AH606" s="175"/>
      <c r="AI606" s="175"/>
      <c r="AJ606" s="175"/>
    </row>
    <row r="607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  <c r="AA607" s="175"/>
      <c r="AB607" s="175"/>
      <c r="AC607" s="175"/>
      <c r="AD607" s="175"/>
      <c r="AE607" s="175"/>
      <c r="AF607" s="175"/>
      <c r="AG607" s="175"/>
      <c r="AH607" s="175"/>
      <c r="AI607" s="175"/>
      <c r="AJ607" s="175"/>
    </row>
    <row r="608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  <c r="AA608" s="175"/>
      <c r="AB608" s="175"/>
      <c r="AC608" s="175"/>
      <c r="AD608" s="175"/>
      <c r="AE608" s="175"/>
      <c r="AF608" s="175"/>
      <c r="AG608" s="175"/>
      <c r="AH608" s="175"/>
      <c r="AI608" s="175"/>
      <c r="AJ608" s="175"/>
    </row>
    <row r="609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  <c r="AA609" s="175"/>
      <c r="AB609" s="175"/>
      <c r="AC609" s="175"/>
      <c r="AD609" s="175"/>
      <c r="AE609" s="175"/>
      <c r="AF609" s="175"/>
      <c r="AG609" s="175"/>
      <c r="AH609" s="175"/>
      <c r="AI609" s="175"/>
      <c r="AJ609" s="175"/>
    </row>
    <row r="610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  <c r="AA610" s="175"/>
      <c r="AB610" s="175"/>
      <c r="AC610" s="175"/>
      <c r="AD610" s="175"/>
      <c r="AE610" s="175"/>
      <c r="AF610" s="175"/>
      <c r="AG610" s="175"/>
      <c r="AH610" s="175"/>
      <c r="AI610" s="175"/>
      <c r="AJ610" s="175"/>
    </row>
    <row r="61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  <c r="AA611" s="175"/>
      <c r="AB611" s="175"/>
      <c r="AC611" s="175"/>
      <c r="AD611" s="175"/>
      <c r="AE611" s="175"/>
      <c r="AF611" s="175"/>
      <c r="AG611" s="175"/>
      <c r="AH611" s="175"/>
      <c r="AI611" s="175"/>
      <c r="AJ611" s="175"/>
    </row>
    <row r="612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  <c r="AA612" s="175"/>
      <c r="AB612" s="175"/>
      <c r="AC612" s="175"/>
      <c r="AD612" s="175"/>
      <c r="AE612" s="175"/>
      <c r="AF612" s="175"/>
      <c r="AG612" s="175"/>
      <c r="AH612" s="175"/>
      <c r="AI612" s="175"/>
      <c r="AJ612" s="175"/>
    </row>
    <row r="613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  <c r="AA613" s="175"/>
      <c r="AB613" s="175"/>
      <c r="AC613" s="175"/>
      <c r="AD613" s="175"/>
      <c r="AE613" s="175"/>
      <c r="AF613" s="175"/>
      <c r="AG613" s="175"/>
      <c r="AH613" s="175"/>
      <c r="AI613" s="175"/>
      <c r="AJ613" s="175"/>
    </row>
    <row r="614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  <c r="AA614" s="175"/>
      <c r="AB614" s="175"/>
      <c r="AC614" s="175"/>
      <c r="AD614" s="175"/>
      <c r="AE614" s="175"/>
      <c r="AF614" s="175"/>
      <c r="AG614" s="175"/>
      <c r="AH614" s="175"/>
      <c r="AI614" s="175"/>
      <c r="AJ614" s="175"/>
    </row>
    <row r="61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  <c r="AA615" s="175"/>
      <c r="AB615" s="175"/>
      <c r="AC615" s="175"/>
      <c r="AD615" s="175"/>
      <c r="AE615" s="175"/>
      <c r="AF615" s="175"/>
      <c r="AG615" s="175"/>
      <c r="AH615" s="175"/>
      <c r="AI615" s="175"/>
      <c r="AJ615" s="175"/>
    </row>
    <row r="61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  <c r="AA616" s="175"/>
      <c r="AB616" s="175"/>
      <c r="AC616" s="175"/>
      <c r="AD616" s="175"/>
      <c r="AE616" s="175"/>
      <c r="AF616" s="175"/>
      <c r="AG616" s="175"/>
      <c r="AH616" s="175"/>
      <c r="AI616" s="175"/>
      <c r="AJ616" s="175"/>
    </row>
    <row r="617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  <c r="AA617" s="175"/>
      <c r="AB617" s="175"/>
      <c r="AC617" s="175"/>
      <c r="AD617" s="175"/>
      <c r="AE617" s="175"/>
      <c r="AF617" s="175"/>
      <c r="AG617" s="175"/>
      <c r="AH617" s="175"/>
      <c r="AI617" s="175"/>
      <c r="AJ617" s="175"/>
    </row>
    <row r="618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  <c r="AA618" s="175"/>
      <c r="AB618" s="175"/>
      <c r="AC618" s="175"/>
      <c r="AD618" s="175"/>
      <c r="AE618" s="175"/>
      <c r="AF618" s="175"/>
      <c r="AG618" s="175"/>
      <c r="AH618" s="175"/>
      <c r="AI618" s="175"/>
      <c r="AJ618" s="175"/>
    </row>
    <row r="619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  <c r="AA619" s="175"/>
      <c r="AB619" s="175"/>
      <c r="AC619" s="175"/>
      <c r="AD619" s="175"/>
      <c r="AE619" s="175"/>
      <c r="AF619" s="175"/>
      <c r="AG619" s="175"/>
      <c r="AH619" s="175"/>
      <c r="AI619" s="175"/>
      <c r="AJ619" s="175"/>
    </row>
    <row r="620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  <c r="AA620" s="175"/>
      <c r="AB620" s="175"/>
      <c r="AC620" s="175"/>
      <c r="AD620" s="175"/>
      <c r="AE620" s="175"/>
      <c r="AF620" s="175"/>
      <c r="AG620" s="175"/>
      <c r="AH620" s="175"/>
      <c r="AI620" s="175"/>
      <c r="AJ620" s="175"/>
    </row>
    <row r="62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  <c r="AA621" s="175"/>
      <c r="AB621" s="175"/>
      <c r="AC621" s="175"/>
      <c r="AD621" s="175"/>
      <c r="AE621" s="175"/>
      <c r="AF621" s="175"/>
      <c r="AG621" s="175"/>
      <c r="AH621" s="175"/>
      <c r="AI621" s="175"/>
      <c r="AJ621" s="175"/>
    </row>
    <row r="622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  <c r="AA622" s="175"/>
      <c r="AB622" s="175"/>
      <c r="AC622" s="175"/>
      <c r="AD622" s="175"/>
      <c r="AE622" s="175"/>
      <c r="AF622" s="175"/>
      <c r="AG622" s="175"/>
      <c r="AH622" s="175"/>
      <c r="AI622" s="175"/>
      <c r="AJ622" s="175"/>
    </row>
    <row r="623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  <c r="AA623" s="175"/>
      <c r="AB623" s="175"/>
      <c r="AC623" s="175"/>
      <c r="AD623" s="175"/>
      <c r="AE623" s="175"/>
      <c r="AF623" s="175"/>
      <c r="AG623" s="175"/>
      <c r="AH623" s="175"/>
      <c r="AI623" s="175"/>
      <c r="AJ623" s="175"/>
    </row>
    <row r="624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  <c r="AA624" s="175"/>
      <c r="AB624" s="175"/>
      <c r="AC624" s="175"/>
      <c r="AD624" s="175"/>
      <c r="AE624" s="175"/>
      <c r="AF624" s="175"/>
      <c r="AG624" s="175"/>
      <c r="AH624" s="175"/>
      <c r="AI624" s="175"/>
      <c r="AJ624" s="175"/>
    </row>
    <row r="6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  <c r="AA625" s="175"/>
      <c r="AB625" s="175"/>
      <c r="AC625" s="175"/>
      <c r="AD625" s="175"/>
      <c r="AE625" s="175"/>
      <c r="AF625" s="175"/>
      <c r="AG625" s="175"/>
      <c r="AH625" s="175"/>
      <c r="AI625" s="175"/>
      <c r="AJ625" s="175"/>
    </row>
    <row r="6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  <c r="AA626" s="175"/>
      <c r="AB626" s="175"/>
      <c r="AC626" s="175"/>
      <c r="AD626" s="175"/>
      <c r="AE626" s="175"/>
      <c r="AF626" s="175"/>
      <c r="AG626" s="175"/>
      <c r="AH626" s="175"/>
      <c r="AI626" s="175"/>
      <c r="AJ626" s="175"/>
    </row>
    <row r="627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  <c r="AA627" s="175"/>
      <c r="AB627" s="175"/>
      <c r="AC627" s="175"/>
      <c r="AD627" s="175"/>
      <c r="AE627" s="175"/>
      <c r="AF627" s="175"/>
      <c r="AG627" s="175"/>
      <c r="AH627" s="175"/>
      <c r="AI627" s="175"/>
      <c r="AJ627" s="175"/>
    </row>
    <row r="628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  <c r="AA628" s="175"/>
      <c r="AB628" s="175"/>
      <c r="AC628" s="175"/>
      <c r="AD628" s="175"/>
      <c r="AE628" s="175"/>
      <c r="AF628" s="175"/>
      <c r="AG628" s="175"/>
      <c r="AH628" s="175"/>
      <c r="AI628" s="175"/>
      <c r="AJ628" s="175"/>
    </row>
    <row r="629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  <c r="AA629" s="175"/>
      <c r="AB629" s="175"/>
      <c r="AC629" s="175"/>
      <c r="AD629" s="175"/>
      <c r="AE629" s="175"/>
      <c r="AF629" s="175"/>
      <c r="AG629" s="175"/>
      <c r="AH629" s="175"/>
      <c r="AI629" s="175"/>
      <c r="AJ629" s="175"/>
    </row>
    <row r="630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  <c r="AA630" s="175"/>
      <c r="AB630" s="175"/>
      <c r="AC630" s="175"/>
      <c r="AD630" s="175"/>
      <c r="AE630" s="175"/>
      <c r="AF630" s="175"/>
      <c r="AG630" s="175"/>
      <c r="AH630" s="175"/>
      <c r="AI630" s="175"/>
      <c r="AJ630" s="175"/>
    </row>
    <row r="63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  <c r="AA631" s="175"/>
      <c r="AB631" s="175"/>
      <c r="AC631" s="175"/>
      <c r="AD631" s="175"/>
      <c r="AE631" s="175"/>
      <c r="AF631" s="175"/>
      <c r="AG631" s="175"/>
      <c r="AH631" s="175"/>
      <c r="AI631" s="175"/>
      <c r="AJ631" s="175"/>
    </row>
    <row r="632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  <c r="AA632" s="175"/>
      <c r="AB632" s="175"/>
      <c r="AC632" s="175"/>
      <c r="AD632" s="175"/>
      <c r="AE632" s="175"/>
      <c r="AF632" s="175"/>
      <c r="AG632" s="175"/>
      <c r="AH632" s="175"/>
      <c r="AI632" s="175"/>
      <c r="AJ632" s="175"/>
    </row>
    <row r="633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  <c r="AA633" s="175"/>
      <c r="AB633" s="175"/>
      <c r="AC633" s="175"/>
      <c r="AD633" s="175"/>
      <c r="AE633" s="175"/>
      <c r="AF633" s="175"/>
      <c r="AG633" s="175"/>
      <c r="AH633" s="175"/>
      <c r="AI633" s="175"/>
      <c r="AJ633" s="175"/>
    </row>
    <row r="634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  <c r="AA634" s="175"/>
      <c r="AB634" s="175"/>
      <c r="AC634" s="175"/>
      <c r="AD634" s="175"/>
      <c r="AE634" s="175"/>
      <c r="AF634" s="175"/>
      <c r="AG634" s="175"/>
      <c r="AH634" s="175"/>
      <c r="AI634" s="175"/>
      <c r="AJ634" s="175"/>
    </row>
    <row r="63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  <c r="AA635" s="175"/>
      <c r="AB635" s="175"/>
      <c r="AC635" s="175"/>
      <c r="AD635" s="175"/>
      <c r="AE635" s="175"/>
      <c r="AF635" s="175"/>
      <c r="AG635" s="175"/>
      <c r="AH635" s="175"/>
      <c r="AI635" s="175"/>
      <c r="AJ635" s="175"/>
    </row>
    <row r="63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  <c r="AA636" s="175"/>
      <c r="AB636" s="175"/>
      <c r="AC636" s="175"/>
      <c r="AD636" s="175"/>
      <c r="AE636" s="175"/>
      <c r="AF636" s="175"/>
      <c r="AG636" s="175"/>
      <c r="AH636" s="175"/>
      <c r="AI636" s="175"/>
      <c r="AJ636" s="175"/>
    </row>
    <row r="637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  <c r="AA637" s="175"/>
      <c r="AB637" s="175"/>
      <c r="AC637" s="175"/>
      <c r="AD637" s="175"/>
      <c r="AE637" s="175"/>
      <c r="AF637" s="175"/>
      <c r="AG637" s="175"/>
      <c r="AH637" s="175"/>
      <c r="AI637" s="175"/>
      <c r="AJ637" s="175"/>
    </row>
    <row r="638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  <c r="AA638" s="175"/>
      <c r="AB638" s="175"/>
      <c r="AC638" s="175"/>
      <c r="AD638" s="175"/>
      <c r="AE638" s="175"/>
      <c r="AF638" s="175"/>
      <c r="AG638" s="175"/>
      <c r="AH638" s="175"/>
      <c r="AI638" s="175"/>
      <c r="AJ638" s="175"/>
    </row>
    <row r="639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  <c r="AA639" s="175"/>
      <c r="AB639" s="175"/>
      <c r="AC639" s="175"/>
      <c r="AD639" s="175"/>
      <c r="AE639" s="175"/>
      <c r="AF639" s="175"/>
      <c r="AG639" s="175"/>
      <c r="AH639" s="175"/>
      <c r="AI639" s="175"/>
      <c r="AJ639" s="175"/>
    </row>
    <row r="640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  <c r="AA640" s="175"/>
      <c r="AB640" s="175"/>
      <c r="AC640" s="175"/>
      <c r="AD640" s="175"/>
      <c r="AE640" s="175"/>
      <c r="AF640" s="175"/>
      <c r="AG640" s="175"/>
      <c r="AH640" s="175"/>
      <c r="AI640" s="175"/>
      <c r="AJ640" s="175"/>
    </row>
    <row r="64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  <c r="AA641" s="175"/>
      <c r="AB641" s="175"/>
      <c r="AC641" s="175"/>
      <c r="AD641" s="175"/>
      <c r="AE641" s="175"/>
      <c r="AF641" s="175"/>
      <c r="AG641" s="175"/>
      <c r="AH641" s="175"/>
      <c r="AI641" s="175"/>
      <c r="AJ641" s="175"/>
    </row>
    <row r="642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  <c r="AA642" s="175"/>
      <c r="AB642" s="175"/>
      <c r="AC642" s="175"/>
      <c r="AD642" s="175"/>
      <c r="AE642" s="175"/>
      <c r="AF642" s="175"/>
      <c r="AG642" s="175"/>
      <c r="AH642" s="175"/>
      <c r="AI642" s="175"/>
      <c r="AJ642" s="175"/>
    </row>
    <row r="643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  <c r="AA643" s="175"/>
      <c r="AB643" s="175"/>
      <c r="AC643" s="175"/>
      <c r="AD643" s="175"/>
      <c r="AE643" s="175"/>
      <c r="AF643" s="175"/>
      <c r="AG643" s="175"/>
      <c r="AH643" s="175"/>
      <c r="AI643" s="175"/>
      <c r="AJ643" s="175"/>
    </row>
    <row r="644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  <c r="AA644" s="175"/>
      <c r="AB644" s="175"/>
      <c r="AC644" s="175"/>
      <c r="AD644" s="175"/>
      <c r="AE644" s="175"/>
      <c r="AF644" s="175"/>
      <c r="AG644" s="175"/>
      <c r="AH644" s="175"/>
      <c r="AI644" s="175"/>
      <c r="AJ644" s="175"/>
    </row>
    <row r="64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  <c r="AA645" s="175"/>
      <c r="AB645" s="175"/>
      <c r="AC645" s="175"/>
      <c r="AD645" s="175"/>
      <c r="AE645" s="175"/>
      <c r="AF645" s="175"/>
      <c r="AG645" s="175"/>
      <c r="AH645" s="175"/>
      <c r="AI645" s="175"/>
      <c r="AJ645" s="175"/>
    </row>
    <row r="64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  <c r="AA646" s="175"/>
      <c r="AB646" s="175"/>
      <c r="AC646" s="175"/>
      <c r="AD646" s="175"/>
      <c r="AE646" s="175"/>
      <c r="AF646" s="175"/>
      <c r="AG646" s="175"/>
      <c r="AH646" s="175"/>
      <c r="AI646" s="175"/>
      <c r="AJ646" s="175"/>
    </row>
    <row r="647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  <c r="AA647" s="175"/>
      <c r="AB647" s="175"/>
      <c r="AC647" s="175"/>
      <c r="AD647" s="175"/>
      <c r="AE647" s="175"/>
      <c r="AF647" s="175"/>
      <c r="AG647" s="175"/>
      <c r="AH647" s="175"/>
      <c r="AI647" s="175"/>
      <c r="AJ647" s="175"/>
    </row>
    <row r="648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  <c r="AA648" s="175"/>
      <c r="AB648" s="175"/>
      <c r="AC648" s="175"/>
      <c r="AD648" s="175"/>
      <c r="AE648" s="175"/>
      <c r="AF648" s="175"/>
      <c r="AG648" s="175"/>
      <c r="AH648" s="175"/>
      <c r="AI648" s="175"/>
      <c r="AJ648" s="175"/>
    </row>
    <row r="649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  <c r="AA649" s="175"/>
      <c r="AB649" s="175"/>
      <c r="AC649" s="175"/>
      <c r="AD649" s="175"/>
      <c r="AE649" s="175"/>
      <c r="AF649" s="175"/>
      <c r="AG649" s="175"/>
      <c r="AH649" s="175"/>
      <c r="AI649" s="175"/>
      <c r="AJ649" s="175"/>
    </row>
    <row r="650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  <c r="AA650" s="175"/>
      <c r="AB650" s="175"/>
      <c r="AC650" s="175"/>
      <c r="AD650" s="175"/>
      <c r="AE650" s="175"/>
      <c r="AF650" s="175"/>
      <c r="AG650" s="175"/>
      <c r="AH650" s="175"/>
      <c r="AI650" s="175"/>
      <c r="AJ650" s="175"/>
    </row>
    <row r="65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  <c r="AA651" s="175"/>
      <c r="AB651" s="175"/>
      <c r="AC651" s="175"/>
      <c r="AD651" s="175"/>
      <c r="AE651" s="175"/>
      <c r="AF651" s="175"/>
      <c r="AG651" s="175"/>
      <c r="AH651" s="175"/>
      <c r="AI651" s="175"/>
      <c r="AJ651" s="175"/>
    </row>
    <row r="652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  <c r="AA652" s="175"/>
      <c r="AB652" s="175"/>
      <c r="AC652" s="175"/>
      <c r="AD652" s="175"/>
      <c r="AE652" s="175"/>
      <c r="AF652" s="175"/>
      <c r="AG652" s="175"/>
      <c r="AH652" s="175"/>
      <c r="AI652" s="175"/>
      <c r="AJ652" s="175"/>
    </row>
    <row r="653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  <c r="AA653" s="175"/>
      <c r="AB653" s="175"/>
      <c r="AC653" s="175"/>
      <c r="AD653" s="175"/>
      <c r="AE653" s="175"/>
      <c r="AF653" s="175"/>
      <c r="AG653" s="175"/>
      <c r="AH653" s="175"/>
      <c r="AI653" s="175"/>
      <c r="AJ653" s="175"/>
    </row>
    <row r="654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  <c r="AA654" s="175"/>
      <c r="AB654" s="175"/>
      <c r="AC654" s="175"/>
      <c r="AD654" s="175"/>
      <c r="AE654" s="175"/>
      <c r="AF654" s="175"/>
      <c r="AG654" s="175"/>
      <c r="AH654" s="175"/>
      <c r="AI654" s="175"/>
      <c r="AJ654" s="175"/>
    </row>
    <row r="65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  <c r="AA655" s="175"/>
      <c r="AB655" s="175"/>
      <c r="AC655" s="175"/>
      <c r="AD655" s="175"/>
      <c r="AE655" s="175"/>
      <c r="AF655" s="175"/>
      <c r="AG655" s="175"/>
      <c r="AH655" s="175"/>
      <c r="AI655" s="175"/>
      <c r="AJ655" s="175"/>
    </row>
    <row r="65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  <c r="AA656" s="175"/>
      <c r="AB656" s="175"/>
      <c r="AC656" s="175"/>
      <c r="AD656" s="175"/>
      <c r="AE656" s="175"/>
      <c r="AF656" s="175"/>
      <c r="AG656" s="175"/>
      <c r="AH656" s="175"/>
      <c r="AI656" s="175"/>
      <c r="AJ656" s="175"/>
    </row>
    <row r="657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  <c r="AA657" s="175"/>
      <c r="AB657" s="175"/>
      <c r="AC657" s="175"/>
      <c r="AD657" s="175"/>
      <c r="AE657" s="175"/>
      <c r="AF657" s="175"/>
      <c r="AG657" s="175"/>
      <c r="AH657" s="175"/>
      <c r="AI657" s="175"/>
      <c r="AJ657" s="175"/>
    </row>
    <row r="658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  <c r="AA658" s="175"/>
      <c r="AB658" s="175"/>
      <c r="AC658" s="175"/>
      <c r="AD658" s="175"/>
      <c r="AE658" s="175"/>
      <c r="AF658" s="175"/>
      <c r="AG658" s="175"/>
      <c r="AH658" s="175"/>
      <c r="AI658" s="175"/>
      <c r="AJ658" s="175"/>
    </row>
    <row r="659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  <c r="AA659" s="175"/>
      <c r="AB659" s="175"/>
      <c r="AC659" s="175"/>
      <c r="AD659" s="175"/>
      <c r="AE659" s="175"/>
      <c r="AF659" s="175"/>
      <c r="AG659" s="175"/>
      <c r="AH659" s="175"/>
      <c r="AI659" s="175"/>
      <c r="AJ659" s="175"/>
    </row>
    <row r="660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  <c r="AA660" s="175"/>
      <c r="AB660" s="175"/>
      <c r="AC660" s="175"/>
      <c r="AD660" s="175"/>
      <c r="AE660" s="175"/>
      <c r="AF660" s="175"/>
      <c r="AG660" s="175"/>
      <c r="AH660" s="175"/>
      <c r="AI660" s="175"/>
      <c r="AJ660" s="175"/>
    </row>
    <row r="66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  <c r="AA661" s="175"/>
      <c r="AB661" s="175"/>
      <c r="AC661" s="175"/>
      <c r="AD661" s="175"/>
      <c r="AE661" s="175"/>
      <c r="AF661" s="175"/>
      <c r="AG661" s="175"/>
      <c r="AH661" s="175"/>
      <c r="AI661" s="175"/>
      <c r="AJ661" s="175"/>
    </row>
    <row r="662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  <c r="AA662" s="175"/>
      <c r="AB662" s="175"/>
      <c r="AC662" s="175"/>
      <c r="AD662" s="175"/>
      <c r="AE662" s="175"/>
      <c r="AF662" s="175"/>
      <c r="AG662" s="175"/>
      <c r="AH662" s="175"/>
      <c r="AI662" s="175"/>
      <c r="AJ662" s="175"/>
    </row>
    <row r="663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  <c r="AA663" s="175"/>
      <c r="AB663" s="175"/>
      <c r="AC663" s="175"/>
      <c r="AD663" s="175"/>
      <c r="AE663" s="175"/>
      <c r="AF663" s="175"/>
      <c r="AG663" s="175"/>
      <c r="AH663" s="175"/>
      <c r="AI663" s="175"/>
      <c r="AJ663" s="175"/>
    </row>
    <row r="664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  <c r="AA664" s="175"/>
      <c r="AB664" s="175"/>
      <c r="AC664" s="175"/>
      <c r="AD664" s="175"/>
      <c r="AE664" s="175"/>
      <c r="AF664" s="175"/>
      <c r="AG664" s="175"/>
      <c r="AH664" s="175"/>
      <c r="AI664" s="175"/>
      <c r="AJ664" s="175"/>
    </row>
    <row r="66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  <c r="AA665" s="175"/>
      <c r="AB665" s="175"/>
      <c r="AC665" s="175"/>
      <c r="AD665" s="175"/>
      <c r="AE665" s="175"/>
      <c r="AF665" s="175"/>
      <c r="AG665" s="175"/>
      <c r="AH665" s="175"/>
      <c r="AI665" s="175"/>
      <c r="AJ665" s="175"/>
    </row>
    <row r="66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  <c r="AA666" s="175"/>
      <c r="AB666" s="175"/>
      <c r="AC666" s="175"/>
      <c r="AD666" s="175"/>
      <c r="AE666" s="175"/>
      <c r="AF666" s="175"/>
      <c r="AG666" s="175"/>
      <c r="AH666" s="175"/>
      <c r="AI666" s="175"/>
      <c r="AJ666" s="175"/>
    </row>
    <row r="667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  <c r="AA667" s="175"/>
      <c r="AB667" s="175"/>
      <c r="AC667" s="175"/>
      <c r="AD667" s="175"/>
      <c r="AE667" s="175"/>
      <c r="AF667" s="175"/>
      <c r="AG667" s="175"/>
      <c r="AH667" s="175"/>
      <c r="AI667" s="175"/>
      <c r="AJ667" s="175"/>
    </row>
    <row r="668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  <c r="AA668" s="175"/>
      <c r="AB668" s="175"/>
      <c r="AC668" s="175"/>
      <c r="AD668" s="175"/>
      <c r="AE668" s="175"/>
      <c r="AF668" s="175"/>
      <c r="AG668" s="175"/>
      <c r="AH668" s="175"/>
      <c r="AI668" s="175"/>
      <c r="AJ668" s="175"/>
    </row>
    <row r="669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  <c r="AA669" s="175"/>
      <c r="AB669" s="175"/>
      <c r="AC669" s="175"/>
      <c r="AD669" s="175"/>
      <c r="AE669" s="175"/>
      <c r="AF669" s="175"/>
      <c r="AG669" s="175"/>
      <c r="AH669" s="175"/>
      <c r="AI669" s="175"/>
      <c r="AJ669" s="175"/>
    </row>
    <row r="670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  <c r="AA670" s="175"/>
      <c r="AB670" s="175"/>
      <c r="AC670" s="175"/>
      <c r="AD670" s="175"/>
      <c r="AE670" s="175"/>
      <c r="AF670" s="175"/>
      <c r="AG670" s="175"/>
      <c r="AH670" s="175"/>
      <c r="AI670" s="175"/>
      <c r="AJ670" s="175"/>
    </row>
    <row r="6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  <c r="AA671" s="175"/>
      <c r="AB671" s="175"/>
      <c r="AC671" s="175"/>
      <c r="AD671" s="175"/>
      <c r="AE671" s="175"/>
      <c r="AF671" s="175"/>
      <c r="AG671" s="175"/>
      <c r="AH671" s="175"/>
      <c r="AI671" s="175"/>
      <c r="AJ671" s="175"/>
    </row>
    <row r="672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  <c r="AA672" s="175"/>
      <c r="AB672" s="175"/>
      <c r="AC672" s="175"/>
      <c r="AD672" s="175"/>
      <c r="AE672" s="175"/>
      <c r="AF672" s="175"/>
      <c r="AG672" s="175"/>
      <c r="AH672" s="175"/>
      <c r="AI672" s="175"/>
      <c r="AJ672" s="175"/>
    </row>
    <row r="673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  <c r="AA673" s="175"/>
      <c r="AB673" s="175"/>
      <c r="AC673" s="175"/>
      <c r="AD673" s="175"/>
      <c r="AE673" s="175"/>
      <c r="AF673" s="175"/>
      <c r="AG673" s="175"/>
      <c r="AH673" s="175"/>
      <c r="AI673" s="175"/>
      <c r="AJ673" s="175"/>
    </row>
    <row r="674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  <c r="AA674" s="175"/>
      <c r="AB674" s="175"/>
      <c r="AC674" s="175"/>
      <c r="AD674" s="175"/>
      <c r="AE674" s="175"/>
      <c r="AF674" s="175"/>
      <c r="AG674" s="175"/>
      <c r="AH674" s="175"/>
      <c r="AI674" s="175"/>
      <c r="AJ674" s="175"/>
    </row>
    <row r="67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  <c r="AA675" s="175"/>
      <c r="AB675" s="175"/>
      <c r="AC675" s="175"/>
      <c r="AD675" s="175"/>
      <c r="AE675" s="175"/>
      <c r="AF675" s="175"/>
      <c r="AG675" s="175"/>
      <c r="AH675" s="175"/>
      <c r="AI675" s="175"/>
      <c r="AJ675" s="175"/>
    </row>
    <row r="67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  <c r="AA676" s="175"/>
      <c r="AB676" s="175"/>
      <c r="AC676" s="175"/>
      <c r="AD676" s="175"/>
      <c r="AE676" s="175"/>
      <c r="AF676" s="175"/>
      <c r="AG676" s="175"/>
      <c r="AH676" s="175"/>
      <c r="AI676" s="175"/>
      <c r="AJ676" s="175"/>
    </row>
    <row r="677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  <c r="AA677" s="175"/>
      <c r="AB677" s="175"/>
      <c r="AC677" s="175"/>
      <c r="AD677" s="175"/>
      <c r="AE677" s="175"/>
      <c r="AF677" s="175"/>
      <c r="AG677" s="175"/>
      <c r="AH677" s="175"/>
      <c r="AI677" s="175"/>
      <c r="AJ677" s="175"/>
    </row>
    <row r="678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  <c r="AA678" s="175"/>
      <c r="AB678" s="175"/>
      <c r="AC678" s="175"/>
      <c r="AD678" s="175"/>
      <c r="AE678" s="175"/>
      <c r="AF678" s="175"/>
      <c r="AG678" s="175"/>
      <c r="AH678" s="175"/>
      <c r="AI678" s="175"/>
      <c r="AJ678" s="175"/>
    </row>
    <row r="679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  <c r="AA679" s="175"/>
      <c r="AB679" s="175"/>
      <c r="AC679" s="175"/>
      <c r="AD679" s="175"/>
      <c r="AE679" s="175"/>
      <c r="AF679" s="175"/>
      <c r="AG679" s="175"/>
      <c r="AH679" s="175"/>
      <c r="AI679" s="175"/>
      <c r="AJ679" s="175"/>
    </row>
    <row r="680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  <c r="AA680" s="175"/>
      <c r="AB680" s="175"/>
      <c r="AC680" s="175"/>
      <c r="AD680" s="175"/>
      <c r="AE680" s="175"/>
      <c r="AF680" s="175"/>
      <c r="AG680" s="175"/>
      <c r="AH680" s="175"/>
      <c r="AI680" s="175"/>
      <c r="AJ680" s="175"/>
    </row>
    <row r="68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  <c r="AA681" s="175"/>
      <c r="AB681" s="175"/>
      <c r="AC681" s="175"/>
      <c r="AD681" s="175"/>
      <c r="AE681" s="175"/>
      <c r="AF681" s="175"/>
      <c r="AG681" s="175"/>
      <c r="AH681" s="175"/>
      <c r="AI681" s="175"/>
      <c r="AJ681" s="175"/>
    </row>
    <row r="682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  <c r="AA682" s="175"/>
      <c r="AB682" s="175"/>
      <c r="AC682" s="175"/>
      <c r="AD682" s="175"/>
      <c r="AE682" s="175"/>
      <c r="AF682" s="175"/>
      <c r="AG682" s="175"/>
      <c r="AH682" s="175"/>
      <c r="AI682" s="175"/>
      <c r="AJ682" s="175"/>
    </row>
    <row r="683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  <c r="AA683" s="175"/>
      <c r="AB683" s="175"/>
      <c r="AC683" s="175"/>
      <c r="AD683" s="175"/>
      <c r="AE683" s="175"/>
      <c r="AF683" s="175"/>
      <c r="AG683" s="175"/>
      <c r="AH683" s="175"/>
      <c r="AI683" s="175"/>
      <c r="AJ683" s="175"/>
    </row>
    <row r="684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  <c r="AA684" s="175"/>
      <c r="AB684" s="175"/>
      <c r="AC684" s="175"/>
      <c r="AD684" s="175"/>
      <c r="AE684" s="175"/>
      <c r="AF684" s="175"/>
      <c r="AG684" s="175"/>
      <c r="AH684" s="175"/>
      <c r="AI684" s="175"/>
      <c r="AJ684" s="175"/>
    </row>
    <row r="68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  <c r="AA685" s="175"/>
      <c r="AB685" s="175"/>
      <c r="AC685" s="175"/>
      <c r="AD685" s="175"/>
      <c r="AE685" s="175"/>
      <c r="AF685" s="175"/>
      <c r="AG685" s="175"/>
      <c r="AH685" s="175"/>
      <c r="AI685" s="175"/>
      <c r="AJ685" s="175"/>
    </row>
    <row r="68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  <c r="AA686" s="175"/>
      <c r="AB686" s="175"/>
      <c r="AC686" s="175"/>
      <c r="AD686" s="175"/>
      <c r="AE686" s="175"/>
      <c r="AF686" s="175"/>
      <c r="AG686" s="175"/>
      <c r="AH686" s="175"/>
      <c r="AI686" s="175"/>
      <c r="AJ686" s="175"/>
    </row>
    <row r="687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  <c r="AA687" s="175"/>
      <c r="AB687" s="175"/>
      <c r="AC687" s="175"/>
      <c r="AD687" s="175"/>
      <c r="AE687" s="175"/>
      <c r="AF687" s="175"/>
      <c r="AG687" s="175"/>
      <c r="AH687" s="175"/>
      <c r="AI687" s="175"/>
      <c r="AJ687" s="175"/>
    </row>
    <row r="688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  <c r="AA688" s="175"/>
      <c r="AB688" s="175"/>
      <c r="AC688" s="175"/>
      <c r="AD688" s="175"/>
      <c r="AE688" s="175"/>
      <c r="AF688" s="175"/>
      <c r="AG688" s="175"/>
      <c r="AH688" s="175"/>
      <c r="AI688" s="175"/>
      <c r="AJ688" s="175"/>
    </row>
    <row r="689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  <c r="AA689" s="175"/>
      <c r="AB689" s="175"/>
      <c r="AC689" s="175"/>
      <c r="AD689" s="175"/>
      <c r="AE689" s="175"/>
      <c r="AF689" s="175"/>
      <c r="AG689" s="175"/>
      <c r="AH689" s="175"/>
      <c r="AI689" s="175"/>
      <c r="AJ689" s="175"/>
    </row>
    <row r="690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  <c r="AA690" s="175"/>
      <c r="AB690" s="175"/>
      <c r="AC690" s="175"/>
      <c r="AD690" s="175"/>
      <c r="AE690" s="175"/>
      <c r="AF690" s="175"/>
      <c r="AG690" s="175"/>
      <c r="AH690" s="175"/>
      <c r="AI690" s="175"/>
      <c r="AJ690" s="175"/>
    </row>
    <row r="69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  <c r="AA691" s="175"/>
      <c r="AB691" s="175"/>
      <c r="AC691" s="175"/>
      <c r="AD691" s="175"/>
      <c r="AE691" s="175"/>
      <c r="AF691" s="175"/>
      <c r="AG691" s="175"/>
      <c r="AH691" s="175"/>
      <c r="AI691" s="175"/>
      <c r="AJ691" s="175"/>
    </row>
    <row r="692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  <c r="AA692" s="175"/>
      <c r="AB692" s="175"/>
      <c r="AC692" s="175"/>
      <c r="AD692" s="175"/>
      <c r="AE692" s="175"/>
      <c r="AF692" s="175"/>
      <c r="AG692" s="175"/>
      <c r="AH692" s="175"/>
      <c r="AI692" s="175"/>
      <c r="AJ692" s="175"/>
    </row>
    <row r="693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  <c r="AA693" s="175"/>
      <c r="AB693" s="175"/>
      <c r="AC693" s="175"/>
      <c r="AD693" s="175"/>
      <c r="AE693" s="175"/>
      <c r="AF693" s="175"/>
      <c r="AG693" s="175"/>
      <c r="AH693" s="175"/>
      <c r="AI693" s="175"/>
      <c r="AJ693" s="175"/>
    </row>
    <row r="694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  <c r="AA694" s="175"/>
      <c r="AB694" s="175"/>
      <c r="AC694" s="175"/>
      <c r="AD694" s="175"/>
      <c r="AE694" s="175"/>
      <c r="AF694" s="175"/>
      <c r="AG694" s="175"/>
      <c r="AH694" s="175"/>
      <c r="AI694" s="175"/>
      <c r="AJ694" s="175"/>
    </row>
    <row r="69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  <c r="AA695" s="175"/>
      <c r="AB695" s="175"/>
      <c r="AC695" s="175"/>
      <c r="AD695" s="175"/>
      <c r="AE695" s="175"/>
      <c r="AF695" s="175"/>
      <c r="AG695" s="175"/>
      <c r="AH695" s="175"/>
      <c r="AI695" s="175"/>
      <c r="AJ695" s="175"/>
    </row>
    <row r="69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  <c r="AA696" s="175"/>
      <c r="AB696" s="175"/>
      <c r="AC696" s="175"/>
      <c r="AD696" s="175"/>
      <c r="AE696" s="175"/>
      <c r="AF696" s="175"/>
      <c r="AG696" s="175"/>
      <c r="AH696" s="175"/>
      <c r="AI696" s="175"/>
      <c r="AJ696" s="175"/>
    </row>
    <row r="697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  <c r="AA697" s="175"/>
      <c r="AB697" s="175"/>
      <c r="AC697" s="175"/>
      <c r="AD697" s="175"/>
      <c r="AE697" s="175"/>
      <c r="AF697" s="175"/>
      <c r="AG697" s="175"/>
      <c r="AH697" s="175"/>
      <c r="AI697" s="175"/>
      <c r="AJ697" s="175"/>
    </row>
    <row r="698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  <c r="AA698" s="175"/>
      <c r="AB698" s="175"/>
      <c r="AC698" s="175"/>
      <c r="AD698" s="175"/>
      <c r="AE698" s="175"/>
      <c r="AF698" s="175"/>
      <c r="AG698" s="175"/>
      <c r="AH698" s="175"/>
      <c r="AI698" s="175"/>
      <c r="AJ698" s="175"/>
    </row>
    <row r="699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  <c r="AA699" s="175"/>
      <c r="AB699" s="175"/>
      <c r="AC699" s="175"/>
      <c r="AD699" s="175"/>
      <c r="AE699" s="175"/>
      <c r="AF699" s="175"/>
      <c r="AG699" s="175"/>
      <c r="AH699" s="175"/>
      <c r="AI699" s="175"/>
      <c r="AJ699" s="175"/>
    </row>
    <row r="700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  <c r="AA700" s="175"/>
      <c r="AB700" s="175"/>
      <c r="AC700" s="175"/>
      <c r="AD700" s="175"/>
      <c r="AE700" s="175"/>
      <c r="AF700" s="175"/>
      <c r="AG700" s="175"/>
      <c r="AH700" s="175"/>
      <c r="AI700" s="175"/>
      <c r="AJ700" s="175"/>
    </row>
    <row r="70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  <c r="AA701" s="175"/>
      <c r="AB701" s="175"/>
      <c r="AC701" s="175"/>
      <c r="AD701" s="175"/>
      <c r="AE701" s="175"/>
      <c r="AF701" s="175"/>
      <c r="AG701" s="175"/>
      <c r="AH701" s="175"/>
      <c r="AI701" s="175"/>
      <c r="AJ701" s="175"/>
    </row>
    <row r="702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  <c r="AA702" s="175"/>
      <c r="AB702" s="175"/>
      <c r="AC702" s="175"/>
      <c r="AD702" s="175"/>
      <c r="AE702" s="175"/>
      <c r="AF702" s="175"/>
      <c r="AG702" s="175"/>
      <c r="AH702" s="175"/>
      <c r="AI702" s="175"/>
      <c r="AJ702" s="175"/>
    </row>
    <row r="703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  <c r="AA703" s="175"/>
      <c r="AB703" s="175"/>
      <c r="AC703" s="175"/>
      <c r="AD703" s="175"/>
      <c r="AE703" s="175"/>
      <c r="AF703" s="175"/>
      <c r="AG703" s="175"/>
      <c r="AH703" s="175"/>
      <c r="AI703" s="175"/>
      <c r="AJ703" s="175"/>
    </row>
    <row r="704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  <c r="AA704" s="175"/>
      <c r="AB704" s="175"/>
      <c r="AC704" s="175"/>
      <c r="AD704" s="175"/>
      <c r="AE704" s="175"/>
      <c r="AF704" s="175"/>
      <c r="AG704" s="175"/>
      <c r="AH704" s="175"/>
      <c r="AI704" s="175"/>
      <c r="AJ704" s="175"/>
    </row>
    <row r="70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  <c r="AA705" s="175"/>
      <c r="AB705" s="175"/>
      <c r="AC705" s="175"/>
      <c r="AD705" s="175"/>
      <c r="AE705" s="175"/>
      <c r="AF705" s="175"/>
      <c r="AG705" s="175"/>
      <c r="AH705" s="175"/>
      <c r="AI705" s="175"/>
      <c r="AJ705" s="175"/>
    </row>
    <row r="70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  <c r="AA706" s="175"/>
      <c r="AB706" s="175"/>
      <c r="AC706" s="175"/>
      <c r="AD706" s="175"/>
      <c r="AE706" s="175"/>
      <c r="AF706" s="175"/>
      <c r="AG706" s="175"/>
      <c r="AH706" s="175"/>
      <c r="AI706" s="175"/>
      <c r="AJ706" s="175"/>
    </row>
    <row r="707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  <c r="AA707" s="175"/>
      <c r="AB707" s="175"/>
      <c r="AC707" s="175"/>
      <c r="AD707" s="175"/>
      <c r="AE707" s="175"/>
      <c r="AF707" s="175"/>
      <c r="AG707" s="175"/>
      <c r="AH707" s="175"/>
      <c r="AI707" s="175"/>
      <c r="AJ707" s="175"/>
    </row>
    <row r="708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  <c r="AA708" s="175"/>
      <c r="AB708" s="175"/>
      <c r="AC708" s="175"/>
      <c r="AD708" s="175"/>
      <c r="AE708" s="175"/>
      <c r="AF708" s="175"/>
      <c r="AG708" s="175"/>
      <c r="AH708" s="175"/>
      <c r="AI708" s="175"/>
      <c r="AJ708" s="175"/>
    </row>
    <row r="709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  <c r="AA709" s="175"/>
      <c r="AB709" s="175"/>
      <c r="AC709" s="175"/>
      <c r="AD709" s="175"/>
      <c r="AE709" s="175"/>
      <c r="AF709" s="175"/>
      <c r="AG709" s="175"/>
      <c r="AH709" s="175"/>
      <c r="AI709" s="175"/>
      <c r="AJ709" s="175"/>
    </row>
    <row r="710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  <c r="AA710" s="175"/>
      <c r="AB710" s="175"/>
      <c r="AC710" s="175"/>
      <c r="AD710" s="175"/>
      <c r="AE710" s="175"/>
      <c r="AF710" s="175"/>
      <c r="AG710" s="175"/>
      <c r="AH710" s="175"/>
      <c r="AI710" s="175"/>
      <c r="AJ710" s="175"/>
    </row>
    <row r="71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  <c r="AA711" s="175"/>
      <c r="AB711" s="175"/>
      <c r="AC711" s="175"/>
      <c r="AD711" s="175"/>
      <c r="AE711" s="175"/>
      <c r="AF711" s="175"/>
      <c r="AG711" s="175"/>
      <c r="AH711" s="175"/>
      <c r="AI711" s="175"/>
      <c r="AJ711" s="175"/>
    </row>
    <row r="712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  <c r="AA712" s="175"/>
      <c r="AB712" s="175"/>
      <c r="AC712" s="175"/>
      <c r="AD712" s="175"/>
      <c r="AE712" s="175"/>
      <c r="AF712" s="175"/>
      <c r="AG712" s="175"/>
      <c r="AH712" s="175"/>
      <c r="AI712" s="175"/>
      <c r="AJ712" s="175"/>
    </row>
    <row r="713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  <c r="AA713" s="175"/>
      <c r="AB713" s="175"/>
      <c r="AC713" s="175"/>
      <c r="AD713" s="175"/>
      <c r="AE713" s="175"/>
      <c r="AF713" s="175"/>
      <c r="AG713" s="175"/>
      <c r="AH713" s="175"/>
      <c r="AI713" s="175"/>
      <c r="AJ713" s="175"/>
    </row>
    <row r="714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  <c r="AA714" s="175"/>
      <c r="AB714" s="175"/>
      <c r="AC714" s="175"/>
      <c r="AD714" s="175"/>
      <c r="AE714" s="175"/>
      <c r="AF714" s="175"/>
      <c r="AG714" s="175"/>
      <c r="AH714" s="175"/>
      <c r="AI714" s="175"/>
      <c r="AJ714" s="175"/>
    </row>
    <row r="71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  <c r="AA715" s="175"/>
      <c r="AB715" s="175"/>
      <c r="AC715" s="175"/>
      <c r="AD715" s="175"/>
      <c r="AE715" s="175"/>
      <c r="AF715" s="175"/>
      <c r="AG715" s="175"/>
      <c r="AH715" s="175"/>
      <c r="AI715" s="175"/>
      <c r="AJ715" s="175"/>
    </row>
    <row r="71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  <c r="AA716" s="175"/>
      <c r="AB716" s="175"/>
      <c r="AC716" s="175"/>
      <c r="AD716" s="175"/>
      <c r="AE716" s="175"/>
      <c r="AF716" s="175"/>
      <c r="AG716" s="175"/>
      <c r="AH716" s="175"/>
      <c r="AI716" s="175"/>
      <c r="AJ716" s="175"/>
    </row>
    <row r="717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  <c r="AA717" s="175"/>
      <c r="AB717" s="175"/>
      <c r="AC717" s="175"/>
      <c r="AD717" s="175"/>
      <c r="AE717" s="175"/>
      <c r="AF717" s="175"/>
      <c r="AG717" s="175"/>
      <c r="AH717" s="175"/>
      <c r="AI717" s="175"/>
      <c r="AJ717" s="175"/>
    </row>
    <row r="718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  <c r="AA718" s="175"/>
      <c r="AB718" s="175"/>
      <c r="AC718" s="175"/>
      <c r="AD718" s="175"/>
      <c r="AE718" s="175"/>
      <c r="AF718" s="175"/>
      <c r="AG718" s="175"/>
      <c r="AH718" s="175"/>
      <c r="AI718" s="175"/>
      <c r="AJ718" s="175"/>
    </row>
    <row r="719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  <c r="AA719" s="175"/>
      <c r="AB719" s="175"/>
      <c r="AC719" s="175"/>
      <c r="AD719" s="175"/>
      <c r="AE719" s="175"/>
      <c r="AF719" s="175"/>
      <c r="AG719" s="175"/>
      <c r="AH719" s="175"/>
      <c r="AI719" s="175"/>
      <c r="AJ719" s="175"/>
    </row>
    <row r="720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  <c r="AA720" s="175"/>
      <c r="AB720" s="175"/>
      <c r="AC720" s="175"/>
      <c r="AD720" s="175"/>
      <c r="AE720" s="175"/>
      <c r="AF720" s="175"/>
      <c r="AG720" s="175"/>
      <c r="AH720" s="175"/>
      <c r="AI720" s="175"/>
      <c r="AJ720" s="175"/>
    </row>
    <row r="72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  <c r="AA721" s="175"/>
      <c r="AB721" s="175"/>
      <c r="AC721" s="175"/>
      <c r="AD721" s="175"/>
      <c r="AE721" s="175"/>
      <c r="AF721" s="175"/>
      <c r="AG721" s="175"/>
      <c r="AH721" s="175"/>
      <c r="AI721" s="175"/>
      <c r="AJ721" s="175"/>
    </row>
    <row r="722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  <c r="AA722" s="175"/>
      <c r="AB722" s="175"/>
      <c r="AC722" s="175"/>
      <c r="AD722" s="175"/>
      <c r="AE722" s="175"/>
      <c r="AF722" s="175"/>
      <c r="AG722" s="175"/>
      <c r="AH722" s="175"/>
      <c r="AI722" s="175"/>
      <c r="AJ722" s="175"/>
    </row>
    <row r="723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  <c r="AA723" s="175"/>
      <c r="AB723" s="175"/>
      <c r="AC723" s="175"/>
      <c r="AD723" s="175"/>
      <c r="AE723" s="175"/>
      <c r="AF723" s="175"/>
      <c r="AG723" s="175"/>
      <c r="AH723" s="175"/>
      <c r="AI723" s="175"/>
      <c r="AJ723" s="175"/>
    </row>
    <row r="724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  <c r="AA724" s="175"/>
      <c r="AB724" s="175"/>
      <c r="AC724" s="175"/>
      <c r="AD724" s="175"/>
      <c r="AE724" s="175"/>
      <c r="AF724" s="175"/>
      <c r="AG724" s="175"/>
      <c r="AH724" s="175"/>
      <c r="AI724" s="175"/>
      <c r="AJ724" s="175"/>
    </row>
    <row r="7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  <c r="AA725" s="175"/>
      <c r="AB725" s="175"/>
      <c r="AC725" s="175"/>
      <c r="AD725" s="175"/>
      <c r="AE725" s="175"/>
      <c r="AF725" s="175"/>
      <c r="AG725" s="175"/>
      <c r="AH725" s="175"/>
      <c r="AI725" s="175"/>
      <c r="AJ725" s="175"/>
    </row>
    <row r="7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  <c r="AA726" s="175"/>
      <c r="AB726" s="175"/>
      <c r="AC726" s="175"/>
      <c r="AD726" s="175"/>
      <c r="AE726" s="175"/>
      <c r="AF726" s="175"/>
      <c r="AG726" s="175"/>
      <c r="AH726" s="175"/>
      <c r="AI726" s="175"/>
      <c r="AJ726" s="175"/>
    </row>
    <row r="727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  <c r="AA727" s="175"/>
      <c r="AB727" s="175"/>
      <c r="AC727" s="175"/>
      <c r="AD727" s="175"/>
      <c r="AE727" s="175"/>
      <c r="AF727" s="175"/>
      <c r="AG727" s="175"/>
      <c r="AH727" s="175"/>
      <c r="AI727" s="175"/>
      <c r="AJ727" s="175"/>
    </row>
    <row r="728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  <c r="AA728" s="175"/>
      <c r="AB728" s="175"/>
      <c r="AC728" s="175"/>
      <c r="AD728" s="175"/>
      <c r="AE728" s="175"/>
      <c r="AF728" s="175"/>
      <c r="AG728" s="175"/>
      <c r="AH728" s="175"/>
      <c r="AI728" s="175"/>
      <c r="AJ728" s="175"/>
    </row>
    <row r="729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  <c r="AA729" s="175"/>
      <c r="AB729" s="175"/>
      <c r="AC729" s="175"/>
      <c r="AD729" s="175"/>
      <c r="AE729" s="175"/>
      <c r="AF729" s="175"/>
      <c r="AG729" s="175"/>
      <c r="AH729" s="175"/>
      <c r="AI729" s="175"/>
      <c r="AJ729" s="175"/>
    </row>
    <row r="730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  <c r="AA730" s="175"/>
      <c r="AB730" s="175"/>
      <c r="AC730" s="175"/>
      <c r="AD730" s="175"/>
      <c r="AE730" s="175"/>
      <c r="AF730" s="175"/>
      <c r="AG730" s="175"/>
      <c r="AH730" s="175"/>
      <c r="AI730" s="175"/>
      <c r="AJ730" s="175"/>
    </row>
    <row r="73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  <c r="AA731" s="175"/>
      <c r="AB731" s="175"/>
      <c r="AC731" s="175"/>
      <c r="AD731" s="175"/>
      <c r="AE731" s="175"/>
      <c r="AF731" s="175"/>
      <c r="AG731" s="175"/>
      <c r="AH731" s="175"/>
      <c r="AI731" s="175"/>
      <c r="AJ731" s="175"/>
    </row>
    <row r="732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  <c r="AA732" s="175"/>
      <c r="AB732" s="175"/>
      <c r="AC732" s="175"/>
      <c r="AD732" s="175"/>
      <c r="AE732" s="175"/>
      <c r="AF732" s="175"/>
      <c r="AG732" s="175"/>
      <c r="AH732" s="175"/>
      <c r="AI732" s="175"/>
      <c r="AJ732" s="175"/>
    </row>
    <row r="733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  <c r="AA733" s="175"/>
      <c r="AB733" s="175"/>
      <c r="AC733" s="175"/>
      <c r="AD733" s="175"/>
      <c r="AE733" s="175"/>
      <c r="AF733" s="175"/>
      <c r="AG733" s="175"/>
      <c r="AH733" s="175"/>
      <c r="AI733" s="175"/>
      <c r="AJ733" s="175"/>
    </row>
    <row r="734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  <c r="AA734" s="175"/>
      <c r="AB734" s="175"/>
      <c r="AC734" s="175"/>
      <c r="AD734" s="175"/>
      <c r="AE734" s="175"/>
      <c r="AF734" s="175"/>
      <c r="AG734" s="175"/>
      <c r="AH734" s="175"/>
      <c r="AI734" s="175"/>
      <c r="AJ734" s="175"/>
    </row>
    <row r="73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  <c r="AA735" s="175"/>
      <c r="AB735" s="175"/>
      <c r="AC735" s="175"/>
      <c r="AD735" s="175"/>
      <c r="AE735" s="175"/>
      <c r="AF735" s="175"/>
      <c r="AG735" s="175"/>
      <c r="AH735" s="175"/>
      <c r="AI735" s="175"/>
      <c r="AJ735" s="175"/>
    </row>
    <row r="73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  <c r="AA736" s="175"/>
      <c r="AB736" s="175"/>
      <c r="AC736" s="175"/>
      <c r="AD736" s="175"/>
      <c r="AE736" s="175"/>
      <c r="AF736" s="175"/>
      <c r="AG736" s="175"/>
      <c r="AH736" s="175"/>
      <c r="AI736" s="175"/>
      <c r="AJ736" s="175"/>
    </row>
    <row r="737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  <c r="AA737" s="175"/>
      <c r="AB737" s="175"/>
      <c r="AC737" s="175"/>
      <c r="AD737" s="175"/>
      <c r="AE737" s="175"/>
      <c r="AF737" s="175"/>
      <c r="AG737" s="175"/>
      <c r="AH737" s="175"/>
      <c r="AI737" s="175"/>
      <c r="AJ737" s="175"/>
    </row>
    <row r="738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  <c r="AA738" s="175"/>
      <c r="AB738" s="175"/>
      <c r="AC738" s="175"/>
      <c r="AD738" s="175"/>
      <c r="AE738" s="175"/>
      <c r="AF738" s="175"/>
      <c r="AG738" s="175"/>
      <c r="AH738" s="175"/>
      <c r="AI738" s="175"/>
      <c r="AJ738" s="175"/>
    </row>
    <row r="739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  <c r="AA739" s="175"/>
      <c r="AB739" s="175"/>
      <c r="AC739" s="175"/>
      <c r="AD739" s="175"/>
      <c r="AE739" s="175"/>
      <c r="AF739" s="175"/>
      <c r="AG739" s="175"/>
      <c r="AH739" s="175"/>
      <c r="AI739" s="175"/>
      <c r="AJ739" s="175"/>
    </row>
    <row r="740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  <c r="AA740" s="175"/>
      <c r="AB740" s="175"/>
      <c r="AC740" s="175"/>
      <c r="AD740" s="175"/>
      <c r="AE740" s="175"/>
      <c r="AF740" s="175"/>
      <c r="AG740" s="175"/>
      <c r="AH740" s="175"/>
      <c r="AI740" s="175"/>
      <c r="AJ740" s="175"/>
    </row>
    <row r="74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  <c r="AA741" s="175"/>
      <c r="AB741" s="175"/>
      <c r="AC741" s="175"/>
      <c r="AD741" s="175"/>
      <c r="AE741" s="175"/>
      <c r="AF741" s="175"/>
      <c r="AG741" s="175"/>
      <c r="AH741" s="175"/>
      <c r="AI741" s="175"/>
      <c r="AJ741" s="175"/>
    </row>
    <row r="742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  <c r="AA742" s="175"/>
      <c r="AB742" s="175"/>
      <c r="AC742" s="175"/>
      <c r="AD742" s="175"/>
      <c r="AE742" s="175"/>
      <c r="AF742" s="175"/>
      <c r="AG742" s="175"/>
      <c r="AH742" s="175"/>
      <c r="AI742" s="175"/>
      <c r="AJ742" s="175"/>
    </row>
    <row r="743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  <c r="AA743" s="175"/>
      <c r="AB743" s="175"/>
      <c r="AC743" s="175"/>
      <c r="AD743" s="175"/>
      <c r="AE743" s="175"/>
      <c r="AF743" s="175"/>
      <c r="AG743" s="175"/>
      <c r="AH743" s="175"/>
      <c r="AI743" s="175"/>
      <c r="AJ743" s="175"/>
    </row>
    <row r="744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  <c r="AA744" s="175"/>
      <c r="AB744" s="175"/>
      <c r="AC744" s="175"/>
      <c r="AD744" s="175"/>
      <c r="AE744" s="175"/>
      <c r="AF744" s="175"/>
      <c r="AG744" s="175"/>
      <c r="AH744" s="175"/>
      <c r="AI744" s="175"/>
      <c r="AJ744" s="175"/>
    </row>
    <row r="74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  <c r="AA745" s="175"/>
      <c r="AB745" s="175"/>
      <c r="AC745" s="175"/>
      <c r="AD745" s="175"/>
      <c r="AE745" s="175"/>
      <c r="AF745" s="175"/>
      <c r="AG745" s="175"/>
      <c r="AH745" s="175"/>
      <c r="AI745" s="175"/>
      <c r="AJ745" s="175"/>
    </row>
    <row r="74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  <c r="AA746" s="175"/>
      <c r="AB746" s="175"/>
      <c r="AC746" s="175"/>
      <c r="AD746" s="175"/>
      <c r="AE746" s="175"/>
      <c r="AF746" s="175"/>
      <c r="AG746" s="175"/>
      <c r="AH746" s="175"/>
      <c r="AI746" s="175"/>
      <c r="AJ746" s="175"/>
    </row>
    <row r="747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  <c r="AA747" s="175"/>
      <c r="AB747" s="175"/>
      <c r="AC747" s="175"/>
      <c r="AD747" s="175"/>
      <c r="AE747" s="175"/>
      <c r="AF747" s="175"/>
      <c r="AG747" s="175"/>
      <c r="AH747" s="175"/>
      <c r="AI747" s="175"/>
      <c r="AJ747" s="175"/>
    </row>
    <row r="748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  <c r="AA748" s="175"/>
      <c r="AB748" s="175"/>
      <c r="AC748" s="175"/>
      <c r="AD748" s="175"/>
      <c r="AE748" s="175"/>
      <c r="AF748" s="175"/>
      <c r="AG748" s="175"/>
      <c r="AH748" s="175"/>
      <c r="AI748" s="175"/>
      <c r="AJ748" s="175"/>
    </row>
    <row r="749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  <c r="AA749" s="175"/>
      <c r="AB749" s="175"/>
      <c r="AC749" s="175"/>
      <c r="AD749" s="175"/>
      <c r="AE749" s="175"/>
      <c r="AF749" s="175"/>
      <c r="AG749" s="175"/>
      <c r="AH749" s="175"/>
      <c r="AI749" s="175"/>
      <c r="AJ749" s="175"/>
    </row>
    <row r="750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  <c r="AA750" s="175"/>
      <c r="AB750" s="175"/>
      <c r="AC750" s="175"/>
      <c r="AD750" s="175"/>
      <c r="AE750" s="175"/>
      <c r="AF750" s="175"/>
      <c r="AG750" s="175"/>
      <c r="AH750" s="175"/>
      <c r="AI750" s="175"/>
      <c r="AJ750" s="175"/>
    </row>
    <row r="75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  <c r="AA751" s="175"/>
      <c r="AB751" s="175"/>
      <c r="AC751" s="175"/>
      <c r="AD751" s="175"/>
      <c r="AE751" s="175"/>
      <c r="AF751" s="175"/>
      <c r="AG751" s="175"/>
      <c r="AH751" s="175"/>
      <c r="AI751" s="175"/>
      <c r="AJ751" s="175"/>
    </row>
    <row r="752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  <c r="AA752" s="175"/>
      <c r="AB752" s="175"/>
      <c r="AC752" s="175"/>
      <c r="AD752" s="175"/>
      <c r="AE752" s="175"/>
      <c r="AF752" s="175"/>
      <c r="AG752" s="175"/>
      <c r="AH752" s="175"/>
      <c r="AI752" s="175"/>
      <c r="AJ752" s="175"/>
    </row>
    <row r="753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  <c r="AA753" s="175"/>
      <c r="AB753" s="175"/>
      <c r="AC753" s="175"/>
      <c r="AD753" s="175"/>
      <c r="AE753" s="175"/>
      <c r="AF753" s="175"/>
      <c r="AG753" s="175"/>
      <c r="AH753" s="175"/>
      <c r="AI753" s="175"/>
      <c r="AJ753" s="175"/>
    </row>
    <row r="754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  <c r="AA754" s="175"/>
      <c r="AB754" s="175"/>
      <c r="AC754" s="175"/>
      <c r="AD754" s="175"/>
      <c r="AE754" s="175"/>
      <c r="AF754" s="175"/>
      <c r="AG754" s="175"/>
      <c r="AH754" s="175"/>
      <c r="AI754" s="175"/>
      <c r="AJ754" s="175"/>
    </row>
    <row r="75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  <c r="AA755" s="175"/>
      <c r="AB755" s="175"/>
      <c r="AC755" s="175"/>
      <c r="AD755" s="175"/>
      <c r="AE755" s="175"/>
      <c r="AF755" s="175"/>
      <c r="AG755" s="175"/>
      <c r="AH755" s="175"/>
      <c r="AI755" s="175"/>
      <c r="AJ755" s="175"/>
    </row>
    <row r="75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  <c r="AA756" s="175"/>
      <c r="AB756" s="175"/>
      <c r="AC756" s="175"/>
      <c r="AD756" s="175"/>
      <c r="AE756" s="175"/>
      <c r="AF756" s="175"/>
      <c r="AG756" s="175"/>
      <c r="AH756" s="175"/>
      <c r="AI756" s="175"/>
      <c r="AJ756" s="175"/>
    </row>
    <row r="757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  <c r="AA757" s="175"/>
      <c r="AB757" s="175"/>
      <c r="AC757" s="175"/>
      <c r="AD757" s="175"/>
      <c r="AE757" s="175"/>
      <c r="AF757" s="175"/>
      <c r="AG757" s="175"/>
      <c r="AH757" s="175"/>
      <c r="AI757" s="175"/>
      <c r="AJ757" s="175"/>
    </row>
    <row r="758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  <c r="AA758" s="175"/>
      <c r="AB758" s="175"/>
      <c r="AC758" s="175"/>
      <c r="AD758" s="175"/>
      <c r="AE758" s="175"/>
      <c r="AF758" s="175"/>
      <c r="AG758" s="175"/>
      <c r="AH758" s="175"/>
      <c r="AI758" s="175"/>
      <c r="AJ758" s="175"/>
    </row>
    <row r="759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  <c r="AA759" s="175"/>
      <c r="AB759" s="175"/>
      <c r="AC759" s="175"/>
      <c r="AD759" s="175"/>
      <c r="AE759" s="175"/>
      <c r="AF759" s="175"/>
      <c r="AG759" s="175"/>
      <c r="AH759" s="175"/>
      <c r="AI759" s="175"/>
      <c r="AJ759" s="175"/>
    </row>
    <row r="760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  <c r="AA760" s="175"/>
      <c r="AB760" s="175"/>
      <c r="AC760" s="175"/>
      <c r="AD760" s="175"/>
      <c r="AE760" s="175"/>
      <c r="AF760" s="175"/>
      <c r="AG760" s="175"/>
      <c r="AH760" s="175"/>
      <c r="AI760" s="175"/>
      <c r="AJ760" s="175"/>
    </row>
    <row r="76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  <c r="AA761" s="175"/>
      <c r="AB761" s="175"/>
      <c r="AC761" s="175"/>
      <c r="AD761" s="175"/>
      <c r="AE761" s="175"/>
      <c r="AF761" s="175"/>
      <c r="AG761" s="175"/>
      <c r="AH761" s="175"/>
      <c r="AI761" s="175"/>
      <c r="AJ761" s="175"/>
    </row>
    <row r="762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  <c r="AA762" s="175"/>
      <c r="AB762" s="175"/>
      <c r="AC762" s="175"/>
      <c r="AD762" s="175"/>
      <c r="AE762" s="175"/>
      <c r="AF762" s="175"/>
      <c r="AG762" s="175"/>
      <c r="AH762" s="175"/>
      <c r="AI762" s="175"/>
      <c r="AJ762" s="175"/>
    </row>
    <row r="763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  <c r="AA763" s="175"/>
      <c r="AB763" s="175"/>
      <c r="AC763" s="175"/>
      <c r="AD763" s="175"/>
      <c r="AE763" s="175"/>
      <c r="AF763" s="175"/>
      <c r="AG763" s="175"/>
      <c r="AH763" s="175"/>
      <c r="AI763" s="175"/>
      <c r="AJ763" s="175"/>
    </row>
    <row r="764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  <c r="AA764" s="175"/>
      <c r="AB764" s="175"/>
      <c r="AC764" s="175"/>
      <c r="AD764" s="175"/>
      <c r="AE764" s="175"/>
      <c r="AF764" s="175"/>
      <c r="AG764" s="175"/>
      <c r="AH764" s="175"/>
      <c r="AI764" s="175"/>
      <c r="AJ764" s="175"/>
    </row>
    <row r="76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  <c r="AA765" s="175"/>
      <c r="AB765" s="175"/>
      <c r="AC765" s="175"/>
      <c r="AD765" s="175"/>
      <c r="AE765" s="175"/>
      <c r="AF765" s="175"/>
      <c r="AG765" s="175"/>
      <c r="AH765" s="175"/>
      <c r="AI765" s="175"/>
      <c r="AJ765" s="175"/>
    </row>
    <row r="76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  <c r="AA766" s="175"/>
      <c r="AB766" s="175"/>
      <c r="AC766" s="175"/>
      <c r="AD766" s="175"/>
      <c r="AE766" s="175"/>
      <c r="AF766" s="175"/>
      <c r="AG766" s="175"/>
      <c r="AH766" s="175"/>
      <c r="AI766" s="175"/>
      <c r="AJ766" s="175"/>
    </row>
    <row r="767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  <c r="AA767" s="175"/>
      <c r="AB767" s="175"/>
      <c r="AC767" s="175"/>
      <c r="AD767" s="175"/>
      <c r="AE767" s="175"/>
      <c r="AF767" s="175"/>
      <c r="AG767" s="175"/>
      <c r="AH767" s="175"/>
      <c r="AI767" s="175"/>
      <c r="AJ767" s="175"/>
    </row>
    <row r="768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  <c r="AA768" s="175"/>
      <c r="AB768" s="175"/>
      <c r="AC768" s="175"/>
      <c r="AD768" s="175"/>
      <c r="AE768" s="175"/>
      <c r="AF768" s="175"/>
      <c r="AG768" s="175"/>
      <c r="AH768" s="175"/>
      <c r="AI768" s="175"/>
      <c r="AJ768" s="175"/>
    </row>
    <row r="769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  <c r="AA769" s="175"/>
      <c r="AB769" s="175"/>
      <c r="AC769" s="175"/>
      <c r="AD769" s="175"/>
      <c r="AE769" s="175"/>
      <c r="AF769" s="175"/>
      <c r="AG769" s="175"/>
      <c r="AH769" s="175"/>
      <c r="AI769" s="175"/>
      <c r="AJ769" s="175"/>
    </row>
    <row r="770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  <c r="AA770" s="175"/>
      <c r="AB770" s="175"/>
      <c r="AC770" s="175"/>
      <c r="AD770" s="175"/>
      <c r="AE770" s="175"/>
      <c r="AF770" s="175"/>
      <c r="AG770" s="175"/>
      <c r="AH770" s="175"/>
      <c r="AI770" s="175"/>
      <c r="AJ770" s="175"/>
    </row>
    <row r="7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  <c r="AA771" s="175"/>
      <c r="AB771" s="175"/>
      <c r="AC771" s="175"/>
      <c r="AD771" s="175"/>
      <c r="AE771" s="175"/>
      <c r="AF771" s="175"/>
      <c r="AG771" s="175"/>
      <c r="AH771" s="175"/>
      <c r="AI771" s="175"/>
      <c r="AJ771" s="175"/>
    </row>
    <row r="772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  <c r="AA772" s="175"/>
      <c r="AB772" s="175"/>
      <c r="AC772" s="175"/>
      <c r="AD772" s="175"/>
      <c r="AE772" s="175"/>
      <c r="AF772" s="175"/>
      <c r="AG772" s="175"/>
      <c r="AH772" s="175"/>
      <c r="AI772" s="175"/>
      <c r="AJ772" s="175"/>
    </row>
    <row r="773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  <c r="AA773" s="175"/>
      <c r="AB773" s="175"/>
      <c r="AC773" s="175"/>
      <c r="AD773" s="175"/>
      <c r="AE773" s="175"/>
      <c r="AF773" s="175"/>
      <c r="AG773" s="175"/>
      <c r="AH773" s="175"/>
      <c r="AI773" s="175"/>
      <c r="AJ773" s="175"/>
    </row>
    <row r="774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  <c r="AA774" s="175"/>
      <c r="AB774" s="175"/>
      <c r="AC774" s="175"/>
      <c r="AD774" s="175"/>
      <c r="AE774" s="175"/>
      <c r="AF774" s="175"/>
      <c r="AG774" s="175"/>
      <c r="AH774" s="175"/>
      <c r="AI774" s="175"/>
      <c r="AJ774" s="175"/>
    </row>
    <row r="77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  <c r="AA775" s="175"/>
      <c r="AB775" s="175"/>
      <c r="AC775" s="175"/>
      <c r="AD775" s="175"/>
      <c r="AE775" s="175"/>
      <c r="AF775" s="175"/>
      <c r="AG775" s="175"/>
      <c r="AH775" s="175"/>
      <c r="AI775" s="175"/>
      <c r="AJ775" s="175"/>
    </row>
    <row r="77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  <c r="AA776" s="175"/>
      <c r="AB776" s="175"/>
      <c r="AC776" s="175"/>
      <c r="AD776" s="175"/>
      <c r="AE776" s="175"/>
      <c r="AF776" s="175"/>
      <c r="AG776" s="175"/>
      <c r="AH776" s="175"/>
      <c r="AI776" s="175"/>
      <c r="AJ776" s="175"/>
    </row>
    <row r="777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  <c r="AA777" s="175"/>
      <c r="AB777" s="175"/>
      <c r="AC777" s="175"/>
      <c r="AD777" s="175"/>
      <c r="AE777" s="175"/>
      <c r="AF777" s="175"/>
      <c r="AG777" s="175"/>
      <c r="AH777" s="175"/>
      <c r="AI777" s="175"/>
      <c r="AJ777" s="175"/>
    </row>
    <row r="778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  <c r="AA778" s="175"/>
      <c r="AB778" s="175"/>
      <c r="AC778" s="175"/>
      <c r="AD778" s="175"/>
      <c r="AE778" s="175"/>
      <c r="AF778" s="175"/>
      <c r="AG778" s="175"/>
      <c r="AH778" s="175"/>
      <c r="AI778" s="175"/>
      <c r="AJ778" s="175"/>
    </row>
    <row r="779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  <c r="AA779" s="175"/>
      <c r="AB779" s="175"/>
      <c r="AC779" s="175"/>
      <c r="AD779" s="175"/>
      <c r="AE779" s="175"/>
      <c r="AF779" s="175"/>
      <c r="AG779" s="175"/>
      <c r="AH779" s="175"/>
      <c r="AI779" s="175"/>
      <c r="AJ779" s="175"/>
    </row>
    <row r="780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  <c r="AA780" s="175"/>
      <c r="AB780" s="175"/>
      <c r="AC780" s="175"/>
      <c r="AD780" s="175"/>
      <c r="AE780" s="175"/>
      <c r="AF780" s="175"/>
      <c r="AG780" s="175"/>
      <c r="AH780" s="175"/>
      <c r="AI780" s="175"/>
      <c r="AJ780" s="175"/>
    </row>
    <row r="78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  <c r="AA781" s="175"/>
      <c r="AB781" s="175"/>
      <c r="AC781" s="175"/>
      <c r="AD781" s="175"/>
      <c r="AE781" s="175"/>
      <c r="AF781" s="175"/>
      <c r="AG781" s="175"/>
      <c r="AH781" s="175"/>
      <c r="AI781" s="175"/>
      <c r="AJ781" s="175"/>
    </row>
    <row r="782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  <c r="AA782" s="175"/>
      <c r="AB782" s="175"/>
      <c r="AC782" s="175"/>
      <c r="AD782" s="175"/>
      <c r="AE782" s="175"/>
      <c r="AF782" s="175"/>
      <c r="AG782" s="175"/>
      <c r="AH782" s="175"/>
      <c r="AI782" s="175"/>
      <c r="AJ782" s="175"/>
    </row>
    <row r="783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  <c r="AA783" s="175"/>
      <c r="AB783" s="175"/>
      <c r="AC783" s="175"/>
      <c r="AD783" s="175"/>
      <c r="AE783" s="175"/>
      <c r="AF783" s="175"/>
      <c r="AG783" s="175"/>
      <c r="AH783" s="175"/>
      <c r="AI783" s="175"/>
      <c r="AJ783" s="175"/>
    </row>
    <row r="784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  <c r="AA784" s="175"/>
      <c r="AB784" s="175"/>
      <c r="AC784" s="175"/>
      <c r="AD784" s="175"/>
      <c r="AE784" s="175"/>
      <c r="AF784" s="175"/>
      <c r="AG784" s="175"/>
      <c r="AH784" s="175"/>
      <c r="AI784" s="175"/>
      <c r="AJ784" s="175"/>
    </row>
    <row r="78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  <c r="AA785" s="175"/>
      <c r="AB785" s="175"/>
      <c r="AC785" s="175"/>
      <c r="AD785" s="175"/>
      <c r="AE785" s="175"/>
      <c r="AF785" s="175"/>
      <c r="AG785" s="175"/>
      <c r="AH785" s="175"/>
      <c r="AI785" s="175"/>
      <c r="AJ785" s="175"/>
    </row>
    <row r="78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  <c r="AA786" s="175"/>
      <c r="AB786" s="175"/>
      <c r="AC786" s="175"/>
      <c r="AD786" s="175"/>
      <c r="AE786" s="175"/>
      <c r="AF786" s="175"/>
      <c r="AG786" s="175"/>
      <c r="AH786" s="175"/>
      <c r="AI786" s="175"/>
      <c r="AJ786" s="175"/>
    </row>
    <row r="787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  <c r="AA787" s="175"/>
      <c r="AB787" s="175"/>
      <c r="AC787" s="175"/>
      <c r="AD787" s="175"/>
      <c r="AE787" s="175"/>
      <c r="AF787" s="175"/>
      <c r="AG787" s="175"/>
      <c r="AH787" s="175"/>
      <c r="AI787" s="175"/>
      <c r="AJ787" s="175"/>
    </row>
    <row r="788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  <c r="AA788" s="175"/>
      <c r="AB788" s="175"/>
      <c r="AC788" s="175"/>
      <c r="AD788" s="175"/>
      <c r="AE788" s="175"/>
      <c r="AF788" s="175"/>
      <c r="AG788" s="175"/>
      <c r="AH788" s="175"/>
      <c r="AI788" s="175"/>
      <c r="AJ788" s="175"/>
    </row>
    <row r="789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  <c r="AA789" s="175"/>
      <c r="AB789" s="175"/>
      <c r="AC789" s="175"/>
      <c r="AD789" s="175"/>
      <c r="AE789" s="175"/>
      <c r="AF789" s="175"/>
      <c r="AG789" s="175"/>
      <c r="AH789" s="175"/>
      <c r="AI789" s="175"/>
      <c r="AJ789" s="175"/>
    </row>
    <row r="790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  <c r="AA790" s="175"/>
      <c r="AB790" s="175"/>
      <c r="AC790" s="175"/>
      <c r="AD790" s="175"/>
      <c r="AE790" s="175"/>
      <c r="AF790" s="175"/>
      <c r="AG790" s="175"/>
      <c r="AH790" s="175"/>
      <c r="AI790" s="175"/>
      <c r="AJ790" s="175"/>
    </row>
    <row r="79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  <c r="AA791" s="175"/>
      <c r="AB791" s="175"/>
      <c r="AC791" s="175"/>
      <c r="AD791" s="175"/>
      <c r="AE791" s="175"/>
      <c r="AF791" s="175"/>
      <c r="AG791" s="175"/>
      <c r="AH791" s="175"/>
      <c r="AI791" s="175"/>
      <c r="AJ791" s="175"/>
    </row>
    <row r="792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  <c r="AA792" s="175"/>
      <c r="AB792" s="175"/>
      <c r="AC792" s="175"/>
      <c r="AD792" s="175"/>
      <c r="AE792" s="175"/>
      <c r="AF792" s="175"/>
      <c r="AG792" s="175"/>
      <c r="AH792" s="175"/>
      <c r="AI792" s="175"/>
      <c r="AJ792" s="175"/>
    </row>
    <row r="793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  <c r="AA793" s="175"/>
      <c r="AB793" s="175"/>
      <c r="AC793" s="175"/>
      <c r="AD793" s="175"/>
      <c r="AE793" s="175"/>
      <c r="AF793" s="175"/>
      <c r="AG793" s="175"/>
      <c r="AH793" s="175"/>
      <c r="AI793" s="175"/>
      <c r="AJ793" s="175"/>
    </row>
    <row r="794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  <c r="AA794" s="175"/>
      <c r="AB794" s="175"/>
      <c r="AC794" s="175"/>
      <c r="AD794" s="175"/>
      <c r="AE794" s="175"/>
      <c r="AF794" s="175"/>
      <c r="AG794" s="175"/>
      <c r="AH794" s="175"/>
      <c r="AI794" s="175"/>
      <c r="AJ794" s="175"/>
    </row>
    <row r="79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  <c r="AA795" s="175"/>
      <c r="AB795" s="175"/>
      <c r="AC795" s="175"/>
      <c r="AD795" s="175"/>
      <c r="AE795" s="175"/>
      <c r="AF795" s="175"/>
      <c r="AG795" s="175"/>
      <c r="AH795" s="175"/>
      <c r="AI795" s="175"/>
      <c r="AJ795" s="175"/>
    </row>
    <row r="79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  <c r="AA796" s="175"/>
      <c r="AB796" s="175"/>
      <c r="AC796" s="175"/>
      <c r="AD796" s="175"/>
      <c r="AE796" s="175"/>
      <c r="AF796" s="175"/>
      <c r="AG796" s="175"/>
      <c r="AH796" s="175"/>
      <c r="AI796" s="175"/>
      <c r="AJ796" s="175"/>
    </row>
    <row r="797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  <c r="AA797" s="175"/>
      <c r="AB797" s="175"/>
      <c r="AC797" s="175"/>
      <c r="AD797" s="175"/>
      <c r="AE797" s="175"/>
      <c r="AF797" s="175"/>
      <c r="AG797" s="175"/>
      <c r="AH797" s="175"/>
      <c r="AI797" s="175"/>
      <c r="AJ797" s="175"/>
    </row>
    <row r="798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  <c r="AA798" s="175"/>
      <c r="AB798" s="175"/>
      <c r="AC798" s="175"/>
      <c r="AD798" s="175"/>
      <c r="AE798" s="175"/>
      <c r="AF798" s="175"/>
      <c r="AG798" s="175"/>
      <c r="AH798" s="175"/>
      <c r="AI798" s="175"/>
      <c r="AJ798" s="175"/>
    </row>
    <row r="799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  <c r="AA799" s="175"/>
      <c r="AB799" s="175"/>
      <c r="AC799" s="175"/>
      <c r="AD799" s="175"/>
      <c r="AE799" s="175"/>
      <c r="AF799" s="175"/>
      <c r="AG799" s="175"/>
      <c r="AH799" s="175"/>
      <c r="AI799" s="175"/>
      <c r="AJ799" s="175"/>
    </row>
    <row r="800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  <c r="AA800" s="175"/>
      <c r="AB800" s="175"/>
      <c r="AC800" s="175"/>
      <c r="AD800" s="175"/>
      <c r="AE800" s="175"/>
      <c r="AF800" s="175"/>
      <c r="AG800" s="175"/>
      <c r="AH800" s="175"/>
      <c r="AI800" s="175"/>
      <c r="AJ800" s="175"/>
    </row>
    <row r="80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  <c r="AA801" s="175"/>
      <c r="AB801" s="175"/>
      <c r="AC801" s="175"/>
      <c r="AD801" s="175"/>
      <c r="AE801" s="175"/>
      <c r="AF801" s="175"/>
      <c r="AG801" s="175"/>
      <c r="AH801" s="175"/>
      <c r="AI801" s="175"/>
      <c r="AJ801" s="175"/>
    </row>
    <row r="802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  <c r="AA802" s="175"/>
      <c r="AB802" s="175"/>
      <c r="AC802" s="175"/>
      <c r="AD802" s="175"/>
      <c r="AE802" s="175"/>
      <c r="AF802" s="175"/>
      <c r="AG802" s="175"/>
      <c r="AH802" s="175"/>
      <c r="AI802" s="175"/>
      <c r="AJ802" s="175"/>
    </row>
    <row r="803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  <c r="AA803" s="175"/>
      <c r="AB803" s="175"/>
      <c r="AC803" s="175"/>
      <c r="AD803" s="175"/>
      <c r="AE803" s="175"/>
      <c r="AF803" s="175"/>
      <c r="AG803" s="175"/>
      <c r="AH803" s="175"/>
      <c r="AI803" s="175"/>
      <c r="AJ803" s="175"/>
    </row>
    <row r="804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  <c r="AA804" s="175"/>
      <c r="AB804" s="175"/>
      <c r="AC804" s="175"/>
      <c r="AD804" s="175"/>
      <c r="AE804" s="175"/>
      <c r="AF804" s="175"/>
      <c r="AG804" s="175"/>
      <c r="AH804" s="175"/>
      <c r="AI804" s="175"/>
      <c r="AJ804" s="175"/>
    </row>
    <row r="805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  <c r="AA805" s="175"/>
      <c r="AB805" s="175"/>
      <c r="AC805" s="175"/>
      <c r="AD805" s="175"/>
      <c r="AE805" s="175"/>
      <c r="AF805" s="175"/>
      <c r="AG805" s="175"/>
      <c r="AH805" s="175"/>
      <c r="AI805" s="175"/>
      <c r="AJ805" s="175"/>
    </row>
    <row r="806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  <c r="AA806" s="175"/>
      <c r="AB806" s="175"/>
      <c r="AC806" s="175"/>
      <c r="AD806" s="175"/>
      <c r="AE806" s="175"/>
      <c r="AF806" s="175"/>
      <c r="AG806" s="175"/>
      <c r="AH806" s="175"/>
      <c r="AI806" s="175"/>
      <c r="AJ806" s="175"/>
    </row>
    <row r="807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  <c r="AA807" s="175"/>
      <c r="AB807" s="175"/>
      <c r="AC807" s="175"/>
      <c r="AD807" s="175"/>
      <c r="AE807" s="175"/>
      <c r="AF807" s="175"/>
      <c r="AG807" s="175"/>
      <c r="AH807" s="175"/>
      <c r="AI807" s="175"/>
      <c r="AJ807" s="175"/>
    </row>
    <row r="808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  <c r="AA808" s="175"/>
      <c r="AB808" s="175"/>
      <c r="AC808" s="175"/>
      <c r="AD808" s="175"/>
      <c r="AE808" s="175"/>
      <c r="AF808" s="175"/>
      <c r="AG808" s="175"/>
      <c r="AH808" s="175"/>
      <c r="AI808" s="175"/>
      <c r="AJ808" s="175"/>
    </row>
    <row r="809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  <c r="AA809" s="175"/>
      <c r="AB809" s="175"/>
      <c r="AC809" s="175"/>
      <c r="AD809" s="175"/>
      <c r="AE809" s="175"/>
      <c r="AF809" s="175"/>
      <c r="AG809" s="175"/>
      <c r="AH809" s="175"/>
      <c r="AI809" s="175"/>
      <c r="AJ809" s="175"/>
    </row>
    <row r="810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  <c r="AA810" s="175"/>
      <c r="AB810" s="175"/>
      <c r="AC810" s="175"/>
      <c r="AD810" s="175"/>
      <c r="AE810" s="175"/>
      <c r="AF810" s="175"/>
      <c r="AG810" s="175"/>
      <c r="AH810" s="175"/>
      <c r="AI810" s="175"/>
      <c r="AJ810" s="175"/>
    </row>
    <row r="81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  <c r="AA811" s="175"/>
      <c r="AB811" s="175"/>
      <c r="AC811" s="175"/>
      <c r="AD811" s="175"/>
      <c r="AE811" s="175"/>
      <c r="AF811" s="175"/>
      <c r="AG811" s="175"/>
      <c r="AH811" s="175"/>
      <c r="AI811" s="175"/>
      <c r="AJ811" s="175"/>
    </row>
    <row r="812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  <c r="AA812" s="175"/>
      <c r="AB812" s="175"/>
      <c r="AC812" s="175"/>
      <c r="AD812" s="175"/>
      <c r="AE812" s="175"/>
      <c r="AF812" s="175"/>
      <c r="AG812" s="175"/>
      <c r="AH812" s="175"/>
      <c r="AI812" s="175"/>
      <c r="AJ812" s="175"/>
    </row>
    <row r="813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  <c r="AA813" s="175"/>
      <c r="AB813" s="175"/>
      <c r="AC813" s="175"/>
      <c r="AD813" s="175"/>
      <c r="AE813" s="175"/>
      <c r="AF813" s="175"/>
      <c r="AG813" s="175"/>
      <c r="AH813" s="175"/>
      <c r="AI813" s="175"/>
      <c r="AJ813" s="175"/>
    </row>
    <row r="814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  <c r="AA814" s="175"/>
      <c r="AB814" s="175"/>
      <c r="AC814" s="175"/>
      <c r="AD814" s="175"/>
      <c r="AE814" s="175"/>
      <c r="AF814" s="175"/>
      <c r="AG814" s="175"/>
      <c r="AH814" s="175"/>
      <c r="AI814" s="175"/>
      <c r="AJ814" s="175"/>
    </row>
    <row r="815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  <c r="AA815" s="175"/>
      <c r="AB815" s="175"/>
      <c r="AC815" s="175"/>
      <c r="AD815" s="175"/>
      <c r="AE815" s="175"/>
      <c r="AF815" s="175"/>
      <c r="AG815" s="175"/>
      <c r="AH815" s="175"/>
      <c r="AI815" s="175"/>
      <c r="AJ815" s="175"/>
    </row>
    <row r="816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  <c r="AA816" s="175"/>
      <c r="AB816" s="175"/>
      <c r="AC816" s="175"/>
      <c r="AD816" s="175"/>
      <c r="AE816" s="175"/>
      <c r="AF816" s="175"/>
      <c r="AG816" s="175"/>
      <c r="AH816" s="175"/>
      <c r="AI816" s="175"/>
      <c r="AJ816" s="175"/>
    </row>
    <row r="817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  <c r="AA817" s="175"/>
      <c r="AB817" s="175"/>
      <c r="AC817" s="175"/>
      <c r="AD817" s="175"/>
      <c r="AE817" s="175"/>
      <c r="AF817" s="175"/>
      <c r="AG817" s="175"/>
      <c r="AH817" s="175"/>
      <c r="AI817" s="175"/>
      <c r="AJ817" s="175"/>
    </row>
    <row r="818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  <c r="AA818" s="175"/>
      <c r="AB818" s="175"/>
      <c r="AC818" s="175"/>
      <c r="AD818" s="175"/>
      <c r="AE818" s="175"/>
      <c r="AF818" s="175"/>
      <c r="AG818" s="175"/>
      <c r="AH818" s="175"/>
      <c r="AI818" s="175"/>
      <c r="AJ818" s="175"/>
    </row>
    <row r="819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  <c r="AA819" s="175"/>
      <c r="AB819" s="175"/>
      <c r="AC819" s="175"/>
      <c r="AD819" s="175"/>
      <c r="AE819" s="175"/>
      <c r="AF819" s="175"/>
      <c r="AG819" s="175"/>
      <c r="AH819" s="175"/>
      <c r="AI819" s="175"/>
      <c r="AJ819" s="175"/>
    </row>
    <row r="820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  <c r="AA820" s="175"/>
      <c r="AB820" s="175"/>
      <c r="AC820" s="175"/>
      <c r="AD820" s="175"/>
      <c r="AE820" s="175"/>
      <c r="AF820" s="175"/>
      <c r="AG820" s="175"/>
      <c r="AH820" s="175"/>
      <c r="AI820" s="175"/>
      <c r="AJ820" s="175"/>
    </row>
    <row r="82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  <c r="AA821" s="175"/>
      <c r="AB821" s="175"/>
      <c r="AC821" s="175"/>
      <c r="AD821" s="175"/>
      <c r="AE821" s="175"/>
      <c r="AF821" s="175"/>
      <c r="AG821" s="175"/>
      <c r="AH821" s="175"/>
      <c r="AI821" s="175"/>
      <c r="AJ821" s="175"/>
    </row>
    <row r="822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  <c r="AA822" s="175"/>
      <c r="AB822" s="175"/>
      <c r="AC822" s="175"/>
      <c r="AD822" s="175"/>
      <c r="AE822" s="175"/>
      <c r="AF822" s="175"/>
      <c r="AG822" s="175"/>
      <c r="AH822" s="175"/>
      <c r="AI822" s="175"/>
      <c r="AJ822" s="175"/>
    </row>
    <row r="823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  <c r="AA823" s="175"/>
      <c r="AB823" s="175"/>
      <c r="AC823" s="175"/>
      <c r="AD823" s="175"/>
      <c r="AE823" s="175"/>
      <c r="AF823" s="175"/>
      <c r="AG823" s="175"/>
      <c r="AH823" s="175"/>
      <c r="AI823" s="175"/>
      <c r="AJ823" s="175"/>
    </row>
    <row r="824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  <c r="AA824" s="175"/>
      <c r="AB824" s="175"/>
      <c r="AC824" s="175"/>
      <c r="AD824" s="175"/>
      <c r="AE824" s="175"/>
      <c r="AF824" s="175"/>
      <c r="AG824" s="175"/>
      <c r="AH824" s="175"/>
      <c r="AI824" s="175"/>
      <c r="AJ824" s="175"/>
    </row>
    <row r="825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  <c r="AA825" s="175"/>
      <c r="AB825" s="175"/>
      <c r="AC825" s="175"/>
      <c r="AD825" s="175"/>
      <c r="AE825" s="175"/>
      <c r="AF825" s="175"/>
      <c r="AG825" s="175"/>
      <c r="AH825" s="175"/>
      <c r="AI825" s="175"/>
      <c r="AJ825" s="175"/>
    </row>
    <row r="826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  <c r="AA826" s="175"/>
      <c r="AB826" s="175"/>
      <c r="AC826" s="175"/>
      <c r="AD826" s="175"/>
      <c r="AE826" s="175"/>
      <c r="AF826" s="175"/>
      <c r="AG826" s="175"/>
      <c r="AH826" s="175"/>
      <c r="AI826" s="175"/>
      <c r="AJ826" s="175"/>
    </row>
    <row r="827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  <c r="AA827" s="175"/>
      <c r="AB827" s="175"/>
      <c r="AC827" s="175"/>
      <c r="AD827" s="175"/>
      <c r="AE827" s="175"/>
      <c r="AF827" s="175"/>
      <c r="AG827" s="175"/>
      <c r="AH827" s="175"/>
      <c r="AI827" s="175"/>
      <c r="AJ827" s="175"/>
    </row>
    <row r="828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  <c r="AA828" s="175"/>
      <c r="AB828" s="175"/>
      <c r="AC828" s="175"/>
      <c r="AD828" s="175"/>
      <c r="AE828" s="175"/>
      <c r="AF828" s="175"/>
      <c r="AG828" s="175"/>
      <c r="AH828" s="175"/>
      <c r="AI828" s="175"/>
      <c r="AJ828" s="175"/>
    </row>
    <row r="829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  <c r="AA829" s="175"/>
      <c r="AB829" s="175"/>
      <c r="AC829" s="175"/>
      <c r="AD829" s="175"/>
      <c r="AE829" s="175"/>
      <c r="AF829" s="175"/>
      <c r="AG829" s="175"/>
      <c r="AH829" s="175"/>
      <c r="AI829" s="175"/>
      <c r="AJ829" s="175"/>
    </row>
    <row r="830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  <c r="AA830" s="175"/>
      <c r="AB830" s="175"/>
      <c r="AC830" s="175"/>
      <c r="AD830" s="175"/>
      <c r="AE830" s="175"/>
      <c r="AF830" s="175"/>
      <c r="AG830" s="175"/>
      <c r="AH830" s="175"/>
      <c r="AI830" s="175"/>
      <c r="AJ830" s="175"/>
    </row>
    <row r="83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  <c r="AA831" s="175"/>
      <c r="AB831" s="175"/>
      <c r="AC831" s="175"/>
      <c r="AD831" s="175"/>
      <c r="AE831" s="175"/>
      <c r="AF831" s="175"/>
      <c r="AG831" s="175"/>
      <c r="AH831" s="175"/>
      <c r="AI831" s="175"/>
      <c r="AJ831" s="175"/>
    </row>
    <row r="832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  <c r="AA832" s="175"/>
      <c r="AB832" s="175"/>
      <c r="AC832" s="175"/>
      <c r="AD832" s="175"/>
      <c r="AE832" s="175"/>
      <c r="AF832" s="175"/>
      <c r="AG832" s="175"/>
      <c r="AH832" s="175"/>
      <c r="AI832" s="175"/>
      <c r="AJ832" s="175"/>
    </row>
    <row r="833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  <c r="AA833" s="175"/>
      <c r="AB833" s="175"/>
      <c r="AC833" s="175"/>
      <c r="AD833" s="175"/>
      <c r="AE833" s="175"/>
      <c r="AF833" s="175"/>
      <c r="AG833" s="175"/>
      <c r="AH833" s="175"/>
      <c r="AI833" s="175"/>
      <c r="AJ833" s="175"/>
    </row>
    <row r="834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  <c r="AA834" s="175"/>
      <c r="AB834" s="175"/>
      <c r="AC834" s="175"/>
      <c r="AD834" s="175"/>
      <c r="AE834" s="175"/>
      <c r="AF834" s="175"/>
      <c r="AG834" s="175"/>
      <c r="AH834" s="175"/>
      <c r="AI834" s="175"/>
      <c r="AJ834" s="175"/>
    </row>
    <row r="835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  <c r="AA835" s="175"/>
      <c r="AB835" s="175"/>
      <c r="AC835" s="175"/>
      <c r="AD835" s="175"/>
      <c r="AE835" s="175"/>
      <c r="AF835" s="175"/>
      <c r="AG835" s="175"/>
      <c r="AH835" s="175"/>
      <c r="AI835" s="175"/>
      <c r="AJ835" s="175"/>
    </row>
    <row r="836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  <c r="AA836" s="175"/>
      <c r="AB836" s="175"/>
      <c r="AC836" s="175"/>
      <c r="AD836" s="175"/>
      <c r="AE836" s="175"/>
      <c r="AF836" s="175"/>
      <c r="AG836" s="175"/>
      <c r="AH836" s="175"/>
      <c r="AI836" s="175"/>
      <c r="AJ836" s="175"/>
    </row>
    <row r="837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  <c r="AA837" s="175"/>
      <c r="AB837" s="175"/>
      <c r="AC837" s="175"/>
      <c r="AD837" s="175"/>
      <c r="AE837" s="175"/>
      <c r="AF837" s="175"/>
      <c r="AG837" s="175"/>
      <c r="AH837" s="175"/>
      <c r="AI837" s="175"/>
      <c r="AJ837" s="175"/>
    </row>
    <row r="838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  <c r="AA838" s="175"/>
      <c r="AB838" s="175"/>
      <c r="AC838" s="175"/>
      <c r="AD838" s="175"/>
      <c r="AE838" s="175"/>
      <c r="AF838" s="175"/>
      <c r="AG838" s="175"/>
      <c r="AH838" s="175"/>
      <c r="AI838" s="175"/>
      <c r="AJ838" s="175"/>
    </row>
    <row r="839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  <c r="AA839" s="175"/>
      <c r="AB839" s="175"/>
      <c r="AC839" s="175"/>
      <c r="AD839" s="175"/>
      <c r="AE839" s="175"/>
      <c r="AF839" s="175"/>
      <c r="AG839" s="175"/>
      <c r="AH839" s="175"/>
      <c r="AI839" s="175"/>
      <c r="AJ839" s="175"/>
    </row>
    <row r="840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  <c r="AA840" s="175"/>
      <c r="AB840" s="175"/>
      <c r="AC840" s="175"/>
      <c r="AD840" s="175"/>
      <c r="AE840" s="175"/>
      <c r="AF840" s="175"/>
      <c r="AG840" s="175"/>
      <c r="AH840" s="175"/>
      <c r="AI840" s="175"/>
      <c r="AJ840" s="175"/>
    </row>
    <row r="84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  <c r="AA841" s="175"/>
      <c r="AB841" s="175"/>
      <c r="AC841" s="175"/>
      <c r="AD841" s="175"/>
      <c r="AE841" s="175"/>
      <c r="AF841" s="175"/>
      <c r="AG841" s="175"/>
      <c r="AH841" s="175"/>
      <c r="AI841" s="175"/>
      <c r="AJ841" s="175"/>
    </row>
    <row r="842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  <c r="AA842" s="175"/>
      <c r="AB842" s="175"/>
      <c r="AC842" s="175"/>
      <c r="AD842" s="175"/>
      <c r="AE842" s="175"/>
      <c r="AF842" s="175"/>
      <c r="AG842" s="175"/>
      <c r="AH842" s="175"/>
      <c r="AI842" s="175"/>
      <c r="AJ842" s="175"/>
    </row>
    <row r="843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  <c r="AA843" s="175"/>
      <c r="AB843" s="175"/>
      <c r="AC843" s="175"/>
      <c r="AD843" s="175"/>
      <c r="AE843" s="175"/>
      <c r="AF843" s="175"/>
      <c r="AG843" s="175"/>
      <c r="AH843" s="175"/>
      <c r="AI843" s="175"/>
      <c r="AJ843" s="175"/>
    </row>
    <row r="844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  <c r="AA844" s="175"/>
      <c r="AB844" s="175"/>
      <c r="AC844" s="175"/>
      <c r="AD844" s="175"/>
      <c r="AE844" s="175"/>
      <c r="AF844" s="175"/>
      <c r="AG844" s="175"/>
      <c r="AH844" s="175"/>
      <c r="AI844" s="175"/>
      <c r="AJ844" s="175"/>
    </row>
    <row r="845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  <c r="AA845" s="175"/>
      <c r="AB845" s="175"/>
      <c r="AC845" s="175"/>
      <c r="AD845" s="175"/>
      <c r="AE845" s="175"/>
      <c r="AF845" s="175"/>
      <c r="AG845" s="175"/>
      <c r="AH845" s="175"/>
      <c r="AI845" s="175"/>
      <c r="AJ845" s="175"/>
    </row>
    <row r="846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  <c r="AA846" s="175"/>
      <c r="AB846" s="175"/>
      <c r="AC846" s="175"/>
      <c r="AD846" s="175"/>
      <c r="AE846" s="175"/>
      <c r="AF846" s="175"/>
      <c r="AG846" s="175"/>
      <c r="AH846" s="175"/>
      <c r="AI846" s="175"/>
      <c r="AJ846" s="175"/>
    </row>
    <row r="847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  <c r="AA847" s="175"/>
      <c r="AB847" s="175"/>
      <c r="AC847" s="175"/>
      <c r="AD847" s="175"/>
      <c r="AE847" s="175"/>
      <c r="AF847" s="175"/>
      <c r="AG847" s="175"/>
      <c r="AH847" s="175"/>
      <c r="AI847" s="175"/>
      <c r="AJ847" s="175"/>
    </row>
    <row r="848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  <c r="AA848" s="175"/>
      <c r="AB848" s="175"/>
      <c r="AC848" s="175"/>
      <c r="AD848" s="175"/>
      <c r="AE848" s="175"/>
      <c r="AF848" s="175"/>
      <c r="AG848" s="175"/>
      <c r="AH848" s="175"/>
      <c r="AI848" s="175"/>
      <c r="AJ848" s="175"/>
    </row>
    <row r="849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  <c r="AA849" s="175"/>
      <c r="AB849" s="175"/>
      <c r="AC849" s="175"/>
      <c r="AD849" s="175"/>
      <c r="AE849" s="175"/>
      <c r="AF849" s="175"/>
      <c r="AG849" s="175"/>
      <c r="AH849" s="175"/>
      <c r="AI849" s="175"/>
      <c r="AJ849" s="175"/>
    </row>
    <row r="850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  <c r="AA850" s="175"/>
      <c r="AB850" s="175"/>
      <c r="AC850" s="175"/>
      <c r="AD850" s="175"/>
      <c r="AE850" s="175"/>
      <c r="AF850" s="175"/>
      <c r="AG850" s="175"/>
      <c r="AH850" s="175"/>
      <c r="AI850" s="175"/>
      <c r="AJ850" s="175"/>
    </row>
    <row r="85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  <c r="AA851" s="175"/>
      <c r="AB851" s="175"/>
      <c r="AC851" s="175"/>
      <c r="AD851" s="175"/>
      <c r="AE851" s="175"/>
      <c r="AF851" s="175"/>
      <c r="AG851" s="175"/>
      <c r="AH851" s="175"/>
      <c r="AI851" s="175"/>
      <c r="AJ851" s="175"/>
    </row>
    <row r="852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  <c r="AA852" s="175"/>
      <c r="AB852" s="175"/>
      <c r="AC852" s="175"/>
      <c r="AD852" s="175"/>
      <c r="AE852" s="175"/>
      <c r="AF852" s="175"/>
      <c r="AG852" s="175"/>
      <c r="AH852" s="175"/>
      <c r="AI852" s="175"/>
      <c r="AJ852" s="175"/>
    </row>
    <row r="853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  <c r="AA853" s="175"/>
      <c r="AB853" s="175"/>
      <c r="AC853" s="175"/>
      <c r="AD853" s="175"/>
      <c r="AE853" s="175"/>
      <c r="AF853" s="175"/>
      <c r="AG853" s="175"/>
      <c r="AH853" s="175"/>
      <c r="AI853" s="175"/>
      <c r="AJ853" s="175"/>
    </row>
    <row r="854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  <c r="AA854" s="175"/>
      <c r="AB854" s="175"/>
      <c r="AC854" s="175"/>
      <c r="AD854" s="175"/>
      <c r="AE854" s="175"/>
      <c r="AF854" s="175"/>
      <c r="AG854" s="175"/>
      <c r="AH854" s="175"/>
      <c r="AI854" s="175"/>
      <c r="AJ854" s="175"/>
    </row>
    <row r="855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  <c r="AA855" s="175"/>
      <c r="AB855" s="175"/>
      <c r="AC855" s="175"/>
      <c r="AD855" s="175"/>
      <c r="AE855" s="175"/>
      <c r="AF855" s="175"/>
      <c r="AG855" s="175"/>
      <c r="AH855" s="175"/>
      <c r="AI855" s="175"/>
      <c r="AJ855" s="175"/>
    </row>
    <row r="856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  <c r="AA856" s="175"/>
      <c r="AB856" s="175"/>
      <c r="AC856" s="175"/>
      <c r="AD856" s="175"/>
      <c r="AE856" s="175"/>
      <c r="AF856" s="175"/>
      <c r="AG856" s="175"/>
      <c r="AH856" s="175"/>
      <c r="AI856" s="175"/>
      <c r="AJ856" s="175"/>
    </row>
    <row r="857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  <c r="AA857" s="175"/>
      <c r="AB857" s="175"/>
      <c r="AC857" s="175"/>
      <c r="AD857" s="175"/>
      <c r="AE857" s="175"/>
      <c r="AF857" s="175"/>
      <c r="AG857" s="175"/>
      <c r="AH857" s="175"/>
      <c r="AI857" s="175"/>
      <c r="AJ857" s="175"/>
    </row>
    <row r="858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  <c r="AA858" s="175"/>
      <c r="AB858" s="175"/>
      <c r="AC858" s="175"/>
      <c r="AD858" s="175"/>
      <c r="AE858" s="175"/>
      <c r="AF858" s="175"/>
      <c r="AG858" s="175"/>
      <c r="AH858" s="175"/>
      <c r="AI858" s="175"/>
      <c r="AJ858" s="175"/>
    </row>
    <row r="859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  <c r="AA859" s="175"/>
      <c r="AB859" s="175"/>
      <c r="AC859" s="175"/>
      <c r="AD859" s="175"/>
      <c r="AE859" s="175"/>
      <c r="AF859" s="175"/>
      <c r="AG859" s="175"/>
      <c r="AH859" s="175"/>
      <c r="AI859" s="175"/>
      <c r="AJ859" s="175"/>
    </row>
    <row r="860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  <c r="AA860" s="175"/>
      <c r="AB860" s="175"/>
      <c r="AC860" s="175"/>
      <c r="AD860" s="175"/>
      <c r="AE860" s="175"/>
      <c r="AF860" s="175"/>
      <c r="AG860" s="175"/>
      <c r="AH860" s="175"/>
      <c r="AI860" s="175"/>
      <c r="AJ860" s="175"/>
    </row>
    <row r="86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  <c r="AA861" s="175"/>
      <c r="AB861" s="175"/>
      <c r="AC861" s="175"/>
      <c r="AD861" s="175"/>
      <c r="AE861" s="175"/>
      <c r="AF861" s="175"/>
      <c r="AG861" s="175"/>
      <c r="AH861" s="175"/>
      <c r="AI861" s="175"/>
      <c r="AJ861" s="175"/>
    </row>
    <row r="862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  <c r="AA862" s="175"/>
      <c r="AB862" s="175"/>
      <c r="AC862" s="175"/>
      <c r="AD862" s="175"/>
      <c r="AE862" s="175"/>
      <c r="AF862" s="175"/>
      <c r="AG862" s="175"/>
      <c r="AH862" s="175"/>
      <c r="AI862" s="175"/>
      <c r="AJ862" s="175"/>
    </row>
    <row r="863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  <c r="AA863" s="175"/>
      <c r="AB863" s="175"/>
      <c r="AC863" s="175"/>
      <c r="AD863" s="175"/>
      <c r="AE863" s="175"/>
      <c r="AF863" s="175"/>
      <c r="AG863" s="175"/>
      <c r="AH863" s="175"/>
      <c r="AI863" s="175"/>
      <c r="AJ863" s="175"/>
    </row>
    <row r="864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  <c r="AA864" s="175"/>
      <c r="AB864" s="175"/>
      <c r="AC864" s="175"/>
      <c r="AD864" s="175"/>
      <c r="AE864" s="175"/>
      <c r="AF864" s="175"/>
      <c r="AG864" s="175"/>
      <c r="AH864" s="175"/>
      <c r="AI864" s="175"/>
      <c r="AJ864" s="175"/>
    </row>
    <row r="865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  <c r="AA865" s="175"/>
      <c r="AB865" s="175"/>
      <c r="AC865" s="175"/>
      <c r="AD865" s="175"/>
      <c r="AE865" s="175"/>
      <c r="AF865" s="175"/>
      <c r="AG865" s="175"/>
      <c r="AH865" s="175"/>
      <c r="AI865" s="175"/>
      <c r="AJ865" s="175"/>
    </row>
    <row r="866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  <c r="AA866" s="175"/>
      <c r="AB866" s="175"/>
      <c r="AC866" s="175"/>
      <c r="AD866" s="175"/>
      <c r="AE866" s="175"/>
      <c r="AF866" s="175"/>
      <c r="AG866" s="175"/>
      <c r="AH866" s="175"/>
      <c r="AI866" s="175"/>
      <c r="AJ866" s="175"/>
    </row>
    <row r="867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  <c r="AA867" s="175"/>
      <c r="AB867" s="175"/>
      <c r="AC867" s="175"/>
      <c r="AD867" s="175"/>
      <c r="AE867" s="175"/>
      <c r="AF867" s="175"/>
      <c r="AG867" s="175"/>
      <c r="AH867" s="175"/>
      <c r="AI867" s="175"/>
      <c r="AJ867" s="175"/>
    </row>
    <row r="868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  <c r="AA868" s="175"/>
      <c r="AB868" s="175"/>
      <c r="AC868" s="175"/>
      <c r="AD868" s="175"/>
      <c r="AE868" s="175"/>
      <c r="AF868" s="175"/>
      <c r="AG868" s="175"/>
      <c r="AH868" s="175"/>
      <c r="AI868" s="175"/>
      <c r="AJ868" s="175"/>
    </row>
    <row r="869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  <c r="AA869" s="175"/>
      <c r="AB869" s="175"/>
      <c r="AC869" s="175"/>
      <c r="AD869" s="175"/>
      <c r="AE869" s="175"/>
      <c r="AF869" s="175"/>
      <c r="AG869" s="175"/>
      <c r="AH869" s="175"/>
      <c r="AI869" s="175"/>
      <c r="AJ869" s="175"/>
    </row>
    <row r="870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  <c r="AA870" s="175"/>
      <c r="AB870" s="175"/>
      <c r="AC870" s="175"/>
      <c r="AD870" s="175"/>
      <c r="AE870" s="175"/>
      <c r="AF870" s="175"/>
      <c r="AG870" s="175"/>
      <c r="AH870" s="175"/>
      <c r="AI870" s="175"/>
      <c r="AJ870" s="175"/>
    </row>
    <row r="87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  <c r="AA871" s="175"/>
      <c r="AB871" s="175"/>
      <c r="AC871" s="175"/>
      <c r="AD871" s="175"/>
      <c r="AE871" s="175"/>
      <c r="AF871" s="175"/>
      <c r="AG871" s="175"/>
      <c r="AH871" s="175"/>
      <c r="AI871" s="175"/>
      <c r="AJ871" s="175"/>
    </row>
    <row r="872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  <c r="AA872" s="175"/>
      <c r="AB872" s="175"/>
      <c r="AC872" s="175"/>
      <c r="AD872" s="175"/>
      <c r="AE872" s="175"/>
      <c r="AF872" s="175"/>
      <c r="AG872" s="175"/>
      <c r="AH872" s="175"/>
      <c r="AI872" s="175"/>
      <c r="AJ872" s="175"/>
    </row>
    <row r="873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  <c r="AA873" s="175"/>
      <c r="AB873" s="175"/>
      <c r="AC873" s="175"/>
      <c r="AD873" s="175"/>
      <c r="AE873" s="175"/>
      <c r="AF873" s="175"/>
      <c r="AG873" s="175"/>
      <c r="AH873" s="175"/>
      <c r="AI873" s="175"/>
      <c r="AJ873" s="175"/>
    </row>
    <row r="874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  <c r="AA874" s="175"/>
      <c r="AB874" s="175"/>
      <c r="AC874" s="175"/>
      <c r="AD874" s="175"/>
      <c r="AE874" s="175"/>
      <c r="AF874" s="175"/>
      <c r="AG874" s="175"/>
      <c r="AH874" s="175"/>
      <c r="AI874" s="175"/>
      <c r="AJ874" s="175"/>
    </row>
    <row r="875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  <c r="AA875" s="175"/>
      <c r="AB875" s="175"/>
      <c r="AC875" s="175"/>
      <c r="AD875" s="175"/>
      <c r="AE875" s="175"/>
      <c r="AF875" s="175"/>
      <c r="AG875" s="175"/>
      <c r="AH875" s="175"/>
      <c r="AI875" s="175"/>
      <c r="AJ875" s="175"/>
    </row>
    <row r="876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  <c r="AA876" s="175"/>
      <c r="AB876" s="175"/>
      <c r="AC876" s="175"/>
      <c r="AD876" s="175"/>
      <c r="AE876" s="175"/>
      <c r="AF876" s="175"/>
      <c r="AG876" s="175"/>
      <c r="AH876" s="175"/>
      <c r="AI876" s="175"/>
      <c r="AJ876" s="175"/>
    </row>
    <row r="877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  <c r="AA877" s="175"/>
      <c r="AB877" s="175"/>
      <c r="AC877" s="175"/>
      <c r="AD877" s="175"/>
      <c r="AE877" s="175"/>
      <c r="AF877" s="175"/>
      <c r="AG877" s="175"/>
      <c r="AH877" s="175"/>
      <c r="AI877" s="175"/>
      <c r="AJ877" s="175"/>
    </row>
    <row r="878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  <c r="AA878" s="175"/>
      <c r="AB878" s="175"/>
      <c r="AC878" s="175"/>
      <c r="AD878" s="175"/>
      <c r="AE878" s="175"/>
      <c r="AF878" s="175"/>
      <c r="AG878" s="175"/>
      <c r="AH878" s="175"/>
      <c r="AI878" s="175"/>
      <c r="AJ878" s="175"/>
    </row>
    <row r="879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  <c r="AA879" s="175"/>
      <c r="AB879" s="175"/>
      <c r="AC879" s="175"/>
      <c r="AD879" s="175"/>
      <c r="AE879" s="175"/>
      <c r="AF879" s="175"/>
      <c r="AG879" s="175"/>
      <c r="AH879" s="175"/>
      <c r="AI879" s="175"/>
      <c r="AJ879" s="175"/>
    </row>
    <row r="880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  <c r="AA880" s="175"/>
      <c r="AB880" s="175"/>
      <c r="AC880" s="175"/>
      <c r="AD880" s="175"/>
      <c r="AE880" s="175"/>
      <c r="AF880" s="175"/>
      <c r="AG880" s="175"/>
      <c r="AH880" s="175"/>
      <c r="AI880" s="175"/>
      <c r="AJ880" s="175"/>
    </row>
    <row r="88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  <c r="AA881" s="175"/>
      <c r="AB881" s="175"/>
      <c r="AC881" s="175"/>
      <c r="AD881" s="175"/>
      <c r="AE881" s="175"/>
      <c r="AF881" s="175"/>
      <c r="AG881" s="175"/>
      <c r="AH881" s="175"/>
      <c r="AI881" s="175"/>
      <c r="AJ881" s="175"/>
    </row>
    <row r="882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  <c r="AA882" s="175"/>
      <c r="AB882" s="175"/>
      <c r="AC882" s="175"/>
      <c r="AD882" s="175"/>
      <c r="AE882" s="175"/>
      <c r="AF882" s="175"/>
      <c r="AG882" s="175"/>
      <c r="AH882" s="175"/>
      <c r="AI882" s="175"/>
      <c r="AJ882" s="175"/>
    </row>
    <row r="883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  <c r="AA883" s="175"/>
      <c r="AB883" s="175"/>
      <c r="AC883" s="175"/>
      <c r="AD883" s="175"/>
      <c r="AE883" s="175"/>
      <c r="AF883" s="175"/>
      <c r="AG883" s="175"/>
      <c r="AH883" s="175"/>
      <c r="AI883" s="175"/>
      <c r="AJ883" s="175"/>
    </row>
    <row r="884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  <c r="AA884" s="175"/>
      <c r="AB884" s="175"/>
      <c r="AC884" s="175"/>
      <c r="AD884" s="175"/>
      <c r="AE884" s="175"/>
      <c r="AF884" s="175"/>
      <c r="AG884" s="175"/>
      <c r="AH884" s="175"/>
      <c r="AI884" s="175"/>
      <c r="AJ884" s="175"/>
    </row>
    <row r="885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  <c r="AA885" s="175"/>
      <c r="AB885" s="175"/>
      <c r="AC885" s="175"/>
      <c r="AD885" s="175"/>
      <c r="AE885" s="175"/>
      <c r="AF885" s="175"/>
      <c r="AG885" s="175"/>
      <c r="AH885" s="175"/>
      <c r="AI885" s="175"/>
      <c r="AJ885" s="175"/>
    </row>
    <row r="886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  <c r="AA886" s="175"/>
      <c r="AB886" s="175"/>
      <c r="AC886" s="175"/>
      <c r="AD886" s="175"/>
      <c r="AE886" s="175"/>
      <c r="AF886" s="175"/>
      <c r="AG886" s="175"/>
      <c r="AH886" s="175"/>
      <c r="AI886" s="175"/>
      <c r="AJ886" s="175"/>
    </row>
    <row r="887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  <c r="AA887" s="175"/>
      <c r="AB887" s="175"/>
      <c r="AC887" s="175"/>
      <c r="AD887" s="175"/>
      <c r="AE887" s="175"/>
      <c r="AF887" s="175"/>
      <c r="AG887" s="175"/>
      <c r="AH887" s="175"/>
      <c r="AI887" s="175"/>
      <c r="AJ887" s="175"/>
    </row>
    <row r="888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  <c r="AA888" s="175"/>
      <c r="AB888" s="175"/>
      <c r="AC888" s="175"/>
      <c r="AD888" s="175"/>
      <c r="AE888" s="175"/>
      <c r="AF888" s="175"/>
      <c r="AG888" s="175"/>
      <c r="AH888" s="175"/>
      <c r="AI888" s="175"/>
      <c r="AJ888" s="175"/>
    </row>
    <row r="889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  <c r="AA889" s="175"/>
      <c r="AB889" s="175"/>
      <c r="AC889" s="175"/>
      <c r="AD889" s="175"/>
      <c r="AE889" s="175"/>
      <c r="AF889" s="175"/>
      <c r="AG889" s="175"/>
      <c r="AH889" s="175"/>
      <c r="AI889" s="175"/>
      <c r="AJ889" s="175"/>
    </row>
    <row r="890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  <c r="AA890" s="175"/>
      <c r="AB890" s="175"/>
      <c r="AC890" s="175"/>
      <c r="AD890" s="175"/>
      <c r="AE890" s="175"/>
      <c r="AF890" s="175"/>
      <c r="AG890" s="175"/>
      <c r="AH890" s="175"/>
      <c r="AI890" s="175"/>
      <c r="AJ890" s="175"/>
    </row>
    <row r="89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  <c r="AA891" s="175"/>
      <c r="AB891" s="175"/>
      <c r="AC891" s="175"/>
      <c r="AD891" s="175"/>
      <c r="AE891" s="175"/>
      <c r="AF891" s="175"/>
      <c r="AG891" s="175"/>
      <c r="AH891" s="175"/>
      <c r="AI891" s="175"/>
      <c r="AJ891" s="175"/>
    </row>
    <row r="892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  <c r="AA892" s="175"/>
      <c r="AB892" s="175"/>
      <c r="AC892" s="175"/>
      <c r="AD892" s="175"/>
      <c r="AE892" s="175"/>
      <c r="AF892" s="175"/>
      <c r="AG892" s="175"/>
      <c r="AH892" s="175"/>
      <c r="AI892" s="175"/>
      <c r="AJ892" s="175"/>
    </row>
    <row r="893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  <c r="AA893" s="175"/>
      <c r="AB893" s="175"/>
      <c r="AC893" s="175"/>
      <c r="AD893" s="175"/>
      <c r="AE893" s="175"/>
      <c r="AF893" s="175"/>
      <c r="AG893" s="175"/>
      <c r="AH893" s="175"/>
      <c r="AI893" s="175"/>
      <c r="AJ893" s="175"/>
    </row>
    <row r="894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  <c r="AA894" s="175"/>
      <c r="AB894" s="175"/>
      <c r="AC894" s="175"/>
      <c r="AD894" s="175"/>
      <c r="AE894" s="175"/>
      <c r="AF894" s="175"/>
      <c r="AG894" s="175"/>
      <c r="AH894" s="175"/>
      <c r="AI894" s="175"/>
      <c r="AJ894" s="175"/>
    </row>
    <row r="895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  <c r="AA895" s="175"/>
      <c r="AB895" s="175"/>
      <c r="AC895" s="175"/>
      <c r="AD895" s="175"/>
      <c r="AE895" s="175"/>
      <c r="AF895" s="175"/>
      <c r="AG895" s="175"/>
      <c r="AH895" s="175"/>
      <c r="AI895" s="175"/>
      <c r="AJ895" s="175"/>
    </row>
    <row r="896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  <c r="AA896" s="175"/>
      <c r="AB896" s="175"/>
      <c r="AC896" s="175"/>
      <c r="AD896" s="175"/>
      <c r="AE896" s="175"/>
      <c r="AF896" s="175"/>
      <c r="AG896" s="175"/>
      <c r="AH896" s="175"/>
      <c r="AI896" s="175"/>
      <c r="AJ896" s="175"/>
    </row>
    <row r="897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  <c r="AA897" s="175"/>
      <c r="AB897" s="175"/>
      <c r="AC897" s="175"/>
      <c r="AD897" s="175"/>
      <c r="AE897" s="175"/>
      <c r="AF897" s="175"/>
      <c r="AG897" s="175"/>
      <c r="AH897" s="175"/>
      <c r="AI897" s="175"/>
      <c r="AJ897" s="175"/>
    </row>
    <row r="898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  <c r="AA898" s="175"/>
      <c r="AB898" s="175"/>
      <c r="AC898" s="175"/>
      <c r="AD898" s="175"/>
      <c r="AE898" s="175"/>
      <c r="AF898" s="175"/>
      <c r="AG898" s="175"/>
      <c r="AH898" s="175"/>
      <c r="AI898" s="175"/>
      <c r="AJ898" s="175"/>
    </row>
    <row r="899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  <c r="AA899" s="175"/>
      <c r="AB899" s="175"/>
      <c r="AC899" s="175"/>
      <c r="AD899" s="175"/>
      <c r="AE899" s="175"/>
      <c r="AF899" s="175"/>
      <c r="AG899" s="175"/>
      <c r="AH899" s="175"/>
      <c r="AI899" s="175"/>
      <c r="AJ899" s="175"/>
    </row>
    <row r="900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  <c r="AA900" s="175"/>
      <c r="AB900" s="175"/>
      <c r="AC900" s="175"/>
      <c r="AD900" s="175"/>
      <c r="AE900" s="175"/>
      <c r="AF900" s="175"/>
      <c r="AG900" s="175"/>
      <c r="AH900" s="175"/>
      <c r="AI900" s="175"/>
      <c r="AJ900" s="175"/>
    </row>
    <row r="90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  <c r="AA901" s="175"/>
      <c r="AB901" s="175"/>
      <c r="AC901" s="175"/>
      <c r="AD901" s="175"/>
      <c r="AE901" s="175"/>
      <c r="AF901" s="175"/>
      <c r="AG901" s="175"/>
      <c r="AH901" s="175"/>
      <c r="AI901" s="175"/>
      <c r="AJ901" s="175"/>
    </row>
    <row r="902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  <c r="AA902" s="175"/>
      <c r="AB902" s="175"/>
      <c r="AC902" s="175"/>
      <c r="AD902" s="175"/>
      <c r="AE902" s="175"/>
      <c r="AF902" s="175"/>
      <c r="AG902" s="175"/>
      <c r="AH902" s="175"/>
      <c r="AI902" s="175"/>
      <c r="AJ902" s="175"/>
    </row>
    <row r="903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  <c r="AA903" s="175"/>
      <c r="AB903" s="175"/>
      <c r="AC903" s="175"/>
      <c r="AD903" s="175"/>
      <c r="AE903" s="175"/>
      <c r="AF903" s="175"/>
      <c r="AG903" s="175"/>
      <c r="AH903" s="175"/>
      <c r="AI903" s="175"/>
      <c r="AJ903" s="175"/>
    </row>
    <row r="904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  <c r="AA904" s="175"/>
      <c r="AB904" s="175"/>
      <c r="AC904" s="175"/>
      <c r="AD904" s="175"/>
      <c r="AE904" s="175"/>
      <c r="AF904" s="175"/>
      <c r="AG904" s="175"/>
      <c r="AH904" s="175"/>
      <c r="AI904" s="175"/>
      <c r="AJ904" s="175"/>
    </row>
    <row r="905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  <c r="AA905" s="175"/>
      <c r="AB905" s="175"/>
      <c r="AC905" s="175"/>
      <c r="AD905" s="175"/>
      <c r="AE905" s="175"/>
      <c r="AF905" s="175"/>
      <c r="AG905" s="175"/>
      <c r="AH905" s="175"/>
      <c r="AI905" s="175"/>
      <c r="AJ905" s="175"/>
    </row>
    <row r="906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  <c r="AA906" s="175"/>
      <c r="AB906" s="175"/>
      <c r="AC906" s="175"/>
      <c r="AD906" s="175"/>
      <c r="AE906" s="175"/>
      <c r="AF906" s="175"/>
      <c r="AG906" s="175"/>
      <c r="AH906" s="175"/>
      <c r="AI906" s="175"/>
      <c r="AJ906" s="175"/>
    </row>
    <row r="907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  <c r="AA907" s="175"/>
      <c r="AB907" s="175"/>
      <c r="AC907" s="175"/>
      <c r="AD907" s="175"/>
      <c r="AE907" s="175"/>
      <c r="AF907" s="175"/>
      <c r="AG907" s="175"/>
      <c r="AH907" s="175"/>
      <c r="AI907" s="175"/>
      <c r="AJ907" s="175"/>
    </row>
    <row r="908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  <c r="AA908" s="175"/>
      <c r="AB908" s="175"/>
      <c r="AC908" s="175"/>
      <c r="AD908" s="175"/>
      <c r="AE908" s="175"/>
      <c r="AF908" s="175"/>
      <c r="AG908" s="175"/>
      <c r="AH908" s="175"/>
      <c r="AI908" s="175"/>
      <c r="AJ908" s="175"/>
    </row>
    <row r="909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  <c r="AA909" s="175"/>
      <c r="AB909" s="175"/>
      <c r="AC909" s="175"/>
      <c r="AD909" s="175"/>
      <c r="AE909" s="175"/>
      <c r="AF909" s="175"/>
      <c r="AG909" s="175"/>
      <c r="AH909" s="175"/>
      <c r="AI909" s="175"/>
      <c r="AJ909" s="175"/>
    </row>
    <row r="910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  <c r="AA910" s="175"/>
      <c r="AB910" s="175"/>
      <c r="AC910" s="175"/>
      <c r="AD910" s="175"/>
      <c r="AE910" s="175"/>
      <c r="AF910" s="175"/>
      <c r="AG910" s="175"/>
      <c r="AH910" s="175"/>
      <c r="AI910" s="175"/>
      <c r="AJ910" s="175"/>
    </row>
    <row r="91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  <c r="AA911" s="175"/>
      <c r="AB911" s="175"/>
      <c r="AC911" s="175"/>
      <c r="AD911" s="175"/>
      <c r="AE911" s="175"/>
      <c r="AF911" s="175"/>
      <c r="AG911" s="175"/>
      <c r="AH911" s="175"/>
      <c r="AI911" s="175"/>
      <c r="AJ911" s="175"/>
    </row>
    <row r="912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  <c r="AA912" s="175"/>
      <c r="AB912" s="175"/>
      <c r="AC912" s="175"/>
      <c r="AD912" s="175"/>
      <c r="AE912" s="175"/>
      <c r="AF912" s="175"/>
      <c r="AG912" s="175"/>
      <c r="AH912" s="175"/>
      <c r="AI912" s="175"/>
      <c r="AJ912" s="175"/>
    </row>
    <row r="913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  <c r="AA913" s="175"/>
      <c r="AB913" s="175"/>
      <c r="AC913" s="175"/>
      <c r="AD913" s="175"/>
      <c r="AE913" s="175"/>
      <c r="AF913" s="175"/>
      <c r="AG913" s="175"/>
      <c r="AH913" s="175"/>
      <c r="AI913" s="175"/>
      <c r="AJ913" s="175"/>
    </row>
    <row r="914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  <c r="AA914" s="175"/>
      <c r="AB914" s="175"/>
      <c r="AC914" s="175"/>
      <c r="AD914" s="175"/>
      <c r="AE914" s="175"/>
      <c r="AF914" s="175"/>
      <c r="AG914" s="175"/>
      <c r="AH914" s="175"/>
      <c r="AI914" s="175"/>
      <c r="AJ914" s="175"/>
    </row>
    <row r="915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  <c r="AA915" s="175"/>
      <c r="AB915" s="175"/>
      <c r="AC915" s="175"/>
      <c r="AD915" s="175"/>
      <c r="AE915" s="175"/>
      <c r="AF915" s="175"/>
      <c r="AG915" s="175"/>
      <c r="AH915" s="175"/>
      <c r="AI915" s="175"/>
      <c r="AJ915" s="175"/>
    </row>
    <row r="916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  <c r="AA916" s="175"/>
      <c r="AB916" s="175"/>
      <c r="AC916" s="175"/>
      <c r="AD916" s="175"/>
      <c r="AE916" s="175"/>
      <c r="AF916" s="175"/>
      <c r="AG916" s="175"/>
      <c r="AH916" s="175"/>
      <c r="AI916" s="175"/>
      <c r="AJ916" s="175"/>
    </row>
    <row r="917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  <c r="AA917" s="175"/>
      <c r="AB917" s="175"/>
      <c r="AC917" s="175"/>
      <c r="AD917" s="175"/>
      <c r="AE917" s="175"/>
      <c r="AF917" s="175"/>
      <c r="AG917" s="175"/>
      <c r="AH917" s="175"/>
      <c r="AI917" s="175"/>
      <c r="AJ917" s="175"/>
    </row>
    <row r="918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  <c r="AA918" s="175"/>
      <c r="AB918" s="175"/>
      <c r="AC918" s="175"/>
      <c r="AD918" s="175"/>
      <c r="AE918" s="175"/>
      <c r="AF918" s="175"/>
      <c r="AG918" s="175"/>
      <c r="AH918" s="175"/>
      <c r="AI918" s="175"/>
      <c r="AJ918" s="175"/>
    </row>
    <row r="919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  <c r="AA919" s="175"/>
      <c r="AB919" s="175"/>
      <c r="AC919" s="175"/>
      <c r="AD919" s="175"/>
      <c r="AE919" s="175"/>
      <c r="AF919" s="175"/>
      <c r="AG919" s="175"/>
      <c r="AH919" s="175"/>
      <c r="AI919" s="175"/>
      <c r="AJ919" s="175"/>
    </row>
    <row r="920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  <c r="AA920" s="175"/>
      <c r="AB920" s="175"/>
      <c r="AC920" s="175"/>
      <c r="AD920" s="175"/>
      <c r="AE920" s="175"/>
      <c r="AF920" s="175"/>
      <c r="AG920" s="175"/>
      <c r="AH920" s="175"/>
      <c r="AI920" s="175"/>
      <c r="AJ920" s="175"/>
    </row>
    <row r="92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  <c r="AA921" s="175"/>
      <c r="AB921" s="175"/>
      <c r="AC921" s="175"/>
      <c r="AD921" s="175"/>
      <c r="AE921" s="175"/>
      <c r="AF921" s="175"/>
      <c r="AG921" s="175"/>
      <c r="AH921" s="175"/>
      <c r="AI921" s="175"/>
      <c r="AJ921" s="175"/>
    </row>
    <row r="922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  <c r="AA922" s="175"/>
      <c r="AB922" s="175"/>
      <c r="AC922" s="175"/>
      <c r="AD922" s="175"/>
      <c r="AE922" s="175"/>
      <c r="AF922" s="175"/>
      <c r="AG922" s="175"/>
      <c r="AH922" s="175"/>
      <c r="AI922" s="175"/>
      <c r="AJ922" s="175"/>
    </row>
    <row r="923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  <c r="AA923" s="175"/>
      <c r="AB923" s="175"/>
      <c r="AC923" s="175"/>
      <c r="AD923" s="175"/>
      <c r="AE923" s="175"/>
      <c r="AF923" s="175"/>
      <c r="AG923" s="175"/>
      <c r="AH923" s="175"/>
      <c r="AI923" s="175"/>
      <c r="AJ923" s="175"/>
    </row>
    <row r="924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  <c r="AA924" s="175"/>
      <c r="AB924" s="175"/>
      <c r="AC924" s="175"/>
      <c r="AD924" s="175"/>
      <c r="AE924" s="175"/>
      <c r="AF924" s="175"/>
      <c r="AG924" s="175"/>
      <c r="AH924" s="175"/>
      <c r="AI924" s="175"/>
      <c r="AJ924" s="175"/>
    </row>
    <row r="925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  <c r="AA925" s="175"/>
      <c r="AB925" s="175"/>
      <c r="AC925" s="175"/>
      <c r="AD925" s="175"/>
      <c r="AE925" s="175"/>
      <c r="AF925" s="175"/>
      <c r="AG925" s="175"/>
      <c r="AH925" s="175"/>
      <c r="AI925" s="175"/>
      <c r="AJ925" s="175"/>
    </row>
    <row r="926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  <c r="AA926" s="175"/>
      <c r="AB926" s="175"/>
      <c r="AC926" s="175"/>
      <c r="AD926" s="175"/>
      <c r="AE926" s="175"/>
      <c r="AF926" s="175"/>
      <c r="AG926" s="175"/>
      <c r="AH926" s="175"/>
      <c r="AI926" s="175"/>
      <c r="AJ926" s="175"/>
    </row>
    <row r="927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  <c r="AA927" s="175"/>
      <c r="AB927" s="175"/>
      <c r="AC927" s="175"/>
      <c r="AD927" s="175"/>
      <c r="AE927" s="175"/>
      <c r="AF927" s="175"/>
      <c r="AG927" s="175"/>
      <c r="AH927" s="175"/>
      <c r="AI927" s="175"/>
      <c r="AJ927" s="175"/>
    </row>
    <row r="928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  <c r="AA928" s="175"/>
      <c r="AB928" s="175"/>
      <c r="AC928" s="175"/>
      <c r="AD928" s="175"/>
      <c r="AE928" s="175"/>
      <c r="AF928" s="175"/>
      <c r="AG928" s="175"/>
      <c r="AH928" s="175"/>
      <c r="AI928" s="175"/>
      <c r="AJ928" s="175"/>
    </row>
    <row r="929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  <c r="AA929" s="175"/>
      <c r="AB929" s="175"/>
      <c r="AC929" s="175"/>
      <c r="AD929" s="175"/>
      <c r="AE929" s="175"/>
      <c r="AF929" s="175"/>
      <c r="AG929" s="175"/>
      <c r="AH929" s="175"/>
      <c r="AI929" s="175"/>
      <c r="AJ929" s="175"/>
    </row>
    <row r="930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  <c r="AA930" s="175"/>
      <c r="AB930" s="175"/>
      <c r="AC930" s="175"/>
      <c r="AD930" s="175"/>
      <c r="AE930" s="175"/>
      <c r="AF930" s="175"/>
      <c r="AG930" s="175"/>
      <c r="AH930" s="175"/>
      <c r="AI930" s="175"/>
      <c r="AJ930" s="175"/>
    </row>
    <row r="93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  <c r="AA931" s="175"/>
      <c r="AB931" s="175"/>
      <c r="AC931" s="175"/>
      <c r="AD931" s="175"/>
      <c r="AE931" s="175"/>
      <c r="AF931" s="175"/>
      <c r="AG931" s="175"/>
      <c r="AH931" s="175"/>
      <c r="AI931" s="175"/>
      <c r="AJ931" s="175"/>
    </row>
    <row r="932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  <c r="AA932" s="175"/>
      <c r="AB932" s="175"/>
      <c r="AC932" s="175"/>
      <c r="AD932" s="175"/>
      <c r="AE932" s="175"/>
      <c r="AF932" s="175"/>
      <c r="AG932" s="175"/>
      <c r="AH932" s="175"/>
      <c r="AI932" s="175"/>
      <c r="AJ932" s="175"/>
    </row>
    <row r="933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  <c r="AA933" s="175"/>
      <c r="AB933" s="175"/>
      <c r="AC933" s="175"/>
      <c r="AD933" s="175"/>
      <c r="AE933" s="175"/>
      <c r="AF933" s="175"/>
      <c r="AG933" s="175"/>
      <c r="AH933" s="175"/>
      <c r="AI933" s="175"/>
      <c r="AJ933" s="175"/>
    </row>
    <row r="934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  <c r="AA934" s="175"/>
      <c r="AB934" s="175"/>
      <c r="AC934" s="175"/>
      <c r="AD934" s="175"/>
      <c r="AE934" s="175"/>
      <c r="AF934" s="175"/>
      <c r="AG934" s="175"/>
      <c r="AH934" s="175"/>
      <c r="AI934" s="175"/>
      <c r="AJ934" s="175"/>
    </row>
    <row r="935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  <c r="AA935" s="175"/>
      <c r="AB935" s="175"/>
      <c r="AC935" s="175"/>
      <c r="AD935" s="175"/>
      <c r="AE935" s="175"/>
      <c r="AF935" s="175"/>
      <c r="AG935" s="175"/>
      <c r="AH935" s="175"/>
      <c r="AI935" s="175"/>
      <c r="AJ935" s="175"/>
    </row>
    <row r="936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  <c r="AA936" s="175"/>
      <c r="AB936" s="175"/>
      <c r="AC936" s="175"/>
      <c r="AD936" s="175"/>
      <c r="AE936" s="175"/>
      <c r="AF936" s="175"/>
      <c r="AG936" s="175"/>
      <c r="AH936" s="175"/>
      <c r="AI936" s="175"/>
      <c r="AJ936" s="175"/>
    </row>
    <row r="937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  <c r="AA937" s="175"/>
      <c r="AB937" s="175"/>
      <c r="AC937" s="175"/>
      <c r="AD937" s="175"/>
      <c r="AE937" s="175"/>
      <c r="AF937" s="175"/>
      <c r="AG937" s="175"/>
      <c r="AH937" s="175"/>
      <c r="AI937" s="175"/>
      <c r="AJ937" s="175"/>
    </row>
    <row r="938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  <c r="AA938" s="175"/>
      <c r="AB938" s="175"/>
      <c r="AC938" s="175"/>
      <c r="AD938" s="175"/>
      <c r="AE938" s="175"/>
      <c r="AF938" s="175"/>
      <c r="AG938" s="175"/>
      <c r="AH938" s="175"/>
      <c r="AI938" s="175"/>
      <c r="AJ938" s="175"/>
    </row>
    <row r="939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  <c r="AA939" s="175"/>
      <c r="AB939" s="175"/>
      <c r="AC939" s="175"/>
      <c r="AD939" s="175"/>
      <c r="AE939" s="175"/>
      <c r="AF939" s="175"/>
      <c r="AG939" s="175"/>
      <c r="AH939" s="175"/>
      <c r="AI939" s="175"/>
      <c r="AJ939" s="175"/>
    </row>
    <row r="940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  <c r="AA940" s="175"/>
      <c r="AB940" s="175"/>
      <c r="AC940" s="175"/>
      <c r="AD940" s="175"/>
      <c r="AE940" s="175"/>
      <c r="AF940" s="175"/>
      <c r="AG940" s="175"/>
      <c r="AH940" s="175"/>
      <c r="AI940" s="175"/>
      <c r="AJ940" s="175"/>
    </row>
    <row r="94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  <c r="AA941" s="175"/>
      <c r="AB941" s="175"/>
      <c r="AC941" s="175"/>
      <c r="AD941" s="175"/>
      <c r="AE941" s="175"/>
      <c r="AF941" s="175"/>
      <c r="AG941" s="175"/>
      <c r="AH941" s="175"/>
      <c r="AI941" s="175"/>
      <c r="AJ941" s="175"/>
    </row>
    <row r="942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  <c r="AA942" s="175"/>
      <c r="AB942" s="175"/>
      <c r="AC942" s="175"/>
      <c r="AD942" s="175"/>
      <c r="AE942" s="175"/>
      <c r="AF942" s="175"/>
      <c r="AG942" s="175"/>
      <c r="AH942" s="175"/>
      <c r="AI942" s="175"/>
      <c r="AJ942" s="175"/>
    </row>
    <row r="943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  <c r="AA943" s="175"/>
      <c r="AB943" s="175"/>
      <c r="AC943" s="175"/>
      <c r="AD943" s="175"/>
      <c r="AE943" s="175"/>
      <c r="AF943" s="175"/>
      <c r="AG943" s="175"/>
      <c r="AH943" s="175"/>
      <c r="AI943" s="175"/>
      <c r="AJ943" s="175"/>
    </row>
    <row r="944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  <c r="AA944" s="175"/>
      <c r="AB944" s="175"/>
      <c r="AC944" s="175"/>
      <c r="AD944" s="175"/>
      <c r="AE944" s="175"/>
      <c r="AF944" s="175"/>
      <c r="AG944" s="175"/>
      <c r="AH944" s="175"/>
      <c r="AI944" s="175"/>
      <c r="AJ944" s="175"/>
    </row>
    <row r="945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  <c r="AA945" s="175"/>
      <c r="AB945" s="175"/>
      <c r="AC945" s="175"/>
      <c r="AD945" s="175"/>
      <c r="AE945" s="175"/>
      <c r="AF945" s="175"/>
      <c r="AG945" s="175"/>
      <c r="AH945" s="175"/>
      <c r="AI945" s="175"/>
      <c r="AJ945" s="175"/>
    </row>
    <row r="946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  <c r="AA946" s="175"/>
      <c r="AB946" s="175"/>
      <c r="AC946" s="175"/>
      <c r="AD946" s="175"/>
      <c r="AE946" s="175"/>
      <c r="AF946" s="175"/>
      <c r="AG946" s="175"/>
      <c r="AH946" s="175"/>
      <c r="AI946" s="175"/>
      <c r="AJ946" s="175"/>
    </row>
    <row r="947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  <c r="AA947" s="175"/>
      <c r="AB947" s="175"/>
      <c r="AC947" s="175"/>
      <c r="AD947" s="175"/>
      <c r="AE947" s="175"/>
      <c r="AF947" s="175"/>
      <c r="AG947" s="175"/>
      <c r="AH947" s="175"/>
      <c r="AI947" s="175"/>
      <c r="AJ947" s="175"/>
    </row>
    <row r="948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  <c r="AA948" s="175"/>
      <c r="AB948" s="175"/>
      <c r="AC948" s="175"/>
      <c r="AD948" s="175"/>
      <c r="AE948" s="175"/>
      <c r="AF948" s="175"/>
      <c r="AG948" s="175"/>
      <c r="AH948" s="175"/>
      <c r="AI948" s="175"/>
      <c r="AJ948" s="175"/>
    </row>
    <row r="949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  <c r="AA949" s="175"/>
      <c r="AB949" s="175"/>
      <c r="AC949" s="175"/>
      <c r="AD949" s="175"/>
      <c r="AE949" s="175"/>
      <c r="AF949" s="175"/>
      <c r="AG949" s="175"/>
      <c r="AH949" s="175"/>
      <c r="AI949" s="175"/>
      <c r="AJ949" s="175"/>
    </row>
    <row r="950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  <c r="AA950" s="175"/>
      <c r="AB950" s="175"/>
      <c r="AC950" s="175"/>
      <c r="AD950" s="175"/>
      <c r="AE950" s="175"/>
      <c r="AF950" s="175"/>
      <c r="AG950" s="175"/>
      <c r="AH950" s="175"/>
      <c r="AI950" s="175"/>
      <c r="AJ950" s="175"/>
    </row>
    <row r="95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  <c r="AA951" s="175"/>
      <c r="AB951" s="175"/>
      <c r="AC951" s="175"/>
      <c r="AD951" s="175"/>
      <c r="AE951" s="175"/>
      <c r="AF951" s="175"/>
      <c r="AG951" s="175"/>
      <c r="AH951" s="175"/>
      <c r="AI951" s="175"/>
      <c r="AJ951" s="175"/>
    </row>
    <row r="952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  <c r="AA952" s="175"/>
      <c r="AB952" s="175"/>
      <c r="AC952" s="175"/>
      <c r="AD952" s="175"/>
      <c r="AE952" s="175"/>
      <c r="AF952" s="175"/>
      <c r="AG952" s="175"/>
      <c r="AH952" s="175"/>
      <c r="AI952" s="175"/>
      <c r="AJ952" s="175"/>
    </row>
    <row r="953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  <c r="AA953" s="175"/>
      <c r="AB953" s="175"/>
      <c r="AC953" s="175"/>
      <c r="AD953" s="175"/>
      <c r="AE953" s="175"/>
      <c r="AF953" s="175"/>
      <c r="AG953" s="175"/>
      <c r="AH953" s="175"/>
      <c r="AI953" s="175"/>
      <c r="AJ953" s="175"/>
    </row>
    <row r="954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  <c r="AA954" s="175"/>
      <c r="AB954" s="175"/>
      <c r="AC954" s="175"/>
      <c r="AD954" s="175"/>
      <c r="AE954" s="175"/>
      <c r="AF954" s="175"/>
      <c r="AG954" s="175"/>
      <c r="AH954" s="175"/>
      <c r="AI954" s="175"/>
      <c r="AJ954" s="175"/>
    </row>
    <row r="955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  <c r="AA955" s="175"/>
      <c r="AB955" s="175"/>
      <c r="AC955" s="175"/>
      <c r="AD955" s="175"/>
      <c r="AE955" s="175"/>
      <c r="AF955" s="175"/>
      <c r="AG955" s="175"/>
      <c r="AH955" s="175"/>
      <c r="AI955" s="175"/>
      <c r="AJ955" s="175"/>
    </row>
    <row r="956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  <c r="AA956" s="175"/>
      <c r="AB956" s="175"/>
      <c r="AC956" s="175"/>
      <c r="AD956" s="175"/>
      <c r="AE956" s="175"/>
      <c r="AF956" s="175"/>
      <c r="AG956" s="175"/>
      <c r="AH956" s="175"/>
      <c r="AI956" s="175"/>
      <c r="AJ956" s="175"/>
    </row>
    <row r="957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  <c r="AA957" s="175"/>
      <c r="AB957" s="175"/>
      <c r="AC957" s="175"/>
      <c r="AD957" s="175"/>
      <c r="AE957" s="175"/>
      <c r="AF957" s="175"/>
      <c r="AG957" s="175"/>
      <c r="AH957" s="175"/>
      <c r="AI957" s="175"/>
      <c r="AJ957" s="175"/>
    </row>
    <row r="958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  <c r="AA958" s="175"/>
      <c r="AB958" s="175"/>
      <c r="AC958" s="175"/>
      <c r="AD958" s="175"/>
      <c r="AE958" s="175"/>
      <c r="AF958" s="175"/>
      <c r="AG958" s="175"/>
      <c r="AH958" s="175"/>
      <c r="AI958" s="175"/>
      <c r="AJ958" s="175"/>
    </row>
    <row r="959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  <c r="AA959" s="175"/>
      <c r="AB959" s="175"/>
      <c r="AC959" s="175"/>
      <c r="AD959" s="175"/>
      <c r="AE959" s="175"/>
      <c r="AF959" s="175"/>
      <c r="AG959" s="175"/>
      <c r="AH959" s="175"/>
      <c r="AI959" s="175"/>
      <c r="AJ959" s="175"/>
    </row>
    <row r="960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  <c r="AA960" s="175"/>
      <c r="AB960" s="175"/>
      <c r="AC960" s="175"/>
      <c r="AD960" s="175"/>
      <c r="AE960" s="175"/>
      <c r="AF960" s="175"/>
      <c r="AG960" s="175"/>
      <c r="AH960" s="175"/>
      <c r="AI960" s="175"/>
      <c r="AJ960" s="175"/>
    </row>
    <row r="96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  <c r="AA961" s="175"/>
      <c r="AB961" s="175"/>
      <c r="AC961" s="175"/>
      <c r="AD961" s="175"/>
      <c r="AE961" s="175"/>
      <c r="AF961" s="175"/>
      <c r="AG961" s="175"/>
      <c r="AH961" s="175"/>
      <c r="AI961" s="175"/>
      <c r="AJ961" s="175"/>
    </row>
    <row r="962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  <c r="AA962" s="175"/>
      <c r="AB962" s="175"/>
      <c r="AC962" s="175"/>
      <c r="AD962" s="175"/>
      <c r="AE962" s="175"/>
      <c r="AF962" s="175"/>
      <c r="AG962" s="175"/>
      <c r="AH962" s="175"/>
      <c r="AI962" s="175"/>
      <c r="AJ962" s="175"/>
    </row>
    <row r="963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  <c r="AA963" s="175"/>
      <c r="AB963" s="175"/>
      <c r="AC963" s="175"/>
      <c r="AD963" s="175"/>
      <c r="AE963" s="175"/>
      <c r="AF963" s="175"/>
      <c r="AG963" s="175"/>
      <c r="AH963" s="175"/>
      <c r="AI963" s="175"/>
      <c r="AJ963" s="175"/>
    </row>
    <row r="964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  <c r="AA964" s="175"/>
      <c r="AB964" s="175"/>
      <c r="AC964" s="175"/>
      <c r="AD964" s="175"/>
      <c r="AE964" s="175"/>
      <c r="AF964" s="175"/>
      <c r="AG964" s="175"/>
      <c r="AH964" s="175"/>
      <c r="AI964" s="175"/>
      <c r="AJ964" s="175"/>
    </row>
    <row r="965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  <c r="AA965" s="175"/>
      <c r="AB965" s="175"/>
      <c r="AC965" s="175"/>
      <c r="AD965" s="175"/>
      <c r="AE965" s="175"/>
      <c r="AF965" s="175"/>
      <c r="AG965" s="175"/>
      <c r="AH965" s="175"/>
      <c r="AI965" s="175"/>
      <c r="AJ965" s="175"/>
    </row>
    <row r="966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  <c r="AA966" s="175"/>
      <c r="AB966" s="175"/>
      <c r="AC966" s="175"/>
      <c r="AD966" s="175"/>
      <c r="AE966" s="175"/>
      <c r="AF966" s="175"/>
      <c r="AG966" s="175"/>
      <c r="AH966" s="175"/>
      <c r="AI966" s="175"/>
      <c r="AJ966" s="175"/>
    </row>
    <row r="967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  <c r="AA967" s="175"/>
      <c r="AB967" s="175"/>
      <c r="AC967" s="175"/>
      <c r="AD967" s="175"/>
      <c r="AE967" s="175"/>
      <c r="AF967" s="175"/>
      <c r="AG967" s="175"/>
      <c r="AH967" s="175"/>
      <c r="AI967" s="175"/>
      <c r="AJ967" s="175"/>
    </row>
    <row r="968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  <c r="AA968" s="175"/>
      <c r="AB968" s="175"/>
      <c r="AC968" s="175"/>
      <c r="AD968" s="175"/>
      <c r="AE968" s="175"/>
      <c r="AF968" s="175"/>
      <c r="AG968" s="175"/>
      <c r="AH968" s="175"/>
      <c r="AI968" s="175"/>
      <c r="AJ968" s="175"/>
    </row>
    <row r="969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  <c r="AA969" s="175"/>
      <c r="AB969" s="175"/>
      <c r="AC969" s="175"/>
      <c r="AD969" s="175"/>
      <c r="AE969" s="175"/>
      <c r="AF969" s="175"/>
      <c r="AG969" s="175"/>
      <c r="AH969" s="175"/>
      <c r="AI969" s="175"/>
      <c r="AJ969" s="175"/>
    </row>
    <row r="970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  <c r="AA970" s="175"/>
      <c r="AB970" s="175"/>
      <c r="AC970" s="175"/>
      <c r="AD970" s="175"/>
      <c r="AE970" s="175"/>
      <c r="AF970" s="175"/>
      <c r="AG970" s="175"/>
      <c r="AH970" s="175"/>
      <c r="AI970" s="175"/>
      <c r="AJ970" s="175"/>
    </row>
    <row r="97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  <c r="AA971" s="175"/>
      <c r="AB971" s="175"/>
      <c r="AC971" s="175"/>
      <c r="AD971" s="175"/>
      <c r="AE971" s="175"/>
      <c r="AF971" s="175"/>
      <c r="AG971" s="175"/>
      <c r="AH971" s="175"/>
      <c r="AI971" s="175"/>
      <c r="AJ971" s="175"/>
    </row>
    <row r="972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  <c r="AA972" s="175"/>
      <c r="AB972" s="175"/>
      <c r="AC972" s="175"/>
      <c r="AD972" s="175"/>
      <c r="AE972" s="175"/>
      <c r="AF972" s="175"/>
      <c r="AG972" s="175"/>
      <c r="AH972" s="175"/>
      <c r="AI972" s="175"/>
      <c r="AJ972" s="175"/>
    </row>
    <row r="973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  <c r="AA973" s="175"/>
      <c r="AB973" s="175"/>
      <c r="AC973" s="175"/>
      <c r="AD973" s="175"/>
      <c r="AE973" s="175"/>
      <c r="AF973" s="175"/>
      <c r="AG973" s="175"/>
      <c r="AH973" s="175"/>
      <c r="AI973" s="175"/>
      <c r="AJ973" s="175"/>
    </row>
    <row r="974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  <c r="AA974" s="175"/>
      <c r="AB974" s="175"/>
      <c r="AC974" s="175"/>
      <c r="AD974" s="175"/>
      <c r="AE974" s="175"/>
      <c r="AF974" s="175"/>
      <c r="AG974" s="175"/>
      <c r="AH974" s="175"/>
      <c r="AI974" s="175"/>
      <c r="AJ974" s="175"/>
    </row>
    <row r="975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  <c r="AA975" s="175"/>
      <c r="AB975" s="175"/>
      <c r="AC975" s="175"/>
      <c r="AD975" s="175"/>
      <c r="AE975" s="175"/>
      <c r="AF975" s="175"/>
      <c r="AG975" s="175"/>
      <c r="AH975" s="175"/>
      <c r="AI975" s="175"/>
      <c r="AJ975" s="175"/>
    </row>
    <row r="976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  <c r="AA976" s="175"/>
      <c r="AB976" s="175"/>
      <c r="AC976" s="175"/>
      <c r="AD976" s="175"/>
      <c r="AE976" s="175"/>
      <c r="AF976" s="175"/>
      <c r="AG976" s="175"/>
      <c r="AH976" s="175"/>
      <c r="AI976" s="175"/>
      <c r="AJ976" s="175"/>
    </row>
    <row r="977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  <c r="AA977" s="175"/>
      <c r="AB977" s="175"/>
      <c r="AC977" s="175"/>
      <c r="AD977" s="175"/>
      <c r="AE977" s="175"/>
      <c r="AF977" s="175"/>
      <c r="AG977" s="175"/>
      <c r="AH977" s="175"/>
      <c r="AI977" s="175"/>
      <c r="AJ977" s="175"/>
    </row>
    <row r="978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  <c r="AA978" s="175"/>
      <c r="AB978" s="175"/>
      <c r="AC978" s="175"/>
      <c r="AD978" s="175"/>
      <c r="AE978" s="175"/>
      <c r="AF978" s="175"/>
      <c r="AG978" s="175"/>
      <c r="AH978" s="175"/>
      <c r="AI978" s="175"/>
      <c r="AJ978" s="175"/>
    </row>
    <row r="979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  <c r="AA979" s="175"/>
      <c r="AB979" s="175"/>
      <c r="AC979" s="175"/>
      <c r="AD979" s="175"/>
      <c r="AE979" s="175"/>
      <c r="AF979" s="175"/>
      <c r="AG979" s="175"/>
      <c r="AH979" s="175"/>
      <c r="AI979" s="175"/>
      <c r="AJ979" s="175"/>
    </row>
    <row r="980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  <c r="AA980" s="175"/>
      <c r="AB980" s="175"/>
      <c r="AC980" s="175"/>
      <c r="AD980" s="175"/>
      <c r="AE980" s="175"/>
      <c r="AF980" s="175"/>
      <c r="AG980" s="175"/>
      <c r="AH980" s="175"/>
      <c r="AI980" s="175"/>
      <c r="AJ980" s="175"/>
    </row>
    <row r="98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  <c r="AA981" s="175"/>
      <c r="AB981" s="175"/>
      <c r="AC981" s="175"/>
      <c r="AD981" s="175"/>
      <c r="AE981" s="175"/>
      <c r="AF981" s="175"/>
      <c r="AG981" s="175"/>
      <c r="AH981" s="175"/>
      <c r="AI981" s="175"/>
      <c r="AJ981" s="175"/>
    </row>
    <row r="982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  <c r="AA982" s="175"/>
      <c r="AB982" s="175"/>
      <c r="AC982" s="175"/>
      <c r="AD982" s="175"/>
      <c r="AE982" s="175"/>
      <c r="AF982" s="175"/>
      <c r="AG982" s="175"/>
      <c r="AH982" s="175"/>
      <c r="AI982" s="175"/>
      <c r="AJ982" s="175"/>
    </row>
    <row r="983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  <c r="AA983" s="175"/>
      <c r="AB983" s="175"/>
      <c r="AC983" s="175"/>
      <c r="AD983" s="175"/>
      <c r="AE983" s="175"/>
      <c r="AF983" s="175"/>
      <c r="AG983" s="175"/>
      <c r="AH983" s="175"/>
      <c r="AI983" s="175"/>
      <c r="AJ983" s="175"/>
    </row>
    <row r="984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  <c r="AA984" s="175"/>
      <c r="AB984" s="175"/>
      <c r="AC984" s="175"/>
      <c r="AD984" s="175"/>
      <c r="AE984" s="175"/>
      <c r="AF984" s="175"/>
      <c r="AG984" s="175"/>
      <c r="AH984" s="175"/>
      <c r="AI984" s="175"/>
      <c r="AJ984" s="175"/>
    </row>
    <row r="985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  <c r="AA985" s="175"/>
      <c r="AB985" s="175"/>
      <c r="AC985" s="175"/>
      <c r="AD985" s="175"/>
      <c r="AE985" s="175"/>
      <c r="AF985" s="175"/>
      <c r="AG985" s="175"/>
      <c r="AH985" s="175"/>
      <c r="AI985" s="175"/>
      <c r="AJ985" s="175"/>
    </row>
    <row r="986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  <c r="AA986" s="175"/>
      <c r="AB986" s="175"/>
      <c r="AC986" s="175"/>
      <c r="AD986" s="175"/>
      <c r="AE986" s="175"/>
      <c r="AF986" s="175"/>
      <c r="AG986" s="175"/>
      <c r="AH986" s="175"/>
      <c r="AI986" s="175"/>
      <c r="AJ986" s="175"/>
    </row>
    <row r="987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  <c r="AA987" s="175"/>
      <c r="AB987" s="175"/>
      <c r="AC987" s="175"/>
      <c r="AD987" s="175"/>
      <c r="AE987" s="175"/>
      <c r="AF987" s="175"/>
      <c r="AG987" s="175"/>
      <c r="AH987" s="175"/>
      <c r="AI987" s="175"/>
      <c r="AJ987" s="175"/>
    </row>
  </sheetData>
  <mergeCells count="4646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W1"/>
    <mergeCell ref="X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F352:G352"/>
    <mergeCell ref="H352:I352"/>
    <mergeCell ref="J352:K352"/>
    <mergeCell ref="L352:M352"/>
    <mergeCell ref="N352:O352"/>
    <mergeCell ref="P352:Q352"/>
    <mergeCell ref="R352:S352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1.88"/>
    <col customWidth="1" min="5" max="5" width="13.25"/>
    <col customWidth="1" min="6" max="11" width="4.13"/>
    <col customWidth="1" min="12" max="12" width="7.38"/>
    <col customWidth="1" min="13" max="13" width="5.63"/>
    <col customWidth="1" min="14" max="24" width="4.13"/>
    <col customWidth="1" min="25" max="25" width="3.38"/>
    <col customWidth="1" min="26" max="31" width="4.13"/>
    <col customWidth="1" hidden="1" min="32" max="37" width="4.13"/>
    <col customWidth="1" min="38" max="38" width="13.5"/>
    <col customWidth="1" min="39" max="39" width="11.75"/>
    <col customWidth="1" min="40" max="40" width="13.0"/>
    <col customWidth="1" min="41" max="41" width="12.88"/>
    <col customWidth="1" min="42" max="42" width="9.0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6" t="s">
        <v>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7" t="s">
        <v>4</v>
      </c>
      <c r="AM1" s="8"/>
      <c r="AN1" s="8"/>
      <c r="AO1" s="8"/>
      <c r="AP1" s="9"/>
    </row>
    <row r="2" ht="159.0" customHeight="1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10</v>
      </c>
      <c r="G2" s="13">
        <v>19.54</v>
      </c>
      <c r="H2" s="14" t="s">
        <v>11</v>
      </c>
      <c r="I2" s="13">
        <v>19.54</v>
      </c>
      <c r="J2" s="14" t="s">
        <v>12</v>
      </c>
      <c r="K2" s="13">
        <v>19.54</v>
      </c>
      <c r="L2" s="14" t="s">
        <v>10</v>
      </c>
      <c r="M2" s="13">
        <v>12.41</v>
      </c>
      <c r="N2" s="14" t="s">
        <v>11</v>
      </c>
      <c r="O2" s="13">
        <v>12.41</v>
      </c>
      <c r="P2" s="14" t="s">
        <v>12</v>
      </c>
      <c r="Q2" s="13">
        <v>12.41</v>
      </c>
      <c r="R2" s="15" t="s">
        <v>13</v>
      </c>
      <c r="S2" s="13">
        <v>4.93</v>
      </c>
      <c r="T2" s="14" t="s">
        <v>14</v>
      </c>
      <c r="U2" s="13">
        <v>491.87</v>
      </c>
      <c r="V2" s="14" t="s">
        <v>15</v>
      </c>
      <c r="W2" s="13">
        <v>273.26</v>
      </c>
      <c r="X2" s="14" t="s">
        <v>16</v>
      </c>
      <c r="Y2" s="13">
        <v>6.12</v>
      </c>
      <c r="Z2" s="14" t="s">
        <v>10</v>
      </c>
      <c r="AA2" s="13">
        <v>12.41</v>
      </c>
      <c r="AB2" s="14" t="s">
        <v>11</v>
      </c>
      <c r="AC2" s="13">
        <v>12.41</v>
      </c>
      <c r="AD2" s="14" t="s">
        <v>12</v>
      </c>
      <c r="AE2" s="13">
        <v>12.41</v>
      </c>
      <c r="AF2" s="16" t="s">
        <v>17</v>
      </c>
      <c r="AG2" s="16">
        <v>0.0</v>
      </c>
      <c r="AH2" s="16" t="s">
        <v>17</v>
      </c>
      <c r="AI2" s="16">
        <v>0.0</v>
      </c>
      <c r="AJ2" s="16" t="s">
        <v>17</v>
      </c>
      <c r="AK2" s="16">
        <v>0.0</v>
      </c>
      <c r="AL2" s="17" t="s">
        <v>18</v>
      </c>
      <c r="AM2" s="17" t="s">
        <v>19</v>
      </c>
      <c r="AN2" s="18" t="s">
        <v>20</v>
      </c>
      <c r="AO2" s="17" t="s">
        <v>21</v>
      </c>
      <c r="AP2" s="17" t="s">
        <v>22</v>
      </c>
    </row>
    <row r="3">
      <c r="A3" s="19" t="s">
        <v>23</v>
      </c>
      <c r="B3" s="20">
        <v>45656.0</v>
      </c>
      <c r="C3" s="21">
        <v>1.0</v>
      </c>
      <c r="D3" s="22" t="s">
        <v>24</v>
      </c>
      <c r="E3" s="23" t="s">
        <v>25</v>
      </c>
      <c r="F3" s="25">
        <v>0.0</v>
      </c>
      <c r="H3" s="26">
        <v>0.0</v>
      </c>
      <c r="J3" s="26">
        <v>0.0</v>
      </c>
      <c r="L3" s="25">
        <v>0.0</v>
      </c>
      <c r="N3" s="26">
        <v>0.0</v>
      </c>
      <c r="P3" s="26">
        <v>0.0</v>
      </c>
      <c r="R3" s="26">
        <v>0.0</v>
      </c>
      <c r="T3" s="26">
        <v>0.0</v>
      </c>
      <c r="V3" s="26">
        <v>0.0</v>
      </c>
      <c r="X3" s="26">
        <v>0.0</v>
      </c>
      <c r="Y3" s="28"/>
      <c r="Z3" s="25">
        <v>0.0</v>
      </c>
      <c r="AB3" s="26">
        <v>0.0</v>
      </c>
      <c r="AD3" s="26">
        <v>0.0</v>
      </c>
      <c r="AF3" s="30"/>
      <c r="AH3" s="30"/>
      <c r="AJ3" s="30"/>
      <c r="AK3" s="28"/>
      <c r="AL3" s="39">
        <f t="shared" ref="AL3:AL359" si="1">(F3*G$2)+(H3*I$2)+(J3*K$2)+(L3*M$2)+(N3*O$2)+(P3*Q$2)+(R3*S$2)+(T3*U$2)+(X3*Y$2)+(Z3*AA$2)+(AB3*AC$2)+(AD3*AE$2)+(AF3*AG$2)+(AH3*AI$2)+(AJ3*AK$2)+(V3*$W$2)</f>
        <v>0</v>
      </c>
      <c r="AM3" s="21">
        <f t="shared" ref="AM3:AM359" si="2">F3+H3+J3+L3+N3+P3+R3+X3+Z3+AB3+AD3</f>
        <v>0</v>
      </c>
      <c r="AN3" s="21">
        <f t="shared" ref="AN3:AN359" si="3">T3+V3</f>
        <v>0</v>
      </c>
      <c r="AO3" s="21">
        <f t="shared" ref="AO3:AO359" si="4">sum(F3:AK3)</f>
        <v>0</v>
      </c>
      <c r="AP3" s="46" t="str">
        <f t="shared" ref="AP3:AP359" si="5">iferror(AL3/AO3,"")</f>
        <v/>
      </c>
    </row>
    <row r="4">
      <c r="A4" s="48" t="s">
        <v>26</v>
      </c>
      <c r="B4" s="51">
        <f t="shared" ref="B4:B359" si="6">B3+1</f>
        <v>45657</v>
      </c>
      <c r="C4" s="53">
        <v>1.0</v>
      </c>
      <c r="D4" s="54" t="s">
        <v>24</v>
      </c>
      <c r="E4" s="23" t="s">
        <v>25</v>
      </c>
      <c r="F4" s="25">
        <v>0.0</v>
      </c>
      <c r="H4" s="26">
        <v>0.0</v>
      </c>
      <c r="J4" s="26">
        <v>0.0</v>
      </c>
      <c r="L4" s="25">
        <v>0.0</v>
      </c>
      <c r="N4" s="26">
        <v>0.0</v>
      </c>
      <c r="P4" s="26">
        <v>0.0</v>
      </c>
      <c r="R4" s="26">
        <v>0.0</v>
      </c>
      <c r="T4" s="26">
        <v>0.0</v>
      </c>
      <c r="V4" s="26">
        <v>0.0</v>
      </c>
      <c r="X4" s="26">
        <v>0.0</v>
      </c>
      <c r="Y4" s="28"/>
      <c r="Z4" s="25">
        <v>0.0</v>
      </c>
      <c r="AB4" s="26">
        <v>0.0</v>
      </c>
      <c r="AD4" s="26">
        <v>0.0</v>
      </c>
      <c r="AF4" s="30"/>
      <c r="AH4" s="30"/>
      <c r="AJ4" s="30"/>
      <c r="AK4" s="28"/>
      <c r="AL4" s="60">
        <f t="shared" si="1"/>
        <v>0</v>
      </c>
      <c r="AM4" s="53">
        <f t="shared" si="2"/>
        <v>0</v>
      </c>
      <c r="AN4" s="53">
        <f t="shared" si="3"/>
        <v>0</v>
      </c>
      <c r="AO4" s="53">
        <f t="shared" si="4"/>
        <v>0</v>
      </c>
      <c r="AP4" s="61" t="str">
        <f t="shared" si="5"/>
        <v/>
      </c>
    </row>
    <row r="5">
      <c r="A5" s="48" t="s">
        <v>27</v>
      </c>
      <c r="B5" s="51">
        <f t="shared" si="6"/>
        <v>45658</v>
      </c>
      <c r="C5" s="53">
        <v>1.0</v>
      </c>
      <c r="D5" s="54" t="s">
        <v>24</v>
      </c>
      <c r="E5" s="23" t="s">
        <v>25</v>
      </c>
      <c r="F5" s="25">
        <v>0.0</v>
      </c>
      <c r="H5" s="26">
        <v>0.0</v>
      </c>
      <c r="J5" s="26">
        <v>0.0</v>
      </c>
      <c r="L5" s="25">
        <v>0.0</v>
      </c>
      <c r="N5" s="26">
        <v>0.0</v>
      </c>
      <c r="P5" s="26">
        <v>0.0</v>
      </c>
      <c r="R5" s="26">
        <v>0.0</v>
      </c>
      <c r="T5" s="26">
        <v>0.0</v>
      </c>
      <c r="V5" s="26">
        <v>0.0</v>
      </c>
      <c r="X5" s="26">
        <v>0.0</v>
      </c>
      <c r="Y5" s="28"/>
      <c r="Z5" s="25">
        <v>0.0</v>
      </c>
      <c r="AB5" s="26">
        <v>0.0</v>
      </c>
      <c r="AD5" s="26">
        <v>0.0</v>
      </c>
      <c r="AF5" s="30"/>
      <c r="AH5" s="30"/>
      <c r="AJ5" s="30"/>
      <c r="AK5" s="28"/>
      <c r="AL5" s="60">
        <f t="shared" si="1"/>
        <v>0</v>
      </c>
      <c r="AM5" s="53">
        <f t="shared" si="2"/>
        <v>0</v>
      </c>
      <c r="AN5" s="53">
        <f t="shared" si="3"/>
        <v>0</v>
      </c>
      <c r="AO5" s="53">
        <f t="shared" si="4"/>
        <v>0</v>
      </c>
      <c r="AP5" s="61" t="str">
        <f t="shared" si="5"/>
        <v/>
      </c>
    </row>
    <row r="6">
      <c r="A6" s="48" t="s">
        <v>28</v>
      </c>
      <c r="B6" s="51">
        <f t="shared" si="6"/>
        <v>45659</v>
      </c>
      <c r="C6" s="53">
        <v>1.0</v>
      </c>
      <c r="D6" s="54" t="s">
        <v>24</v>
      </c>
      <c r="E6" s="23" t="s">
        <v>25</v>
      </c>
      <c r="F6" s="25">
        <v>0.0</v>
      </c>
      <c r="H6" s="26">
        <v>0.0</v>
      </c>
      <c r="J6" s="26">
        <v>0.0</v>
      </c>
      <c r="L6" s="25">
        <v>0.0</v>
      </c>
      <c r="N6" s="26">
        <v>0.0</v>
      </c>
      <c r="P6" s="26">
        <v>0.0</v>
      </c>
      <c r="R6" s="26">
        <v>0.0</v>
      </c>
      <c r="T6" s="26">
        <v>0.0</v>
      </c>
      <c r="V6" s="26">
        <v>0.0</v>
      </c>
      <c r="X6" s="26">
        <v>0.0</v>
      </c>
      <c r="Y6" s="28"/>
      <c r="Z6" s="25">
        <v>0.0</v>
      </c>
      <c r="AB6" s="26">
        <v>0.0</v>
      </c>
      <c r="AD6" s="26">
        <v>0.0</v>
      </c>
      <c r="AF6" s="30"/>
      <c r="AH6" s="30"/>
      <c r="AJ6" s="30"/>
      <c r="AK6" s="28"/>
      <c r="AL6" s="60">
        <f t="shared" si="1"/>
        <v>0</v>
      </c>
      <c r="AM6" s="53">
        <f t="shared" si="2"/>
        <v>0</v>
      </c>
      <c r="AN6" s="53">
        <f t="shared" si="3"/>
        <v>0</v>
      </c>
      <c r="AO6" s="53">
        <f t="shared" si="4"/>
        <v>0</v>
      </c>
      <c r="AP6" s="61" t="str">
        <f t="shared" si="5"/>
        <v/>
      </c>
    </row>
    <row r="7">
      <c r="A7" s="48" t="s">
        <v>29</v>
      </c>
      <c r="B7" s="51">
        <f t="shared" si="6"/>
        <v>45660</v>
      </c>
      <c r="C7" s="53">
        <v>1.0</v>
      </c>
      <c r="D7" s="54" t="s">
        <v>24</v>
      </c>
      <c r="E7" s="23" t="s">
        <v>25</v>
      </c>
      <c r="F7" s="25">
        <v>0.0</v>
      </c>
      <c r="H7" s="26"/>
      <c r="J7" s="26">
        <v>0.0</v>
      </c>
      <c r="L7" s="25">
        <v>0.0</v>
      </c>
      <c r="N7" s="26">
        <v>0.0</v>
      </c>
      <c r="P7" s="26">
        <v>0.0</v>
      </c>
      <c r="R7" s="26">
        <v>0.0</v>
      </c>
      <c r="T7" s="26">
        <v>0.0</v>
      </c>
      <c r="V7" s="26">
        <v>0.0</v>
      </c>
      <c r="X7" s="26">
        <v>0.0</v>
      </c>
      <c r="Y7" s="28"/>
      <c r="Z7" s="25">
        <v>0.0</v>
      </c>
      <c r="AB7" s="26">
        <v>0.0</v>
      </c>
      <c r="AD7" s="26">
        <v>0.0</v>
      </c>
      <c r="AF7" s="30"/>
      <c r="AH7" s="30"/>
      <c r="AJ7" s="30"/>
      <c r="AK7" s="28"/>
      <c r="AL7" s="60">
        <f t="shared" si="1"/>
        <v>0</v>
      </c>
      <c r="AM7" s="53">
        <f t="shared" si="2"/>
        <v>0</v>
      </c>
      <c r="AN7" s="53">
        <f t="shared" si="3"/>
        <v>0</v>
      </c>
      <c r="AO7" s="53">
        <f t="shared" si="4"/>
        <v>0</v>
      </c>
      <c r="AP7" s="61" t="str">
        <f t="shared" si="5"/>
        <v/>
      </c>
    </row>
    <row r="8">
      <c r="A8" s="48" t="s">
        <v>30</v>
      </c>
      <c r="B8" s="51">
        <f t="shared" si="6"/>
        <v>45661</v>
      </c>
      <c r="C8" s="53">
        <v>1.0</v>
      </c>
      <c r="D8" s="54" t="s">
        <v>24</v>
      </c>
      <c r="E8" s="23" t="s">
        <v>25</v>
      </c>
      <c r="F8" s="25">
        <v>0.0</v>
      </c>
      <c r="H8" s="26">
        <v>0.0</v>
      </c>
      <c r="J8" s="26">
        <v>0.0</v>
      </c>
      <c r="L8" s="25">
        <v>0.0</v>
      </c>
      <c r="N8" s="26">
        <v>0.0</v>
      </c>
      <c r="P8" s="26">
        <v>0.0</v>
      </c>
      <c r="R8" s="26">
        <v>0.0</v>
      </c>
      <c r="T8" s="26">
        <v>0.0</v>
      </c>
      <c r="V8" s="26">
        <v>0.0</v>
      </c>
      <c r="X8" s="26">
        <v>0.0</v>
      </c>
      <c r="Y8" s="28"/>
      <c r="Z8" s="25">
        <v>0.0</v>
      </c>
      <c r="AB8" s="26">
        <v>0.0</v>
      </c>
      <c r="AD8" s="26">
        <v>0.0</v>
      </c>
      <c r="AF8" s="30"/>
      <c r="AH8" s="30"/>
      <c r="AJ8" s="30"/>
      <c r="AK8" s="28"/>
      <c r="AL8" s="60">
        <f t="shared" si="1"/>
        <v>0</v>
      </c>
      <c r="AM8" s="53">
        <f t="shared" si="2"/>
        <v>0</v>
      </c>
      <c r="AN8" s="53">
        <f t="shared" si="3"/>
        <v>0</v>
      </c>
      <c r="AO8" s="53">
        <f t="shared" si="4"/>
        <v>0</v>
      </c>
      <c r="AP8" s="61" t="str">
        <f t="shared" si="5"/>
        <v/>
      </c>
    </row>
    <row r="9">
      <c r="A9" s="69" t="s">
        <v>31</v>
      </c>
      <c r="B9" s="70">
        <f t="shared" si="6"/>
        <v>45662</v>
      </c>
      <c r="C9" s="71">
        <v>1.0</v>
      </c>
      <c r="D9" s="72" t="s">
        <v>24</v>
      </c>
      <c r="E9" s="73" t="s">
        <v>25</v>
      </c>
      <c r="F9" s="74">
        <v>0.0</v>
      </c>
      <c r="G9" s="75"/>
      <c r="H9" s="76">
        <v>0.0</v>
      </c>
      <c r="I9" s="75"/>
      <c r="J9" s="76">
        <v>0.0</v>
      </c>
      <c r="K9" s="75"/>
      <c r="L9" s="74">
        <v>77.0</v>
      </c>
      <c r="M9" s="75"/>
      <c r="N9" s="76">
        <v>77.0</v>
      </c>
      <c r="O9" s="75"/>
      <c r="P9" s="76">
        <v>0.0</v>
      </c>
      <c r="Q9" s="75"/>
      <c r="R9" s="76">
        <v>0.0</v>
      </c>
      <c r="S9" s="75"/>
      <c r="T9" s="76">
        <v>1.0</v>
      </c>
      <c r="U9" s="75"/>
      <c r="V9" s="76">
        <v>1.0</v>
      </c>
      <c r="W9" s="75"/>
      <c r="X9" s="76">
        <v>0.0</v>
      </c>
      <c r="Y9" s="77"/>
      <c r="Z9" s="74">
        <v>0.0</v>
      </c>
      <c r="AA9" s="75"/>
      <c r="AB9" s="76">
        <v>0.0</v>
      </c>
      <c r="AC9" s="75"/>
      <c r="AD9" s="76">
        <v>0.0</v>
      </c>
      <c r="AE9" s="75"/>
      <c r="AF9" s="78"/>
      <c r="AG9" s="75"/>
      <c r="AH9" s="78"/>
      <c r="AI9" s="75"/>
      <c r="AJ9" s="78"/>
      <c r="AK9" s="77"/>
      <c r="AL9" s="79">
        <f t="shared" si="1"/>
        <v>2676.27</v>
      </c>
      <c r="AM9" s="71">
        <f t="shared" si="2"/>
        <v>154</v>
      </c>
      <c r="AN9" s="71">
        <f t="shared" si="3"/>
        <v>2</v>
      </c>
      <c r="AO9" s="71">
        <f t="shared" si="4"/>
        <v>156</v>
      </c>
      <c r="AP9" s="80">
        <f t="shared" si="5"/>
        <v>17.15557692</v>
      </c>
    </row>
    <row r="10">
      <c r="A10" s="19" t="s">
        <v>23</v>
      </c>
      <c r="B10" s="81">
        <f t="shared" si="6"/>
        <v>45663</v>
      </c>
      <c r="C10" s="21">
        <v>1.0</v>
      </c>
      <c r="D10" s="21" t="s">
        <v>32</v>
      </c>
      <c r="E10" s="82" t="s">
        <v>25</v>
      </c>
      <c r="F10" s="25">
        <v>0.0</v>
      </c>
      <c r="H10" s="26">
        <v>0.0</v>
      </c>
      <c r="J10" s="26">
        <v>0.0</v>
      </c>
      <c r="L10" s="25">
        <v>77.0</v>
      </c>
      <c r="N10" s="26">
        <v>77.0</v>
      </c>
      <c r="P10" s="26">
        <v>0.0</v>
      </c>
      <c r="R10" s="26">
        <v>0.0</v>
      </c>
      <c r="T10" s="26">
        <v>1.0</v>
      </c>
      <c r="V10" s="26">
        <v>1.0</v>
      </c>
      <c r="X10" s="26">
        <v>0.0</v>
      </c>
      <c r="Y10" s="28"/>
      <c r="Z10" s="25">
        <v>0.0</v>
      </c>
      <c r="AB10" s="26">
        <v>0.0</v>
      </c>
      <c r="AD10" s="26">
        <v>0.0</v>
      </c>
      <c r="AF10" s="30"/>
      <c r="AH10" s="30"/>
      <c r="AJ10" s="30"/>
      <c r="AK10" s="28"/>
      <c r="AL10" s="39">
        <f t="shared" si="1"/>
        <v>2676.27</v>
      </c>
      <c r="AM10" s="21">
        <f t="shared" si="2"/>
        <v>154</v>
      </c>
      <c r="AN10" s="21">
        <f t="shared" si="3"/>
        <v>2</v>
      </c>
      <c r="AO10" s="21">
        <f t="shared" si="4"/>
        <v>156</v>
      </c>
      <c r="AP10" s="46">
        <f t="shared" si="5"/>
        <v>17.15557692</v>
      </c>
    </row>
    <row r="11">
      <c r="A11" s="48" t="s">
        <v>26</v>
      </c>
      <c r="B11" s="51">
        <f t="shared" si="6"/>
        <v>45664</v>
      </c>
      <c r="C11" s="53">
        <v>1.0</v>
      </c>
      <c r="D11" s="53" t="s">
        <v>32</v>
      </c>
      <c r="E11" s="23" t="s">
        <v>25</v>
      </c>
      <c r="F11" s="25">
        <v>0.0</v>
      </c>
      <c r="H11" s="26">
        <v>0.0</v>
      </c>
      <c r="J11" s="26">
        <v>0.0</v>
      </c>
      <c r="L11" s="25">
        <v>77.0</v>
      </c>
      <c r="N11" s="26">
        <v>77.0</v>
      </c>
      <c r="P11" s="26">
        <v>0.0</v>
      </c>
      <c r="R11" s="26">
        <v>0.0</v>
      </c>
      <c r="T11" s="26">
        <v>0.0</v>
      </c>
      <c r="V11" s="26">
        <v>0.0</v>
      </c>
      <c r="X11" s="26">
        <v>0.0</v>
      </c>
      <c r="Y11" s="28"/>
      <c r="Z11" s="25">
        <v>0.0</v>
      </c>
      <c r="AB11" s="26">
        <v>0.0</v>
      </c>
      <c r="AD11" s="26">
        <v>0.0</v>
      </c>
      <c r="AF11" s="30"/>
      <c r="AH11" s="30"/>
      <c r="AJ11" s="30"/>
      <c r="AK11" s="28"/>
      <c r="AL11" s="60">
        <f t="shared" si="1"/>
        <v>1911.14</v>
      </c>
      <c r="AM11" s="53">
        <f t="shared" si="2"/>
        <v>154</v>
      </c>
      <c r="AN11" s="53">
        <f t="shared" si="3"/>
        <v>0</v>
      </c>
      <c r="AO11" s="53">
        <f t="shared" si="4"/>
        <v>154</v>
      </c>
      <c r="AP11" s="61">
        <f t="shared" si="5"/>
        <v>12.41</v>
      </c>
    </row>
    <row r="12">
      <c r="A12" s="48" t="s">
        <v>27</v>
      </c>
      <c r="B12" s="51">
        <f t="shared" si="6"/>
        <v>45665</v>
      </c>
      <c r="C12" s="53">
        <v>1.0</v>
      </c>
      <c r="D12" s="53" t="s">
        <v>32</v>
      </c>
      <c r="E12" s="23" t="s">
        <v>25</v>
      </c>
      <c r="F12" s="25">
        <v>0.0</v>
      </c>
      <c r="H12" s="26">
        <v>0.0</v>
      </c>
      <c r="J12" s="26">
        <v>0.0</v>
      </c>
      <c r="L12" s="25">
        <v>101.0</v>
      </c>
      <c r="N12" s="26">
        <v>101.0</v>
      </c>
      <c r="P12" s="26">
        <v>0.0</v>
      </c>
      <c r="R12" s="26">
        <v>0.0</v>
      </c>
      <c r="T12" s="26">
        <v>0.0</v>
      </c>
      <c r="V12" s="26">
        <v>0.0</v>
      </c>
      <c r="X12" s="26">
        <v>0.0</v>
      </c>
      <c r="Y12" s="28"/>
      <c r="Z12" s="25">
        <v>0.0</v>
      </c>
      <c r="AB12" s="26">
        <v>0.0</v>
      </c>
      <c r="AD12" s="26">
        <v>0.0</v>
      </c>
      <c r="AF12" s="30"/>
      <c r="AH12" s="30"/>
      <c r="AJ12" s="30"/>
      <c r="AK12" s="28"/>
      <c r="AL12" s="60">
        <f t="shared" si="1"/>
        <v>2506.82</v>
      </c>
      <c r="AM12" s="53">
        <f t="shared" si="2"/>
        <v>202</v>
      </c>
      <c r="AN12" s="53">
        <f t="shared" si="3"/>
        <v>0</v>
      </c>
      <c r="AO12" s="53">
        <f t="shared" si="4"/>
        <v>202</v>
      </c>
      <c r="AP12" s="61">
        <f t="shared" si="5"/>
        <v>12.41</v>
      </c>
    </row>
    <row r="13">
      <c r="A13" s="48" t="s">
        <v>28</v>
      </c>
      <c r="B13" s="51">
        <f t="shared" si="6"/>
        <v>45666</v>
      </c>
      <c r="C13" s="53">
        <v>1.0</v>
      </c>
      <c r="D13" s="53" t="s">
        <v>32</v>
      </c>
      <c r="E13" s="23" t="s">
        <v>25</v>
      </c>
      <c r="F13" s="25">
        <v>0.0</v>
      </c>
      <c r="H13" s="26">
        <v>0.0</v>
      </c>
      <c r="J13" s="26">
        <v>0.0</v>
      </c>
      <c r="L13" s="25">
        <v>101.0</v>
      </c>
      <c r="N13" s="26">
        <v>101.0</v>
      </c>
      <c r="P13" s="26">
        <v>0.0</v>
      </c>
      <c r="R13" s="26">
        <v>0.0</v>
      </c>
      <c r="T13" s="26">
        <v>0.0</v>
      </c>
      <c r="V13" s="26">
        <v>0.0</v>
      </c>
      <c r="X13" s="26">
        <v>0.0</v>
      </c>
      <c r="Y13" s="28"/>
      <c r="Z13" s="25">
        <v>0.0</v>
      </c>
      <c r="AB13" s="26">
        <v>0.0</v>
      </c>
      <c r="AD13" s="26">
        <v>0.0</v>
      </c>
      <c r="AF13" s="30"/>
      <c r="AH13" s="30"/>
      <c r="AJ13" s="30"/>
      <c r="AK13" s="28"/>
      <c r="AL13" s="60">
        <f t="shared" si="1"/>
        <v>2506.82</v>
      </c>
      <c r="AM13" s="53">
        <f t="shared" si="2"/>
        <v>202</v>
      </c>
      <c r="AN13" s="53">
        <f t="shared" si="3"/>
        <v>0</v>
      </c>
      <c r="AO13" s="53">
        <f t="shared" si="4"/>
        <v>202</v>
      </c>
      <c r="AP13" s="61">
        <f t="shared" si="5"/>
        <v>12.41</v>
      </c>
    </row>
    <row r="14">
      <c r="A14" s="48" t="s">
        <v>29</v>
      </c>
      <c r="B14" s="51">
        <f t="shared" si="6"/>
        <v>45667</v>
      </c>
      <c r="C14" s="53">
        <v>1.0</v>
      </c>
      <c r="D14" s="53" t="s">
        <v>32</v>
      </c>
      <c r="E14" s="23" t="s">
        <v>25</v>
      </c>
      <c r="F14" s="25">
        <v>0.0</v>
      </c>
      <c r="H14" s="26">
        <v>0.0</v>
      </c>
      <c r="J14" s="26">
        <v>0.0</v>
      </c>
      <c r="L14" s="25">
        <v>40.0</v>
      </c>
      <c r="N14" s="26">
        <v>40.0</v>
      </c>
      <c r="P14" s="26">
        <v>0.0</v>
      </c>
      <c r="R14" s="26">
        <v>0.0</v>
      </c>
      <c r="T14" s="26">
        <v>0.0</v>
      </c>
      <c r="V14" s="26">
        <v>0.0</v>
      </c>
      <c r="X14" s="26">
        <v>0.0</v>
      </c>
      <c r="Y14" s="28"/>
      <c r="Z14" s="25">
        <v>0.0</v>
      </c>
      <c r="AB14" s="26">
        <v>0.0</v>
      </c>
      <c r="AD14" s="26">
        <v>0.0</v>
      </c>
      <c r="AF14" s="30"/>
      <c r="AH14" s="30"/>
      <c r="AJ14" s="30"/>
      <c r="AK14" s="28"/>
      <c r="AL14" s="60">
        <f t="shared" si="1"/>
        <v>992.8</v>
      </c>
      <c r="AM14" s="53">
        <f t="shared" si="2"/>
        <v>80</v>
      </c>
      <c r="AN14" s="53">
        <f t="shared" si="3"/>
        <v>0</v>
      </c>
      <c r="AO14" s="53">
        <f t="shared" si="4"/>
        <v>80</v>
      </c>
      <c r="AP14" s="61">
        <f t="shared" si="5"/>
        <v>12.41</v>
      </c>
    </row>
    <row r="15">
      <c r="A15" s="48" t="s">
        <v>30</v>
      </c>
      <c r="B15" s="51">
        <f t="shared" si="6"/>
        <v>45668</v>
      </c>
      <c r="C15" s="53">
        <v>1.0</v>
      </c>
      <c r="D15" s="53" t="s">
        <v>32</v>
      </c>
      <c r="E15" s="23" t="s">
        <v>25</v>
      </c>
      <c r="F15" s="25">
        <v>0.0</v>
      </c>
      <c r="H15" s="26">
        <v>0.0</v>
      </c>
      <c r="J15" s="26">
        <v>0.0</v>
      </c>
      <c r="L15" s="25">
        <v>40.0</v>
      </c>
      <c r="N15" s="26">
        <v>40.0</v>
      </c>
      <c r="P15" s="26">
        <v>0.0</v>
      </c>
      <c r="R15" s="26">
        <v>0.0</v>
      </c>
      <c r="T15" s="26">
        <v>0.0</v>
      </c>
      <c r="V15" s="26">
        <v>0.0</v>
      </c>
      <c r="X15" s="26">
        <v>0.0</v>
      </c>
      <c r="Y15" s="28"/>
      <c r="Z15" s="25">
        <v>0.0</v>
      </c>
      <c r="AB15" s="26">
        <v>0.0</v>
      </c>
      <c r="AD15" s="26">
        <v>0.0</v>
      </c>
      <c r="AF15" s="30"/>
      <c r="AH15" s="30"/>
      <c r="AJ15" s="30"/>
      <c r="AK15" s="28"/>
      <c r="AL15" s="60">
        <f t="shared" si="1"/>
        <v>992.8</v>
      </c>
      <c r="AM15" s="53">
        <f t="shared" si="2"/>
        <v>80</v>
      </c>
      <c r="AN15" s="53">
        <f t="shared" si="3"/>
        <v>0</v>
      </c>
      <c r="AO15" s="53">
        <f t="shared" si="4"/>
        <v>80</v>
      </c>
      <c r="AP15" s="61">
        <f t="shared" si="5"/>
        <v>12.41</v>
      </c>
    </row>
    <row r="16">
      <c r="A16" s="69" t="s">
        <v>31</v>
      </c>
      <c r="B16" s="70">
        <f t="shared" si="6"/>
        <v>45669</v>
      </c>
      <c r="C16" s="71">
        <v>1.0</v>
      </c>
      <c r="D16" s="71" t="s">
        <v>32</v>
      </c>
      <c r="E16" s="73" t="s">
        <v>25</v>
      </c>
      <c r="F16" s="74">
        <v>0.0</v>
      </c>
      <c r="G16" s="75"/>
      <c r="H16" s="76">
        <v>0.0</v>
      </c>
      <c r="I16" s="75"/>
      <c r="J16" s="76">
        <v>0.0</v>
      </c>
      <c r="K16" s="75"/>
      <c r="L16" s="74">
        <v>0.0</v>
      </c>
      <c r="M16" s="75"/>
      <c r="N16" s="76">
        <v>0.0</v>
      </c>
      <c r="O16" s="75"/>
      <c r="P16" s="76">
        <v>0.0</v>
      </c>
      <c r="Q16" s="75"/>
      <c r="R16" s="76">
        <v>0.0</v>
      </c>
      <c r="S16" s="75"/>
      <c r="T16" s="76">
        <v>0.0</v>
      </c>
      <c r="U16" s="75"/>
      <c r="V16" s="76">
        <v>0.0</v>
      </c>
      <c r="W16" s="75"/>
      <c r="X16" s="76">
        <v>0.0</v>
      </c>
      <c r="Y16" s="77"/>
      <c r="Z16" s="74">
        <v>0.0</v>
      </c>
      <c r="AA16" s="75"/>
      <c r="AB16" s="76">
        <v>0.0</v>
      </c>
      <c r="AC16" s="75"/>
      <c r="AD16" s="76">
        <v>0.0</v>
      </c>
      <c r="AE16" s="75"/>
      <c r="AF16" s="78"/>
      <c r="AG16" s="75"/>
      <c r="AH16" s="78"/>
      <c r="AI16" s="75"/>
      <c r="AJ16" s="78"/>
      <c r="AK16" s="77"/>
      <c r="AL16" s="79">
        <f t="shared" si="1"/>
        <v>0</v>
      </c>
      <c r="AM16" s="71">
        <f t="shared" si="2"/>
        <v>0</v>
      </c>
      <c r="AN16" s="71">
        <f t="shared" si="3"/>
        <v>0</v>
      </c>
      <c r="AO16" s="71">
        <f t="shared" si="4"/>
        <v>0</v>
      </c>
      <c r="AP16" s="80" t="str">
        <f t="shared" si="5"/>
        <v/>
      </c>
    </row>
    <row r="17">
      <c r="A17" s="19" t="s">
        <v>23</v>
      </c>
      <c r="B17" s="81">
        <f t="shared" si="6"/>
        <v>45670</v>
      </c>
      <c r="C17" s="21">
        <v>1.0</v>
      </c>
      <c r="D17" s="21" t="s">
        <v>33</v>
      </c>
      <c r="E17" s="82" t="s">
        <v>34</v>
      </c>
      <c r="F17" s="25">
        <v>0.0</v>
      </c>
      <c r="H17" s="26">
        <v>0.0</v>
      </c>
      <c r="J17" s="26">
        <v>0.0</v>
      </c>
      <c r="L17" s="25">
        <v>0.0</v>
      </c>
      <c r="N17" s="26">
        <v>0.0</v>
      </c>
      <c r="P17" s="26">
        <v>0.0</v>
      </c>
      <c r="R17" s="26">
        <v>0.0</v>
      </c>
      <c r="T17" s="26">
        <v>1.0</v>
      </c>
      <c r="V17" s="26">
        <v>1.0</v>
      </c>
      <c r="X17" s="26">
        <v>0.0</v>
      </c>
      <c r="Y17" s="28"/>
      <c r="Z17" s="25">
        <v>0.0</v>
      </c>
      <c r="AB17" s="26">
        <v>0.0</v>
      </c>
      <c r="AD17" s="26">
        <v>0.0</v>
      </c>
      <c r="AF17" s="30"/>
      <c r="AH17" s="30"/>
      <c r="AJ17" s="30"/>
      <c r="AK17" s="28"/>
      <c r="AL17" s="39">
        <f t="shared" si="1"/>
        <v>765.13</v>
      </c>
      <c r="AM17" s="21">
        <f t="shared" si="2"/>
        <v>0</v>
      </c>
      <c r="AN17" s="21">
        <f t="shared" si="3"/>
        <v>2</v>
      </c>
      <c r="AO17" s="21">
        <f t="shared" si="4"/>
        <v>2</v>
      </c>
      <c r="AP17" s="46">
        <f t="shared" si="5"/>
        <v>382.565</v>
      </c>
    </row>
    <row r="18">
      <c r="A18" s="48" t="s">
        <v>26</v>
      </c>
      <c r="B18" s="51">
        <f t="shared" si="6"/>
        <v>45671</v>
      </c>
      <c r="C18" s="53">
        <v>1.0</v>
      </c>
      <c r="D18" s="53" t="s">
        <v>33</v>
      </c>
      <c r="E18" s="23" t="s">
        <v>34</v>
      </c>
      <c r="F18" s="25">
        <v>0.0</v>
      </c>
      <c r="H18" s="26">
        <v>0.0</v>
      </c>
      <c r="J18" s="26">
        <v>0.0</v>
      </c>
      <c r="L18" s="25">
        <v>0.0</v>
      </c>
      <c r="N18" s="26">
        <v>0.0</v>
      </c>
      <c r="P18" s="26">
        <v>0.0</v>
      </c>
      <c r="R18" s="26">
        <v>0.0</v>
      </c>
      <c r="T18" s="26">
        <v>0.0</v>
      </c>
      <c r="V18" s="26">
        <v>0.0</v>
      </c>
      <c r="X18" s="26">
        <v>0.0</v>
      </c>
      <c r="Y18" s="28"/>
      <c r="Z18" s="25">
        <v>0.0</v>
      </c>
      <c r="AB18" s="26">
        <v>0.0</v>
      </c>
      <c r="AD18" s="26">
        <v>0.0</v>
      </c>
      <c r="AF18" s="30"/>
      <c r="AH18" s="30"/>
      <c r="AJ18" s="30"/>
      <c r="AK18" s="28"/>
      <c r="AL18" s="60">
        <f t="shared" si="1"/>
        <v>0</v>
      </c>
      <c r="AM18" s="53">
        <f t="shared" si="2"/>
        <v>0</v>
      </c>
      <c r="AN18" s="53">
        <f t="shared" si="3"/>
        <v>0</v>
      </c>
      <c r="AO18" s="53">
        <f t="shared" si="4"/>
        <v>0</v>
      </c>
      <c r="AP18" s="61" t="str">
        <f t="shared" si="5"/>
        <v/>
      </c>
    </row>
    <row r="19">
      <c r="A19" s="48" t="s">
        <v>27</v>
      </c>
      <c r="B19" s="51">
        <f t="shared" si="6"/>
        <v>45672</v>
      </c>
      <c r="C19" s="53">
        <v>1.0</v>
      </c>
      <c r="D19" s="53" t="s">
        <v>33</v>
      </c>
      <c r="E19" s="23" t="s">
        <v>34</v>
      </c>
      <c r="F19" s="25">
        <v>0.0</v>
      </c>
      <c r="H19" s="26">
        <v>0.0</v>
      </c>
      <c r="J19" s="26">
        <v>0.0</v>
      </c>
      <c r="L19" s="25">
        <v>0.0</v>
      </c>
      <c r="N19" s="26">
        <v>0.0</v>
      </c>
      <c r="P19" s="26">
        <v>0.0</v>
      </c>
      <c r="R19" s="26">
        <v>0.0</v>
      </c>
      <c r="T19" s="26">
        <v>0.0</v>
      </c>
      <c r="V19" s="26">
        <v>0.0</v>
      </c>
      <c r="X19" s="26">
        <v>0.0</v>
      </c>
      <c r="Y19" s="28"/>
      <c r="Z19" s="25">
        <v>0.0</v>
      </c>
      <c r="AB19" s="26">
        <v>0.0</v>
      </c>
      <c r="AD19" s="26">
        <v>0.0</v>
      </c>
      <c r="AF19" s="30"/>
      <c r="AH19" s="30"/>
      <c r="AJ19" s="30"/>
      <c r="AK19" s="28"/>
      <c r="AL19" s="60">
        <f t="shared" si="1"/>
        <v>0</v>
      </c>
      <c r="AM19" s="53">
        <f t="shared" si="2"/>
        <v>0</v>
      </c>
      <c r="AN19" s="53">
        <f t="shared" si="3"/>
        <v>0</v>
      </c>
      <c r="AO19" s="53">
        <f t="shared" si="4"/>
        <v>0</v>
      </c>
      <c r="AP19" s="61" t="str">
        <f t="shared" si="5"/>
        <v/>
      </c>
    </row>
    <row r="20">
      <c r="A20" s="48" t="s">
        <v>28</v>
      </c>
      <c r="B20" s="51">
        <f t="shared" si="6"/>
        <v>45673</v>
      </c>
      <c r="C20" s="53">
        <v>1.0</v>
      </c>
      <c r="D20" s="53" t="s">
        <v>33</v>
      </c>
      <c r="E20" s="23" t="s">
        <v>34</v>
      </c>
      <c r="F20" s="25">
        <v>0.0</v>
      </c>
      <c r="H20" s="26">
        <v>0.0</v>
      </c>
      <c r="J20" s="26">
        <v>0.0</v>
      </c>
      <c r="L20" s="25">
        <v>0.0</v>
      </c>
      <c r="N20" s="26">
        <v>0.0</v>
      </c>
      <c r="P20" s="26">
        <v>0.0</v>
      </c>
      <c r="R20" s="26">
        <v>0.0</v>
      </c>
      <c r="T20" s="26">
        <v>0.0</v>
      </c>
      <c r="V20" s="26">
        <v>0.0</v>
      </c>
      <c r="X20" s="26">
        <v>0.0</v>
      </c>
      <c r="Y20" s="28"/>
      <c r="Z20" s="25">
        <v>0.0</v>
      </c>
      <c r="AB20" s="26">
        <v>0.0</v>
      </c>
      <c r="AD20" s="26">
        <v>0.0</v>
      </c>
      <c r="AF20" s="30"/>
      <c r="AH20" s="30"/>
      <c r="AJ20" s="30"/>
      <c r="AK20" s="28"/>
      <c r="AL20" s="60">
        <f t="shared" si="1"/>
        <v>0</v>
      </c>
      <c r="AM20" s="53">
        <f t="shared" si="2"/>
        <v>0</v>
      </c>
      <c r="AN20" s="53">
        <f t="shared" si="3"/>
        <v>0</v>
      </c>
      <c r="AO20" s="53">
        <f t="shared" si="4"/>
        <v>0</v>
      </c>
      <c r="AP20" s="61" t="str">
        <f t="shared" si="5"/>
        <v/>
      </c>
    </row>
    <row r="21">
      <c r="A21" s="48" t="s">
        <v>29</v>
      </c>
      <c r="B21" s="51">
        <f t="shared" si="6"/>
        <v>45674</v>
      </c>
      <c r="C21" s="53">
        <v>1.0</v>
      </c>
      <c r="D21" s="53" t="s">
        <v>33</v>
      </c>
      <c r="E21" s="23" t="s">
        <v>34</v>
      </c>
      <c r="F21" s="25">
        <v>0.0</v>
      </c>
      <c r="H21" s="26">
        <v>0.0</v>
      </c>
      <c r="J21" s="26">
        <v>0.0</v>
      </c>
      <c r="L21" s="25">
        <v>0.0</v>
      </c>
      <c r="N21" s="26">
        <v>0.0</v>
      </c>
      <c r="P21" s="26">
        <v>0.0</v>
      </c>
      <c r="R21" s="26">
        <v>0.0</v>
      </c>
      <c r="T21" s="26">
        <v>0.0</v>
      </c>
      <c r="V21" s="26">
        <v>0.0</v>
      </c>
      <c r="X21" s="26">
        <v>0.0</v>
      </c>
      <c r="Y21" s="28"/>
      <c r="Z21" s="25">
        <v>0.0</v>
      </c>
      <c r="AB21" s="26">
        <v>0.0</v>
      </c>
      <c r="AD21" s="26">
        <v>0.0</v>
      </c>
      <c r="AF21" s="30"/>
      <c r="AH21" s="30"/>
      <c r="AJ21" s="30"/>
      <c r="AK21" s="28"/>
      <c r="AL21" s="60">
        <f t="shared" si="1"/>
        <v>0</v>
      </c>
      <c r="AM21" s="53">
        <f t="shared" si="2"/>
        <v>0</v>
      </c>
      <c r="AN21" s="53">
        <f t="shared" si="3"/>
        <v>0</v>
      </c>
      <c r="AO21" s="53">
        <f t="shared" si="4"/>
        <v>0</v>
      </c>
      <c r="AP21" s="61" t="str">
        <f t="shared" si="5"/>
        <v/>
      </c>
    </row>
    <row r="22">
      <c r="A22" s="48" t="s">
        <v>30</v>
      </c>
      <c r="B22" s="51">
        <f t="shared" si="6"/>
        <v>45675</v>
      </c>
      <c r="C22" s="53">
        <v>1.0</v>
      </c>
      <c r="D22" s="53" t="s">
        <v>33</v>
      </c>
      <c r="E22" s="23" t="s">
        <v>34</v>
      </c>
      <c r="F22" s="25">
        <v>0.0</v>
      </c>
      <c r="H22" s="26">
        <v>0.0</v>
      </c>
      <c r="J22" s="26">
        <v>0.0</v>
      </c>
      <c r="L22" s="25">
        <v>0.0</v>
      </c>
      <c r="N22" s="26">
        <v>0.0</v>
      </c>
      <c r="P22" s="26">
        <v>0.0</v>
      </c>
      <c r="R22" s="26">
        <v>0.0</v>
      </c>
      <c r="T22" s="26">
        <v>0.0</v>
      </c>
      <c r="V22" s="26">
        <v>0.0</v>
      </c>
      <c r="X22" s="26">
        <v>0.0</v>
      </c>
      <c r="Y22" s="28"/>
      <c r="Z22" s="25">
        <v>0.0</v>
      </c>
      <c r="AB22" s="26">
        <v>0.0</v>
      </c>
      <c r="AD22" s="26">
        <v>0.0</v>
      </c>
      <c r="AF22" s="30"/>
      <c r="AH22" s="30"/>
      <c r="AJ22" s="30"/>
      <c r="AK22" s="28"/>
      <c r="AL22" s="60">
        <f t="shared" si="1"/>
        <v>0</v>
      </c>
      <c r="AM22" s="53">
        <f t="shared" si="2"/>
        <v>0</v>
      </c>
      <c r="AN22" s="53">
        <f t="shared" si="3"/>
        <v>0</v>
      </c>
      <c r="AO22" s="53">
        <f t="shared" si="4"/>
        <v>0</v>
      </c>
      <c r="AP22" s="61" t="str">
        <f t="shared" si="5"/>
        <v/>
      </c>
    </row>
    <row r="23">
      <c r="A23" s="69" t="s">
        <v>31</v>
      </c>
      <c r="B23" s="70">
        <f t="shared" si="6"/>
        <v>45676</v>
      </c>
      <c r="C23" s="71">
        <v>1.0</v>
      </c>
      <c r="D23" s="71" t="s">
        <v>33</v>
      </c>
      <c r="E23" s="73" t="s">
        <v>34</v>
      </c>
      <c r="F23" s="74">
        <v>0.0</v>
      </c>
      <c r="G23" s="75"/>
      <c r="H23" s="76">
        <v>0.0</v>
      </c>
      <c r="I23" s="75"/>
      <c r="J23" s="76">
        <v>0.0</v>
      </c>
      <c r="K23" s="75"/>
      <c r="L23" s="74">
        <v>30.0</v>
      </c>
      <c r="M23" s="75"/>
      <c r="N23" s="76">
        <v>30.0</v>
      </c>
      <c r="O23" s="75"/>
      <c r="P23" s="76">
        <v>0.0</v>
      </c>
      <c r="Q23" s="75"/>
      <c r="R23" s="76">
        <v>0.0</v>
      </c>
      <c r="S23" s="75"/>
      <c r="T23" s="76">
        <v>0.0</v>
      </c>
      <c r="U23" s="75"/>
      <c r="V23" s="76">
        <v>0.0</v>
      </c>
      <c r="W23" s="75"/>
      <c r="X23" s="76">
        <v>0.0</v>
      </c>
      <c r="Y23" s="77"/>
      <c r="Z23" s="74">
        <v>17.0</v>
      </c>
      <c r="AA23" s="75"/>
      <c r="AB23" s="76">
        <v>17.0</v>
      </c>
      <c r="AC23" s="75"/>
      <c r="AD23" s="76">
        <v>0.0</v>
      </c>
      <c r="AE23" s="75"/>
      <c r="AF23" s="78"/>
      <c r="AG23" s="75"/>
      <c r="AH23" s="78"/>
      <c r="AI23" s="75"/>
      <c r="AJ23" s="78"/>
      <c r="AK23" s="77"/>
      <c r="AL23" s="79">
        <f t="shared" si="1"/>
        <v>1166.54</v>
      </c>
      <c r="AM23" s="71">
        <f t="shared" si="2"/>
        <v>94</v>
      </c>
      <c r="AN23" s="71">
        <f t="shared" si="3"/>
        <v>0</v>
      </c>
      <c r="AO23" s="71">
        <f t="shared" si="4"/>
        <v>94</v>
      </c>
      <c r="AP23" s="80">
        <f t="shared" si="5"/>
        <v>12.41</v>
      </c>
    </row>
    <row r="24">
      <c r="A24" s="19" t="s">
        <v>23</v>
      </c>
      <c r="B24" s="81">
        <f t="shared" si="6"/>
        <v>45677</v>
      </c>
      <c r="C24" s="21">
        <v>1.0</v>
      </c>
      <c r="D24" s="21" t="s">
        <v>36</v>
      </c>
      <c r="E24" s="82" t="s">
        <v>34</v>
      </c>
      <c r="F24" s="25">
        <v>0.0</v>
      </c>
      <c r="H24" s="26">
        <v>0.0</v>
      </c>
      <c r="J24" s="26">
        <v>0.0</v>
      </c>
      <c r="L24" s="25">
        <v>37.0</v>
      </c>
      <c r="N24" s="26">
        <v>37.0</v>
      </c>
      <c r="P24" s="26">
        <v>0.0</v>
      </c>
      <c r="R24" s="26">
        <v>0.0</v>
      </c>
      <c r="T24" s="26">
        <v>1.0</v>
      </c>
      <c r="V24" s="26">
        <v>1.0</v>
      </c>
      <c r="X24" s="26">
        <v>0.0</v>
      </c>
      <c r="Y24" s="28"/>
      <c r="Z24" s="25">
        <v>17.0</v>
      </c>
      <c r="AB24" s="26">
        <v>17.0</v>
      </c>
      <c r="AD24" s="26"/>
      <c r="AF24" s="30"/>
      <c r="AH24" s="30"/>
      <c r="AJ24" s="30"/>
      <c r="AK24" s="28"/>
      <c r="AL24" s="39">
        <f t="shared" si="1"/>
        <v>2105.41</v>
      </c>
      <c r="AM24" s="21">
        <f t="shared" si="2"/>
        <v>108</v>
      </c>
      <c r="AN24" s="21">
        <f t="shared" si="3"/>
        <v>2</v>
      </c>
      <c r="AO24" s="21">
        <f t="shared" si="4"/>
        <v>110</v>
      </c>
      <c r="AP24" s="46">
        <f t="shared" si="5"/>
        <v>19.14009091</v>
      </c>
    </row>
    <row r="25">
      <c r="A25" s="48" t="s">
        <v>26</v>
      </c>
      <c r="B25" s="51">
        <f t="shared" si="6"/>
        <v>45678</v>
      </c>
      <c r="C25" s="53">
        <v>1.0</v>
      </c>
      <c r="D25" s="53" t="s">
        <v>36</v>
      </c>
      <c r="E25" s="23" t="s">
        <v>34</v>
      </c>
      <c r="F25" s="25">
        <v>0.0</v>
      </c>
      <c r="H25" s="26">
        <v>0.0</v>
      </c>
      <c r="J25" s="26">
        <v>0.0</v>
      </c>
      <c r="L25" s="25">
        <v>37.0</v>
      </c>
      <c r="N25" s="26">
        <v>37.0</v>
      </c>
      <c r="P25" s="26">
        <v>0.0</v>
      </c>
      <c r="R25" s="26">
        <v>0.0</v>
      </c>
      <c r="T25" s="26">
        <v>0.0</v>
      </c>
      <c r="V25" s="26">
        <v>0.0</v>
      </c>
      <c r="X25" s="26">
        <v>0.0</v>
      </c>
      <c r="Y25" s="28"/>
      <c r="Z25" s="25">
        <v>17.0</v>
      </c>
      <c r="AB25" s="26">
        <v>17.0</v>
      </c>
      <c r="AD25" s="26"/>
      <c r="AF25" s="30"/>
      <c r="AH25" s="30"/>
      <c r="AJ25" s="30"/>
      <c r="AK25" s="28"/>
      <c r="AL25" s="60">
        <f t="shared" si="1"/>
        <v>1340.28</v>
      </c>
      <c r="AM25" s="53">
        <f t="shared" si="2"/>
        <v>108</v>
      </c>
      <c r="AN25" s="53">
        <f t="shared" si="3"/>
        <v>0</v>
      </c>
      <c r="AO25" s="53">
        <f t="shared" si="4"/>
        <v>108</v>
      </c>
      <c r="AP25" s="61">
        <f t="shared" si="5"/>
        <v>12.41</v>
      </c>
    </row>
    <row r="26">
      <c r="A26" s="48" t="s">
        <v>27</v>
      </c>
      <c r="B26" s="51">
        <f t="shared" si="6"/>
        <v>45679</v>
      </c>
      <c r="C26" s="53">
        <v>1.0</v>
      </c>
      <c r="D26" s="53" t="s">
        <v>36</v>
      </c>
      <c r="E26" s="23" t="s">
        <v>34</v>
      </c>
      <c r="F26" s="25">
        <v>0.0</v>
      </c>
      <c r="H26" s="26">
        <v>0.0</v>
      </c>
      <c r="J26" s="26">
        <v>0.0</v>
      </c>
      <c r="L26" s="25">
        <v>37.0</v>
      </c>
      <c r="N26" s="26">
        <v>37.0</v>
      </c>
      <c r="P26" s="26">
        <v>0.0</v>
      </c>
      <c r="R26" s="26">
        <v>0.0</v>
      </c>
      <c r="T26" s="26">
        <v>0.0</v>
      </c>
      <c r="V26" s="26">
        <v>0.0</v>
      </c>
      <c r="X26" s="26">
        <v>0.0</v>
      </c>
      <c r="Y26" s="28"/>
      <c r="Z26" s="25">
        <v>17.0</v>
      </c>
      <c r="AB26" s="26">
        <v>17.0</v>
      </c>
      <c r="AD26" s="26"/>
      <c r="AF26" s="30"/>
      <c r="AH26" s="30"/>
      <c r="AJ26" s="30"/>
      <c r="AK26" s="28"/>
      <c r="AL26" s="60">
        <f t="shared" si="1"/>
        <v>1340.28</v>
      </c>
      <c r="AM26" s="53">
        <f t="shared" si="2"/>
        <v>108</v>
      </c>
      <c r="AN26" s="53">
        <f t="shared" si="3"/>
        <v>0</v>
      </c>
      <c r="AO26" s="53">
        <f t="shared" si="4"/>
        <v>108</v>
      </c>
      <c r="AP26" s="61">
        <f t="shared" si="5"/>
        <v>12.41</v>
      </c>
    </row>
    <row r="27">
      <c r="A27" s="48" t="s">
        <v>28</v>
      </c>
      <c r="B27" s="51">
        <f t="shared" si="6"/>
        <v>45680</v>
      </c>
      <c r="C27" s="53">
        <v>1.0</v>
      </c>
      <c r="D27" s="53" t="s">
        <v>36</v>
      </c>
      <c r="E27" s="23" t="s">
        <v>34</v>
      </c>
      <c r="F27" s="25">
        <v>0.0</v>
      </c>
      <c r="H27" s="26">
        <v>0.0</v>
      </c>
      <c r="J27" s="26">
        <v>0.0</v>
      </c>
      <c r="L27" s="25">
        <v>37.0</v>
      </c>
      <c r="N27" s="26">
        <v>37.0</v>
      </c>
      <c r="P27" s="26">
        <v>0.0</v>
      </c>
      <c r="R27" s="26">
        <v>0.0</v>
      </c>
      <c r="T27" s="26">
        <v>0.0</v>
      </c>
      <c r="V27" s="26">
        <v>0.0</v>
      </c>
      <c r="X27" s="26">
        <v>0.0</v>
      </c>
      <c r="Y27" s="28"/>
      <c r="Z27" s="25">
        <v>17.0</v>
      </c>
      <c r="AB27" s="26">
        <v>17.0</v>
      </c>
      <c r="AD27" s="26"/>
      <c r="AF27" s="30"/>
      <c r="AH27" s="30"/>
      <c r="AJ27" s="30"/>
      <c r="AK27" s="28"/>
      <c r="AL27" s="60">
        <f t="shared" si="1"/>
        <v>1340.28</v>
      </c>
      <c r="AM27" s="53">
        <f t="shared" si="2"/>
        <v>108</v>
      </c>
      <c r="AN27" s="53">
        <f t="shared" si="3"/>
        <v>0</v>
      </c>
      <c r="AO27" s="53">
        <f t="shared" si="4"/>
        <v>108</v>
      </c>
      <c r="AP27" s="61">
        <f t="shared" si="5"/>
        <v>12.41</v>
      </c>
    </row>
    <row r="28">
      <c r="A28" s="48" t="s">
        <v>29</v>
      </c>
      <c r="B28" s="51">
        <f t="shared" si="6"/>
        <v>45681</v>
      </c>
      <c r="C28" s="53">
        <v>1.0</v>
      </c>
      <c r="D28" s="53" t="s">
        <v>36</v>
      </c>
      <c r="E28" s="23" t="s">
        <v>34</v>
      </c>
      <c r="F28" s="25">
        <v>0.0</v>
      </c>
      <c r="H28" s="26">
        <v>0.0</v>
      </c>
      <c r="J28" s="26">
        <v>0.0</v>
      </c>
      <c r="L28" s="25">
        <v>37.0</v>
      </c>
      <c r="N28" s="26">
        <v>37.0</v>
      </c>
      <c r="P28" s="26">
        <v>0.0</v>
      </c>
      <c r="R28" s="26">
        <v>0.0</v>
      </c>
      <c r="T28" s="26">
        <v>0.0</v>
      </c>
      <c r="V28" s="26">
        <v>0.0</v>
      </c>
      <c r="X28" s="26">
        <v>0.0</v>
      </c>
      <c r="Y28" s="28"/>
      <c r="Z28" s="25">
        <v>17.0</v>
      </c>
      <c r="AB28" s="26">
        <v>17.0</v>
      </c>
      <c r="AD28" s="26"/>
      <c r="AF28" s="30"/>
      <c r="AH28" s="30"/>
      <c r="AJ28" s="30"/>
      <c r="AK28" s="28"/>
      <c r="AL28" s="60">
        <f t="shared" si="1"/>
        <v>1340.28</v>
      </c>
      <c r="AM28" s="53">
        <f t="shared" si="2"/>
        <v>108</v>
      </c>
      <c r="AN28" s="53">
        <f t="shared" si="3"/>
        <v>0</v>
      </c>
      <c r="AO28" s="53">
        <f t="shared" si="4"/>
        <v>108</v>
      </c>
      <c r="AP28" s="61">
        <f t="shared" si="5"/>
        <v>12.41</v>
      </c>
    </row>
    <row r="29">
      <c r="A29" s="48" t="s">
        <v>30</v>
      </c>
      <c r="B29" s="51">
        <f t="shared" si="6"/>
        <v>45682</v>
      </c>
      <c r="C29" s="53">
        <v>1.0</v>
      </c>
      <c r="D29" s="53" t="s">
        <v>36</v>
      </c>
      <c r="E29" s="23" t="s">
        <v>34</v>
      </c>
      <c r="F29" s="25">
        <v>0.0</v>
      </c>
      <c r="H29" s="26">
        <v>0.0</v>
      </c>
      <c r="J29" s="26">
        <v>0.0</v>
      </c>
      <c r="L29" s="25">
        <v>0.0</v>
      </c>
      <c r="N29" s="26">
        <v>0.0</v>
      </c>
      <c r="P29" s="26">
        <v>0.0</v>
      </c>
      <c r="R29" s="26">
        <v>0.0</v>
      </c>
      <c r="T29" s="26">
        <v>0.0</v>
      </c>
      <c r="V29" s="26">
        <v>0.0</v>
      </c>
      <c r="X29" s="26">
        <v>0.0</v>
      </c>
      <c r="Y29" s="28"/>
      <c r="Z29" s="25">
        <v>0.0</v>
      </c>
      <c r="AB29" s="26">
        <v>0.0</v>
      </c>
      <c r="AD29" s="26">
        <v>0.0</v>
      </c>
      <c r="AF29" s="30"/>
      <c r="AH29" s="30"/>
      <c r="AJ29" s="30"/>
      <c r="AK29" s="28"/>
      <c r="AL29" s="60">
        <f t="shared" si="1"/>
        <v>0</v>
      </c>
      <c r="AM29" s="53">
        <f t="shared" si="2"/>
        <v>0</v>
      </c>
      <c r="AN29" s="53">
        <f t="shared" si="3"/>
        <v>0</v>
      </c>
      <c r="AO29" s="53">
        <f t="shared" si="4"/>
        <v>0</v>
      </c>
      <c r="AP29" s="61" t="str">
        <f t="shared" si="5"/>
        <v/>
      </c>
    </row>
    <row r="30">
      <c r="A30" s="69" t="s">
        <v>31</v>
      </c>
      <c r="B30" s="70">
        <f t="shared" si="6"/>
        <v>45683</v>
      </c>
      <c r="C30" s="71">
        <v>1.0</v>
      </c>
      <c r="D30" s="71" t="s">
        <v>36</v>
      </c>
      <c r="E30" s="73" t="s">
        <v>34</v>
      </c>
      <c r="F30" s="74">
        <v>0.0</v>
      </c>
      <c r="G30" s="75"/>
      <c r="H30" s="76">
        <v>0.0</v>
      </c>
      <c r="I30" s="75"/>
      <c r="J30" s="76">
        <v>0.0</v>
      </c>
      <c r="K30" s="75"/>
      <c r="L30" s="74">
        <v>0.0</v>
      </c>
      <c r="M30" s="75"/>
      <c r="N30" s="76">
        <v>0.0</v>
      </c>
      <c r="O30" s="75"/>
      <c r="P30" s="76">
        <v>0.0</v>
      </c>
      <c r="Q30" s="75"/>
      <c r="R30" s="76">
        <v>0.0</v>
      </c>
      <c r="S30" s="75"/>
      <c r="T30" s="76">
        <v>0.0</v>
      </c>
      <c r="U30" s="75"/>
      <c r="V30" s="76">
        <v>0.0</v>
      </c>
      <c r="W30" s="75"/>
      <c r="X30" s="76">
        <v>0.0</v>
      </c>
      <c r="Y30" s="77"/>
      <c r="Z30" s="74">
        <v>0.0</v>
      </c>
      <c r="AA30" s="75"/>
      <c r="AB30" s="76">
        <v>0.0</v>
      </c>
      <c r="AC30" s="75"/>
      <c r="AD30" s="76">
        <v>0.0</v>
      </c>
      <c r="AE30" s="75"/>
      <c r="AF30" s="78"/>
      <c r="AG30" s="75"/>
      <c r="AH30" s="78"/>
      <c r="AI30" s="75"/>
      <c r="AJ30" s="78"/>
      <c r="AK30" s="77"/>
      <c r="AL30" s="79">
        <f t="shared" si="1"/>
        <v>0</v>
      </c>
      <c r="AM30" s="71">
        <f t="shared" si="2"/>
        <v>0</v>
      </c>
      <c r="AN30" s="71">
        <f t="shared" si="3"/>
        <v>0</v>
      </c>
      <c r="AO30" s="71">
        <f t="shared" si="4"/>
        <v>0</v>
      </c>
      <c r="AP30" s="80" t="str">
        <f t="shared" si="5"/>
        <v/>
      </c>
    </row>
    <row r="31">
      <c r="A31" s="19" t="s">
        <v>23</v>
      </c>
      <c r="B31" s="81">
        <f t="shared" si="6"/>
        <v>45684</v>
      </c>
      <c r="C31" s="21">
        <v>2.0</v>
      </c>
      <c r="D31" s="21" t="s">
        <v>24</v>
      </c>
      <c r="E31" s="82" t="s">
        <v>34</v>
      </c>
      <c r="F31" s="101">
        <v>0.0</v>
      </c>
      <c r="H31" s="102">
        <v>0.0</v>
      </c>
      <c r="J31" s="102">
        <v>0.0</v>
      </c>
      <c r="L31" s="101">
        <v>30.0</v>
      </c>
      <c r="N31" s="102">
        <v>30.0</v>
      </c>
      <c r="P31" s="102">
        <v>0.0</v>
      </c>
      <c r="R31" s="102">
        <v>0.0</v>
      </c>
      <c r="T31" s="102">
        <v>1.0</v>
      </c>
      <c r="V31" s="102">
        <v>1.0</v>
      </c>
      <c r="X31" s="102">
        <v>0.0</v>
      </c>
      <c r="Y31" s="28"/>
      <c r="Z31" s="101">
        <v>17.0</v>
      </c>
      <c r="AB31" s="102">
        <v>17.0</v>
      </c>
      <c r="AD31" s="102">
        <v>0.0</v>
      </c>
      <c r="AF31" s="103"/>
      <c r="AH31" s="103"/>
      <c r="AJ31" s="103"/>
      <c r="AK31" s="28"/>
      <c r="AL31" s="104">
        <f t="shared" si="1"/>
        <v>1931.67</v>
      </c>
      <c r="AM31" s="21">
        <f t="shared" si="2"/>
        <v>94</v>
      </c>
      <c r="AN31" s="21">
        <f t="shared" si="3"/>
        <v>2</v>
      </c>
      <c r="AO31" s="21">
        <f t="shared" si="4"/>
        <v>96</v>
      </c>
      <c r="AP31" s="46">
        <f t="shared" si="5"/>
        <v>20.1215625</v>
      </c>
    </row>
    <row r="32">
      <c r="A32" s="48" t="s">
        <v>26</v>
      </c>
      <c r="B32" s="51">
        <f t="shared" si="6"/>
        <v>45685</v>
      </c>
      <c r="C32" s="53">
        <v>2.0</v>
      </c>
      <c r="D32" s="53" t="s">
        <v>24</v>
      </c>
      <c r="E32" s="23" t="s">
        <v>34</v>
      </c>
      <c r="F32" s="101">
        <v>0.0</v>
      </c>
      <c r="H32" s="102">
        <v>0.0</v>
      </c>
      <c r="J32" s="102">
        <v>0.0</v>
      </c>
      <c r="L32" s="101">
        <v>30.0</v>
      </c>
      <c r="N32" s="102">
        <v>30.0</v>
      </c>
      <c r="P32" s="102">
        <v>0.0</v>
      </c>
      <c r="R32" s="102">
        <v>0.0</v>
      </c>
      <c r="T32" s="102">
        <v>0.0</v>
      </c>
      <c r="V32" s="102">
        <v>0.0</v>
      </c>
      <c r="X32" s="102">
        <v>0.0</v>
      </c>
      <c r="Y32" s="28"/>
      <c r="Z32" s="101">
        <v>17.0</v>
      </c>
      <c r="AB32" s="102">
        <v>17.0</v>
      </c>
      <c r="AD32" s="102">
        <v>0.0</v>
      </c>
      <c r="AF32" s="103"/>
      <c r="AH32" s="103"/>
      <c r="AJ32" s="103"/>
      <c r="AK32" s="28"/>
      <c r="AL32" s="105">
        <f t="shared" si="1"/>
        <v>1166.54</v>
      </c>
      <c r="AM32" s="53">
        <f t="shared" si="2"/>
        <v>94</v>
      </c>
      <c r="AN32" s="53">
        <f t="shared" si="3"/>
        <v>0</v>
      </c>
      <c r="AO32" s="53">
        <f t="shared" si="4"/>
        <v>94</v>
      </c>
      <c r="AP32" s="61">
        <f t="shared" si="5"/>
        <v>12.41</v>
      </c>
    </row>
    <row r="33">
      <c r="A33" s="48" t="s">
        <v>27</v>
      </c>
      <c r="B33" s="51">
        <f t="shared" si="6"/>
        <v>45686</v>
      </c>
      <c r="C33" s="53">
        <v>2.0</v>
      </c>
      <c r="D33" s="53" t="s">
        <v>24</v>
      </c>
      <c r="E33" s="23" t="s">
        <v>34</v>
      </c>
      <c r="F33" s="101">
        <v>0.0</v>
      </c>
      <c r="H33" s="102">
        <v>0.0</v>
      </c>
      <c r="J33" s="102">
        <v>0.0</v>
      </c>
      <c r="L33" s="101">
        <v>30.0</v>
      </c>
      <c r="N33" s="102">
        <v>30.0</v>
      </c>
      <c r="P33" s="102">
        <v>0.0</v>
      </c>
      <c r="R33" s="102">
        <v>0.0</v>
      </c>
      <c r="T33" s="102">
        <v>0.0</v>
      </c>
      <c r="V33" s="102">
        <v>0.0</v>
      </c>
      <c r="X33" s="102">
        <v>0.0</v>
      </c>
      <c r="Y33" s="28"/>
      <c r="Z33" s="101">
        <v>17.0</v>
      </c>
      <c r="AB33" s="102">
        <v>17.0</v>
      </c>
      <c r="AD33" s="102">
        <v>0.0</v>
      </c>
      <c r="AF33" s="103"/>
      <c r="AH33" s="103"/>
      <c r="AJ33" s="103"/>
      <c r="AK33" s="28"/>
      <c r="AL33" s="105">
        <f t="shared" si="1"/>
        <v>1166.54</v>
      </c>
      <c r="AM33" s="53">
        <f t="shared" si="2"/>
        <v>94</v>
      </c>
      <c r="AN33" s="53">
        <f t="shared" si="3"/>
        <v>0</v>
      </c>
      <c r="AO33" s="53">
        <f t="shared" si="4"/>
        <v>94</v>
      </c>
      <c r="AP33" s="61">
        <f t="shared" si="5"/>
        <v>12.41</v>
      </c>
    </row>
    <row r="34">
      <c r="A34" s="48" t="s">
        <v>28</v>
      </c>
      <c r="B34" s="51">
        <f t="shared" si="6"/>
        <v>45687</v>
      </c>
      <c r="C34" s="53">
        <v>2.0</v>
      </c>
      <c r="D34" s="53" t="s">
        <v>24</v>
      </c>
      <c r="E34" s="23" t="s">
        <v>34</v>
      </c>
      <c r="F34" s="101">
        <v>0.0</v>
      </c>
      <c r="H34" s="102">
        <v>0.0</v>
      </c>
      <c r="J34" s="102">
        <v>0.0</v>
      </c>
      <c r="L34" s="101">
        <v>30.0</v>
      </c>
      <c r="N34" s="102">
        <v>30.0</v>
      </c>
      <c r="P34" s="102">
        <v>0.0</v>
      </c>
      <c r="R34" s="102">
        <v>0.0</v>
      </c>
      <c r="T34" s="102">
        <v>0.0</v>
      </c>
      <c r="V34" s="102">
        <v>0.0</v>
      </c>
      <c r="X34" s="102">
        <v>0.0</v>
      </c>
      <c r="Y34" s="28"/>
      <c r="Z34" s="101">
        <v>17.0</v>
      </c>
      <c r="AB34" s="102">
        <v>17.0</v>
      </c>
      <c r="AD34" s="102">
        <v>0.0</v>
      </c>
      <c r="AF34" s="103"/>
      <c r="AH34" s="103"/>
      <c r="AJ34" s="103"/>
      <c r="AK34" s="28"/>
      <c r="AL34" s="105">
        <f t="shared" si="1"/>
        <v>1166.54</v>
      </c>
      <c r="AM34" s="53">
        <f t="shared" si="2"/>
        <v>94</v>
      </c>
      <c r="AN34" s="53">
        <f t="shared" si="3"/>
        <v>0</v>
      </c>
      <c r="AO34" s="53">
        <f t="shared" si="4"/>
        <v>94</v>
      </c>
      <c r="AP34" s="61">
        <f t="shared" si="5"/>
        <v>12.41</v>
      </c>
    </row>
    <row r="35">
      <c r="A35" s="48" t="s">
        <v>29</v>
      </c>
      <c r="B35" s="51">
        <f t="shared" si="6"/>
        <v>45688</v>
      </c>
      <c r="C35" s="53">
        <v>2.0</v>
      </c>
      <c r="D35" s="53" t="s">
        <v>24</v>
      </c>
      <c r="E35" s="23" t="s">
        <v>34</v>
      </c>
      <c r="F35" s="101">
        <v>0.0</v>
      </c>
      <c r="H35" s="102">
        <v>0.0</v>
      </c>
      <c r="J35" s="102">
        <v>0.0</v>
      </c>
      <c r="L35" s="101">
        <v>30.0</v>
      </c>
      <c r="N35" s="102">
        <v>30.0</v>
      </c>
      <c r="P35" s="102">
        <v>0.0</v>
      </c>
      <c r="R35" s="102">
        <v>0.0</v>
      </c>
      <c r="T35" s="102">
        <v>0.0</v>
      </c>
      <c r="V35" s="102">
        <v>0.0</v>
      </c>
      <c r="X35" s="102">
        <v>0.0</v>
      </c>
      <c r="Y35" s="28"/>
      <c r="Z35" s="101">
        <v>17.0</v>
      </c>
      <c r="AB35" s="102">
        <v>17.0</v>
      </c>
      <c r="AD35" s="102">
        <v>0.0</v>
      </c>
      <c r="AF35" s="103"/>
      <c r="AH35" s="103"/>
      <c r="AJ35" s="103"/>
      <c r="AK35" s="28"/>
      <c r="AL35" s="105">
        <f t="shared" si="1"/>
        <v>1166.54</v>
      </c>
      <c r="AM35" s="53">
        <f t="shared" si="2"/>
        <v>94</v>
      </c>
      <c r="AN35" s="53">
        <f t="shared" si="3"/>
        <v>0</v>
      </c>
      <c r="AO35" s="53">
        <f t="shared" si="4"/>
        <v>94</v>
      </c>
      <c r="AP35" s="61">
        <f t="shared" si="5"/>
        <v>12.41</v>
      </c>
    </row>
    <row r="36">
      <c r="A36" s="48" t="s">
        <v>30</v>
      </c>
      <c r="B36" s="51">
        <f t="shared" si="6"/>
        <v>45689</v>
      </c>
      <c r="C36" s="53">
        <v>2.0</v>
      </c>
      <c r="D36" s="53" t="s">
        <v>24</v>
      </c>
      <c r="E36" s="23" t="s">
        <v>34</v>
      </c>
      <c r="F36" s="101">
        <v>0.0</v>
      </c>
      <c r="H36" s="102">
        <v>0.0</v>
      </c>
      <c r="J36" s="102">
        <v>0.0</v>
      </c>
      <c r="L36" s="101">
        <v>0.0</v>
      </c>
      <c r="N36" s="102">
        <v>0.0</v>
      </c>
      <c r="P36" s="102">
        <v>0.0</v>
      </c>
      <c r="R36" s="102">
        <v>0.0</v>
      </c>
      <c r="T36" s="102">
        <v>0.0</v>
      </c>
      <c r="V36" s="102">
        <v>0.0</v>
      </c>
      <c r="X36" s="102">
        <v>0.0</v>
      </c>
      <c r="Y36" s="28"/>
      <c r="Z36" s="101">
        <v>0.0</v>
      </c>
      <c r="AB36" s="102">
        <v>0.0</v>
      </c>
      <c r="AD36" s="102">
        <v>0.0</v>
      </c>
      <c r="AF36" s="103"/>
      <c r="AH36" s="103"/>
      <c r="AJ36" s="103"/>
      <c r="AK36" s="28"/>
      <c r="AL36" s="105">
        <f t="shared" si="1"/>
        <v>0</v>
      </c>
      <c r="AM36" s="53">
        <f t="shared" si="2"/>
        <v>0</v>
      </c>
      <c r="AN36" s="53">
        <f t="shared" si="3"/>
        <v>0</v>
      </c>
      <c r="AO36" s="53">
        <f t="shared" si="4"/>
        <v>0</v>
      </c>
      <c r="AP36" s="61" t="str">
        <f t="shared" si="5"/>
        <v/>
      </c>
    </row>
    <row r="37">
      <c r="A37" s="69" t="s">
        <v>31</v>
      </c>
      <c r="B37" s="70">
        <f t="shared" si="6"/>
        <v>45690</v>
      </c>
      <c r="C37" s="71">
        <v>2.0</v>
      </c>
      <c r="D37" s="71" t="s">
        <v>24</v>
      </c>
      <c r="E37" s="73" t="s">
        <v>34</v>
      </c>
      <c r="F37" s="108">
        <v>0.0</v>
      </c>
      <c r="G37" s="75"/>
      <c r="H37" s="109">
        <v>0.0</v>
      </c>
      <c r="I37" s="75"/>
      <c r="J37" s="109">
        <v>0.0</v>
      </c>
      <c r="K37" s="75"/>
      <c r="L37" s="108">
        <v>0.0</v>
      </c>
      <c r="M37" s="75"/>
      <c r="N37" s="109">
        <v>0.0</v>
      </c>
      <c r="O37" s="75"/>
      <c r="P37" s="109">
        <v>0.0</v>
      </c>
      <c r="Q37" s="75"/>
      <c r="R37" s="109">
        <v>0.0</v>
      </c>
      <c r="S37" s="75"/>
      <c r="T37" s="109">
        <v>0.0</v>
      </c>
      <c r="U37" s="75"/>
      <c r="V37" s="109">
        <v>0.0</v>
      </c>
      <c r="W37" s="75"/>
      <c r="X37" s="109">
        <v>0.0</v>
      </c>
      <c r="Y37" s="77"/>
      <c r="Z37" s="108">
        <v>0.0</v>
      </c>
      <c r="AA37" s="75"/>
      <c r="AB37" s="109">
        <v>0.0</v>
      </c>
      <c r="AC37" s="75"/>
      <c r="AD37" s="109">
        <v>0.0</v>
      </c>
      <c r="AE37" s="75"/>
      <c r="AF37" s="111"/>
      <c r="AG37" s="75"/>
      <c r="AH37" s="111"/>
      <c r="AI37" s="75"/>
      <c r="AJ37" s="111"/>
      <c r="AK37" s="77"/>
      <c r="AL37" s="112">
        <f t="shared" si="1"/>
        <v>0</v>
      </c>
      <c r="AM37" s="71">
        <f t="shared" si="2"/>
        <v>0</v>
      </c>
      <c r="AN37" s="71">
        <f t="shared" si="3"/>
        <v>0</v>
      </c>
      <c r="AO37" s="71">
        <f t="shared" si="4"/>
        <v>0</v>
      </c>
      <c r="AP37" s="80" t="str">
        <f t="shared" si="5"/>
        <v/>
      </c>
    </row>
    <row r="38">
      <c r="A38" s="19" t="s">
        <v>23</v>
      </c>
      <c r="B38" s="81">
        <f t="shared" si="6"/>
        <v>45691</v>
      </c>
      <c r="C38" s="21">
        <v>2.0</v>
      </c>
      <c r="D38" s="21" t="s">
        <v>32</v>
      </c>
      <c r="E38" s="82" t="s">
        <v>34</v>
      </c>
      <c r="F38" s="25">
        <v>0.0</v>
      </c>
      <c r="H38" s="26">
        <v>0.0</v>
      </c>
      <c r="J38" s="26">
        <v>0.0</v>
      </c>
      <c r="L38" s="25">
        <v>35.0</v>
      </c>
      <c r="N38" s="26">
        <v>60.0</v>
      </c>
      <c r="P38" s="26">
        <v>0.0</v>
      </c>
      <c r="R38" s="26">
        <v>0.0</v>
      </c>
      <c r="T38" s="26">
        <v>1.0</v>
      </c>
      <c r="V38" s="26">
        <v>1.0</v>
      </c>
      <c r="X38" s="26">
        <v>0.0</v>
      </c>
      <c r="Y38" s="28"/>
      <c r="Z38" s="25">
        <v>19.0</v>
      </c>
      <c r="AB38" s="26">
        <v>19.0</v>
      </c>
      <c r="AD38" s="26">
        <v>0.0</v>
      </c>
      <c r="AF38" s="30"/>
      <c r="AH38" s="30"/>
      <c r="AJ38" s="30"/>
      <c r="AK38" s="28"/>
      <c r="AL38" s="39">
        <f t="shared" si="1"/>
        <v>2415.66</v>
      </c>
      <c r="AM38" s="21">
        <f t="shared" si="2"/>
        <v>133</v>
      </c>
      <c r="AN38" s="21">
        <f t="shared" si="3"/>
        <v>2</v>
      </c>
      <c r="AO38" s="21">
        <f t="shared" si="4"/>
        <v>135</v>
      </c>
      <c r="AP38" s="46">
        <f t="shared" si="5"/>
        <v>17.89377778</v>
      </c>
    </row>
    <row r="39">
      <c r="A39" s="48" t="s">
        <v>26</v>
      </c>
      <c r="B39" s="51">
        <f t="shared" si="6"/>
        <v>45692</v>
      </c>
      <c r="C39" s="53">
        <v>2.0</v>
      </c>
      <c r="D39" s="53" t="s">
        <v>32</v>
      </c>
      <c r="E39" s="23" t="s">
        <v>34</v>
      </c>
      <c r="F39" s="25">
        <v>0.0</v>
      </c>
      <c r="H39" s="26">
        <v>0.0</v>
      </c>
      <c r="J39" s="26">
        <v>0.0</v>
      </c>
      <c r="L39" s="25">
        <v>60.0</v>
      </c>
      <c r="N39" s="26">
        <v>60.0</v>
      </c>
      <c r="P39" s="26">
        <v>0.0</v>
      </c>
      <c r="R39" s="26">
        <v>0.0</v>
      </c>
      <c r="T39" s="26">
        <v>0.0</v>
      </c>
      <c r="V39" s="26">
        <v>0.0</v>
      </c>
      <c r="X39" s="26">
        <v>0.0</v>
      </c>
      <c r="Y39" s="28"/>
      <c r="Z39" s="25">
        <v>19.0</v>
      </c>
      <c r="AB39" s="26">
        <v>19.0</v>
      </c>
      <c r="AD39" s="26">
        <v>0.0</v>
      </c>
      <c r="AF39" s="30"/>
      <c r="AH39" s="30"/>
      <c r="AJ39" s="30"/>
      <c r="AK39" s="28"/>
      <c r="AL39" s="60">
        <f t="shared" si="1"/>
        <v>1960.78</v>
      </c>
      <c r="AM39" s="53">
        <f t="shared" si="2"/>
        <v>158</v>
      </c>
      <c r="AN39" s="53">
        <f t="shared" si="3"/>
        <v>0</v>
      </c>
      <c r="AO39" s="53">
        <f t="shared" si="4"/>
        <v>158</v>
      </c>
      <c r="AP39" s="61">
        <f t="shared" si="5"/>
        <v>12.41</v>
      </c>
    </row>
    <row r="40">
      <c r="A40" s="48" t="s">
        <v>27</v>
      </c>
      <c r="B40" s="51">
        <f t="shared" si="6"/>
        <v>45693</v>
      </c>
      <c r="C40" s="53">
        <v>2.0</v>
      </c>
      <c r="D40" s="53" t="s">
        <v>32</v>
      </c>
      <c r="E40" s="23" t="s">
        <v>34</v>
      </c>
      <c r="F40" s="25">
        <v>0.0</v>
      </c>
      <c r="H40" s="26">
        <v>0.0</v>
      </c>
      <c r="J40" s="26">
        <v>0.0</v>
      </c>
      <c r="L40" s="25">
        <v>60.0</v>
      </c>
      <c r="N40" s="26">
        <v>60.0</v>
      </c>
      <c r="P40" s="26">
        <v>0.0</v>
      </c>
      <c r="R40" s="26">
        <v>0.0</v>
      </c>
      <c r="T40" s="26">
        <v>0.0</v>
      </c>
      <c r="V40" s="26">
        <v>0.0</v>
      </c>
      <c r="X40" s="26">
        <v>0.0</v>
      </c>
      <c r="Y40" s="28"/>
      <c r="Z40" s="25">
        <v>19.0</v>
      </c>
      <c r="AB40" s="26">
        <v>19.0</v>
      </c>
      <c r="AD40" s="26">
        <v>0.0</v>
      </c>
      <c r="AF40" s="30"/>
      <c r="AH40" s="30"/>
      <c r="AJ40" s="30"/>
      <c r="AK40" s="28"/>
      <c r="AL40" s="60">
        <f t="shared" si="1"/>
        <v>1960.78</v>
      </c>
      <c r="AM40" s="53">
        <f t="shared" si="2"/>
        <v>158</v>
      </c>
      <c r="AN40" s="53">
        <f t="shared" si="3"/>
        <v>0</v>
      </c>
      <c r="AO40" s="53">
        <f t="shared" si="4"/>
        <v>158</v>
      </c>
      <c r="AP40" s="61">
        <f t="shared" si="5"/>
        <v>12.41</v>
      </c>
    </row>
    <row r="41">
      <c r="A41" s="48" t="s">
        <v>28</v>
      </c>
      <c r="B41" s="51">
        <f t="shared" si="6"/>
        <v>45694</v>
      </c>
      <c r="C41" s="53">
        <v>2.0</v>
      </c>
      <c r="D41" s="53" t="s">
        <v>32</v>
      </c>
      <c r="E41" s="23" t="s">
        <v>34</v>
      </c>
      <c r="F41" s="25">
        <v>0.0</v>
      </c>
      <c r="H41" s="26">
        <v>0.0</v>
      </c>
      <c r="J41" s="26">
        <v>0.0</v>
      </c>
      <c r="L41" s="25">
        <v>60.0</v>
      </c>
      <c r="N41" s="26">
        <v>60.0</v>
      </c>
      <c r="P41" s="26">
        <v>0.0</v>
      </c>
      <c r="R41" s="26">
        <v>0.0</v>
      </c>
      <c r="T41" s="26">
        <v>0.0</v>
      </c>
      <c r="V41" s="26">
        <v>0.0</v>
      </c>
      <c r="X41" s="26">
        <v>0.0</v>
      </c>
      <c r="Y41" s="28"/>
      <c r="Z41" s="25">
        <v>19.0</v>
      </c>
      <c r="AB41" s="26">
        <v>19.0</v>
      </c>
      <c r="AD41" s="26">
        <v>0.0</v>
      </c>
      <c r="AF41" s="30"/>
      <c r="AH41" s="30"/>
      <c r="AJ41" s="30"/>
      <c r="AK41" s="28"/>
      <c r="AL41" s="60">
        <f t="shared" si="1"/>
        <v>1960.78</v>
      </c>
      <c r="AM41" s="53">
        <f t="shared" si="2"/>
        <v>158</v>
      </c>
      <c r="AN41" s="53">
        <f t="shared" si="3"/>
        <v>0</v>
      </c>
      <c r="AO41" s="53">
        <f t="shared" si="4"/>
        <v>158</v>
      </c>
      <c r="AP41" s="61">
        <f t="shared" si="5"/>
        <v>12.41</v>
      </c>
    </row>
    <row r="42">
      <c r="A42" s="48" t="s">
        <v>29</v>
      </c>
      <c r="B42" s="51">
        <f t="shared" si="6"/>
        <v>45695</v>
      </c>
      <c r="C42" s="53">
        <v>2.0</v>
      </c>
      <c r="D42" s="53" t="s">
        <v>32</v>
      </c>
      <c r="E42" s="23" t="s">
        <v>34</v>
      </c>
      <c r="F42" s="25">
        <v>0.0</v>
      </c>
      <c r="H42" s="26">
        <v>0.0</v>
      </c>
      <c r="J42" s="26">
        <v>0.0</v>
      </c>
      <c r="L42" s="25">
        <v>60.0</v>
      </c>
      <c r="N42" s="26">
        <v>60.0</v>
      </c>
      <c r="P42" s="26">
        <v>0.0</v>
      </c>
      <c r="R42" s="26">
        <v>0.0</v>
      </c>
      <c r="T42" s="26">
        <v>0.0</v>
      </c>
      <c r="V42" s="26">
        <v>0.0</v>
      </c>
      <c r="X42" s="26">
        <v>0.0</v>
      </c>
      <c r="Y42" s="28"/>
      <c r="Z42" s="25">
        <v>19.0</v>
      </c>
      <c r="AB42" s="26">
        <v>19.0</v>
      </c>
      <c r="AD42" s="26">
        <v>0.0</v>
      </c>
      <c r="AF42" s="30"/>
      <c r="AH42" s="30"/>
      <c r="AJ42" s="30"/>
      <c r="AK42" s="28"/>
      <c r="AL42" s="60">
        <f t="shared" si="1"/>
        <v>1960.78</v>
      </c>
      <c r="AM42" s="53">
        <f t="shared" si="2"/>
        <v>158</v>
      </c>
      <c r="AN42" s="53">
        <f t="shared" si="3"/>
        <v>0</v>
      </c>
      <c r="AO42" s="53">
        <f t="shared" si="4"/>
        <v>158</v>
      </c>
      <c r="AP42" s="61">
        <f t="shared" si="5"/>
        <v>12.41</v>
      </c>
    </row>
    <row r="43">
      <c r="A43" s="48" t="s">
        <v>30</v>
      </c>
      <c r="B43" s="51">
        <f t="shared" si="6"/>
        <v>45696</v>
      </c>
      <c r="C43" s="53">
        <v>2.0</v>
      </c>
      <c r="D43" s="53" t="s">
        <v>32</v>
      </c>
      <c r="E43" s="23" t="s">
        <v>34</v>
      </c>
      <c r="F43" s="25">
        <v>0.0</v>
      </c>
      <c r="H43" s="26">
        <v>0.0</v>
      </c>
      <c r="J43" s="26">
        <v>0.0</v>
      </c>
      <c r="L43" s="25">
        <v>0.0</v>
      </c>
      <c r="N43" s="26">
        <v>0.0</v>
      </c>
      <c r="P43" s="26">
        <v>0.0</v>
      </c>
      <c r="R43" s="26">
        <v>0.0</v>
      </c>
      <c r="T43" s="26">
        <v>0.0</v>
      </c>
      <c r="V43" s="26">
        <v>0.0</v>
      </c>
      <c r="X43" s="26">
        <v>0.0</v>
      </c>
      <c r="Y43" s="28"/>
      <c r="Z43" s="25">
        <v>0.0</v>
      </c>
      <c r="AB43" s="26">
        <v>0.0</v>
      </c>
      <c r="AD43" s="26">
        <v>0.0</v>
      </c>
      <c r="AF43" s="30"/>
      <c r="AH43" s="30"/>
      <c r="AJ43" s="30"/>
      <c r="AK43" s="28"/>
      <c r="AL43" s="60">
        <f t="shared" si="1"/>
        <v>0</v>
      </c>
      <c r="AM43" s="53">
        <f t="shared" si="2"/>
        <v>0</v>
      </c>
      <c r="AN43" s="53">
        <f t="shared" si="3"/>
        <v>0</v>
      </c>
      <c r="AO43" s="53">
        <f t="shared" si="4"/>
        <v>0</v>
      </c>
      <c r="AP43" s="61" t="str">
        <f t="shared" si="5"/>
        <v/>
      </c>
    </row>
    <row r="44">
      <c r="A44" s="69" t="s">
        <v>31</v>
      </c>
      <c r="B44" s="70">
        <f t="shared" si="6"/>
        <v>45697</v>
      </c>
      <c r="C44" s="71">
        <v>2.0</v>
      </c>
      <c r="D44" s="71" t="s">
        <v>32</v>
      </c>
      <c r="E44" s="73" t="s">
        <v>34</v>
      </c>
      <c r="F44" s="74">
        <v>0.0</v>
      </c>
      <c r="G44" s="75"/>
      <c r="H44" s="76">
        <v>0.0</v>
      </c>
      <c r="I44" s="75"/>
      <c r="J44" s="76">
        <v>0.0</v>
      </c>
      <c r="K44" s="75"/>
      <c r="L44" s="74">
        <v>0.0</v>
      </c>
      <c r="M44" s="75"/>
      <c r="N44" s="76">
        <v>0.0</v>
      </c>
      <c r="O44" s="75"/>
      <c r="P44" s="76">
        <v>0.0</v>
      </c>
      <c r="Q44" s="75"/>
      <c r="R44" s="76">
        <v>0.0</v>
      </c>
      <c r="S44" s="75"/>
      <c r="T44" s="76">
        <v>0.0</v>
      </c>
      <c r="U44" s="75"/>
      <c r="V44" s="76">
        <v>0.0</v>
      </c>
      <c r="W44" s="75"/>
      <c r="X44" s="76">
        <v>0.0</v>
      </c>
      <c r="Y44" s="77"/>
      <c r="Z44" s="74">
        <v>0.0</v>
      </c>
      <c r="AA44" s="75"/>
      <c r="AB44" s="76">
        <v>0.0</v>
      </c>
      <c r="AC44" s="75"/>
      <c r="AD44" s="76">
        <v>0.0</v>
      </c>
      <c r="AE44" s="75"/>
      <c r="AF44" s="78"/>
      <c r="AG44" s="75"/>
      <c r="AH44" s="78"/>
      <c r="AI44" s="75"/>
      <c r="AJ44" s="78"/>
      <c r="AK44" s="77"/>
      <c r="AL44" s="79">
        <f t="shared" si="1"/>
        <v>0</v>
      </c>
      <c r="AM44" s="71">
        <f t="shared" si="2"/>
        <v>0</v>
      </c>
      <c r="AN44" s="71">
        <f t="shared" si="3"/>
        <v>0</v>
      </c>
      <c r="AO44" s="71">
        <f t="shared" si="4"/>
        <v>0</v>
      </c>
      <c r="AP44" s="80" t="str">
        <f t="shared" si="5"/>
        <v/>
      </c>
    </row>
    <row r="45">
      <c r="A45" s="19" t="s">
        <v>23</v>
      </c>
      <c r="B45" s="81">
        <f t="shared" si="6"/>
        <v>45698</v>
      </c>
      <c r="C45" s="21">
        <v>2.0</v>
      </c>
      <c r="D45" s="21" t="s">
        <v>33</v>
      </c>
      <c r="E45" s="82" t="s">
        <v>37</v>
      </c>
      <c r="F45" s="101">
        <v>0.0</v>
      </c>
      <c r="H45" s="102">
        <v>0.0</v>
      </c>
      <c r="J45" s="102">
        <v>0.0</v>
      </c>
      <c r="L45" s="101">
        <v>60.0</v>
      </c>
      <c r="N45" s="102">
        <v>60.0</v>
      </c>
      <c r="P45" s="102">
        <v>0.0</v>
      </c>
      <c r="R45" s="102">
        <v>0.0</v>
      </c>
      <c r="T45" s="102">
        <v>1.0</v>
      </c>
      <c r="V45" s="102">
        <v>1.0</v>
      </c>
      <c r="X45" s="102">
        <v>0.0</v>
      </c>
      <c r="Y45" s="28"/>
      <c r="Z45" s="101">
        <v>18.0</v>
      </c>
      <c r="AB45" s="102">
        <v>18.0</v>
      </c>
      <c r="AD45" s="102">
        <v>0.0</v>
      </c>
      <c r="AF45" s="103"/>
      <c r="AH45" s="103"/>
      <c r="AJ45" s="103"/>
      <c r="AK45" s="28"/>
      <c r="AL45" s="104">
        <f t="shared" si="1"/>
        <v>2701.09</v>
      </c>
      <c r="AM45" s="21">
        <f t="shared" si="2"/>
        <v>156</v>
      </c>
      <c r="AN45" s="21">
        <f t="shared" si="3"/>
        <v>2</v>
      </c>
      <c r="AO45" s="21">
        <f t="shared" si="4"/>
        <v>158</v>
      </c>
      <c r="AP45" s="46">
        <f t="shared" si="5"/>
        <v>17.09550633</v>
      </c>
    </row>
    <row r="46">
      <c r="A46" s="48" t="s">
        <v>26</v>
      </c>
      <c r="B46" s="51">
        <f t="shared" si="6"/>
        <v>45699</v>
      </c>
      <c r="C46" s="53">
        <v>2.0</v>
      </c>
      <c r="D46" s="53" t="s">
        <v>33</v>
      </c>
      <c r="E46" s="23" t="s">
        <v>37</v>
      </c>
      <c r="F46" s="101">
        <v>100.0</v>
      </c>
      <c r="H46" s="102">
        <v>120.0</v>
      </c>
      <c r="J46" s="102">
        <v>0.0</v>
      </c>
      <c r="L46" s="101">
        <v>95.0</v>
      </c>
      <c r="N46" s="102">
        <v>95.0</v>
      </c>
      <c r="P46" s="102">
        <v>0.0</v>
      </c>
      <c r="R46" s="102">
        <v>0.0</v>
      </c>
      <c r="T46" s="102">
        <v>0.0</v>
      </c>
      <c r="V46" s="102">
        <v>0.0</v>
      </c>
      <c r="X46" s="102">
        <v>0.0</v>
      </c>
      <c r="Y46" s="28"/>
      <c r="Z46" s="101">
        <v>18.0</v>
      </c>
      <c r="AB46" s="102">
        <v>18.0</v>
      </c>
      <c r="AD46" s="102">
        <v>0.0</v>
      </c>
      <c r="AF46" s="103"/>
      <c r="AH46" s="103"/>
      <c r="AJ46" s="103"/>
      <c r="AK46" s="28"/>
      <c r="AL46" s="105">
        <f t="shared" si="1"/>
        <v>7103.46</v>
      </c>
      <c r="AM46" s="53">
        <f t="shared" si="2"/>
        <v>446</v>
      </c>
      <c r="AN46" s="53">
        <f t="shared" si="3"/>
        <v>0</v>
      </c>
      <c r="AO46" s="53">
        <f t="shared" si="4"/>
        <v>446</v>
      </c>
      <c r="AP46" s="61">
        <f t="shared" si="5"/>
        <v>15.92704036</v>
      </c>
    </row>
    <row r="47">
      <c r="A47" s="48" t="s">
        <v>27</v>
      </c>
      <c r="B47" s="51">
        <f t="shared" si="6"/>
        <v>45700</v>
      </c>
      <c r="C47" s="53">
        <v>2.0</v>
      </c>
      <c r="D47" s="53" t="s">
        <v>33</v>
      </c>
      <c r="E47" s="23" t="s">
        <v>37</v>
      </c>
      <c r="F47" s="101">
        <v>122.0</v>
      </c>
      <c r="H47" s="102">
        <v>122.0</v>
      </c>
      <c r="J47" s="102">
        <v>0.0</v>
      </c>
      <c r="L47" s="101">
        <v>90.0</v>
      </c>
      <c r="N47" s="102">
        <v>90.0</v>
      </c>
      <c r="P47" s="102">
        <v>0.0</v>
      </c>
      <c r="R47" s="102">
        <v>0.0</v>
      </c>
      <c r="T47" s="102">
        <v>0.0</v>
      </c>
      <c r="V47" s="102">
        <v>0.0</v>
      </c>
      <c r="X47" s="102">
        <v>0.0</v>
      </c>
      <c r="Y47" s="28"/>
      <c r="Z47" s="101">
        <v>18.0</v>
      </c>
      <c r="AB47" s="102">
        <v>18.0</v>
      </c>
      <c r="AD47" s="102">
        <v>0.0</v>
      </c>
      <c r="AF47" s="103"/>
      <c r="AH47" s="103"/>
      <c r="AJ47" s="103"/>
      <c r="AK47" s="28"/>
      <c r="AL47" s="105">
        <f t="shared" si="1"/>
        <v>7448.32</v>
      </c>
      <c r="AM47" s="53">
        <f t="shared" si="2"/>
        <v>460</v>
      </c>
      <c r="AN47" s="53">
        <f t="shared" si="3"/>
        <v>0</v>
      </c>
      <c r="AO47" s="53">
        <f t="shared" si="4"/>
        <v>460</v>
      </c>
      <c r="AP47" s="61">
        <f t="shared" si="5"/>
        <v>16.192</v>
      </c>
    </row>
    <row r="48">
      <c r="A48" s="48" t="s">
        <v>28</v>
      </c>
      <c r="B48" s="51">
        <f t="shared" si="6"/>
        <v>45701</v>
      </c>
      <c r="C48" s="53">
        <v>2.0</v>
      </c>
      <c r="D48" s="53" t="s">
        <v>33</v>
      </c>
      <c r="E48" s="23" t="s">
        <v>37</v>
      </c>
      <c r="F48" s="101">
        <v>122.0</v>
      </c>
      <c r="H48" s="102">
        <v>122.0</v>
      </c>
      <c r="J48" s="102">
        <v>0.0</v>
      </c>
      <c r="L48" s="101">
        <v>101.0</v>
      </c>
      <c r="N48" s="102">
        <v>101.0</v>
      </c>
      <c r="P48" s="102">
        <v>0.0</v>
      </c>
      <c r="R48" s="102">
        <v>0.0</v>
      </c>
      <c r="T48" s="102">
        <v>0.0</v>
      </c>
      <c r="V48" s="102">
        <v>0.0</v>
      </c>
      <c r="X48" s="102">
        <v>0.0</v>
      </c>
      <c r="Y48" s="28"/>
      <c r="Z48" s="101">
        <v>18.0</v>
      </c>
      <c r="AB48" s="102">
        <v>18.0</v>
      </c>
      <c r="AD48" s="102">
        <v>0.0</v>
      </c>
      <c r="AF48" s="103"/>
      <c r="AH48" s="103"/>
      <c r="AJ48" s="103"/>
      <c r="AK48" s="28"/>
      <c r="AL48" s="105">
        <f t="shared" si="1"/>
        <v>7721.34</v>
      </c>
      <c r="AM48" s="53">
        <f t="shared" si="2"/>
        <v>482</v>
      </c>
      <c r="AN48" s="53">
        <f t="shared" si="3"/>
        <v>0</v>
      </c>
      <c r="AO48" s="53">
        <f t="shared" si="4"/>
        <v>482</v>
      </c>
      <c r="AP48" s="61">
        <f t="shared" si="5"/>
        <v>16.01937759</v>
      </c>
    </row>
    <row r="49">
      <c r="A49" s="48" t="s">
        <v>29</v>
      </c>
      <c r="B49" s="51">
        <f t="shared" si="6"/>
        <v>45702</v>
      </c>
      <c r="C49" s="53">
        <v>2.0</v>
      </c>
      <c r="D49" s="53" t="s">
        <v>33</v>
      </c>
      <c r="E49" s="23" t="s">
        <v>37</v>
      </c>
      <c r="F49" s="101">
        <v>122.0</v>
      </c>
      <c r="H49" s="102">
        <v>122.0</v>
      </c>
      <c r="J49" s="102">
        <v>0.0</v>
      </c>
      <c r="L49" s="101">
        <v>101.0</v>
      </c>
      <c r="N49" s="102">
        <v>101.0</v>
      </c>
      <c r="P49" s="102">
        <v>0.0</v>
      </c>
      <c r="R49" s="102">
        <v>0.0</v>
      </c>
      <c r="T49" s="102">
        <v>0.0</v>
      </c>
      <c r="V49" s="102">
        <v>0.0</v>
      </c>
      <c r="X49" s="102">
        <v>0.0</v>
      </c>
      <c r="Y49" s="28"/>
      <c r="Z49" s="101">
        <v>18.0</v>
      </c>
      <c r="AB49" s="102">
        <v>18.0</v>
      </c>
      <c r="AD49" s="102">
        <v>0.0</v>
      </c>
      <c r="AF49" s="103"/>
      <c r="AH49" s="103"/>
      <c r="AJ49" s="103"/>
      <c r="AK49" s="28"/>
      <c r="AL49" s="105">
        <f t="shared" si="1"/>
        <v>7721.34</v>
      </c>
      <c r="AM49" s="53">
        <f t="shared" si="2"/>
        <v>482</v>
      </c>
      <c r="AN49" s="53">
        <f t="shared" si="3"/>
        <v>0</v>
      </c>
      <c r="AO49" s="53">
        <f t="shared" si="4"/>
        <v>482</v>
      </c>
      <c r="AP49" s="61">
        <f t="shared" si="5"/>
        <v>16.01937759</v>
      </c>
    </row>
    <row r="50">
      <c r="A50" s="48" t="s">
        <v>30</v>
      </c>
      <c r="B50" s="51">
        <f t="shared" si="6"/>
        <v>45703</v>
      </c>
      <c r="C50" s="53">
        <v>2.0</v>
      </c>
      <c r="D50" s="53" t="s">
        <v>33</v>
      </c>
      <c r="E50" s="23" t="s">
        <v>37</v>
      </c>
      <c r="F50" s="101">
        <v>122.0</v>
      </c>
      <c r="H50" s="102">
        <v>122.0</v>
      </c>
      <c r="J50" s="102">
        <v>0.0</v>
      </c>
      <c r="L50" s="101">
        <v>102.0</v>
      </c>
      <c r="N50" s="102">
        <v>102.0</v>
      </c>
      <c r="P50" s="102">
        <v>0.0</v>
      </c>
      <c r="R50" s="102">
        <v>0.0</v>
      </c>
      <c r="T50" s="102">
        <v>0.0</v>
      </c>
      <c r="V50" s="102">
        <v>0.0</v>
      </c>
      <c r="X50" s="102">
        <v>0.0</v>
      </c>
      <c r="Y50" s="28"/>
      <c r="Z50" s="101">
        <v>10.0</v>
      </c>
      <c r="AB50" s="102">
        <v>10.0</v>
      </c>
      <c r="AD50" s="102">
        <v>0.0</v>
      </c>
      <c r="AF50" s="103"/>
      <c r="AH50" s="103"/>
      <c r="AJ50" s="103"/>
      <c r="AK50" s="28"/>
      <c r="AL50" s="105">
        <f t="shared" si="1"/>
        <v>7547.6</v>
      </c>
      <c r="AM50" s="53">
        <f t="shared" si="2"/>
        <v>468</v>
      </c>
      <c r="AN50" s="53">
        <f t="shared" si="3"/>
        <v>0</v>
      </c>
      <c r="AO50" s="53">
        <f t="shared" si="4"/>
        <v>468</v>
      </c>
      <c r="AP50" s="61">
        <f t="shared" si="5"/>
        <v>16.12735043</v>
      </c>
    </row>
    <row r="51">
      <c r="A51" s="69" t="s">
        <v>31</v>
      </c>
      <c r="B51" s="70">
        <f t="shared" si="6"/>
        <v>45704</v>
      </c>
      <c r="C51" s="71">
        <v>2.0</v>
      </c>
      <c r="D51" s="71" t="s">
        <v>33</v>
      </c>
      <c r="E51" s="73" t="s">
        <v>37</v>
      </c>
      <c r="F51" s="108">
        <v>132.0</v>
      </c>
      <c r="G51" s="75"/>
      <c r="H51" s="109">
        <v>132.0</v>
      </c>
      <c r="I51" s="75"/>
      <c r="J51" s="109">
        <v>90.0</v>
      </c>
      <c r="K51" s="75"/>
      <c r="L51" s="108">
        <v>90.0</v>
      </c>
      <c r="M51" s="75"/>
      <c r="N51" s="109">
        <v>206.0</v>
      </c>
      <c r="O51" s="75"/>
      <c r="P51" s="109">
        <v>0.0</v>
      </c>
      <c r="Q51" s="75"/>
      <c r="R51" s="109">
        <v>0.0</v>
      </c>
      <c r="S51" s="75"/>
      <c r="T51" s="109">
        <v>0.0</v>
      </c>
      <c r="U51" s="75"/>
      <c r="V51" s="109">
        <v>0.0</v>
      </c>
      <c r="W51" s="75"/>
      <c r="X51" s="109">
        <v>0.0</v>
      </c>
      <c r="Y51" s="77"/>
      <c r="Z51" s="108">
        <v>10.0</v>
      </c>
      <c r="AA51" s="75"/>
      <c r="AB51" s="109">
        <v>10.0</v>
      </c>
      <c r="AC51" s="75"/>
      <c r="AD51" s="109">
        <v>0.0</v>
      </c>
      <c r="AE51" s="75"/>
      <c r="AF51" s="111"/>
      <c r="AG51" s="75"/>
      <c r="AH51" s="111"/>
      <c r="AI51" s="75"/>
      <c r="AJ51" s="111"/>
      <c r="AK51" s="77"/>
      <c r="AL51" s="112">
        <f t="shared" si="1"/>
        <v>10838.72</v>
      </c>
      <c r="AM51" s="71">
        <f t="shared" si="2"/>
        <v>670</v>
      </c>
      <c r="AN51" s="71">
        <f t="shared" si="3"/>
        <v>0</v>
      </c>
      <c r="AO51" s="71">
        <f t="shared" si="4"/>
        <v>670</v>
      </c>
      <c r="AP51" s="80">
        <f t="shared" si="5"/>
        <v>16.17719403</v>
      </c>
    </row>
    <row r="52">
      <c r="A52" s="19" t="s">
        <v>23</v>
      </c>
      <c r="B52" s="81">
        <f t="shared" si="6"/>
        <v>45705</v>
      </c>
      <c r="C52" s="21">
        <v>2.0</v>
      </c>
      <c r="D52" s="21" t="s">
        <v>36</v>
      </c>
      <c r="E52" s="82" t="s">
        <v>37</v>
      </c>
      <c r="F52" s="25">
        <v>139.0</v>
      </c>
      <c r="H52" s="26">
        <v>135.0</v>
      </c>
      <c r="J52" s="26">
        <v>0.0</v>
      </c>
      <c r="L52" s="25">
        <v>218.0</v>
      </c>
      <c r="N52" s="26">
        <v>218.0</v>
      </c>
      <c r="P52" s="26">
        <v>0.0</v>
      </c>
      <c r="R52" s="26">
        <v>0.0</v>
      </c>
      <c r="T52" s="26">
        <v>1.0</v>
      </c>
      <c r="V52" s="26">
        <v>1.0</v>
      </c>
      <c r="X52" s="26">
        <v>0.0</v>
      </c>
      <c r="Y52" s="28"/>
      <c r="Z52" s="25">
        <v>15.0</v>
      </c>
      <c r="AB52" s="26">
        <v>15.0</v>
      </c>
      <c r="AD52" s="26">
        <v>0.0</v>
      </c>
      <c r="AF52" s="30"/>
      <c r="AH52" s="30"/>
      <c r="AJ52" s="30"/>
      <c r="AK52" s="28"/>
      <c r="AL52" s="39">
        <f t="shared" si="1"/>
        <v>11902.15</v>
      </c>
      <c r="AM52" s="21">
        <f t="shared" si="2"/>
        <v>740</v>
      </c>
      <c r="AN52" s="21">
        <f t="shared" si="3"/>
        <v>2</v>
      </c>
      <c r="AO52" s="21">
        <f t="shared" si="4"/>
        <v>742</v>
      </c>
      <c r="AP52" s="46">
        <f t="shared" si="5"/>
        <v>16.04063342</v>
      </c>
    </row>
    <row r="53">
      <c r="A53" s="48" t="s">
        <v>26</v>
      </c>
      <c r="B53" s="51">
        <f t="shared" si="6"/>
        <v>45706</v>
      </c>
      <c r="C53" s="53">
        <v>2.0</v>
      </c>
      <c r="D53" s="53" t="s">
        <v>36</v>
      </c>
      <c r="E53" s="23" t="s">
        <v>37</v>
      </c>
      <c r="F53" s="25">
        <v>139.0</v>
      </c>
      <c r="H53" s="26">
        <v>135.0</v>
      </c>
      <c r="J53" s="26">
        <v>0.0</v>
      </c>
      <c r="L53" s="25">
        <v>218.0</v>
      </c>
      <c r="N53" s="26">
        <v>218.0</v>
      </c>
      <c r="P53" s="26">
        <v>0.0</v>
      </c>
      <c r="R53" s="26">
        <v>0.0</v>
      </c>
      <c r="T53" s="26">
        <v>0.0</v>
      </c>
      <c r="V53" s="26">
        <v>0.0</v>
      </c>
      <c r="X53" s="26">
        <v>0.0</v>
      </c>
      <c r="Y53" s="28"/>
      <c r="Z53" s="25">
        <v>15.0</v>
      </c>
      <c r="AB53" s="26">
        <v>15.0</v>
      </c>
      <c r="AD53" s="26">
        <v>0.0</v>
      </c>
      <c r="AF53" s="30"/>
      <c r="AH53" s="30"/>
      <c r="AJ53" s="30"/>
      <c r="AK53" s="28"/>
      <c r="AL53" s="60">
        <f t="shared" si="1"/>
        <v>11137.02</v>
      </c>
      <c r="AM53" s="53">
        <f t="shared" si="2"/>
        <v>740</v>
      </c>
      <c r="AN53" s="53">
        <f t="shared" si="3"/>
        <v>0</v>
      </c>
      <c r="AO53" s="53">
        <f t="shared" si="4"/>
        <v>740</v>
      </c>
      <c r="AP53" s="61">
        <f t="shared" si="5"/>
        <v>15.05002703</v>
      </c>
    </row>
    <row r="54">
      <c r="A54" s="48" t="s">
        <v>27</v>
      </c>
      <c r="B54" s="51">
        <f t="shared" si="6"/>
        <v>45707</v>
      </c>
      <c r="C54" s="53">
        <v>2.0</v>
      </c>
      <c r="D54" s="53" t="s">
        <v>36</v>
      </c>
      <c r="E54" s="23" t="s">
        <v>37</v>
      </c>
      <c r="F54" s="25">
        <v>139.0</v>
      </c>
      <c r="H54" s="26">
        <v>135.0</v>
      </c>
      <c r="J54" s="26">
        <v>0.0</v>
      </c>
      <c r="L54" s="25">
        <v>218.0</v>
      </c>
      <c r="N54" s="26">
        <v>218.0</v>
      </c>
      <c r="P54" s="26">
        <v>0.0</v>
      </c>
      <c r="R54" s="26">
        <v>0.0</v>
      </c>
      <c r="T54" s="26">
        <v>0.0</v>
      </c>
      <c r="V54" s="26">
        <v>0.0</v>
      </c>
      <c r="X54" s="26">
        <v>0.0</v>
      </c>
      <c r="Y54" s="28"/>
      <c r="Z54" s="25">
        <v>15.0</v>
      </c>
      <c r="AB54" s="26">
        <v>15.0</v>
      </c>
      <c r="AD54" s="26">
        <v>0.0</v>
      </c>
      <c r="AF54" s="30"/>
      <c r="AH54" s="30"/>
      <c r="AJ54" s="30"/>
      <c r="AK54" s="28"/>
      <c r="AL54" s="60">
        <f t="shared" si="1"/>
        <v>11137.02</v>
      </c>
      <c r="AM54" s="53">
        <f t="shared" si="2"/>
        <v>740</v>
      </c>
      <c r="AN54" s="53">
        <f t="shared" si="3"/>
        <v>0</v>
      </c>
      <c r="AO54" s="53">
        <f t="shared" si="4"/>
        <v>740</v>
      </c>
      <c r="AP54" s="61">
        <f t="shared" si="5"/>
        <v>15.05002703</v>
      </c>
    </row>
    <row r="55">
      <c r="A55" s="48" t="s">
        <v>28</v>
      </c>
      <c r="B55" s="51">
        <f t="shared" si="6"/>
        <v>45708</v>
      </c>
      <c r="C55" s="53">
        <v>2.0</v>
      </c>
      <c r="D55" s="53" t="s">
        <v>36</v>
      </c>
      <c r="E55" s="23" t="s">
        <v>37</v>
      </c>
      <c r="F55" s="25">
        <v>139.0</v>
      </c>
      <c r="H55" s="26">
        <v>135.0</v>
      </c>
      <c r="J55" s="26">
        <v>0.0</v>
      </c>
      <c r="L55" s="25">
        <v>218.0</v>
      </c>
      <c r="N55" s="26">
        <v>218.0</v>
      </c>
      <c r="P55" s="26">
        <v>0.0</v>
      </c>
      <c r="R55" s="26">
        <v>0.0</v>
      </c>
      <c r="T55" s="26">
        <v>0.0</v>
      </c>
      <c r="V55" s="26">
        <v>0.0</v>
      </c>
      <c r="X55" s="26">
        <v>0.0</v>
      </c>
      <c r="Y55" s="28"/>
      <c r="Z55" s="25">
        <v>15.0</v>
      </c>
      <c r="AB55" s="26">
        <v>15.0</v>
      </c>
      <c r="AD55" s="26">
        <v>0.0</v>
      </c>
      <c r="AF55" s="30"/>
      <c r="AH55" s="30"/>
      <c r="AJ55" s="30"/>
      <c r="AK55" s="28"/>
      <c r="AL55" s="60">
        <f t="shared" si="1"/>
        <v>11137.02</v>
      </c>
      <c r="AM55" s="53">
        <f t="shared" si="2"/>
        <v>740</v>
      </c>
      <c r="AN55" s="53">
        <f t="shared" si="3"/>
        <v>0</v>
      </c>
      <c r="AO55" s="53">
        <f t="shared" si="4"/>
        <v>740</v>
      </c>
      <c r="AP55" s="61">
        <f t="shared" si="5"/>
        <v>15.05002703</v>
      </c>
    </row>
    <row r="56">
      <c r="A56" s="48" t="s">
        <v>29</v>
      </c>
      <c r="B56" s="51">
        <f t="shared" si="6"/>
        <v>45709</v>
      </c>
      <c r="C56" s="53">
        <v>2.0</v>
      </c>
      <c r="D56" s="53" t="s">
        <v>36</v>
      </c>
      <c r="E56" s="23" t="s">
        <v>37</v>
      </c>
      <c r="F56" s="25">
        <v>139.0</v>
      </c>
      <c r="H56" s="26">
        <v>135.0</v>
      </c>
      <c r="J56" s="26">
        <v>0.0</v>
      </c>
      <c r="L56" s="25">
        <v>218.0</v>
      </c>
      <c r="N56" s="26">
        <v>218.0</v>
      </c>
      <c r="P56" s="26">
        <v>0.0</v>
      </c>
      <c r="R56" s="26">
        <v>0.0</v>
      </c>
      <c r="T56" s="26">
        <v>0.0</v>
      </c>
      <c r="V56" s="26">
        <v>0.0</v>
      </c>
      <c r="X56" s="26">
        <v>0.0</v>
      </c>
      <c r="Y56" s="28"/>
      <c r="Z56" s="25">
        <v>15.0</v>
      </c>
      <c r="AB56" s="26">
        <v>15.0</v>
      </c>
      <c r="AD56" s="26">
        <v>0.0</v>
      </c>
      <c r="AF56" s="30"/>
      <c r="AH56" s="30"/>
      <c r="AJ56" s="30"/>
      <c r="AK56" s="28"/>
      <c r="AL56" s="60">
        <f t="shared" si="1"/>
        <v>11137.02</v>
      </c>
      <c r="AM56" s="53">
        <f t="shared" si="2"/>
        <v>740</v>
      </c>
      <c r="AN56" s="53">
        <f t="shared" si="3"/>
        <v>0</v>
      </c>
      <c r="AO56" s="53">
        <f t="shared" si="4"/>
        <v>740</v>
      </c>
      <c r="AP56" s="61">
        <f t="shared" si="5"/>
        <v>15.05002703</v>
      </c>
    </row>
    <row r="57">
      <c r="A57" s="48" t="s">
        <v>30</v>
      </c>
      <c r="B57" s="51">
        <f t="shared" si="6"/>
        <v>45710</v>
      </c>
      <c r="C57" s="53">
        <v>2.0</v>
      </c>
      <c r="D57" s="53" t="s">
        <v>36</v>
      </c>
      <c r="E57" s="23" t="s">
        <v>37</v>
      </c>
      <c r="F57" s="25">
        <v>139.0</v>
      </c>
      <c r="H57" s="26">
        <v>143.0</v>
      </c>
      <c r="J57" s="26">
        <v>0.0</v>
      </c>
      <c r="L57" s="25">
        <v>218.0</v>
      </c>
      <c r="N57" s="26">
        <v>218.0</v>
      </c>
      <c r="P57" s="26">
        <v>0.0</v>
      </c>
      <c r="R57" s="26">
        <v>0.0</v>
      </c>
      <c r="T57" s="26">
        <v>0.0</v>
      </c>
      <c r="V57" s="26">
        <v>0.0</v>
      </c>
      <c r="X57" s="26">
        <v>0.0</v>
      </c>
      <c r="Y57" s="28"/>
      <c r="Z57" s="25">
        <v>10.0</v>
      </c>
      <c r="AB57" s="26">
        <v>10.0</v>
      </c>
      <c r="AD57" s="26">
        <v>0.0</v>
      </c>
      <c r="AF57" s="30"/>
      <c r="AH57" s="30"/>
      <c r="AJ57" s="30"/>
      <c r="AK57" s="28"/>
      <c r="AL57" s="60">
        <f t="shared" si="1"/>
        <v>11169.24</v>
      </c>
      <c r="AM57" s="53">
        <f t="shared" si="2"/>
        <v>738</v>
      </c>
      <c r="AN57" s="53">
        <f t="shared" si="3"/>
        <v>0</v>
      </c>
      <c r="AO57" s="53">
        <f t="shared" si="4"/>
        <v>738</v>
      </c>
      <c r="AP57" s="61">
        <f t="shared" si="5"/>
        <v>15.13447154</v>
      </c>
    </row>
    <row r="58">
      <c r="A58" s="69" t="s">
        <v>31</v>
      </c>
      <c r="B58" s="70">
        <f t="shared" si="6"/>
        <v>45711</v>
      </c>
      <c r="C58" s="71">
        <v>2.0</v>
      </c>
      <c r="D58" s="71" t="s">
        <v>36</v>
      </c>
      <c r="E58" s="73" t="s">
        <v>37</v>
      </c>
      <c r="F58" s="74">
        <v>139.0</v>
      </c>
      <c r="G58" s="75"/>
      <c r="H58" s="76">
        <v>135.0</v>
      </c>
      <c r="I58" s="75"/>
      <c r="J58" s="76">
        <v>0.0</v>
      </c>
      <c r="K58" s="75"/>
      <c r="L58" s="74">
        <v>218.0</v>
      </c>
      <c r="M58" s="75"/>
      <c r="N58" s="76">
        <v>218.0</v>
      </c>
      <c r="O58" s="75"/>
      <c r="P58" s="76">
        <v>0.0</v>
      </c>
      <c r="Q58" s="75"/>
      <c r="R58" s="76">
        <v>0.0</v>
      </c>
      <c r="S58" s="75"/>
      <c r="T58" s="76">
        <v>0.0</v>
      </c>
      <c r="U58" s="75"/>
      <c r="V58" s="76">
        <v>0.0</v>
      </c>
      <c r="W58" s="75"/>
      <c r="X58" s="76">
        <v>0.0</v>
      </c>
      <c r="Y58" s="77"/>
      <c r="Z58" s="74">
        <v>10.0</v>
      </c>
      <c r="AA58" s="75"/>
      <c r="AB58" s="76">
        <v>10.0</v>
      </c>
      <c r="AC58" s="75"/>
      <c r="AD58" s="76">
        <v>0.0</v>
      </c>
      <c r="AE58" s="75"/>
      <c r="AF58" s="78"/>
      <c r="AG58" s="75"/>
      <c r="AH58" s="78"/>
      <c r="AI58" s="75"/>
      <c r="AJ58" s="78"/>
      <c r="AK58" s="77"/>
      <c r="AL58" s="79">
        <f t="shared" si="1"/>
        <v>11012.92</v>
      </c>
      <c r="AM58" s="71">
        <f t="shared" si="2"/>
        <v>730</v>
      </c>
      <c r="AN58" s="71">
        <f t="shared" si="3"/>
        <v>0</v>
      </c>
      <c r="AO58" s="71">
        <f t="shared" si="4"/>
        <v>730</v>
      </c>
      <c r="AP58" s="80">
        <f t="shared" si="5"/>
        <v>15.08619178</v>
      </c>
    </row>
    <row r="59">
      <c r="A59" s="19" t="s">
        <v>23</v>
      </c>
      <c r="B59" s="81">
        <f t="shared" si="6"/>
        <v>45712</v>
      </c>
      <c r="C59" s="21">
        <v>3.0</v>
      </c>
      <c r="D59" s="21" t="s">
        <v>24</v>
      </c>
      <c r="E59" s="82" t="s">
        <v>37</v>
      </c>
      <c r="F59" s="25">
        <v>139.0</v>
      </c>
      <c r="H59" s="26">
        <v>135.0</v>
      </c>
      <c r="J59" s="26">
        <v>0.0</v>
      </c>
      <c r="L59" s="25">
        <v>221.0</v>
      </c>
      <c r="N59" s="26">
        <v>221.0</v>
      </c>
      <c r="P59" s="26">
        <v>0.0</v>
      </c>
      <c r="R59" s="26">
        <v>0.0</v>
      </c>
      <c r="T59" s="26">
        <v>1.0</v>
      </c>
      <c r="V59" s="26">
        <v>1.0</v>
      </c>
      <c r="X59" s="26">
        <v>0.0</v>
      </c>
      <c r="Y59" s="28"/>
      <c r="Z59" s="25">
        <v>13.0</v>
      </c>
      <c r="AB59" s="26">
        <v>13.0</v>
      </c>
      <c r="AD59" s="26">
        <v>0.0</v>
      </c>
      <c r="AF59" s="30"/>
      <c r="AH59" s="30"/>
      <c r="AJ59" s="30"/>
      <c r="AK59" s="28"/>
      <c r="AL59" s="39">
        <f t="shared" si="1"/>
        <v>11926.97</v>
      </c>
      <c r="AM59" s="21">
        <f t="shared" si="2"/>
        <v>742</v>
      </c>
      <c r="AN59" s="21">
        <f t="shared" si="3"/>
        <v>2</v>
      </c>
      <c r="AO59" s="21">
        <f t="shared" si="4"/>
        <v>744</v>
      </c>
      <c r="AP59" s="46">
        <f t="shared" si="5"/>
        <v>16.03087366</v>
      </c>
    </row>
    <row r="60">
      <c r="A60" s="48" t="s">
        <v>26</v>
      </c>
      <c r="B60" s="51">
        <f t="shared" si="6"/>
        <v>45713</v>
      </c>
      <c r="C60" s="53">
        <v>3.0</v>
      </c>
      <c r="D60" s="53" t="s">
        <v>24</v>
      </c>
      <c r="E60" s="23" t="s">
        <v>37</v>
      </c>
      <c r="F60" s="25">
        <v>0.0</v>
      </c>
      <c r="H60" s="26">
        <v>0.0</v>
      </c>
      <c r="J60" s="26">
        <v>0.0</v>
      </c>
      <c r="L60" s="25">
        <v>0.0</v>
      </c>
      <c r="N60" s="26">
        <v>0.0</v>
      </c>
      <c r="P60" s="26">
        <v>0.0</v>
      </c>
      <c r="R60" s="26">
        <v>0.0</v>
      </c>
      <c r="T60" s="26">
        <v>0.0</v>
      </c>
      <c r="V60" s="26">
        <v>0.0</v>
      </c>
      <c r="X60" s="26">
        <v>0.0</v>
      </c>
      <c r="Y60" s="28"/>
      <c r="Z60" s="25">
        <v>0.0</v>
      </c>
      <c r="AB60" s="26">
        <v>0.0</v>
      </c>
      <c r="AD60" s="26">
        <v>0.0</v>
      </c>
      <c r="AF60" s="30"/>
      <c r="AH60" s="30"/>
      <c r="AJ60" s="30"/>
      <c r="AK60" s="28"/>
      <c r="AL60" s="60">
        <f t="shared" si="1"/>
        <v>0</v>
      </c>
      <c r="AM60" s="53">
        <f t="shared" si="2"/>
        <v>0</v>
      </c>
      <c r="AN60" s="53">
        <f t="shared" si="3"/>
        <v>0</v>
      </c>
      <c r="AO60" s="53">
        <f t="shared" si="4"/>
        <v>0</v>
      </c>
      <c r="AP60" s="61" t="str">
        <f t="shared" si="5"/>
        <v/>
      </c>
    </row>
    <row r="61">
      <c r="A61" s="48" t="s">
        <v>27</v>
      </c>
      <c r="B61" s="51">
        <f t="shared" si="6"/>
        <v>45714</v>
      </c>
      <c r="C61" s="53">
        <v>3.0</v>
      </c>
      <c r="D61" s="53" t="s">
        <v>24</v>
      </c>
      <c r="E61" s="23" t="s">
        <v>37</v>
      </c>
      <c r="F61" s="25">
        <v>139.0</v>
      </c>
      <c r="H61" s="26">
        <v>135.0</v>
      </c>
      <c r="J61" s="26">
        <v>0.0</v>
      </c>
      <c r="L61" s="25">
        <v>212.0</v>
      </c>
      <c r="N61" s="26">
        <v>212.0</v>
      </c>
      <c r="P61" s="26">
        <v>0.0</v>
      </c>
      <c r="R61" s="26">
        <v>0.0</v>
      </c>
      <c r="T61" s="26">
        <v>0.0</v>
      </c>
      <c r="V61" s="26">
        <v>0.0</v>
      </c>
      <c r="X61" s="26">
        <v>0.0</v>
      </c>
      <c r="Y61" s="28"/>
      <c r="Z61" s="25">
        <v>13.0</v>
      </c>
      <c r="AB61" s="26">
        <v>13.0</v>
      </c>
      <c r="AD61" s="26">
        <v>0.0</v>
      </c>
      <c r="AF61" s="30"/>
      <c r="AH61" s="30"/>
      <c r="AJ61" s="30"/>
      <c r="AK61" s="28"/>
      <c r="AL61" s="60">
        <f t="shared" si="1"/>
        <v>10938.46</v>
      </c>
      <c r="AM61" s="53">
        <f t="shared" si="2"/>
        <v>724</v>
      </c>
      <c r="AN61" s="53">
        <f t="shared" si="3"/>
        <v>0</v>
      </c>
      <c r="AO61" s="53">
        <f t="shared" si="4"/>
        <v>724</v>
      </c>
      <c r="AP61" s="61">
        <f t="shared" si="5"/>
        <v>15.10837017</v>
      </c>
    </row>
    <row r="62">
      <c r="A62" s="48" t="s">
        <v>28</v>
      </c>
      <c r="B62" s="51">
        <f t="shared" si="6"/>
        <v>45715</v>
      </c>
      <c r="C62" s="53">
        <v>3.0</v>
      </c>
      <c r="D62" s="53" t="s">
        <v>24</v>
      </c>
      <c r="E62" s="23" t="s">
        <v>37</v>
      </c>
      <c r="F62" s="25">
        <v>139.0</v>
      </c>
      <c r="H62" s="26">
        <v>135.0</v>
      </c>
      <c r="J62" s="26">
        <v>0.0</v>
      </c>
      <c r="L62" s="25">
        <v>212.0</v>
      </c>
      <c r="N62" s="26">
        <v>212.0</v>
      </c>
      <c r="P62" s="26">
        <v>0.0</v>
      </c>
      <c r="R62" s="26">
        <v>0.0</v>
      </c>
      <c r="T62" s="26">
        <v>0.0</v>
      </c>
      <c r="V62" s="26">
        <v>0.0</v>
      </c>
      <c r="X62" s="26">
        <v>0.0</v>
      </c>
      <c r="Y62" s="28"/>
      <c r="Z62" s="25">
        <v>6.0</v>
      </c>
      <c r="AB62" s="26">
        <v>6.0</v>
      </c>
      <c r="AD62" s="26">
        <v>0.0</v>
      </c>
      <c r="AF62" s="30"/>
      <c r="AH62" s="30"/>
      <c r="AJ62" s="30"/>
      <c r="AK62" s="28"/>
      <c r="AL62" s="60">
        <f t="shared" si="1"/>
        <v>10764.72</v>
      </c>
      <c r="AM62" s="53">
        <f t="shared" si="2"/>
        <v>710</v>
      </c>
      <c r="AN62" s="53">
        <f t="shared" si="3"/>
        <v>0</v>
      </c>
      <c r="AO62" s="53">
        <f t="shared" si="4"/>
        <v>710</v>
      </c>
      <c r="AP62" s="61">
        <f t="shared" si="5"/>
        <v>15.16157746</v>
      </c>
    </row>
    <row r="63">
      <c r="A63" s="48" t="s">
        <v>29</v>
      </c>
      <c r="B63" s="51">
        <f t="shared" si="6"/>
        <v>45716</v>
      </c>
      <c r="C63" s="53">
        <v>3.0</v>
      </c>
      <c r="D63" s="53" t="s">
        <v>24</v>
      </c>
      <c r="E63" s="23" t="s">
        <v>37</v>
      </c>
      <c r="F63" s="25">
        <v>139.0</v>
      </c>
      <c r="H63" s="26">
        <v>135.0</v>
      </c>
      <c r="J63" s="26">
        <v>0.0</v>
      </c>
      <c r="L63" s="25">
        <v>212.0</v>
      </c>
      <c r="N63" s="26">
        <v>212.0</v>
      </c>
      <c r="P63" s="26">
        <v>0.0</v>
      </c>
      <c r="R63" s="26">
        <v>0.0</v>
      </c>
      <c r="T63" s="26">
        <v>0.0</v>
      </c>
      <c r="V63" s="26">
        <v>0.0</v>
      </c>
      <c r="X63" s="26">
        <v>0.0</v>
      </c>
      <c r="Y63" s="28"/>
      <c r="Z63" s="25">
        <v>6.0</v>
      </c>
      <c r="AB63" s="26">
        <v>6.0</v>
      </c>
      <c r="AD63" s="26">
        <v>0.0</v>
      </c>
      <c r="AF63" s="30"/>
      <c r="AH63" s="30"/>
      <c r="AJ63" s="30"/>
      <c r="AK63" s="28"/>
      <c r="AL63" s="60">
        <f t="shared" si="1"/>
        <v>10764.72</v>
      </c>
      <c r="AM63" s="53">
        <f t="shared" si="2"/>
        <v>710</v>
      </c>
      <c r="AN63" s="53">
        <f t="shared" si="3"/>
        <v>0</v>
      </c>
      <c r="AO63" s="53">
        <f t="shared" si="4"/>
        <v>710</v>
      </c>
      <c r="AP63" s="61">
        <f t="shared" si="5"/>
        <v>15.16157746</v>
      </c>
    </row>
    <row r="64">
      <c r="A64" s="48" t="s">
        <v>30</v>
      </c>
      <c r="B64" s="51">
        <f t="shared" si="6"/>
        <v>45717</v>
      </c>
      <c r="C64" s="53">
        <v>3.0</v>
      </c>
      <c r="D64" s="53" t="s">
        <v>24</v>
      </c>
      <c r="E64" s="23" t="s">
        <v>37</v>
      </c>
      <c r="F64" s="25">
        <v>139.0</v>
      </c>
      <c r="H64" s="26">
        <v>135.0</v>
      </c>
      <c r="J64" s="26">
        <v>0.0</v>
      </c>
      <c r="L64" s="25">
        <v>270.0</v>
      </c>
      <c r="N64" s="26">
        <v>270.0</v>
      </c>
      <c r="P64" s="26">
        <v>0.0</v>
      </c>
      <c r="R64" s="26">
        <v>0.0</v>
      </c>
      <c r="T64" s="26">
        <v>0.0</v>
      </c>
      <c r="V64" s="26">
        <v>0.0</v>
      </c>
      <c r="X64" s="26">
        <v>0.0</v>
      </c>
      <c r="Y64" s="28"/>
      <c r="Z64" s="25">
        <v>6.0</v>
      </c>
      <c r="AB64" s="26">
        <v>6.0</v>
      </c>
      <c r="AD64" s="26">
        <v>6.0</v>
      </c>
      <c r="AF64" s="30"/>
      <c r="AH64" s="30"/>
      <c r="AJ64" s="30"/>
      <c r="AK64" s="28"/>
      <c r="AL64" s="60">
        <f t="shared" si="1"/>
        <v>12278.74</v>
      </c>
      <c r="AM64" s="53">
        <f t="shared" si="2"/>
        <v>832</v>
      </c>
      <c r="AN64" s="53">
        <f t="shared" si="3"/>
        <v>0</v>
      </c>
      <c r="AO64" s="53">
        <f t="shared" si="4"/>
        <v>832</v>
      </c>
      <c r="AP64" s="61">
        <f t="shared" si="5"/>
        <v>14.75810096</v>
      </c>
    </row>
    <row r="65">
      <c r="A65" s="69" t="s">
        <v>31</v>
      </c>
      <c r="B65" s="70">
        <f t="shared" si="6"/>
        <v>45718</v>
      </c>
      <c r="C65" s="71">
        <v>3.0</v>
      </c>
      <c r="D65" s="71" t="s">
        <v>24</v>
      </c>
      <c r="E65" s="73" t="s">
        <v>37</v>
      </c>
      <c r="F65" s="74">
        <v>139.0</v>
      </c>
      <c r="G65" s="75"/>
      <c r="H65" s="76">
        <v>135.0</v>
      </c>
      <c r="I65" s="75"/>
      <c r="J65" s="76">
        <v>0.0</v>
      </c>
      <c r="K65" s="75"/>
      <c r="L65" s="74">
        <v>274.0</v>
      </c>
      <c r="M65" s="75"/>
      <c r="N65" s="76">
        <v>274.0</v>
      </c>
      <c r="O65" s="75"/>
      <c r="P65" s="76">
        <v>0.0</v>
      </c>
      <c r="Q65" s="75"/>
      <c r="R65" s="76">
        <v>0.0</v>
      </c>
      <c r="S65" s="75"/>
      <c r="T65" s="76">
        <v>0.0</v>
      </c>
      <c r="U65" s="75"/>
      <c r="V65" s="76">
        <v>0.0</v>
      </c>
      <c r="W65" s="75"/>
      <c r="X65" s="76">
        <v>0.0</v>
      </c>
      <c r="Y65" s="77"/>
      <c r="Z65" s="74">
        <v>6.0</v>
      </c>
      <c r="AA65" s="75"/>
      <c r="AB65" s="76">
        <v>6.0</v>
      </c>
      <c r="AC65" s="75"/>
      <c r="AD65" s="76">
        <v>6.0</v>
      </c>
      <c r="AE65" s="75"/>
      <c r="AF65" s="78"/>
      <c r="AG65" s="75"/>
      <c r="AH65" s="78"/>
      <c r="AI65" s="75"/>
      <c r="AJ65" s="78"/>
      <c r="AK65" s="77"/>
      <c r="AL65" s="79">
        <f t="shared" si="1"/>
        <v>12378.02</v>
      </c>
      <c r="AM65" s="71">
        <f t="shared" si="2"/>
        <v>840</v>
      </c>
      <c r="AN65" s="71">
        <f t="shared" si="3"/>
        <v>0</v>
      </c>
      <c r="AO65" s="71">
        <f t="shared" si="4"/>
        <v>840</v>
      </c>
      <c r="AP65" s="80">
        <f t="shared" si="5"/>
        <v>14.7357381</v>
      </c>
    </row>
    <row r="66">
      <c r="A66" s="19" t="s">
        <v>23</v>
      </c>
      <c r="B66" s="81">
        <f t="shared" si="6"/>
        <v>45719</v>
      </c>
      <c r="C66" s="21">
        <v>3.0</v>
      </c>
      <c r="D66" s="21" t="s">
        <v>32</v>
      </c>
      <c r="E66" s="82" t="s">
        <v>37</v>
      </c>
      <c r="F66" s="114">
        <v>120.0</v>
      </c>
      <c r="H66" s="115">
        <v>120.0</v>
      </c>
      <c r="J66" s="115">
        <v>0.0</v>
      </c>
      <c r="L66" s="114">
        <v>274.0</v>
      </c>
      <c r="N66" s="115">
        <v>274.0</v>
      </c>
      <c r="P66" s="115">
        <v>0.0</v>
      </c>
      <c r="R66" s="115">
        <v>0.0</v>
      </c>
      <c r="T66" s="115">
        <v>1.0</v>
      </c>
      <c r="V66" s="115">
        <v>1.0</v>
      </c>
      <c r="X66" s="115">
        <v>0.0</v>
      </c>
      <c r="Y66" s="28"/>
      <c r="Z66" s="114">
        <v>6.0</v>
      </c>
      <c r="AB66" s="115">
        <v>6.0</v>
      </c>
      <c r="AD66" s="115">
        <v>0.0</v>
      </c>
      <c r="AF66" s="116"/>
      <c r="AH66" s="116"/>
      <c r="AJ66" s="116"/>
      <c r="AK66" s="28"/>
      <c r="AL66" s="117">
        <f t="shared" si="1"/>
        <v>12404.33</v>
      </c>
      <c r="AM66" s="21">
        <f t="shared" si="2"/>
        <v>800</v>
      </c>
      <c r="AN66" s="21">
        <f t="shared" si="3"/>
        <v>2</v>
      </c>
      <c r="AO66" s="21">
        <f t="shared" si="4"/>
        <v>802</v>
      </c>
      <c r="AP66" s="46">
        <f t="shared" si="5"/>
        <v>15.46674564</v>
      </c>
    </row>
    <row r="67">
      <c r="A67" s="48" t="s">
        <v>26</v>
      </c>
      <c r="B67" s="51">
        <f t="shared" si="6"/>
        <v>45720</v>
      </c>
      <c r="C67" s="53">
        <v>3.0</v>
      </c>
      <c r="D67" s="53" t="s">
        <v>32</v>
      </c>
      <c r="E67" s="23" t="s">
        <v>37</v>
      </c>
      <c r="F67" s="114">
        <v>100.0</v>
      </c>
      <c r="H67" s="115">
        <v>120.0</v>
      </c>
      <c r="J67" s="115">
        <v>100.0</v>
      </c>
      <c r="L67" s="114">
        <v>270.0</v>
      </c>
      <c r="N67" s="115">
        <v>270.0</v>
      </c>
      <c r="P67" s="115">
        <v>0.0</v>
      </c>
      <c r="R67" s="115">
        <v>0.0</v>
      </c>
      <c r="T67" s="115">
        <v>0.0</v>
      </c>
      <c r="V67" s="115">
        <v>0.0</v>
      </c>
      <c r="X67" s="115">
        <v>0.0</v>
      </c>
      <c r="Y67" s="28"/>
      <c r="Z67" s="114">
        <v>6.0</v>
      </c>
      <c r="AB67" s="115">
        <v>6.0</v>
      </c>
      <c r="AD67" s="115">
        <v>0.0</v>
      </c>
      <c r="AF67" s="116"/>
      <c r="AH67" s="116"/>
      <c r="AJ67" s="116"/>
      <c r="AK67" s="28"/>
      <c r="AL67" s="118">
        <f t="shared" si="1"/>
        <v>13103.12</v>
      </c>
      <c r="AM67" s="53">
        <f t="shared" si="2"/>
        <v>872</v>
      </c>
      <c r="AN67" s="53">
        <f t="shared" si="3"/>
        <v>0</v>
      </c>
      <c r="AO67" s="53">
        <f t="shared" si="4"/>
        <v>872</v>
      </c>
      <c r="AP67" s="61">
        <f t="shared" si="5"/>
        <v>15.02651376</v>
      </c>
    </row>
    <row r="68">
      <c r="A68" s="48" t="s">
        <v>27</v>
      </c>
      <c r="B68" s="51">
        <f t="shared" si="6"/>
        <v>45721</v>
      </c>
      <c r="C68" s="53">
        <v>3.0</v>
      </c>
      <c r="D68" s="53" t="s">
        <v>32</v>
      </c>
      <c r="E68" s="23" t="s">
        <v>37</v>
      </c>
      <c r="F68" s="114">
        <v>120.0</v>
      </c>
      <c r="H68" s="115">
        <v>120.0</v>
      </c>
      <c r="J68" s="115">
        <v>0.0</v>
      </c>
      <c r="L68" s="114">
        <v>270.0</v>
      </c>
      <c r="N68" s="115">
        <v>270.0</v>
      </c>
      <c r="P68" s="115">
        <v>0.0</v>
      </c>
      <c r="R68" s="115">
        <v>0.0</v>
      </c>
      <c r="T68" s="115">
        <v>0.0</v>
      </c>
      <c r="V68" s="115">
        <v>0.0</v>
      </c>
      <c r="X68" s="115">
        <v>0.0</v>
      </c>
      <c r="Y68" s="28"/>
      <c r="Z68" s="114">
        <v>6.0</v>
      </c>
      <c r="AB68" s="115">
        <v>6.0</v>
      </c>
      <c r="AD68" s="115">
        <v>0.0</v>
      </c>
      <c r="AF68" s="116"/>
      <c r="AH68" s="116"/>
      <c r="AJ68" s="116"/>
      <c r="AK68" s="28"/>
      <c r="AL68" s="118">
        <f t="shared" si="1"/>
        <v>11539.92</v>
      </c>
      <c r="AM68" s="53">
        <f t="shared" si="2"/>
        <v>792</v>
      </c>
      <c r="AN68" s="53">
        <f t="shared" si="3"/>
        <v>0</v>
      </c>
      <c r="AO68" s="53">
        <f t="shared" si="4"/>
        <v>792</v>
      </c>
      <c r="AP68" s="61">
        <f t="shared" si="5"/>
        <v>14.57060606</v>
      </c>
    </row>
    <row r="69">
      <c r="A69" s="48" t="s">
        <v>28</v>
      </c>
      <c r="B69" s="51">
        <f t="shared" si="6"/>
        <v>45722</v>
      </c>
      <c r="C69" s="53">
        <v>3.0</v>
      </c>
      <c r="D69" s="53" t="s">
        <v>32</v>
      </c>
      <c r="E69" s="23" t="s">
        <v>37</v>
      </c>
      <c r="F69" s="114">
        <v>0.0</v>
      </c>
      <c r="H69" s="115">
        <v>0.0</v>
      </c>
      <c r="J69" s="115">
        <v>0.0</v>
      </c>
      <c r="L69" s="114">
        <v>0.0</v>
      </c>
      <c r="N69" s="115">
        <v>0.0</v>
      </c>
      <c r="P69" s="115">
        <v>0.0</v>
      </c>
      <c r="R69" s="115">
        <v>0.0</v>
      </c>
      <c r="T69" s="115">
        <v>0.0</v>
      </c>
      <c r="V69" s="115">
        <v>0.0</v>
      </c>
      <c r="X69" s="115">
        <v>0.0</v>
      </c>
      <c r="Y69" s="28"/>
      <c r="Z69" s="114">
        <v>0.0</v>
      </c>
      <c r="AB69" s="115">
        <v>0.0</v>
      </c>
      <c r="AD69" s="115">
        <v>0.0</v>
      </c>
      <c r="AF69" s="116"/>
      <c r="AH69" s="116"/>
      <c r="AJ69" s="116"/>
      <c r="AK69" s="28"/>
      <c r="AL69" s="118">
        <f t="shared" si="1"/>
        <v>0</v>
      </c>
      <c r="AM69" s="53">
        <f t="shared" si="2"/>
        <v>0</v>
      </c>
      <c r="AN69" s="53">
        <f t="shared" si="3"/>
        <v>0</v>
      </c>
      <c r="AO69" s="53">
        <f t="shared" si="4"/>
        <v>0</v>
      </c>
      <c r="AP69" s="61" t="str">
        <f t="shared" si="5"/>
        <v/>
      </c>
    </row>
    <row r="70">
      <c r="A70" s="48" t="s">
        <v>29</v>
      </c>
      <c r="B70" s="51">
        <f t="shared" si="6"/>
        <v>45723</v>
      </c>
      <c r="C70" s="53">
        <v>3.0</v>
      </c>
      <c r="D70" s="53" t="s">
        <v>32</v>
      </c>
      <c r="E70" s="23" t="s">
        <v>37</v>
      </c>
      <c r="F70" s="114">
        <v>113.0</v>
      </c>
      <c r="H70" s="115">
        <v>113.0</v>
      </c>
      <c r="J70" s="115">
        <v>0.0</v>
      </c>
      <c r="L70" s="114">
        <v>270.0</v>
      </c>
      <c r="N70" s="115">
        <v>270.0</v>
      </c>
      <c r="P70" s="115">
        <v>0.0</v>
      </c>
      <c r="R70" s="115">
        <v>0.0</v>
      </c>
      <c r="T70" s="115">
        <v>0.0</v>
      </c>
      <c r="V70" s="115">
        <v>0.0</v>
      </c>
      <c r="X70" s="115">
        <v>0.0</v>
      </c>
      <c r="Y70" s="28"/>
      <c r="Z70" s="114">
        <v>7.0</v>
      </c>
      <c r="AB70" s="115">
        <v>7.0</v>
      </c>
      <c r="AD70" s="115">
        <v>0.0</v>
      </c>
      <c r="AF70" s="116"/>
      <c r="AH70" s="116"/>
      <c r="AJ70" s="116"/>
      <c r="AK70" s="28"/>
      <c r="AL70" s="118">
        <f t="shared" si="1"/>
        <v>11291.18</v>
      </c>
      <c r="AM70" s="53">
        <f t="shared" si="2"/>
        <v>780</v>
      </c>
      <c r="AN70" s="53">
        <f t="shared" si="3"/>
        <v>0</v>
      </c>
      <c r="AO70" s="53">
        <f t="shared" si="4"/>
        <v>780</v>
      </c>
      <c r="AP70" s="61">
        <f t="shared" si="5"/>
        <v>14.47587179</v>
      </c>
    </row>
    <row r="71">
      <c r="A71" s="48" t="s">
        <v>30</v>
      </c>
      <c r="B71" s="51">
        <f t="shared" si="6"/>
        <v>45724</v>
      </c>
      <c r="C71" s="53">
        <v>3.0</v>
      </c>
      <c r="D71" s="53" t="s">
        <v>32</v>
      </c>
      <c r="E71" s="23" t="s">
        <v>37</v>
      </c>
      <c r="F71" s="114">
        <v>113.0</v>
      </c>
      <c r="H71" s="115">
        <v>113.0</v>
      </c>
      <c r="J71" s="115">
        <v>0.0</v>
      </c>
      <c r="L71" s="114">
        <v>270.0</v>
      </c>
      <c r="N71" s="115">
        <v>270.0</v>
      </c>
      <c r="P71" s="115">
        <v>0.0</v>
      </c>
      <c r="R71" s="115">
        <v>0.0</v>
      </c>
      <c r="T71" s="115">
        <v>0.0</v>
      </c>
      <c r="V71" s="115">
        <v>0.0</v>
      </c>
      <c r="X71" s="115">
        <v>0.0</v>
      </c>
      <c r="Y71" s="28"/>
      <c r="Z71" s="114">
        <v>7.0</v>
      </c>
      <c r="AB71" s="115">
        <v>7.0</v>
      </c>
      <c r="AD71" s="115">
        <v>0.0</v>
      </c>
      <c r="AF71" s="116"/>
      <c r="AH71" s="116"/>
      <c r="AJ71" s="116"/>
      <c r="AK71" s="28"/>
      <c r="AL71" s="118">
        <f t="shared" si="1"/>
        <v>11291.18</v>
      </c>
      <c r="AM71" s="53">
        <f t="shared" si="2"/>
        <v>780</v>
      </c>
      <c r="AN71" s="53">
        <f t="shared" si="3"/>
        <v>0</v>
      </c>
      <c r="AO71" s="53">
        <f t="shared" si="4"/>
        <v>780</v>
      </c>
      <c r="AP71" s="61">
        <f t="shared" si="5"/>
        <v>14.47587179</v>
      </c>
    </row>
    <row r="72">
      <c r="A72" s="69" t="s">
        <v>31</v>
      </c>
      <c r="B72" s="70">
        <f t="shared" si="6"/>
        <v>45725</v>
      </c>
      <c r="C72" s="71">
        <v>3.0</v>
      </c>
      <c r="D72" s="71" t="s">
        <v>32</v>
      </c>
      <c r="E72" s="73" t="s">
        <v>37</v>
      </c>
      <c r="F72" s="119">
        <v>113.0</v>
      </c>
      <c r="G72" s="75"/>
      <c r="H72" s="120">
        <v>113.0</v>
      </c>
      <c r="I72" s="75"/>
      <c r="J72" s="120">
        <v>0.0</v>
      </c>
      <c r="K72" s="75"/>
      <c r="L72" s="119">
        <v>270.0</v>
      </c>
      <c r="M72" s="75"/>
      <c r="N72" s="120">
        <v>270.0</v>
      </c>
      <c r="O72" s="75"/>
      <c r="P72" s="120">
        <v>0.0</v>
      </c>
      <c r="Q72" s="75"/>
      <c r="R72" s="120">
        <v>0.0</v>
      </c>
      <c r="S72" s="75"/>
      <c r="T72" s="120">
        <v>0.0</v>
      </c>
      <c r="U72" s="75"/>
      <c r="V72" s="120">
        <v>0.0</v>
      </c>
      <c r="W72" s="75"/>
      <c r="X72" s="120">
        <v>0.0</v>
      </c>
      <c r="Y72" s="77"/>
      <c r="Z72" s="119">
        <v>8.0</v>
      </c>
      <c r="AA72" s="75"/>
      <c r="AB72" s="120">
        <v>8.0</v>
      </c>
      <c r="AC72" s="75"/>
      <c r="AD72" s="120">
        <v>0.0</v>
      </c>
      <c r="AE72" s="75"/>
      <c r="AF72" s="121"/>
      <c r="AG72" s="75"/>
      <c r="AH72" s="121"/>
      <c r="AI72" s="75"/>
      <c r="AJ72" s="121"/>
      <c r="AK72" s="77"/>
      <c r="AL72" s="122">
        <f t="shared" si="1"/>
        <v>11316</v>
      </c>
      <c r="AM72" s="71">
        <f t="shared" si="2"/>
        <v>782</v>
      </c>
      <c r="AN72" s="71">
        <f t="shared" si="3"/>
        <v>0</v>
      </c>
      <c r="AO72" s="71">
        <f t="shared" si="4"/>
        <v>782</v>
      </c>
      <c r="AP72" s="80">
        <f t="shared" si="5"/>
        <v>14.47058824</v>
      </c>
    </row>
    <row r="73">
      <c r="A73" s="19" t="s">
        <v>23</v>
      </c>
      <c r="B73" s="81">
        <f t="shared" si="6"/>
        <v>45726</v>
      </c>
      <c r="C73" s="21">
        <v>3.0</v>
      </c>
      <c r="D73" s="21" t="s">
        <v>33</v>
      </c>
      <c r="E73" s="82" t="s">
        <v>37</v>
      </c>
      <c r="F73" s="25">
        <v>110.0</v>
      </c>
      <c r="H73" s="26">
        <v>110.0</v>
      </c>
      <c r="J73" s="26">
        <v>0.0</v>
      </c>
      <c r="L73" s="25">
        <v>270.0</v>
      </c>
      <c r="N73" s="26">
        <v>270.0</v>
      </c>
      <c r="P73" s="26">
        <v>0.0</v>
      </c>
      <c r="R73" s="26">
        <v>0.0</v>
      </c>
      <c r="T73" s="26">
        <v>1.0</v>
      </c>
      <c r="V73" s="26">
        <v>1.0</v>
      </c>
      <c r="X73" s="26">
        <v>0.0</v>
      </c>
      <c r="Y73" s="28"/>
      <c r="Z73" s="25">
        <v>8.0</v>
      </c>
      <c r="AB73" s="26"/>
      <c r="AD73" s="26">
        <v>0.0</v>
      </c>
      <c r="AF73" s="30"/>
      <c r="AH73" s="30"/>
      <c r="AJ73" s="30"/>
      <c r="AK73" s="28"/>
      <c r="AL73" s="39">
        <f t="shared" si="1"/>
        <v>11864.61</v>
      </c>
      <c r="AM73" s="21">
        <f t="shared" si="2"/>
        <v>768</v>
      </c>
      <c r="AN73" s="21">
        <f t="shared" si="3"/>
        <v>2</v>
      </c>
      <c r="AO73" s="21">
        <f t="shared" si="4"/>
        <v>770</v>
      </c>
      <c r="AP73" s="46">
        <f t="shared" si="5"/>
        <v>15.40858442</v>
      </c>
    </row>
    <row r="74">
      <c r="A74" s="48" t="s">
        <v>26</v>
      </c>
      <c r="B74" s="51">
        <f t="shared" si="6"/>
        <v>45727</v>
      </c>
      <c r="C74" s="53">
        <v>3.0</v>
      </c>
      <c r="D74" s="53" t="s">
        <v>33</v>
      </c>
      <c r="E74" s="23" t="s">
        <v>37</v>
      </c>
      <c r="F74" s="25">
        <v>110.0</v>
      </c>
      <c r="H74" s="26">
        <v>110.0</v>
      </c>
      <c r="J74" s="26">
        <v>0.0</v>
      </c>
      <c r="L74" s="25">
        <v>270.0</v>
      </c>
      <c r="N74" s="26">
        <v>270.0</v>
      </c>
      <c r="P74" s="26">
        <v>0.0</v>
      </c>
      <c r="R74" s="26">
        <v>0.0</v>
      </c>
      <c r="T74" s="26">
        <v>0.0</v>
      </c>
      <c r="V74" s="26">
        <v>0.0</v>
      </c>
      <c r="X74" s="26">
        <v>0.0</v>
      </c>
      <c r="Y74" s="28"/>
      <c r="Z74" s="25">
        <v>8.0</v>
      </c>
      <c r="AB74" s="26">
        <v>8.0</v>
      </c>
      <c r="AD74" s="26">
        <v>0.0</v>
      </c>
      <c r="AF74" s="30"/>
      <c r="AH74" s="30"/>
      <c r="AJ74" s="30"/>
      <c r="AK74" s="28"/>
      <c r="AL74" s="60">
        <f t="shared" si="1"/>
        <v>11198.76</v>
      </c>
      <c r="AM74" s="53">
        <f t="shared" si="2"/>
        <v>776</v>
      </c>
      <c r="AN74" s="53">
        <f t="shared" si="3"/>
        <v>0</v>
      </c>
      <c r="AO74" s="53">
        <f t="shared" si="4"/>
        <v>776</v>
      </c>
      <c r="AP74" s="61">
        <f t="shared" si="5"/>
        <v>14.43139175</v>
      </c>
    </row>
    <row r="75">
      <c r="A75" s="48" t="s">
        <v>27</v>
      </c>
      <c r="B75" s="51">
        <f t="shared" si="6"/>
        <v>45728</v>
      </c>
      <c r="C75" s="53">
        <v>3.0</v>
      </c>
      <c r="D75" s="53" t="s">
        <v>33</v>
      </c>
      <c r="E75" s="23" t="s">
        <v>37</v>
      </c>
      <c r="F75" s="25">
        <v>110.0</v>
      </c>
      <c r="H75" s="26">
        <v>110.0</v>
      </c>
      <c r="J75" s="26">
        <v>0.0</v>
      </c>
      <c r="L75" s="25">
        <v>270.0</v>
      </c>
      <c r="N75" s="26">
        <v>270.0</v>
      </c>
      <c r="P75" s="26">
        <v>0.0</v>
      </c>
      <c r="R75" s="26">
        <v>0.0</v>
      </c>
      <c r="T75" s="26">
        <v>0.0</v>
      </c>
      <c r="V75" s="26">
        <v>0.0</v>
      </c>
      <c r="X75" s="26">
        <v>0.0</v>
      </c>
      <c r="Y75" s="28"/>
      <c r="Z75" s="25">
        <v>8.0</v>
      </c>
      <c r="AB75" s="26">
        <v>8.0</v>
      </c>
      <c r="AD75" s="26">
        <v>0.0</v>
      </c>
      <c r="AF75" s="30"/>
      <c r="AH75" s="30"/>
      <c r="AJ75" s="30"/>
      <c r="AK75" s="28"/>
      <c r="AL75" s="60">
        <f t="shared" si="1"/>
        <v>11198.76</v>
      </c>
      <c r="AM75" s="53">
        <f t="shared" si="2"/>
        <v>776</v>
      </c>
      <c r="AN75" s="53">
        <f t="shared" si="3"/>
        <v>0</v>
      </c>
      <c r="AO75" s="53">
        <f t="shared" si="4"/>
        <v>776</v>
      </c>
      <c r="AP75" s="61">
        <f t="shared" si="5"/>
        <v>14.43139175</v>
      </c>
    </row>
    <row r="76">
      <c r="A76" s="48" t="s">
        <v>28</v>
      </c>
      <c r="B76" s="51">
        <f t="shared" si="6"/>
        <v>45729</v>
      </c>
      <c r="C76" s="53">
        <v>3.0</v>
      </c>
      <c r="D76" s="53" t="s">
        <v>33</v>
      </c>
      <c r="E76" s="23" t="s">
        <v>37</v>
      </c>
      <c r="F76" s="25">
        <v>110.0</v>
      </c>
      <c r="H76" s="26">
        <v>110.0</v>
      </c>
      <c r="J76" s="26">
        <v>0.0</v>
      </c>
      <c r="L76" s="25">
        <v>0.0</v>
      </c>
      <c r="N76" s="26">
        <v>0.0</v>
      </c>
      <c r="P76" s="26">
        <v>0.0</v>
      </c>
      <c r="R76" s="26">
        <v>0.0</v>
      </c>
      <c r="T76" s="26">
        <v>0.0</v>
      </c>
      <c r="V76" s="26">
        <v>0.0</v>
      </c>
      <c r="X76" s="26">
        <v>0.0</v>
      </c>
      <c r="Y76" s="28"/>
      <c r="Z76" s="25">
        <v>0.0</v>
      </c>
      <c r="AB76" s="26">
        <v>0.0</v>
      </c>
      <c r="AD76" s="26">
        <v>0.0</v>
      </c>
      <c r="AF76" s="30"/>
      <c r="AH76" s="30"/>
      <c r="AJ76" s="30"/>
      <c r="AK76" s="28"/>
      <c r="AL76" s="60">
        <f t="shared" si="1"/>
        <v>4298.8</v>
      </c>
      <c r="AM76" s="53">
        <f t="shared" si="2"/>
        <v>220</v>
      </c>
      <c r="AN76" s="53">
        <f t="shared" si="3"/>
        <v>0</v>
      </c>
      <c r="AO76" s="53">
        <f t="shared" si="4"/>
        <v>220</v>
      </c>
      <c r="AP76" s="61">
        <f t="shared" si="5"/>
        <v>19.54</v>
      </c>
    </row>
    <row r="77">
      <c r="A77" s="48" t="s">
        <v>29</v>
      </c>
      <c r="B77" s="51">
        <f t="shared" si="6"/>
        <v>45730</v>
      </c>
      <c r="C77" s="53">
        <v>3.0</v>
      </c>
      <c r="D77" s="53" t="s">
        <v>33</v>
      </c>
      <c r="E77" s="23" t="s">
        <v>37</v>
      </c>
      <c r="F77" s="25">
        <v>110.0</v>
      </c>
      <c r="H77" s="26">
        <v>110.0</v>
      </c>
      <c r="J77" s="26">
        <v>0.0</v>
      </c>
      <c r="L77" s="25">
        <v>270.0</v>
      </c>
      <c r="N77" s="26">
        <v>270.0</v>
      </c>
      <c r="P77" s="26">
        <v>0.0</v>
      </c>
      <c r="R77" s="26">
        <v>0.0</v>
      </c>
      <c r="T77" s="26">
        <v>0.0</v>
      </c>
      <c r="V77" s="26">
        <v>0.0</v>
      </c>
      <c r="X77" s="26">
        <v>0.0</v>
      </c>
      <c r="Y77" s="28"/>
      <c r="Z77" s="25">
        <v>8.0</v>
      </c>
      <c r="AB77" s="26">
        <v>8.0</v>
      </c>
      <c r="AD77" s="26">
        <v>0.0</v>
      </c>
      <c r="AF77" s="30"/>
      <c r="AH77" s="30"/>
      <c r="AJ77" s="30"/>
      <c r="AK77" s="28"/>
      <c r="AL77" s="60">
        <f t="shared" si="1"/>
        <v>11198.76</v>
      </c>
      <c r="AM77" s="53">
        <f t="shared" si="2"/>
        <v>776</v>
      </c>
      <c r="AN77" s="53">
        <f t="shared" si="3"/>
        <v>0</v>
      </c>
      <c r="AO77" s="53">
        <f t="shared" si="4"/>
        <v>776</v>
      </c>
      <c r="AP77" s="61">
        <f t="shared" si="5"/>
        <v>14.43139175</v>
      </c>
    </row>
    <row r="78">
      <c r="A78" s="48" t="s">
        <v>30</v>
      </c>
      <c r="B78" s="51">
        <f t="shared" si="6"/>
        <v>45731</v>
      </c>
      <c r="C78" s="53">
        <v>3.0</v>
      </c>
      <c r="D78" s="53" t="s">
        <v>33</v>
      </c>
      <c r="E78" s="23" t="s">
        <v>37</v>
      </c>
      <c r="F78" s="25">
        <v>105.0</v>
      </c>
      <c r="H78" s="26">
        <v>105.0</v>
      </c>
      <c r="J78" s="26">
        <v>0.0</v>
      </c>
      <c r="L78" s="25">
        <v>270.0</v>
      </c>
      <c r="N78" s="26">
        <v>270.0</v>
      </c>
      <c r="P78" s="26">
        <v>0.0</v>
      </c>
      <c r="R78" s="26">
        <v>0.0</v>
      </c>
      <c r="T78" s="26">
        <v>0.0</v>
      </c>
      <c r="V78" s="26">
        <v>0.0</v>
      </c>
      <c r="X78" s="26">
        <v>0.0</v>
      </c>
      <c r="Y78" s="28"/>
      <c r="Z78" s="25">
        <v>8.0</v>
      </c>
      <c r="AB78" s="26">
        <v>8.0</v>
      </c>
      <c r="AD78" s="26">
        <v>0.0</v>
      </c>
      <c r="AF78" s="30"/>
      <c r="AH78" s="30"/>
      <c r="AJ78" s="30"/>
      <c r="AK78" s="28"/>
      <c r="AL78" s="60">
        <f t="shared" si="1"/>
        <v>11003.36</v>
      </c>
      <c r="AM78" s="53">
        <f t="shared" si="2"/>
        <v>766</v>
      </c>
      <c r="AN78" s="53">
        <f t="shared" si="3"/>
        <v>0</v>
      </c>
      <c r="AO78" s="53">
        <f t="shared" si="4"/>
        <v>766</v>
      </c>
      <c r="AP78" s="61">
        <f t="shared" si="5"/>
        <v>14.36469974</v>
      </c>
    </row>
    <row r="79">
      <c r="A79" s="69" t="s">
        <v>31</v>
      </c>
      <c r="B79" s="70">
        <f t="shared" si="6"/>
        <v>45732</v>
      </c>
      <c r="C79" s="71">
        <v>3.0</v>
      </c>
      <c r="D79" s="71" t="s">
        <v>33</v>
      </c>
      <c r="E79" s="73" t="s">
        <v>37</v>
      </c>
      <c r="F79" s="74">
        <v>98.0</v>
      </c>
      <c r="G79" s="75"/>
      <c r="H79" s="76">
        <v>98.0</v>
      </c>
      <c r="I79" s="75"/>
      <c r="J79" s="76">
        <v>0.0</v>
      </c>
      <c r="K79" s="75"/>
      <c r="L79" s="74">
        <v>270.0</v>
      </c>
      <c r="M79" s="75"/>
      <c r="N79" s="76">
        <v>270.0</v>
      </c>
      <c r="O79" s="75"/>
      <c r="P79" s="76">
        <v>0.0</v>
      </c>
      <c r="Q79" s="75"/>
      <c r="R79" s="76">
        <v>0.0</v>
      </c>
      <c r="S79" s="75"/>
      <c r="T79" s="76">
        <v>0.0</v>
      </c>
      <c r="U79" s="75"/>
      <c r="V79" s="76">
        <v>0.0</v>
      </c>
      <c r="W79" s="75"/>
      <c r="X79" s="76">
        <v>0.0</v>
      </c>
      <c r="Y79" s="77"/>
      <c r="Z79" s="74">
        <v>8.0</v>
      </c>
      <c r="AA79" s="75"/>
      <c r="AB79" s="76">
        <v>8.0</v>
      </c>
      <c r="AC79" s="75"/>
      <c r="AD79" s="76">
        <v>0.0</v>
      </c>
      <c r="AE79" s="75"/>
      <c r="AF79" s="78"/>
      <c r="AG79" s="75"/>
      <c r="AH79" s="78"/>
      <c r="AI79" s="75"/>
      <c r="AJ79" s="78"/>
      <c r="AK79" s="77"/>
      <c r="AL79" s="79">
        <f t="shared" si="1"/>
        <v>10729.8</v>
      </c>
      <c r="AM79" s="71">
        <f t="shared" si="2"/>
        <v>752</v>
      </c>
      <c r="AN79" s="71">
        <f t="shared" si="3"/>
        <v>0</v>
      </c>
      <c r="AO79" s="71">
        <f t="shared" si="4"/>
        <v>752</v>
      </c>
      <c r="AP79" s="80">
        <f t="shared" si="5"/>
        <v>14.26835106</v>
      </c>
    </row>
    <row r="80">
      <c r="A80" s="19" t="s">
        <v>23</v>
      </c>
      <c r="B80" s="81">
        <f t="shared" si="6"/>
        <v>45733</v>
      </c>
      <c r="C80" s="21">
        <v>3.0</v>
      </c>
      <c r="D80" s="21" t="s">
        <v>36</v>
      </c>
      <c r="E80" s="82" t="s">
        <v>37</v>
      </c>
      <c r="F80" s="25">
        <v>0.0</v>
      </c>
      <c r="H80" s="26">
        <v>98.0</v>
      </c>
      <c r="J80" s="26">
        <v>98.0</v>
      </c>
      <c r="L80" s="25">
        <v>270.0</v>
      </c>
      <c r="N80" s="26">
        <v>270.0</v>
      </c>
      <c r="P80" s="26">
        <v>0.0</v>
      </c>
      <c r="R80" s="26">
        <v>0.0</v>
      </c>
      <c r="T80" s="26">
        <v>1.0</v>
      </c>
      <c r="V80" s="26">
        <v>1.0</v>
      </c>
      <c r="X80" s="26">
        <v>0.0</v>
      </c>
      <c r="Y80" s="28"/>
      <c r="Z80" s="25">
        <v>8.0</v>
      </c>
      <c r="AB80" s="26">
        <v>8.0</v>
      </c>
      <c r="AD80" s="26">
        <v>0.0</v>
      </c>
      <c r="AF80" s="30"/>
      <c r="AH80" s="30"/>
      <c r="AJ80" s="30"/>
      <c r="AK80" s="28"/>
      <c r="AL80" s="39">
        <f t="shared" si="1"/>
        <v>11494.93</v>
      </c>
      <c r="AM80" s="21">
        <f t="shared" si="2"/>
        <v>752</v>
      </c>
      <c r="AN80" s="21">
        <f t="shared" si="3"/>
        <v>2</v>
      </c>
      <c r="AO80" s="21">
        <f t="shared" si="4"/>
        <v>754</v>
      </c>
      <c r="AP80" s="46">
        <f t="shared" si="5"/>
        <v>15.24526525</v>
      </c>
    </row>
    <row r="81">
      <c r="A81" s="48" t="s">
        <v>26</v>
      </c>
      <c r="B81" s="51">
        <f t="shared" si="6"/>
        <v>45734</v>
      </c>
      <c r="C81" s="53">
        <v>3.0</v>
      </c>
      <c r="D81" s="53" t="s">
        <v>36</v>
      </c>
      <c r="E81" s="23" t="s">
        <v>37</v>
      </c>
      <c r="F81" s="25">
        <v>98.0</v>
      </c>
      <c r="H81" s="26">
        <v>98.0</v>
      </c>
      <c r="J81" s="26">
        <v>0.0</v>
      </c>
      <c r="L81" s="25">
        <v>270.0</v>
      </c>
      <c r="N81" s="26">
        <v>270.0</v>
      </c>
      <c r="P81" s="26">
        <v>0.0</v>
      </c>
      <c r="R81" s="26">
        <v>0.0</v>
      </c>
      <c r="T81" s="26">
        <v>0.0</v>
      </c>
      <c r="V81" s="26">
        <v>0.0</v>
      </c>
      <c r="X81" s="26">
        <v>0.0</v>
      </c>
      <c r="Y81" s="28"/>
      <c r="Z81" s="25">
        <v>8.0</v>
      </c>
      <c r="AB81" s="26">
        <v>8.0</v>
      </c>
      <c r="AD81" s="26">
        <v>0.0</v>
      </c>
      <c r="AF81" s="30"/>
      <c r="AH81" s="30"/>
      <c r="AJ81" s="30"/>
      <c r="AK81" s="28"/>
      <c r="AL81" s="60">
        <f t="shared" si="1"/>
        <v>10729.8</v>
      </c>
      <c r="AM81" s="53">
        <f t="shared" si="2"/>
        <v>752</v>
      </c>
      <c r="AN81" s="53">
        <f t="shared" si="3"/>
        <v>0</v>
      </c>
      <c r="AO81" s="53">
        <f t="shared" si="4"/>
        <v>752</v>
      </c>
      <c r="AP81" s="61">
        <f t="shared" si="5"/>
        <v>14.26835106</v>
      </c>
    </row>
    <row r="82">
      <c r="A82" s="48" t="s">
        <v>27</v>
      </c>
      <c r="B82" s="51">
        <f t="shared" si="6"/>
        <v>45735</v>
      </c>
      <c r="C82" s="53">
        <v>3.0</v>
      </c>
      <c r="D82" s="53" t="s">
        <v>36</v>
      </c>
      <c r="E82" s="23" t="s">
        <v>37</v>
      </c>
      <c r="F82" s="25">
        <v>0.0</v>
      </c>
      <c r="H82" s="26">
        <v>0.0</v>
      </c>
      <c r="J82" s="26">
        <v>0.0</v>
      </c>
      <c r="L82" s="25">
        <v>270.0</v>
      </c>
      <c r="N82" s="26">
        <v>270.0</v>
      </c>
      <c r="P82" s="26">
        <v>0.0</v>
      </c>
      <c r="R82" s="26">
        <v>0.0</v>
      </c>
      <c r="T82" s="26">
        <v>0.0</v>
      </c>
      <c r="V82" s="26">
        <v>0.0</v>
      </c>
      <c r="X82" s="26">
        <v>0.0</v>
      </c>
      <c r="Y82" s="28"/>
      <c r="Z82" s="25">
        <v>8.0</v>
      </c>
      <c r="AB82" s="26">
        <v>8.0</v>
      </c>
      <c r="AD82" s="26">
        <v>0.0</v>
      </c>
      <c r="AF82" s="30"/>
      <c r="AH82" s="30"/>
      <c r="AJ82" s="30"/>
      <c r="AK82" s="28"/>
      <c r="AL82" s="60">
        <f t="shared" si="1"/>
        <v>6899.96</v>
      </c>
      <c r="AM82" s="53">
        <f t="shared" si="2"/>
        <v>556</v>
      </c>
      <c r="AN82" s="53">
        <f t="shared" si="3"/>
        <v>0</v>
      </c>
      <c r="AO82" s="53">
        <f t="shared" si="4"/>
        <v>556</v>
      </c>
      <c r="AP82" s="61">
        <f t="shared" si="5"/>
        <v>12.41</v>
      </c>
    </row>
    <row r="83">
      <c r="A83" s="48" t="s">
        <v>28</v>
      </c>
      <c r="B83" s="51">
        <f t="shared" si="6"/>
        <v>45736</v>
      </c>
      <c r="C83" s="53">
        <v>3.0</v>
      </c>
      <c r="D83" s="53" t="s">
        <v>36</v>
      </c>
      <c r="E83" s="23" t="s">
        <v>37</v>
      </c>
      <c r="F83" s="25">
        <v>95.0</v>
      </c>
      <c r="H83" s="26">
        <v>95.0</v>
      </c>
      <c r="J83" s="26">
        <v>0.0</v>
      </c>
      <c r="L83" s="25">
        <v>280.0</v>
      </c>
      <c r="N83" s="26">
        <v>280.0</v>
      </c>
      <c r="P83" s="26">
        <v>0.0</v>
      </c>
      <c r="R83" s="26">
        <v>0.0</v>
      </c>
      <c r="T83" s="26">
        <v>0.0</v>
      </c>
      <c r="V83" s="26">
        <v>0.0</v>
      </c>
      <c r="X83" s="26">
        <v>0.0</v>
      </c>
      <c r="Y83" s="28"/>
      <c r="Z83" s="25">
        <v>9.0</v>
      </c>
      <c r="AB83" s="26">
        <v>9.0</v>
      </c>
      <c r="AD83" s="26">
        <v>0.0</v>
      </c>
      <c r="AF83" s="30"/>
      <c r="AH83" s="30"/>
      <c r="AJ83" s="30"/>
      <c r="AK83" s="28"/>
      <c r="AL83" s="60">
        <f t="shared" si="1"/>
        <v>10885.58</v>
      </c>
      <c r="AM83" s="53">
        <f t="shared" si="2"/>
        <v>768</v>
      </c>
      <c r="AN83" s="53">
        <f t="shared" si="3"/>
        <v>0</v>
      </c>
      <c r="AO83" s="53">
        <f t="shared" si="4"/>
        <v>768</v>
      </c>
      <c r="AP83" s="61">
        <f t="shared" si="5"/>
        <v>14.17393229</v>
      </c>
    </row>
    <row r="84">
      <c r="A84" s="48" t="s">
        <v>29</v>
      </c>
      <c r="B84" s="51">
        <f t="shared" si="6"/>
        <v>45737</v>
      </c>
      <c r="C84" s="53">
        <v>3.0</v>
      </c>
      <c r="D84" s="53" t="s">
        <v>36</v>
      </c>
      <c r="E84" s="23" t="s">
        <v>37</v>
      </c>
      <c r="F84" s="25">
        <v>95.0</v>
      </c>
      <c r="H84" s="26">
        <v>95.0</v>
      </c>
      <c r="J84" s="26">
        <v>0.0</v>
      </c>
      <c r="L84" s="25">
        <v>0.0</v>
      </c>
      <c r="N84" s="26">
        <v>0.0</v>
      </c>
      <c r="P84" s="26">
        <v>0.0</v>
      </c>
      <c r="R84" s="26">
        <v>0.0</v>
      </c>
      <c r="T84" s="26">
        <v>0.0</v>
      </c>
      <c r="V84" s="26">
        <v>0.0</v>
      </c>
      <c r="X84" s="26">
        <v>0.0</v>
      </c>
      <c r="Y84" s="28"/>
      <c r="Z84" s="25">
        <v>0.0</v>
      </c>
      <c r="AB84" s="26">
        <v>0.0</v>
      </c>
      <c r="AD84" s="26">
        <v>0.0</v>
      </c>
      <c r="AF84" s="30"/>
      <c r="AH84" s="30"/>
      <c r="AJ84" s="30"/>
      <c r="AK84" s="28"/>
      <c r="AL84" s="60">
        <f t="shared" si="1"/>
        <v>3712.6</v>
      </c>
      <c r="AM84" s="53">
        <f t="shared" si="2"/>
        <v>190</v>
      </c>
      <c r="AN84" s="53">
        <f t="shared" si="3"/>
        <v>0</v>
      </c>
      <c r="AO84" s="53">
        <f t="shared" si="4"/>
        <v>190</v>
      </c>
      <c r="AP84" s="61">
        <f t="shared" si="5"/>
        <v>19.54</v>
      </c>
    </row>
    <row r="85">
      <c r="A85" s="48" t="s">
        <v>30</v>
      </c>
      <c r="B85" s="51">
        <f t="shared" si="6"/>
        <v>45738</v>
      </c>
      <c r="C85" s="53">
        <v>3.0</v>
      </c>
      <c r="D85" s="53" t="s">
        <v>36</v>
      </c>
      <c r="E85" s="23" t="s">
        <v>37</v>
      </c>
      <c r="F85" s="25">
        <v>95.0</v>
      </c>
      <c r="H85" s="26">
        <v>95.0</v>
      </c>
      <c r="J85" s="26">
        <v>0.0</v>
      </c>
      <c r="L85" s="25">
        <v>280.0</v>
      </c>
      <c r="N85" s="26">
        <v>280.0</v>
      </c>
      <c r="P85" s="26">
        <v>0.0</v>
      </c>
      <c r="R85" s="26">
        <v>0.0</v>
      </c>
      <c r="T85" s="26">
        <v>0.0</v>
      </c>
      <c r="V85" s="26">
        <v>0.0</v>
      </c>
      <c r="X85" s="26">
        <v>0.0</v>
      </c>
      <c r="Y85" s="28"/>
      <c r="Z85" s="25">
        <v>9.0</v>
      </c>
      <c r="AB85" s="26">
        <v>9.0</v>
      </c>
      <c r="AD85" s="26">
        <v>0.0</v>
      </c>
      <c r="AF85" s="30"/>
      <c r="AH85" s="30"/>
      <c r="AJ85" s="30"/>
      <c r="AK85" s="28"/>
      <c r="AL85" s="60">
        <f t="shared" si="1"/>
        <v>10885.58</v>
      </c>
      <c r="AM85" s="53">
        <f t="shared" si="2"/>
        <v>768</v>
      </c>
      <c r="AN85" s="53">
        <f t="shared" si="3"/>
        <v>0</v>
      </c>
      <c r="AO85" s="53">
        <f t="shared" si="4"/>
        <v>768</v>
      </c>
      <c r="AP85" s="61">
        <f t="shared" si="5"/>
        <v>14.17393229</v>
      </c>
    </row>
    <row r="86">
      <c r="A86" s="69" t="s">
        <v>31</v>
      </c>
      <c r="B86" s="70">
        <f t="shared" si="6"/>
        <v>45739</v>
      </c>
      <c r="C86" s="71">
        <v>3.0</v>
      </c>
      <c r="D86" s="71" t="s">
        <v>36</v>
      </c>
      <c r="E86" s="73" t="s">
        <v>37</v>
      </c>
      <c r="F86" s="74">
        <v>95.0</v>
      </c>
      <c r="G86" s="75"/>
      <c r="H86" s="76">
        <v>95.0</v>
      </c>
      <c r="I86" s="75"/>
      <c r="J86" s="76">
        <v>95.0</v>
      </c>
      <c r="K86" s="75"/>
      <c r="L86" s="74">
        <v>280.0</v>
      </c>
      <c r="M86" s="75"/>
      <c r="N86" s="76">
        <v>280.0</v>
      </c>
      <c r="O86" s="75"/>
      <c r="P86" s="76">
        <v>0.0</v>
      </c>
      <c r="Q86" s="75"/>
      <c r="R86" s="76">
        <v>0.0</v>
      </c>
      <c r="S86" s="75"/>
      <c r="T86" s="76">
        <v>0.0</v>
      </c>
      <c r="U86" s="75"/>
      <c r="V86" s="76">
        <v>0.0</v>
      </c>
      <c r="W86" s="75"/>
      <c r="X86" s="76">
        <v>0.0</v>
      </c>
      <c r="Y86" s="77"/>
      <c r="Z86" s="74">
        <v>9.0</v>
      </c>
      <c r="AA86" s="75"/>
      <c r="AB86" s="76">
        <v>9.0</v>
      </c>
      <c r="AC86" s="75"/>
      <c r="AD86" s="76">
        <v>0.0</v>
      </c>
      <c r="AE86" s="75"/>
      <c r="AF86" s="78"/>
      <c r="AG86" s="75"/>
      <c r="AH86" s="78"/>
      <c r="AI86" s="75"/>
      <c r="AJ86" s="78"/>
      <c r="AK86" s="77"/>
      <c r="AL86" s="79">
        <f t="shared" si="1"/>
        <v>12741.88</v>
      </c>
      <c r="AM86" s="71">
        <f t="shared" si="2"/>
        <v>863</v>
      </c>
      <c r="AN86" s="71">
        <f t="shared" si="3"/>
        <v>0</v>
      </c>
      <c r="AO86" s="71">
        <f t="shared" si="4"/>
        <v>863</v>
      </c>
      <c r="AP86" s="80">
        <f t="shared" si="5"/>
        <v>14.76463499</v>
      </c>
    </row>
    <row r="87">
      <c r="A87" s="19" t="s">
        <v>23</v>
      </c>
      <c r="B87" s="81">
        <f t="shared" si="6"/>
        <v>45740</v>
      </c>
      <c r="C87" s="21">
        <v>4.0</v>
      </c>
      <c r="D87" s="21" t="s">
        <v>24</v>
      </c>
      <c r="E87" s="82" t="s">
        <v>38</v>
      </c>
      <c r="F87" s="114">
        <v>0.0</v>
      </c>
      <c r="H87" s="115">
        <v>0.0</v>
      </c>
      <c r="J87" s="115">
        <v>0.0</v>
      </c>
      <c r="L87" s="114">
        <v>175.0</v>
      </c>
      <c r="N87" s="115">
        <v>175.0</v>
      </c>
      <c r="P87" s="115">
        <v>0.0</v>
      </c>
      <c r="R87" s="115">
        <v>0.0</v>
      </c>
      <c r="T87" s="115">
        <v>1.0</v>
      </c>
      <c r="V87" s="115">
        <v>1.0</v>
      </c>
      <c r="X87" s="115">
        <v>0.0</v>
      </c>
      <c r="Y87" s="28"/>
      <c r="Z87" s="114">
        <v>12.0</v>
      </c>
      <c r="AB87" s="115">
        <v>12.0</v>
      </c>
      <c r="AD87" s="115">
        <v>0.0</v>
      </c>
      <c r="AF87" s="116"/>
      <c r="AH87" s="116"/>
      <c r="AJ87" s="116"/>
      <c r="AK87" s="28"/>
      <c r="AL87" s="117">
        <f t="shared" si="1"/>
        <v>5406.47</v>
      </c>
      <c r="AM87" s="21">
        <f t="shared" si="2"/>
        <v>374</v>
      </c>
      <c r="AN87" s="21">
        <f t="shared" si="3"/>
        <v>2</v>
      </c>
      <c r="AO87" s="21">
        <f t="shared" si="4"/>
        <v>376</v>
      </c>
      <c r="AP87" s="46">
        <f t="shared" si="5"/>
        <v>14.37890957</v>
      </c>
    </row>
    <row r="88">
      <c r="A88" s="48" t="s">
        <v>26</v>
      </c>
      <c r="B88" s="51">
        <f t="shared" si="6"/>
        <v>45741</v>
      </c>
      <c r="C88" s="53">
        <v>4.0</v>
      </c>
      <c r="D88" s="53" t="s">
        <v>24</v>
      </c>
      <c r="E88" s="23" t="s">
        <v>38</v>
      </c>
      <c r="F88" s="114">
        <v>0.0</v>
      </c>
      <c r="H88" s="115">
        <v>0.0</v>
      </c>
      <c r="J88" s="115">
        <v>0.0</v>
      </c>
      <c r="L88" s="114">
        <v>240.0</v>
      </c>
      <c r="N88" s="115">
        <v>240.0</v>
      </c>
      <c r="P88" s="115">
        <v>0.0</v>
      </c>
      <c r="R88" s="115">
        <v>0.0</v>
      </c>
      <c r="T88" s="115">
        <v>0.0</v>
      </c>
      <c r="V88" s="115">
        <v>0.0</v>
      </c>
      <c r="X88" s="115">
        <v>0.0</v>
      </c>
      <c r="Y88" s="28"/>
      <c r="Z88" s="114">
        <v>12.0</v>
      </c>
      <c r="AB88" s="115">
        <v>12.0</v>
      </c>
      <c r="AD88" s="115">
        <v>0.0</v>
      </c>
      <c r="AF88" s="116"/>
      <c r="AH88" s="116"/>
      <c r="AJ88" s="116"/>
      <c r="AK88" s="28"/>
      <c r="AL88" s="118">
        <f t="shared" si="1"/>
        <v>6254.64</v>
      </c>
      <c r="AM88" s="53">
        <f t="shared" si="2"/>
        <v>504</v>
      </c>
      <c r="AN88" s="53">
        <f t="shared" si="3"/>
        <v>0</v>
      </c>
      <c r="AO88" s="53">
        <f t="shared" si="4"/>
        <v>504</v>
      </c>
      <c r="AP88" s="61">
        <f t="shared" si="5"/>
        <v>12.41</v>
      </c>
    </row>
    <row r="89">
      <c r="A89" s="48" t="s">
        <v>27</v>
      </c>
      <c r="B89" s="51">
        <f t="shared" si="6"/>
        <v>45742</v>
      </c>
      <c r="C89" s="53">
        <v>4.0</v>
      </c>
      <c r="D89" s="53" t="s">
        <v>24</v>
      </c>
      <c r="E89" s="23" t="s">
        <v>38</v>
      </c>
      <c r="F89" s="114">
        <v>0.0</v>
      </c>
      <c r="H89" s="115">
        <v>0.0</v>
      </c>
      <c r="J89" s="115">
        <v>0.0</v>
      </c>
      <c r="L89" s="114">
        <v>240.0</v>
      </c>
      <c r="N89" s="115">
        <v>240.0</v>
      </c>
      <c r="P89" s="115">
        <v>0.0</v>
      </c>
      <c r="R89" s="115">
        <v>0.0</v>
      </c>
      <c r="T89" s="115">
        <v>0.0</v>
      </c>
      <c r="V89" s="115">
        <v>0.0</v>
      </c>
      <c r="X89" s="115">
        <v>0.0</v>
      </c>
      <c r="Y89" s="28"/>
      <c r="Z89" s="114">
        <v>12.0</v>
      </c>
      <c r="AB89" s="115">
        <v>12.0</v>
      </c>
      <c r="AD89" s="115">
        <v>0.0</v>
      </c>
      <c r="AF89" s="116"/>
      <c r="AH89" s="116"/>
      <c r="AJ89" s="116"/>
      <c r="AK89" s="28"/>
      <c r="AL89" s="118">
        <f t="shared" si="1"/>
        <v>6254.64</v>
      </c>
      <c r="AM89" s="53">
        <f t="shared" si="2"/>
        <v>504</v>
      </c>
      <c r="AN89" s="53">
        <f t="shared" si="3"/>
        <v>0</v>
      </c>
      <c r="AO89" s="53">
        <f t="shared" si="4"/>
        <v>504</v>
      </c>
      <c r="AP89" s="61">
        <f t="shared" si="5"/>
        <v>12.41</v>
      </c>
    </row>
    <row r="90">
      <c r="A90" s="48" t="s">
        <v>28</v>
      </c>
      <c r="B90" s="51">
        <f t="shared" si="6"/>
        <v>45743</v>
      </c>
      <c r="C90" s="53">
        <v>4.0</v>
      </c>
      <c r="D90" s="53" t="s">
        <v>24</v>
      </c>
      <c r="E90" s="23" t="s">
        <v>38</v>
      </c>
      <c r="F90" s="114">
        <v>0.0</v>
      </c>
      <c r="H90" s="115">
        <v>0.0</v>
      </c>
      <c r="J90" s="115">
        <v>0.0</v>
      </c>
      <c r="L90" s="114">
        <v>240.0</v>
      </c>
      <c r="N90" s="115">
        <v>240.0</v>
      </c>
      <c r="P90" s="115">
        <v>0.0</v>
      </c>
      <c r="R90" s="115">
        <v>0.0</v>
      </c>
      <c r="T90" s="115">
        <v>0.0</v>
      </c>
      <c r="V90" s="115">
        <v>0.0</v>
      </c>
      <c r="X90" s="115">
        <v>0.0</v>
      </c>
      <c r="Y90" s="28"/>
      <c r="Z90" s="114">
        <v>12.0</v>
      </c>
      <c r="AB90" s="115">
        <v>12.0</v>
      </c>
      <c r="AD90" s="115">
        <v>0.0</v>
      </c>
      <c r="AF90" s="116"/>
      <c r="AH90" s="116"/>
      <c r="AJ90" s="116"/>
      <c r="AK90" s="28"/>
      <c r="AL90" s="118">
        <f t="shared" si="1"/>
        <v>6254.64</v>
      </c>
      <c r="AM90" s="53">
        <f t="shared" si="2"/>
        <v>504</v>
      </c>
      <c r="AN90" s="53">
        <f t="shared" si="3"/>
        <v>0</v>
      </c>
      <c r="AO90" s="53">
        <f t="shared" si="4"/>
        <v>504</v>
      </c>
      <c r="AP90" s="61">
        <f t="shared" si="5"/>
        <v>12.41</v>
      </c>
    </row>
    <row r="91">
      <c r="A91" s="48" t="s">
        <v>29</v>
      </c>
      <c r="B91" s="51">
        <f t="shared" si="6"/>
        <v>45744</v>
      </c>
      <c r="C91" s="53">
        <v>4.0</v>
      </c>
      <c r="D91" s="53" t="s">
        <v>24</v>
      </c>
      <c r="E91" s="23" t="s">
        <v>38</v>
      </c>
      <c r="F91" s="114">
        <v>0.0</v>
      </c>
      <c r="H91" s="115">
        <v>0.0</v>
      </c>
      <c r="J91" s="115">
        <v>0.0</v>
      </c>
      <c r="L91" s="114">
        <v>0.0</v>
      </c>
      <c r="N91" s="115">
        <v>240.0</v>
      </c>
      <c r="P91" s="115">
        <v>120.0</v>
      </c>
      <c r="R91" s="115">
        <v>120.0</v>
      </c>
      <c r="T91" s="115">
        <v>0.0</v>
      </c>
      <c r="V91" s="115">
        <v>0.0</v>
      </c>
      <c r="X91" s="115">
        <v>0.0</v>
      </c>
      <c r="Y91" s="28"/>
      <c r="Z91" s="114">
        <v>0.0</v>
      </c>
      <c r="AB91" s="115">
        <v>12.0</v>
      </c>
      <c r="AD91" s="115">
        <v>0.0</v>
      </c>
      <c r="AF91" s="116"/>
      <c r="AH91" s="116"/>
      <c r="AJ91" s="116"/>
      <c r="AK91" s="28"/>
      <c r="AL91" s="118">
        <f t="shared" si="1"/>
        <v>5208.12</v>
      </c>
      <c r="AM91" s="53">
        <f t="shared" si="2"/>
        <v>492</v>
      </c>
      <c r="AN91" s="53">
        <f t="shared" si="3"/>
        <v>0</v>
      </c>
      <c r="AO91" s="53">
        <f t="shared" si="4"/>
        <v>492</v>
      </c>
      <c r="AP91" s="61">
        <f t="shared" si="5"/>
        <v>10.58560976</v>
      </c>
    </row>
    <row r="92">
      <c r="A92" s="48" t="s">
        <v>30</v>
      </c>
      <c r="B92" s="51">
        <f t="shared" si="6"/>
        <v>45745</v>
      </c>
      <c r="C92" s="53">
        <v>4.0</v>
      </c>
      <c r="D92" s="53" t="s">
        <v>24</v>
      </c>
      <c r="E92" s="23" t="s">
        <v>38</v>
      </c>
      <c r="F92" s="114">
        <v>0.0</v>
      </c>
      <c r="H92" s="115">
        <v>0.0</v>
      </c>
      <c r="J92" s="115">
        <v>0.0</v>
      </c>
      <c r="L92" s="114">
        <v>0.0</v>
      </c>
      <c r="N92" s="115">
        <v>240.0</v>
      </c>
      <c r="P92" s="115">
        <v>120.0</v>
      </c>
      <c r="R92" s="115">
        <v>120.0</v>
      </c>
      <c r="T92" s="115">
        <v>0.0</v>
      </c>
      <c r="V92" s="115">
        <v>0.0</v>
      </c>
      <c r="X92" s="115">
        <v>0.0</v>
      </c>
      <c r="Y92" s="28"/>
      <c r="Z92" s="114">
        <v>0.0</v>
      </c>
      <c r="AB92" s="115">
        <v>12.0</v>
      </c>
      <c r="AD92" s="115">
        <v>0.0</v>
      </c>
      <c r="AF92" s="116"/>
      <c r="AH92" s="116"/>
      <c r="AJ92" s="116"/>
      <c r="AK92" s="28"/>
      <c r="AL92" s="118">
        <f t="shared" si="1"/>
        <v>5208.12</v>
      </c>
      <c r="AM92" s="53">
        <f t="shared" si="2"/>
        <v>492</v>
      </c>
      <c r="AN92" s="53">
        <f t="shared" si="3"/>
        <v>0</v>
      </c>
      <c r="AO92" s="53">
        <f t="shared" si="4"/>
        <v>492</v>
      </c>
      <c r="AP92" s="61">
        <f t="shared" si="5"/>
        <v>10.58560976</v>
      </c>
    </row>
    <row r="93">
      <c r="A93" s="69" t="s">
        <v>31</v>
      </c>
      <c r="B93" s="70">
        <f t="shared" si="6"/>
        <v>45746</v>
      </c>
      <c r="C93" s="71">
        <v>4.0</v>
      </c>
      <c r="D93" s="71" t="s">
        <v>24</v>
      </c>
      <c r="E93" s="73" t="s">
        <v>38</v>
      </c>
      <c r="F93" s="119">
        <v>0.0</v>
      </c>
      <c r="G93" s="75"/>
      <c r="H93" s="120">
        <v>0.0</v>
      </c>
      <c r="I93" s="75"/>
      <c r="J93" s="120">
        <v>0.0</v>
      </c>
      <c r="K93" s="75"/>
      <c r="L93" s="119">
        <v>240.0</v>
      </c>
      <c r="M93" s="75"/>
      <c r="N93" s="120">
        <v>240.0</v>
      </c>
      <c r="O93" s="75"/>
      <c r="P93" s="120">
        <v>0.0</v>
      </c>
      <c r="Q93" s="75"/>
      <c r="R93" s="120">
        <v>0.0</v>
      </c>
      <c r="S93" s="75"/>
      <c r="T93" s="120">
        <v>0.0</v>
      </c>
      <c r="U93" s="75"/>
      <c r="V93" s="120">
        <v>0.0</v>
      </c>
      <c r="W93" s="75"/>
      <c r="X93" s="120">
        <v>0.0</v>
      </c>
      <c r="Y93" s="77"/>
      <c r="Z93" s="119">
        <v>0.0</v>
      </c>
      <c r="AA93" s="75"/>
      <c r="AB93" s="120">
        <v>0.0</v>
      </c>
      <c r="AC93" s="75"/>
      <c r="AD93" s="120">
        <v>0.0</v>
      </c>
      <c r="AE93" s="75"/>
      <c r="AF93" s="121"/>
      <c r="AG93" s="75"/>
      <c r="AH93" s="121"/>
      <c r="AI93" s="75"/>
      <c r="AJ93" s="121"/>
      <c r="AK93" s="77"/>
      <c r="AL93" s="122">
        <f t="shared" si="1"/>
        <v>5956.8</v>
      </c>
      <c r="AM93" s="71">
        <f t="shared" si="2"/>
        <v>480</v>
      </c>
      <c r="AN93" s="71">
        <f t="shared" si="3"/>
        <v>0</v>
      </c>
      <c r="AO93" s="71">
        <f t="shared" si="4"/>
        <v>480</v>
      </c>
      <c r="AP93" s="80">
        <f t="shared" si="5"/>
        <v>12.41</v>
      </c>
    </row>
    <row r="94">
      <c r="A94" s="19" t="s">
        <v>23</v>
      </c>
      <c r="B94" s="81">
        <f t="shared" si="6"/>
        <v>45747</v>
      </c>
      <c r="C94" s="21">
        <v>4.0</v>
      </c>
      <c r="D94" s="21" t="s">
        <v>32</v>
      </c>
      <c r="E94" s="82" t="s">
        <v>38</v>
      </c>
      <c r="F94" s="114">
        <v>0.0</v>
      </c>
      <c r="H94" s="115">
        <v>0.0</v>
      </c>
      <c r="J94" s="115">
        <v>0.0</v>
      </c>
      <c r="L94" s="114">
        <v>150.0</v>
      </c>
      <c r="N94" s="115">
        <v>0.0</v>
      </c>
      <c r="P94" s="115">
        <v>0.0</v>
      </c>
      <c r="R94" s="115">
        <v>0.0</v>
      </c>
      <c r="T94" s="115">
        <v>1.0</v>
      </c>
      <c r="V94" s="115">
        <v>1.0</v>
      </c>
      <c r="X94" s="115">
        <v>0.0</v>
      </c>
      <c r="Y94" s="28"/>
      <c r="Z94" s="114">
        <v>0.0</v>
      </c>
      <c r="AB94" s="115">
        <v>0.0</v>
      </c>
      <c r="AD94" s="115">
        <v>0.0</v>
      </c>
      <c r="AF94" s="116"/>
      <c r="AH94" s="116"/>
      <c r="AJ94" s="116"/>
      <c r="AK94" s="28"/>
      <c r="AL94" s="117">
        <f t="shared" si="1"/>
        <v>2626.63</v>
      </c>
      <c r="AM94" s="21">
        <f t="shared" si="2"/>
        <v>150</v>
      </c>
      <c r="AN94" s="21">
        <f t="shared" si="3"/>
        <v>2</v>
      </c>
      <c r="AO94" s="21">
        <f t="shared" si="4"/>
        <v>152</v>
      </c>
      <c r="AP94" s="46">
        <f t="shared" si="5"/>
        <v>17.28046053</v>
      </c>
    </row>
    <row r="95">
      <c r="A95" s="48" t="s">
        <v>26</v>
      </c>
      <c r="B95" s="51">
        <f t="shared" si="6"/>
        <v>45748</v>
      </c>
      <c r="C95" s="53">
        <v>4.0</v>
      </c>
      <c r="D95" s="53" t="s">
        <v>32</v>
      </c>
      <c r="E95" s="23" t="s">
        <v>38</v>
      </c>
      <c r="F95" s="114">
        <v>0.0</v>
      </c>
      <c r="H95" s="115">
        <v>0.0</v>
      </c>
      <c r="J95" s="115">
        <v>0.0</v>
      </c>
      <c r="L95" s="114">
        <v>0.0</v>
      </c>
      <c r="N95" s="115">
        <v>0.0</v>
      </c>
      <c r="P95" s="115">
        <v>0.0</v>
      </c>
      <c r="R95" s="115">
        <v>0.0</v>
      </c>
      <c r="T95" s="115">
        <v>0.0</v>
      </c>
      <c r="V95" s="115">
        <v>0.0</v>
      </c>
      <c r="X95" s="115">
        <v>0.0</v>
      </c>
      <c r="Y95" s="28"/>
      <c r="Z95" s="114">
        <v>0.0</v>
      </c>
      <c r="AB95" s="115">
        <v>0.0</v>
      </c>
      <c r="AD95" s="115">
        <v>0.0</v>
      </c>
      <c r="AF95" s="116"/>
      <c r="AH95" s="116"/>
      <c r="AJ95" s="116"/>
      <c r="AK95" s="28"/>
      <c r="AL95" s="118">
        <f t="shared" si="1"/>
        <v>0</v>
      </c>
      <c r="AM95" s="53">
        <f t="shared" si="2"/>
        <v>0</v>
      </c>
      <c r="AN95" s="53">
        <f t="shared" si="3"/>
        <v>0</v>
      </c>
      <c r="AO95" s="53">
        <f t="shared" si="4"/>
        <v>0</v>
      </c>
      <c r="AP95" s="61" t="str">
        <f t="shared" si="5"/>
        <v/>
      </c>
    </row>
    <row r="96">
      <c r="A96" s="48" t="s">
        <v>27</v>
      </c>
      <c r="B96" s="51">
        <f t="shared" si="6"/>
        <v>45749</v>
      </c>
      <c r="C96" s="53">
        <v>4.0</v>
      </c>
      <c r="D96" s="53" t="s">
        <v>32</v>
      </c>
      <c r="E96" s="23" t="s">
        <v>38</v>
      </c>
      <c r="F96" s="114">
        <v>0.0</v>
      </c>
      <c r="H96" s="115">
        <v>0.0</v>
      </c>
      <c r="J96" s="115">
        <v>0.0</v>
      </c>
      <c r="L96" s="114">
        <v>0.0</v>
      </c>
      <c r="N96" s="115">
        <v>0.0</v>
      </c>
      <c r="P96" s="115">
        <v>0.0</v>
      </c>
      <c r="R96" s="115">
        <v>0.0</v>
      </c>
      <c r="T96" s="115">
        <v>0.0</v>
      </c>
      <c r="V96" s="115">
        <v>0.0</v>
      </c>
      <c r="X96" s="115">
        <v>0.0</v>
      </c>
      <c r="Y96" s="28"/>
      <c r="Z96" s="114">
        <v>0.0</v>
      </c>
      <c r="AB96" s="115">
        <v>0.0</v>
      </c>
      <c r="AD96" s="115">
        <v>0.0</v>
      </c>
      <c r="AF96" s="116"/>
      <c r="AH96" s="116"/>
      <c r="AJ96" s="116"/>
      <c r="AK96" s="28"/>
      <c r="AL96" s="118">
        <f t="shared" si="1"/>
        <v>0</v>
      </c>
      <c r="AM96" s="53">
        <f t="shared" si="2"/>
        <v>0</v>
      </c>
      <c r="AN96" s="53">
        <f t="shared" si="3"/>
        <v>0</v>
      </c>
      <c r="AO96" s="53">
        <f t="shared" si="4"/>
        <v>0</v>
      </c>
      <c r="AP96" s="61" t="str">
        <f t="shared" si="5"/>
        <v/>
      </c>
    </row>
    <row r="97">
      <c r="A97" s="48" t="s">
        <v>28</v>
      </c>
      <c r="B97" s="51">
        <f t="shared" si="6"/>
        <v>45750</v>
      </c>
      <c r="C97" s="53">
        <v>4.0</v>
      </c>
      <c r="D97" s="53" t="s">
        <v>32</v>
      </c>
      <c r="E97" s="23" t="s">
        <v>38</v>
      </c>
      <c r="F97" s="114">
        <v>0.0</v>
      </c>
      <c r="H97" s="115">
        <v>0.0</v>
      </c>
      <c r="J97" s="115">
        <v>0.0</v>
      </c>
      <c r="L97" s="114">
        <v>0.0</v>
      </c>
      <c r="N97" s="115">
        <v>0.0</v>
      </c>
      <c r="P97" s="115">
        <v>0.0</v>
      </c>
      <c r="R97" s="115">
        <v>0.0</v>
      </c>
      <c r="T97" s="115">
        <v>0.0</v>
      </c>
      <c r="V97" s="115">
        <v>0.0</v>
      </c>
      <c r="X97" s="115">
        <v>0.0</v>
      </c>
      <c r="Y97" s="28"/>
      <c r="Z97" s="114">
        <v>0.0</v>
      </c>
      <c r="AB97" s="115">
        <v>0.0</v>
      </c>
      <c r="AD97" s="115">
        <v>0.0</v>
      </c>
      <c r="AF97" s="116"/>
      <c r="AH97" s="116"/>
      <c r="AJ97" s="116"/>
      <c r="AK97" s="28"/>
      <c r="AL97" s="118">
        <f t="shared" si="1"/>
        <v>0</v>
      </c>
      <c r="AM97" s="53">
        <f t="shared" si="2"/>
        <v>0</v>
      </c>
      <c r="AN97" s="53">
        <f t="shared" si="3"/>
        <v>0</v>
      </c>
      <c r="AO97" s="53">
        <f t="shared" si="4"/>
        <v>0</v>
      </c>
      <c r="AP97" s="61" t="str">
        <f t="shared" si="5"/>
        <v/>
      </c>
    </row>
    <row r="98">
      <c r="A98" s="48" t="s">
        <v>29</v>
      </c>
      <c r="B98" s="51">
        <f t="shared" si="6"/>
        <v>45751</v>
      </c>
      <c r="C98" s="53">
        <v>4.0</v>
      </c>
      <c r="D98" s="53" t="s">
        <v>32</v>
      </c>
      <c r="E98" s="23" t="s">
        <v>38</v>
      </c>
      <c r="F98" s="114">
        <v>0.0</v>
      </c>
      <c r="H98" s="115">
        <v>0.0</v>
      </c>
      <c r="J98" s="115">
        <v>0.0</v>
      </c>
      <c r="L98" s="114">
        <v>87.0</v>
      </c>
      <c r="N98" s="115">
        <v>87.0</v>
      </c>
      <c r="P98" s="115">
        <v>0.0</v>
      </c>
      <c r="R98" s="115">
        <v>0.0</v>
      </c>
      <c r="T98" s="115">
        <v>0.0</v>
      </c>
      <c r="V98" s="115">
        <v>0.0</v>
      </c>
      <c r="X98" s="115">
        <v>0.0</v>
      </c>
      <c r="Y98" s="28"/>
      <c r="Z98" s="114">
        <v>12.0</v>
      </c>
      <c r="AB98" s="115">
        <v>12.0</v>
      </c>
      <c r="AD98" s="115">
        <v>0.0</v>
      </c>
      <c r="AF98" s="116"/>
      <c r="AH98" s="116"/>
      <c r="AJ98" s="116"/>
      <c r="AK98" s="28"/>
      <c r="AL98" s="118">
        <f t="shared" si="1"/>
        <v>2457.18</v>
      </c>
      <c r="AM98" s="53">
        <f t="shared" si="2"/>
        <v>198</v>
      </c>
      <c r="AN98" s="53">
        <f t="shared" si="3"/>
        <v>0</v>
      </c>
      <c r="AO98" s="53">
        <f t="shared" si="4"/>
        <v>198</v>
      </c>
      <c r="AP98" s="61">
        <f t="shared" si="5"/>
        <v>12.41</v>
      </c>
    </row>
    <row r="99">
      <c r="A99" s="48" t="s">
        <v>30</v>
      </c>
      <c r="B99" s="51">
        <f t="shared" si="6"/>
        <v>45752</v>
      </c>
      <c r="C99" s="53">
        <v>4.0</v>
      </c>
      <c r="D99" s="53" t="s">
        <v>32</v>
      </c>
      <c r="E99" s="23" t="s">
        <v>38</v>
      </c>
      <c r="F99" s="114">
        <v>0.0</v>
      </c>
      <c r="H99" s="115">
        <v>0.0</v>
      </c>
      <c r="J99" s="115">
        <v>0.0</v>
      </c>
      <c r="L99" s="114">
        <v>87.0</v>
      </c>
      <c r="N99" s="115">
        <v>87.0</v>
      </c>
      <c r="P99" s="115">
        <v>0.0</v>
      </c>
      <c r="R99" s="115">
        <v>0.0</v>
      </c>
      <c r="T99" s="115">
        <v>0.0</v>
      </c>
      <c r="V99" s="115">
        <v>0.0</v>
      </c>
      <c r="X99" s="115">
        <v>0.0</v>
      </c>
      <c r="Y99" s="28"/>
      <c r="Z99" s="114">
        <v>12.0</v>
      </c>
      <c r="AB99" s="115">
        <v>12.0</v>
      </c>
      <c r="AD99" s="115">
        <v>0.0</v>
      </c>
      <c r="AF99" s="116"/>
      <c r="AH99" s="116"/>
      <c r="AJ99" s="116"/>
      <c r="AK99" s="28"/>
      <c r="AL99" s="118">
        <f t="shared" si="1"/>
        <v>2457.18</v>
      </c>
      <c r="AM99" s="53">
        <f t="shared" si="2"/>
        <v>198</v>
      </c>
      <c r="AN99" s="53">
        <f t="shared" si="3"/>
        <v>0</v>
      </c>
      <c r="AO99" s="53">
        <f t="shared" si="4"/>
        <v>198</v>
      </c>
      <c r="AP99" s="61">
        <f t="shared" si="5"/>
        <v>12.41</v>
      </c>
    </row>
    <row r="100">
      <c r="A100" s="69" t="s">
        <v>31</v>
      </c>
      <c r="B100" s="70">
        <f t="shared" si="6"/>
        <v>45753</v>
      </c>
      <c r="C100" s="71">
        <v>4.0</v>
      </c>
      <c r="D100" s="71" t="s">
        <v>32</v>
      </c>
      <c r="E100" s="73" t="s">
        <v>38</v>
      </c>
      <c r="F100" s="119">
        <v>0.0</v>
      </c>
      <c r="G100" s="75"/>
      <c r="H100" s="120">
        <v>0.0</v>
      </c>
      <c r="I100" s="75"/>
      <c r="J100" s="120">
        <v>0.0</v>
      </c>
      <c r="K100" s="75"/>
      <c r="L100" s="119">
        <v>0.0</v>
      </c>
      <c r="M100" s="75"/>
      <c r="N100" s="120">
        <v>0.0</v>
      </c>
      <c r="O100" s="75"/>
      <c r="P100" s="120">
        <v>0.0</v>
      </c>
      <c r="Q100" s="75"/>
      <c r="R100" s="120">
        <v>0.0</v>
      </c>
      <c r="S100" s="75"/>
      <c r="T100" s="120">
        <v>0.0</v>
      </c>
      <c r="U100" s="75"/>
      <c r="V100" s="120">
        <v>0.0</v>
      </c>
      <c r="W100" s="75"/>
      <c r="X100" s="120">
        <v>0.0</v>
      </c>
      <c r="Y100" s="77"/>
      <c r="Z100" s="119">
        <v>0.0</v>
      </c>
      <c r="AA100" s="75"/>
      <c r="AB100" s="120">
        <v>0.0</v>
      </c>
      <c r="AC100" s="75"/>
      <c r="AD100" s="120">
        <v>0.0</v>
      </c>
      <c r="AE100" s="75"/>
      <c r="AF100" s="121"/>
      <c r="AG100" s="75"/>
      <c r="AH100" s="121"/>
      <c r="AI100" s="75"/>
      <c r="AJ100" s="121"/>
      <c r="AK100" s="77"/>
      <c r="AL100" s="122">
        <f t="shared" si="1"/>
        <v>0</v>
      </c>
      <c r="AM100" s="71">
        <f t="shared" si="2"/>
        <v>0</v>
      </c>
      <c r="AN100" s="71">
        <f t="shared" si="3"/>
        <v>0</v>
      </c>
      <c r="AO100" s="71">
        <f t="shared" si="4"/>
        <v>0</v>
      </c>
      <c r="AP100" s="80" t="str">
        <f t="shared" si="5"/>
        <v/>
      </c>
    </row>
    <row r="101">
      <c r="A101" s="19" t="s">
        <v>23</v>
      </c>
      <c r="B101" s="81">
        <f t="shared" si="6"/>
        <v>45754</v>
      </c>
      <c r="C101" s="21">
        <v>4.0</v>
      </c>
      <c r="D101" s="21" t="s">
        <v>33</v>
      </c>
      <c r="E101" s="82" t="s">
        <v>38</v>
      </c>
      <c r="F101" s="25">
        <v>0.0</v>
      </c>
      <c r="H101" s="26">
        <v>0.0</v>
      </c>
      <c r="J101" s="26">
        <v>0.0</v>
      </c>
      <c r="L101" s="25">
        <v>87.0</v>
      </c>
      <c r="N101" s="26">
        <v>87.0</v>
      </c>
      <c r="P101" s="26">
        <v>0.0</v>
      </c>
      <c r="R101" s="26">
        <v>0.0</v>
      </c>
      <c r="T101" s="26">
        <v>1.0</v>
      </c>
      <c r="V101" s="26">
        <v>1.0</v>
      </c>
      <c r="X101" s="26">
        <v>0.0</v>
      </c>
      <c r="Y101" s="28"/>
      <c r="Z101" s="25">
        <v>19.0</v>
      </c>
      <c r="AB101" s="26">
        <v>19.0</v>
      </c>
      <c r="AD101" s="26">
        <v>0.0</v>
      </c>
      <c r="AF101" s="30"/>
      <c r="AH101" s="30"/>
      <c r="AJ101" s="30"/>
      <c r="AK101" s="28"/>
      <c r="AL101" s="39">
        <f t="shared" si="1"/>
        <v>3396.05</v>
      </c>
      <c r="AM101" s="21">
        <f t="shared" si="2"/>
        <v>212</v>
      </c>
      <c r="AN101" s="21">
        <f t="shared" si="3"/>
        <v>2</v>
      </c>
      <c r="AO101" s="21">
        <f t="shared" si="4"/>
        <v>214</v>
      </c>
      <c r="AP101" s="46">
        <f t="shared" si="5"/>
        <v>15.86939252</v>
      </c>
    </row>
    <row r="102">
      <c r="A102" s="48" t="s">
        <v>26</v>
      </c>
      <c r="B102" s="51">
        <f t="shared" si="6"/>
        <v>45755</v>
      </c>
      <c r="C102" s="53">
        <v>4.0</v>
      </c>
      <c r="D102" s="53" t="s">
        <v>33</v>
      </c>
      <c r="E102" s="23" t="s">
        <v>38</v>
      </c>
      <c r="F102" s="25">
        <v>0.0</v>
      </c>
      <c r="H102" s="26">
        <v>0.0</v>
      </c>
      <c r="J102" s="26">
        <v>0.0</v>
      </c>
      <c r="L102" s="25">
        <v>87.0</v>
      </c>
      <c r="N102" s="26">
        <v>87.0</v>
      </c>
      <c r="P102" s="26">
        <v>0.0</v>
      </c>
      <c r="R102" s="26">
        <v>0.0</v>
      </c>
      <c r="T102" s="26">
        <v>0.0</v>
      </c>
      <c r="V102" s="26">
        <v>0.0</v>
      </c>
      <c r="X102" s="26">
        <v>0.0</v>
      </c>
      <c r="Y102" s="28"/>
      <c r="Z102" s="25">
        <v>19.0</v>
      </c>
      <c r="AB102" s="26">
        <v>19.0</v>
      </c>
      <c r="AD102" s="26">
        <v>0.0</v>
      </c>
      <c r="AF102" s="30"/>
      <c r="AH102" s="30"/>
      <c r="AJ102" s="30"/>
      <c r="AK102" s="28"/>
      <c r="AL102" s="60">
        <f t="shared" si="1"/>
        <v>2630.92</v>
      </c>
      <c r="AM102" s="53">
        <f t="shared" si="2"/>
        <v>212</v>
      </c>
      <c r="AN102" s="53">
        <f t="shared" si="3"/>
        <v>0</v>
      </c>
      <c r="AO102" s="53">
        <f t="shared" si="4"/>
        <v>212</v>
      </c>
      <c r="AP102" s="61">
        <f t="shared" si="5"/>
        <v>12.41</v>
      </c>
    </row>
    <row r="103">
      <c r="A103" s="48" t="s">
        <v>27</v>
      </c>
      <c r="B103" s="51">
        <f t="shared" si="6"/>
        <v>45756</v>
      </c>
      <c r="C103" s="53">
        <v>4.0</v>
      </c>
      <c r="D103" s="53" t="s">
        <v>33</v>
      </c>
      <c r="E103" s="23" t="s">
        <v>38</v>
      </c>
      <c r="F103" s="25">
        <v>0.0</v>
      </c>
      <c r="H103" s="26">
        <v>0.0</v>
      </c>
      <c r="J103" s="26">
        <v>0.0</v>
      </c>
      <c r="L103" s="25">
        <v>87.0</v>
      </c>
      <c r="N103" s="26">
        <v>87.0</v>
      </c>
      <c r="P103" s="26">
        <v>0.0</v>
      </c>
      <c r="R103" s="26">
        <v>0.0</v>
      </c>
      <c r="T103" s="26">
        <v>0.0</v>
      </c>
      <c r="V103" s="26">
        <v>0.0</v>
      </c>
      <c r="X103" s="26">
        <v>0.0</v>
      </c>
      <c r="Y103" s="28"/>
      <c r="Z103" s="25">
        <v>19.0</v>
      </c>
      <c r="AB103" s="26">
        <v>19.0</v>
      </c>
      <c r="AD103" s="26">
        <v>0.0</v>
      </c>
      <c r="AF103" s="30"/>
      <c r="AH103" s="30"/>
      <c r="AJ103" s="30"/>
      <c r="AK103" s="28"/>
      <c r="AL103" s="60">
        <f t="shared" si="1"/>
        <v>2630.92</v>
      </c>
      <c r="AM103" s="53">
        <f t="shared" si="2"/>
        <v>212</v>
      </c>
      <c r="AN103" s="53">
        <f t="shared" si="3"/>
        <v>0</v>
      </c>
      <c r="AO103" s="53">
        <f t="shared" si="4"/>
        <v>212</v>
      </c>
      <c r="AP103" s="61">
        <f t="shared" si="5"/>
        <v>12.41</v>
      </c>
    </row>
    <row r="104">
      <c r="A104" s="48" t="s">
        <v>28</v>
      </c>
      <c r="B104" s="51">
        <f t="shared" si="6"/>
        <v>45757</v>
      </c>
      <c r="C104" s="53">
        <v>4.0</v>
      </c>
      <c r="D104" s="53" t="s">
        <v>33</v>
      </c>
      <c r="E104" s="23" t="s">
        <v>38</v>
      </c>
      <c r="F104" s="25">
        <v>0.0</v>
      </c>
      <c r="H104" s="26">
        <v>0.0</v>
      </c>
      <c r="J104" s="26">
        <v>0.0</v>
      </c>
      <c r="L104" s="25">
        <v>87.0</v>
      </c>
      <c r="N104" s="26">
        <v>87.0</v>
      </c>
      <c r="P104" s="26">
        <v>0.0</v>
      </c>
      <c r="R104" s="26">
        <v>0.0</v>
      </c>
      <c r="T104" s="26">
        <v>0.0</v>
      </c>
      <c r="V104" s="26">
        <v>0.0</v>
      </c>
      <c r="X104" s="26">
        <v>0.0</v>
      </c>
      <c r="Y104" s="28"/>
      <c r="Z104" s="25">
        <v>19.0</v>
      </c>
      <c r="AB104" s="26">
        <v>19.0</v>
      </c>
      <c r="AD104" s="26">
        <v>0.0</v>
      </c>
      <c r="AF104" s="30"/>
      <c r="AH104" s="30"/>
      <c r="AJ104" s="30"/>
      <c r="AK104" s="28"/>
      <c r="AL104" s="60">
        <f t="shared" si="1"/>
        <v>2630.92</v>
      </c>
      <c r="AM104" s="53">
        <f t="shared" si="2"/>
        <v>212</v>
      </c>
      <c r="AN104" s="53">
        <f t="shared" si="3"/>
        <v>0</v>
      </c>
      <c r="AO104" s="53">
        <f t="shared" si="4"/>
        <v>212</v>
      </c>
      <c r="AP104" s="61">
        <f t="shared" si="5"/>
        <v>12.41</v>
      </c>
    </row>
    <row r="105">
      <c r="A105" s="48" t="s">
        <v>29</v>
      </c>
      <c r="B105" s="51">
        <f t="shared" si="6"/>
        <v>45758</v>
      </c>
      <c r="C105" s="53">
        <v>4.0</v>
      </c>
      <c r="D105" s="53" t="s">
        <v>33</v>
      </c>
      <c r="E105" s="23" t="s">
        <v>38</v>
      </c>
      <c r="F105" s="25">
        <v>0.0</v>
      </c>
      <c r="H105" s="26">
        <v>0.0</v>
      </c>
      <c r="J105" s="26">
        <v>0.0</v>
      </c>
      <c r="L105" s="25">
        <v>87.0</v>
      </c>
      <c r="N105" s="26">
        <v>87.0</v>
      </c>
      <c r="P105" s="26">
        <v>0.0</v>
      </c>
      <c r="R105" s="26">
        <v>0.0</v>
      </c>
      <c r="T105" s="26">
        <v>0.0</v>
      </c>
      <c r="V105" s="26">
        <v>0.0</v>
      </c>
      <c r="X105" s="26">
        <v>0.0</v>
      </c>
      <c r="Y105" s="28"/>
      <c r="Z105" s="25">
        <v>19.0</v>
      </c>
      <c r="AB105" s="26">
        <v>19.0</v>
      </c>
      <c r="AD105" s="26">
        <v>0.0</v>
      </c>
      <c r="AF105" s="30"/>
      <c r="AH105" s="30"/>
      <c r="AJ105" s="30"/>
      <c r="AK105" s="28"/>
      <c r="AL105" s="60">
        <f t="shared" si="1"/>
        <v>2630.92</v>
      </c>
      <c r="AM105" s="53">
        <f t="shared" si="2"/>
        <v>212</v>
      </c>
      <c r="AN105" s="53">
        <f t="shared" si="3"/>
        <v>0</v>
      </c>
      <c r="AO105" s="53">
        <f t="shared" si="4"/>
        <v>212</v>
      </c>
      <c r="AP105" s="61">
        <f t="shared" si="5"/>
        <v>12.41</v>
      </c>
    </row>
    <row r="106">
      <c r="A106" s="48" t="s">
        <v>30</v>
      </c>
      <c r="B106" s="51">
        <f t="shared" si="6"/>
        <v>45759</v>
      </c>
      <c r="C106" s="53">
        <v>4.0</v>
      </c>
      <c r="D106" s="53" t="s">
        <v>33</v>
      </c>
      <c r="E106" s="23" t="s">
        <v>38</v>
      </c>
      <c r="F106" s="25">
        <v>0.0</v>
      </c>
      <c r="H106" s="26">
        <v>0.0</v>
      </c>
      <c r="J106" s="26">
        <v>0.0</v>
      </c>
      <c r="L106" s="25">
        <v>87.0</v>
      </c>
      <c r="N106" s="26">
        <v>87.0</v>
      </c>
      <c r="P106" s="26">
        <v>0.0</v>
      </c>
      <c r="R106" s="26">
        <v>0.0</v>
      </c>
      <c r="T106" s="26">
        <v>0.0</v>
      </c>
      <c r="V106" s="26">
        <v>0.0</v>
      </c>
      <c r="X106" s="26">
        <v>0.0</v>
      </c>
      <c r="Y106" s="28"/>
      <c r="Z106" s="25">
        <v>5.0</v>
      </c>
      <c r="AB106" s="26">
        <v>5.0</v>
      </c>
      <c r="AD106" s="26">
        <v>0.0</v>
      </c>
      <c r="AF106" s="30"/>
      <c r="AH106" s="30"/>
      <c r="AJ106" s="30"/>
      <c r="AK106" s="28"/>
      <c r="AL106" s="60">
        <f t="shared" si="1"/>
        <v>2283.44</v>
      </c>
      <c r="AM106" s="53">
        <f t="shared" si="2"/>
        <v>184</v>
      </c>
      <c r="AN106" s="53">
        <f t="shared" si="3"/>
        <v>0</v>
      </c>
      <c r="AO106" s="53">
        <f t="shared" si="4"/>
        <v>184</v>
      </c>
      <c r="AP106" s="61">
        <f t="shared" si="5"/>
        <v>12.41</v>
      </c>
    </row>
    <row r="107">
      <c r="A107" s="69" t="s">
        <v>31</v>
      </c>
      <c r="B107" s="70">
        <f t="shared" si="6"/>
        <v>45760</v>
      </c>
      <c r="C107" s="71">
        <v>4.0</v>
      </c>
      <c r="D107" s="71" t="s">
        <v>33</v>
      </c>
      <c r="E107" s="73" t="s">
        <v>38</v>
      </c>
      <c r="F107" s="74">
        <v>0.0</v>
      </c>
      <c r="G107" s="75"/>
      <c r="H107" s="76">
        <v>0.0</v>
      </c>
      <c r="I107" s="75"/>
      <c r="J107" s="76">
        <v>0.0</v>
      </c>
      <c r="K107" s="75"/>
      <c r="L107" s="74">
        <v>0.0</v>
      </c>
      <c r="M107" s="75"/>
      <c r="N107" s="76">
        <v>0.0</v>
      </c>
      <c r="O107" s="75"/>
      <c r="P107" s="76">
        <v>0.0</v>
      </c>
      <c r="Q107" s="75"/>
      <c r="R107" s="76">
        <v>0.0</v>
      </c>
      <c r="S107" s="75"/>
      <c r="T107" s="76">
        <v>0.0</v>
      </c>
      <c r="U107" s="75"/>
      <c r="V107" s="76">
        <v>0.0</v>
      </c>
      <c r="W107" s="75"/>
      <c r="X107" s="76">
        <v>0.0</v>
      </c>
      <c r="Y107" s="77"/>
      <c r="Z107" s="74">
        <v>0.0</v>
      </c>
      <c r="AA107" s="75"/>
      <c r="AB107" s="76">
        <v>0.0</v>
      </c>
      <c r="AC107" s="75"/>
      <c r="AD107" s="76">
        <v>0.0</v>
      </c>
      <c r="AE107" s="75"/>
      <c r="AF107" s="78"/>
      <c r="AG107" s="75"/>
      <c r="AH107" s="78"/>
      <c r="AI107" s="75"/>
      <c r="AJ107" s="78"/>
      <c r="AK107" s="77"/>
      <c r="AL107" s="79">
        <f t="shared" si="1"/>
        <v>0</v>
      </c>
      <c r="AM107" s="71">
        <f t="shared" si="2"/>
        <v>0</v>
      </c>
      <c r="AN107" s="71">
        <f t="shared" si="3"/>
        <v>0</v>
      </c>
      <c r="AO107" s="71">
        <f t="shared" si="4"/>
        <v>0</v>
      </c>
      <c r="AP107" s="80" t="str">
        <f t="shared" si="5"/>
        <v/>
      </c>
    </row>
    <row r="108">
      <c r="A108" s="19" t="s">
        <v>23</v>
      </c>
      <c r="B108" s="81">
        <f t="shared" si="6"/>
        <v>45761</v>
      </c>
      <c r="C108" s="21">
        <v>4.0</v>
      </c>
      <c r="D108" s="21" t="s">
        <v>36</v>
      </c>
      <c r="E108" s="82" t="s">
        <v>38</v>
      </c>
      <c r="F108" s="25">
        <v>0.0</v>
      </c>
      <c r="H108" s="26">
        <v>0.0</v>
      </c>
      <c r="J108" s="26">
        <v>0.0</v>
      </c>
      <c r="L108" s="25">
        <v>87.0</v>
      </c>
      <c r="N108" s="25">
        <v>87.0</v>
      </c>
      <c r="P108" s="26">
        <v>0.0</v>
      </c>
      <c r="R108" s="26">
        <v>0.0</v>
      </c>
      <c r="T108" s="26">
        <v>1.0</v>
      </c>
      <c r="V108" s="26">
        <v>1.0</v>
      </c>
      <c r="X108" s="26">
        <v>0.0</v>
      </c>
      <c r="Y108" s="28"/>
      <c r="Z108" s="25">
        <v>19.0</v>
      </c>
      <c r="AB108" s="26">
        <v>19.0</v>
      </c>
      <c r="AD108" s="26">
        <v>0.0</v>
      </c>
      <c r="AF108" s="30"/>
      <c r="AH108" s="30"/>
      <c r="AJ108" s="30"/>
      <c r="AK108" s="28"/>
      <c r="AL108" s="39">
        <f t="shared" si="1"/>
        <v>3396.05</v>
      </c>
      <c r="AM108" s="21">
        <f t="shared" si="2"/>
        <v>212</v>
      </c>
      <c r="AN108" s="21">
        <f t="shared" si="3"/>
        <v>2</v>
      </c>
      <c r="AO108" s="21">
        <f t="shared" si="4"/>
        <v>214</v>
      </c>
      <c r="AP108" s="46">
        <f t="shared" si="5"/>
        <v>15.86939252</v>
      </c>
    </row>
    <row r="109">
      <c r="A109" s="48" t="s">
        <v>26</v>
      </c>
      <c r="B109" s="51">
        <f t="shared" si="6"/>
        <v>45762</v>
      </c>
      <c r="C109" s="53">
        <v>4.0</v>
      </c>
      <c r="D109" s="53" t="s">
        <v>36</v>
      </c>
      <c r="E109" s="23" t="s">
        <v>38</v>
      </c>
      <c r="F109" s="25">
        <v>0.0</v>
      </c>
      <c r="H109" s="26">
        <v>0.0</v>
      </c>
      <c r="J109" s="26">
        <v>0.0</v>
      </c>
      <c r="L109" s="25">
        <v>87.0</v>
      </c>
      <c r="N109" s="25">
        <v>87.0</v>
      </c>
      <c r="P109" s="26">
        <v>0.0</v>
      </c>
      <c r="R109" s="26">
        <v>0.0</v>
      </c>
      <c r="T109" s="26">
        <v>0.0</v>
      </c>
      <c r="V109" s="26">
        <v>0.0</v>
      </c>
      <c r="X109" s="26">
        <v>0.0</v>
      </c>
      <c r="Y109" s="28"/>
      <c r="Z109" s="25">
        <v>19.0</v>
      </c>
      <c r="AB109" s="26">
        <v>19.0</v>
      </c>
      <c r="AD109" s="26">
        <v>0.0</v>
      </c>
      <c r="AF109" s="30"/>
      <c r="AH109" s="30"/>
      <c r="AJ109" s="30"/>
      <c r="AK109" s="28"/>
      <c r="AL109" s="60">
        <f t="shared" si="1"/>
        <v>2630.92</v>
      </c>
      <c r="AM109" s="53">
        <f t="shared" si="2"/>
        <v>212</v>
      </c>
      <c r="AN109" s="53">
        <f t="shared" si="3"/>
        <v>0</v>
      </c>
      <c r="AO109" s="53">
        <f t="shared" si="4"/>
        <v>212</v>
      </c>
      <c r="AP109" s="61">
        <f t="shared" si="5"/>
        <v>12.41</v>
      </c>
    </row>
    <row r="110">
      <c r="A110" s="48" t="s">
        <v>27</v>
      </c>
      <c r="B110" s="51">
        <f t="shared" si="6"/>
        <v>45763</v>
      </c>
      <c r="C110" s="53">
        <v>4.0</v>
      </c>
      <c r="D110" s="53" t="s">
        <v>36</v>
      </c>
      <c r="E110" s="23" t="s">
        <v>38</v>
      </c>
      <c r="F110" s="25">
        <v>0.0</v>
      </c>
      <c r="H110" s="26">
        <v>0.0</v>
      </c>
      <c r="J110" s="26">
        <v>0.0</v>
      </c>
      <c r="L110" s="25">
        <v>87.0</v>
      </c>
      <c r="N110" s="25">
        <v>87.0</v>
      </c>
      <c r="P110" s="26">
        <v>0.0</v>
      </c>
      <c r="R110" s="26">
        <v>0.0</v>
      </c>
      <c r="T110" s="26">
        <v>0.0</v>
      </c>
      <c r="V110" s="26">
        <v>0.0</v>
      </c>
      <c r="X110" s="26">
        <v>0.0</v>
      </c>
      <c r="Y110" s="28"/>
      <c r="Z110" s="25">
        <v>19.0</v>
      </c>
      <c r="AB110" s="26">
        <v>19.0</v>
      </c>
      <c r="AD110" s="26">
        <v>0.0</v>
      </c>
      <c r="AF110" s="30"/>
      <c r="AH110" s="30"/>
      <c r="AJ110" s="30"/>
      <c r="AK110" s="28"/>
      <c r="AL110" s="60">
        <f t="shared" si="1"/>
        <v>2630.92</v>
      </c>
      <c r="AM110" s="53">
        <f t="shared" si="2"/>
        <v>212</v>
      </c>
      <c r="AN110" s="53">
        <f t="shared" si="3"/>
        <v>0</v>
      </c>
      <c r="AO110" s="53">
        <f t="shared" si="4"/>
        <v>212</v>
      </c>
      <c r="AP110" s="61">
        <f t="shared" si="5"/>
        <v>12.41</v>
      </c>
    </row>
    <row r="111">
      <c r="A111" s="48" t="s">
        <v>28</v>
      </c>
      <c r="B111" s="51">
        <f t="shared" si="6"/>
        <v>45764</v>
      </c>
      <c r="C111" s="53">
        <v>4.0</v>
      </c>
      <c r="D111" s="53" t="s">
        <v>36</v>
      </c>
      <c r="E111" s="23" t="s">
        <v>38</v>
      </c>
      <c r="F111" s="25">
        <v>0.0</v>
      </c>
      <c r="H111" s="26">
        <v>0.0</v>
      </c>
      <c r="J111" s="26">
        <v>0.0</v>
      </c>
      <c r="L111" s="25">
        <v>87.0</v>
      </c>
      <c r="N111" s="25">
        <v>87.0</v>
      </c>
      <c r="P111" s="26">
        <v>0.0</v>
      </c>
      <c r="R111" s="26">
        <v>0.0</v>
      </c>
      <c r="T111" s="26">
        <v>0.0</v>
      </c>
      <c r="V111" s="26">
        <v>0.0</v>
      </c>
      <c r="X111" s="26">
        <v>0.0</v>
      </c>
      <c r="Y111" s="28"/>
      <c r="Z111" s="25">
        <v>19.0</v>
      </c>
      <c r="AB111" s="26">
        <v>19.0</v>
      </c>
      <c r="AD111" s="26">
        <v>0.0</v>
      </c>
      <c r="AF111" s="30"/>
      <c r="AH111" s="30"/>
      <c r="AJ111" s="30"/>
      <c r="AK111" s="28"/>
      <c r="AL111" s="60">
        <f t="shared" si="1"/>
        <v>2630.92</v>
      </c>
      <c r="AM111" s="53">
        <f t="shared" si="2"/>
        <v>212</v>
      </c>
      <c r="AN111" s="53">
        <f t="shared" si="3"/>
        <v>0</v>
      </c>
      <c r="AO111" s="53">
        <f t="shared" si="4"/>
        <v>212</v>
      </c>
      <c r="AP111" s="61">
        <f t="shared" si="5"/>
        <v>12.41</v>
      </c>
    </row>
    <row r="112">
      <c r="A112" s="48" t="s">
        <v>29</v>
      </c>
      <c r="B112" s="51">
        <f t="shared" si="6"/>
        <v>45765</v>
      </c>
      <c r="C112" s="53">
        <v>4.0</v>
      </c>
      <c r="D112" s="53" t="s">
        <v>36</v>
      </c>
      <c r="E112" s="23" t="s">
        <v>38</v>
      </c>
      <c r="F112" s="25">
        <v>0.0</v>
      </c>
      <c r="H112" s="26">
        <v>0.0</v>
      </c>
      <c r="J112" s="26">
        <v>0.0</v>
      </c>
      <c r="L112" s="25">
        <v>87.0</v>
      </c>
      <c r="N112" s="25">
        <v>87.0</v>
      </c>
      <c r="P112" s="26">
        <v>0.0</v>
      </c>
      <c r="R112" s="26">
        <v>0.0</v>
      </c>
      <c r="T112" s="26">
        <v>0.0</v>
      </c>
      <c r="V112" s="26">
        <v>0.0</v>
      </c>
      <c r="X112" s="26">
        <v>0.0</v>
      </c>
      <c r="Y112" s="28"/>
      <c r="Z112" s="25">
        <v>19.0</v>
      </c>
      <c r="AB112" s="26">
        <v>19.0</v>
      </c>
      <c r="AD112" s="26">
        <v>0.0</v>
      </c>
      <c r="AF112" s="30"/>
      <c r="AH112" s="30"/>
      <c r="AJ112" s="30"/>
      <c r="AK112" s="28"/>
      <c r="AL112" s="60">
        <f t="shared" si="1"/>
        <v>2630.92</v>
      </c>
      <c r="AM112" s="53">
        <f t="shared" si="2"/>
        <v>212</v>
      </c>
      <c r="AN112" s="53">
        <f t="shared" si="3"/>
        <v>0</v>
      </c>
      <c r="AO112" s="53">
        <f t="shared" si="4"/>
        <v>212</v>
      </c>
      <c r="AP112" s="61">
        <f t="shared" si="5"/>
        <v>12.41</v>
      </c>
    </row>
    <row r="113">
      <c r="A113" s="48" t="s">
        <v>30</v>
      </c>
      <c r="B113" s="51">
        <f t="shared" si="6"/>
        <v>45766</v>
      </c>
      <c r="C113" s="53">
        <v>4.0</v>
      </c>
      <c r="D113" s="53" t="s">
        <v>36</v>
      </c>
      <c r="E113" s="23" t="s">
        <v>38</v>
      </c>
      <c r="F113" s="25">
        <v>0.0</v>
      </c>
      <c r="H113" s="26">
        <v>0.0</v>
      </c>
      <c r="J113" s="26">
        <v>0.0</v>
      </c>
      <c r="L113" s="25">
        <v>87.0</v>
      </c>
      <c r="N113" s="25">
        <v>87.0</v>
      </c>
      <c r="P113" s="26">
        <v>0.0</v>
      </c>
      <c r="R113" s="26">
        <v>0.0</v>
      </c>
      <c r="T113" s="26">
        <v>0.0</v>
      </c>
      <c r="V113" s="26">
        <v>0.0</v>
      </c>
      <c r="X113" s="26">
        <v>0.0</v>
      </c>
      <c r="Y113" s="28"/>
      <c r="Z113" s="25">
        <v>15.0</v>
      </c>
      <c r="AB113" s="26">
        <v>15.0</v>
      </c>
      <c r="AD113" s="26">
        <v>0.0</v>
      </c>
      <c r="AF113" s="30"/>
      <c r="AH113" s="30"/>
      <c r="AJ113" s="30"/>
      <c r="AK113" s="28"/>
      <c r="AL113" s="60">
        <f t="shared" si="1"/>
        <v>2531.64</v>
      </c>
      <c r="AM113" s="53">
        <f t="shared" si="2"/>
        <v>204</v>
      </c>
      <c r="AN113" s="53">
        <f t="shared" si="3"/>
        <v>0</v>
      </c>
      <c r="AO113" s="53">
        <f t="shared" si="4"/>
        <v>204</v>
      </c>
      <c r="AP113" s="61">
        <f t="shared" si="5"/>
        <v>12.41</v>
      </c>
    </row>
    <row r="114">
      <c r="A114" s="69" t="s">
        <v>31</v>
      </c>
      <c r="B114" s="70">
        <f t="shared" si="6"/>
        <v>45767</v>
      </c>
      <c r="C114" s="71">
        <v>4.0</v>
      </c>
      <c r="D114" s="71" t="s">
        <v>36</v>
      </c>
      <c r="E114" s="73" t="s">
        <v>38</v>
      </c>
      <c r="F114" s="74">
        <v>0.0</v>
      </c>
      <c r="G114" s="75"/>
      <c r="H114" s="76">
        <v>0.0</v>
      </c>
      <c r="I114" s="75"/>
      <c r="J114" s="76">
        <v>0.0</v>
      </c>
      <c r="K114" s="75"/>
      <c r="L114" s="74">
        <v>0.0</v>
      </c>
      <c r="M114" s="75"/>
      <c r="N114" s="76">
        <v>0.0</v>
      </c>
      <c r="O114" s="75"/>
      <c r="P114" s="76">
        <v>0.0</v>
      </c>
      <c r="Q114" s="75"/>
      <c r="R114" s="76">
        <v>0.0</v>
      </c>
      <c r="S114" s="75"/>
      <c r="T114" s="76">
        <v>0.0</v>
      </c>
      <c r="U114" s="75"/>
      <c r="V114" s="76">
        <v>0.0</v>
      </c>
      <c r="W114" s="75"/>
      <c r="X114" s="76">
        <v>0.0</v>
      </c>
      <c r="Y114" s="77"/>
      <c r="Z114" s="74">
        <v>0.0</v>
      </c>
      <c r="AA114" s="75"/>
      <c r="AB114" s="76">
        <v>0.0</v>
      </c>
      <c r="AC114" s="75"/>
      <c r="AD114" s="76">
        <v>0.0</v>
      </c>
      <c r="AE114" s="75"/>
      <c r="AF114" s="78"/>
      <c r="AG114" s="75"/>
      <c r="AH114" s="78"/>
      <c r="AI114" s="75"/>
      <c r="AJ114" s="78"/>
      <c r="AK114" s="77"/>
      <c r="AL114" s="79">
        <f t="shared" si="1"/>
        <v>0</v>
      </c>
      <c r="AM114" s="71">
        <f t="shared" si="2"/>
        <v>0</v>
      </c>
      <c r="AN114" s="71">
        <f t="shared" si="3"/>
        <v>0</v>
      </c>
      <c r="AO114" s="71">
        <f t="shared" si="4"/>
        <v>0</v>
      </c>
      <c r="AP114" s="80" t="str">
        <f t="shared" si="5"/>
        <v/>
      </c>
    </row>
    <row r="115">
      <c r="A115" s="19" t="s">
        <v>23</v>
      </c>
      <c r="B115" s="81">
        <f t="shared" si="6"/>
        <v>45768</v>
      </c>
      <c r="C115" s="21">
        <v>5.0</v>
      </c>
      <c r="D115" s="21" t="s">
        <v>24</v>
      </c>
      <c r="E115" s="82" t="s">
        <v>38</v>
      </c>
      <c r="F115" s="25">
        <v>0.0</v>
      </c>
      <c r="H115" s="26">
        <v>0.0</v>
      </c>
      <c r="J115" s="26">
        <v>0.0</v>
      </c>
      <c r="L115" s="25">
        <v>87.0</v>
      </c>
      <c r="N115" s="26">
        <v>87.0</v>
      </c>
      <c r="P115" s="26">
        <v>0.0</v>
      </c>
      <c r="R115" s="26">
        <v>0.0</v>
      </c>
      <c r="T115" s="26">
        <v>1.0</v>
      </c>
      <c r="V115" s="26">
        <v>1.0</v>
      </c>
      <c r="X115" s="26">
        <v>0.0</v>
      </c>
      <c r="Y115" s="28"/>
      <c r="Z115" s="25">
        <v>19.0</v>
      </c>
      <c r="AB115" s="26">
        <v>19.0</v>
      </c>
      <c r="AD115" s="26">
        <v>0.0</v>
      </c>
      <c r="AF115" s="30"/>
      <c r="AH115" s="30"/>
      <c r="AJ115" s="30"/>
      <c r="AK115" s="28"/>
      <c r="AL115" s="39">
        <f t="shared" si="1"/>
        <v>3396.05</v>
      </c>
      <c r="AM115" s="21">
        <f t="shared" si="2"/>
        <v>212</v>
      </c>
      <c r="AN115" s="21">
        <f t="shared" si="3"/>
        <v>2</v>
      </c>
      <c r="AO115" s="21">
        <f t="shared" si="4"/>
        <v>214</v>
      </c>
      <c r="AP115" s="46">
        <f t="shared" si="5"/>
        <v>15.86939252</v>
      </c>
    </row>
    <row r="116">
      <c r="A116" s="48" t="s">
        <v>26</v>
      </c>
      <c r="B116" s="51">
        <f t="shared" si="6"/>
        <v>45769</v>
      </c>
      <c r="C116" s="53">
        <v>5.0</v>
      </c>
      <c r="D116" s="53" t="s">
        <v>24</v>
      </c>
      <c r="E116" s="23" t="s">
        <v>38</v>
      </c>
      <c r="F116" s="25">
        <v>0.0</v>
      </c>
      <c r="H116" s="26">
        <v>0.0</v>
      </c>
      <c r="J116" s="26">
        <v>0.0</v>
      </c>
      <c r="L116" s="25">
        <v>87.0</v>
      </c>
      <c r="N116" s="26">
        <v>87.0</v>
      </c>
      <c r="P116" s="26">
        <v>0.0</v>
      </c>
      <c r="R116" s="26">
        <v>0.0</v>
      </c>
      <c r="T116" s="26">
        <v>0.0</v>
      </c>
      <c r="V116" s="26">
        <v>0.0</v>
      </c>
      <c r="X116" s="26">
        <v>0.0</v>
      </c>
      <c r="Y116" s="28"/>
      <c r="Z116" s="25">
        <v>19.0</v>
      </c>
      <c r="AB116" s="26">
        <v>19.0</v>
      </c>
      <c r="AD116" s="26">
        <v>0.0</v>
      </c>
      <c r="AF116" s="30"/>
      <c r="AH116" s="30"/>
      <c r="AJ116" s="30"/>
      <c r="AK116" s="28"/>
      <c r="AL116" s="60">
        <f t="shared" si="1"/>
        <v>2630.92</v>
      </c>
      <c r="AM116" s="53">
        <f t="shared" si="2"/>
        <v>212</v>
      </c>
      <c r="AN116" s="53">
        <f t="shared" si="3"/>
        <v>0</v>
      </c>
      <c r="AO116" s="53">
        <f t="shared" si="4"/>
        <v>212</v>
      </c>
      <c r="AP116" s="61">
        <f t="shared" si="5"/>
        <v>12.41</v>
      </c>
    </row>
    <row r="117">
      <c r="A117" s="48" t="s">
        <v>27</v>
      </c>
      <c r="B117" s="51">
        <f t="shared" si="6"/>
        <v>45770</v>
      </c>
      <c r="C117" s="53">
        <v>5.0</v>
      </c>
      <c r="D117" s="53" t="s">
        <v>24</v>
      </c>
      <c r="E117" s="23" t="s">
        <v>38</v>
      </c>
      <c r="F117" s="25">
        <v>0.0</v>
      </c>
      <c r="H117" s="26">
        <v>0.0</v>
      </c>
      <c r="J117" s="26">
        <v>0.0</v>
      </c>
      <c r="L117" s="25">
        <v>87.0</v>
      </c>
      <c r="N117" s="26">
        <v>87.0</v>
      </c>
      <c r="P117" s="26">
        <v>0.0</v>
      </c>
      <c r="R117" s="26">
        <v>0.0</v>
      </c>
      <c r="T117" s="26">
        <v>0.0</v>
      </c>
      <c r="V117" s="26">
        <v>0.0</v>
      </c>
      <c r="X117" s="26">
        <v>0.0</v>
      </c>
      <c r="Y117" s="28"/>
      <c r="Z117" s="25">
        <v>19.0</v>
      </c>
      <c r="AB117" s="26">
        <v>19.0</v>
      </c>
      <c r="AD117" s="26">
        <v>0.0</v>
      </c>
      <c r="AF117" s="30"/>
      <c r="AH117" s="30"/>
      <c r="AJ117" s="30"/>
      <c r="AK117" s="28"/>
      <c r="AL117" s="60">
        <f t="shared" si="1"/>
        <v>2630.92</v>
      </c>
      <c r="AM117" s="53">
        <f t="shared" si="2"/>
        <v>212</v>
      </c>
      <c r="AN117" s="53">
        <f t="shared" si="3"/>
        <v>0</v>
      </c>
      <c r="AO117" s="53">
        <f t="shared" si="4"/>
        <v>212</v>
      </c>
      <c r="AP117" s="61">
        <f t="shared" si="5"/>
        <v>12.41</v>
      </c>
    </row>
    <row r="118">
      <c r="A118" s="48" t="s">
        <v>28</v>
      </c>
      <c r="B118" s="51">
        <f t="shared" si="6"/>
        <v>45771</v>
      </c>
      <c r="C118" s="53">
        <v>5.0</v>
      </c>
      <c r="D118" s="53" t="s">
        <v>24</v>
      </c>
      <c r="E118" s="23" t="s">
        <v>38</v>
      </c>
      <c r="F118" s="25">
        <v>0.0</v>
      </c>
      <c r="H118" s="26">
        <v>0.0</v>
      </c>
      <c r="J118" s="26">
        <v>0.0</v>
      </c>
      <c r="L118" s="25">
        <v>87.0</v>
      </c>
      <c r="N118" s="26">
        <v>87.0</v>
      </c>
      <c r="P118" s="26">
        <v>0.0</v>
      </c>
      <c r="R118" s="26">
        <v>0.0</v>
      </c>
      <c r="T118" s="26">
        <v>0.0</v>
      </c>
      <c r="V118" s="26">
        <v>0.0</v>
      </c>
      <c r="X118" s="26">
        <v>0.0</v>
      </c>
      <c r="Y118" s="28"/>
      <c r="Z118" s="25">
        <v>19.0</v>
      </c>
      <c r="AB118" s="26">
        <v>19.0</v>
      </c>
      <c r="AD118" s="26">
        <v>0.0</v>
      </c>
      <c r="AF118" s="30"/>
      <c r="AH118" s="30"/>
      <c r="AJ118" s="30"/>
      <c r="AK118" s="28"/>
      <c r="AL118" s="60">
        <f t="shared" si="1"/>
        <v>2630.92</v>
      </c>
      <c r="AM118" s="53">
        <f t="shared" si="2"/>
        <v>212</v>
      </c>
      <c r="AN118" s="53">
        <f t="shared" si="3"/>
        <v>0</v>
      </c>
      <c r="AO118" s="53">
        <f t="shared" si="4"/>
        <v>212</v>
      </c>
      <c r="AP118" s="61">
        <f t="shared" si="5"/>
        <v>12.41</v>
      </c>
    </row>
    <row r="119">
      <c r="A119" s="48" t="s">
        <v>29</v>
      </c>
      <c r="B119" s="51">
        <f t="shared" si="6"/>
        <v>45772</v>
      </c>
      <c r="C119" s="53">
        <v>5.0</v>
      </c>
      <c r="D119" s="53" t="s">
        <v>24</v>
      </c>
      <c r="E119" s="23" t="s">
        <v>38</v>
      </c>
      <c r="F119" s="25">
        <v>0.0</v>
      </c>
      <c r="H119" s="26">
        <v>0.0</v>
      </c>
      <c r="J119" s="26">
        <v>0.0</v>
      </c>
      <c r="L119" s="25">
        <v>87.0</v>
      </c>
      <c r="N119" s="26">
        <v>87.0</v>
      </c>
      <c r="P119" s="26">
        <v>0.0</v>
      </c>
      <c r="R119" s="26">
        <v>0.0</v>
      </c>
      <c r="T119" s="26">
        <v>0.0</v>
      </c>
      <c r="V119" s="26">
        <v>0.0</v>
      </c>
      <c r="X119" s="26">
        <v>0.0</v>
      </c>
      <c r="Y119" s="28"/>
      <c r="Z119" s="25">
        <v>19.0</v>
      </c>
      <c r="AB119" s="26">
        <v>19.0</v>
      </c>
      <c r="AD119" s="26">
        <v>0.0</v>
      </c>
      <c r="AF119" s="30"/>
      <c r="AH119" s="30"/>
      <c r="AJ119" s="30"/>
      <c r="AK119" s="28"/>
      <c r="AL119" s="60">
        <f t="shared" si="1"/>
        <v>2630.92</v>
      </c>
      <c r="AM119" s="53">
        <f t="shared" si="2"/>
        <v>212</v>
      </c>
      <c r="AN119" s="53">
        <f t="shared" si="3"/>
        <v>0</v>
      </c>
      <c r="AO119" s="53">
        <f t="shared" si="4"/>
        <v>212</v>
      </c>
      <c r="AP119" s="61">
        <f t="shared" si="5"/>
        <v>12.41</v>
      </c>
    </row>
    <row r="120">
      <c r="A120" s="48" t="s">
        <v>30</v>
      </c>
      <c r="B120" s="51">
        <f t="shared" si="6"/>
        <v>45773</v>
      </c>
      <c r="C120" s="53">
        <v>5.0</v>
      </c>
      <c r="D120" s="53" t="s">
        <v>24</v>
      </c>
      <c r="E120" s="23" t="s">
        <v>38</v>
      </c>
      <c r="F120" s="25">
        <v>0.0</v>
      </c>
      <c r="H120" s="26">
        <v>0.0</v>
      </c>
      <c r="J120" s="26">
        <v>0.0</v>
      </c>
      <c r="L120" s="25">
        <v>87.0</v>
      </c>
      <c r="N120" s="26">
        <v>87.0</v>
      </c>
      <c r="P120" s="26">
        <v>0.0</v>
      </c>
      <c r="R120" s="26">
        <v>0.0</v>
      </c>
      <c r="T120" s="26">
        <v>0.0</v>
      </c>
      <c r="V120" s="26">
        <v>0.0</v>
      </c>
      <c r="X120" s="26">
        <v>0.0</v>
      </c>
      <c r="Y120" s="28"/>
      <c r="Z120" s="25">
        <v>15.0</v>
      </c>
      <c r="AB120" s="26">
        <v>15.0</v>
      </c>
      <c r="AD120" s="26">
        <v>0.0</v>
      </c>
      <c r="AF120" s="30"/>
      <c r="AH120" s="30"/>
      <c r="AJ120" s="30"/>
      <c r="AK120" s="28"/>
      <c r="AL120" s="60">
        <f t="shared" si="1"/>
        <v>2531.64</v>
      </c>
      <c r="AM120" s="53">
        <f t="shared" si="2"/>
        <v>204</v>
      </c>
      <c r="AN120" s="53">
        <f t="shared" si="3"/>
        <v>0</v>
      </c>
      <c r="AO120" s="53">
        <f t="shared" si="4"/>
        <v>204</v>
      </c>
      <c r="AP120" s="61">
        <f t="shared" si="5"/>
        <v>12.41</v>
      </c>
    </row>
    <row r="121">
      <c r="A121" s="69" t="s">
        <v>31</v>
      </c>
      <c r="B121" s="70">
        <f t="shared" si="6"/>
        <v>45774</v>
      </c>
      <c r="C121" s="71">
        <v>5.0</v>
      </c>
      <c r="D121" s="71" t="s">
        <v>24</v>
      </c>
      <c r="E121" s="73" t="s">
        <v>38</v>
      </c>
      <c r="F121" s="74">
        <v>0.0</v>
      </c>
      <c r="G121" s="75"/>
      <c r="H121" s="76">
        <v>0.0</v>
      </c>
      <c r="I121" s="75"/>
      <c r="J121" s="76">
        <v>0.0</v>
      </c>
      <c r="K121" s="75"/>
      <c r="L121" s="74">
        <v>0.0</v>
      </c>
      <c r="M121" s="75"/>
      <c r="N121" s="76">
        <v>0.0</v>
      </c>
      <c r="O121" s="75"/>
      <c r="P121" s="76">
        <v>0.0</v>
      </c>
      <c r="Q121" s="75"/>
      <c r="R121" s="76">
        <v>0.0</v>
      </c>
      <c r="S121" s="75"/>
      <c r="T121" s="76">
        <v>0.0</v>
      </c>
      <c r="U121" s="75"/>
      <c r="V121" s="76">
        <v>0.0</v>
      </c>
      <c r="W121" s="75"/>
      <c r="X121" s="76">
        <v>0.0</v>
      </c>
      <c r="Y121" s="77"/>
      <c r="Z121" s="74">
        <v>0.0</v>
      </c>
      <c r="AA121" s="75"/>
      <c r="AB121" s="76">
        <v>0.0</v>
      </c>
      <c r="AC121" s="75"/>
      <c r="AD121" s="76">
        <v>0.0</v>
      </c>
      <c r="AE121" s="75"/>
      <c r="AF121" s="78"/>
      <c r="AG121" s="75"/>
      <c r="AH121" s="78"/>
      <c r="AI121" s="75"/>
      <c r="AJ121" s="78"/>
      <c r="AK121" s="77"/>
      <c r="AL121" s="79">
        <f t="shared" si="1"/>
        <v>0</v>
      </c>
      <c r="AM121" s="71">
        <f t="shared" si="2"/>
        <v>0</v>
      </c>
      <c r="AN121" s="71">
        <f t="shared" si="3"/>
        <v>0</v>
      </c>
      <c r="AO121" s="71">
        <f t="shared" si="4"/>
        <v>0</v>
      </c>
      <c r="AP121" s="80" t="str">
        <f t="shared" si="5"/>
        <v/>
      </c>
    </row>
    <row r="122">
      <c r="A122" s="19" t="s">
        <v>23</v>
      </c>
      <c r="B122" s="81">
        <f t="shared" si="6"/>
        <v>45775</v>
      </c>
      <c r="C122" s="21">
        <v>5.0</v>
      </c>
      <c r="D122" s="21" t="s">
        <v>32</v>
      </c>
      <c r="E122" s="82" t="s">
        <v>38</v>
      </c>
      <c r="F122" s="25">
        <v>0.0</v>
      </c>
      <c r="H122" s="26">
        <v>0.0</v>
      </c>
      <c r="J122" s="26">
        <v>0.0</v>
      </c>
      <c r="L122" s="25">
        <v>87.0</v>
      </c>
      <c r="N122" s="26">
        <v>87.0</v>
      </c>
      <c r="P122" s="26">
        <v>0.0</v>
      </c>
      <c r="R122" s="26">
        <v>0.0</v>
      </c>
      <c r="T122" s="26">
        <v>1.0</v>
      </c>
      <c r="V122" s="26">
        <v>1.0</v>
      </c>
      <c r="X122" s="26">
        <v>0.0</v>
      </c>
      <c r="Y122" s="28"/>
      <c r="Z122" s="25">
        <v>20.0</v>
      </c>
      <c r="AB122" s="26">
        <v>20.0</v>
      </c>
      <c r="AD122" s="26">
        <v>0.0</v>
      </c>
      <c r="AF122" s="128"/>
      <c r="AH122" s="128"/>
      <c r="AJ122" s="128"/>
      <c r="AK122" s="28"/>
      <c r="AL122" s="129">
        <f t="shared" si="1"/>
        <v>3420.87</v>
      </c>
      <c r="AM122" s="21">
        <f t="shared" si="2"/>
        <v>214</v>
      </c>
      <c r="AN122" s="21">
        <f t="shared" si="3"/>
        <v>2</v>
      </c>
      <c r="AO122" s="21">
        <f t="shared" si="4"/>
        <v>216</v>
      </c>
      <c r="AP122" s="46">
        <f t="shared" si="5"/>
        <v>15.83736111</v>
      </c>
    </row>
    <row r="123">
      <c r="A123" s="48" t="s">
        <v>26</v>
      </c>
      <c r="B123" s="51">
        <f t="shared" si="6"/>
        <v>45776</v>
      </c>
      <c r="C123" s="53">
        <v>5.0</v>
      </c>
      <c r="D123" s="53" t="s">
        <v>32</v>
      </c>
      <c r="E123" s="23" t="s">
        <v>38</v>
      </c>
      <c r="F123" s="25">
        <v>0.0</v>
      </c>
      <c r="H123" s="26">
        <v>0.0</v>
      </c>
      <c r="J123" s="26">
        <v>0.0</v>
      </c>
      <c r="L123" s="25">
        <v>0.0</v>
      </c>
      <c r="N123" s="26">
        <v>87.0</v>
      </c>
      <c r="P123" s="26">
        <v>80.0</v>
      </c>
      <c r="R123" s="26">
        <v>50.0</v>
      </c>
      <c r="T123" s="26">
        <v>0.0</v>
      </c>
      <c r="V123" s="26">
        <v>0.0</v>
      </c>
      <c r="X123" s="26">
        <v>35.0</v>
      </c>
      <c r="Y123" s="28"/>
      <c r="Z123" s="25">
        <v>0.0</v>
      </c>
      <c r="AB123" s="26">
        <v>20.0</v>
      </c>
      <c r="AD123" s="26">
        <v>0.0</v>
      </c>
      <c r="AF123" s="128"/>
      <c r="AH123" s="128"/>
      <c r="AJ123" s="128"/>
      <c r="AK123" s="28"/>
      <c r="AL123" s="130">
        <f t="shared" si="1"/>
        <v>2781.37</v>
      </c>
      <c r="AM123" s="53">
        <f t="shared" si="2"/>
        <v>272</v>
      </c>
      <c r="AN123" s="53">
        <f t="shared" si="3"/>
        <v>0</v>
      </c>
      <c r="AO123" s="53">
        <f t="shared" si="4"/>
        <v>272</v>
      </c>
      <c r="AP123" s="61">
        <f t="shared" si="5"/>
        <v>10.225625</v>
      </c>
    </row>
    <row r="124">
      <c r="A124" s="48" t="s">
        <v>27</v>
      </c>
      <c r="B124" s="51">
        <f t="shared" si="6"/>
        <v>45777</v>
      </c>
      <c r="C124" s="53">
        <v>5.0</v>
      </c>
      <c r="D124" s="53" t="s">
        <v>32</v>
      </c>
      <c r="E124" s="23" t="s">
        <v>38</v>
      </c>
      <c r="F124" s="25">
        <v>0.0</v>
      </c>
      <c r="H124" s="26">
        <v>0.0</v>
      </c>
      <c r="J124" s="26">
        <v>0.0</v>
      </c>
      <c r="L124" s="25">
        <v>87.0</v>
      </c>
      <c r="N124" s="26">
        <v>87.0</v>
      </c>
      <c r="P124" s="26">
        <v>0.0</v>
      </c>
      <c r="R124" s="26">
        <v>0.0</v>
      </c>
      <c r="T124" s="26">
        <v>0.0</v>
      </c>
      <c r="V124" s="26">
        <v>0.0</v>
      </c>
      <c r="X124" s="26">
        <v>0.0</v>
      </c>
      <c r="Y124" s="28"/>
      <c r="Z124" s="25">
        <v>20.0</v>
      </c>
      <c r="AB124" s="26">
        <v>20.0</v>
      </c>
      <c r="AD124" s="26">
        <v>0.0</v>
      </c>
      <c r="AF124" s="128"/>
      <c r="AH124" s="128"/>
      <c r="AJ124" s="128"/>
      <c r="AK124" s="28"/>
      <c r="AL124" s="130">
        <f t="shared" si="1"/>
        <v>2655.74</v>
      </c>
      <c r="AM124" s="53">
        <f t="shared" si="2"/>
        <v>214</v>
      </c>
      <c r="AN124" s="53">
        <f t="shared" si="3"/>
        <v>0</v>
      </c>
      <c r="AO124" s="53">
        <f t="shared" si="4"/>
        <v>214</v>
      </c>
      <c r="AP124" s="61">
        <f t="shared" si="5"/>
        <v>12.41</v>
      </c>
    </row>
    <row r="125">
      <c r="A125" s="48" t="s">
        <v>28</v>
      </c>
      <c r="B125" s="51">
        <f t="shared" si="6"/>
        <v>45778</v>
      </c>
      <c r="C125" s="53">
        <v>5.0</v>
      </c>
      <c r="D125" s="53" t="s">
        <v>32</v>
      </c>
      <c r="E125" s="23" t="s">
        <v>38</v>
      </c>
      <c r="F125" s="25">
        <v>0.0</v>
      </c>
      <c r="H125" s="26">
        <v>0.0</v>
      </c>
      <c r="J125" s="26">
        <v>0.0</v>
      </c>
      <c r="L125" s="25">
        <v>0.0</v>
      </c>
      <c r="N125" s="26">
        <v>87.0</v>
      </c>
      <c r="P125" s="26">
        <v>80.0</v>
      </c>
      <c r="R125" s="26">
        <v>50.0</v>
      </c>
      <c r="T125" s="26">
        <v>0.0</v>
      </c>
      <c r="V125" s="26">
        <v>0.0</v>
      </c>
      <c r="X125" s="26">
        <v>45.0</v>
      </c>
      <c r="Y125" s="28"/>
      <c r="Z125" s="25">
        <v>0.0</v>
      </c>
      <c r="AB125" s="26">
        <v>20.0</v>
      </c>
      <c r="AD125" s="26">
        <v>0.0</v>
      </c>
      <c r="AF125" s="128"/>
      <c r="AH125" s="128"/>
      <c r="AJ125" s="128"/>
      <c r="AK125" s="28"/>
      <c r="AL125" s="130">
        <f t="shared" si="1"/>
        <v>2842.57</v>
      </c>
      <c r="AM125" s="53">
        <f t="shared" si="2"/>
        <v>282</v>
      </c>
      <c r="AN125" s="53">
        <f t="shared" si="3"/>
        <v>0</v>
      </c>
      <c r="AO125" s="53">
        <f t="shared" si="4"/>
        <v>282</v>
      </c>
      <c r="AP125" s="61">
        <f t="shared" si="5"/>
        <v>10.08003546</v>
      </c>
    </row>
    <row r="126">
      <c r="A126" s="48" t="s">
        <v>29</v>
      </c>
      <c r="B126" s="51">
        <f t="shared" si="6"/>
        <v>45779</v>
      </c>
      <c r="C126" s="53">
        <v>5.0</v>
      </c>
      <c r="D126" s="53" t="s">
        <v>32</v>
      </c>
      <c r="E126" s="23" t="s">
        <v>38</v>
      </c>
      <c r="F126" s="25">
        <v>0.0</v>
      </c>
      <c r="H126" s="26">
        <v>0.0</v>
      </c>
      <c r="J126" s="26">
        <v>0.0</v>
      </c>
      <c r="L126" s="25">
        <v>87.0</v>
      </c>
      <c r="N126" s="26">
        <v>87.0</v>
      </c>
      <c r="P126" s="26">
        <v>0.0</v>
      </c>
      <c r="R126" s="26">
        <v>0.0</v>
      </c>
      <c r="T126" s="26">
        <v>0.0</v>
      </c>
      <c r="V126" s="26">
        <v>0.0</v>
      </c>
      <c r="X126" s="26">
        <v>0.0</v>
      </c>
      <c r="Y126" s="28"/>
      <c r="Z126" s="25">
        <v>20.0</v>
      </c>
      <c r="AB126" s="26">
        <v>20.0</v>
      </c>
      <c r="AD126" s="26">
        <v>0.0</v>
      </c>
      <c r="AF126" s="128"/>
      <c r="AH126" s="128"/>
      <c r="AJ126" s="128"/>
      <c r="AK126" s="28"/>
      <c r="AL126" s="130">
        <f t="shared" si="1"/>
        <v>2655.74</v>
      </c>
      <c r="AM126" s="53">
        <f t="shared" si="2"/>
        <v>214</v>
      </c>
      <c r="AN126" s="53">
        <f t="shared" si="3"/>
        <v>0</v>
      </c>
      <c r="AO126" s="53">
        <f t="shared" si="4"/>
        <v>214</v>
      </c>
      <c r="AP126" s="61">
        <f t="shared" si="5"/>
        <v>12.41</v>
      </c>
    </row>
    <row r="127">
      <c r="A127" s="48" t="s">
        <v>30</v>
      </c>
      <c r="B127" s="51">
        <f t="shared" si="6"/>
        <v>45780</v>
      </c>
      <c r="C127" s="53">
        <v>5.0</v>
      </c>
      <c r="D127" s="53" t="s">
        <v>32</v>
      </c>
      <c r="E127" s="23" t="s">
        <v>38</v>
      </c>
      <c r="F127" s="25">
        <v>0.0</v>
      </c>
      <c r="H127" s="26">
        <v>0.0</v>
      </c>
      <c r="J127" s="26">
        <v>0.0</v>
      </c>
      <c r="L127" s="25">
        <v>87.0</v>
      </c>
      <c r="N127" s="26">
        <v>87.0</v>
      </c>
      <c r="P127" s="26">
        <v>0.0</v>
      </c>
      <c r="R127" s="26">
        <v>0.0</v>
      </c>
      <c r="T127" s="26">
        <v>0.0</v>
      </c>
      <c r="V127" s="26">
        <v>0.0</v>
      </c>
      <c r="X127" s="26">
        <v>0.0</v>
      </c>
      <c r="Y127" s="28"/>
      <c r="Z127" s="25">
        <v>10.0</v>
      </c>
      <c r="AB127" s="26">
        <v>10.0</v>
      </c>
      <c r="AD127" s="26">
        <v>0.0</v>
      </c>
      <c r="AF127" s="128"/>
      <c r="AH127" s="128"/>
      <c r="AJ127" s="128"/>
      <c r="AK127" s="28"/>
      <c r="AL127" s="130">
        <f t="shared" si="1"/>
        <v>2407.54</v>
      </c>
      <c r="AM127" s="53">
        <f t="shared" si="2"/>
        <v>194</v>
      </c>
      <c r="AN127" s="53">
        <f t="shared" si="3"/>
        <v>0</v>
      </c>
      <c r="AO127" s="53">
        <f t="shared" si="4"/>
        <v>194</v>
      </c>
      <c r="AP127" s="61">
        <f t="shared" si="5"/>
        <v>12.41</v>
      </c>
    </row>
    <row r="128">
      <c r="A128" s="69" t="s">
        <v>31</v>
      </c>
      <c r="B128" s="70">
        <f t="shared" si="6"/>
        <v>45781</v>
      </c>
      <c r="C128" s="71">
        <v>5.0</v>
      </c>
      <c r="D128" s="71" t="s">
        <v>32</v>
      </c>
      <c r="E128" s="73" t="s">
        <v>38</v>
      </c>
      <c r="F128" s="74">
        <v>0.0</v>
      </c>
      <c r="G128" s="75"/>
      <c r="H128" s="76">
        <v>0.0</v>
      </c>
      <c r="I128" s="75"/>
      <c r="J128" s="76">
        <v>0.0</v>
      </c>
      <c r="K128" s="75"/>
      <c r="L128" s="74">
        <v>0.0</v>
      </c>
      <c r="M128" s="75"/>
      <c r="N128" s="76">
        <v>0.0</v>
      </c>
      <c r="O128" s="75"/>
      <c r="P128" s="76">
        <v>0.0</v>
      </c>
      <c r="Q128" s="75"/>
      <c r="R128" s="76">
        <v>0.0</v>
      </c>
      <c r="S128" s="75"/>
      <c r="T128" s="76">
        <v>0.0</v>
      </c>
      <c r="U128" s="75"/>
      <c r="V128" s="76">
        <v>0.0</v>
      </c>
      <c r="W128" s="75"/>
      <c r="X128" s="76">
        <v>0.0</v>
      </c>
      <c r="Y128" s="77"/>
      <c r="Z128" s="74">
        <v>0.0</v>
      </c>
      <c r="AA128" s="75"/>
      <c r="AB128" s="76">
        <v>0.0</v>
      </c>
      <c r="AC128" s="75"/>
      <c r="AD128" s="76">
        <v>0.0</v>
      </c>
      <c r="AE128" s="75"/>
      <c r="AF128" s="131"/>
      <c r="AG128" s="75"/>
      <c r="AH128" s="131"/>
      <c r="AI128" s="75"/>
      <c r="AJ128" s="131"/>
      <c r="AK128" s="77"/>
      <c r="AL128" s="134">
        <f t="shared" si="1"/>
        <v>0</v>
      </c>
      <c r="AM128" s="71">
        <f t="shared" si="2"/>
        <v>0</v>
      </c>
      <c r="AN128" s="71">
        <f t="shared" si="3"/>
        <v>0</v>
      </c>
      <c r="AO128" s="71">
        <f t="shared" si="4"/>
        <v>0</v>
      </c>
      <c r="AP128" s="80" t="str">
        <f t="shared" si="5"/>
        <v/>
      </c>
    </row>
    <row r="129">
      <c r="A129" s="19" t="s">
        <v>23</v>
      </c>
      <c r="B129" s="81">
        <f t="shared" si="6"/>
        <v>45782</v>
      </c>
      <c r="C129" s="21">
        <v>5.0</v>
      </c>
      <c r="D129" s="21" t="s">
        <v>33</v>
      </c>
      <c r="E129" s="82" t="s">
        <v>38</v>
      </c>
      <c r="F129" s="114">
        <v>0.0</v>
      </c>
      <c r="H129" s="115">
        <v>0.0</v>
      </c>
      <c r="J129" s="115">
        <v>0.0</v>
      </c>
      <c r="L129" s="114">
        <v>87.0</v>
      </c>
      <c r="N129" s="115">
        <v>87.0</v>
      </c>
      <c r="P129" s="115">
        <v>0.0</v>
      </c>
      <c r="R129" s="115">
        <v>60.0</v>
      </c>
      <c r="T129" s="115">
        <v>1.0</v>
      </c>
      <c r="V129" s="115">
        <v>1.0</v>
      </c>
      <c r="X129" s="115">
        <v>0.0</v>
      </c>
      <c r="Y129" s="28"/>
      <c r="Z129" s="114">
        <v>20.0</v>
      </c>
      <c r="AB129" s="115">
        <v>20.0</v>
      </c>
      <c r="AD129" s="115">
        <v>0.0</v>
      </c>
      <c r="AF129" s="116"/>
      <c r="AH129" s="116"/>
      <c r="AJ129" s="116"/>
      <c r="AK129" s="28"/>
      <c r="AL129" s="117">
        <f t="shared" si="1"/>
        <v>3716.67</v>
      </c>
      <c r="AM129" s="21">
        <f t="shared" si="2"/>
        <v>274</v>
      </c>
      <c r="AN129" s="21">
        <f t="shared" si="3"/>
        <v>2</v>
      </c>
      <c r="AO129" s="21">
        <f t="shared" si="4"/>
        <v>276</v>
      </c>
      <c r="AP129" s="46">
        <f t="shared" si="5"/>
        <v>13.46619565</v>
      </c>
    </row>
    <row r="130">
      <c r="A130" s="48" t="s">
        <v>26</v>
      </c>
      <c r="B130" s="51">
        <f t="shared" si="6"/>
        <v>45783</v>
      </c>
      <c r="C130" s="53">
        <v>5.0</v>
      </c>
      <c r="D130" s="53" t="s">
        <v>33</v>
      </c>
      <c r="E130" s="23" t="s">
        <v>38</v>
      </c>
      <c r="F130" s="114">
        <v>0.0</v>
      </c>
      <c r="H130" s="115">
        <v>0.0</v>
      </c>
      <c r="J130" s="115">
        <v>0.0</v>
      </c>
      <c r="L130" s="114">
        <v>0.0</v>
      </c>
      <c r="N130" s="115">
        <v>87.0</v>
      </c>
      <c r="P130" s="115">
        <v>80.0</v>
      </c>
      <c r="R130" s="115">
        <v>50.0</v>
      </c>
      <c r="T130" s="115">
        <v>0.0</v>
      </c>
      <c r="V130" s="115">
        <v>0.0</v>
      </c>
      <c r="X130" s="115">
        <v>45.0</v>
      </c>
      <c r="Y130" s="28"/>
      <c r="Z130" s="114">
        <v>0.0</v>
      </c>
      <c r="AB130" s="115">
        <v>20.0</v>
      </c>
      <c r="AD130" s="115">
        <v>0.0</v>
      </c>
      <c r="AF130" s="116"/>
      <c r="AH130" s="116"/>
      <c r="AJ130" s="116"/>
      <c r="AK130" s="28"/>
      <c r="AL130" s="118">
        <f t="shared" si="1"/>
        <v>2842.57</v>
      </c>
      <c r="AM130" s="53">
        <f t="shared" si="2"/>
        <v>282</v>
      </c>
      <c r="AN130" s="53">
        <f t="shared" si="3"/>
        <v>0</v>
      </c>
      <c r="AO130" s="53">
        <f t="shared" si="4"/>
        <v>282</v>
      </c>
      <c r="AP130" s="61">
        <f t="shared" si="5"/>
        <v>10.08003546</v>
      </c>
    </row>
    <row r="131">
      <c r="A131" s="48" t="s">
        <v>27</v>
      </c>
      <c r="B131" s="51">
        <f t="shared" si="6"/>
        <v>45784</v>
      </c>
      <c r="C131" s="53">
        <v>5.0</v>
      </c>
      <c r="D131" s="53" t="s">
        <v>33</v>
      </c>
      <c r="E131" s="23" t="s">
        <v>38</v>
      </c>
      <c r="F131" s="114">
        <v>0.0</v>
      </c>
      <c r="H131" s="115">
        <v>0.0</v>
      </c>
      <c r="J131" s="115">
        <v>0.0</v>
      </c>
      <c r="L131" s="114">
        <v>0.0</v>
      </c>
      <c r="N131" s="115">
        <v>87.0</v>
      </c>
      <c r="P131" s="115">
        <v>80.0</v>
      </c>
      <c r="R131" s="115">
        <v>50.0</v>
      </c>
      <c r="T131" s="115">
        <v>0.0</v>
      </c>
      <c r="V131" s="115">
        <v>0.0</v>
      </c>
      <c r="X131" s="115">
        <v>45.0</v>
      </c>
      <c r="Y131" s="28"/>
      <c r="Z131" s="114">
        <v>0.0</v>
      </c>
      <c r="AB131" s="115">
        <v>20.0</v>
      </c>
      <c r="AD131" s="115">
        <v>0.0</v>
      </c>
      <c r="AF131" s="116"/>
      <c r="AH131" s="116"/>
      <c r="AJ131" s="116"/>
      <c r="AK131" s="28"/>
      <c r="AL131" s="118">
        <f t="shared" si="1"/>
        <v>2842.57</v>
      </c>
      <c r="AM131" s="53">
        <f t="shared" si="2"/>
        <v>282</v>
      </c>
      <c r="AN131" s="53">
        <f t="shared" si="3"/>
        <v>0</v>
      </c>
      <c r="AO131" s="53">
        <f t="shared" si="4"/>
        <v>282</v>
      </c>
      <c r="AP131" s="61">
        <f t="shared" si="5"/>
        <v>10.08003546</v>
      </c>
    </row>
    <row r="132">
      <c r="A132" s="48" t="s">
        <v>28</v>
      </c>
      <c r="B132" s="51">
        <f t="shared" si="6"/>
        <v>45785</v>
      </c>
      <c r="C132" s="53">
        <v>5.0</v>
      </c>
      <c r="D132" s="53" t="s">
        <v>33</v>
      </c>
      <c r="E132" s="23" t="s">
        <v>38</v>
      </c>
      <c r="F132" s="114">
        <v>0.0</v>
      </c>
      <c r="H132" s="115">
        <v>0.0</v>
      </c>
      <c r="J132" s="115">
        <v>0.0</v>
      </c>
      <c r="L132" s="114">
        <v>0.0</v>
      </c>
      <c r="N132" s="115">
        <v>87.0</v>
      </c>
      <c r="P132" s="115">
        <v>80.0</v>
      </c>
      <c r="R132" s="115">
        <v>50.0</v>
      </c>
      <c r="T132" s="115">
        <v>0.0</v>
      </c>
      <c r="V132" s="115">
        <v>0.0</v>
      </c>
      <c r="X132" s="115">
        <v>45.0</v>
      </c>
      <c r="Y132" s="28"/>
      <c r="Z132" s="114">
        <v>0.0</v>
      </c>
      <c r="AB132" s="115">
        <v>20.0</v>
      </c>
      <c r="AD132" s="115">
        <v>0.0</v>
      </c>
      <c r="AF132" s="116"/>
      <c r="AH132" s="116"/>
      <c r="AJ132" s="116"/>
      <c r="AK132" s="28"/>
      <c r="AL132" s="118">
        <f t="shared" si="1"/>
        <v>2842.57</v>
      </c>
      <c r="AM132" s="53">
        <f t="shared" si="2"/>
        <v>282</v>
      </c>
      <c r="AN132" s="53">
        <f t="shared" si="3"/>
        <v>0</v>
      </c>
      <c r="AO132" s="53">
        <f t="shared" si="4"/>
        <v>282</v>
      </c>
      <c r="AP132" s="61">
        <f t="shared" si="5"/>
        <v>10.08003546</v>
      </c>
    </row>
    <row r="133">
      <c r="A133" s="48" t="s">
        <v>29</v>
      </c>
      <c r="B133" s="51">
        <f t="shared" si="6"/>
        <v>45786</v>
      </c>
      <c r="C133" s="53">
        <v>5.0</v>
      </c>
      <c r="D133" s="53" t="s">
        <v>33</v>
      </c>
      <c r="E133" s="23" t="s">
        <v>38</v>
      </c>
      <c r="F133" s="114">
        <v>0.0</v>
      </c>
      <c r="H133" s="115">
        <v>0.0</v>
      </c>
      <c r="J133" s="115">
        <v>0.0</v>
      </c>
      <c r="L133" s="114">
        <v>0.0</v>
      </c>
      <c r="N133" s="115">
        <v>87.0</v>
      </c>
      <c r="P133" s="115">
        <v>80.0</v>
      </c>
      <c r="R133" s="115">
        <v>50.0</v>
      </c>
      <c r="T133" s="115">
        <v>0.0</v>
      </c>
      <c r="V133" s="115">
        <v>0.0</v>
      </c>
      <c r="X133" s="115">
        <v>45.0</v>
      </c>
      <c r="Y133" s="28"/>
      <c r="Z133" s="114">
        <v>0.0</v>
      </c>
      <c r="AB133" s="115">
        <v>20.0</v>
      </c>
      <c r="AD133" s="115">
        <v>0.0</v>
      </c>
      <c r="AF133" s="116"/>
      <c r="AH133" s="116"/>
      <c r="AJ133" s="116"/>
      <c r="AK133" s="28"/>
      <c r="AL133" s="118">
        <f t="shared" si="1"/>
        <v>2842.57</v>
      </c>
      <c r="AM133" s="53">
        <f t="shared" si="2"/>
        <v>282</v>
      </c>
      <c r="AN133" s="53">
        <f t="shared" si="3"/>
        <v>0</v>
      </c>
      <c r="AO133" s="53">
        <f t="shared" si="4"/>
        <v>282</v>
      </c>
      <c r="AP133" s="61">
        <f t="shared" si="5"/>
        <v>10.08003546</v>
      </c>
    </row>
    <row r="134">
      <c r="A134" s="48" t="s">
        <v>30</v>
      </c>
      <c r="B134" s="51">
        <f t="shared" si="6"/>
        <v>45787</v>
      </c>
      <c r="C134" s="53">
        <v>5.0</v>
      </c>
      <c r="D134" s="53" t="s">
        <v>33</v>
      </c>
      <c r="E134" s="23" t="s">
        <v>38</v>
      </c>
      <c r="F134" s="114">
        <v>0.0</v>
      </c>
      <c r="H134" s="115">
        <v>0.0</v>
      </c>
      <c r="J134" s="115">
        <v>0.0</v>
      </c>
      <c r="L134" s="114">
        <v>87.0</v>
      </c>
      <c r="N134" s="115">
        <v>87.0</v>
      </c>
      <c r="P134" s="115">
        <v>0.0</v>
      </c>
      <c r="R134" s="115">
        <v>0.0</v>
      </c>
      <c r="T134" s="115">
        <v>0.0</v>
      </c>
      <c r="V134" s="115">
        <v>0.0</v>
      </c>
      <c r="X134" s="115">
        <v>0.0</v>
      </c>
      <c r="Y134" s="28"/>
      <c r="Z134" s="114">
        <v>10.0</v>
      </c>
      <c r="AB134" s="115">
        <v>10.0</v>
      </c>
      <c r="AD134" s="115">
        <v>0.0</v>
      </c>
      <c r="AF134" s="116"/>
      <c r="AH134" s="116"/>
      <c r="AJ134" s="116"/>
      <c r="AK134" s="28"/>
      <c r="AL134" s="118">
        <f t="shared" si="1"/>
        <v>2407.54</v>
      </c>
      <c r="AM134" s="53">
        <f t="shared" si="2"/>
        <v>194</v>
      </c>
      <c r="AN134" s="53">
        <f t="shared" si="3"/>
        <v>0</v>
      </c>
      <c r="AO134" s="53">
        <f t="shared" si="4"/>
        <v>194</v>
      </c>
      <c r="AP134" s="61">
        <f t="shared" si="5"/>
        <v>12.41</v>
      </c>
    </row>
    <row r="135">
      <c r="A135" s="69" t="s">
        <v>31</v>
      </c>
      <c r="B135" s="70">
        <f t="shared" si="6"/>
        <v>45788</v>
      </c>
      <c r="C135" s="71">
        <v>5.0</v>
      </c>
      <c r="D135" s="71" t="s">
        <v>33</v>
      </c>
      <c r="E135" s="73" t="s">
        <v>38</v>
      </c>
      <c r="F135" s="119">
        <v>0.0</v>
      </c>
      <c r="G135" s="75"/>
      <c r="H135" s="120">
        <v>0.0</v>
      </c>
      <c r="I135" s="75"/>
      <c r="J135" s="120">
        <v>0.0</v>
      </c>
      <c r="K135" s="75"/>
      <c r="L135" s="119">
        <v>0.0</v>
      </c>
      <c r="M135" s="75"/>
      <c r="N135" s="120">
        <v>0.0</v>
      </c>
      <c r="O135" s="75"/>
      <c r="P135" s="120">
        <v>0.0</v>
      </c>
      <c r="Q135" s="75"/>
      <c r="R135" s="120">
        <v>0.0</v>
      </c>
      <c r="S135" s="75"/>
      <c r="T135" s="120">
        <v>0.0</v>
      </c>
      <c r="U135" s="75"/>
      <c r="V135" s="120">
        <v>0.0</v>
      </c>
      <c r="W135" s="75"/>
      <c r="X135" s="120">
        <v>0.0</v>
      </c>
      <c r="Y135" s="77"/>
      <c r="Z135" s="119">
        <v>0.0</v>
      </c>
      <c r="AA135" s="75"/>
      <c r="AB135" s="120">
        <v>0.0</v>
      </c>
      <c r="AC135" s="75"/>
      <c r="AD135" s="120">
        <v>0.0</v>
      </c>
      <c r="AE135" s="75"/>
      <c r="AF135" s="121"/>
      <c r="AG135" s="75"/>
      <c r="AH135" s="121"/>
      <c r="AI135" s="75"/>
      <c r="AJ135" s="121"/>
      <c r="AK135" s="77"/>
      <c r="AL135" s="122">
        <f t="shared" si="1"/>
        <v>0</v>
      </c>
      <c r="AM135" s="71">
        <f t="shared" si="2"/>
        <v>0</v>
      </c>
      <c r="AN135" s="71">
        <f t="shared" si="3"/>
        <v>0</v>
      </c>
      <c r="AO135" s="71">
        <f t="shared" si="4"/>
        <v>0</v>
      </c>
      <c r="AP135" s="80" t="str">
        <f t="shared" si="5"/>
        <v/>
      </c>
    </row>
    <row r="136">
      <c r="A136" s="19" t="s">
        <v>23</v>
      </c>
      <c r="B136" s="81">
        <f t="shared" si="6"/>
        <v>45789</v>
      </c>
      <c r="C136" s="21">
        <v>5.0</v>
      </c>
      <c r="D136" s="21" t="s">
        <v>36</v>
      </c>
      <c r="E136" s="82" t="s">
        <v>38</v>
      </c>
      <c r="F136" s="114">
        <v>0.0</v>
      </c>
      <c r="H136" s="115">
        <v>0.0</v>
      </c>
      <c r="J136" s="115">
        <v>0.0</v>
      </c>
      <c r="L136" s="114">
        <v>0.0</v>
      </c>
      <c r="N136" s="115">
        <v>87.0</v>
      </c>
      <c r="P136" s="115">
        <v>80.0</v>
      </c>
      <c r="R136" s="115">
        <v>50.0</v>
      </c>
      <c r="T136" s="115">
        <v>1.0</v>
      </c>
      <c r="V136" s="115">
        <v>1.0</v>
      </c>
      <c r="X136" s="115">
        <v>45.0</v>
      </c>
      <c r="Y136" s="28"/>
      <c r="Z136" s="114">
        <v>0.0</v>
      </c>
      <c r="AB136" s="115">
        <v>20.0</v>
      </c>
      <c r="AD136" s="115">
        <v>0.0</v>
      </c>
      <c r="AF136" s="116"/>
      <c r="AH136" s="116"/>
      <c r="AJ136" s="116"/>
      <c r="AK136" s="28"/>
      <c r="AL136" s="117">
        <f t="shared" si="1"/>
        <v>3607.7</v>
      </c>
      <c r="AM136" s="21">
        <f t="shared" si="2"/>
        <v>282</v>
      </c>
      <c r="AN136" s="21">
        <f t="shared" si="3"/>
        <v>2</v>
      </c>
      <c r="AO136" s="21">
        <f t="shared" si="4"/>
        <v>284</v>
      </c>
      <c r="AP136" s="46">
        <f t="shared" si="5"/>
        <v>12.70316901</v>
      </c>
    </row>
    <row r="137">
      <c r="A137" s="48" t="s">
        <v>26</v>
      </c>
      <c r="B137" s="51">
        <f t="shared" si="6"/>
        <v>45790</v>
      </c>
      <c r="C137" s="53">
        <v>5.0</v>
      </c>
      <c r="D137" s="53" t="s">
        <v>36</v>
      </c>
      <c r="E137" s="23" t="s">
        <v>38</v>
      </c>
      <c r="F137" s="114">
        <v>0.0</v>
      </c>
      <c r="H137" s="115">
        <v>0.0</v>
      </c>
      <c r="J137" s="115">
        <v>0.0</v>
      </c>
      <c r="L137" s="114">
        <v>0.0</v>
      </c>
      <c r="N137" s="115">
        <v>87.0</v>
      </c>
      <c r="P137" s="115">
        <v>80.0</v>
      </c>
      <c r="R137" s="115">
        <v>50.0</v>
      </c>
      <c r="T137" s="115">
        <v>0.0</v>
      </c>
      <c r="V137" s="115">
        <v>0.0</v>
      </c>
      <c r="X137" s="115">
        <v>45.0</v>
      </c>
      <c r="Y137" s="28"/>
      <c r="Z137" s="114">
        <v>0.0</v>
      </c>
      <c r="AB137" s="115">
        <v>20.0</v>
      </c>
      <c r="AD137" s="115">
        <v>0.0</v>
      </c>
      <c r="AF137" s="116"/>
      <c r="AH137" s="116"/>
      <c r="AJ137" s="116"/>
      <c r="AK137" s="28"/>
      <c r="AL137" s="118">
        <f t="shared" si="1"/>
        <v>2842.57</v>
      </c>
      <c r="AM137" s="53">
        <f t="shared" si="2"/>
        <v>282</v>
      </c>
      <c r="AN137" s="53">
        <f t="shared" si="3"/>
        <v>0</v>
      </c>
      <c r="AO137" s="53">
        <f t="shared" si="4"/>
        <v>282</v>
      </c>
      <c r="AP137" s="61">
        <f t="shared" si="5"/>
        <v>10.08003546</v>
      </c>
    </row>
    <row r="138">
      <c r="A138" s="48" t="s">
        <v>27</v>
      </c>
      <c r="B138" s="51">
        <f t="shared" si="6"/>
        <v>45791</v>
      </c>
      <c r="C138" s="53">
        <v>5.0</v>
      </c>
      <c r="D138" s="53" t="s">
        <v>36</v>
      </c>
      <c r="E138" s="23" t="s">
        <v>38</v>
      </c>
      <c r="F138" s="114">
        <v>0.0</v>
      </c>
      <c r="H138" s="115">
        <v>0.0</v>
      </c>
      <c r="J138" s="115">
        <v>0.0</v>
      </c>
      <c r="L138" s="114">
        <v>0.0</v>
      </c>
      <c r="N138" s="115">
        <v>87.0</v>
      </c>
      <c r="P138" s="115">
        <v>80.0</v>
      </c>
      <c r="R138" s="115">
        <v>50.0</v>
      </c>
      <c r="T138" s="115">
        <v>0.0</v>
      </c>
      <c r="V138" s="115">
        <v>0.0</v>
      </c>
      <c r="X138" s="115">
        <v>45.0</v>
      </c>
      <c r="Y138" s="28"/>
      <c r="Z138" s="114">
        <v>0.0</v>
      </c>
      <c r="AB138" s="115">
        <v>20.0</v>
      </c>
      <c r="AD138" s="115">
        <v>0.0</v>
      </c>
      <c r="AF138" s="116"/>
      <c r="AH138" s="116"/>
      <c r="AJ138" s="116"/>
      <c r="AK138" s="28"/>
      <c r="AL138" s="118">
        <f t="shared" si="1"/>
        <v>2842.57</v>
      </c>
      <c r="AM138" s="53">
        <f t="shared" si="2"/>
        <v>282</v>
      </c>
      <c r="AN138" s="53">
        <f t="shared" si="3"/>
        <v>0</v>
      </c>
      <c r="AO138" s="53">
        <f t="shared" si="4"/>
        <v>282</v>
      </c>
      <c r="AP138" s="61">
        <f t="shared" si="5"/>
        <v>10.08003546</v>
      </c>
    </row>
    <row r="139">
      <c r="A139" s="48" t="s">
        <v>28</v>
      </c>
      <c r="B139" s="51">
        <f t="shared" si="6"/>
        <v>45792</v>
      </c>
      <c r="C139" s="53">
        <v>5.0</v>
      </c>
      <c r="D139" s="53" t="s">
        <v>36</v>
      </c>
      <c r="E139" s="23" t="s">
        <v>38</v>
      </c>
      <c r="F139" s="114">
        <v>0.0</v>
      </c>
      <c r="H139" s="115">
        <v>0.0</v>
      </c>
      <c r="J139" s="115">
        <v>0.0</v>
      </c>
      <c r="L139" s="114">
        <v>0.0</v>
      </c>
      <c r="N139" s="115">
        <v>87.0</v>
      </c>
      <c r="P139" s="115">
        <v>80.0</v>
      </c>
      <c r="R139" s="115">
        <v>50.0</v>
      </c>
      <c r="T139" s="115">
        <v>0.0</v>
      </c>
      <c r="V139" s="115">
        <v>0.0</v>
      </c>
      <c r="X139" s="115">
        <v>45.0</v>
      </c>
      <c r="Y139" s="28"/>
      <c r="Z139" s="114">
        <v>0.0</v>
      </c>
      <c r="AB139" s="115">
        <v>20.0</v>
      </c>
      <c r="AD139" s="115">
        <v>0.0</v>
      </c>
      <c r="AF139" s="116"/>
      <c r="AH139" s="116"/>
      <c r="AJ139" s="116"/>
      <c r="AK139" s="28"/>
      <c r="AL139" s="118">
        <f t="shared" si="1"/>
        <v>2842.57</v>
      </c>
      <c r="AM139" s="53">
        <f t="shared" si="2"/>
        <v>282</v>
      </c>
      <c r="AN139" s="53">
        <f t="shared" si="3"/>
        <v>0</v>
      </c>
      <c r="AO139" s="53">
        <f t="shared" si="4"/>
        <v>282</v>
      </c>
      <c r="AP139" s="61">
        <f t="shared" si="5"/>
        <v>10.08003546</v>
      </c>
    </row>
    <row r="140">
      <c r="A140" s="48" t="s">
        <v>29</v>
      </c>
      <c r="B140" s="51">
        <f t="shared" si="6"/>
        <v>45793</v>
      </c>
      <c r="C140" s="53">
        <v>5.0</v>
      </c>
      <c r="D140" s="53" t="s">
        <v>36</v>
      </c>
      <c r="E140" s="23" t="s">
        <v>38</v>
      </c>
      <c r="F140" s="114">
        <v>0.0</v>
      </c>
      <c r="H140" s="115">
        <v>0.0</v>
      </c>
      <c r="J140" s="115">
        <v>0.0</v>
      </c>
      <c r="L140" s="114">
        <v>87.0</v>
      </c>
      <c r="N140" s="115">
        <v>87.0</v>
      </c>
      <c r="P140" s="115">
        <v>0.0</v>
      </c>
      <c r="R140" s="115">
        <v>50.0</v>
      </c>
      <c r="T140" s="115">
        <v>0.0</v>
      </c>
      <c r="V140" s="115">
        <v>0.0</v>
      </c>
      <c r="X140" s="115">
        <v>0.0</v>
      </c>
      <c r="Y140" s="28"/>
      <c r="Z140" s="114">
        <v>20.0</v>
      </c>
      <c r="AB140" s="115">
        <v>20.0</v>
      </c>
      <c r="AD140" s="115">
        <v>0.0</v>
      </c>
      <c r="AF140" s="116"/>
      <c r="AH140" s="116"/>
      <c r="AJ140" s="116"/>
      <c r="AK140" s="28"/>
      <c r="AL140" s="118">
        <f t="shared" si="1"/>
        <v>2902.24</v>
      </c>
      <c r="AM140" s="53">
        <f t="shared" si="2"/>
        <v>264</v>
      </c>
      <c r="AN140" s="53">
        <f t="shared" si="3"/>
        <v>0</v>
      </c>
      <c r="AO140" s="53">
        <f t="shared" si="4"/>
        <v>264</v>
      </c>
      <c r="AP140" s="61">
        <f t="shared" si="5"/>
        <v>10.99333333</v>
      </c>
    </row>
    <row r="141">
      <c r="A141" s="48" t="s">
        <v>30</v>
      </c>
      <c r="B141" s="51">
        <f t="shared" si="6"/>
        <v>45794</v>
      </c>
      <c r="C141" s="53">
        <v>5.0</v>
      </c>
      <c r="D141" s="53" t="s">
        <v>36</v>
      </c>
      <c r="E141" s="23" t="s">
        <v>38</v>
      </c>
      <c r="F141" s="114">
        <v>0.0</v>
      </c>
      <c r="H141" s="115">
        <v>0.0</v>
      </c>
      <c r="J141" s="115">
        <v>0.0</v>
      </c>
      <c r="L141" s="114">
        <v>40.0</v>
      </c>
      <c r="N141" s="115">
        <v>40.0</v>
      </c>
      <c r="P141" s="115">
        <v>0.0</v>
      </c>
      <c r="R141" s="115">
        <v>0.0</v>
      </c>
      <c r="T141" s="115">
        <v>0.0</v>
      </c>
      <c r="V141" s="115">
        <v>0.0</v>
      </c>
      <c r="X141" s="115">
        <v>0.0</v>
      </c>
      <c r="Y141" s="28"/>
      <c r="Z141" s="114">
        <v>20.0</v>
      </c>
      <c r="AB141" s="115">
        <v>20.0</v>
      </c>
      <c r="AD141" s="115">
        <v>0.0</v>
      </c>
      <c r="AF141" s="116"/>
      <c r="AH141" s="116"/>
      <c r="AJ141" s="116"/>
      <c r="AK141" s="28"/>
      <c r="AL141" s="118">
        <f t="shared" si="1"/>
        <v>1489.2</v>
      </c>
      <c r="AM141" s="53">
        <f t="shared" si="2"/>
        <v>120</v>
      </c>
      <c r="AN141" s="53">
        <f t="shared" si="3"/>
        <v>0</v>
      </c>
      <c r="AO141" s="53">
        <f t="shared" si="4"/>
        <v>120</v>
      </c>
      <c r="AP141" s="61">
        <f t="shared" si="5"/>
        <v>12.41</v>
      </c>
    </row>
    <row r="142">
      <c r="A142" s="69" t="s">
        <v>31</v>
      </c>
      <c r="B142" s="70">
        <f t="shared" si="6"/>
        <v>45795</v>
      </c>
      <c r="C142" s="71">
        <v>5.0</v>
      </c>
      <c r="D142" s="71" t="s">
        <v>36</v>
      </c>
      <c r="E142" s="73" t="s">
        <v>38</v>
      </c>
      <c r="F142" s="119">
        <v>0.0</v>
      </c>
      <c r="G142" s="75"/>
      <c r="H142" s="120">
        <v>0.0</v>
      </c>
      <c r="I142" s="75"/>
      <c r="J142" s="120">
        <v>0.0</v>
      </c>
      <c r="K142" s="75"/>
      <c r="L142" s="119">
        <v>0.0</v>
      </c>
      <c r="M142" s="75"/>
      <c r="N142" s="120">
        <v>0.0</v>
      </c>
      <c r="O142" s="75"/>
      <c r="P142" s="120">
        <v>0.0</v>
      </c>
      <c r="Q142" s="75"/>
      <c r="R142" s="120">
        <v>0.0</v>
      </c>
      <c r="S142" s="75"/>
      <c r="T142" s="120">
        <v>0.0</v>
      </c>
      <c r="U142" s="75"/>
      <c r="V142" s="120">
        <v>0.0</v>
      </c>
      <c r="W142" s="75"/>
      <c r="X142" s="120">
        <v>0.0</v>
      </c>
      <c r="Y142" s="77"/>
      <c r="Z142" s="119">
        <v>0.0</v>
      </c>
      <c r="AA142" s="75"/>
      <c r="AB142" s="120">
        <v>0.0</v>
      </c>
      <c r="AC142" s="75"/>
      <c r="AD142" s="120">
        <v>0.0</v>
      </c>
      <c r="AE142" s="75"/>
      <c r="AF142" s="121"/>
      <c r="AG142" s="75"/>
      <c r="AH142" s="121"/>
      <c r="AI142" s="75"/>
      <c r="AJ142" s="121"/>
      <c r="AK142" s="77"/>
      <c r="AL142" s="122">
        <f t="shared" si="1"/>
        <v>0</v>
      </c>
      <c r="AM142" s="71">
        <f t="shared" si="2"/>
        <v>0</v>
      </c>
      <c r="AN142" s="71">
        <f t="shared" si="3"/>
        <v>0</v>
      </c>
      <c r="AO142" s="71">
        <f t="shared" si="4"/>
        <v>0</v>
      </c>
      <c r="AP142" s="80" t="str">
        <f t="shared" si="5"/>
        <v/>
      </c>
    </row>
    <row r="143">
      <c r="A143" s="19" t="s">
        <v>23</v>
      </c>
      <c r="B143" s="81">
        <f t="shared" si="6"/>
        <v>45796</v>
      </c>
      <c r="C143" s="21">
        <v>6.0</v>
      </c>
      <c r="D143" s="21" t="s">
        <v>24</v>
      </c>
      <c r="E143" s="137" t="s">
        <v>39</v>
      </c>
      <c r="F143" s="138">
        <v>0.0</v>
      </c>
      <c r="H143" s="139">
        <v>0.0</v>
      </c>
      <c r="J143" s="139">
        <v>0.0</v>
      </c>
      <c r="L143" s="138">
        <v>0.0</v>
      </c>
      <c r="N143" s="139">
        <v>87.0</v>
      </c>
      <c r="P143" s="139">
        <v>80.0</v>
      </c>
      <c r="R143" s="139">
        <v>50.0</v>
      </c>
      <c r="T143" s="139">
        <v>1.0</v>
      </c>
      <c r="V143" s="139">
        <v>1.0</v>
      </c>
      <c r="X143" s="139">
        <v>45.0</v>
      </c>
      <c r="Y143" s="28"/>
      <c r="Z143" s="138">
        <v>0.0</v>
      </c>
      <c r="AB143" s="139">
        <v>20.0</v>
      </c>
      <c r="AD143" s="139">
        <v>0.0</v>
      </c>
      <c r="AF143" s="140"/>
      <c r="AH143" s="140"/>
      <c r="AJ143" s="140"/>
      <c r="AK143" s="28"/>
      <c r="AL143" s="141">
        <f t="shared" si="1"/>
        <v>3607.7</v>
      </c>
      <c r="AM143" s="21">
        <f t="shared" si="2"/>
        <v>282</v>
      </c>
      <c r="AN143" s="21">
        <f t="shared" si="3"/>
        <v>2</v>
      </c>
      <c r="AO143" s="21">
        <f t="shared" si="4"/>
        <v>284</v>
      </c>
      <c r="AP143" s="46">
        <f t="shared" si="5"/>
        <v>12.70316901</v>
      </c>
    </row>
    <row r="144">
      <c r="A144" s="48" t="s">
        <v>26</v>
      </c>
      <c r="B144" s="51">
        <f t="shared" si="6"/>
        <v>45797</v>
      </c>
      <c r="C144" s="53">
        <v>6.0</v>
      </c>
      <c r="D144" s="53" t="s">
        <v>24</v>
      </c>
      <c r="E144" s="142" t="s">
        <v>39</v>
      </c>
      <c r="F144" s="138">
        <v>0.0</v>
      </c>
      <c r="H144" s="139">
        <v>0.0</v>
      </c>
      <c r="J144" s="139">
        <v>0.0</v>
      </c>
      <c r="L144" s="138">
        <v>0.0</v>
      </c>
      <c r="N144" s="139">
        <v>87.0</v>
      </c>
      <c r="P144" s="139">
        <v>80.0</v>
      </c>
      <c r="R144" s="139">
        <v>50.0</v>
      </c>
      <c r="T144" s="139">
        <v>0.0</v>
      </c>
      <c r="V144" s="139">
        <v>0.0</v>
      </c>
      <c r="X144" s="139">
        <v>45.0</v>
      </c>
      <c r="Y144" s="28"/>
      <c r="Z144" s="138">
        <v>0.0</v>
      </c>
      <c r="AB144" s="139">
        <v>20.0</v>
      </c>
      <c r="AD144" s="139">
        <v>0.0</v>
      </c>
      <c r="AF144" s="140"/>
      <c r="AH144" s="140"/>
      <c r="AJ144" s="140"/>
      <c r="AK144" s="28"/>
      <c r="AL144" s="143">
        <f t="shared" si="1"/>
        <v>2842.57</v>
      </c>
      <c r="AM144" s="53">
        <f t="shared" si="2"/>
        <v>282</v>
      </c>
      <c r="AN144" s="53">
        <f t="shared" si="3"/>
        <v>0</v>
      </c>
      <c r="AO144" s="53">
        <f t="shared" si="4"/>
        <v>282</v>
      </c>
      <c r="AP144" s="61">
        <f t="shared" si="5"/>
        <v>10.08003546</v>
      </c>
    </row>
    <row r="145">
      <c r="A145" s="48" t="s">
        <v>27</v>
      </c>
      <c r="B145" s="51">
        <f t="shared" si="6"/>
        <v>45798</v>
      </c>
      <c r="C145" s="53">
        <v>6.0</v>
      </c>
      <c r="D145" s="53" t="s">
        <v>24</v>
      </c>
      <c r="E145" s="142" t="s">
        <v>39</v>
      </c>
      <c r="F145" s="138">
        <v>0.0</v>
      </c>
      <c r="H145" s="139">
        <v>0.0</v>
      </c>
      <c r="J145" s="139">
        <v>0.0</v>
      </c>
      <c r="L145" s="138">
        <v>0.0</v>
      </c>
      <c r="N145" s="139">
        <v>87.0</v>
      </c>
      <c r="P145" s="139">
        <v>80.0</v>
      </c>
      <c r="R145" s="139">
        <v>50.0</v>
      </c>
      <c r="T145" s="139">
        <v>0.0</v>
      </c>
      <c r="V145" s="139">
        <v>0.0</v>
      </c>
      <c r="X145" s="139">
        <v>45.0</v>
      </c>
      <c r="Y145" s="28"/>
      <c r="Z145" s="138">
        <v>0.0</v>
      </c>
      <c r="AB145" s="139">
        <v>20.0</v>
      </c>
      <c r="AD145" s="139">
        <v>0.0</v>
      </c>
      <c r="AF145" s="140"/>
      <c r="AH145" s="140"/>
      <c r="AJ145" s="140"/>
      <c r="AK145" s="28"/>
      <c r="AL145" s="143">
        <f t="shared" si="1"/>
        <v>2842.57</v>
      </c>
      <c r="AM145" s="53">
        <f t="shared" si="2"/>
        <v>282</v>
      </c>
      <c r="AN145" s="53">
        <f t="shared" si="3"/>
        <v>0</v>
      </c>
      <c r="AO145" s="53">
        <f t="shared" si="4"/>
        <v>282</v>
      </c>
      <c r="AP145" s="61">
        <f t="shared" si="5"/>
        <v>10.08003546</v>
      </c>
    </row>
    <row r="146">
      <c r="A146" s="48" t="s">
        <v>28</v>
      </c>
      <c r="B146" s="51">
        <f t="shared" si="6"/>
        <v>45799</v>
      </c>
      <c r="C146" s="53">
        <v>6.0</v>
      </c>
      <c r="D146" s="53" t="s">
        <v>24</v>
      </c>
      <c r="E146" s="142" t="s">
        <v>39</v>
      </c>
      <c r="F146" s="138">
        <v>0.0</v>
      </c>
      <c r="H146" s="139">
        <v>0.0</v>
      </c>
      <c r="J146" s="139">
        <v>0.0</v>
      </c>
      <c r="L146" s="138">
        <v>0.0</v>
      </c>
      <c r="N146" s="139">
        <v>87.0</v>
      </c>
      <c r="P146" s="139">
        <v>80.0</v>
      </c>
      <c r="R146" s="139">
        <v>50.0</v>
      </c>
      <c r="T146" s="139">
        <v>0.0</v>
      </c>
      <c r="V146" s="139">
        <v>0.0</v>
      </c>
      <c r="X146" s="139">
        <v>45.0</v>
      </c>
      <c r="Y146" s="28"/>
      <c r="Z146" s="138">
        <v>0.0</v>
      </c>
      <c r="AB146" s="139">
        <v>20.0</v>
      </c>
      <c r="AD146" s="139">
        <v>0.0</v>
      </c>
      <c r="AF146" s="140"/>
      <c r="AH146" s="140"/>
      <c r="AJ146" s="140"/>
      <c r="AK146" s="28"/>
      <c r="AL146" s="143">
        <f t="shared" si="1"/>
        <v>2842.57</v>
      </c>
      <c r="AM146" s="53">
        <f t="shared" si="2"/>
        <v>282</v>
      </c>
      <c r="AN146" s="53">
        <f t="shared" si="3"/>
        <v>0</v>
      </c>
      <c r="AO146" s="53">
        <f t="shared" si="4"/>
        <v>282</v>
      </c>
      <c r="AP146" s="61">
        <f t="shared" si="5"/>
        <v>10.08003546</v>
      </c>
    </row>
    <row r="147">
      <c r="A147" s="48" t="s">
        <v>29</v>
      </c>
      <c r="B147" s="51">
        <f t="shared" si="6"/>
        <v>45800</v>
      </c>
      <c r="C147" s="53">
        <v>6.0</v>
      </c>
      <c r="D147" s="53" t="s">
        <v>24</v>
      </c>
      <c r="E147" s="142" t="s">
        <v>39</v>
      </c>
      <c r="F147" s="138">
        <v>0.0</v>
      </c>
      <c r="H147" s="139">
        <v>0.0</v>
      </c>
      <c r="J147" s="139">
        <v>0.0</v>
      </c>
      <c r="L147" s="138">
        <v>0.0</v>
      </c>
      <c r="N147" s="139">
        <v>87.0</v>
      </c>
      <c r="P147" s="139">
        <v>80.0</v>
      </c>
      <c r="R147" s="139">
        <v>50.0</v>
      </c>
      <c r="T147" s="139">
        <v>0.0</v>
      </c>
      <c r="V147" s="139">
        <v>0.0</v>
      </c>
      <c r="X147" s="139">
        <v>45.0</v>
      </c>
      <c r="Y147" s="28"/>
      <c r="Z147" s="138">
        <v>0.0</v>
      </c>
      <c r="AB147" s="139">
        <v>20.0</v>
      </c>
      <c r="AD147" s="139">
        <v>0.0</v>
      </c>
      <c r="AF147" s="140"/>
      <c r="AH147" s="140"/>
      <c r="AJ147" s="140"/>
      <c r="AK147" s="28"/>
      <c r="AL147" s="143">
        <f t="shared" si="1"/>
        <v>2842.57</v>
      </c>
      <c r="AM147" s="53">
        <f t="shared" si="2"/>
        <v>282</v>
      </c>
      <c r="AN147" s="53">
        <f t="shared" si="3"/>
        <v>0</v>
      </c>
      <c r="AO147" s="53">
        <f t="shared" si="4"/>
        <v>282</v>
      </c>
      <c r="AP147" s="61">
        <f t="shared" si="5"/>
        <v>10.08003546</v>
      </c>
    </row>
    <row r="148">
      <c r="A148" s="48" t="s">
        <v>30</v>
      </c>
      <c r="B148" s="51">
        <f t="shared" si="6"/>
        <v>45801</v>
      </c>
      <c r="C148" s="53">
        <v>6.0</v>
      </c>
      <c r="D148" s="53" t="s">
        <v>24</v>
      </c>
      <c r="E148" s="142" t="s">
        <v>39</v>
      </c>
      <c r="F148" s="138">
        <v>0.0</v>
      </c>
      <c r="H148" s="139">
        <v>0.0</v>
      </c>
      <c r="J148" s="139">
        <v>0.0</v>
      </c>
      <c r="L148" s="138">
        <v>87.0</v>
      </c>
      <c r="N148" s="139">
        <v>87.0</v>
      </c>
      <c r="P148" s="139">
        <v>0.0</v>
      </c>
      <c r="R148" s="139">
        <v>0.0</v>
      </c>
      <c r="T148" s="139">
        <v>0.0</v>
      </c>
      <c r="V148" s="139">
        <v>0.0</v>
      </c>
      <c r="X148" s="139">
        <v>0.0</v>
      </c>
      <c r="Y148" s="28"/>
      <c r="Z148" s="138">
        <v>10.0</v>
      </c>
      <c r="AB148" s="139">
        <v>10.0</v>
      </c>
      <c r="AD148" s="139">
        <v>0.0</v>
      </c>
      <c r="AF148" s="140"/>
      <c r="AH148" s="140"/>
      <c r="AJ148" s="140"/>
      <c r="AK148" s="28"/>
      <c r="AL148" s="143">
        <f t="shared" si="1"/>
        <v>2407.54</v>
      </c>
      <c r="AM148" s="53">
        <f t="shared" si="2"/>
        <v>194</v>
      </c>
      <c r="AN148" s="53">
        <f t="shared" si="3"/>
        <v>0</v>
      </c>
      <c r="AO148" s="53">
        <f t="shared" si="4"/>
        <v>194</v>
      </c>
      <c r="AP148" s="61">
        <f t="shared" si="5"/>
        <v>12.41</v>
      </c>
    </row>
    <row r="149">
      <c r="A149" s="69" t="s">
        <v>31</v>
      </c>
      <c r="B149" s="70">
        <f t="shared" si="6"/>
        <v>45802</v>
      </c>
      <c r="C149" s="71">
        <v>6.0</v>
      </c>
      <c r="D149" s="71" t="s">
        <v>24</v>
      </c>
      <c r="E149" s="144" t="s">
        <v>39</v>
      </c>
      <c r="F149" s="145">
        <v>0.0</v>
      </c>
      <c r="G149" s="75"/>
      <c r="H149" s="146">
        <v>0.0</v>
      </c>
      <c r="I149" s="75"/>
      <c r="J149" s="146">
        <v>0.0</v>
      </c>
      <c r="K149" s="75"/>
      <c r="L149" s="145">
        <v>0.0</v>
      </c>
      <c r="M149" s="75"/>
      <c r="N149" s="146">
        <v>0.0</v>
      </c>
      <c r="O149" s="75"/>
      <c r="P149" s="146">
        <v>0.0</v>
      </c>
      <c r="Q149" s="75"/>
      <c r="R149" s="146">
        <v>0.0</v>
      </c>
      <c r="S149" s="75"/>
      <c r="T149" s="146">
        <v>0.0</v>
      </c>
      <c r="U149" s="75"/>
      <c r="V149" s="146">
        <v>0.0</v>
      </c>
      <c r="W149" s="75"/>
      <c r="X149" s="146">
        <v>0.0</v>
      </c>
      <c r="Y149" s="77"/>
      <c r="Z149" s="145">
        <v>0.0</v>
      </c>
      <c r="AA149" s="75"/>
      <c r="AB149" s="146">
        <v>0.0</v>
      </c>
      <c r="AC149" s="75"/>
      <c r="AD149" s="146">
        <v>0.0</v>
      </c>
      <c r="AE149" s="75"/>
      <c r="AF149" s="147"/>
      <c r="AG149" s="75"/>
      <c r="AH149" s="147"/>
      <c r="AI149" s="75"/>
      <c r="AJ149" s="147"/>
      <c r="AK149" s="77"/>
      <c r="AL149" s="148">
        <f t="shared" si="1"/>
        <v>0</v>
      </c>
      <c r="AM149" s="71">
        <f t="shared" si="2"/>
        <v>0</v>
      </c>
      <c r="AN149" s="71">
        <f t="shared" si="3"/>
        <v>0</v>
      </c>
      <c r="AO149" s="71">
        <f t="shared" si="4"/>
        <v>0</v>
      </c>
      <c r="AP149" s="80" t="str">
        <f t="shared" si="5"/>
        <v/>
      </c>
    </row>
    <row r="150">
      <c r="A150" s="19" t="s">
        <v>23</v>
      </c>
      <c r="B150" s="81">
        <f t="shared" si="6"/>
        <v>45803</v>
      </c>
      <c r="C150" s="21">
        <v>6.0</v>
      </c>
      <c r="D150" s="21" t="s">
        <v>32</v>
      </c>
      <c r="E150" s="82" t="s">
        <v>39</v>
      </c>
      <c r="F150" s="25">
        <v>0.0</v>
      </c>
      <c r="H150" s="26">
        <v>0.0</v>
      </c>
      <c r="J150" s="26">
        <v>0.0</v>
      </c>
      <c r="L150" s="25">
        <v>0.0</v>
      </c>
      <c r="N150" s="26">
        <v>0.0</v>
      </c>
      <c r="P150" s="26">
        <v>0.0</v>
      </c>
      <c r="R150" s="26">
        <v>50.0</v>
      </c>
      <c r="T150" s="26">
        <v>1.0</v>
      </c>
      <c r="V150" s="26">
        <v>1.0</v>
      </c>
      <c r="X150" s="26">
        <v>45.0</v>
      </c>
      <c r="Y150" s="28"/>
      <c r="Z150" s="25">
        <v>0.0</v>
      </c>
      <c r="AB150" s="26">
        <v>0.0</v>
      </c>
      <c r="AD150" s="26">
        <v>0.0</v>
      </c>
      <c r="AF150" s="30"/>
      <c r="AH150" s="30"/>
      <c r="AJ150" s="30"/>
      <c r="AK150" s="28"/>
      <c r="AL150" s="39">
        <f t="shared" si="1"/>
        <v>1287.03</v>
      </c>
      <c r="AM150" s="21">
        <f t="shared" si="2"/>
        <v>95</v>
      </c>
      <c r="AN150" s="21">
        <f t="shared" si="3"/>
        <v>2</v>
      </c>
      <c r="AO150" s="21">
        <f t="shared" si="4"/>
        <v>97</v>
      </c>
      <c r="AP150" s="46">
        <f t="shared" si="5"/>
        <v>13.26835052</v>
      </c>
    </row>
    <row r="151">
      <c r="A151" s="48" t="s">
        <v>26</v>
      </c>
      <c r="B151" s="51">
        <f t="shared" si="6"/>
        <v>45804</v>
      </c>
      <c r="C151" s="53">
        <v>6.0</v>
      </c>
      <c r="D151" s="53" t="s">
        <v>32</v>
      </c>
      <c r="E151" s="142" t="s">
        <v>39</v>
      </c>
      <c r="F151" s="25">
        <v>0.0</v>
      </c>
      <c r="H151" s="26">
        <v>0.0</v>
      </c>
      <c r="J151" s="26">
        <v>0.0</v>
      </c>
      <c r="L151" s="25">
        <v>0.0</v>
      </c>
      <c r="N151" s="26">
        <v>87.0</v>
      </c>
      <c r="P151" s="26">
        <v>80.0</v>
      </c>
      <c r="R151" s="26">
        <v>50.0</v>
      </c>
      <c r="T151" s="26">
        <v>0.0</v>
      </c>
      <c r="V151" s="26">
        <v>0.0</v>
      </c>
      <c r="X151" s="26">
        <v>45.0</v>
      </c>
      <c r="Y151" s="28"/>
      <c r="Z151" s="25">
        <v>0.0</v>
      </c>
      <c r="AB151" s="26">
        <v>24.0</v>
      </c>
      <c r="AD151" s="26">
        <v>0.0</v>
      </c>
      <c r="AF151" s="30"/>
      <c r="AH151" s="30"/>
      <c r="AJ151" s="30"/>
      <c r="AK151" s="28"/>
      <c r="AL151" s="60">
        <f t="shared" si="1"/>
        <v>2892.21</v>
      </c>
      <c r="AM151" s="53">
        <f t="shared" si="2"/>
        <v>286</v>
      </c>
      <c r="AN151" s="53">
        <f t="shared" si="3"/>
        <v>0</v>
      </c>
      <c r="AO151" s="53">
        <f t="shared" si="4"/>
        <v>286</v>
      </c>
      <c r="AP151" s="61">
        <f t="shared" si="5"/>
        <v>10.11262238</v>
      </c>
    </row>
    <row r="152">
      <c r="A152" s="48" t="s">
        <v>27</v>
      </c>
      <c r="B152" s="51">
        <f t="shared" si="6"/>
        <v>45805</v>
      </c>
      <c r="C152" s="53">
        <v>6.0</v>
      </c>
      <c r="D152" s="53" t="s">
        <v>32</v>
      </c>
      <c r="E152" s="142" t="s">
        <v>39</v>
      </c>
      <c r="F152" s="25">
        <v>0.0</v>
      </c>
      <c r="H152" s="26">
        <v>0.0</v>
      </c>
      <c r="J152" s="26">
        <v>0.0</v>
      </c>
      <c r="L152" s="25">
        <v>87.0</v>
      </c>
      <c r="N152" s="26">
        <v>87.0</v>
      </c>
      <c r="P152" s="26">
        <v>0.0</v>
      </c>
      <c r="R152" s="26">
        <v>0.0</v>
      </c>
      <c r="T152" s="26">
        <v>0.0</v>
      </c>
      <c r="V152" s="26">
        <v>0.0</v>
      </c>
      <c r="X152" s="26">
        <v>0.0</v>
      </c>
      <c r="Y152" s="28"/>
      <c r="Z152" s="25">
        <v>24.0</v>
      </c>
      <c r="AB152" s="26">
        <v>24.0</v>
      </c>
      <c r="AD152" s="26">
        <v>0.0</v>
      </c>
      <c r="AF152" s="30"/>
      <c r="AH152" s="30"/>
      <c r="AJ152" s="30"/>
      <c r="AK152" s="28"/>
      <c r="AL152" s="60">
        <f t="shared" si="1"/>
        <v>2755.02</v>
      </c>
      <c r="AM152" s="53">
        <f t="shared" si="2"/>
        <v>222</v>
      </c>
      <c r="AN152" s="53">
        <f t="shared" si="3"/>
        <v>0</v>
      </c>
      <c r="AO152" s="53">
        <f t="shared" si="4"/>
        <v>222</v>
      </c>
      <c r="AP152" s="61">
        <f t="shared" si="5"/>
        <v>12.41</v>
      </c>
    </row>
    <row r="153">
      <c r="A153" s="48" t="s">
        <v>28</v>
      </c>
      <c r="B153" s="51">
        <f t="shared" si="6"/>
        <v>45806</v>
      </c>
      <c r="C153" s="53">
        <v>6.0</v>
      </c>
      <c r="D153" s="53" t="s">
        <v>32</v>
      </c>
      <c r="E153" s="142" t="s">
        <v>39</v>
      </c>
      <c r="F153" s="25">
        <v>0.0</v>
      </c>
      <c r="H153" s="26">
        <v>0.0</v>
      </c>
      <c r="J153" s="26">
        <v>0.0</v>
      </c>
      <c r="L153" s="25">
        <v>0.0</v>
      </c>
      <c r="N153" s="26">
        <v>87.0</v>
      </c>
      <c r="P153" s="26">
        <v>80.0</v>
      </c>
      <c r="R153" s="26">
        <v>50.0</v>
      </c>
      <c r="T153" s="26">
        <v>0.0</v>
      </c>
      <c r="V153" s="26">
        <v>0.0</v>
      </c>
      <c r="X153" s="26">
        <v>45.0</v>
      </c>
      <c r="Y153" s="28"/>
      <c r="Z153" s="25">
        <v>0.0</v>
      </c>
      <c r="AB153" s="26">
        <v>24.0</v>
      </c>
      <c r="AD153" s="26">
        <v>0.0</v>
      </c>
      <c r="AF153" s="30"/>
      <c r="AH153" s="30"/>
      <c r="AJ153" s="30"/>
      <c r="AK153" s="28"/>
      <c r="AL153" s="60">
        <f t="shared" si="1"/>
        <v>2892.21</v>
      </c>
      <c r="AM153" s="53">
        <f t="shared" si="2"/>
        <v>286</v>
      </c>
      <c r="AN153" s="53">
        <f t="shared" si="3"/>
        <v>0</v>
      </c>
      <c r="AO153" s="53">
        <f t="shared" si="4"/>
        <v>286</v>
      </c>
      <c r="AP153" s="61">
        <f t="shared" si="5"/>
        <v>10.11262238</v>
      </c>
    </row>
    <row r="154">
      <c r="A154" s="48" t="s">
        <v>29</v>
      </c>
      <c r="B154" s="51">
        <f t="shared" si="6"/>
        <v>45807</v>
      </c>
      <c r="C154" s="53">
        <v>6.0</v>
      </c>
      <c r="D154" s="53" t="s">
        <v>32</v>
      </c>
      <c r="E154" s="142" t="s">
        <v>39</v>
      </c>
      <c r="F154" s="25">
        <v>0.0</v>
      </c>
      <c r="H154" s="26">
        <v>0.0</v>
      </c>
      <c r="J154" s="26">
        <v>0.0</v>
      </c>
      <c r="L154" s="25">
        <v>0.0</v>
      </c>
      <c r="N154" s="26">
        <v>87.0</v>
      </c>
      <c r="P154" s="26">
        <v>80.0</v>
      </c>
      <c r="R154" s="26">
        <v>50.0</v>
      </c>
      <c r="T154" s="26">
        <v>0.0</v>
      </c>
      <c r="V154" s="26">
        <v>0.0</v>
      </c>
      <c r="X154" s="26">
        <v>45.0</v>
      </c>
      <c r="Y154" s="28"/>
      <c r="Z154" s="25">
        <v>0.0</v>
      </c>
      <c r="AB154" s="26">
        <v>24.0</v>
      </c>
      <c r="AD154" s="26">
        <v>0.0</v>
      </c>
      <c r="AF154" s="30"/>
      <c r="AH154" s="30"/>
      <c r="AJ154" s="30"/>
      <c r="AK154" s="28"/>
      <c r="AL154" s="60">
        <f t="shared" si="1"/>
        <v>2892.21</v>
      </c>
      <c r="AM154" s="53">
        <f t="shared" si="2"/>
        <v>286</v>
      </c>
      <c r="AN154" s="53">
        <f t="shared" si="3"/>
        <v>0</v>
      </c>
      <c r="AO154" s="53">
        <f t="shared" si="4"/>
        <v>286</v>
      </c>
      <c r="AP154" s="61">
        <f t="shared" si="5"/>
        <v>10.11262238</v>
      </c>
    </row>
    <row r="155">
      <c r="A155" s="48" t="s">
        <v>30</v>
      </c>
      <c r="B155" s="51">
        <f t="shared" si="6"/>
        <v>45808</v>
      </c>
      <c r="C155" s="53">
        <v>6.0</v>
      </c>
      <c r="D155" s="53" t="s">
        <v>32</v>
      </c>
      <c r="E155" s="142" t="s">
        <v>39</v>
      </c>
      <c r="F155" s="25">
        <v>0.0</v>
      </c>
      <c r="H155" s="26">
        <v>0.0</v>
      </c>
      <c r="J155" s="26">
        <v>0.0</v>
      </c>
      <c r="L155" s="25">
        <v>87.0</v>
      </c>
      <c r="N155" s="26">
        <v>87.0</v>
      </c>
      <c r="P155" s="26">
        <v>0.0</v>
      </c>
      <c r="R155" s="26">
        <v>0.0</v>
      </c>
      <c r="T155" s="26">
        <v>0.0</v>
      </c>
      <c r="V155" s="26">
        <v>0.0</v>
      </c>
      <c r="X155" s="26">
        <v>0.0</v>
      </c>
      <c r="Y155" s="28"/>
      <c r="Z155" s="25">
        <v>10.0</v>
      </c>
      <c r="AB155" s="26">
        <v>10.0</v>
      </c>
      <c r="AD155" s="26">
        <v>0.0</v>
      </c>
      <c r="AF155" s="30"/>
      <c r="AH155" s="30"/>
      <c r="AJ155" s="30"/>
      <c r="AK155" s="28"/>
      <c r="AL155" s="60">
        <f t="shared" si="1"/>
        <v>2407.54</v>
      </c>
      <c r="AM155" s="53">
        <f t="shared" si="2"/>
        <v>194</v>
      </c>
      <c r="AN155" s="53">
        <f t="shared" si="3"/>
        <v>0</v>
      </c>
      <c r="AO155" s="53">
        <f t="shared" si="4"/>
        <v>194</v>
      </c>
      <c r="AP155" s="61">
        <f t="shared" si="5"/>
        <v>12.41</v>
      </c>
    </row>
    <row r="156">
      <c r="A156" s="69" t="s">
        <v>31</v>
      </c>
      <c r="B156" s="70">
        <f t="shared" si="6"/>
        <v>45809</v>
      </c>
      <c r="C156" s="71">
        <v>6.0</v>
      </c>
      <c r="D156" s="71" t="s">
        <v>32</v>
      </c>
      <c r="E156" s="144" t="s">
        <v>39</v>
      </c>
      <c r="F156" s="74">
        <v>0.0</v>
      </c>
      <c r="G156" s="75"/>
      <c r="H156" s="76">
        <v>0.0</v>
      </c>
      <c r="I156" s="75"/>
      <c r="J156" s="76">
        <v>0.0</v>
      </c>
      <c r="K156" s="75"/>
      <c r="L156" s="74">
        <v>0.0</v>
      </c>
      <c r="M156" s="75"/>
      <c r="N156" s="76">
        <v>0.0</v>
      </c>
      <c r="O156" s="75"/>
      <c r="P156" s="76">
        <v>0.0</v>
      </c>
      <c r="Q156" s="75"/>
      <c r="R156" s="76">
        <v>0.0</v>
      </c>
      <c r="S156" s="75"/>
      <c r="T156" s="76">
        <v>0.0</v>
      </c>
      <c r="U156" s="75"/>
      <c r="V156" s="76">
        <v>0.0</v>
      </c>
      <c r="W156" s="75"/>
      <c r="X156" s="76">
        <v>0.0</v>
      </c>
      <c r="Y156" s="77"/>
      <c r="Z156" s="74">
        <v>0.0</v>
      </c>
      <c r="AA156" s="75"/>
      <c r="AB156" s="76">
        <v>0.0</v>
      </c>
      <c r="AC156" s="75"/>
      <c r="AD156" s="76">
        <v>0.0</v>
      </c>
      <c r="AE156" s="75"/>
      <c r="AF156" s="78"/>
      <c r="AG156" s="75"/>
      <c r="AH156" s="78"/>
      <c r="AI156" s="75"/>
      <c r="AJ156" s="78"/>
      <c r="AK156" s="77"/>
      <c r="AL156" s="79">
        <f t="shared" si="1"/>
        <v>0</v>
      </c>
      <c r="AM156" s="71">
        <f t="shared" si="2"/>
        <v>0</v>
      </c>
      <c r="AN156" s="71">
        <f t="shared" si="3"/>
        <v>0</v>
      </c>
      <c r="AO156" s="71">
        <f t="shared" si="4"/>
        <v>0</v>
      </c>
      <c r="AP156" s="80" t="str">
        <f t="shared" si="5"/>
        <v/>
      </c>
    </row>
    <row r="157">
      <c r="A157" s="19" t="s">
        <v>23</v>
      </c>
      <c r="B157" s="81">
        <f t="shared" si="6"/>
        <v>45810</v>
      </c>
      <c r="C157" s="21">
        <v>6.0</v>
      </c>
      <c r="D157" s="21" t="s">
        <v>33</v>
      </c>
      <c r="E157" s="82" t="s">
        <v>39</v>
      </c>
      <c r="F157" s="25">
        <v>0.0</v>
      </c>
      <c r="H157" s="26">
        <v>0.0</v>
      </c>
      <c r="J157" s="26">
        <v>0.0</v>
      </c>
      <c r="L157" s="25">
        <v>0.0</v>
      </c>
      <c r="N157" s="26">
        <v>87.0</v>
      </c>
      <c r="P157" s="26">
        <v>80.0</v>
      </c>
      <c r="R157" s="26">
        <v>50.0</v>
      </c>
      <c r="T157" s="26">
        <v>1.0</v>
      </c>
      <c r="V157" s="26">
        <v>1.0</v>
      </c>
      <c r="X157" s="26">
        <v>45.0</v>
      </c>
      <c r="Y157" s="28"/>
      <c r="Z157" s="25">
        <v>0.0</v>
      </c>
      <c r="AB157" s="26">
        <v>24.0</v>
      </c>
      <c r="AD157" s="26">
        <v>0.0</v>
      </c>
      <c r="AF157" s="30"/>
      <c r="AH157" s="30"/>
      <c r="AJ157" s="30"/>
      <c r="AK157" s="28"/>
      <c r="AL157" s="39">
        <f t="shared" si="1"/>
        <v>3657.34</v>
      </c>
      <c r="AM157" s="149">
        <f t="shared" si="2"/>
        <v>286</v>
      </c>
      <c r="AN157" s="21">
        <f t="shared" si="3"/>
        <v>2</v>
      </c>
      <c r="AO157" s="21">
        <f t="shared" si="4"/>
        <v>288</v>
      </c>
      <c r="AP157" s="46">
        <f t="shared" si="5"/>
        <v>12.69909722</v>
      </c>
    </row>
    <row r="158">
      <c r="A158" s="48" t="s">
        <v>26</v>
      </c>
      <c r="B158" s="51">
        <f t="shared" si="6"/>
        <v>45811</v>
      </c>
      <c r="C158" s="53">
        <v>6.0</v>
      </c>
      <c r="D158" s="53" t="s">
        <v>33</v>
      </c>
      <c r="E158" s="142" t="s">
        <v>39</v>
      </c>
      <c r="F158" s="25">
        <v>0.0</v>
      </c>
      <c r="H158" s="26">
        <v>0.0</v>
      </c>
      <c r="J158" s="26">
        <v>0.0</v>
      </c>
      <c r="L158" s="25">
        <v>0.0</v>
      </c>
      <c r="N158" s="26">
        <v>87.0</v>
      </c>
      <c r="P158" s="26">
        <v>80.0</v>
      </c>
      <c r="R158" s="26">
        <v>0.0</v>
      </c>
      <c r="T158" s="26">
        <v>0.0</v>
      </c>
      <c r="V158" s="26">
        <v>0.0</v>
      </c>
      <c r="X158" s="26">
        <v>45.0</v>
      </c>
      <c r="Y158" s="28"/>
      <c r="Z158" s="25">
        <v>0.0</v>
      </c>
      <c r="AB158" s="26">
        <v>24.0</v>
      </c>
      <c r="AD158" s="26">
        <v>0.0</v>
      </c>
      <c r="AF158" s="30"/>
      <c r="AH158" s="30"/>
      <c r="AJ158" s="30"/>
      <c r="AK158" s="28"/>
      <c r="AL158" s="60">
        <f t="shared" si="1"/>
        <v>2645.71</v>
      </c>
      <c r="AM158" s="150">
        <f t="shared" si="2"/>
        <v>236</v>
      </c>
      <c r="AN158" s="53">
        <f t="shared" si="3"/>
        <v>0</v>
      </c>
      <c r="AO158" s="53">
        <f t="shared" si="4"/>
        <v>236</v>
      </c>
      <c r="AP158" s="61">
        <f t="shared" si="5"/>
        <v>11.21063559</v>
      </c>
    </row>
    <row r="159">
      <c r="A159" s="48" t="s">
        <v>27</v>
      </c>
      <c r="B159" s="51">
        <f t="shared" si="6"/>
        <v>45812</v>
      </c>
      <c r="C159" s="53">
        <v>6.0</v>
      </c>
      <c r="D159" s="53" t="s">
        <v>33</v>
      </c>
      <c r="E159" s="142" t="s">
        <v>39</v>
      </c>
      <c r="F159" s="25">
        <v>0.0</v>
      </c>
      <c r="H159" s="26">
        <v>0.0</v>
      </c>
      <c r="J159" s="26">
        <v>0.0</v>
      </c>
      <c r="L159" s="25">
        <v>87.0</v>
      </c>
      <c r="N159" s="26">
        <v>87.0</v>
      </c>
      <c r="P159" s="26">
        <v>0.0</v>
      </c>
      <c r="R159" s="26">
        <v>0.0</v>
      </c>
      <c r="T159" s="26">
        <v>0.0</v>
      </c>
      <c r="V159" s="26">
        <v>0.0</v>
      </c>
      <c r="X159" s="26">
        <v>0.0</v>
      </c>
      <c r="Y159" s="28"/>
      <c r="Z159" s="25">
        <v>24.0</v>
      </c>
      <c r="AB159" s="26">
        <v>24.0</v>
      </c>
      <c r="AD159" s="26">
        <v>0.0</v>
      </c>
      <c r="AF159" s="30"/>
      <c r="AH159" s="30"/>
      <c r="AJ159" s="30"/>
      <c r="AK159" s="28"/>
      <c r="AL159" s="60">
        <f t="shared" si="1"/>
        <v>2755.02</v>
      </c>
      <c r="AM159" s="150">
        <f t="shared" si="2"/>
        <v>222</v>
      </c>
      <c r="AN159" s="53">
        <f t="shared" si="3"/>
        <v>0</v>
      </c>
      <c r="AO159" s="53">
        <f t="shared" si="4"/>
        <v>222</v>
      </c>
      <c r="AP159" s="61">
        <f t="shared" si="5"/>
        <v>12.41</v>
      </c>
    </row>
    <row r="160">
      <c r="A160" s="48" t="s">
        <v>28</v>
      </c>
      <c r="B160" s="51">
        <f t="shared" si="6"/>
        <v>45813</v>
      </c>
      <c r="C160" s="53">
        <v>6.0</v>
      </c>
      <c r="D160" s="53" t="s">
        <v>33</v>
      </c>
      <c r="E160" s="142" t="s">
        <v>39</v>
      </c>
      <c r="F160" s="25">
        <v>0.0</v>
      </c>
      <c r="H160" s="26">
        <v>0.0</v>
      </c>
      <c r="J160" s="26">
        <v>0.0</v>
      </c>
      <c r="L160" s="25">
        <v>0.0</v>
      </c>
      <c r="N160" s="26">
        <v>87.0</v>
      </c>
      <c r="P160" s="26">
        <v>80.0</v>
      </c>
      <c r="R160" s="26">
        <v>50.0</v>
      </c>
      <c r="T160" s="26">
        <v>0.0</v>
      </c>
      <c r="V160" s="26">
        <v>0.0</v>
      </c>
      <c r="X160" s="26">
        <v>45.0</v>
      </c>
      <c r="Y160" s="28"/>
      <c r="Z160" s="25">
        <v>0.0</v>
      </c>
      <c r="AB160" s="26">
        <v>24.0</v>
      </c>
      <c r="AD160" s="26">
        <v>0.0</v>
      </c>
      <c r="AF160" s="30"/>
      <c r="AH160" s="30"/>
      <c r="AJ160" s="30"/>
      <c r="AK160" s="28"/>
      <c r="AL160" s="60">
        <f t="shared" si="1"/>
        <v>2892.21</v>
      </c>
      <c r="AM160" s="150">
        <f t="shared" si="2"/>
        <v>286</v>
      </c>
      <c r="AN160" s="53">
        <f t="shared" si="3"/>
        <v>0</v>
      </c>
      <c r="AO160" s="53">
        <f t="shared" si="4"/>
        <v>286</v>
      </c>
      <c r="AP160" s="61">
        <f t="shared" si="5"/>
        <v>10.11262238</v>
      </c>
    </row>
    <row r="161">
      <c r="A161" s="48" t="s">
        <v>29</v>
      </c>
      <c r="B161" s="51">
        <f t="shared" si="6"/>
        <v>45814</v>
      </c>
      <c r="C161" s="53">
        <v>6.0</v>
      </c>
      <c r="D161" s="53" t="s">
        <v>33</v>
      </c>
      <c r="E161" s="142" t="s">
        <v>39</v>
      </c>
      <c r="F161" s="25">
        <v>0.0</v>
      </c>
      <c r="H161" s="26">
        <v>0.0</v>
      </c>
      <c r="J161" s="26">
        <v>0.0</v>
      </c>
      <c r="L161" s="25">
        <v>0.0</v>
      </c>
      <c r="N161" s="26">
        <v>87.0</v>
      </c>
      <c r="P161" s="26">
        <v>80.0</v>
      </c>
      <c r="R161" s="26">
        <v>50.0</v>
      </c>
      <c r="T161" s="26">
        <v>0.0</v>
      </c>
      <c r="V161" s="26">
        <v>0.0</v>
      </c>
      <c r="X161" s="26">
        <v>45.0</v>
      </c>
      <c r="Y161" s="28"/>
      <c r="Z161" s="25">
        <v>0.0</v>
      </c>
      <c r="AB161" s="26">
        <v>24.0</v>
      </c>
      <c r="AD161" s="26">
        <v>0.0</v>
      </c>
      <c r="AF161" s="30"/>
      <c r="AH161" s="30"/>
      <c r="AJ161" s="30"/>
      <c r="AK161" s="28"/>
      <c r="AL161" s="60">
        <f t="shared" si="1"/>
        <v>2892.21</v>
      </c>
      <c r="AM161" s="150">
        <f t="shared" si="2"/>
        <v>286</v>
      </c>
      <c r="AN161" s="53">
        <f t="shared" si="3"/>
        <v>0</v>
      </c>
      <c r="AO161" s="53">
        <f t="shared" si="4"/>
        <v>286</v>
      </c>
      <c r="AP161" s="61">
        <f t="shared" si="5"/>
        <v>10.11262238</v>
      </c>
    </row>
    <row r="162">
      <c r="A162" s="48" t="s">
        <v>30</v>
      </c>
      <c r="B162" s="51">
        <f t="shared" si="6"/>
        <v>45815</v>
      </c>
      <c r="C162" s="53">
        <v>6.0</v>
      </c>
      <c r="D162" s="53" t="s">
        <v>33</v>
      </c>
      <c r="E162" s="142" t="s">
        <v>39</v>
      </c>
      <c r="F162" s="25">
        <v>0.0</v>
      </c>
      <c r="H162" s="26">
        <v>0.0</v>
      </c>
      <c r="J162" s="26">
        <v>0.0</v>
      </c>
      <c r="L162" s="25">
        <v>87.0</v>
      </c>
      <c r="N162" s="26">
        <v>87.0</v>
      </c>
      <c r="P162" s="26">
        <v>0.0</v>
      </c>
      <c r="R162" s="26">
        <v>50.0</v>
      </c>
      <c r="T162" s="26">
        <v>0.0</v>
      </c>
      <c r="V162" s="26">
        <v>0.0</v>
      </c>
      <c r="X162" s="26">
        <v>0.0</v>
      </c>
      <c r="Y162" s="28"/>
      <c r="Z162" s="25">
        <v>10.0</v>
      </c>
      <c r="AB162" s="26">
        <v>10.0</v>
      </c>
      <c r="AD162" s="26"/>
      <c r="AF162" s="30"/>
      <c r="AH162" s="30"/>
      <c r="AJ162" s="30"/>
      <c r="AK162" s="28"/>
      <c r="AL162" s="60">
        <f t="shared" si="1"/>
        <v>2654.04</v>
      </c>
      <c r="AM162" s="150">
        <f t="shared" si="2"/>
        <v>244</v>
      </c>
      <c r="AN162" s="53">
        <f t="shared" si="3"/>
        <v>0</v>
      </c>
      <c r="AO162" s="53">
        <f t="shared" si="4"/>
        <v>244</v>
      </c>
      <c r="AP162" s="61">
        <f t="shared" si="5"/>
        <v>10.87721311</v>
      </c>
    </row>
    <row r="163">
      <c r="A163" s="69" t="s">
        <v>31</v>
      </c>
      <c r="B163" s="70">
        <f t="shared" si="6"/>
        <v>45816</v>
      </c>
      <c r="C163" s="71">
        <v>6.0</v>
      </c>
      <c r="D163" s="71" t="s">
        <v>33</v>
      </c>
      <c r="E163" s="144" t="s">
        <v>39</v>
      </c>
      <c r="F163" s="74">
        <v>0.0</v>
      </c>
      <c r="G163" s="75"/>
      <c r="H163" s="76">
        <v>0.0</v>
      </c>
      <c r="I163" s="75"/>
      <c r="J163" s="76">
        <v>0.0</v>
      </c>
      <c r="K163" s="75"/>
      <c r="L163" s="74">
        <v>0.0</v>
      </c>
      <c r="M163" s="75"/>
      <c r="N163" s="76">
        <v>0.0</v>
      </c>
      <c r="O163" s="75"/>
      <c r="P163" s="76">
        <v>0.0</v>
      </c>
      <c r="Q163" s="75"/>
      <c r="R163" s="76">
        <v>0.0</v>
      </c>
      <c r="S163" s="75"/>
      <c r="T163" s="76">
        <v>0.0</v>
      </c>
      <c r="U163" s="75"/>
      <c r="V163" s="76">
        <v>0.0</v>
      </c>
      <c r="W163" s="75"/>
      <c r="X163" s="76">
        <v>0.0</v>
      </c>
      <c r="Y163" s="77"/>
      <c r="Z163" s="74">
        <v>0.0</v>
      </c>
      <c r="AA163" s="75"/>
      <c r="AB163" s="76">
        <v>0.0</v>
      </c>
      <c r="AC163" s="75"/>
      <c r="AD163" s="76">
        <v>0.0</v>
      </c>
      <c r="AE163" s="75"/>
      <c r="AF163" s="78"/>
      <c r="AG163" s="75"/>
      <c r="AH163" s="78"/>
      <c r="AI163" s="75"/>
      <c r="AJ163" s="78"/>
      <c r="AK163" s="77"/>
      <c r="AL163" s="79">
        <f t="shared" si="1"/>
        <v>0</v>
      </c>
      <c r="AM163" s="151">
        <f t="shared" si="2"/>
        <v>0</v>
      </c>
      <c r="AN163" s="71">
        <f t="shared" si="3"/>
        <v>0</v>
      </c>
      <c r="AO163" s="71">
        <f t="shared" si="4"/>
        <v>0</v>
      </c>
      <c r="AP163" s="80" t="str">
        <f t="shared" si="5"/>
        <v/>
      </c>
    </row>
    <row r="164">
      <c r="A164" s="19" t="s">
        <v>23</v>
      </c>
      <c r="B164" s="81">
        <f t="shared" si="6"/>
        <v>45817</v>
      </c>
      <c r="C164" s="21">
        <v>6.0</v>
      </c>
      <c r="D164" s="21" t="s">
        <v>36</v>
      </c>
      <c r="E164" s="137" t="s">
        <v>39</v>
      </c>
      <c r="F164" s="25">
        <v>0.0</v>
      </c>
      <c r="H164" s="26">
        <v>0.0</v>
      </c>
      <c r="J164" s="26">
        <v>0.0</v>
      </c>
      <c r="L164" s="25">
        <v>0.0</v>
      </c>
      <c r="N164" s="26">
        <v>87.0</v>
      </c>
      <c r="P164" s="26">
        <v>80.0</v>
      </c>
      <c r="R164" s="26">
        <v>50.0</v>
      </c>
      <c r="T164" s="26">
        <v>1.0</v>
      </c>
      <c r="V164" s="26">
        <v>1.0</v>
      </c>
      <c r="X164" s="26">
        <v>45.0</v>
      </c>
      <c r="Y164" s="28"/>
      <c r="Z164" s="25">
        <v>0.0</v>
      </c>
      <c r="AB164" s="26">
        <v>22.0</v>
      </c>
      <c r="AD164" s="26">
        <v>0.0</v>
      </c>
      <c r="AF164" s="30"/>
      <c r="AH164" s="30"/>
      <c r="AJ164" s="30"/>
      <c r="AK164" s="28"/>
      <c r="AL164" s="39">
        <f t="shared" si="1"/>
        <v>3632.52</v>
      </c>
      <c r="AM164" s="149">
        <f t="shared" si="2"/>
        <v>284</v>
      </c>
      <c r="AN164" s="21">
        <f t="shared" si="3"/>
        <v>2</v>
      </c>
      <c r="AO164" s="21">
        <f t="shared" si="4"/>
        <v>286</v>
      </c>
      <c r="AP164" s="46">
        <f t="shared" si="5"/>
        <v>12.70111888</v>
      </c>
    </row>
    <row r="165">
      <c r="A165" s="48" t="s">
        <v>26</v>
      </c>
      <c r="B165" s="51">
        <f t="shared" si="6"/>
        <v>45818</v>
      </c>
      <c r="C165" s="53">
        <v>6.0</v>
      </c>
      <c r="D165" s="53" t="s">
        <v>36</v>
      </c>
      <c r="E165" s="142" t="s">
        <v>39</v>
      </c>
      <c r="F165" s="25">
        <v>0.0</v>
      </c>
      <c r="H165" s="26">
        <v>0.0</v>
      </c>
      <c r="J165" s="26">
        <v>0.0</v>
      </c>
      <c r="L165" s="25">
        <v>0.0</v>
      </c>
      <c r="N165" s="26">
        <v>87.0</v>
      </c>
      <c r="P165" s="26">
        <v>80.0</v>
      </c>
      <c r="R165" s="26">
        <v>50.0</v>
      </c>
      <c r="T165" s="26">
        <v>0.0</v>
      </c>
      <c r="V165" s="26">
        <v>0.0</v>
      </c>
      <c r="X165" s="26">
        <v>45.0</v>
      </c>
      <c r="Y165" s="28"/>
      <c r="Z165" s="25">
        <v>0.0</v>
      </c>
      <c r="AB165" s="26">
        <v>22.0</v>
      </c>
      <c r="AD165" s="26">
        <v>0.0</v>
      </c>
      <c r="AF165" s="30"/>
      <c r="AH165" s="30"/>
      <c r="AJ165" s="30"/>
      <c r="AK165" s="28"/>
      <c r="AL165" s="60">
        <f t="shared" si="1"/>
        <v>2867.39</v>
      </c>
      <c r="AM165" s="150">
        <f t="shared" si="2"/>
        <v>284</v>
      </c>
      <c r="AN165" s="53">
        <f t="shared" si="3"/>
        <v>0</v>
      </c>
      <c r="AO165" s="53">
        <f t="shared" si="4"/>
        <v>284</v>
      </c>
      <c r="AP165" s="61">
        <f t="shared" si="5"/>
        <v>10.09644366</v>
      </c>
    </row>
    <row r="166">
      <c r="A166" s="48" t="s">
        <v>27</v>
      </c>
      <c r="B166" s="51">
        <f t="shared" si="6"/>
        <v>45819</v>
      </c>
      <c r="C166" s="53">
        <v>6.0</v>
      </c>
      <c r="D166" s="53" t="s">
        <v>36</v>
      </c>
      <c r="E166" s="142" t="s">
        <v>39</v>
      </c>
      <c r="F166" s="25">
        <v>0.0</v>
      </c>
      <c r="H166" s="26">
        <v>0.0</v>
      </c>
      <c r="J166" s="26">
        <v>0.0</v>
      </c>
      <c r="L166" s="25">
        <v>0.0</v>
      </c>
      <c r="N166" s="26">
        <v>87.0</v>
      </c>
      <c r="P166" s="26">
        <v>80.0</v>
      </c>
      <c r="R166" s="26">
        <v>50.0</v>
      </c>
      <c r="T166" s="26">
        <v>0.0</v>
      </c>
      <c r="V166" s="26">
        <v>0.0</v>
      </c>
      <c r="X166" s="26">
        <v>45.0</v>
      </c>
      <c r="Y166" s="28"/>
      <c r="Z166" s="25">
        <v>0.0</v>
      </c>
      <c r="AB166" s="26">
        <v>22.0</v>
      </c>
      <c r="AD166" s="26">
        <v>0.0</v>
      </c>
      <c r="AF166" s="30"/>
      <c r="AH166" s="30"/>
      <c r="AJ166" s="30"/>
      <c r="AK166" s="28"/>
      <c r="AL166" s="60">
        <f t="shared" si="1"/>
        <v>2867.39</v>
      </c>
      <c r="AM166" s="150">
        <f t="shared" si="2"/>
        <v>284</v>
      </c>
      <c r="AN166" s="53">
        <f t="shared" si="3"/>
        <v>0</v>
      </c>
      <c r="AO166" s="53">
        <f t="shared" si="4"/>
        <v>284</v>
      </c>
      <c r="AP166" s="61">
        <f t="shared" si="5"/>
        <v>10.09644366</v>
      </c>
    </row>
    <row r="167">
      <c r="A167" s="48" t="s">
        <v>28</v>
      </c>
      <c r="B167" s="51">
        <f t="shared" si="6"/>
        <v>45820</v>
      </c>
      <c r="C167" s="53">
        <v>6.0</v>
      </c>
      <c r="D167" s="53" t="s">
        <v>36</v>
      </c>
      <c r="E167" s="142" t="s">
        <v>39</v>
      </c>
      <c r="F167" s="25">
        <v>0.0</v>
      </c>
      <c r="H167" s="26">
        <v>0.0</v>
      </c>
      <c r="J167" s="26">
        <v>0.0</v>
      </c>
      <c r="L167" s="25">
        <v>87.0</v>
      </c>
      <c r="N167" s="26">
        <v>87.0</v>
      </c>
      <c r="P167" s="26">
        <v>0.0</v>
      </c>
      <c r="R167" s="26">
        <v>0.0</v>
      </c>
      <c r="T167" s="26">
        <v>0.0</v>
      </c>
      <c r="V167" s="26">
        <v>0.0</v>
      </c>
      <c r="X167" s="26">
        <v>0.0</v>
      </c>
      <c r="Y167" s="28"/>
      <c r="Z167" s="25">
        <v>22.0</v>
      </c>
      <c r="AB167" s="26">
        <v>22.0</v>
      </c>
      <c r="AD167" s="26">
        <v>0.0</v>
      </c>
      <c r="AF167" s="30"/>
      <c r="AH167" s="30"/>
      <c r="AJ167" s="30"/>
      <c r="AK167" s="28"/>
      <c r="AL167" s="60">
        <f t="shared" si="1"/>
        <v>2705.38</v>
      </c>
      <c r="AM167" s="150">
        <f t="shared" si="2"/>
        <v>218</v>
      </c>
      <c r="AN167" s="53">
        <f t="shared" si="3"/>
        <v>0</v>
      </c>
      <c r="AO167" s="53">
        <f t="shared" si="4"/>
        <v>218</v>
      </c>
      <c r="AP167" s="61">
        <f t="shared" si="5"/>
        <v>12.41</v>
      </c>
    </row>
    <row r="168">
      <c r="A168" s="48" t="s">
        <v>29</v>
      </c>
      <c r="B168" s="51">
        <f t="shared" si="6"/>
        <v>45821</v>
      </c>
      <c r="C168" s="53">
        <v>6.0</v>
      </c>
      <c r="D168" s="53" t="s">
        <v>36</v>
      </c>
      <c r="E168" s="142" t="s">
        <v>39</v>
      </c>
      <c r="F168" s="25">
        <v>0.0</v>
      </c>
      <c r="H168" s="26">
        <v>0.0</v>
      </c>
      <c r="J168" s="26">
        <v>0.0</v>
      </c>
      <c r="L168" s="25">
        <v>0.0</v>
      </c>
      <c r="N168" s="26">
        <v>87.0</v>
      </c>
      <c r="P168" s="26">
        <v>80.0</v>
      </c>
      <c r="R168" s="26">
        <v>50.0</v>
      </c>
      <c r="T168" s="26">
        <v>0.0</v>
      </c>
      <c r="V168" s="26">
        <v>0.0</v>
      </c>
      <c r="X168" s="26">
        <v>45.0</v>
      </c>
      <c r="Y168" s="28"/>
      <c r="Z168" s="25">
        <v>0.0</v>
      </c>
      <c r="AB168" s="26">
        <v>22.0</v>
      </c>
      <c r="AD168" s="26">
        <v>0.0</v>
      </c>
      <c r="AF168" s="30"/>
      <c r="AH168" s="30"/>
      <c r="AJ168" s="30"/>
      <c r="AK168" s="28"/>
      <c r="AL168" s="60">
        <f t="shared" si="1"/>
        <v>2867.39</v>
      </c>
      <c r="AM168" s="150">
        <f t="shared" si="2"/>
        <v>284</v>
      </c>
      <c r="AN168" s="53">
        <f t="shared" si="3"/>
        <v>0</v>
      </c>
      <c r="AO168" s="53">
        <f t="shared" si="4"/>
        <v>284</v>
      </c>
      <c r="AP168" s="61">
        <f t="shared" si="5"/>
        <v>10.09644366</v>
      </c>
    </row>
    <row r="169">
      <c r="A169" s="48" t="s">
        <v>30</v>
      </c>
      <c r="B169" s="51">
        <f t="shared" si="6"/>
        <v>45822</v>
      </c>
      <c r="C169" s="53">
        <v>6.0</v>
      </c>
      <c r="D169" s="53" t="s">
        <v>36</v>
      </c>
      <c r="E169" s="142" t="s">
        <v>39</v>
      </c>
      <c r="F169" s="25">
        <v>0.0</v>
      </c>
      <c r="H169" s="26">
        <v>0.0</v>
      </c>
      <c r="J169" s="26">
        <v>0.0</v>
      </c>
      <c r="L169" s="25">
        <v>87.0</v>
      </c>
      <c r="N169" s="26">
        <v>87.0</v>
      </c>
      <c r="P169" s="26">
        <v>0.0</v>
      </c>
      <c r="R169" s="26">
        <v>0.0</v>
      </c>
      <c r="T169" s="26">
        <v>0.0</v>
      </c>
      <c r="V169" s="26">
        <v>0.0</v>
      </c>
      <c r="X169" s="26">
        <v>0.0</v>
      </c>
      <c r="Y169" s="28"/>
      <c r="Z169" s="25">
        <v>10.0</v>
      </c>
      <c r="AB169" s="26">
        <v>10.0</v>
      </c>
      <c r="AD169" s="26">
        <v>0.0</v>
      </c>
      <c r="AF169" s="30"/>
      <c r="AH169" s="30"/>
      <c r="AJ169" s="30"/>
      <c r="AK169" s="28"/>
      <c r="AL169" s="60">
        <f t="shared" si="1"/>
        <v>2407.54</v>
      </c>
      <c r="AM169" s="150">
        <f t="shared" si="2"/>
        <v>194</v>
      </c>
      <c r="AN169" s="53">
        <f t="shared" si="3"/>
        <v>0</v>
      </c>
      <c r="AO169" s="53">
        <f t="shared" si="4"/>
        <v>194</v>
      </c>
      <c r="AP169" s="61">
        <f t="shared" si="5"/>
        <v>12.41</v>
      </c>
    </row>
    <row r="170">
      <c r="A170" s="69" t="s">
        <v>31</v>
      </c>
      <c r="B170" s="70">
        <f t="shared" si="6"/>
        <v>45823</v>
      </c>
      <c r="C170" s="71">
        <v>6.0</v>
      </c>
      <c r="D170" s="71" t="s">
        <v>36</v>
      </c>
      <c r="E170" s="144" t="s">
        <v>39</v>
      </c>
      <c r="F170" s="74">
        <v>0.0</v>
      </c>
      <c r="G170" s="75"/>
      <c r="H170" s="76">
        <v>0.0</v>
      </c>
      <c r="I170" s="75"/>
      <c r="J170" s="76">
        <v>0.0</v>
      </c>
      <c r="K170" s="75"/>
      <c r="L170" s="74">
        <v>0.0</v>
      </c>
      <c r="M170" s="75"/>
      <c r="N170" s="76">
        <v>0.0</v>
      </c>
      <c r="O170" s="75"/>
      <c r="P170" s="76">
        <v>0.0</v>
      </c>
      <c r="Q170" s="75"/>
      <c r="R170" s="76">
        <v>0.0</v>
      </c>
      <c r="S170" s="75"/>
      <c r="T170" s="76">
        <v>0.0</v>
      </c>
      <c r="U170" s="75"/>
      <c r="V170" s="76">
        <v>0.0</v>
      </c>
      <c r="W170" s="75"/>
      <c r="X170" s="76">
        <v>0.0</v>
      </c>
      <c r="Y170" s="77"/>
      <c r="Z170" s="74">
        <v>0.0</v>
      </c>
      <c r="AA170" s="75"/>
      <c r="AB170" s="76">
        <v>0.0</v>
      </c>
      <c r="AC170" s="75"/>
      <c r="AD170" s="76">
        <v>0.0</v>
      </c>
      <c r="AE170" s="75"/>
      <c r="AF170" s="78"/>
      <c r="AG170" s="75"/>
      <c r="AH170" s="78"/>
      <c r="AI170" s="75"/>
      <c r="AJ170" s="78"/>
      <c r="AK170" s="77"/>
      <c r="AL170" s="79">
        <f t="shared" si="1"/>
        <v>0</v>
      </c>
      <c r="AM170" s="151">
        <f t="shared" si="2"/>
        <v>0</v>
      </c>
      <c r="AN170" s="71">
        <f t="shared" si="3"/>
        <v>0</v>
      </c>
      <c r="AO170" s="71">
        <f t="shared" si="4"/>
        <v>0</v>
      </c>
      <c r="AP170" s="80" t="str">
        <f t="shared" si="5"/>
        <v/>
      </c>
    </row>
    <row r="171">
      <c r="A171" s="19" t="s">
        <v>23</v>
      </c>
      <c r="B171" s="81">
        <f t="shared" si="6"/>
        <v>45824</v>
      </c>
      <c r="C171" s="21">
        <v>7.0</v>
      </c>
      <c r="D171" s="21" t="s">
        <v>24</v>
      </c>
      <c r="E171" s="137" t="s">
        <v>39</v>
      </c>
      <c r="F171" s="25">
        <v>0.0</v>
      </c>
      <c r="H171" s="26">
        <v>0.0</v>
      </c>
      <c r="J171" s="26">
        <v>0.0</v>
      </c>
      <c r="L171" s="25">
        <v>0.0</v>
      </c>
      <c r="N171" s="26">
        <v>87.0</v>
      </c>
      <c r="P171" s="26">
        <v>80.0</v>
      </c>
      <c r="R171" s="26">
        <v>50.0</v>
      </c>
      <c r="T171" s="26">
        <v>1.0</v>
      </c>
      <c r="V171" s="26">
        <v>1.0</v>
      </c>
      <c r="X171" s="26">
        <v>45.0</v>
      </c>
      <c r="Y171" s="28"/>
      <c r="Z171" s="25">
        <v>0.0</v>
      </c>
      <c r="AB171" s="26">
        <v>22.0</v>
      </c>
      <c r="AD171" s="26">
        <v>0.0</v>
      </c>
      <c r="AF171" s="30"/>
      <c r="AH171" s="30"/>
      <c r="AJ171" s="30"/>
      <c r="AK171" s="28"/>
      <c r="AL171" s="39">
        <f t="shared" si="1"/>
        <v>3632.52</v>
      </c>
      <c r="AM171" s="21">
        <f t="shared" si="2"/>
        <v>284</v>
      </c>
      <c r="AN171" s="21">
        <f t="shared" si="3"/>
        <v>2</v>
      </c>
      <c r="AO171" s="21">
        <f t="shared" si="4"/>
        <v>286</v>
      </c>
      <c r="AP171" s="46">
        <f t="shared" si="5"/>
        <v>12.70111888</v>
      </c>
    </row>
    <row r="172">
      <c r="A172" s="48" t="s">
        <v>26</v>
      </c>
      <c r="B172" s="51">
        <f t="shared" si="6"/>
        <v>45825</v>
      </c>
      <c r="C172" s="53">
        <v>7.0</v>
      </c>
      <c r="D172" s="53" t="s">
        <v>24</v>
      </c>
      <c r="E172" s="142" t="s">
        <v>39</v>
      </c>
      <c r="F172" s="25">
        <v>0.0</v>
      </c>
      <c r="H172" s="26">
        <v>0.0</v>
      </c>
      <c r="J172" s="26">
        <v>0.0</v>
      </c>
      <c r="L172" s="25">
        <v>0.0</v>
      </c>
      <c r="N172" s="26">
        <v>87.0</v>
      </c>
      <c r="P172" s="26">
        <v>80.0</v>
      </c>
      <c r="R172" s="26">
        <v>50.0</v>
      </c>
      <c r="T172" s="26">
        <v>0.0</v>
      </c>
      <c r="V172" s="26">
        <v>0.0</v>
      </c>
      <c r="X172" s="26">
        <v>45.0</v>
      </c>
      <c r="Y172" s="28"/>
      <c r="Z172" s="25">
        <v>0.0</v>
      </c>
      <c r="AB172" s="26">
        <v>22.0</v>
      </c>
      <c r="AD172" s="26">
        <v>0.0</v>
      </c>
      <c r="AF172" s="30"/>
      <c r="AH172" s="30"/>
      <c r="AJ172" s="30"/>
      <c r="AK172" s="28"/>
      <c r="AL172" s="60">
        <f t="shared" si="1"/>
        <v>2867.39</v>
      </c>
      <c r="AM172" s="53">
        <f t="shared" si="2"/>
        <v>284</v>
      </c>
      <c r="AN172" s="53">
        <f t="shared" si="3"/>
        <v>0</v>
      </c>
      <c r="AO172" s="53">
        <f t="shared" si="4"/>
        <v>284</v>
      </c>
      <c r="AP172" s="61">
        <f t="shared" si="5"/>
        <v>10.09644366</v>
      </c>
    </row>
    <row r="173">
      <c r="A173" s="48" t="s">
        <v>27</v>
      </c>
      <c r="B173" s="51">
        <f t="shared" si="6"/>
        <v>45826</v>
      </c>
      <c r="C173" s="53">
        <v>7.0</v>
      </c>
      <c r="D173" s="53" t="s">
        <v>24</v>
      </c>
      <c r="E173" s="142" t="s">
        <v>39</v>
      </c>
      <c r="F173" s="25">
        <v>0.0</v>
      </c>
      <c r="H173" s="26">
        <v>0.0</v>
      </c>
      <c r="J173" s="26">
        <v>0.0</v>
      </c>
      <c r="L173" s="25">
        <v>87.0</v>
      </c>
      <c r="N173" s="26">
        <v>87.0</v>
      </c>
      <c r="P173" s="26">
        <v>0.0</v>
      </c>
      <c r="R173" s="26">
        <v>0.0</v>
      </c>
      <c r="T173" s="26">
        <v>0.0</v>
      </c>
      <c r="V173" s="26">
        <v>0.0</v>
      </c>
      <c r="X173" s="26">
        <v>0.0</v>
      </c>
      <c r="Y173" s="28"/>
      <c r="Z173" s="25">
        <v>22.0</v>
      </c>
      <c r="AB173" s="26">
        <v>22.0</v>
      </c>
      <c r="AD173" s="26">
        <v>0.0</v>
      </c>
      <c r="AF173" s="30"/>
      <c r="AH173" s="30"/>
      <c r="AJ173" s="30"/>
      <c r="AK173" s="28"/>
      <c r="AL173" s="60">
        <f t="shared" si="1"/>
        <v>2705.38</v>
      </c>
      <c r="AM173" s="53">
        <f t="shared" si="2"/>
        <v>218</v>
      </c>
      <c r="AN173" s="53">
        <f t="shared" si="3"/>
        <v>0</v>
      </c>
      <c r="AO173" s="53">
        <f t="shared" si="4"/>
        <v>218</v>
      </c>
      <c r="AP173" s="61">
        <f t="shared" si="5"/>
        <v>12.41</v>
      </c>
    </row>
    <row r="174">
      <c r="A174" s="48" t="s">
        <v>28</v>
      </c>
      <c r="B174" s="51">
        <f t="shared" si="6"/>
        <v>45827</v>
      </c>
      <c r="C174" s="53">
        <v>7.0</v>
      </c>
      <c r="D174" s="53" t="s">
        <v>24</v>
      </c>
      <c r="E174" s="142" t="s">
        <v>39</v>
      </c>
      <c r="F174" s="25">
        <v>0.0</v>
      </c>
      <c r="H174" s="26">
        <v>0.0</v>
      </c>
      <c r="J174" s="26">
        <v>0.0</v>
      </c>
      <c r="L174" s="25">
        <v>0.0</v>
      </c>
      <c r="N174" s="26">
        <v>87.0</v>
      </c>
      <c r="P174" s="26">
        <v>80.0</v>
      </c>
      <c r="R174" s="26">
        <v>50.0</v>
      </c>
      <c r="T174" s="26">
        <v>0.0</v>
      </c>
      <c r="V174" s="26">
        <v>0.0</v>
      </c>
      <c r="X174" s="26">
        <v>45.0</v>
      </c>
      <c r="Y174" s="28"/>
      <c r="Z174" s="25">
        <v>0.0</v>
      </c>
      <c r="AB174" s="26">
        <v>22.0</v>
      </c>
      <c r="AD174" s="26">
        <v>0.0</v>
      </c>
      <c r="AF174" s="30"/>
      <c r="AH174" s="30"/>
      <c r="AJ174" s="30"/>
      <c r="AK174" s="28"/>
      <c r="AL174" s="60">
        <f t="shared" si="1"/>
        <v>2867.39</v>
      </c>
      <c r="AM174" s="53">
        <f t="shared" si="2"/>
        <v>284</v>
      </c>
      <c r="AN174" s="53">
        <f t="shared" si="3"/>
        <v>0</v>
      </c>
      <c r="AO174" s="53">
        <f t="shared" si="4"/>
        <v>284</v>
      </c>
      <c r="AP174" s="61">
        <f t="shared" si="5"/>
        <v>10.09644366</v>
      </c>
    </row>
    <row r="175">
      <c r="A175" s="48" t="s">
        <v>29</v>
      </c>
      <c r="B175" s="51">
        <f t="shared" si="6"/>
        <v>45828</v>
      </c>
      <c r="C175" s="53">
        <v>7.0</v>
      </c>
      <c r="D175" s="53" t="s">
        <v>24</v>
      </c>
      <c r="E175" s="142" t="s">
        <v>39</v>
      </c>
      <c r="F175" s="25">
        <v>0.0</v>
      </c>
      <c r="H175" s="26">
        <v>0.0</v>
      </c>
      <c r="J175" s="26">
        <v>0.0</v>
      </c>
      <c r="L175" s="25">
        <v>0.0</v>
      </c>
      <c r="N175" s="26">
        <v>87.0</v>
      </c>
      <c r="P175" s="26">
        <v>80.0</v>
      </c>
      <c r="R175" s="26">
        <v>50.0</v>
      </c>
      <c r="T175" s="26">
        <v>0.0</v>
      </c>
      <c r="V175" s="26">
        <v>0.0</v>
      </c>
      <c r="X175" s="26">
        <v>45.0</v>
      </c>
      <c r="Y175" s="28"/>
      <c r="Z175" s="25">
        <v>0.0</v>
      </c>
      <c r="AB175" s="26">
        <v>22.0</v>
      </c>
      <c r="AD175" s="26">
        <v>0.0</v>
      </c>
      <c r="AF175" s="30"/>
      <c r="AH175" s="30"/>
      <c r="AJ175" s="30"/>
      <c r="AK175" s="28"/>
      <c r="AL175" s="60">
        <f t="shared" si="1"/>
        <v>2867.39</v>
      </c>
      <c r="AM175" s="53">
        <f t="shared" si="2"/>
        <v>284</v>
      </c>
      <c r="AN175" s="53">
        <f t="shared" si="3"/>
        <v>0</v>
      </c>
      <c r="AO175" s="53">
        <f t="shared" si="4"/>
        <v>284</v>
      </c>
      <c r="AP175" s="61">
        <f t="shared" si="5"/>
        <v>10.09644366</v>
      </c>
    </row>
    <row r="176">
      <c r="A176" s="48" t="s">
        <v>30</v>
      </c>
      <c r="B176" s="51">
        <f t="shared" si="6"/>
        <v>45829</v>
      </c>
      <c r="C176" s="53">
        <v>7.0</v>
      </c>
      <c r="D176" s="53" t="s">
        <v>24</v>
      </c>
      <c r="E176" s="142" t="s">
        <v>39</v>
      </c>
      <c r="F176" s="25">
        <v>0.0</v>
      </c>
      <c r="H176" s="26">
        <v>0.0</v>
      </c>
      <c r="J176" s="26">
        <v>0.0</v>
      </c>
      <c r="L176" s="25">
        <v>87.0</v>
      </c>
      <c r="N176" s="26">
        <v>87.0</v>
      </c>
      <c r="P176" s="26">
        <v>0.0</v>
      </c>
      <c r="R176" s="26">
        <v>0.0</v>
      </c>
      <c r="T176" s="26">
        <v>0.0</v>
      </c>
      <c r="V176" s="26">
        <v>0.0</v>
      </c>
      <c r="X176" s="26">
        <v>0.0</v>
      </c>
      <c r="Y176" s="28"/>
      <c r="Z176" s="25">
        <v>10.0</v>
      </c>
      <c r="AB176" s="26">
        <v>10.0</v>
      </c>
      <c r="AD176" s="26">
        <v>0.0</v>
      </c>
      <c r="AF176" s="30"/>
      <c r="AH176" s="30"/>
      <c r="AJ176" s="30"/>
      <c r="AK176" s="28"/>
      <c r="AL176" s="60">
        <f t="shared" si="1"/>
        <v>2407.54</v>
      </c>
      <c r="AM176" s="53">
        <f t="shared" si="2"/>
        <v>194</v>
      </c>
      <c r="AN176" s="53">
        <f t="shared" si="3"/>
        <v>0</v>
      </c>
      <c r="AO176" s="53">
        <f t="shared" si="4"/>
        <v>194</v>
      </c>
      <c r="AP176" s="61">
        <f t="shared" si="5"/>
        <v>12.41</v>
      </c>
    </row>
    <row r="177">
      <c r="A177" s="69" t="s">
        <v>31</v>
      </c>
      <c r="B177" s="70">
        <f t="shared" si="6"/>
        <v>45830</v>
      </c>
      <c r="C177" s="71">
        <v>7.0</v>
      </c>
      <c r="D177" s="71" t="s">
        <v>24</v>
      </c>
      <c r="E177" s="144" t="s">
        <v>39</v>
      </c>
      <c r="F177" s="74">
        <v>0.0</v>
      </c>
      <c r="G177" s="75"/>
      <c r="H177" s="76">
        <v>0.0</v>
      </c>
      <c r="I177" s="75"/>
      <c r="J177" s="76">
        <v>0.0</v>
      </c>
      <c r="K177" s="75"/>
      <c r="L177" s="74">
        <v>0.0</v>
      </c>
      <c r="M177" s="75"/>
      <c r="N177" s="76">
        <v>0.0</v>
      </c>
      <c r="O177" s="75"/>
      <c r="P177" s="76">
        <v>0.0</v>
      </c>
      <c r="Q177" s="75"/>
      <c r="R177" s="76">
        <v>0.0</v>
      </c>
      <c r="S177" s="75"/>
      <c r="T177" s="76">
        <v>0.0</v>
      </c>
      <c r="U177" s="75"/>
      <c r="V177" s="76">
        <v>0.0</v>
      </c>
      <c r="W177" s="75"/>
      <c r="X177" s="76">
        <v>0.0</v>
      </c>
      <c r="Y177" s="77"/>
      <c r="Z177" s="74">
        <v>0.0</v>
      </c>
      <c r="AA177" s="75"/>
      <c r="AB177" s="76">
        <v>0.0</v>
      </c>
      <c r="AC177" s="75"/>
      <c r="AD177" s="76">
        <v>0.0</v>
      </c>
      <c r="AE177" s="75"/>
      <c r="AF177" s="78"/>
      <c r="AG177" s="75"/>
      <c r="AH177" s="78"/>
      <c r="AI177" s="75"/>
      <c r="AJ177" s="78"/>
      <c r="AK177" s="77"/>
      <c r="AL177" s="79">
        <f t="shared" si="1"/>
        <v>0</v>
      </c>
      <c r="AM177" s="71">
        <f t="shared" si="2"/>
        <v>0</v>
      </c>
      <c r="AN177" s="71">
        <f t="shared" si="3"/>
        <v>0</v>
      </c>
      <c r="AO177" s="71">
        <f t="shared" si="4"/>
        <v>0</v>
      </c>
      <c r="AP177" s="80" t="str">
        <f t="shared" si="5"/>
        <v/>
      </c>
    </row>
    <row r="178">
      <c r="A178" s="19" t="s">
        <v>23</v>
      </c>
      <c r="B178" s="81">
        <f t="shared" si="6"/>
        <v>45831</v>
      </c>
      <c r="C178" s="21">
        <v>7.0</v>
      </c>
      <c r="D178" s="21" t="s">
        <v>32</v>
      </c>
      <c r="E178" s="137" t="s">
        <v>39</v>
      </c>
      <c r="F178" s="25">
        <v>0.0</v>
      </c>
      <c r="H178" s="26">
        <v>0.0</v>
      </c>
      <c r="J178" s="26">
        <v>0.0</v>
      </c>
      <c r="L178" s="25">
        <v>0.0</v>
      </c>
      <c r="N178" s="26">
        <v>87.0</v>
      </c>
      <c r="P178" s="26">
        <v>80.0</v>
      </c>
      <c r="R178" s="26">
        <v>50.0</v>
      </c>
      <c r="T178" s="26">
        <v>1.0</v>
      </c>
      <c r="V178" s="26">
        <v>1.0</v>
      </c>
      <c r="X178" s="26">
        <v>45.0</v>
      </c>
      <c r="Y178" s="28"/>
      <c r="Z178" s="25">
        <v>0.0</v>
      </c>
      <c r="AB178" s="26">
        <v>25.0</v>
      </c>
      <c r="AD178" s="26">
        <v>0.0</v>
      </c>
      <c r="AF178" s="30"/>
      <c r="AH178" s="30"/>
      <c r="AJ178" s="30"/>
      <c r="AK178" s="28"/>
      <c r="AL178" s="39">
        <f t="shared" si="1"/>
        <v>3669.75</v>
      </c>
      <c r="AM178" s="21">
        <f t="shared" si="2"/>
        <v>287</v>
      </c>
      <c r="AN178" s="21">
        <f t="shared" si="3"/>
        <v>2</v>
      </c>
      <c r="AO178" s="21">
        <f t="shared" si="4"/>
        <v>289</v>
      </c>
      <c r="AP178" s="46">
        <f t="shared" si="5"/>
        <v>12.69809689</v>
      </c>
    </row>
    <row r="179">
      <c r="A179" s="48" t="s">
        <v>26</v>
      </c>
      <c r="B179" s="51">
        <f t="shared" si="6"/>
        <v>45832</v>
      </c>
      <c r="C179" s="53">
        <v>7.0</v>
      </c>
      <c r="D179" s="53" t="s">
        <v>32</v>
      </c>
      <c r="E179" s="142" t="s">
        <v>39</v>
      </c>
      <c r="F179" s="25">
        <v>0.0</v>
      </c>
      <c r="H179" s="26">
        <v>0.0</v>
      </c>
      <c r="J179" s="26">
        <v>0.0</v>
      </c>
      <c r="L179" s="25">
        <v>0.0</v>
      </c>
      <c r="N179" s="26">
        <v>87.0</v>
      </c>
      <c r="P179" s="26">
        <v>80.0</v>
      </c>
      <c r="R179" s="26">
        <v>50.0</v>
      </c>
      <c r="T179" s="26">
        <v>0.0</v>
      </c>
      <c r="V179" s="26">
        <v>0.0</v>
      </c>
      <c r="X179" s="26">
        <v>45.0</v>
      </c>
      <c r="Y179" s="28"/>
      <c r="Z179" s="25">
        <v>0.0</v>
      </c>
      <c r="AB179" s="26">
        <v>25.0</v>
      </c>
      <c r="AD179" s="26">
        <v>0.0</v>
      </c>
      <c r="AF179" s="30"/>
      <c r="AH179" s="30"/>
      <c r="AJ179" s="30"/>
      <c r="AK179" s="28"/>
      <c r="AL179" s="60">
        <f t="shared" si="1"/>
        <v>2904.62</v>
      </c>
      <c r="AM179" s="53">
        <f t="shared" si="2"/>
        <v>287</v>
      </c>
      <c r="AN179" s="53">
        <f t="shared" si="3"/>
        <v>0</v>
      </c>
      <c r="AO179" s="53">
        <f t="shared" si="4"/>
        <v>287</v>
      </c>
      <c r="AP179" s="61">
        <f t="shared" si="5"/>
        <v>10.12062718</v>
      </c>
    </row>
    <row r="180">
      <c r="A180" s="48" t="s">
        <v>27</v>
      </c>
      <c r="B180" s="51">
        <f t="shared" si="6"/>
        <v>45833</v>
      </c>
      <c r="C180" s="53">
        <v>7.0</v>
      </c>
      <c r="D180" s="53" t="s">
        <v>32</v>
      </c>
      <c r="E180" s="142" t="s">
        <v>39</v>
      </c>
      <c r="F180" s="25">
        <v>0.0</v>
      </c>
      <c r="H180" s="26">
        <v>0.0</v>
      </c>
      <c r="J180" s="26">
        <v>0.0</v>
      </c>
      <c r="L180" s="25">
        <v>0.0</v>
      </c>
      <c r="N180" s="26">
        <v>87.0</v>
      </c>
      <c r="P180" s="26">
        <v>80.0</v>
      </c>
      <c r="R180" s="26">
        <v>50.0</v>
      </c>
      <c r="T180" s="26">
        <v>0.0</v>
      </c>
      <c r="V180" s="26">
        <v>0.0</v>
      </c>
      <c r="X180" s="26">
        <v>45.0</v>
      </c>
      <c r="Y180" s="28"/>
      <c r="Z180" s="25">
        <v>0.0</v>
      </c>
      <c r="AB180" s="26">
        <v>25.0</v>
      </c>
      <c r="AD180" s="26">
        <v>0.0</v>
      </c>
      <c r="AF180" s="30"/>
      <c r="AH180" s="30"/>
      <c r="AJ180" s="30"/>
      <c r="AK180" s="28"/>
      <c r="AL180" s="60">
        <f t="shared" si="1"/>
        <v>2904.62</v>
      </c>
      <c r="AM180" s="53">
        <f t="shared" si="2"/>
        <v>287</v>
      </c>
      <c r="AN180" s="53">
        <f t="shared" si="3"/>
        <v>0</v>
      </c>
      <c r="AO180" s="53">
        <f t="shared" si="4"/>
        <v>287</v>
      </c>
      <c r="AP180" s="61">
        <f t="shared" si="5"/>
        <v>10.12062718</v>
      </c>
    </row>
    <row r="181">
      <c r="A181" s="48" t="s">
        <v>28</v>
      </c>
      <c r="B181" s="51">
        <f t="shared" si="6"/>
        <v>45834</v>
      </c>
      <c r="C181" s="53">
        <v>7.0</v>
      </c>
      <c r="D181" s="53" t="s">
        <v>32</v>
      </c>
      <c r="E181" s="142" t="s">
        <v>39</v>
      </c>
      <c r="F181" s="25">
        <v>0.0</v>
      </c>
      <c r="H181" s="26">
        <v>0.0</v>
      </c>
      <c r="J181" s="26">
        <v>0.0</v>
      </c>
      <c r="L181" s="25">
        <v>0.0</v>
      </c>
      <c r="N181" s="26">
        <v>87.0</v>
      </c>
      <c r="P181" s="26">
        <v>80.0</v>
      </c>
      <c r="R181" s="26">
        <v>50.0</v>
      </c>
      <c r="T181" s="26">
        <v>0.0</v>
      </c>
      <c r="V181" s="26">
        <v>0.0</v>
      </c>
      <c r="X181" s="26">
        <v>45.0</v>
      </c>
      <c r="Y181" s="28"/>
      <c r="Z181" s="25">
        <v>0.0</v>
      </c>
      <c r="AB181" s="26">
        <v>25.0</v>
      </c>
      <c r="AD181" s="26">
        <v>0.0</v>
      </c>
      <c r="AF181" s="30"/>
      <c r="AH181" s="30"/>
      <c r="AJ181" s="30"/>
      <c r="AK181" s="28"/>
      <c r="AL181" s="60">
        <f t="shared" si="1"/>
        <v>2904.62</v>
      </c>
      <c r="AM181" s="53">
        <f t="shared" si="2"/>
        <v>287</v>
      </c>
      <c r="AN181" s="53">
        <f t="shared" si="3"/>
        <v>0</v>
      </c>
      <c r="AO181" s="53">
        <f t="shared" si="4"/>
        <v>287</v>
      </c>
      <c r="AP181" s="61">
        <f t="shared" si="5"/>
        <v>10.12062718</v>
      </c>
    </row>
    <row r="182">
      <c r="A182" s="48" t="s">
        <v>29</v>
      </c>
      <c r="B182" s="51">
        <f t="shared" si="6"/>
        <v>45835</v>
      </c>
      <c r="C182" s="53">
        <v>7.0</v>
      </c>
      <c r="D182" s="53" t="s">
        <v>32</v>
      </c>
      <c r="E182" s="142" t="s">
        <v>39</v>
      </c>
      <c r="F182" s="25">
        <v>0.0</v>
      </c>
      <c r="H182" s="26">
        <v>0.0</v>
      </c>
      <c r="J182" s="26">
        <v>0.0</v>
      </c>
      <c r="L182" s="25">
        <v>0.0</v>
      </c>
      <c r="N182" s="26">
        <v>87.0</v>
      </c>
      <c r="P182" s="26">
        <v>80.0</v>
      </c>
      <c r="R182" s="26">
        <v>50.0</v>
      </c>
      <c r="T182" s="26">
        <v>0.0</v>
      </c>
      <c r="V182" s="26">
        <v>0.0</v>
      </c>
      <c r="X182" s="26">
        <v>45.0</v>
      </c>
      <c r="Y182" s="28"/>
      <c r="Z182" s="25">
        <v>0.0</v>
      </c>
      <c r="AB182" s="26">
        <v>25.0</v>
      </c>
      <c r="AD182" s="26">
        <v>0.0</v>
      </c>
      <c r="AF182" s="30"/>
      <c r="AH182" s="30"/>
      <c r="AJ182" s="30"/>
      <c r="AK182" s="28"/>
      <c r="AL182" s="60">
        <f t="shared" si="1"/>
        <v>2904.62</v>
      </c>
      <c r="AM182" s="53">
        <f t="shared" si="2"/>
        <v>287</v>
      </c>
      <c r="AN182" s="53">
        <f t="shared" si="3"/>
        <v>0</v>
      </c>
      <c r="AO182" s="53">
        <f t="shared" si="4"/>
        <v>287</v>
      </c>
      <c r="AP182" s="61">
        <f t="shared" si="5"/>
        <v>10.12062718</v>
      </c>
    </row>
    <row r="183">
      <c r="A183" s="48" t="s">
        <v>30</v>
      </c>
      <c r="B183" s="51">
        <f t="shared" si="6"/>
        <v>45836</v>
      </c>
      <c r="C183" s="53">
        <v>7.0</v>
      </c>
      <c r="D183" s="53" t="s">
        <v>32</v>
      </c>
      <c r="E183" s="142" t="s">
        <v>39</v>
      </c>
      <c r="F183" s="25">
        <v>0.0</v>
      </c>
      <c r="H183" s="26">
        <v>0.0</v>
      </c>
      <c r="J183" s="26">
        <v>0.0</v>
      </c>
      <c r="L183" s="25">
        <v>87.0</v>
      </c>
      <c r="N183" s="26">
        <v>87.0</v>
      </c>
      <c r="P183" s="26">
        <v>0.0</v>
      </c>
      <c r="R183" s="26">
        <v>0.0</v>
      </c>
      <c r="T183" s="26">
        <v>0.0</v>
      </c>
      <c r="V183" s="26">
        <v>0.0</v>
      </c>
      <c r="X183" s="26">
        <v>0.0</v>
      </c>
      <c r="Y183" s="28"/>
      <c r="Z183" s="25">
        <v>10.0</v>
      </c>
      <c r="AB183" s="26">
        <v>10.0</v>
      </c>
      <c r="AD183" s="26">
        <v>0.0</v>
      </c>
      <c r="AF183" s="30"/>
      <c r="AH183" s="30"/>
      <c r="AJ183" s="30"/>
      <c r="AK183" s="28"/>
      <c r="AL183" s="60">
        <f t="shared" si="1"/>
        <v>2407.54</v>
      </c>
      <c r="AM183" s="53">
        <f t="shared" si="2"/>
        <v>194</v>
      </c>
      <c r="AN183" s="53">
        <f t="shared" si="3"/>
        <v>0</v>
      </c>
      <c r="AO183" s="53">
        <f t="shared" si="4"/>
        <v>194</v>
      </c>
      <c r="AP183" s="61">
        <f t="shared" si="5"/>
        <v>12.41</v>
      </c>
    </row>
    <row r="184">
      <c r="A184" s="69" t="s">
        <v>31</v>
      </c>
      <c r="B184" s="70">
        <f t="shared" si="6"/>
        <v>45837</v>
      </c>
      <c r="C184" s="71">
        <v>7.0</v>
      </c>
      <c r="D184" s="71" t="s">
        <v>32</v>
      </c>
      <c r="E184" s="144" t="s">
        <v>39</v>
      </c>
      <c r="F184" s="74">
        <v>0.0</v>
      </c>
      <c r="G184" s="75"/>
      <c r="H184" s="76">
        <v>0.0</v>
      </c>
      <c r="I184" s="75"/>
      <c r="J184" s="76">
        <v>0.0</v>
      </c>
      <c r="K184" s="75"/>
      <c r="L184" s="74">
        <v>0.0</v>
      </c>
      <c r="M184" s="75"/>
      <c r="N184" s="76">
        <v>0.0</v>
      </c>
      <c r="O184" s="75"/>
      <c r="P184" s="76">
        <v>0.0</v>
      </c>
      <c r="Q184" s="75"/>
      <c r="R184" s="76">
        <v>0.0</v>
      </c>
      <c r="S184" s="75"/>
      <c r="T184" s="76">
        <v>0.0</v>
      </c>
      <c r="U184" s="75"/>
      <c r="V184" s="76">
        <v>0.0</v>
      </c>
      <c r="W184" s="75"/>
      <c r="X184" s="76">
        <v>0.0</v>
      </c>
      <c r="Y184" s="77"/>
      <c r="Z184" s="74">
        <v>0.0</v>
      </c>
      <c r="AA184" s="75"/>
      <c r="AB184" s="76">
        <v>0.0</v>
      </c>
      <c r="AC184" s="75"/>
      <c r="AD184" s="76">
        <v>0.0</v>
      </c>
      <c r="AE184" s="75"/>
      <c r="AF184" s="78"/>
      <c r="AG184" s="75"/>
      <c r="AH184" s="78"/>
      <c r="AI184" s="75"/>
      <c r="AJ184" s="78"/>
      <c r="AK184" s="77"/>
      <c r="AL184" s="79">
        <f t="shared" si="1"/>
        <v>0</v>
      </c>
      <c r="AM184" s="71">
        <f t="shared" si="2"/>
        <v>0</v>
      </c>
      <c r="AN184" s="71">
        <f t="shared" si="3"/>
        <v>0</v>
      </c>
      <c r="AO184" s="71">
        <f t="shared" si="4"/>
        <v>0</v>
      </c>
      <c r="AP184" s="80" t="str">
        <f t="shared" si="5"/>
        <v/>
      </c>
    </row>
    <row r="185">
      <c r="A185" s="19" t="s">
        <v>23</v>
      </c>
      <c r="B185" s="81">
        <f t="shared" si="6"/>
        <v>45838</v>
      </c>
      <c r="C185" s="21">
        <v>7.0</v>
      </c>
      <c r="D185" s="21" t="s">
        <v>33</v>
      </c>
      <c r="E185" s="137" t="s">
        <v>39</v>
      </c>
      <c r="F185" s="25">
        <v>0.0</v>
      </c>
      <c r="H185" s="26">
        <v>0.0</v>
      </c>
      <c r="J185" s="26">
        <v>0.0</v>
      </c>
      <c r="L185" s="25">
        <v>0.0</v>
      </c>
      <c r="N185" s="26">
        <v>87.0</v>
      </c>
      <c r="P185" s="26">
        <v>80.0</v>
      </c>
      <c r="R185" s="26">
        <v>50.0</v>
      </c>
      <c r="T185" s="26">
        <v>1.0</v>
      </c>
      <c r="V185" s="26">
        <v>1.0</v>
      </c>
      <c r="X185" s="26">
        <v>45.0</v>
      </c>
      <c r="Y185" s="28"/>
      <c r="Z185" s="25">
        <v>0.0</v>
      </c>
      <c r="AB185" s="26">
        <v>22.0</v>
      </c>
      <c r="AD185" s="26">
        <v>0.0</v>
      </c>
      <c r="AF185" s="30"/>
      <c r="AH185" s="30"/>
      <c r="AJ185" s="30"/>
      <c r="AK185" s="28"/>
      <c r="AL185" s="39">
        <f t="shared" si="1"/>
        <v>3632.52</v>
      </c>
      <c r="AM185" s="21">
        <f t="shared" si="2"/>
        <v>284</v>
      </c>
      <c r="AN185" s="21">
        <f t="shared" si="3"/>
        <v>2</v>
      </c>
      <c r="AO185" s="21">
        <f t="shared" si="4"/>
        <v>286</v>
      </c>
      <c r="AP185" s="46">
        <f t="shared" si="5"/>
        <v>12.70111888</v>
      </c>
    </row>
    <row r="186">
      <c r="A186" s="48" t="s">
        <v>26</v>
      </c>
      <c r="B186" s="51">
        <f t="shared" si="6"/>
        <v>45839</v>
      </c>
      <c r="C186" s="53">
        <v>7.0</v>
      </c>
      <c r="D186" s="53" t="s">
        <v>33</v>
      </c>
      <c r="E186" s="142" t="s">
        <v>39</v>
      </c>
      <c r="F186" s="25">
        <v>0.0</v>
      </c>
      <c r="H186" s="26">
        <v>0.0</v>
      </c>
      <c r="J186" s="26">
        <v>0.0</v>
      </c>
      <c r="L186" s="25">
        <v>0.0</v>
      </c>
      <c r="N186" s="26">
        <v>87.0</v>
      </c>
      <c r="P186" s="26">
        <v>80.0</v>
      </c>
      <c r="R186" s="26">
        <v>50.0</v>
      </c>
      <c r="T186" s="26">
        <v>0.0</v>
      </c>
      <c r="V186" s="26">
        <v>0.0</v>
      </c>
      <c r="X186" s="26">
        <v>45.0</v>
      </c>
      <c r="Y186" s="28"/>
      <c r="Z186" s="25">
        <v>0.0</v>
      </c>
      <c r="AB186" s="26">
        <v>22.0</v>
      </c>
      <c r="AD186" s="26">
        <v>0.0</v>
      </c>
      <c r="AF186" s="30"/>
      <c r="AH186" s="30"/>
      <c r="AJ186" s="30"/>
      <c r="AK186" s="28"/>
      <c r="AL186" s="60">
        <f t="shared" si="1"/>
        <v>2867.39</v>
      </c>
      <c r="AM186" s="53">
        <f t="shared" si="2"/>
        <v>284</v>
      </c>
      <c r="AN186" s="53">
        <f t="shared" si="3"/>
        <v>0</v>
      </c>
      <c r="AO186" s="53">
        <f t="shared" si="4"/>
        <v>284</v>
      </c>
      <c r="AP186" s="61">
        <f t="shared" si="5"/>
        <v>10.09644366</v>
      </c>
    </row>
    <row r="187">
      <c r="A187" s="48" t="s">
        <v>27</v>
      </c>
      <c r="B187" s="51">
        <f t="shared" si="6"/>
        <v>45840</v>
      </c>
      <c r="C187" s="53">
        <v>7.0</v>
      </c>
      <c r="D187" s="53" t="s">
        <v>33</v>
      </c>
      <c r="E187" s="142" t="s">
        <v>39</v>
      </c>
      <c r="F187" s="25">
        <v>0.0</v>
      </c>
      <c r="H187" s="26">
        <v>0.0</v>
      </c>
      <c r="J187" s="26">
        <v>0.0</v>
      </c>
      <c r="L187" s="25">
        <v>87.0</v>
      </c>
      <c r="N187" s="26">
        <v>87.0</v>
      </c>
      <c r="P187" s="26">
        <v>0.0</v>
      </c>
      <c r="R187" s="26">
        <v>0.0</v>
      </c>
      <c r="T187" s="26">
        <v>0.0</v>
      </c>
      <c r="V187" s="26">
        <v>0.0</v>
      </c>
      <c r="X187" s="26">
        <v>0.0</v>
      </c>
      <c r="Y187" s="28"/>
      <c r="Z187" s="25">
        <v>22.0</v>
      </c>
      <c r="AB187" s="26">
        <v>22.0</v>
      </c>
      <c r="AD187" s="26">
        <v>0.0</v>
      </c>
      <c r="AF187" s="30"/>
      <c r="AH187" s="30"/>
      <c r="AJ187" s="30"/>
      <c r="AK187" s="28"/>
      <c r="AL187" s="60">
        <f t="shared" si="1"/>
        <v>2705.38</v>
      </c>
      <c r="AM187" s="53">
        <f t="shared" si="2"/>
        <v>218</v>
      </c>
      <c r="AN187" s="53">
        <f t="shared" si="3"/>
        <v>0</v>
      </c>
      <c r="AO187" s="53">
        <f t="shared" si="4"/>
        <v>218</v>
      </c>
      <c r="AP187" s="61">
        <f t="shared" si="5"/>
        <v>12.41</v>
      </c>
    </row>
    <row r="188">
      <c r="A188" s="48" t="s">
        <v>28</v>
      </c>
      <c r="B188" s="51">
        <f t="shared" si="6"/>
        <v>45841</v>
      </c>
      <c r="C188" s="53">
        <v>7.0</v>
      </c>
      <c r="D188" s="53" t="s">
        <v>33</v>
      </c>
      <c r="E188" s="142" t="s">
        <v>39</v>
      </c>
      <c r="F188" s="25">
        <v>0.0</v>
      </c>
      <c r="H188" s="26">
        <v>0.0</v>
      </c>
      <c r="J188" s="26">
        <v>0.0</v>
      </c>
      <c r="L188" s="25">
        <v>0.0</v>
      </c>
      <c r="N188" s="26">
        <v>87.0</v>
      </c>
      <c r="P188" s="26">
        <v>80.0</v>
      </c>
      <c r="R188" s="26">
        <v>50.0</v>
      </c>
      <c r="T188" s="26">
        <v>0.0</v>
      </c>
      <c r="V188" s="26">
        <v>0.0</v>
      </c>
      <c r="X188" s="26">
        <v>45.0</v>
      </c>
      <c r="Y188" s="28"/>
      <c r="Z188" s="25">
        <v>0.0</v>
      </c>
      <c r="AB188" s="26">
        <v>22.0</v>
      </c>
      <c r="AD188" s="26">
        <v>0.0</v>
      </c>
      <c r="AF188" s="30"/>
      <c r="AH188" s="30"/>
      <c r="AJ188" s="30"/>
      <c r="AK188" s="28"/>
      <c r="AL188" s="60">
        <f t="shared" si="1"/>
        <v>2867.39</v>
      </c>
      <c r="AM188" s="53">
        <f t="shared" si="2"/>
        <v>284</v>
      </c>
      <c r="AN188" s="53">
        <f t="shared" si="3"/>
        <v>0</v>
      </c>
      <c r="AO188" s="53">
        <f t="shared" si="4"/>
        <v>284</v>
      </c>
      <c r="AP188" s="61">
        <f t="shared" si="5"/>
        <v>10.09644366</v>
      </c>
    </row>
    <row r="189">
      <c r="A189" s="48" t="s">
        <v>29</v>
      </c>
      <c r="B189" s="51">
        <f t="shared" si="6"/>
        <v>45842</v>
      </c>
      <c r="C189" s="53">
        <v>7.0</v>
      </c>
      <c r="D189" s="53" t="s">
        <v>33</v>
      </c>
      <c r="E189" s="142" t="s">
        <v>39</v>
      </c>
      <c r="F189" s="25">
        <v>0.0</v>
      </c>
      <c r="H189" s="26">
        <v>0.0</v>
      </c>
      <c r="J189" s="26">
        <v>0.0</v>
      </c>
      <c r="L189" s="25">
        <v>87.0</v>
      </c>
      <c r="N189" s="26">
        <v>87.0</v>
      </c>
      <c r="P189" s="26">
        <v>0.0</v>
      </c>
      <c r="R189" s="26">
        <v>0.0</v>
      </c>
      <c r="T189" s="26">
        <v>0.0</v>
      </c>
      <c r="V189" s="26">
        <v>0.0</v>
      </c>
      <c r="X189" s="26">
        <v>0.0</v>
      </c>
      <c r="Y189" s="28"/>
      <c r="Z189" s="25">
        <v>10.0</v>
      </c>
      <c r="AB189" s="26">
        <v>10.0</v>
      </c>
      <c r="AD189" s="26">
        <v>0.0</v>
      </c>
      <c r="AF189" s="30"/>
      <c r="AH189" s="30"/>
      <c r="AJ189" s="30"/>
      <c r="AK189" s="28"/>
      <c r="AL189" s="60">
        <f t="shared" si="1"/>
        <v>2407.54</v>
      </c>
      <c r="AM189" s="53">
        <f t="shared" si="2"/>
        <v>194</v>
      </c>
      <c r="AN189" s="53">
        <f t="shared" si="3"/>
        <v>0</v>
      </c>
      <c r="AO189" s="53">
        <f t="shared" si="4"/>
        <v>194</v>
      </c>
      <c r="AP189" s="61">
        <f t="shared" si="5"/>
        <v>12.41</v>
      </c>
    </row>
    <row r="190">
      <c r="A190" s="48" t="s">
        <v>30</v>
      </c>
      <c r="B190" s="51">
        <f t="shared" si="6"/>
        <v>45843</v>
      </c>
      <c r="C190" s="53">
        <v>7.0</v>
      </c>
      <c r="D190" s="53" t="s">
        <v>33</v>
      </c>
      <c r="E190" s="142" t="s">
        <v>39</v>
      </c>
      <c r="F190" s="25">
        <v>0.0</v>
      </c>
      <c r="H190" s="26">
        <v>0.0</v>
      </c>
      <c r="J190" s="26">
        <v>0.0</v>
      </c>
      <c r="L190" s="25">
        <v>87.0</v>
      </c>
      <c r="N190" s="26">
        <v>87.0</v>
      </c>
      <c r="P190" s="26">
        <v>0.0</v>
      </c>
      <c r="R190" s="26">
        <v>0.0</v>
      </c>
      <c r="T190" s="26">
        <v>0.0</v>
      </c>
      <c r="V190" s="26">
        <v>0.0</v>
      </c>
      <c r="X190" s="26">
        <v>0.0</v>
      </c>
      <c r="Y190" s="28"/>
      <c r="Z190" s="25">
        <v>10.0</v>
      </c>
      <c r="AB190" s="26">
        <v>10.0</v>
      </c>
      <c r="AD190" s="26">
        <v>0.0</v>
      </c>
      <c r="AF190" s="30"/>
      <c r="AH190" s="30"/>
      <c r="AJ190" s="30"/>
      <c r="AK190" s="28"/>
      <c r="AL190" s="60">
        <f t="shared" si="1"/>
        <v>2407.54</v>
      </c>
      <c r="AM190" s="53">
        <f t="shared" si="2"/>
        <v>194</v>
      </c>
      <c r="AN190" s="53">
        <f t="shared" si="3"/>
        <v>0</v>
      </c>
      <c r="AO190" s="53">
        <f t="shared" si="4"/>
        <v>194</v>
      </c>
      <c r="AP190" s="61">
        <f t="shared" si="5"/>
        <v>12.41</v>
      </c>
    </row>
    <row r="191">
      <c r="A191" s="69" t="s">
        <v>31</v>
      </c>
      <c r="B191" s="70">
        <f t="shared" si="6"/>
        <v>45844</v>
      </c>
      <c r="C191" s="71">
        <v>7.0</v>
      </c>
      <c r="D191" s="71" t="s">
        <v>33</v>
      </c>
      <c r="E191" s="144" t="s">
        <v>39</v>
      </c>
      <c r="F191" s="74">
        <v>0.0</v>
      </c>
      <c r="G191" s="75"/>
      <c r="H191" s="76">
        <v>0.0</v>
      </c>
      <c r="I191" s="75"/>
      <c r="J191" s="76">
        <v>0.0</v>
      </c>
      <c r="K191" s="75"/>
      <c r="L191" s="74">
        <v>0.0</v>
      </c>
      <c r="M191" s="75"/>
      <c r="N191" s="76">
        <v>0.0</v>
      </c>
      <c r="O191" s="75"/>
      <c r="P191" s="76">
        <v>0.0</v>
      </c>
      <c r="Q191" s="75"/>
      <c r="R191" s="76">
        <v>0.0</v>
      </c>
      <c r="S191" s="75"/>
      <c r="T191" s="76">
        <v>0.0</v>
      </c>
      <c r="U191" s="75"/>
      <c r="V191" s="76">
        <v>0.0</v>
      </c>
      <c r="W191" s="75"/>
      <c r="X191" s="76">
        <v>0.0</v>
      </c>
      <c r="Y191" s="77"/>
      <c r="Z191" s="74">
        <v>0.0</v>
      </c>
      <c r="AA191" s="75"/>
      <c r="AB191" s="76">
        <v>0.0</v>
      </c>
      <c r="AC191" s="75"/>
      <c r="AD191" s="76">
        <v>0.0</v>
      </c>
      <c r="AE191" s="75"/>
      <c r="AF191" s="78"/>
      <c r="AG191" s="75"/>
      <c r="AH191" s="78"/>
      <c r="AI191" s="75"/>
      <c r="AJ191" s="78"/>
      <c r="AK191" s="77"/>
      <c r="AL191" s="79">
        <f t="shared" si="1"/>
        <v>0</v>
      </c>
      <c r="AM191" s="71">
        <f t="shared" si="2"/>
        <v>0</v>
      </c>
      <c r="AN191" s="71">
        <f t="shared" si="3"/>
        <v>0</v>
      </c>
      <c r="AO191" s="71">
        <f t="shared" si="4"/>
        <v>0</v>
      </c>
      <c r="AP191" s="80" t="str">
        <f t="shared" si="5"/>
        <v/>
      </c>
    </row>
    <row r="192">
      <c r="A192" s="19" t="s">
        <v>23</v>
      </c>
      <c r="B192" s="81">
        <f t="shared" si="6"/>
        <v>45845</v>
      </c>
      <c r="C192" s="21">
        <v>7.0</v>
      </c>
      <c r="D192" s="21" t="s">
        <v>36</v>
      </c>
      <c r="E192" s="137" t="s">
        <v>39</v>
      </c>
      <c r="F192" s="25">
        <v>0.0</v>
      </c>
      <c r="H192" s="26">
        <v>0.0</v>
      </c>
      <c r="J192" s="26">
        <v>0.0</v>
      </c>
      <c r="L192" s="25">
        <v>0.0</v>
      </c>
      <c r="N192" s="26">
        <v>87.0</v>
      </c>
      <c r="P192" s="26">
        <v>80.0</v>
      </c>
      <c r="R192" s="26">
        <v>50.0</v>
      </c>
      <c r="T192" s="26">
        <v>1.0</v>
      </c>
      <c r="V192" s="26">
        <v>1.0</v>
      </c>
      <c r="X192" s="26">
        <v>45.0</v>
      </c>
      <c r="Y192" s="28"/>
      <c r="Z192" s="25">
        <v>0.0</v>
      </c>
      <c r="AB192" s="26">
        <v>23.0</v>
      </c>
      <c r="AD192" s="26">
        <v>0.0</v>
      </c>
      <c r="AF192" s="30"/>
      <c r="AH192" s="30"/>
      <c r="AJ192" s="30"/>
      <c r="AK192" s="28"/>
      <c r="AL192" s="39">
        <f t="shared" si="1"/>
        <v>3644.93</v>
      </c>
      <c r="AM192" s="21">
        <f t="shared" si="2"/>
        <v>285</v>
      </c>
      <c r="AN192" s="21">
        <f t="shared" si="3"/>
        <v>2</v>
      </c>
      <c r="AO192" s="21">
        <f t="shared" si="4"/>
        <v>287</v>
      </c>
      <c r="AP192" s="46">
        <f t="shared" si="5"/>
        <v>12.70010453</v>
      </c>
    </row>
    <row r="193">
      <c r="A193" s="48" t="s">
        <v>26</v>
      </c>
      <c r="B193" s="51">
        <f t="shared" si="6"/>
        <v>45846</v>
      </c>
      <c r="C193" s="53">
        <v>7.0</v>
      </c>
      <c r="D193" s="53" t="s">
        <v>36</v>
      </c>
      <c r="E193" s="142" t="s">
        <v>39</v>
      </c>
      <c r="F193" s="25">
        <v>0.0</v>
      </c>
      <c r="H193" s="26">
        <v>0.0</v>
      </c>
      <c r="J193" s="26">
        <v>0.0</v>
      </c>
      <c r="L193" s="25">
        <v>0.0</v>
      </c>
      <c r="N193" s="26">
        <v>87.0</v>
      </c>
      <c r="P193" s="26">
        <v>80.0</v>
      </c>
      <c r="R193" s="26">
        <v>50.0</v>
      </c>
      <c r="T193" s="26">
        <v>0.0</v>
      </c>
      <c r="V193" s="26">
        <v>0.0</v>
      </c>
      <c r="X193" s="26">
        <v>45.0</v>
      </c>
      <c r="Y193" s="28"/>
      <c r="Z193" s="25">
        <v>0.0</v>
      </c>
      <c r="AB193" s="26">
        <v>23.0</v>
      </c>
      <c r="AD193" s="26">
        <v>0.0</v>
      </c>
      <c r="AF193" s="30"/>
      <c r="AH193" s="30"/>
      <c r="AJ193" s="30"/>
      <c r="AK193" s="28"/>
      <c r="AL193" s="60">
        <f t="shared" si="1"/>
        <v>2879.8</v>
      </c>
      <c r="AM193" s="53">
        <f t="shared" si="2"/>
        <v>285</v>
      </c>
      <c r="AN193" s="53">
        <f t="shared" si="3"/>
        <v>0</v>
      </c>
      <c r="AO193" s="53">
        <f t="shared" si="4"/>
        <v>285</v>
      </c>
      <c r="AP193" s="61">
        <f t="shared" si="5"/>
        <v>10.1045614</v>
      </c>
    </row>
    <row r="194">
      <c r="A194" s="48" t="s">
        <v>27</v>
      </c>
      <c r="B194" s="51">
        <f t="shared" si="6"/>
        <v>45847</v>
      </c>
      <c r="C194" s="53">
        <v>7.0</v>
      </c>
      <c r="D194" s="53" t="s">
        <v>36</v>
      </c>
      <c r="E194" s="142" t="s">
        <v>39</v>
      </c>
      <c r="F194" s="25">
        <v>0.0</v>
      </c>
      <c r="H194" s="26">
        <v>0.0</v>
      </c>
      <c r="J194" s="26">
        <v>0.0</v>
      </c>
      <c r="L194" s="25">
        <v>87.0</v>
      </c>
      <c r="N194" s="26">
        <v>87.0</v>
      </c>
      <c r="P194" s="26">
        <v>0.0</v>
      </c>
      <c r="R194" s="26">
        <v>0.0</v>
      </c>
      <c r="T194" s="26">
        <v>0.0</v>
      </c>
      <c r="V194" s="26">
        <v>0.0</v>
      </c>
      <c r="X194" s="26">
        <v>0.0</v>
      </c>
      <c r="Y194" s="28"/>
      <c r="Z194" s="25">
        <v>23.0</v>
      </c>
      <c r="AB194" s="26">
        <v>23.0</v>
      </c>
      <c r="AD194" s="26">
        <v>0.0</v>
      </c>
      <c r="AF194" s="30"/>
      <c r="AH194" s="30"/>
      <c r="AJ194" s="30"/>
      <c r="AK194" s="28"/>
      <c r="AL194" s="60">
        <f t="shared" si="1"/>
        <v>2730.2</v>
      </c>
      <c r="AM194" s="53">
        <f t="shared" si="2"/>
        <v>220</v>
      </c>
      <c r="AN194" s="53">
        <f t="shared" si="3"/>
        <v>0</v>
      </c>
      <c r="AO194" s="53">
        <f t="shared" si="4"/>
        <v>220</v>
      </c>
      <c r="AP194" s="61">
        <f t="shared" si="5"/>
        <v>12.41</v>
      </c>
    </row>
    <row r="195">
      <c r="A195" s="48" t="s">
        <v>28</v>
      </c>
      <c r="B195" s="51">
        <f t="shared" si="6"/>
        <v>45848</v>
      </c>
      <c r="C195" s="53">
        <v>7.0</v>
      </c>
      <c r="D195" s="53" t="s">
        <v>36</v>
      </c>
      <c r="E195" s="142" t="s">
        <v>39</v>
      </c>
      <c r="F195" s="25">
        <v>0.0</v>
      </c>
      <c r="H195" s="26">
        <v>0.0</v>
      </c>
      <c r="J195" s="26">
        <v>0.0</v>
      </c>
      <c r="L195" s="25">
        <v>0.0</v>
      </c>
      <c r="N195" s="26">
        <v>87.0</v>
      </c>
      <c r="P195" s="26">
        <v>80.0</v>
      </c>
      <c r="R195" s="26">
        <v>50.0</v>
      </c>
      <c r="T195" s="26">
        <v>0.0</v>
      </c>
      <c r="V195" s="26">
        <v>0.0</v>
      </c>
      <c r="X195" s="26">
        <v>45.0</v>
      </c>
      <c r="Y195" s="28"/>
      <c r="Z195" s="25">
        <v>0.0</v>
      </c>
      <c r="AB195" s="26">
        <v>23.0</v>
      </c>
      <c r="AD195" s="26">
        <v>0.0</v>
      </c>
      <c r="AF195" s="30"/>
      <c r="AH195" s="30"/>
      <c r="AJ195" s="30"/>
      <c r="AK195" s="28"/>
      <c r="AL195" s="60">
        <f t="shared" si="1"/>
        <v>2879.8</v>
      </c>
      <c r="AM195" s="53">
        <f t="shared" si="2"/>
        <v>285</v>
      </c>
      <c r="AN195" s="53">
        <f t="shared" si="3"/>
        <v>0</v>
      </c>
      <c r="AO195" s="53">
        <f t="shared" si="4"/>
        <v>285</v>
      </c>
      <c r="AP195" s="61">
        <f t="shared" si="5"/>
        <v>10.1045614</v>
      </c>
    </row>
    <row r="196">
      <c r="A196" s="48" t="s">
        <v>29</v>
      </c>
      <c r="B196" s="51">
        <f t="shared" si="6"/>
        <v>45849</v>
      </c>
      <c r="C196" s="53">
        <v>7.0</v>
      </c>
      <c r="D196" s="53" t="s">
        <v>36</v>
      </c>
      <c r="E196" s="142" t="s">
        <v>39</v>
      </c>
      <c r="F196" s="25">
        <v>0.0</v>
      </c>
      <c r="H196" s="26">
        <v>0.0</v>
      </c>
      <c r="J196" s="26">
        <v>0.0</v>
      </c>
      <c r="L196" s="25">
        <v>0.0</v>
      </c>
      <c r="N196" s="26">
        <v>87.0</v>
      </c>
      <c r="P196" s="26">
        <v>80.0</v>
      </c>
      <c r="R196" s="26">
        <v>50.0</v>
      </c>
      <c r="T196" s="26">
        <v>0.0</v>
      </c>
      <c r="V196" s="26">
        <v>0.0</v>
      </c>
      <c r="X196" s="26">
        <v>45.0</v>
      </c>
      <c r="Y196" s="28"/>
      <c r="Z196" s="25">
        <v>0.0</v>
      </c>
      <c r="AB196" s="26">
        <v>23.0</v>
      </c>
      <c r="AD196" s="26">
        <v>0.0</v>
      </c>
      <c r="AF196" s="30"/>
      <c r="AH196" s="30"/>
      <c r="AJ196" s="30"/>
      <c r="AK196" s="28"/>
      <c r="AL196" s="60">
        <f t="shared" si="1"/>
        <v>2879.8</v>
      </c>
      <c r="AM196" s="53">
        <f t="shared" si="2"/>
        <v>285</v>
      </c>
      <c r="AN196" s="53">
        <f t="shared" si="3"/>
        <v>0</v>
      </c>
      <c r="AO196" s="53">
        <f t="shared" si="4"/>
        <v>285</v>
      </c>
      <c r="AP196" s="61">
        <f t="shared" si="5"/>
        <v>10.1045614</v>
      </c>
    </row>
    <row r="197">
      <c r="A197" s="48" t="s">
        <v>30</v>
      </c>
      <c r="B197" s="51">
        <f t="shared" si="6"/>
        <v>45850</v>
      </c>
      <c r="C197" s="53">
        <v>7.0</v>
      </c>
      <c r="D197" s="53" t="s">
        <v>36</v>
      </c>
      <c r="E197" s="142" t="s">
        <v>39</v>
      </c>
      <c r="F197" s="25">
        <v>0.0</v>
      </c>
      <c r="H197" s="26">
        <v>0.0</v>
      </c>
      <c r="J197" s="26">
        <v>0.0</v>
      </c>
      <c r="L197" s="25">
        <v>87.0</v>
      </c>
      <c r="N197" s="26">
        <v>87.0</v>
      </c>
      <c r="P197" s="26">
        <v>0.0</v>
      </c>
      <c r="R197" s="26">
        <v>0.0</v>
      </c>
      <c r="T197" s="26">
        <v>0.0</v>
      </c>
      <c r="V197" s="26">
        <v>0.0</v>
      </c>
      <c r="X197" s="26">
        <v>0.0</v>
      </c>
      <c r="Y197" s="28"/>
      <c r="Z197" s="25">
        <v>10.0</v>
      </c>
      <c r="AB197" s="26">
        <v>10.0</v>
      </c>
      <c r="AD197" s="26">
        <v>0.0</v>
      </c>
      <c r="AF197" s="30"/>
      <c r="AH197" s="30"/>
      <c r="AJ197" s="30"/>
      <c r="AK197" s="28"/>
      <c r="AL197" s="60">
        <f t="shared" si="1"/>
        <v>2407.54</v>
      </c>
      <c r="AM197" s="53">
        <f t="shared" si="2"/>
        <v>194</v>
      </c>
      <c r="AN197" s="53">
        <f t="shared" si="3"/>
        <v>0</v>
      </c>
      <c r="AO197" s="53">
        <f t="shared" si="4"/>
        <v>194</v>
      </c>
      <c r="AP197" s="61">
        <f t="shared" si="5"/>
        <v>12.41</v>
      </c>
    </row>
    <row r="198">
      <c r="A198" s="69" t="s">
        <v>31</v>
      </c>
      <c r="B198" s="70">
        <f t="shared" si="6"/>
        <v>45851</v>
      </c>
      <c r="C198" s="71">
        <v>7.0</v>
      </c>
      <c r="D198" s="71" t="s">
        <v>36</v>
      </c>
      <c r="E198" s="144" t="s">
        <v>39</v>
      </c>
      <c r="F198" s="74">
        <v>0.0</v>
      </c>
      <c r="G198" s="75"/>
      <c r="H198" s="76">
        <v>0.0</v>
      </c>
      <c r="I198" s="75"/>
      <c r="J198" s="76">
        <v>0.0</v>
      </c>
      <c r="K198" s="75"/>
      <c r="L198" s="74">
        <v>0.0</v>
      </c>
      <c r="M198" s="75"/>
      <c r="N198" s="76">
        <v>0.0</v>
      </c>
      <c r="O198" s="75"/>
      <c r="P198" s="76">
        <v>0.0</v>
      </c>
      <c r="Q198" s="75"/>
      <c r="R198" s="76">
        <v>0.0</v>
      </c>
      <c r="S198" s="75"/>
      <c r="T198" s="76">
        <v>0.0</v>
      </c>
      <c r="U198" s="75"/>
      <c r="V198" s="76">
        <v>0.0</v>
      </c>
      <c r="W198" s="75"/>
      <c r="X198" s="76">
        <v>0.0</v>
      </c>
      <c r="Y198" s="77"/>
      <c r="Z198" s="74">
        <v>0.0</v>
      </c>
      <c r="AA198" s="75"/>
      <c r="AB198" s="76">
        <v>0.0</v>
      </c>
      <c r="AC198" s="75"/>
      <c r="AD198" s="76">
        <v>0.0</v>
      </c>
      <c r="AE198" s="75"/>
      <c r="AF198" s="78"/>
      <c r="AG198" s="75"/>
      <c r="AH198" s="78"/>
      <c r="AI198" s="75"/>
      <c r="AJ198" s="78"/>
      <c r="AK198" s="77"/>
      <c r="AL198" s="79">
        <f t="shared" si="1"/>
        <v>0</v>
      </c>
      <c r="AM198" s="71">
        <f t="shared" si="2"/>
        <v>0</v>
      </c>
      <c r="AN198" s="71">
        <f t="shared" si="3"/>
        <v>0</v>
      </c>
      <c r="AO198" s="71">
        <f t="shared" si="4"/>
        <v>0</v>
      </c>
      <c r="AP198" s="80" t="str">
        <f t="shared" si="5"/>
        <v/>
      </c>
    </row>
    <row r="199">
      <c r="A199" s="19" t="s">
        <v>23</v>
      </c>
      <c r="B199" s="81">
        <f t="shared" si="6"/>
        <v>45852</v>
      </c>
      <c r="C199" s="21">
        <v>8.0</v>
      </c>
      <c r="D199" s="21" t="s">
        <v>24</v>
      </c>
      <c r="E199" s="137" t="s">
        <v>39</v>
      </c>
      <c r="F199" s="25">
        <v>0.0</v>
      </c>
      <c r="H199" s="26">
        <v>0.0</v>
      </c>
      <c r="J199" s="26">
        <v>0.0</v>
      </c>
      <c r="L199" s="25">
        <v>0.0</v>
      </c>
      <c r="N199" s="26">
        <v>87.0</v>
      </c>
      <c r="P199" s="26">
        <v>80.0</v>
      </c>
      <c r="R199" s="26">
        <v>50.0</v>
      </c>
      <c r="T199" s="26">
        <v>1.0</v>
      </c>
      <c r="V199" s="26">
        <v>1.0</v>
      </c>
      <c r="X199" s="26">
        <v>45.0</v>
      </c>
      <c r="Y199" s="28"/>
      <c r="Z199" s="25">
        <v>0.0</v>
      </c>
      <c r="AB199" s="26">
        <v>25.0</v>
      </c>
      <c r="AD199" s="26">
        <v>0.0</v>
      </c>
      <c r="AF199" s="30"/>
      <c r="AH199" s="30"/>
      <c r="AJ199" s="30"/>
      <c r="AK199" s="28"/>
      <c r="AL199" s="39">
        <f t="shared" si="1"/>
        <v>3669.75</v>
      </c>
      <c r="AM199" s="149">
        <f t="shared" si="2"/>
        <v>287</v>
      </c>
      <c r="AN199" s="21">
        <f t="shared" si="3"/>
        <v>2</v>
      </c>
      <c r="AO199" s="21">
        <f t="shared" si="4"/>
        <v>289</v>
      </c>
      <c r="AP199" s="46">
        <f t="shared" si="5"/>
        <v>12.69809689</v>
      </c>
    </row>
    <row r="200">
      <c r="A200" s="48" t="s">
        <v>26</v>
      </c>
      <c r="B200" s="51">
        <f t="shared" si="6"/>
        <v>45853</v>
      </c>
      <c r="C200" s="53">
        <v>8.0</v>
      </c>
      <c r="D200" s="53" t="s">
        <v>24</v>
      </c>
      <c r="E200" s="142" t="s">
        <v>39</v>
      </c>
      <c r="F200" s="25">
        <v>0.0</v>
      </c>
      <c r="H200" s="26">
        <v>0.0</v>
      </c>
      <c r="J200" s="26">
        <v>0.0</v>
      </c>
      <c r="L200" s="25">
        <v>87.0</v>
      </c>
      <c r="N200" s="26">
        <v>87.0</v>
      </c>
      <c r="P200" s="26">
        <v>0.0</v>
      </c>
      <c r="R200" s="26">
        <v>0.0</v>
      </c>
      <c r="T200" s="26">
        <v>0.0</v>
      </c>
      <c r="V200" s="26">
        <v>0.0</v>
      </c>
      <c r="X200" s="26">
        <v>0.0</v>
      </c>
      <c r="Y200" s="28"/>
      <c r="Z200" s="25">
        <v>25.0</v>
      </c>
      <c r="AB200" s="26">
        <v>25.0</v>
      </c>
      <c r="AD200" s="26">
        <v>0.0</v>
      </c>
      <c r="AF200" s="30"/>
      <c r="AH200" s="30"/>
      <c r="AJ200" s="30"/>
      <c r="AK200" s="28"/>
      <c r="AL200" s="60">
        <f t="shared" si="1"/>
        <v>2779.84</v>
      </c>
      <c r="AM200" s="150">
        <f t="shared" si="2"/>
        <v>224</v>
      </c>
      <c r="AN200" s="53">
        <f t="shared" si="3"/>
        <v>0</v>
      </c>
      <c r="AO200" s="53">
        <f t="shared" si="4"/>
        <v>224</v>
      </c>
      <c r="AP200" s="61">
        <f t="shared" si="5"/>
        <v>12.41</v>
      </c>
    </row>
    <row r="201">
      <c r="A201" s="48" t="s">
        <v>27</v>
      </c>
      <c r="B201" s="51">
        <f t="shared" si="6"/>
        <v>45854</v>
      </c>
      <c r="C201" s="53">
        <v>8.0</v>
      </c>
      <c r="D201" s="53" t="s">
        <v>24</v>
      </c>
      <c r="E201" s="142" t="s">
        <v>39</v>
      </c>
      <c r="F201" s="25">
        <v>0.0</v>
      </c>
      <c r="H201" s="26">
        <v>0.0</v>
      </c>
      <c r="J201" s="26">
        <v>0.0</v>
      </c>
      <c r="L201" s="25">
        <v>0.0</v>
      </c>
      <c r="N201" s="26">
        <v>87.0</v>
      </c>
      <c r="P201" s="26">
        <v>80.0</v>
      </c>
      <c r="R201" s="26">
        <v>50.0</v>
      </c>
      <c r="T201" s="26">
        <v>0.0</v>
      </c>
      <c r="V201" s="26">
        <v>0.0</v>
      </c>
      <c r="X201" s="26">
        <v>45.0</v>
      </c>
      <c r="Y201" s="28"/>
      <c r="Z201" s="25">
        <v>0.0</v>
      </c>
      <c r="AB201" s="26">
        <v>25.0</v>
      </c>
      <c r="AD201" s="26">
        <v>0.0</v>
      </c>
      <c r="AF201" s="30"/>
      <c r="AH201" s="30"/>
      <c r="AJ201" s="30"/>
      <c r="AK201" s="28"/>
      <c r="AL201" s="60">
        <f t="shared" si="1"/>
        <v>2904.62</v>
      </c>
      <c r="AM201" s="150">
        <f t="shared" si="2"/>
        <v>287</v>
      </c>
      <c r="AN201" s="53">
        <f t="shared" si="3"/>
        <v>0</v>
      </c>
      <c r="AO201" s="53">
        <f t="shared" si="4"/>
        <v>287</v>
      </c>
      <c r="AP201" s="61">
        <f t="shared" si="5"/>
        <v>10.12062718</v>
      </c>
    </row>
    <row r="202">
      <c r="A202" s="48" t="s">
        <v>28</v>
      </c>
      <c r="B202" s="51">
        <f t="shared" si="6"/>
        <v>45855</v>
      </c>
      <c r="C202" s="53">
        <v>8.0</v>
      </c>
      <c r="D202" s="53" t="s">
        <v>24</v>
      </c>
      <c r="E202" s="142" t="s">
        <v>39</v>
      </c>
      <c r="F202" s="25">
        <v>0.0</v>
      </c>
      <c r="H202" s="26">
        <v>0.0</v>
      </c>
      <c r="J202" s="26">
        <v>0.0</v>
      </c>
      <c r="L202" s="25">
        <v>100.0</v>
      </c>
      <c r="N202" s="26">
        <v>100.0</v>
      </c>
      <c r="P202" s="26">
        <v>0.0</v>
      </c>
      <c r="R202" s="26">
        <v>0.0</v>
      </c>
      <c r="T202" s="26">
        <v>0.0</v>
      </c>
      <c r="V202" s="26">
        <v>0.0</v>
      </c>
      <c r="X202" s="26">
        <v>0.0</v>
      </c>
      <c r="Y202" s="28"/>
      <c r="Z202" s="25">
        <v>25.0</v>
      </c>
      <c r="AB202" s="26">
        <v>25.0</v>
      </c>
      <c r="AD202" s="26">
        <v>0.0</v>
      </c>
      <c r="AF202" s="30"/>
      <c r="AH202" s="30"/>
      <c r="AJ202" s="30"/>
      <c r="AK202" s="28"/>
      <c r="AL202" s="60">
        <f t="shared" si="1"/>
        <v>3102.5</v>
      </c>
      <c r="AM202" s="150">
        <f t="shared" si="2"/>
        <v>250</v>
      </c>
      <c r="AN202" s="53">
        <f t="shared" si="3"/>
        <v>0</v>
      </c>
      <c r="AO202" s="53">
        <f t="shared" si="4"/>
        <v>250</v>
      </c>
      <c r="AP202" s="61">
        <f t="shared" si="5"/>
        <v>12.41</v>
      </c>
    </row>
    <row r="203">
      <c r="A203" s="48" t="s">
        <v>29</v>
      </c>
      <c r="B203" s="51">
        <f t="shared" si="6"/>
        <v>45856</v>
      </c>
      <c r="C203" s="53">
        <v>8.0</v>
      </c>
      <c r="D203" s="53" t="s">
        <v>24</v>
      </c>
      <c r="E203" s="142" t="s">
        <v>39</v>
      </c>
      <c r="F203" s="25">
        <v>0.0</v>
      </c>
      <c r="H203" s="26">
        <v>0.0</v>
      </c>
      <c r="J203" s="26">
        <v>0.0</v>
      </c>
      <c r="L203" s="25">
        <v>50.0</v>
      </c>
      <c r="N203" s="26">
        <v>125.0</v>
      </c>
      <c r="P203" s="26">
        <v>80.0</v>
      </c>
      <c r="R203" s="26">
        <v>50.0</v>
      </c>
      <c r="T203" s="26">
        <v>0.0</v>
      </c>
      <c r="V203" s="26">
        <v>0.0</v>
      </c>
      <c r="X203" s="26">
        <v>0.0</v>
      </c>
      <c r="Y203" s="28"/>
      <c r="Z203" s="25">
        <v>45.0</v>
      </c>
      <c r="AB203" s="26">
        <v>25.0</v>
      </c>
      <c r="AD203" s="26">
        <v>0.0</v>
      </c>
      <c r="AF203" s="30"/>
      <c r="AH203" s="30"/>
      <c r="AJ203" s="30"/>
      <c r="AK203" s="28"/>
      <c r="AL203" s="60">
        <f t="shared" si="1"/>
        <v>4279.75</v>
      </c>
      <c r="AM203" s="150">
        <f t="shared" si="2"/>
        <v>375</v>
      </c>
      <c r="AN203" s="53">
        <f t="shared" si="3"/>
        <v>0</v>
      </c>
      <c r="AO203" s="53">
        <f t="shared" si="4"/>
        <v>375</v>
      </c>
      <c r="AP203" s="61">
        <f t="shared" si="5"/>
        <v>11.41266667</v>
      </c>
    </row>
    <row r="204">
      <c r="A204" s="48" t="s">
        <v>30</v>
      </c>
      <c r="B204" s="51">
        <f t="shared" si="6"/>
        <v>45857</v>
      </c>
      <c r="C204" s="53">
        <v>8.0</v>
      </c>
      <c r="D204" s="53" t="s">
        <v>24</v>
      </c>
      <c r="E204" s="142" t="s">
        <v>39</v>
      </c>
      <c r="F204" s="25">
        <v>0.0</v>
      </c>
      <c r="H204" s="26">
        <v>0.0</v>
      </c>
      <c r="J204" s="26">
        <v>0.0</v>
      </c>
      <c r="L204" s="25">
        <v>100.0</v>
      </c>
      <c r="N204" s="26">
        <v>100.0</v>
      </c>
      <c r="P204" s="26">
        <v>0.0</v>
      </c>
      <c r="R204" s="26">
        <v>0.0</v>
      </c>
      <c r="T204" s="26">
        <v>0.0</v>
      </c>
      <c r="V204" s="26">
        <v>0.0</v>
      </c>
      <c r="X204" s="26">
        <v>0.0</v>
      </c>
      <c r="Y204" s="28"/>
      <c r="Z204" s="25">
        <v>10.0</v>
      </c>
      <c r="AB204" s="26">
        <v>10.0</v>
      </c>
      <c r="AD204" s="26">
        <v>0.0</v>
      </c>
      <c r="AF204" s="30"/>
      <c r="AH204" s="30"/>
      <c r="AJ204" s="30"/>
      <c r="AK204" s="28"/>
      <c r="AL204" s="60">
        <f t="shared" si="1"/>
        <v>2730.2</v>
      </c>
      <c r="AM204" s="150">
        <f t="shared" si="2"/>
        <v>220</v>
      </c>
      <c r="AN204" s="53">
        <f t="shared" si="3"/>
        <v>0</v>
      </c>
      <c r="AO204" s="53">
        <f t="shared" si="4"/>
        <v>220</v>
      </c>
      <c r="AP204" s="61">
        <f t="shared" si="5"/>
        <v>12.41</v>
      </c>
    </row>
    <row r="205">
      <c r="A205" s="69" t="s">
        <v>31</v>
      </c>
      <c r="B205" s="70">
        <f t="shared" si="6"/>
        <v>45858</v>
      </c>
      <c r="C205" s="71">
        <v>8.0</v>
      </c>
      <c r="D205" s="71" t="s">
        <v>24</v>
      </c>
      <c r="E205" s="144" t="s">
        <v>39</v>
      </c>
      <c r="F205" s="74">
        <v>0.0</v>
      </c>
      <c r="G205" s="75"/>
      <c r="H205" s="76">
        <v>0.0</v>
      </c>
      <c r="I205" s="75"/>
      <c r="J205" s="76">
        <v>0.0</v>
      </c>
      <c r="K205" s="75"/>
      <c r="L205" s="74">
        <v>50.0</v>
      </c>
      <c r="M205" s="75"/>
      <c r="N205" s="76">
        <v>50.0</v>
      </c>
      <c r="O205" s="75"/>
      <c r="P205" s="76">
        <v>0.0</v>
      </c>
      <c r="Q205" s="75"/>
      <c r="R205" s="76">
        <v>0.0</v>
      </c>
      <c r="S205" s="75"/>
      <c r="T205" s="76">
        <v>0.0</v>
      </c>
      <c r="U205" s="75"/>
      <c r="V205" s="76">
        <v>0.0</v>
      </c>
      <c r="W205" s="75"/>
      <c r="X205" s="76">
        <v>0.0</v>
      </c>
      <c r="Y205" s="77"/>
      <c r="Z205" s="74">
        <v>0.0</v>
      </c>
      <c r="AA205" s="75"/>
      <c r="AB205" s="76">
        <v>0.0</v>
      </c>
      <c r="AC205" s="75"/>
      <c r="AD205" s="76">
        <v>0.0</v>
      </c>
      <c r="AE205" s="75"/>
      <c r="AF205" s="78"/>
      <c r="AG205" s="75"/>
      <c r="AH205" s="78"/>
      <c r="AI205" s="75"/>
      <c r="AJ205" s="78"/>
      <c r="AK205" s="77"/>
      <c r="AL205" s="79">
        <f t="shared" si="1"/>
        <v>1241</v>
      </c>
      <c r="AM205" s="151">
        <f t="shared" si="2"/>
        <v>100</v>
      </c>
      <c r="AN205" s="71">
        <f t="shared" si="3"/>
        <v>0</v>
      </c>
      <c r="AO205" s="71">
        <f t="shared" si="4"/>
        <v>100</v>
      </c>
      <c r="AP205" s="80">
        <f t="shared" si="5"/>
        <v>12.41</v>
      </c>
    </row>
    <row r="206">
      <c r="A206" s="19" t="s">
        <v>23</v>
      </c>
      <c r="B206" s="81">
        <f t="shared" si="6"/>
        <v>45859</v>
      </c>
      <c r="C206" s="21">
        <v>8.0</v>
      </c>
      <c r="D206" s="21" t="s">
        <v>32</v>
      </c>
      <c r="E206" s="137" t="s">
        <v>39</v>
      </c>
      <c r="F206" s="25">
        <v>0.0</v>
      </c>
      <c r="H206" s="26">
        <v>0.0</v>
      </c>
      <c r="J206" s="26">
        <v>0.0</v>
      </c>
      <c r="L206" s="25">
        <v>0.0</v>
      </c>
      <c r="N206" s="26">
        <v>137.0</v>
      </c>
      <c r="P206" s="26">
        <v>120.0</v>
      </c>
      <c r="R206" s="26">
        <v>50.0</v>
      </c>
      <c r="T206" s="26">
        <v>1.0</v>
      </c>
      <c r="V206" s="26">
        <v>1.0</v>
      </c>
      <c r="X206" s="26">
        <v>55.0</v>
      </c>
      <c r="Y206" s="28"/>
      <c r="Z206" s="25">
        <v>0.0</v>
      </c>
      <c r="AB206" s="26">
        <v>29.0</v>
      </c>
      <c r="AD206" s="26">
        <v>0.0</v>
      </c>
      <c r="AF206" s="30"/>
      <c r="AH206" s="30"/>
      <c r="AJ206" s="30"/>
      <c r="AK206" s="28"/>
      <c r="AL206" s="39">
        <f t="shared" si="1"/>
        <v>4897.49</v>
      </c>
      <c r="AM206" s="21">
        <f t="shared" si="2"/>
        <v>391</v>
      </c>
      <c r="AN206" s="21">
        <f t="shared" si="3"/>
        <v>2</v>
      </c>
      <c r="AO206" s="21">
        <f t="shared" si="4"/>
        <v>393</v>
      </c>
      <c r="AP206" s="46">
        <f t="shared" si="5"/>
        <v>12.46180662</v>
      </c>
    </row>
    <row r="207">
      <c r="A207" s="48" t="s">
        <v>26</v>
      </c>
      <c r="B207" s="51">
        <f t="shared" si="6"/>
        <v>45860</v>
      </c>
      <c r="C207" s="53">
        <v>8.0</v>
      </c>
      <c r="D207" s="53" t="s">
        <v>32</v>
      </c>
      <c r="E207" s="142" t="s">
        <v>39</v>
      </c>
      <c r="F207" s="25">
        <v>0.0</v>
      </c>
      <c r="H207" s="26">
        <v>0.0</v>
      </c>
      <c r="J207" s="26">
        <v>0.0</v>
      </c>
      <c r="L207" s="25">
        <v>137.0</v>
      </c>
      <c r="N207" s="26">
        <v>137.0</v>
      </c>
      <c r="P207" s="26">
        <v>0.0</v>
      </c>
      <c r="R207" s="26">
        <v>0.0</v>
      </c>
      <c r="T207" s="26">
        <v>0.0</v>
      </c>
      <c r="V207" s="26">
        <v>0.0</v>
      </c>
      <c r="X207" s="26">
        <v>0.0</v>
      </c>
      <c r="Y207" s="28"/>
      <c r="Z207" s="25">
        <v>29.0</v>
      </c>
      <c r="AB207" s="26">
        <v>29.0</v>
      </c>
      <c r="AD207" s="26">
        <v>0.0</v>
      </c>
      <c r="AF207" s="30"/>
      <c r="AH207" s="30"/>
      <c r="AJ207" s="30"/>
      <c r="AK207" s="28"/>
      <c r="AL207" s="60">
        <f t="shared" si="1"/>
        <v>4120.12</v>
      </c>
      <c r="AM207" s="53">
        <f t="shared" si="2"/>
        <v>332</v>
      </c>
      <c r="AN207" s="53">
        <f t="shared" si="3"/>
        <v>0</v>
      </c>
      <c r="AO207" s="53">
        <f t="shared" si="4"/>
        <v>332</v>
      </c>
      <c r="AP207" s="61">
        <f t="shared" si="5"/>
        <v>12.41</v>
      </c>
    </row>
    <row r="208">
      <c r="A208" s="48" t="s">
        <v>27</v>
      </c>
      <c r="B208" s="51">
        <f t="shared" si="6"/>
        <v>45861</v>
      </c>
      <c r="C208" s="53">
        <v>8.0</v>
      </c>
      <c r="D208" s="53" t="s">
        <v>32</v>
      </c>
      <c r="E208" s="142" t="s">
        <v>39</v>
      </c>
      <c r="F208" s="25">
        <v>0.0</v>
      </c>
      <c r="H208" s="26">
        <v>0.0</v>
      </c>
      <c r="J208" s="26">
        <v>0.0</v>
      </c>
      <c r="L208" s="25">
        <v>137.0</v>
      </c>
      <c r="N208" s="26">
        <v>137.0</v>
      </c>
      <c r="P208" s="26">
        <v>0.0</v>
      </c>
      <c r="R208" s="26">
        <v>0.0</v>
      </c>
      <c r="T208" s="26">
        <v>0.0</v>
      </c>
      <c r="V208" s="26">
        <v>0.0</v>
      </c>
      <c r="X208" s="26">
        <v>0.0</v>
      </c>
      <c r="Y208" s="28"/>
      <c r="Z208" s="25">
        <v>29.0</v>
      </c>
      <c r="AB208" s="26">
        <v>29.0</v>
      </c>
      <c r="AD208" s="26">
        <v>0.0</v>
      </c>
      <c r="AF208" s="30"/>
      <c r="AH208" s="30"/>
      <c r="AJ208" s="30"/>
      <c r="AK208" s="28"/>
      <c r="AL208" s="60">
        <f t="shared" si="1"/>
        <v>4120.12</v>
      </c>
      <c r="AM208" s="53">
        <f t="shared" si="2"/>
        <v>332</v>
      </c>
      <c r="AN208" s="53">
        <f t="shared" si="3"/>
        <v>0</v>
      </c>
      <c r="AO208" s="53">
        <f t="shared" si="4"/>
        <v>332</v>
      </c>
      <c r="AP208" s="61">
        <f t="shared" si="5"/>
        <v>12.41</v>
      </c>
    </row>
    <row r="209">
      <c r="A209" s="48" t="s">
        <v>28</v>
      </c>
      <c r="B209" s="51">
        <f t="shared" si="6"/>
        <v>45862</v>
      </c>
      <c r="C209" s="53">
        <v>8.0</v>
      </c>
      <c r="D209" s="53" t="s">
        <v>32</v>
      </c>
      <c r="E209" s="142" t="s">
        <v>39</v>
      </c>
      <c r="F209" s="25">
        <v>0.0</v>
      </c>
      <c r="H209" s="26">
        <v>0.0</v>
      </c>
      <c r="J209" s="26">
        <v>0.0</v>
      </c>
      <c r="L209" s="25">
        <v>137.0</v>
      </c>
      <c r="N209" s="26">
        <v>137.0</v>
      </c>
      <c r="P209" s="26">
        <v>0.0</v>
      </c>
      <c r="R209" s="26">
        <v>0.0</v>
      </c>
      <c r="T209" s="26">
        <v>0.0</v>
      </c>
      <c r="V209" s="26">
        <v>0.0</v>
      </c>
      <c r="X209" s="26">
        <v>0.0</v>
      </c>
      <c r="Y209" s="28"/>
      <c r="Z209" s="25">
        <v>29.0</v>
      </c>
      <c r="AB209" s="26">
        <v>29.0</v>
      </c>
      <c r="AD209" s="26">
        <v>0.0</v>
      </c>
      <c r="AF209" s="30"/>
      <c r="AH209" s="30"/>
      <c r="AJ209" s="30"/>
      <c r="AK209" s="28"/>
      <c r="AL209" s="60">
        <f t="shared" si="1"/>
        <v>4120.12</v>
      </c>
      <c r="AM209" s="53">
        <f t="shared" si="2"/>
        <v>332</v>
      </c>
      <c r="AN209" s="53">
        <f t="shared" si="3"/>
        <v>0</v>
      </c>
      <c r="AO209" s="53">
        <f t="shared" si="4"/>
        <v>332</v>
      </c>
      <c r="AP209" s="61">
        <f t="shared" si="5"/>
        <v>12.41</v>
      </c>
    </row>
    <row r="210">
      <c r="A210" s="48" t="s">
        <v>29</v>
      </c>
      <c r="B210" s="51">
        <f t="shared" si="6"/>
        <v>45863</v>
      </c>
      <c r="C210" s="53">
        <v>8.0</v>
      </c>
      <c r="D210" s="53" t="s">
        <v>32</v>
      </c>
      <c r="E210" s="142" t="s">
        <v>39</v>
      </c>
      <c r="F210" s="25">
        <v>0.0</v>
      </c>
      <c r="H210" s="26">
        <v>0.0</v>
      </c>
      <c r="J210" s="26">
        <v>0.0</v>
      </c>
      <c r="L210" s="25">
        <v>70.0</v>
      </c>
      <c r="N210" s="26">
        <v>50.0</v>
      </c>
      <c r="P210" s="26">
        <v>0.0</v>
      </c>
      <c r="R210" s="26">
        <v>0.0</v>
      </c>
      <c r="T210" s="26">
        <v>0.0</v>
      </c>
      <c r="V210" s="26">
        <v>0.0</v>
      </c>
      <c r="X210" s="26">
        <v>0.0</v>
      </c>
      <c r="Y210" s="28"/>
      <c r="Z210" s="25">
        <v>0.0</v>
      </c>
      <c r="AB210" s="26">
        <v>0.0</v>
      </c>
      <c r="AD210" s="26">
        <v>0.0</v>
      </c>
      <c r="AF210" s="30"/>
      <c r="AH210" s="30"/>
      <c r="AJ210" s="30"/>
      <c r="AK210" s="28"/>
      <c r="AL210" s="60">
        <f t="shared" si="1"/>
        <v>1489.2</v>
      </c>
      <c r="AM210" s="53">
        <f t="shared" si="2"/>
        <v>120</v>
      </c>
      <c r="AN210" s="53">
        <f t="shared" si="3"/>
        <v>0</v>
      </c>
      <c r="AO210" s="53">
        <f t="shared" si="4"/>
        <v>120</v>
      </c>
      <c r="AP210" s="61">
        <f t="shared" si="5"/>
        <v>12.41</v>
      </c>
    </row>
    <row r="211">
      <c r="A211" s="48" t="s">
        <v>30</v>
      </c>
      <c r="B211" s="51">
        <f t="shared" si="6"/>
        <v>45864</v>
      </c>
      <c r="C211" s="53">
        <v>8.0</v>
      </c>
      <c r="D211" s="53" t="s">
        <v>32</v>
      </c>
      <c r="E211" s="142" t="s">
        <v>39</v>
      </c>
      <c r="F211" s="25">
        <v>0.0</v>
      </c>
      <c r="H211" s="26">
        <v>0.0</v>
      </c>
      <c r="J211" s="26">
        <v>0.0</v>
      </c>
      <c r="L211" s="25">
        <v>70.0</v>
      </c>
      <c r="N211" s="26">
        <v>50.0</v>
      </c>
      <c r="P211" s="26">
        <v>0.0</v>
      </c>
      <c r="R211" s="26">
        <v>0.0</v>
      </c>
      <c r="T211" s="26">
        <v>0.0</v>
      </c>
      <c r="V211" s="26">
        <v>0.0</v>
      </c>
      <c r="X211" s="26">
        <v>0.0</v>
      </c>
      <c r="Y211" s="28"/>
      <c r="Z211" s="25">
        <v>0.0</v>
      </c>
      <c r="AB211" s="26">
        <v>0.0</v>
      </c>
      <c r="AD211" s="26">
        <v>0.0</v>
      </c>
      <c r="AF211" s="30"/>
      <c r="AH211" s="30"/>
      <c r="AJ211" s="30"/>
      <c r="AK211" s="28"/>
      <c r="AL211" s="60">
        <f t="shared" si="1"/>
        <v>1489.2</v>
      </c>
      <c r="AM211" s="53">
        <f t="shared" si="2"/>
        <v>120</v>
      </c>
      <c r="AN211" s="53">
        <f t="shared" si="3"/>
        <v>0</v>
      </c>
      <c r="AO211" s="53">
        <f t="shared" si="4"/>
        <v>120</v>
      </c>
      <c r="AP211" s="61">
        <f t="shared" si="5"/>
        <v>12.41</v>
      </c>
    </row>
    <row r="212">
      <c r="A212" s="69" t="s">
        <v>31</v>
      </c>
      <c r="B212" s="70">
        <f t="shared" si="6"/>
        <v>45865</v>
      </c>
      <c r="C212" s="71">
        <v>8.0</v>
      </c>
      <c r="D212" s="71" t="s">
        <v>32</v>
      </c>
      <c r="E212" s="144" t="s">
        <v>39</v>
      </c>
      <c r="F212" s="74">
        <v>0.0</v>
      </c>
      <c r="G212" s="75"/>
      <c r="H212" s="76">
        <v>0.0</v>
      </c>
      <c r="I212" s="75"/>
      <c r="J212" s="76">
        <v>0.0</v>
      </c>
      <c r="K212" s="75"/>
      <c r="L212" s="74">
        <v>0.0</v>
      </c>
      <c r="M212" s="75"/>
      <c r="N212" s="76">
        <v>0.0</v>
      </c>
      <c r="O212" s="75"/>
      <c r="P212" s="76">
        <v>0.0</v>
      </c>
      <c r="Q212" s="75"/>
      <c r="R212" s="76">
        <v>0.0</v>
      </c>
      <c r="S212" s="75"/>
      <c r="T212" s="76">
        <v>0.0</v>
      </c>
      <c r="U212" s="75"/>
      <c r="V212" s="76">
        <v>0.0</v>
      </c>
      <c r="W212" s="75"/>
      <c r="X212" s="76">
        <v>0.0</v>
      </c>
      <c r="Y212" s="77"/>
      <c r="Z212" s="74">
        <v>0.0</v>
      </c>
      <c r="AA212" s="75"/>
      <c r="AB212" s="76">
        <v>0.0</v>
      </c>
      <c r="AC212" s="75"/>
      <c r="AD212" s="76">
        <v>0.0</v>
      </c>
      <c r="AE212" s="75"/>
      <c r="AF212" s="78"/>
      <c r="AG212" s="75"/>
      <c r="AH212" s="78"/>
      <c r="AI212" s="75"/>
      <c r="AJ212" s="78"/>
      <c r="AK212" s="77"/>
      <c r="AL212" s="79">
        <f t="shared" si="1"/>
        <v>0</v>
      </c>
      <c r="AM212" s="71">
        <f t="shared" si="2"/>
        <v>0</v>
      </c>
      <c r="AN212" s="71">
        <f t="shared" si="3"/>
        <v>0</v>
      </c>
      <c r="AO212" s="71">
        <f t="shared" si="4"/>
        <v>0</v>
      </c>
      <c r="AP212" s="80" t="str">
        <f t="shared" si="5"/>
        <v/>
      </c>
    </row>
    <row r="213">
      <c r="A213" s="19" t="s">
        <v>23</v>
      </c>
      <c r="B213" s="81">
        <f t="shared" si="6"/>
        <v>45866</v>
      </c>
      <c r="C213" s="21">
        <v>8.0</v>
      </c>
      <c r="D213" s="21" t="s">
        <v>33</v>
      </c>
      <c r="E213" s="137" t="s">
        <v>39</v>
      </c>
      <c r="F213" s="25">
        <v>0.0</v>
      </c>
      <c r="H213" s="26">
        <v>0.0</v>
      </c>
      <c r="J213" s="26">
        <v>0.0</v>
      </c>
      <c r="L213" s="25">
        <v>120.0</v>
      </c>
      <c r="N213" s="26">
        <v>120.0</v>
      </c>
      <c r="P213" s="26">
        <v>0.0</v>
      </c>
      <c r="R213" s="26">
        <v>0.0</v>
      </c>
      <c r="T213" s="26">
        <v>1.0</v>
      </c>
      <c r="V213" s="26">
        <v>1.0</v>
      </c>
      <c r="X213" s="26">
        <v>0.0</v>
      </c>
      <c r="Y213" s="28"/>
      <c r="Z213" s="25">
        <v>25.0</v>
      </c>
      <c r="AB213" s="26">
        <v>25.0</v>
      </c>
      <c r="AD213" s="26">
        <v>0.0</v>
      </c>
      <c r="AF213" s="30"/>
      <c r="AH213" s="30"/>
      <c r="AJ213" s="30"/>
      <c r="AK213" s="28"/>
      <c r="AL213" s="39">
        <f t="shared" si="1"/>
        <v>4364.03</v>
      </c>
      <c r="AM213" s="21">
        <f t="shared" si="2"/>
        <v>290</v>
      </c>
      <c r="AN213" s="21">
        <f t="shared" si="3"/>
        <v>2</v>
      </c>
      <c r="AO213" s="21">
        <f t="shared" si="4"/>
        <v>292</v>
      </c>
      <c r="AP213" s="46">
        <f t="shared" si="5"/>
        <v>14.94530822</v>
      </c>
    </row>
    <row r="214">
      <c r="A214" s="48" t="s">
        <v>26</v>
      </c>
      <c r="B214" s="51">
        <f t="shared" si="6"/>
        <v>45867</v>
      </c>
      <c r="C214" s="53">
        <v>8.0</v>
      </c>
      <c r="D214" s="53" t="s">
        <v>33</v>
      </c>
      <c r="E214" s="142" t="s">
        <v>39</v>
      </c>
      <c r="F214" s="25">
        <v>0.0</v>
      </c>
      <c r="H214" s="26">
        <v>0.0</v>
      </c>
      <c r="J214" s="26">
        <v>0.0</v>
      </c>
      <c r="L214" s="25">
        <v>120.0</v>
      </c>
      <c r="N214" s="26">
        <v>120.0</v>
      </c>
      <c r="P214" s="26">
        <v>0.0</v>
      </c>
      <c r="R214" s="26">
        <v>0.0</v>
      </c>
      <c r="T214" s="26">
        <v>0.0</v>
      </c>
      <c r="V214" s="26">
        <v>0.0</v>
      </c>
      <c r="X214" s="26">
        <v>0.0</v>
      </c>
      <c r="Y214" s="28"/>
      <c r="Z214" s="25">
        <v>25.0</v>
      </c>
      <c r="AB214" s="26">
        <v>25.0</v>
      </c>
      <c r="AD214" s="26">
        <v>0.0</v>
      </c>
      <c r="AF214" s="30"/>
      <c r="AH214" s="30"/>
      <c r="AJ214" s="30"/>
      <c r="AK214" s="28"/>
      <c r="AL214" s="60">
        <f t="shared" si="1"/>
        <v>3598.9</v>
      </c>
      <c r="AM214" s="53">
        <f t="shared" si="2"/>
        <v>290</v>
      </c>
      <c r="AN214" s="53">
        <f t="shared" si="3"/>
        <v>0</v>
      </c>
      <c r="AO214" s="53">
        <f t="shared" si="4"/>
        <v>290</v>
      </c>
      <c r="AP214" s="61">
        <f t="shared" si="5"/>
        <v>12.41</v>
      </c>
    </row>
    <row r="215">
      <c r="A215" s="48" t="s">
        <v>27</v>
      </c>
      <c r="B215" s="51">
        <f t="shared" si="6"/>
        <v>45868</v>
      </c>
      <c r="C215" s="53">
        <v>8.0</v>
      </c>
      <c r="D215" s="53" t="s">
        <v>33</v>
      </c>
      <c r="E215" s="142" t="s">
        <v>39</v>
      </c>
      <c r="F215" s="25">
        <v>0.0</v>
      </c>
      <c r="H215" s="26">
        <v>0.0</v>
      </c>
      <c r="J215" s="26">
        <v>0.0</v>
      </c>
      <c r="L215" s="25">
        <v>120.0</v>
      </c>
      <c r="N215" s="26">
        <v>120.0</v>
      </c>
      <c r="P215" s="26">
        <v>0.0</v>
      </c>
      <c r="R215" s="26">
        <v>0.0</v>
      </c>
      <c r="T215" s="26">
        <v>0.0</v>
      </c>
      <c r="V215" s="26">
        <v>0.0</v>
      </c>
      <c r="X215" s="26">
        <v>0.0</v>
      </c>
      <c r="Y215" s="28"/>
      <c r="Z215" s="25">
        <v>25.0</v>
      </c>
      <c r="AB215" s="26">
        <v>25.0</v>
      </c>
      <c r="AD215" s="26">
        <v>0.0</v>
      </c>
      <c r="AF215" s="30"/>
      <c r="AH215" s="30"/>
      <c r="AJ215" s="30"/>
      <c r="AK215" s="28"/>
      <c r="AL215" s="60">
        <f t="shared" si="1"/>
        <v>3598.9</v>
      </c>
      <c r="AM215" s="53">
        <f t="shared" si="2"/>
        <v>290</v>
      </c>
      <c r="AN215" s="53">
        <f t="shared" si="3"/>
        <v>0</v>
      </c>
      <c r="AO215" s="53">
        <f t="shared" si="4"/>
        <v>290</v>
      </c>
      <c r="AP215" s="61">
        <f t="shared" si="5"/>
        <v>12.41</v>
      </c>
    </row>
    <row r="216">
      <c r="A216" s="48" t="s">
        <v>28</v>
      </c>
      <c r="B216" s="51">
        <f t="shared" si="6"/>
        <v>45869</v>
      </c>
      <c r="C216" s="53">
        <v>8.0</v>
      </c>
      <c r="D216" s="53" t="s">
        <v>33</v>
      </c>
      <c r="E216" s="142" t="s">
        <v>39</v>
      </c>
      <c r="F216" s="25">
        <v>0.0</v>
      </c>
      <c r="H216" s="26">
        <v>0.0</v>
      </c>
      <c r="J216" s="26">
        <v>0.0</v>
      </c>
      <c r="L216" s="25">
        <v>120.0</v>
      </c>
      <c r="N216" s="26">
        <v>120.0</v>
      </c>
      <c r="P216" s="26">
        <v>0.0</v>
      </c>
      <c r="R216" s="26">
        <v>0.0</v>
      </c>
      <c r="T216" s="26">
        <v>0.0</v>
      </c>
      <c r="V216" s="26">
        <v>0.0</v>
      </c>
      <c r="X216" s="26">
        <v>0.0</v>
      </c>
      <c r="Y216" s="28"/>
      <c r="Z216" s="25">
        <v>25.0</v>
      </c>
      <c r="AB216" s="26">
        <v>25.0</v>
      </c>
      <c r="AD216" s="26">
        <v>0.0</v>
      </c>
      <c r="AF216" s="30"/>
      <c r="AH216" s="30"/>
      <c r="AJ216" s="30"/>
      <c r="AK216" s="28"/>
      <c r="AL216" s="60">
        <f t="shared" si="1"/>
        <v>3598.9</v>
      </c>
      <c r="AM216" s="53">
        <f t="shared" si="2"/>
        <v>290</v>
      </c>
      <c r="AN216" s="53">
        <f t="shared" si="3"/>
        <v>0</v>
      </c>
      <c r="AO216" s="53">
        <f t="shared" si="4"/>
        <v>290</v>
      </c>
      <c r="AP216" s="61">
        <f t="shared" si="5"/>
        <v>12.41</v>
      </c>
    </row>
    <row r="217">
      <c r="A217" s="48" t="s">
        <v>29</v>
      </c>
      <c r="B217" s="51">
        <f t="shared" si="6"/>
        <v>45870</v>
      </c>
      <c r="C217" s="53">
        <v>8.0</v>
      </c>
      <c r="D217" s="53" t="s">
        <v>33</v>
      </c>
      <c r="E217" s="142" t="s">
        <v>39</v>
      </c>
      <c r="F217" s="25">
        <v>0.0</v>
      </c>
      <c r="H217" s="26">
        <v>0.0</v>
      </c>
      <c r="J217" s="26">
        <v>0.0</v>
      </c>
      <c r="L217" s="25">
        <v>120.0</v>
      </c>
      <c r="N217" s="26">
        <v>120.0</v>
      </c>
      <c r="P217" s="26">
        <v>0.0</v>
      </c>
      <c r="R217" s="26">
        <v>0.0</v>
      </c>
      <c r="T217" s="26">
        <v>0.0</v>
      </c>
      <c r="V217" s="26">
        <v>0.0</v>
      </c>
      <c r="X217" s="26">
        <v>0.0</v>
      </c>
      <c r="Y217" s="28"/>
      <c r="Z217" s="25">
        <v>25.0</v>
      </c>
      <c r="AB217" s="26">
        <v>25.0</v>
      </c>
      <c r="AD217" s="26">
        <v>0.0</v>
      </c>
      <c r="AF217" s="30"/>
      <c r="AH217" s="30"/>
      <c r="AJ217" s="30"/>
      <c r="AK217" s="28"/>
      <c r="AL217" s="60">
        <f t="shared" si="1"/>
        <v>3598.9</v>
      </c>
      <c r="AM217" s="53">
        <f t="shared" si="2"/>
        <v>290</v>
      </c>
      <c r="AN217" s="53">
        <f t="shared" si="3"/>
        <v>0</v>
      </c>
      <c r="AO217" s="53">
        <f t="shared" si="4"/>
        <v>290</v>
      </c>
      <c r="AP217" s="61">
        <f t="shared" si="5"/>
        <v>12.41</v>
      </c>
    </row>
    <row r="218">
      <c r="A218" s="48" t="s">
        <v>30</v>
      </c>
      <c r="B218" s="51">
        <f t="shared" si="6"/>
        <v>45871</v>
      </c>
      <c r="C218" s="53">
        <v>8.0</v>
      </c>
      <c r="D218" s="53" t="s">
        <v>33</v>
      </c>
      <c r="E218" s="142" t="s">
        <v>39</v>
      </c>
      <c r="F218" s="25">
        <v>0.0</v>
      </c>
      <c r="H218" s="26">
        <v>0.0</v>
      </c>
      <c r="J218" s="26">
        <v>0.0</v>
      </c>
      <c r="L218" s="25">
        <v>120.0</v>
      </c>
      <c r="N218" s="26">
        <v>120.0</v>
      </c>
      <c r="P218" s="26">
        <v>0.0</v>
      </c>
      <c r="R218" s="26">
        <v>0.0</v>
      </c>
      <c r="T218" s="26">
        <v>0.0</v>
      </c>
      <c r="V218" s="26">
        <v>0.0</v>
      </c>
      <c r="X218" s="26">
        <v>0.0</v>
      </c>
      <c r="Y218" s="28"/>
      <c r="Z218" s="25">
        <v>10.0</v>
      </c>
      <c r="AB218" s="26">
        <v>10.0</v>
      </c>
      <c r="AD218" s="26">
        <v>0.0</v>
      </c>
      <c r="AF218" s="30"/>
      <c r="AH218" s="30"/>
      <c r="AJ218" s="30"/>
      <c r="AK218" s="28"/>
      <c r="AL218" s="60">
        <f t="shared" si="1"/>
        <v>3226.6</v>
      </c>
      <c r="AM218" s="53">
        <f t="shared" si="2"/>
        <v>260</v>
      </c>
      <c r="AN218" s="53">
        <f t="shared" si="3"/>
        <v>0</v>
      </c>
      <c r="AO218" s="53">
        <f t="shared" si="4"/>
        <v>260</v>
      </c>
      <c r="AP218" s="61">
        <f t="shared" si="5"/>
        <v>12.41</v>
      </c>
    </row>
    <row r="219">
      <c r="A219" s="69" t="s">
        <v>31</v>
      </c>
      <c r="B219" s="70">
        <f t="shared" si="6"/>
        <v>45872</v>
      </c>
      <c r="C219" s="71">
        <v>8.0</v>
      </c>
      <c r="D219" s="71" t="s">
        <v>33</v>
      </c>
      <c r="E219" s="144" t="s">
        <v>39</v>
      </c>
      <c r="F219" s="74">
        <v>0.0</v>
      </c>
      <c r="G219" s="75"/>
      <c r="H219" s="76">
        <v>0.0</v>
      </c>
      <c r="I219" s="75"/>
      <c r="J219" s="76">
        <v>0.0</v>
      </c>
      <c r="K219" s="75"/>
      <c r="L219" s="74">
        <v>0.0</v>
      </c>
      <c r="M219" s="75"/>
      <c r="N219" s="76">
        <v>0.0</v>
      </c>
      <c r="O219" s="75"/>
      <c r="P219" s="76">
        <v>0.0</v>
      </c>
      <c r="Q219" s="75"/>
      <c r="R219" s="76">
        <v>0.0</v>
      </c>
      <c r="S219" s="75"/>
      <c r="T219" s="76">
        <v>0.0</v>
      </c>
      <c r="U219" s="75"/>
      <c r="V219" s="76">
        <v>0.0</v>
      </c>
      <c r="W219" s="75"/>
      <c r="X219" s="76">
        <v>0.0</v>
      </c>
      <c r="Y219" s="77"/>
      <c r="Z219" s="74">
        <v>0.0</v>
      </c>
      <c r="AA219" s="75"/>
      <c r="AB219" s="76">
        <v>0.0</v>
      </c>
      <c r="AC219" s="75"/>
      <c r="AD219" s="76">
        <v>0.0</v>
      </c>
      <c r="AE219" s="75"/>
      <c r="AF219" s="78"/>
      <c r="AG219" s="75"/>
      <c r="AH219" s="78"/>
      <c r="AI219" s="75"/>
      <c r="AJ219" s="78"/>
      <c r="AK219" s="77"/>
      <c r="AL219" s="79">
        <f t="shared" si="1"/>
        <v>0</v>
      </c>
      <c r="AM219" s="71">
        <f t="shared" si="2"/>
        <v>0</v>
      </c>
      <c r="AN219" s="71">
        <f t="shared" si="3"/>
        <v>0</v>
      </c>
      <c r="AO219" s="71">
        <f t="shared" si="4"/>
        <v>0</v>
      </c>
      <c r="AP219" s="80" t="str">
        <f t="shared" si="5"/>
        <v/>
      </c>
    </row>
    <row r="220">
      <c r="A220" s="19" t="s">
        <v>23</v>
      </c>
      <c r="B220" s="81">
        <f t="shared" si="6"/>
        <v>45873</v>
      </c>
      <c r="C220" s="21">
        <v>8.0</v>
      </c>
      <c r="D220" s="21" t="s">
        <v>36</v>
      </c>
      <c r="E220" s="137" t="s">
        <v>39</v>
      </c>
      <c r="F220" s="25">
        <v>0.0</v>
      </c>
      <c r="H220" s="26">
        <v>0.0</v>
      </c>
      <c r="J220" s="26">
        <v>0.0</v>
      </c>
      <c r="L220" s="25">
        <v>120.0</v>
      </c>
      <c r="N220" s="25">
        <v>120.0</v>
      </c>
      <c r="P220" s="26">
        <v>0.0</v>
      </c>
      <c r="R220" s="26">
        <v>0.0</v>
      </c>
      <c r="T220" s="26">
        <v>1.0</v>
      </c>
      <c r="V220" s="26">
        <v>1.0</v>
      </c>
      <c r="X220" s="26">
        <v>0.0</v>
      </c>
      <c r="Y220" s="28"/>
      <c r="Z220" s="25">
        <v>25.0</v>
      </c>
      <c r="AB220" s="25">
        <v>25.0</v>
      </c>
      <c r="AD220" s="26">
        <v>0.0</v>
      </c>
      <c r="AF220" s="30"/>
      <c r="AH220" s="30"/>
      <c r="AJ220" s="30"/>
      <c r="AK220" s="28"/>
      <c r="AL220" s="39">
        <f t="shared" si="1"/>
        <v>4364.03</v>
      </c>
      <c r="AM220" s="21">
        <f t="shared" si="2"/>
        <v>290</v>
      </c>
      <c r="AN220" s="21">
        <f t="shared" si="3"/>
        <v>2</v>
      </c>
      <c r="AO220" s="21">
        <f t="shared" si="4"/>
        <v>292</v>
      </c>
      <c r="AP220" s="46">
        <f t="shared" si="5"/>
        <v>14.94530822</v>
      </c>
    </row>
    <row r="221">
      <c r="A221" s="48" t="s">
        <v>26</v>
      </c>
      <c r="B221" s="51">
        <f t="shared" si="6"/>
        <v>45874</v>
      </c>
      <c r="C221" s="53">
        <v>8.0</v>
      </c>
      <c r="D221" s="53" t="s">
        <v>36</v>
      </c>
      <c r="E221" s="142" t="s">
        <v>39</v>
      </c>
      <c r="F221" s="25">
        <v>0.0</v>
      </c>
      <c r="H221" s="26">
        <v>0.0</v>
      </c>
      <c r="J221" s="26">
        <v>0.0</v>
      </c>
      <c r="L221" s="25">
        <v>120.0</v>
      </c>
      <c r="N221" s="25">
        <v>120.0</v>
      </c>
      <c r="P221" s="26">
        <v>0.0</v>
      </c>
      <c r="R221" s="26">
        <v>0.0</v>
      </c>
      <c r="T221" s="26">
        <v>0.0</v>
      </c>
      <c r="V221" s="26">
        <v>0.0</v>
      </c>
      <c r="X221" s="26">
        <v>0.0</v>
      </c>
      <c r="Y221" s="28"/>
      <c r="Z221" s="25">
        <v>25.0</v>
      </c>
      <c r="AB221" s="25">
        <v>25.0</v>
      </c>
      <c r="AD221" s="26">
        <v>0.0</v>
      </c>
      <c r="AF221" s="30"/>
      <c r="AH221" s="30"/>
      <c r="AJ221" s="30"/>
      <c r="AK221" s="28"/>
      <c r="AL221" s="60">
        <f t="shared" si="1"/>
        <v>3598.9</v>
      </c>
      <c r="AM221" s="53">
        <f t="shared" si="2"/>
        <v>290</v>
      </c>
      <c r="AN221" s="53">
        <f t="shared" si="3"/>
        <v>0</v>
      </c>
      <c r="AO221" s="53">
        <f t="shared" si="4"/>
        <v>290</v>
      </c>
      <c r="AP221" s="61">
        <f t="shared" si="5"/>
        <v>12.41</v>
      </c>
    </row>
    <row r="222">
      <c r="A222" s="48" t="s">
        <v>27</v>
      </c>
      <c r="B222" s="51">
        <f t="shared" si="6"/>
        <v>45875</v>
      </c>
      <c r="C222" s="53">
        <v>8.0</v>
      </c>
      <c r="D222" s="53" t="s">
        <v>36</v>
      </c>
      <c r="E222" s="142" t="s">
        <v>39</v>
      </c>
      <c r="F222" s="25">
        <v>0.0</v>
      </c>
      <c r="H222" s="26">
        <v>0.0</v>
      </c>
      <c r="J222" s="26">
        <v>0.0</v>
      </c>
      <c r="L222" s="25">
        <v>120.0</v>
      </c>
      <c r="N222" s="25">
        <v>120.0</v>
      </c>
      <c r="P222" s="26">
        <v>0.0</v>
      </c>
      <c r="R222" s="26">
        <v>0.0</v>
      </c>
      <c r="T222" s="26">
        <v>0.0</v>
      </c>
      <c r="V222" s="26">
        <v>0.0</v>
      </c>
      <c r="X222" s="26">
        <v>0.0</v>
      </c>
      <c r="Y222" s="28"/>
      <c r="Z222" s="25">
        <v>25.0</v>
      </c>
      <c r="AB222" s="25">
        <v>25.0</v>
      </c>
      <c r="AD222" s="26">
        <v>0.0</v>
      </c>
      <c r="AF222" s="30"/>
      <c r="AH222" s="30"/>
      <c r="AJ222" s="30"/>
      <c r="AK222" s="28"/>
      <c r="AL222" s="60">
        <f t="shared" si="1"/>
        <v>3598.9</v>
      </c>
      <c r="AM222" s="53">
        <f t="shared" si="2"/>
        <v>290</v>
      </c>
      <c r="AN222" s="53">
        <f t="shared" si="3"/>
        <v>0</v>
      </c>
      <c r="AO222" s="53">
        <f t="shared" si="4"/>
        <v>290</v>
      </c>
      <c r="AP222" s="61">
        <f t="shared" si="5"/>
        <v>12.41</v>
      </c>
    </row>
    <row r="223">
      <c r="A223" s="48" t="s">
        <v>28</v>
      </c>
      <c r="B223" s="51">
        <f t="shared" si="6"/>
        <v>45876</v>
      </c>
      <c r="C223" s="53">
        <v>8.0</v>
      </c>
      <c r="D223" s="53" t="s">
        <v>36</v>
      </c>
      <c r="E223" s="142" t="s">
        <v>39</v>
      </c>
      <c r="F223" s="25">
        <v>0.0</v>
      </c>
      <c r="H223" s="26">
        <v>0.0</v>
      </c>
      <c r="J223" s="26">
        <v>0.0</v>
      </c>
      <c r="L223" s="25">
        <v>120.0</v>
      </c>
      <c r="N223" s="25">
        <v>120.0</v>
      </c>
      <c r="P223" s="26">
        <v>0.0</v>
      </c>
      <c r="R223" s="26">
        <v>0.0</v>
      </c>
      <c r="T223" s="26">
        <v>0.0</v>
      </c>
      <c r="V223" s="26">
        <v>0.0</v>
      </c>
      <c r="X223" s="26">
        <v>0.0</v>
      </c>
      <c r="Y223" s="28"/>
      <c r="Z223" s="25">
        <v>25.0</v>
      </c>
      <c r="AB223" s="25">
        <v>25.0</v>
      </c>
      <c r="AD223" s="26">
        <v>0.0</v>
      </c>
      <c r="AF223" s="30"/>
      <c r="AH223" s="30"/>
      <c r="AJ223" s="30"/>
      <c r="AK223" s="28"/>
      <c r="AL223" s="60">
        <f t="shared" si="1"/>
        <v>3598.9</v>
      </c>
      <c r="AM223" s="53">
        <f t="shared" si="2"/>
        <v>290</v>
      </c>
      <c r="AN223" s="53">
        <f t="shared" si="3"/>
        <v>0</v>
      </c>
      <c r="AO223" s="53">
        <f t="shared" si="4"/>
        <v>290</v>
      </c>
      <c r="AP223" s="61">
        <f t="shared" si="5"/>
        <v>12.41</v>
      </c>
    </row>
    <row r="224">
      <c r="A224" s="48" t="s">
        <v>29</v>
      </c>
      <c r="B224" s="51">
        <f t="shared" si="6"/>
        <v>45877</v>
      </c>
      <c r="C224" s="53">
        <v>8.0</v>
      </c>
      <c r="D224" s="53" t="s">
        <v>36</v>
      </c>
      <c r="E224" s="142" t="s">
        <v>39</v>
      </c>
      <c r="F224" s="25">
        <v>0.0</v>
      </c>
      <c r="H224" s="26">
        <v>0.0</v>
      </c>
      <c r="J224" s="26">
        <v>0.0</v>
      </c>
      <c r="L224" s="25">
        <v>120.0</v>
      </c>
      <c r="N224" s="25">
        <v>120.0</v>
      </c>
      <c r="P224" s="26">
        <v>0.0</v>
      </c>
      <c r="R224" s="26">
        <v>0.0</v>
      </c>
      <c r="T224" s="26">
        <v>0.0</v>
      </c>
      <c r="V224" s="26">
        <v>0.0</v>
      </c>
      <c r="X224" s="26">
        <v>0.0</v>
      </c>
      <c r="Y224" s="28"/>
      <c r="Z224" s="25">
        <v>25.0</v>
      </c>
      <c r="AB224" s="25">
        <v>25.0</v>
      </c>
      <c r="AD224" s="26">
        <v>0.0</v>
      </c>
      <c r="AF224" s="30"/>
      <c r="AH224" s="30"/>
      <c r="AJ224" s="30"/>
      <c r="AK224" s="28"/>
      <c r="AL224" s="60">
        <f t="shared" si="1"/>
        <v>3598.9</v>
      </c>
      <c r="AM224" s="53">
        <f t="shared" si="2"/>
        <v>290</v>
      </c>
      <c r="AN224" s="53">
        <f t="shared" si="3"/>
        <v>0</v>
      </c>
      <c r="AO224" s="53">
        <f t="shared" si="4"/>
        <v>290</v>
      </c>
      <c r="AP224" s="61">
        <f t="shared" si="5"/>
        <v>12.41</v>
      </c>
    </row>
    <row r="225">
      <c r="A225" s="48" t="s">
        <v>30</v>
      </c>
      <c r="B225" s="51">
        <f t="shared" si="6"/>
        <v>45878</v>
      </c>
      <c r="C225" s="53">
        <v>8.0</v>
      </c>
      <c r="D225" s="53" t="s">
        <v>36</v>
      </c>
      <c r="E225" s="142" t="s">
        <v>39</v>
      </c>
      <c r="F225" s="25">
        <v>0.0</v>
      </c>
      <c r="H225" s="26">
        <v>0.0</v>
      </c>
      <c r="J225" s="26">
        <v>0.0</v>
      </c>
      <c r="L225" s="25">
        <v>120.0</v>
      </c>
      <c r="N225" s="25">
        <v>120.0</v>
      </c>
      <c r="P225" s="26">
        <v>0.0</v>
      </c>
      <c r="R225" s="26">
        <v>0.0</v>
      </c>
      <c r="T225" s="26">
        <v>0.0</v>
      </c>
      <c r="V225" s="26">
        <v>0.0</v>
      </c>
      <c r="X225" s="26">
        <v>0.0</v>
      </c>
      <c r="Y225" s="28"/>
      <c r="Z225" s="25">
        <v>10.0</v>
      </c>
      <c r="AB225" s="26">
        <v>10.0</v>
      </c>
      <c r="AD225" s="26">
        <v>0.0</v>
      </c>
      <c r="AF225" s="30"/>
      <c r="AH225" s="30"/>
      <c r="AJ225" s="30"/>
      <c r="AK225" s="28"/>
      <c r="AL225" s="60">
        <f t="shared" si="1"/>
        <v>3226.6</v>
      </c>
      <c r="AM225" s="53">
        <f t="shared" si="2"/>
        <v>260</v>
      </c>
      <c r="AN225" s="53">
        <f t="shared" si="3"/>
        <v>0</v>
      </c>
      <c r="AO225" s="53">
        <f t="shared" si="4"/>
        <v>260</v>
      </c>
      <c r="AP225" s="61">
        <f t="shared" si="5"/>
        <v>12.41</v>
      </c>
    </row>
    <row r="226">
      <c r="A226" s="69" t="s">
        <v>31</v>
      </c>
      <c r="B226" s="70">
        <f t="shared" si="6"/>
        <v>45879</v>
      </c>
      <c r="C226" s="71">
        <v>8.0</v>
      </c>
      <c r="D226" s="71" t="s">
        <v>36</v>
      </c>
      <c r="E226" s="144" t="s">
        <v>39</v>
      </c>
      <c r="F226" s="74">
        <v>0.0</v>
      </c>
      <c r="G226" s="75"/>
      <c r="H226" s="76">
        <v>0.0</v>
      </c>
      <c r="I226" s="75"/>
      <c r="J226" s="76">
        <v>0.0</v>
      </c>
      <c r="K226" s="75"/>
      <c r="L226" s="74">
        <v>0.0</v>
      </c>
      <c r="M226" s="75"/>
      <c r="N226" s="76">
        <v>0.0</v>
      </c>
      <c r="O226" s="75"/>
      <c r="P226" s="76">
        <v>0.0</v>
      </c>
      <c r="Q226" s="75"/>
      <c r="R226" s="76">
        <v>0.0</v>
      </c>
      <c r="S226" s="75"/>
      <c r="T226" s="76">
        <v>0.0</v>
      </c>
      <c r="U226" s="75"/>
      <c r="V226" s="76">
        <v>0.0</v>
      </c>
      <c r="W226" s="75"/>
      <c r="X226" s="76">
        <v>0.0</v>
      </c>
      <c r="Y226" s="77"/>
      <c r="Z226" s="74">
        <v>0.0</v>
      </c>
      <c r="AA226" s="75"/>
      <c r="AB226" s="76">
        <v>0.0</v>
      </c>
      <c r="AC226" s="75"/>
      <c r="AD226" s="76">
        <v>0.0</v>
      </c>
      <c r="AE226" s="75"/>
      <c r="AF226" s="78"/>
      <c r="AG226" s="75"/>
      <c r="AH226" s="78"/>
      <c r="AI226" s="75"/>
      <c r="AJ226" s="78"/>
      <c r="AK226" s="77"/>
      <c r="AL226" s="79">
        <f t="shared" si="1"/>
        <v>0</v>
      </c>
      <c r="AM226" s="71">
        <f t="shared" si="2"/>
        <v>0</v>
      </c>
      <c r="AN226" s="71">
        <f t="shared" si="3"/>
        <v>0</v>
      </c>
      <c r="AO226" s="71">
        <f t="shared" si="4"/>
        <v>0</v>
      </c>
      <c r="AP226" s="80" t="str">
        <f t="shared" si="5"/>
        <v/>
      </c>
    </row>
    <row r="227">
      <c r="A227" s="19" t="s">
        <v>23</v>
      </c>
      <c r="B227" s="81">
        <f t="shared" si="6"/>
        <v>45880</v>
      </c>
      <c r="C227" s="21">
        <v>9.0</v>
      </c>
      <c r="D227" s="21" t="s">
        <v>24</v>
      </c>
      <c r="E227" s="137" t="s">
        <v>39</v>
      </c>
      <c r="F227" s="25">
        <v>0.0</v>
      </c>
      <c r="H227" s="26">
        <v>0.0</v>
      </c>
      <c r="J227" s="26">
        <v>0.0</v>
      </c>
      <c r="L227" s="25">
        <v>120.0</v>
      </c>
      <c r="N227" s="25">
        <v>120.0</v>
      </c>
      <c r="P227" s="26">
        <v>0.0</v>
      </c>
      <c r="R227" s="26">
        <v>0.0</v>
      </c>
      <c r="T227" s="26">
        <v>1.0</v>
      </c>
      <c r="V227" s="26">
        <v>1.0</v>
      </c>
      <c r="X227" s="26">
        <v>0.0</v>
      </c>
      <c r="Y227" s="28"/>
      <c r="Z227" s="25">
        <v>25.0</v>
      </c>
      <c r="AB227" s="25">
        <v>25.0</v>
      </c>
      <c r="AD227" s="26">
        <v>0.0</v>
      </c>
      <c r="AF227" s="30"/>
      <c r="AH227" s="30"/>
      <c r="AJ227" s="30"/>
      <c r="AK227" s="28"/>
      <c r="AL227" s="39">
        <f t="shared" si="1"/>
        <v>4364.03</v>
      </c>
      <c r="AM227" s="21">
        <f t="shared" si="2"/>
        <v>290</v>
      </c>
      <c r="AN227" s="21">
        <f t="shared" si="3"/>
        <v>2</v>
      </c>
      <c r="AO227" s="21">
        <f t="shared" si="4"/>
        <v>292</v>
      </c>
      <c r="AP227" s="46">
        <f t="shared" si="5"/>
        <v>14.94530822</v>
      </c>
    </row>
    <row r="228">
      <c r="A228" s="48" t="s">
        <v>26</v>
      </c>
      <c r="B228" s="51">
        <f t="shared" si="6"/>
        <v>45881</v>
      </c>
      <c r="C228" s="53">
        <v>9.0</v>
      </c>
      <c r="D228" s="53" t="s">
        <v>24</v>
      </c>
      <c r="E228" s="142" t="s">
        <v>39</v>
      </c>
      <c r="F228" s="25">
        <v>0.0</v>
      </c>
      <c r="H228" s="26">
        <v>0.0</v>
      </c>
      <c r="J228" s="26">
        <v>0.0</v>
      </c>
      <c r="L228" s="25">
        <v>120.0</v>
      </c>
      <c r="N228" s="25">
        <v>120.0</v>
      </c>
      <c r="P228" s="26">
        <v>0.0</v>
      </c>
      <c r="R228" s="26">
        <v>0.0</v>
      </c>
      <c r="T228" s="26">
        <v>0.0</v>
      </c>
      <c r="V228" s="26">
        <v>0.0</v>
      </c>
      <c r="X228" s="26">
        <v>0.0</v>
      </c>
      <c r="Y228" s="28"/>
      <c r="Z228" s="25">
        <v>25.0</v>
      </c>
      <c r="AB228" s="25">
        <v>25.0</v>
      </c>
      <c r="AD228" s="26">
        <v>0.0</v>
      </c>
      <c r="AF228" s="30"/>
      <c r="AH228" s="30"/>
      <c r="AJ228" s="30"/>
      <c r="AK228" s="28"/>
      <c r="AL228" s="60">
        <f t="shared" si="1"/>
        <v>3598.9</v>
      </c>
      <c r="AM228" s="53">
        <f t="shared" si="2"/>
        <v>290</v>
      </c>
      <c r="AN228" s="53">
        <f t="shared" si="3"/>
        <v>0</v>
      </c>
      <c r="AO228" s="53">
        <f t="shared" si="4"/>
        <v>290</v>
      </c>
      <c r="AP228" s="61">
        <f t="shared" si="5"/>
        <v>12.41</v>
      </c>
    </row>
    <row r="229">
      <c r="A229" s="48" t="s">
        <v>27</v>
      </c>
      <c r="B229" s="51">
        <f t="shared" si="6"/>
        <v>45882</v>
      </c>
      <c r="C229" s="53">
        <v>9.0</v>
      </c>
      <c r="D229" s="53" t="s">
        <v>24</v>
      </c>
      <c r="E229" s="142" t="s">
        <v>39</v>
      </c>
      <c r="F229" s="25">
        <v>0.0</v>
      </c>
      <c r="H229" s="26">
        <v>0.0</v>
      </c>
      <c r="J229" s="26">
        <v>0.0</v>
      </c>
      <c r="L229" s="25">
        <v>120.0</v>
      </c>
      <c r="N229" s="25">
        <v>120.0</v>
      </c>
      <c r="P229" s="26">
        <v>0.0</v>
      </c>
      <c r="R229" s="26">
        <v>0.0</v>
      </c>
      <c r="T229" s="26">
        <v>0.0</v>
      </c>
      <c r="V229" s="26">
        <v>0.0</v>
      </c>
      <c r="X229" s="26">
        <v>0.0</v>
      </c>
      <c r="Y229" s="28"/>
      <c r="Z229" s="25">
        <v>25.0</v>
      </c>
      <c r="AB229" s="25">
        <v>25.0</v>
      </c>
      <c r="AD229" s="26">
        <v>0.0</v>
      </c>
      <c r="AF229" s="30"/>
      <c r="AH229" s="30"/>
      <c r="AJ229" s="30"/>
      <c r="AK229" s="28"/>
      <c r="AL229" s="60">
        <f t="shared" si="1"/>
        <v>3598.9</v>
      </c>
      <c r="AM229" s="53">
        <f t="shared" si="2"/>
        <v>290</v>
      </c>
      <c r="AN229" s="53">
        <f t="shared" si="3"/>
        <v>0</v>
      </c>
      <c r="AO229" s="53">
        <f t="shared" si="4"/>
        <v>290</v>
      </c>
      <c r="AP229" s="61">
        <f t="shared" si="5"/>
        <v>12.41</v>
      </c>
    </row>
    <row r="230">
      <c r="A230" s="48" t="s">
        <v>28</v>
      </c>
      <c r="B230" s="51">
        <f t="shared" si="6"/>
        <v>45883</v>
      </c>
      <c r="C230" s="53">
        <v>9.0</v>
      </c>
      <c r="D230" s="53" t="s">
        <v>24</v>
      </c>
      <c r="E230" s="142" t="s">
        <v>39</v>
      </c>
      <c r="F230" s="25">
        <v>0.0</v>
      </c>
      <c r="H230" s="26">
        <v>0.0</v>
      </c>
      <c r="J230" s="26">
        <v>0.0</v>
      </c>
      <c r="L230" s="25">
        <v>120.0</v>
      </c>
      <c r="N230" s="25">
        <v>120.0</v>
      </c>
      <c r="P230" s="26">
        <v>0.0</v>
      </c>
      <c r="R230" s="26">
        <v>0.0</v>
      </c>
      <c r="T230" s="26">
        <v>0.0</v>
      </c>
      <c r="V230" s="26">
        <v>0.0</v>
      </c>
      <c r="X230" s="26">
        <v>0.0</v>
      </c>
      <c r="Y230" s="28"/>
      <c r="Z230" s="25">
        <v>25.0</v>
      </c>
      <c r="AB230" s="25">
        <v>25.0</v>
      </c>
      <c r="AD230" s="26">
        <v>0.0</v>
      </c>
      <c r="AF230" s="30"/>
      <c r="AH230" s="30"/>
      <c r="AJ230" s="30"/>
      <c r="AK230" s="28"/>
      <c r="AL230" s="60">
        <f t="shared" si="1"/>
        <v>3598.9</v>
      </c>
      <c r="AM230" s="53">
        <f t="shared" si="2"/>
        <v>290</v>
      </c>
      <c r="AN230" s="53">
        <f t="shared" si="3"/>
        <v>0</v>
      </c>
      <c r="AO230" s="53">
        <f t="shared" si="4"/>
        <v>290</v>
      </c>
      <c r="AP230" s="61">
        <f t="shared" si="5"/>
        <v>12.41</v>
      </c>
    </row>
    <row r="231">
      <c r="A231" s="48" t="s">
        <v>29</v>
      </c>
      <c r="B231" s="51">
        <f t="shared" si="6"/>
        <v>45884</v>
      </c>
      <c r="C231" s="53">
        <v>9.0</v>
      </c>
      <c r="D231" s="53" t="s">
        <v>24</v>
      </c>
      <c r="E231" s="142" t="s">
        <v>39</v>
      </c>
      <c r="F231" s="25">
        <v>0.0</v>
      </c>
      <c r="H231" s="26">
        <v>0.0</v>
      </c>
      <c r="J231" s="26">
        <v>0.0</v>
      </c>
      <c r="L231" s="25">
        <v>120.0</v>
      </c>
      <c r="N231" s="25">
        <v>120.0</v>
      </c>
      <c r="P231" s="26">
        <v>0.0</v>
      </c>
      <c r="R231" s="26">
        <v>0.0</v>
      </c>
      <c r="T231" s="26">
        <v>0.0</v>
      </c>
      <c r="V231" s="26">
        <v>0.0</v>
      </c>
      <c r="X231" s="26">
        <v>0.0</v>
      </c>
      <c r="Y231" s="28"/>
      <c r="Z231" s="25">
        <v>25.0</v>
      </c>
      <c r="AB231" s="25">
        <v>25.0</v>
      </c>
      <c r="AD231" s="26">
        <v>0.0</v>
      </c>
      <c r="AF231" s="30"/>
      <c r="AH231" s="30"/>
      <c r="AJ231" s="30"/>
      <c r="AK231" s="28"/>
      <c r="AL231" s="60">
        <f t="shared" si="1"/>
        <v>3598.9</v>
      </c>
      <c r="AM231" s="53">
        <f t="shared" si="2"/>
        <v>290</v>
      </c>
      <c r="AN231" s="53">
        <f t="shared" si="3"/>
        <v>0</v>
      </c>
      <c r="AO231" s="53">
        <f t="shared" si="4"/>
        <v>290</v>
      </c>
      <c r="AP231" s="61">
        <f t="shared" si="5"/>
        <v>12.41</v>
      </c>
    </row>
    <row r="232">
      <c r="A232" s="48" t="s">
        <v>30</v>
      </c>
      <c r="B232" s="51">
        <f t="shared" si="6"/>
        <v>45885</v>
      </c>
      <c r="C232" s="53">
        <v>9.0</v>
      </c>
      <c r="D232" s="53" t="s">
        <v>24</v>
      </c>
      <c r="E232" s="142" t="s">
        <v>39</v>
      </c>
      <c r="F232" s="25">
        <v>0.0</v>
      </c>
      <c r="H232" s="26">
        <v>0.0</v>
      </c>
      <c r="J232" s="26">
        <v>0.0</v>
      </c>
      <c r="L232" s="25">
        <v>120.0</v>
      </c>
      <c r="N232" s="25">
        <v>120.0</v>
      </c>
      <c r="P232" s="26">
        <v>0.0</v>
      </c>
      <c r="R232" s="26">
        <v>0.0</v>
      </c>
      <c r="T232" s="26">
        <v>0.0</v>
      </c>
      <c r="V232" s="26">
        <v>0.0</v>
      </c>
      <c r="X232" s="26">
        <v>0.0</v>
      </c>
      <c r="Y232" s="28"/>
      <c r="Z232" s="25">
        <v>10.0</v>
      </c>
      <c r="AB232" s="26">
        <v>10.0</v>
      </c>
      <c r="AD232" s="26">
        <v>0.0</v>
      </c>
      <c r="AF232" s="30"/>
      <c r="AH232" s="30"/>
      <c r="AJ232" s="30"/>
      <c r="AK232" s="28"/>
      <c r="AL232" s="60">
        <f t="shared" si="1"/>
        <v>3226.6</v>
      </c>
      <c r="AM232" s="53">
        <f t="shared" si="2"/>
        <v>260</v>
      </c>
      <c r="AN232" s="53">
        <f t="shared" si="3"/>
        <v>0</v>
      </c>
      <c r="AO232" s="53">
        <f t="shared" si="4"/>
        <v>260</v>
      </c>
      <c r="AP232" s="61">
        <f t="shared" si="5"/>
        <v>12.41</v>
      </c>
    </row>
    <row r="233">
      <c r="A233" s="69" t="s">
        <v>31</v>
      </c>
      <c r="B233" s="70">
        <f t="shared" si="6"/>
        <v>45886</v>
      </c>
      <c r="C233" s="71">
        <v>9.0</v>
      </c>
      <c r="D233" s="71" t="s">
        <v>24</v>
      </c>
      <c r="E233" s="144" t="s">
        <v>39</v>
      </c>
      <c r="F233" s="74">
        <v>0.0</v>
      </c>
      <c r="G233" s="75"/>
      <c r="H233" s="76">
        <v>0.0</v>
      </c>
      <c r="I233" s="75"/>
      <c r="J233" s="76">
        <v>0.0</v>
      </c>
      <c r="K233" s="75"/>
      <c r="L233" s="74">
        <v>0.0</v>
      </c>
      <c r="M233" s="75"/>
      <c r="N233" s="76">
        <v>0.0</v>
      </c>
      <c r="O233" s="75"/>
      <c r="P233" s="76">
        <v>0.0</v>
      </c>
      <c r="Q233" s="75"/>
      <c r="R233" s="76">
        <v>0.0</v>
      </c>
      <c r="S233" s="75"/>
      <c r="T233" s="76">
        <v>0.0</v>
      </c>
      <c r="U233" s="75"/>
      <c r="V233" s="76">
        <v>0.0</v>
      </c>
      <c r="W233" s="75"/>
      <c r="X233" s="76">
        <v>0.0</v>
      </c>
      <c r="Y233" s="77"/>
      <c r="Z233" s="74">
        <v>0.0</v>
      </c>
      <c r="AA233" s="75"/>
      <c r="AB233" s="76">
        <v>0.0</v>
      </c>
      <c r="AC233" s="75"/>
      <c r="AD233" s="76">
        <v>0.0</v>
      </c>
      <c r="AE233" s="75"/>
      <c r="AF233" s="78"/>
      <c r="AG233" s="75"/>
      <c r="AH233" s="78"/>
      <c r="AI233" s="75"/>
      <c r="AJ233" s="78"/>
      <c r="AK233" s="77"/>
      <c r="AL233" s="79">
        <f t="shared" si="1"/>
        <v>0</v>
      </c>
      <c r="AM233" s="71">
        <f t="shared" si="2"/>
        <v>0</v>
      </c>
      <c r="AN233" s="71">
        <f t="shared" si="3"/>
        <v>0</v>
      </c>
      <c r="AO233" s="71">
        <f t="shared" si="4"/>
        <v>0</v>
      </c>
      <c r="AP233" s="80" t="str">
        <f t="shared" si="5"/>
        <v/>
      </c>
    </row>
    <row r="234">
      <c r="A234" s="19" t="s">
        <v>23</v>
      </c>
      <c r="B234" s="81">
        <f t="shared" si="6"/>
        <v>45887</v>
      </c>
      <c r="C234" s="21">
        <v>9.0</v>
      </c>
      <c r="D234" s="21" t="s">
        <v>32</v>
      </c>
      <c r="E234" s="137" t="s">
        <v>39</v>
      </c>
      <c r="F234" s="26">
        <v>0.0</v>
      </c>
      <c r="H234" s="26">
        <v>0.0</v>
      </c>
      <c r="J234" s="26">
        <v>0.0</v>
      </c>
      <c r="L234" s="25">
        <v>120.0</v>
      </c>
      <c r="N234" s="25">
        <v>120.0</v>
      </c>
      <c r="P234" s="26">
        <v>0.0</v>
      </c>
      <c r="R234" s="26">
        <v>0.0</v>
      </c>
      <c r="T234" s="26">
        <v>1.0</v>
      </c>
      <c r="V234" s="26">
        <v>1.0</v>
      </c>
      <c r="X234" s="26">
        <v>0.0</v>
      </c>
      <c r="Y234" s="28"/>
      <c r="Z234" s="26">
        <v>26.0</v>
      </c>
      <c r="AB234" s="26">
        <v>26.0</v>
      </c>
      <c r="AD234" s="26">
        <v>0.0</v>
      </c>
      <c r="AF234" s="30"/>
      <c r="AH234" s="30"/>
      <c r="AJ234" s="30"/>
      <c r="AK234" s="28"/>
      <c r="AL234" s="39">
        <f t="shared" si="1"/>
        <v>4388.85</v>
      </c>
      <c r="AM234" s="21">
        <f t="shared" si="2"/>
        <v>292</v>
      </c>
      <c r="AN234" s="21">
        <f t="shared" si="3"/>
        <v>2</v>
      </c>
      <c r="AO234" s="21">
        <f t="shared" si="4"/>
        <v>294</v>
      </c>
      <c r="AP234" s="46">
        <f t="shared" si="5"/>
        <v>14.92806122</v>
      </c>
    </row>
    <row r="235">
      <c r="A235" s="48" t="s">
        <v>26</v>
      </c>
      <c r="B235" s="51">
        <f t="shared" si="6"/>
        <v>45888</v>
      </c>
      <c r="C235" s="53">
        <v>9.0</v>
      </c>
      <c r="D235" s="53" t="s">
        <v>32</v>
      </c>
      <c r="E235" s="142" t="s">
        <v>39</v>
      </c>
      <c r="F235" s="26">
        <v>0.0</v>
      </c>
      <c r="H235" s="26">
        <v>0.0</v>
      </c>
      <c r="J235" s="26">
        <v>0.0</v>
      </c>
      <c r="L235" s="25">
        <v>120.0</v>
      </c>
      <c r="N235" s="25">
        <v>120.0</v>
      </c>
      <c r="P235" s="26">
        <v>0.0</v>
      </c>
      <c r="R235" s="26">
        <v>0.0</v>
      </c>
      <c r="T235" s="26">
        <v>0.0</v>
      </c>
      <c r="V235" s="26">
        <v>0.0</v>
      </c>
      <c r="X235" s="26">
        <v>0.0</v>
      </c>
      <c r="Y235" s="28"/>
      <c r="Z235" s="26">
        <v>26.0</v>
      </c>
      <c r="AB235" s="26">
        <v>26.0</v>
      </c>
      <c r="AD235" s="26">
        <v>0.0</v>
      </c>
      <c r="AF235" s="30"/>
      <c r="AH235" s="30"/>
      <c r="AJ235" s="30"/>
      <c r="AK235" s="28"/>
      <c r="AL235" s="60">
        <f t="shared" si="1"/>
        <v>3623.72</v>
      </c>
      <c r="AM235" s="53">
        <f t="shared" si="2"/>
        <v>292</v>
      </c>
      <c r="AN235" s="53">
        <f t="shared" si="3"/>
        <v>0</v>
      </c>
      <c r="AO235" s="53">
        <f t="shared" si="4"/>
        <v>292</v>
      </c>
      <c r="AP235" s="61">
        <f t="shared" si="5"/>
        <v>12.41</v>
      </c>
    </row>
    <row r="236">
      <c r="A236" s="48" t="s">
        <v>27</v>
      </c>
      <c r="B236" s="51">
        <f t="shared" si="6"/>
        <v>45889</v>
      </c>
      <c r="C236" s="53">
        <v>9.0</v>
      </c>
      <c r="D236" s="53" t="s">
        <v>32</v>
      </c>
      <c r="E236" s="142" t="s">
        <v>39</v>
      </c>
      <c r="F236" s="26">
        <v>0.0</v>
      </c>
      <c r="H236" s="26">
        <v>0.0</v>
      </c>
      <c r="J236" s="26">
        <v>0.0</v>
      </c>
      <c r="L236" s="25">
        <v>120.0</v>
      </c>
      <c r="N236" s="25">
        <v>120.0</v>
      </c>
      <c r="P236" s="26">
        <v>0.0</v>
      </c>
      <c r="R236" s="26">
        <v>0.0</v>
      </c>
      <c r="T236" s="26">
        <v>0.0</v>
      </c>
      <c r="V236" s="26">
        <v>0.0</v>
      </c>
      <c r="X236" s="26">
        <v>0.0</v>
      </c>
      <c r="Y236" s="28"/>
      <c r="Z236" s="26">
        <v>26.0</v>
      </c>
      <c r="AB236" s="26">
        <v>26.0</v>
      </c>
      <c r="AD236" s="26">
        <v>0.0</v>
      </c>
      <c r="AF236" s="30"/>
      <c r="AH236" s="30"/>
      <c r="AJ236" s="30"/>
      <c r="AK236" s="28"/>
      <c r="AL236" s="60">
        <f t="shared" si="1"/>
        <v>3623.72</v>
      </c>
      <c r="AM236" s="53">
        <f t="shared" si="2"/>
        <v>292</v>
      </c>
      <c r="AN236" s="53">
        <f t="shared" si="3"/>
        <v>0</v>
      </c>
      <c r="AO236" s="53">
        <f t="shared" si="4"/>
        <v>292</v>
      </c>
      <c r="AP236" s="61">
        <f t="shared" si="5"/>
        <v>12.41</v>
      </c>
    </row>
    <row r="237">
      <c r="A237" s="48" t="s">
        <v>28</v>
      </c>
      <c r="B237" s="51">
        <f t="shared" si="6"/>
        <v>45890</v>
      </c>
      <c r="C237" s="53">
        <v>9.0</v>
      </c>
      <c r="D237" s="53" t="s">
        <v>32</v>
      </c>
      <c r="E237" s="142" t="s">
        <v>39</v>
      </c>
      <c r="F237" s="26">
        <v>0.0</v>
      </c>
      <c r="H237" s="26">
        <v>0.0</v>
      </c>
      <c r="J237" s="26">
        <v>0.0</v>
      </c>
      <c r="L237" s="25">
        <v>120.0</v>
      </c>
      <c r="N237" s="25">
        <v>120.0</v>
      </c>
      <c r="P237" s="26">
        <v>0.0</v>
      </c>
      <c r="R237" s="26">
        <v>0.0</v>
      </c>
      <c r="T237" s="26">
        <v>0.0</v>
      </c>
      <c r="V237" s="26">
        <v>0.0</v>
      </c>
      <c r="X237" s="26">
        <v>0.0</v>
      </c>
      <c r="Y237" s="28"/>
      <c r="Z237" s="26">
        <v>26.0</v>
      </c>
      <c r="AB237" s="26">
        <v>26.0</v>
      </c>
      <c r="AD237" s="26">
        <v>0.0</v>
      </c>
      <c r="AF237" s="30"/>
      <c r="AH237" s="30"/>
      <c r="AJ237" s="30"/>
      <c r="AK237" s="28"/>
      <c r="AL237" s="60">
        <f t="shared" si="1"/>
        <v>3623.72</v>
      </c>
      <c r="AM237" s="53">
        <f t="shared" si="2"/>
        <v>292</v>
      </c>
      <c r="AN237" s="53">
        <f t="shared" si="3"/>
        <v>0</v>
      </c>
      <c r="AO237" s="53">
        <f t="shared" si="4"/>
        <v>292</v>
      </c>
      <c r="AP237" s="61">
        <f t="shared" si="5"/>
        <v>12.41</v>
      </c>
    </row>
    <row r="238">
      <c r="A238" s="48" t="s">
        <v>29</v>
      </c>
      <c r="B238" s="51">
        <f t="shared" si="6"/>
        <v>45891</v>
      </c>
      <c r="C238" s="53">
        <v>9.0</v>
      </c>
      <c r="D238" s="53" t="s">
        <v>32</v>
      </c>
      <c r="E238" s="142" t="s">
        <v>39</v>
      </c>
      <c r="F238" s="26">
        <v>0.0</v>
      </c>
      <c r="H238" s="26">
        <v>0.0</v>
      </c>
      <c r="J238" s="26">
        <v>0.0</v>
      </c>
      <c r="L238" s="25">
        <v>120.0</v>
      </c>
      <c r="N238" s="25">
        <v>120.0</v>
      </c>
      <c r="P238" s="26">
        <v>0.0</v>
      </c>
      <c r="R238" s="26">
        <v>0.0</v>
      </c>
      <c r="T238" s="26">
        <v>0.0</v>
      </c>
      <c r="V238" s="26">
        <v>0.0</v>
      </c>
      <c r="X238" s="26">
        <v>0.0</v>
      </c>
      <c r="Y238" s="28"/>
      <c r="Z238" s="26">
        <v>26.0</v>
      </c>
      <c r="AB238" s="26">
        <v>26.0</v>
      </c>
      <c r="AD238" s="26">
        <v>0.0</v>
      </c>
      <c r="AF238" s="30"/>
      <c r="AH238" s="30"/>
      <c r="AJ238" s="30"/>
      <c r="AK238" s="28"/>
      <c r="AL238" s="60">
        <f t="shared" si="1"/>
        <v>3623.72</v>
      </c>
      <c r="AM238" s="53">
        <f t="shared" si="2"/>
        <v>292</v>
      </c>
      <c r="AN238" s="53">
        <f t="shared" si="3"/>
        <v>0</v>
      </c>
      <c r="AO238" s="53">
        <f t="shared" si="4"/>
        <v>292</v>
      </c>
      <c r="AP238" s="61">
        <f t="shared" si="5"/>
        <v>12.41</v>
      </c>
    </row>
    <row r="239">
      <c r="A239" s="48" t="s">
        <v>30</v>
      </c>
      <c r="B239" s="51">
        <f t="shared" si="6"/>
        <v>45892</v>
      </c>
      <c r="C239" s="53">
        <v>9.0</v>
      </c>
      <c r="D239" s="53" t="s">
        <v>32</v>
      </c>
      <c r="E239" s="142" t="s">
        <v>39</v>
      </c>
      <c r="F239" s="26">
        <v>0.0</v>
      </c>
      <c r="H239" s="26">
        <v>0.0</v>
      </c>
      <c r="J239" s="26">
        <v>0.0</v>
      </c>
      <c r="L239" s="25">
        <v>120.0</v>
      </c>
      <c r="N239" s="25">
        <v>120.0</v>
      </c>
      <c r="P239" s="26">
        <v>0.0</v>
      </c>
      <c r="R239" s="26">
        <v>0.0</v>
      </c>
      <c r="T239" s="26">
        <v>0.0</v>
      </c>
      <c r="V239" s="26">
        <v>0.0</v>
      </c>
      <c r="X239" s="26">
        <v>0.0</v>
      </c>
      <c r="Y239" s="28"/>
      <c r="Z239" s="25">
        <v>10.0</v>
      </c>
      <c r="AB239" s="26">
        <v>10.0</v>
      </c>
      <c r="AD239" s="26">
        <v>0.0</v>
      </c>
      <c r="AF239" s="30"/>
      <c r="AH239" s="30"/>
      <c r="AJ239" s="30"/>
      <c r="AK239" s="28"/>
      <c r="AL239" s="60">
        <f t="shared" si="1"/>
        <v>3226.6</v>
      </c>
      <c r="AM239" s="53">
        <f t="shared" si="2"/>
        <v>260</v>
      </c>
      <c r="AN239" s="53">
        <f t="shared" si="3"/>
        <v>0</v>
      </c>
      <c r="AO239" s="53">
        <f t="shared" si="4"/>
        <v>260</v>
      </c>
      <c r="AP239" s="61">
        <f t="shared" si="5"/>
        <v>12.41</v>
      </c>
    </row>
    <row r="240">
      <c r="A240" s="69" t="s">
        <v>31</v>
      </c>
      <c r="B240" s="70">
        <f t="shared" si="6"/>
        <v>45893</v>
      </c>
      <c r="C240" s="71">
        <v>9.0</v>
      </c>
      <c r="D240" s="71" t="s">
        <v>32</v>
      </c>
      <c r="E240" s="144" t="s">
        <v>39</v>
      </c>
      <c r="F240" s="76">
        <v>0.0</v>
      </c>
      <c r="G240" s="75"/>
      <c r="H240" s="76">
        <v>0.0</v>
      </c>
      <c r="I240" s="75"/>
      <c r="J240" s="76">
        <v>0.0</v>
      </c>
      <c r="K240" s="75"/>
      <c r="L240" s="74">
        <v>0.0</v>
      </c>
      <c r="M240" s="75"/>
      <c r="N240" s="76">
        <v>0.0</v>
      </c>
      <c r="O240" s="75"/>
      <c r="P240" s="76">
        <v>0.0</v>
      </c>
      <c r="Q240" s="75"/>
      <c r="R240" s="76">
        <v>0.0</v>
      </c>
      <c r="S240" s="75"/>
      <c r="T240" s="76">
        <v>0.0</v>
      </c>
      <c r="U240" s="75"/>
      <c r="V240" s="76">
        <v>0.0</v>
      </c>
      <c r="W240" s="75"/>
      <c r="X240" s="76">
        <v>0.0</v>
      </c>
      <c r="Y240" s="77"/>
      <c r="Z240" s="74">
        <v>0.0</v>
      </c>
      <c r="AA240" s="75"/>
      <c r="AB240" s="76">
        <v>0.0</v>
      </c>
      <c r="AC240" s="75"/>
      <c r="AD240" s="76">
        <v>0.0</v>
      </c>
      <c r="AE240" s="75"/>
      <c r="AF240" s="78"/>
      <c r="AG240" s="75"/>
      <c r="AH240" s="78"/>
      <c r="AI240" s="75"/>
      <c r="AJ240" s="78"/>
      <c r="AK240" s="77"/>
      <c r="AL240" s="79">
        <f t="shared" si="1"/>
        <v>0</v>
      </c>
      <c r="AM240" s="71">
        <f t="shared" si="2"/>
        <v>0</v>
      </c>
      <c r="AN240" s="71">
        <f t="shared" si="3"/>
        <v>0</v>
      </c>
      <c r="AO240" s="71">
        <f t="shared" si="4"/>
        <v>0</v>
      </c>
      <c r="AP240" s="80" t="str">
        <f t="shared" si="5"/>
        <v/>
      </c>
    </row>
    <row r="241">
      <c r="A241" s="19" t="s">
        <v>23</v>
      </c>
      <c r="B241" s="81">
        <f t="shared" si="6"/>
        <v>45894</v>
      </c>
      <c r="C241" s="21">
        <v>9.0</v>
      </c>
      <c r="D241" s="21" t="s">
        <v>33</v>
      </c>
      <c r="E241" s="82" t="s">
        <v>40</v>
      </c>
      <c r="F241" s="25">
        <v>0.0</v>
      </c>
      <c r="H241" s="25">
        <v>0.0</v>
      </c>
      <c r="J241" s="25">
        <v>0.0</v>
      </c>
      <c r="L241" s="25">
        <v>120.0</v>
      </c>
      <c r="N241" s="26">
        <v>120.0</v>
      </c>
      <c r="P241" s="25">
        <v>0.0</v>
      </c>
      <c r="R241" s="25">
        <v>0.0</v>
      </c>
      <c r="T241" s="26">
        <v>1.0</v>
      </c>
      <c r="V241" s="26">
        <v>1.0</v>
      </c>
      <c r="X241" s="25">
        <v>0.0</v>
      </c>
      <c r="Z241" s="25">
        <v>22.0</v>
      </c>
      <c r="AB241" s="25">
        <v>22.0</v>
      </c>
      <c r="AD241" s="26">
        <v>0.0</v>
      </c>
      <c r="AF241" s="30"/>
      <c r="AH241" s="30"/>
      <c r="AJ241" s="30"/>
      <c r="AK241" s="28"/>
      <c r="AL241" s="39">
        <f t="shared" si="1"/>
        <v>4289.57</v>
      </c>
      <c r="AM241" s="21">
        <f t="shared" si="2"/>
        <v>284</v>
      </c>
      <c r="AN241" s="21">
        <f t="shared" si="3"/>
        <v>2</v>
      </c>
      <c r="AO241" s="21">
        <f t="shared" si="4"/>
        <v>286</v>
      </c>
      <c r="AP241" s="46">
        <f t="shared" si="5"/>
        <v>14.9984965</v>
      </c>
    </row>
    <row r="242">
      <c r="A242" s="48" t="s">
        <v>26</v>
      </c>
      <c r="B242" s="51">
        <f t="shared" si="6"/>
        <v>45895</v>
      </c>
      <c r="C242" s="53">
        <v>9.0</v>
      </c>
      <c r="D242" s="53" t="s">
        <v>33</v>
      </c>
      <c r="E242" s="23" t="s">
        <v>40</v>
      </c>
      <c r="F242" s="25">
        <v>0.0</v>
      </c>
      <c r="H242" s="25">
        <v>0.0</v>
      </c>
      <c r="J242" s="25">
        <v>0.0</v>
      </c>
      <c r="L242" s="25">
        <v>120.0</v>
      </c>
      <c r="N242" s="26">
        <v>120.0</v>
      </c>
      <c r="P242" s="25">
        <v>0.0</v>
      </c>
      <c r="R242" s="25">
        <v>0.0</v>
      </c>
      <c r="T242" s="26">
        <v>0.0</v>
      </c>
      <c r="V242" s="26">
        <v>0.0</v>
      </c>
      <c r="X242" s="25">
        <v>0.0</v>
      </c>
      <c r="Z242" s="25">
        <v>22.0</v>
      </c>
      <c r="AB242" s="25">
        <v>22.0</v>
      </c>
      <c r="AD242" s="26">
        <v>0.0</v>
      </c>
      <c r="AF242" s="30"/>
      <c r="AH242" s="30"/>
      <c r="AJ242" s="30"/>
      <c r="AK242" s="28"/>
      <c r="AL242" s="60">
        <f t="shared" si="1"/>
        <v>3524.44</v>
      </c>
      <c r="AM242" s="53">
        <f t="shared" si="2"/>
        <v>284</v>
      </c>
      <c r="AN242" s="53">
        <f t="shared" si="3"/>
        <v>0</v>
      </c>
      <c r="AO242" s="53">
        <f t="shared" si="4"/>
        <v>284</v>
      </c>
      <c r="AP242" s="61">
        <f t="shared" si="5"/>
        <v>12.41</v>
      </c>
    </row>
    <row r="243">
      <c r="A243" s="48" t="s">
        <v>27</v>
      </c>
      <c r="B243" s="51">
        <f t="shared" si="6"/>
        <v>45896</v>
      </c>
      <c r="C243" s="53">
        <v>9.0</v>
      </c>
      <c r="D243" s="53" t="s">
        <v>33</v>
      </c>
      <c r="E243" s="23" t="s">
        <v>40</v>
      </c>
      <c r="F243" s="25">
        <v>0.0</v>
      </c>
      <c r="H243" s="25">
        <v>0.0</v>
      </c>
      <c r="J243" s="25">
        <v>0.0</v>
      </c>
      <c r="L243" s="25">
        <v>120.0</v>
      </c>
      <c r="N243" s="26">
        <v>120.0</v>
      </c>
      <c r="P243" s="25">
        <v>0.0</v>
      </c>
      <c r="R243" s="25">
        <v>0.0</v>
      </c>
      <c r="T243" s="26">
        <v>0.0</v>
      </c>
      <c r="V243" s="26">
        <v>0.0</v>
      </c>
      <c r="X243" s="25">
        <v>0.0</v>
      </c>
      <c r="Z243" s="25">
        <v>22.0</v>
      </c>
      <c r="AB243" s="25">
        <v>22.0</v>
      </c>
      <c r="AD243" s="26">
        <v>0.0</v>
      </c>
      <c r="AF243" s="30"/>
      <c r="AH243" s="30"/>
      <c r="AJ243" s="30"/>
      <c r="AK243" s="28"/>
      <c r="AL243" s="60">
        <f t="shared" si="1"/>
        <v>3524.44</v>
      </c>
      <c r="AM243" s="53">
        <f t="shared" si="2"/>
        <v>284</v>
      </c>
      <c r="AN243" s="53">
        <f t="shared" si="3"/>
        <v>0</v>
      </c>
      <c r="AO243" s="53">
        <f t="shared" si="4"/>
        <v>284</v>
      </c>
      <c r="AP243" s="61">
        <f t="shared" si="5"/>
        <v>12.41</v>
      </c>
    </row>
    <row r="244">
      <c r="A244" s="48" t="s">
        <v>28</v>
      </c>
      <c r="B244" s="51">
        <f t="shared" si="6"/>
        <v>45897</v>
      </c>
      <c r="C244" s="53">
        <v>9.0</v>
      </c>
      <c r="D244" s="53" t="s">
        <v>33</v>
      </c>
      <c r="E244" s="23" t="s">
        <v>40</v>
      </c>
      <c r="F244" s="25">
        <v>0.0</v>
      </c>
      <c r="H244" s="25">
        <v>0.0</v>
      </c>
      <c r="J244" s="25">
        <v>0.0</v>
      </c>
      <c r="L244" s="25">
        <v>120.0</v>
      </c>
      <c r="N244" s="26">
        <v>120.0</v>
      </c>
      <c r="P244" s="25">
        <v>0.0</v>
      </c>
      <c r="R244" s="25">
        <v>0.0</v>
      </c>
      <c r="T244" s="26">
        <v>0.0</v>
      </c>
      <c r="V244" s="26">
        <v>0.0</v>
      </c>
      <c r="X244" s="25">
        <v>0.0</v>
      </c>
      <c r="Z244" s="25">
        <v>22.0</v>
      </c>
      <c r="AB244" s="25">
        <v>22.0</v>
      </c>
      <c r="AD244" s="26">
        <v>0.0</v>
      </c>
      <c r="AF244" s="30"/>
      <c r="AH244" s="30"/>
      <c r="AJ244" s="30"/>
      <c r="AK244" s="28"/>
      <c r="AL244" s="60">
        <f t="shared" si="1"/>
        <v>3524.44</v>
      </c>
      <c r="AM244" s="53">
        <f t="shared" si="2"/>
        <v>284</v>
      </c>
      <c r="AN244" s="53">
        <f t="shared" si="3"/>
        <v>0</v>
      </c>
      <c r="AO244" s="53">
        <f t="shared" si="4"/>
        <v>284</v>
      </c>
      <c r="AP244" s="61">
        <f t="shared" si="5"/>
        <v>12.41</v>
      </c>
    </row>
    <row r="245">
      <c r="A245" s="48" t="s">
        <v>29</v>
      </c>
      <c r="B245" s="51">
        <f t="shared" si="6"/>
        <v>45898</v>
      </c>
      <c r="C245" s="53">
        <v>9.0</v>
      </c>
      <c r="D245" s="53" t="s">
        <v>33</v>
      </c>
      <c r="E245" s="23" t="s">
        <v>40</v>
      </c>
      <c r="F245" s="25">
        <v>0.0</v>
      </c>
      <c r="H245" s="25">
        <v>0.0</v>
      </c>
      <c r="J245" s="25">
        <v>0.0</v>
      </c>
      <c r="L245" s="25">
        <v>120.0</v>
      </c>
      <c r="N245" s="26">
        <v>120.0</v>
      </c>
      <c r="P245" s="25">
        <v>0.0</v>
      </c>
      <c r="R245" s="25">
        <v>0.0</v>
      </c>
      <c r="T245" s="26">
        <v>0.0</v>
      </c>
      <c r="V245" s="26">
        <v>0.0</v>
      </c>
      <c r="X245" s="25">
        <v>0.0</v>
      </c>
      <c r="Z245" s="25">
        <v>22.0</v>
      </c>
      <c r="AB245" s="25">
        <v>22.0</v>
      </c>
      <c r="AD245" s="26">
        <v>0.0</v>
      </c>
      <c r="AF245" s="30"/>
      <c r="AH245" s="30"/>
      <c r="AJ245" s="30"/>
      <c r="AK245" s="28"/>
      <c r="AL245" s="60">
        <f t="shared" si="1"/>
        <v>3524.44</v>
      </c>
      <c r="AM245" s="53">
        <f t="shared" si="2"/>
        <v>284</v>
      </c>
      <c r="AN245" s="53">
        <f t="shared" si="3"/>
        <v>0</v>
      </c>
      <c r="AO245" s="53">
        <f t="shared" si="4"/>
        <v>284</v>
      </c>
      <c r="AP245" s="61">
        <f t="shared" si="5"/>
        <v>12.41</v>
      </c>
    </row>
    <row r="246">
      <c r="A246" s="48" t="s">
        <v>30</v>
      </c>
      <c r="B246" s="51">
        <f t="shared" si="6"/>
        <v>45899</v>
      </c>
      <c r="C246" s="53">
        <v>9.0</v>
      </c>
      <c r="D246" s="53" t="s">
        <v>33</v>
      </c>
      <c r="E246" s="23" t="s">
        <v>40</v>
      </c>
      <c r="F246" s="25">
        <v>0.0</v>
      </c>
      <c r="H246" s="25">
        <v>0.0</v>
      </c>
      <c r="J246" s="25">
        <v>0.0</v>
      </c>
      <c r="L246" s="25">
        <v>120.0</v>
      </c>
      <c r="N246" s="26">
        <v>120.0</v>
      </c>
      <c r="P246" s="25">
        <v>0.0</v>
      </c>
      <c r="R246" s="25">
        <v>0.0</v>
      </c>
      <c r="T246" s="26">
        <v>0.0</v>
      </c>
      <c r="V246" s="26">
        <v>0.0</v>
      </c>
      <c r="X246" s="25">
        <v>0.0</v>
      </c>
      <c r="Z246" s="25">
        <v>10.0</v>
      </c>
      <c r="AB246" s="25">
        <v>10.0</v>
      </c>
      <c r="AD246" s="26">
        <v>0.0</v>
      </c>
      <c r="AF246" s="30"/>
      <c r="AH246" s="30"/>
      <c r="AJ246" s="30"/>
      <c r="AK246" s="28"/>
      <c r="AL246" s="60">
        <f t="shared" si="1"/>
        <v>3226.6</v>
      </c>
      <c r="AM246" s="53">
        <f t="shared" si="2"/>
        <v>260</v>
      </c>
      <c r="AN246" s="53">
        <f t="shared" si="3"/>
        <v>0</v>
      </c>
      <c r="AO246" s="53">
        <f t="shared" si="4"/>
        <v>260</v>
      </c>
      <c r="AP246" s="61">
        <f t="shared" si="5"/>
        <v>12.41</v>
      </c>
    </row>
    <row r="247">
      <c r="A247" s="69" t="s">
        <v>31</v>
      </c>
      <c r="B247" s="70">
        <f t="shared" si="6"/>
        <v>45900</v>
      </c>
      <c r="C247" s="71">
        <v>9.0</v>
      </c>
      <c r="D247" s="71" t="s">
        <v>33</v>
      </c>
      <c r="E247" s="73" t="s">
        <v>40</v>
      </c>
      <c r="F247" s="74">
        <v>0.0</v>
      </c>
      <c r="G247" s="75"/>
      <c r="H247" s="74">
        <v>0.0</v>
      </c>
      <c r="I247" s="75"/>
      <c r="J247" s="74">
        <v>0.0</v>
      </c>
      <c r="K247" s="75"/>
      <c r="L247" s="74">
        <v>0.0</v>
      </c>
      <c r="M247" s="75"/>
      <c r="N247" s="76">
        <v>0.0</v>
      </c>
      <c r="O247" s="75"/>
      <c r="P247" s="74">
        <v>0.0</v>
      </c>
      <c r="Q247" s="75"/>
      <c r="R247" s="74">
        <v>0.0</v>
      </c>
      <c r="S247" s="75"/>
      <c r="T247" s="76">
        <v>0.0</v>
      </c>
      <c r="U247" s="75"/>
      <c r="V247" s="76">
        <v>0.0</v>
      </c>
      <c r="W247" s="75"/>
      <c r="X247" s="74">
        <v>0.0</v>
      </c>
      <c r="Y247" s="75"/>
      <c r="Z247" s="74">
        <v>0.0</v>
      </c>
      <c r="AA247" s="75"/>
      <c r="AB247" s="74">
        <v>0.0</v>
      </c>
      <c r="AC247" s="75"/>
      <c r="AD247" s="76">
        <v>0.0</v>
      </c>
      <c r="AE247" s="75"/>
      <c r="AF247" s="78"/>
      <c r="AG247" s="75"/>
      <c r="AH247" s="78"/>
      <c r="AI247" s="75"/>
      <c r="AJ247" s="78"/>
      <c r="AK247" s="77"/>
      <c r="AL247" s="79">
        <f t="shared" si="1"/>
        <v>0</v>
      </c>
      <c r="AM247" s="71">
        <f t="shared" si="2"/>
        <v>0</v>
      </c>
      <c r="AN247" s="71">
        <f t="shared" si="3"/>
        <v>0</v>
      </c>
      <c r="AO247" s="71">
        <f t="shared" si="4"/>
        <v>0</v>
      </c>
      <c r="AP247" s="80" t="str">
        <f t="shared" si="5"/>
        <v/>
      </c>
    </row>
    <row r="248">
      <c r="A248" s="19" t="s">
        <v>23</v>
      </c>
      <c r="B248" s="81">
        <f t="shared" si="6"/>
        <v>45901</v>
      </c>
      <c r="C248" s="21">
        <v>9.0</v>
      </c>
      <c r="D248" s="21" t="s">
        <v>36</v>
      </c>
      <c r="E248" s="82" t="s">
        <v>40</v>
      </c>
      <c r="F248" s="25">
        <v>0.0</v>
      </c>
      <c r="H248" s="26">
        <v>0.0</v>
      </c>
      <c r="J248" s="26">
        <v>0.0</v>
      </c>
      <c r="L248" s="25">
        <v>120.0</v>
      </c>
      <c r="N248" s="26">
        <v>120.0</v>
      </c>
      <c r="P248" s="26">
        <v>0.0</v>
      </c>
      <c r="R248" s="26">
        <v>0.0</v>
      </c>
      <c r="T248" s="26">
        <v>1.0</v>
      </c>
      <c r="V248" s="26">
        <v>1.0</v>
      </c>
      <c r="X248" s="26">
        <v>0.0</v>
      </c>
      <c r="Y248" s="28"/>
      <c r="Z248" s="25">
        <v>22.0</v>
      </c>
      <c r="AB248" s="26">
        <v>22.0</v>
      </c>
      <c r="AD248" s="26">
        <v>0.0</v>
      </c>
      <c r="AF248" s="30"/>
      <c r="AH248" s="30"/>
      <c r="AJ248" s="30"/>
      <c r="AK248" s="28"/>
      <c r="AL248" s="39">
        <f t="shared" si="1"/>
        <v>4289.57</v>
      </c>
      <c r="AM248" s="21">
        <f t="shared" si="2"/>
        <v>284</v>
      </c>
      <c r="AN248" s="21">
        <f t="shared" si="3"/>
        <v>2</v>
      </c>
      <c r="AO248" s="21">
        <f t="shared" si="4"/>
        <v>286</v>
      </c>
      <c r="AP248" s="46">
        <f t="shared" si="5"/>
        <v>14.9984965</v>
      </c>
    </row>
    <row r="249">
      <c r="A249" s="48" t="s">
        <v>26</v>
      </c>
      <c r="B249" s="51">
        <f t="shared" si="6"/>
        <v>45902</v>
      </c>
      <c r="C249" s="53">
        <v>9.0</v>
      </c>
      <c r="D249" s="53" t="s">
        <v>36</v>
      </c>
      <c r="E249" s="23" t="s">
        <v>40</v>
      </c>
      <c r="F249" s="25">
        <v>0.0</v>
      </c>
      <c r="H249" s="26">
        <v>0.0</v>
      </c>
      <c r="J249" s="26">
        <v>0.0</v>
      </c>
      <c r="L249" s="25">
        <v>120.0</v>
      </c>
      <c r="N249" s="26">
        <v>120.0</v>
      </c>
      <c r="P249" s="26">
        <v>0.0</v>
      </c>
      <c r="R249" s="26">
        <v>0.0</v>
      </c>
      <c r="T249" s="26">
        <v>0.0</v>
      </c>
      <c r="V249" s="26">
        <v>0.0</v>
      </c>
      <c r="X249" s="26">
        <v>0.0</v>
      </c>
      <c r="Y249" s="28"/>
      <c r="Z249" s="25">
        <v>22.0</v>
      </c>
      <c r="AB249" s="26">
        <v>22.0</v>
      </c>
      <c r="AD249" s="26">
        <v>0.0</v>
      </c>
      <c r="AF249" s="30"/>
      <c r="AH249" s="30"/>
      <c r="AJ249" s="30"/>
      <c r="AK249" s="28"/>
      <c r="AL249" s="60">
        <f t="shared" si="1"/>
        <v>3524.44</v>
      </c>
      <c r="AM249" s="53">
        <f t="shared" si="2"/>
        <v>284</v>
      </c>
      <c r="AN249" s="53">
        <f t="shared" si="3"/>
        <v>0</v>
      </c>
      <c r="AO249" s="53">
        <f t="shared" si="4"/>
        <v>284</v>
      </c>
      <c r="AP249" s="61">
        <f t="shared" si="5"/>
        <v>12.41</v>
      </c>
    </row>
    <row r="250">
      <c r="A250" s="48" t="s">
        <v>27</v>
      </c>
      <c r="B250" s="51">
        <f t="shared" si="6"/>
        <v>45903</v>
      </c>
      <c r="C250" s="53">
        <v>9.0</v>
      </c>
      <c r="D250" s="53" t="s">
        <v>36</v>
      </c>
      <c r="E250" s="23" t="s">
        <v>40</v>
      </c>
      <c r="F250" s="25">
        <v>0.0</v>
      </c>
      <c r="H250" s="26">
        <v>0.0</v>
      </c>
      <c r="J250" s="26">
        <v>0.0</v>
      </c>
      <c r="L250" s="25">
        <v>120.0</v>
      </c>
      <c r="N250" s="26">
        <v>120.0</v>
      </c>
      <c r="P250" s="26">
        <v>0.0</v>
      </c>
      <c r="R250" s="26">
        <v>0.0</v>
      </c>
      <c r="T250" s="26">
        <v>0.0</v>
      </c>
      <c r="V250" s="26">
        <v>0.0</v>
      </c>
      <c r="X250" s="26">
        <v>0.0</v>
      </c>
      <c r="Y250" s="28"/>
      <c r="Z250" s="25">
        <v>22.0</v>
      </c>
      <c r="AB250" s="26">
        <v>22.0</v>
      </c>
      <c r="AD250" s="26">
        <v>0.0</v>
      </c>
      <c r="AF250" s="30"/>
      <c r="AH250" s="30"/>
      <c r="AJ250" s="30"/>
      <c r="AK250" s="28"/>
      <c r="AL250" s="60">
        <f t="shared" si="1"/>
        <v>3524.44</v>
      </c>
      <c r="AM250" s="53">
        <f t="shared" si="2"/>
        <v>284</v>
      </c>
      <c r="AN250" s="53">
        <f t="shared" si="3"/>
        <v>0</v>
      </c>
      <c r="AO250" s="53">
        <f t="shared" si="4"/>
        <v>284</v>
      </c>
      <c r="AP250" s="61">
        <f t="shared" si="5"/>
        <v>12.41</v>
      </c>
    </row>
    <row r="251">
      <c r="A251" s="48" t="s">
        <v>28</v>
      </c>
      <c r="B251" s="51">
        <f t="shared" si="6"/>
        <v>45904</v>
      </c>
      <c r="C251" s="53">
        <v>9.0</v>
      </c>
      <c r="D251" s="53" t="s">
        <v>36</v>
      </c>
      <c r="E251" s="23" t="s">
        <v>40</v>
      </c>
      <c r="F251" s="25">
        <v>0.0</v>
      </c>
      <c r="H251" s="26">
        <v>0.0</v>
      </c>
      <c r="J251" s="26">
        <v>0.0</v>
      </c>
      <c r="L251" s="25">
        <v>120.0</v>
      </c>
      <c r="N251" s="26">
        <v>120.0</v>
      </c>
      <c r="P251" s="26">
        <v>0.0</v>
      </c>
      <c r="R251" s="26">
        <v>0.0</v>
      </c>
      <c r="T251" s="26">
        <v>0.0</v>
      </c>
      <c r="V251" s="26">
        <v>0.0</v>
      </c>
      <c r="X251" s="26">
        <v>0.0</v>
      </c>
      <c r="Y251" s="28"/>
      <c r="Z251" s="25">
        <v>22.0</v>
      </c>
      <c r="AB251" s="26">
        <v>22.0</v>
      </c>
      <c r="AD251" s="26">
        <v>0.0</v>
      </c>
      <c r="AF251" s="30"/>
      <c r="AH251" s="30"/>
      <c r="AJ251" s="30"/>
      <c r="AK251" s="28"/>
      <c r="AL251" s="60">
        <f t="shared" si="1"/>
        <v>3524.44</v>
      </c>
      <c r="AM251" s="53">
        <f t="shared" si="2"/>
        <v>284</v>
      </c>
      <c r="AN251" s="53">
        <f t="shared" si="3"/>
        <v>0</v>
      </c>
      <c r="AO251" s="53">
        <f t="shared" si="4"/>
        <v>284</v>
      </c>
      <c r="AP251" s="61">
        <f t="shared" si="5"/>
        <v>12.41</v>
      </c>
    </row>
    <row r="252">
      <c r="A252" s="48" t="s">
        <v>29</v>
      </c>
      <c r="B252" s="51">
        <f t="shared" si="6"/>
        <v>45905</v>
      </c>
      <c r="C252" s="53">
        <v>9.0</v>
      </c>
      <c r="D252" s="53" t="s">
        <v>36</v>
      </c>
      <c r="E252" s="23" t="s">
        <v>40</v>
      </c>
      <c r="F252" s="25">
        <v>0.0</v>
      </c>
      <c r="H252" s="26">
        <v>0.0</v>
      </c>
      <c r="J252" s="26">
        <v>0.0</v>
      </c>
      <c r="L252" s="25">
        <v>120.0</v>
      </c>
      <c r="N252" s="26">
        <v>120.0</v>
      </c>
      <c r="P252" s="26">
        <v>0.0</v>
      </c>
      <c r="R252" s="26">
        <v>0.0</v>
      </c>
      <c r="T252" s="26">
        <v>0.0</v>
      </c>
      <c r="V252" s="26">
        <v>0.0</v>
      </c>
      <c r="X252" s="26">
        <v>0.0</v>
      </c>
      <c r="Y252" s="28"/>
      <c r="Z252" s="25">
        <v>22.0</v>
      </c>
      <c r="AB252" s="26">
        <v>22.0</v>
      </c>
      <c r="AD252" s="26">
        <v>0.0</v>
      </c>
      <c r="AF252" s="30"/>
      <c r="AH252" s="30"/>
      <c r="AJ252" s="30"/>
      <c r="AK252" s="28"/>
      <c r="AL252" s="60">
        <f t="shared" si="1"/>
        <v>3524.44</v>
      </c>
      <c r="AM252" s="53">
        <f t="shared" si="2"/>
        <v>284</v>
      </c>
      <c r="AN252" s="53">
        <f t="shared" si="3"/>
        <v>0</v>
      </c>
      <c r="AO252" s="53">
        <f t="shared" si="4"/>
        <v>284</v>
      </c>
      <c r="AP252" s="61">
        <f t="shared" si="5"/>
        <v>12.41</v>
      </c>
    </row>
    <row r="253">
      <c r="A253" s="48" t="s">
        <v>30</v>
      </c>
      <c r="B253" s="51">
        <f t="shared" si="6"/>
        <v>45906</v>
      </c>
      <c r="C253" s="53">
        <v>9.0</v>
      </c>
      <c r="D253" s="53" t="s">
        <v>36</v>
      </c>
      <c r="E253" s="23" t="s">
        <v>40</v>
      </c>
      <c r="F253" s="25">
        <v>0.0</v>
      </c>
      <c r="H253" s="26">
        <v>0.0</v>
      </c>
      <c r="J253" s="26">
        <v>0.0</v>
      </c>
      <c r="L253" s="25">
        <v>120.0</v>
      </c>
      <c r="N253" s="26">
        <v>120.0</v>
      </c>
      <c r="P253" s="26">
        <v>0.0</v>
      </c>
      <c r="R253" s="26">
        <v>0.0</v>
      </c>
      <c r="T253" s="26">
        <v>0.0</v>
      </c>
      <c r="V253" s="26">
        <v>0.0</v>
      </c>
      <c r="X253" s="26">
        <v>0.0</v>
      </c>
      <c r="Y253" s="28"/>
      <c r="Z253" s="25">
        <v>5.0</v>
      </c>
      <c r="AB253" s="26">
        <v>5.0</v>
      </c>
      <c r="AD253" s="26">
        <v>0.0</v>
      </c>
      <c r="AF253" s="30"/>
      <c r="AH253" s="30"/>
      <c r="AJ253" s="30"/>
      <c r="AK253" s="28"/>
      <c r="AL253" s="60">
        <f t="shared" si="1"/>
        <v>3102.5</v>
      </c>
      <c r="AM253" s="53">
        <f t="shared" si="2"/>
        <v>250</v>
      </c>
      <c r="AN253" s="53">
        <f t="shared" si="3"/>
        <v>0</v>
      </c>
      <c r="AO253" s="53">
        <f t="shared" si="4"/>
        <v>250</v>
      </c>
      <c r="AP253" s="61">
        <f t="shared" si="5"/>
        <v>12.41</v>
      </c>
    </row>
    <row r="254">
      <c r="A254" s="69" t="s">
        <v>31</v>
      </c>
      <c r="B254" s="70">
        <f t="shared" si="6"/>
        <v>45907</v>
      </c>
      <c r="C254" s="71">
        <v>9.0</v>
      </c>
      <c r="D254" s="71" t="s">
        <v>36</v>
      </c>
      <c r="E254" s="73" t="s">
        <v>40</v>
      </c>
      <c r="F254" s="74">
        <v>0.0</v>
      </c>
      <c r="G254" s="75"/>
      <c r="H254" s="76">
        <v>0.0</v>
      </c>
      <c r="I254" s="75"/>
      <c r="J254" s="76">
        <v>0.0</v>
      </c>
      <c r="K254" s="75"/>
      <c r="L254" s="74">
        <v>0.0</v>
      </c>
      <c r="M254" s="75"/>
      <c r="N254" s="76">
        <v>0.0</v>
      </c>
      <c r="O254" s="75"/>
      <c r="P254" s="76">
        <v>0.0</v>
      </c>
      <c r="Q254" s="75"/>
      <c r="R254" s="76">
        <v>0.0</v>
      </c>
      <c r="S254" s="75"/>
      <c r="T254" s="76">
        <v>0.0</v>
      </c>
      <c r="U254" s="75"/>
      <c r="V254" s="76">
        <v>0.0</v>
      </c>
      <c r="W254" s="75"/>
      <c r="X254" s="76">
        <v>0.0</v>
      </c>
      <c r="Y254" s="77"/>
      <c r="Z254" s="74">
        <v>0.0</v>
      </c>
      <c r="AA254" s="75"/>
      <c r="AB254" s="76">
        <v>0.0</v>
      </c>
      <c r="AC254" s="75"/>
      <c r="AD254" s="76">
        <v>0.0</v>
      </c>
      <c r="AE254" s="75"/>
      <c r="AF254" s="78"/>
      <c r="AG254" s="75"/>
      <c r="AH254" s="78"/>
      <c r="AI254" s="75"/>
      <c r="AJ254" s="78"/>
      <c r="AK254" s="77"/>
      <c r="AL254" s="79">
        <f t="shared" si="1"/>
        <v>0</v>
      </c>
      <c r="AM254" s="71">
        <f t="shared" si="2"/>
        <v>0</v>
      </c>
      <c r="AN254" s="71">
        <f t="shared" si="3"/>
        <v>0</v>
      </c>
      <c r="AO254" s="71">
        <f t="shared" si="4"/>
        <v>0</v>
      </c>
      <c r="AP254" s="80" t="str">
        <f t="shared" si="5"/>
        <v/>
      </c>
    </row>
    <row r="255">
      <c r="A255" s="19" t="s">
        <v>23</v>
      </c>
      <c r="B255" s="81">
        <f t="shared" si="6"/>
        <v>45908</v>
      </c>
      <c r="C255" s="21">
        <v>10.0</v>
      </c>
      <c r="D255" s="21" t="s">
        <v>24</v>
      </c>
      <c r="E255" s="82" t="s">
        <v>40</v>
      </c>
      <c r="F255" s="114">
        <v>0.0</v>
      </c>
      <c r="H255" s="115">
        <v>0.0</v>
      </c>
      <c r="J255" s="115">
        <v>0.0</v>
      </c>
      <c r="L255" s="114">
        <v>40.0</v>
      </c>
      <c r="N255" s="115">
        <v>40.0</v>
      </c>
      <c r="P255" s="115">
        <v>0.0</v>
      </c>
      <c r="R255" s="115">
        <v>0.0</v>
      </c>
      <c r="T255" s="115">
        <v>1.0</v>
      </c>
      <c r="V255" s="115">
        <v>1.0</v>
      </c>
      <c r="X255" s="115">
        <v>0.0</v>
      </c>
      <c r="Y255" s="28"/>
      <c r="Z255" s="114">
        <v>22.0</v>
      </c>
      <c r="AB255" s="115">
        <v>22.0</v>
      </c>
      <c r="AD255" s="115">
        <v>0.0</v>
      </c>
      <c r="AF255" s="116"/>
      <c r="AH255" s="116"/>
      <c r="AJ255" s="116"/>
      <c r="AK255" s="28"/>
      <c r="AL255" s="117">
        <f t="shared" si="1"/>
        <v>2303.97</v>
      </c>
      <c r="AM255" s="21">
        <f t="shared" si="2"/>
        <v>124</v>
      </c>
      <c r="AN255" s="21">
        <f t="shared" si="3"/>
        <v>2</v>
      </c>
      <c r="AO255" s="21">
        <f t="shared" si="4"/>
        <v>126</v>
      </c>
      <c r="AP255" s="46">
        <f t="shared" si="5"/>
        <v>18.28547619</v>
      </c>
    </row>
    <row r="256">
      <c r="A256" s="48" t="s">
        <v>26</v>
      </c>
      <c r="B256" s="51">
        <f t="shared" si="6"/>
        <v>45909</v>
      </c>
      <c r="C256" s="53">
        <v>10.0</v>
      </c>
      <c r="D256" s="53" t="s">
        <v>24</v>
      </c>
      <c r="E256" s="23" t="s">
        <v>40</v>
      </c>
      <c r="F256" s="114">
        <v>0.0</v>
      </c>
      <c r="H256" s="115">
        <v>0.0</v>
      </c>
      <c r="J256" s="115">
        <v>0.0</v>
      </c>
      <c r="L256" s="114">
        <v>120.0</v>
      </c>
      <c r="N256" s="115">
        <v>120.0</v>
      </c>
      <c r="P256" s="115">
        <v>0.0</v>
      </c>
      <c r="R256" s="115">
        <v>0.0</v>
      </c>
      <c r="T256" s="115">
        <v>0.0</v>
      </c>
      <c r="V256" s="115">
        <v>0.0</v>
      </c>
      <c r="X256" s="115">
        <v>0.0</v>
      </c>
      <c r="Y256" s="28"/>
      <c r="Z256" s="114">
        <v>22.0</v>
      </c>
      <c r="AB256" s="115">
        <v>22.0</v>
      </c>
      <c r="AD256" s="115">
        <v>0.0</v>
      </c>
      <c r="AF256" s="116"/>
      <c r="AH256" s="116"/>
      <c r="AJ256" s="116"/>
      <c r="AK256" s="28"/>
      <c r="AL256" s="118">
        <f t="shared" si="1"/>
        <v>3524.44</v>
      </c>
      <c r="AM256" s="53">
        <f t="shared" si="2"/>
        <v>284</v>
      </c>
      <c r="AN256" s="53">
        <f t="shared" si="3"/>
        <v>0</v>
      </c>
      <c r="AO256" s="53">
        <f t="shared" si="4"/>
        <v>284</v>
      </c>
      <c r="AP256" s="61">
        <f t="shared" si="5"/>
        <v>12.41</v>
      </c>
    </row>
    <row r="257">
      <c r="A257" s="48" t="s">
        <v>27</v>
      </c>
      <c r="B257" s="51">
        <f t="shared" si="6"/>
        <v>45910</v>
      </c>
      <c r="C257" s="53">
        <v>10.0</v>
      </c>
      <c r="D257" s="53" t="s">
        <v>24</v>
      </c>
      <c r="E257" s="23" t="s">
        <v>40</v>
      </c>
      <c r="F257" s="114">
        <v>0.0</v>
      </c>
      <c r="H257" s="115">
        <v>0.0</v>
      </c>
      <c r="J257" s="115">
        <v>0.0</v>
      </c>
      <c r="L257" s="114">
        <v>120.0</v>
      </c>
      <c r="N257" s="115">
        <v>120.0</v>
      </c>
      <c r="P257" s="115">
        <v>0.0</v>
      </c>
      <c r="R257" s="115">
        <v>0.0</v>
      </c>
      <c r="T257" s="115">
        <v>0.0</v>
      </c>
      <c r="V257" s="115">
        <v>0.0</v>
      </c>
      <c r="X257" s="115">
        <v>0.0</v>
      </c>
      <c r="Y257" s="28"/>
      <c r="Z257" s="114">
        <v>22.0</v>
      </c>
      <c r="AB257" s="115">
        <v>22.0</v>
      </c>
      <c r="AD257" s="115">
        <v>0.0</v>
      </c>
      <c r="AF257" s="116"/>
      <c r="AH257" s="116"/>
      <c r="AJ257" s="116"/>
      <c r="AK257" s="28"/>
      <c r="AL257" s="118">
        <f t="shared" si="1"/>
        <v>3524.44</v>
      </c>
      <c r="AM257" s="53">
        <f t="shared" si="2"/>
        <v>284</v>
      </c>
      <c r="AN257" s="53">
        <f t="shared" si="3"/>
        <v>0</v>
      </c>
      <c r="AO257" s="53">
        <f t="shared" si="4"/>
        <v>284</v>
      </c>
      <c r="AP257" s="61">
        <f t="shared" si="5"/>
        <v>12.41</v>
      </c>
    </row>
    <row r="258">
      <c r="A258" s="48" t="s">
        <v>28</v>
      </c>
      <c r="B258" s="51">
        <f t="shared" si="6"/>
        <v>45911</v>
      </c>
      <c r="C258" s="53">
        <v>10.0</v>
      </c>
      <c r="D258" s="53" t="s">
        <v>24</v>
      </c>
      <c r="E258" s="23" t="s">
        <v>40</v>
      </c>
      <c r="F258" s="114">
        <v>0.0</v>
      </c>
      <c r="H258" s="115">
        <v>0.0</v>
      </c>
      <c r="J258" s="115">
        <v>0.0</v>
      </c>
      <c r="L258" s="114">
        <v>120.0</v>
      </c>
      <c r="N258" s="115">
        <v>120.0</v>
      </c>
      <c r="P258" s="115">
        <v>0.0</v>
      </c>
      <c r="R258" s="115">
        <v>0.0</v>
      </c>
      <c r="T258" s="115">
        <v>0.0</v>
      </c>
      <c r="V258" s="115">
        <v>0.0</v>
      </c>
      <c r="X258" s="115">
        <v>0.0</v>
      </c>
      <c r="Y258" s="28"/>
      <c r="Z258" s="114">
        <v>22.0</v>
      </c>
      <c r="AB258" s="115">
        <v>22.0</v>
      </c>
      <c r="AD258" s="115">
        <v>0.0</v>
      </c>
      <c r="AF258" s="116"/>
      <c r="AH258" s="116"/>
      <c r="AJ258" s="116"/>
      <c r="AK258" s="28"/>
      <c r="AL258" s="118">
        <f t="shared" si="1"/>
        <v>3524.44</v>
      </c>
      <c r="AM258" s="53">
        <f t="shared" si="2"/>
        <v>284</v>
      </c>
      <c r="AN258" s="53">
        <f t="shared" si="3"/>
        <v>0</v>
      </c>
      <c r="AO258" s="53">
        <f t="shared" si="4"/>
        <v>284</v>
      </c>
      <c r="AP258" s="61">
        <f t="shared" si="5"/>
        <v>12.41</v>
      </c>
    </row>
    <row r="259">
      <c r="A259" s="48" t="s">
        <v>29</v>
      </c>
      <c r="B259" s="51">
        <f t="shared" si="6"/>
        <v>45912</v>
      </c>
      <c r="C259" s="53">
        <v>10.0</v>
      </c>
      <c r="D259" s="53" t="s">
        <v>24</v>
      </c>
      <c r="E259" s="23" t="s">
        <v>40</v>
      </c>
      <c r="F259" s="114">
        <v>0.0</v>
      </c>
      <c r="H259" s="115">
        <v>0.0</v>
      </c>
      <c r="J259" s="115">
        <v>0.0</v>
      </c>
      <c r="L259" s="114">
        <v>120.0</v>
      </c>
      <c r="N259" s="115">
        <v>120.0</v>
      </c>
      <c r="P259" s="115">
        <v>0.0</v>
      </c>
      <c r="R259" s="115">
        <v>0.0</v>
      </c>
      <c r="T259" s="115">
        <v>0.0</v>
      </c>
      <c r="V259" s="115">
        <v>0.0</v>
      </c>
      <c r="X259" s="115">
        <v>0.0</v>
      </c>
      <c r="Y259" s="28"/>
      <c r="Z259" s="114">
        <v>22.0</v>
      </c>
      <c r="AB259" s="115">
        <v>22.0</v>
      </c>
      <c r="AD259" s="115">
        <v>0.0</v>
      </c>
      <c r="AF259" s="116"/>
      <c r="AH259" s="116"/>
      <c r="AJ259" s="116"/>
      <c r="AK259" s="28"/>
      <c r="AL259" s="118">
        <f t="shared" si="1"/>
        <v>3524.44</v>
      </c>
      <c r="AM259" s="53">
        <f t="shared" si="2"/>
        <v>284</v>
      </c>
      <c r="AN259" s="53">
        <f t="shared" si="3"/>
        <v>0</v>
      </c>
      <c r="AO259" s="53">
        <f t="shared" si="4"/>
        <v>284</v>
      </c>
      <c r="AP259" s="61">
        <f t="shared" si="5"/>
        <v>12.41</v>
      </c>
    </row>
    <row r="260">
      <c r="A260" s="48" t="s">
        <v>30</v>
      </c>
      <c r="B260" s="51">
        <f t="shared" si="6"/>
        <v>45913</v>
      </c>
      <c r="C260" s="53">
        <v>10.0</v>
      </c>
      <c r="D260" s="53" t="s">
        <v>24</v>
      </c>
      <c r="E260" s="23" t="s">
        <v>40</v>
      </c>
      <c r="F260" s="114">
        <v>0.0</v>
      </c>
      <c r="H260" s="115">
        <v>0.0</v>
      </c>
      <c r="J260" s="115">
        <v>0.0</v>
      </c>
      <c r="L260" s="114">
        <v>120.0</v>
      </c>
      <c r="N260" s="115">
        <v>120.0</v>
      </c>
      <c r="P260" s="115">
        <v>0.0</v>
      </c>
      <c r="R260" s="115">
        <v>0.0</v>
      </c>
      <c r="T260" s="115">
        <v>0.0</v>
      </c>
      <c r="V260" s="115">
        <v>0.0</v>
      </c>
      <c r="X260" s="115">
        <v>0.0</v>
      </c>
      <c r="Y260" s="28"/>
      <c r="Z260" s="114">
        <v>5.0</v>
      </c>
      <c r="AB260" s="115">
        <v>5.0</v>
      </c>
      <c r="AD260" s="115">
        <v>0.0</v>
      </c>
      <c r="AF260" s="116"/>
      <c r="AH260" s="116"/>
      <c r="AJ260" s="116"/>
      <c r="AK260" s="28"/>
      <c r="AL260" s="118">
        <f t="shared" si="1"/>
        <v>3102.5</v>
      </c>
      <c r="AM260" s="53">
        <f t="shared" si="2"/>
        <v>250</v>
      </c>
      <c r="AN260" s="53">
        <f t="shared" si="3"/>
        <v>0</v>
      </c>
      <c r="AO260" s="53">
        <f t="shared" si="4"/>
        <v>250</v>
      </c>
      <c r="AP260" s="61">
        <f t="shared" si="5"/>
        <v>12.41</v>
      </c>
    </row>
    <row r="261">
      <c r="A261" s="69" t="s">
        <v>31</v>
      </c>
      <c r="B261" s="70">
        <f t="shared" si="6"/>
        <v>45914</v>
      </c>
      <c r="C261" s="71">
        <v>10.0</v>
      </c>
      <c r="D261" s="71" t="s">
        <v>24</v>
      </c>
      <c r="E261" s="73" t="s">
        <v>40</v>
      </c>
      <c r="F261" s="119">
        <v>0.0</v>
      </c>
      <c r="G261" s="75"/>
      <c r="H261" s="120">
        <v>0.0</v>
      </c>
      <c r="I261" s="75"/>
      <c r="J261" s="120">
        <v>0.0</v>
      </c>
      <c r="K261" s="75"/>
      <c r="L261" s="119">
        <v>0.0</v>
      </c>
      <c r="M261" s="75"/>
      <c r="N261" s="120">
        <v>0.0</v>
      </c>
      <c r="O261" s="75"/>
      <c r="P261" s="120">
        <v>0.0</v>
      </c>
      <c r="Q261" s="75"/>
      <c r="R261" s="120">
        <v>0.0</v>
      </c>
      <c r="S261" s="75"/>
      <c r="T261" s="120">
        <v>0.0</v>
      </c>
      <c r="U261" s="75"/>
      <c r="V261" s="120">
        <v>0.0</v>
      </c>
      <c r="W261" s="75"/>
      <c r="X261" s="120">
        <v>0.0</v>
      </c>
      <c r="Y261" s="77"/>
      <c r="Z261" s="119">
        <v>0.0</v>
      </c>
      <c r="AA261" s="75"/>
      <c r="AB261" s="120">
        <v>0.0</v>
      </c>
      <c r="AC261" s="75"/>
      <c r="AD261" s="120">
        <v>0.0</v>
      </c>
      <c r="AE261" s="75"/>
      <c r="AF261" s="121"/>
      <c r="AG261" s="75"/>
      <c r="AH261" s="121"/>
      <c r="AI261" s="75"/>
      <c r="AJ261" s="121"/>
      <c r="AK261" s="77"/>
      <c r="AL261" s="122">
        <f t="shared" si="1"/>
        <v>0</v>
      </c>
      <c r="AM261" s="71">
        <f t="shared" si="2"/>
        <v>0</v>
      </c>
      <c r="AN261" s="71">
        <f t="shared" si="3"/>
        <v>0</v>
      </c>
      <c r="AO261" s="71">
        <f t="shared" si="4"/>
        <v>0</v>
      </c>
      <c r="AP261" s="80" t="str">
        <f t="shared" si="5"/>
        <v/>
      </c>
    </row>
    <row r="262">
      <c r="A262" s="19" t="s">
        <v>23</v>
      </c>
      <c r="B262" s="81">
        <f t="shared" si="6"/>
        <v>45915</v>
      </c>
      <c r="C262" s="21">
        <v>10.0</v>
      </c>
      <c r="D262" s="21" t="s">
        <v>32</v>
      </c>
      <c r="E262" s="82" t="s">
        <v>40</v>
      </c>
      <c r="F262" s="25">
        <v>0.0</v>
      </c>
      <c r="H262" s="26">
        <v>0.0</v>
      </c>
      <c r="J262" s="26">
        <v>0.0</v>
      </c>
      <c r="L262" s="25">
        <v>120.0</v>
      </c>
      <c r="N262" s="26">
        <v>120.0</v>
      </c>
      <c r="P262" s="26">
        <v>0.0</v>
      </c>
      <c r="R262" s="26">
        <v>0.0</v>
      </c>
      <c r="T262" s="26">
        <v>1.0</v>
      </c>
      <c r="V262" s="26">
        <v>1.0</v>
      </c>
      <c r="X262" s="26">
        <v>0.0</v>
      </c>
      <c r="Y262" s="28"/>
      <c r="Z262" s="25">
        <v>22.0</v>
      </c>
      <c r="AB262" s="26">
        <v>22.0</v>
      </c>
      <c r="AD262" s="26">
        <v>0.0</v>
      </c>
      <c r="AF262" s="30"/>
      <c r="AH262" s="30"/>
      <c r="AJ262" s="30"/>
      <c r="AK262" s="28"/>
      <c r="AL262" s="39">
        <f t="shared" si="1"/>
        <v>4289.57</v>
      </c>
      <c r="AM262" s="21">
        <f t="shared" si="2"/>
        <v>284</v>
      </c>
      <c r="AN262" s="21">
        <f t="shared" si="3"/>
        <v>2</v>
      </c>
      <c r="AO262" s="21">
        <f t="shared" si="4"/>
        <v>286</v>
      </c>
      <c r="AP262" s="46">
        <f t="shared" si="5"/>
        <v>14.9984965</v>
      </c>
    </row>
    <row r="263">
      <c r="A263" s="48" t="s">
        <v>26</v>
      </c>
      <c r="B263" s="51">
        <f t="shared" si="6"/>
        <v>45916</v>
      </c>
      <c r="C263" s="53">
        <v>10.0</v>
      </c>
      <c r="D263" s="53" t="s">
        <v>32</v>
      </c>
      <c r="E263" s="23" t="s">
        <v>40</v>
      </c>
      <c r="F263" s="25">
        <v>0.0</v>
      </c>
      <c r="H263" s="26">
        <v>0.0</v>
      </c>
      <c r="J263" s="26">
        <v>0.0</v>
      </c>
      <c r="L263" s="25">
        <v>120.0</v>
      </c>
      <c r="N263" s="26">
        <v>120.0</v>
      </c>
      <c r="P263" s="26">
        <v>0.0</v>
      </c>
      <c r="R263" s="26">
        <v>0.0</v>
      </c>
      <c r="T263" s="26">
        <v>0.0</v>
      </c>
      <c r="V263" s="26">
        <v>0.0</v>
      </c>
      <c r="X263" s="26">
        <v>0.0</v>
      </c>
      <c r="Y263" s="28"/>
      <c r="Z263" s="25">
        <v>22.0</v>
      </c>
      <c r="AB263" s="26">
        <v>22.0</v>
      </c>
      <c r="AD263" s="26">
        <v>0.0</v>
      </c>
      <c r="AF263" s="30"/>
      <c r="AH263" s="30"/>
      <c r="AJ263" s="30"/>
      <c r="AK263" s="28"/>
      <c r="AL263" s="60">
        <f t="shared" si="1"/>
        <v>3524.44</v>
      </c>
      <c r="AM263" s="53">
        <f t="shared" si="2"/>
        <v>284</v>
      </c>
      <c r="AN263" s="53">
        <f t="shared" si="3"/>
        <v>0</v>
      </c>
      <c r="AO263" s="53">
        <f t="shared" si="4"/>
        <v>284</v>
      </c>
      <c r="AP263" s="61">
        <f t="shared" si="5"/>
        <v>12.41</v>
      </c>
    </row>
    <row r="264">
      <c r="A264" s="48" t="s">
        <v>27</v>
      </c>
      <c r="B264" s="51">
        <f t="shared" si="6"/>
        <v>45917</v>
      </c>
      <c r="C264" s="53">
        <v>10.0</v>
      </c>
      <c r="D264" s="53" t="s">
        <v>32</v>
      </c>
      <c r="E264" s="23" t="s">
        <v>40</v>
      </c>
      <c r="F264" s="25">
        <v>0.0</v>
      </c>
      <c r="H264" s="26">
        <v>0.0</v>
      </c>
      <c r="J264" s="26">
        <v>0.0</v>
      </c>
      <c r="L264" s="25">
        <v>120.0</v>
      </c>
      <c r="N264" s="26">
        <v>120.0</v>
      </c>
      <c r="P264" s="26">
        <v>0.0</v>
      </c>
      <c r="R264" s="26">
        <v>0.0</v>
      </c>
      <c r="T264" s="26">
        <v>0.0</v>
      </c>
      <c r="V264" s="26">
        <v>0.0</v>
      </c>
      <c r="X264" s="26">
        <v>0.0</v>
      </c>
      <c r="Y264" s="28"/>
      <c r="Z264" s="25">
        <v>22.0</v>
      </c>
      <c r="AB264" s="26">
        <v>22.0</v>
      </c>
      <c r="AD264" s="26">
        <v>0.0</v>
      </c>
      <c r="AF264" s="30"/>
      <c r="AH264" s="30"/>
      <c r="AJ264" s="30"/>
      <c r="AK264" s="28"/>
      <c r="AL264" s="60">
        <f t="shared" si="1"/>
        <v>3524.44</v>
      </c>
      <c r="AM264" s="53">
        <f t="shared" si="2"/>
        <v>284</v>
      </c>
      <c r="AN264" s="53">
        <f t="shared" si="3"/>
        <v>0</v>
      </c>
      <c r="AO264" s="53">
        <f t="shared" si="4"/>
        <v>284</v>
      </c>
      <c r="AP264" s="61">
        <f t="shared" si="5"/>
        <v>12.41</v>
      </c>
    </row>
    <row r="265">
      <c r="A265" s="48" t="s">
        <v>28</v>
      </c>
      <c r="B265" s="51">
        <f t="shared" si="6"/>
        <v>45918</v>
      </c>
      <c r="C265" s="53">
        <v>10.0</v>
      </c>
      <c r="D265" s="53" t="s">
        <v>32</v>
      </c>
      <c r="E265" s="23" t="s">
        <v>40</v>
      </c>
      <c r="F265" s="25">
        <v>0.0</v>
      </c>
      <c r="H265" s="26">
        <v>0.0</v>
      </c>
      <c r="J265" s="26">
        <v>0.0</v>
      </c>
      <c r="L265" s="25">
        <v>120.0</v>
      </c>
      <c r="N265" s="26">
        <v>120.0</v>
      </c>
      <c r="P265" s="26">
        <v>0.0</v>
      </c>
      <c r="R265" s="26">
        <v>0.0</v>
      </c>
      <c r="T265" s="26">
        <v>0.0</v>
      </c>
      <c r="V265" s="26">
        <v>0.0</v>
      </c>
      <c r="X265" s="26">
        <v>0.0</v>
      </c>
      <c r="Y265" s="28"/>
      <c r="Z265" s="25">
        <v>22.0</v>
      </c>
      <c r="AB265" s="26">
        <v>22.0</v>
      </c>
      <c r="AD265" s="26">
        <v>0.0</v>
      </c>
      <c r="AF265" s="30"/>
      <c r="AH265" s="30"/>
      <c r="AJ265" s="30"/>
      <c r="AK265" s="28"/>
      <c r="AL265" s="60">
        <f t="shared" si="1"/>
        <v>3524.44</v>
      </c>
      <c r="AM265" s="53">
        <f t="shared" si="2"/>
        <v>284</v>
      </c>
      <c r="AN265" s="53">
        <f t="shared" si="3"/>
        <v>0</v>
      </c>
      <c r="AO265" s="53">
        <f t="shared" si="4"/>
        <v>284</v>
      </c>
      <c r="AP265" s="61">
        <f t="shared" si="5"/>
        <v>12.41</v>
      </c>
    </row>
    <row r="266">
      <c r="A266" s="48" t="s">
        <v>29</v>
      </c>
      <c r="B266" s="51">
        <f t="shared" si="6"/>
        <v>45919</v>
      </c>
      <c r="C266" s="53">
        <v>10.0</v>
      </c>
      <c r="D266" s="53" t="s">
        <v>32</v>
      </c>
      <c r="E266" s="23" t="s">
        <v>40</v>
      </c>
      <c r="F266" s="25">
        <v>0.0</v>
      </c>
      <c r="H266" s="26">
        <v>0.0</v>
      </c>
      <c r="J266" s="26">
        <v>0.0</v>
      </c>
      <c r="L266" s="25">
        <v>120.0</v>
      </c>
      <c r="N266" s="26">
        <v>120.0</v>
      </c>
      <c r="P266" s="26">
        <v>0.0</v>
      </c>
      <c r="R266" s="26">
        <v>0.0</v>
      </c>
      <c r="T266" s="26">
        <v>0.0</v>
      </c>
      <c r="V266" s="26">
        <v>0.0</v>
      </c>
      <c r="X266" s="26">
        <v>0.0</v>
      </c>
      <c r="Y266" s="28"/>
      <c r="Z266" s="25">
        <v>22.0</v>
      </c>
      <c r="AB266" s="26">
        <v>22.0</v>
      </c>
      <c r="AD266" s="26">
        <v>0.0</v>
      </c>
      <c r="AF266" s="30"/>
      <c r="AH266" s="30"/>
      <c r="AJ266" s="30"/>
      <c r="AK266" s="28"/>
      <c r="AL266" s="60">
        <f t="shared" si="1"/>
        <v>3524.44</v>
      </c>
      <c r="AM266" s="53">
        <f t="shared" si="2"/>
        <v>284</v>
      </c>
      <c r="AN266" s="53">
        <f t="shared" si="3"/>
        <v>0</v>
      </c>
      <c r="AO266" s="53">
        <f t="shared" si="4"/>
        <v>284</v>
      </c>
      <c r="AP266" s="61">
        <f t="shared" si="5"/>
        <v>12.41</v>
      </c>
    </row>
    <row r="267">
      <c r="A267" s="48" t="s">
        <v>30</v>
      </c>
      <c r="B267" s="51">
        <f t="shared" si="6"/>
        <v>45920</v>
      </c>
      <c r="C267" s="53">
        <v>10.0</v>
      </c>
      <c r="D267" s="53" t="s">
        <v>32</v>
      </c>
      <c r="E267" s="23" t="s">
        <v>40</v>
      </c>
      <c r="F267" s="25">
        <v>0.0</v>
      </c>
      <c r="H267" s="26">
        <v>0.0</v>
      </c>
      <c r="J267" s="26">
        <v>0.0</v>
      </c>
      <c r="L267" s="25">
        <v>120.0</v>
      </c>
      <c r="N267" s="26">
        <v>120.0</v>
      </c>
      <c r="P267" s="26">
        <v>0.0</v>
      </c>
      <c r="R267" s="26">
        <v>0.0</v>
      </c>
      <c r="T267" s="26">
        <v>0.0</v>
      </c>
      <c r="V267" s="26">
        <v>0.0</v>
      </c>
      <c r="X267" s="26">
        <v>0.0</v>
      </c>
      <c r="Y267" s="28"/>
      <c r="Z267" s="25">
        <v>5.0</v>
      </c>
      <c r="AB267" s="26">
        <v>5.0</v>
      </c>
      <c r="AD267" s="26">
        <v>0.0</v>
      </c>
      <c r="AF267" s="30"/>
      <c r="AH267" s="30"/>
      <c r="AJ267" s="30"/>
      <c r="AK267" s="28"/>
      <c r="AL267" s="60">
        <f t="shared" si="1"/>
        <v>3102.5</v>
      </c>
      <c r="AM267" s="53">
        <f t="shared" si="2"/>
        <v>250</v>
      </c>
      <c r="AN267" s="53">
        <f t="shared" si="3"/>
        <v>0</v>
      </c>
      <c r="AO267" s="53">
        <f t="shared" si="4"/>
        <v>250</v>
      </c>
      <c r="AP267" s="61">
        <f t="shared" si="5"/>
        <v>12.41</v>
      </c>
    </row>
    <row r="268">
      <c r="A268" s="69" t="s">
        <v>31</v>
      </c>
      <c r="B268" s="70">
        <f t="shared" si="6"/>
        <v>45921</v>
      </c>
      <c r="C268" s="71">
        <v>10.0</v>
      </c>
      <c r="D268" s="71" t="s">
        <v>32</v>
      </c>
      <c r="E268" s="73" t="s">
        <v>40</v>
      </c>
      <c r="F268" s="74">
        <v>0.0</v>
      </c>
      <c r="G268" s="75"/>
      <c r="H268" s="76">
        <v>0.0</v>
      </c>
      <c r="I268" s="75"/>
      <c r="J268" s="76">
        <v>0.0</v>
      </c>
      <c r="K268" s="75"/>
      <c r="L268" s="74">
        <v>0.0</v>
      </c>
      <c r="M268" s="75"/>
      <c r="N268" s="76">
        <v>0.0</v>
      </c>
      <c r="O268" s="75"/>
      <c r="P268" s="76">
        <v>0.0</v>
      </c>
      <c r="Q268" s="75"/>
      <c r="R268" s="76">
        <v>0.0</v>
      </c>
      <c r="S268" s="75"/>
      <c r="T268" s="76">
        <v>0.0</v>
      </c>
      <c r="U268" s="75"/>
      <c r="V268" s="76">
        <v>0.0</v>
      </c>
      <c r="W268" s="75"/>
      <c r="X268" s="76">
        <v>0.0</v>
      </c>
      <c r="Y268" s="77"/>
      <c r="Z268" s="74">
        <v>0.0</v>
      </c>
      <c r="AA268" s="75"/>
      <c r="AB268" s="76">
        <v>0.0</v>
      </c>
      <c r="AC268" s="75"/>
      <c r="AD268" s="76">
        <v>0.0</v>
      </c>
      <c r="AE268" s="75"/>
      <c r="AF268" s="78"/>
      <c r="AG268" s="75"/>
      <c r="AH268" s="78"/>
      <c r="AI268" s="75"/>
      <c r="AJ268" s="78"/>
      <c r="AK268" s="77"/>
      <c r="AL268" s="79">
        <f t="shared" si="1"/>
        <v>0</v>
      </c>
      <c r="AM268" s="71">
        <f t="shared" si="2"/>
        <v>0</v>
      </c>
      <c r="AN268" s="71">
        <f t="shared" si="3"/>
        <v>0</v>
      </c>
      <c r="AO268" s="71">
        <f t="shared" si="4"/>
        <v>0</v>
      </c>
      <c r="AP268" s="80" t="str">
        <f t="shared" si="5"/>
        <v/>
      </c>
    </row>
    <row r="269">
      <c r="A269" s="19" t="s">
        <v>23</v>
      </c>
      <c r="B269" s="81">
        <f t="shared" si="6"/>
        <v>45922</v>
      </c>
      <c r="C269" s="21">
        <v>10.0</v>
      </c>
      <c r="D269" s="21" t="s">
        <v>33</v>
      </c>
      <c r="E269" s="82" t="s">
        <v>40</v>
      </c>
      <c r="F269" s="25">
        <v>0.0</v>
      </c>
      <c r="H269" s="26">
        <v>0.0</v>
      </c>
      <c r="J269" s="26">
        <v>0.0</v>
      </c>
      <c r="L269" s="25">
        <v>120.0</v>
      </c>
      <c r="N269" s="26">
        <v>120.0</v>
      </c>
      <c r="P269" s="26">
        <v>0.0</v>
      </c>
      <c r="R269" s="26">
        <v>0.0</v>
      </c>
      <c r="T269" s="26">
        <v>1.0</v>
      </c>
      <c r="V269" s="26">
        <v>1.0</v>
      </c>
      <c r="X269" s="26">
        <v>0.0</v>
      </c>
      <c r="Y269" s="28"/>
      <c r="Z269" s="25">
        <v>22.0</v>
      </c>
      <c r="AB269" s="26">
        <v>22.0</v>
      </c>
      <c r="AD269" s="26">
        <v>0.0</v>
      </c>
      <c r="AF269" s="30"/>
      <c r="AH269" s="30"/>
      <c r="AJ269" s="30"/>
      <c r="AK269" s="28"/>
      <c r="AL269" s="39">
        <f t="shared" si="1"/>
        <v>4289.57</v>
      </c>
      <c r="AM269" s="21">
        <f t="shared" si="2"/>
        <v>284</v>
      </c>
      <c r="AN269" s="21">
        <f t="shared" si="3"/>
        <v>2</v>
      </c>
      <c r="AO269" s="21">
        <f t="shared" si="4"/>
        <v>286</v>
      </c>
      <c r="AP269" s="46">
        <f t="shared" si="5"/>
        <v>14.9984965</v>
      </c>
    </row>
    <row r="270">
      <c r="A270" s="48" t="s">
        <v>26</v>
      </c>
      <c r="B270" s="51">
        <f t="shared" si="6"/>
        <v>45923</v>
      </c>
      <c r="C270" s="53">
        <v>10.0</v>
      </c>
      <c r="D270" s="53" t="s">
        <v>33</v>
      </c>
      <c r="E270" s="23" t="s">
        <v>40</v>
      </c>
      <c r="F270" s="25">
        <v>0.0</v>
      </c>
      <c r="H270" s="26">
        <v>0.0</v>
      </c>
      <c r="J270" s="26">
        <v>0.0</v>
      </c>
      <c r="L270" s="25">
        <v>120.0</v>
      </c>
      <c r="N270" s="26">
        <v>120.0</v>
      </c>
      <c r="P270" s="26">
        <v>0.0</v>
      </c>
      <c r="R270" s="26">
        <v>0.0</v>
      </c>
      <c r="T270" s="26">
        <v>0.0</v>
      </c>
      <c r="V270" s="26">
        <v>0.0</v>
      </c>
      <c r="X270" s="26">
        <v>0.0</v>
      </c>
      <c r="Y270" s="28"/>
      <c r="Z270" s="25">
        <v>22.0</v>
      </c>
      <c r="AB270" s="26">
        <v>22.0</v>
      </c>
      <c r="AD270" s="26">
        <v>0.0</v>
      </c>
      <c r="AF270" s="30"/>
      <c r="AH270" s="30"/>
      <c r="AJ270" s="30"/>
      <c r="AK270" s="28"/>
      <c r="AL270" s="60">
        <f t="shared" si="1"/>
        <v>3524.44</v>
      </c>
      <c r="AM270" s="53">
        <f t="shared" si="2"/>
        <v>284</v>
      </c>
      <c r="AN270" s="53">
        <f t="shared" si="3"/>
        <v>0</v>
      </c>
      <c r="AO270" s="53">
        <f t="shared" si="4"/>
        <v>284</v>
      </c>
      <c r="AP270" s="61">
        <f t="shared" si="5"/>
        <v>12.41</v>
      </c>
    </row>
    <row r="271">
      <c r="A271" s="48" t="s">
        <v>27</v>
      </c>
      <c r="B271" s="51">
        <f t="shared" si="6"/>
        <v>45924</v>
      </c>
      <c r="C271" s="53">
        <v>10.0</v>
      </c>
      <c r="D271" s="53" t="s">
        <v>33</v>
      </c>
      <c r="E271" s="23" t="s">
        <v>40</v>
      </c>
      <c r="F271" s="25">
        <v>0.0</v>
      </c>
      <c r="H271" s="26">
        <v>0.0</v>
      </c>
      <c r="J271" s="26">
        <v>0.0</v>
      </c>
      <c r="L271" s="25">
        <v>120.0</v>
      </c>
      <c r="N271" s="26">
        <v>120.0</v>
      </c>
      <c r="P271" s="26">
        <v>0.0</v>
      </c>
      <c r="R271" s="26">
        <v>0.0</v>
      </c>
      <c r="T271" s="26">
        <v>0.0</v>
      </c>
      <c r="V271" s="26">
        <v>0.0</v>
      </c>
      <c r="X271" s="26">
        <v>0.0</v>
      </c>
      <c r="Y271" s="28"/>
      <c r="Z271" s="25">
        <v>22.0</v>
      </c>
      <c r="AB271" s="26">
        <v>22.0</v>
      </c>
      <c r="AD271" s="26">
        <v>0.0</v>
      </c>
      <c r="AF271" s="30"/>
      <c r="AH271" s="30"/>
      <c r="AJ271" s="30"/>
      <c r="AK271" s="28"/>
      <c r="AL271" s="60">
        <f t="shared" si="1"/>
        <v>3524.44</v>
      </c>
      <c r="AM271" s="53">
        <f t="shared" si="2"/>
        <v>284</v>
      </c>
      <c r="AN271" s="53">
        <f t="shared" si="3"/>
        <v>0</v>
      </c>
      <c r="AO271" s="53">
        <f t="shared" si="4"/>
        <v>284</v>
      </c>
      <c r="AP271" s="61">
        <f t="shared" si="5"/>
        <v>12.41</v>
      </c>
    </row>
    <row r="272">
      <c r="A272" s="48" t="s">
        <v>28</v>
      </c>
      <c r="B272" s="51">
        <f t="shared" si="6"/>
        <v>45925</v>
      </c>
      <c r="C272" s="53">
        <v>10.0</v>
      </c>
      <c r="D272" s="53" t="s">
        <v>33</v>
      </c>
      <c r="E272" s="23" t="s">
        <v>40</v>
      </c>
      <c r="F272" s="25">
        <v>0.0</v>
      </c>
      <c r="H272" s="26">
        <v>0.0</v>
      </c>
      <c r="J272" s="26">
        <v>0.0</v>
      </c>
      <c r="L272" s="25">
        <v>120.0</v>
      </c>
      <c r="N272" s="26">
        <v>120.0</v>
      </c>
      <c r="P272" s="26">
        <v>0.0</v>
      </c>
      <c r="R272" s="26">
        <v>0.0</v>
      </c>
      <c r="T272" s="26">
        <v>0.0</v>
      </c>
      <c r="V272" s="26">
        <v>0.0</v>
      </c>
      <c r="X272" s="26">
        <v>0.0</v>
      </c>
      <c r="Y272" s="28"/>
      <c r="Z272" s="25">
        <v>22.0</v>
      </c>
      <c r="AB272" s="26">
        <v>22.0</v>
      </c>
      <c r="AD272" s="26">
        <v>0.0</v>
      </c>
      <c r="AF272" s="30"/>
      <c r="AH272" s="30"/>
      <c r="AJ272" s="30"/>
      <c r="AK272" s="28"/>
      <c r="AL272" s="60">
        <f t="shared" si="1"/>
        <v>3524.44</v>
      </c>
      <c r="AM272" s="53">
        <f t="shared" si="2"/>
        <v>284</v>
      </c>
      <c r="AN272" s="53">
        <f t="shared" si="3"/>
        <v>0</v>
      </c>
      <c r="AO272" s="53">
        <f t="shared" si="4"/>
        <v>284</v>
      </c>
      <c r="AP272" s="61">
        <f t="shared" si="5"/>
        <v>12.41</v>
      </c>
    </row>
    <row r="273">
      <c r="A273" s="48" t="s">
        <v>29</v>
      </c>
      <c r="B273" s="51">
        <f t="shared" si="6"/>
        <v>45926</v>
      </c>
      <c r="C273" s="53">
        <v>10.0</v>
      </c>
      <c r="D273" s="53" t="s">
        <v>33</v>
      </c>
      <c r="E273" s="23" t="s">
        <v>40</v>
      </c>
      <c r="F273" s="25">
        <v>0.0</v>
      </c>
      <c r="H273" s="26">
        <v>0.0</v>
      </c>
      <c r="J273" s="26">
        <v>0.0</v>
      </c>
      <c r="L273" s="25">
        <v>120.0</v>
      </c>
      <c r="N273" s="26">
        <v>120.0</v>
      </c>
      <c r="P273" s="26">
        <v>0.0</v>
      </c>
      <c r="R273" s="26">
        <v>0.0</v>
      </c>
      <c r="T273" s="26">
        <v>0.0</v>
      </c>
      <c r="V273" s="26">
        <v>0.0</v>
      </c>
      <c r="X273" s="26">
        <v>0.0</v>
      </c>
      <c r="Y273" s="28"/>
      <c r="Z273" s="25">
        <v>22.0</v>
      </c>
      <c r="AB273" s="26">
        <v>22.0</v>
      </c>
      <c r="AD273" s="26">
        <v>0.0</v>
      </c>
      <c r="AF273" s="30"/>
      <c r="AH273" s="30"/>
      <c r="AJ273" s="30"/>
      <c r="AK273" s="28"/>
      <c r="AL273" s="60">
        <f t="shared" si="1"/>
        <v>3524.44</v>
      </c>
      <c r="AM273" s="53">
        <f t="shared" si="2"/>
        <v>284</v>
      </c>
      <c r="AN273" s="53">
        <f t="shared" si="3"/>
        <v>0</v>
      </c>
      <c r="AO273" s="53">
        <f t="shared" si="4"/>
        <v>284</v>
      </c>
      <c r="AP273" s="61">
        <f t="shared" si="5"/>
        <v>12.41</v>
      </c>
    </row>
    <row r="274">
      <c r="A274" s="48" t="s">
        <v>30</v>
      </c>
      <c r="B274" s="51">
        <f t="shared" si="6"/>
        <v>45927</v>
      </c>
      <c r="C274" s="53">
        <v>10.0</v>
      </c>
      <c r="D274" s="53" t="s">
        <v>33</v>
      </c>
      <c r="E274" s="23" t="s">
        <v>40</v>
      </c>
      <c r="F274" s="25">
        <v>0.0</v>
      </c>
      <c r="H274" s="26">
        <v>0.0</v>
      </c>
      <c r="J274" s="26">
        <v>0.0</v>
      </c>
      <c r="L274" s="25">
        <v>120.0</v>
      </c>
      <c r="N274" s="26">
        <v>120.0</v>
      </c>
      <c r="P274" s="26">
        <v>0.0</v>
      </c>
      <c r="R274" s="26">
        <v>0.0</v>
      </c>
      <c r="T274" s="26">
        <v>0.0</v>
      </c>
      <c r="V274" s="26">
        <v>0.0</v>
      </c>
      <c r="X274" s="26">
        <v>0.0</v>
      </c>
      <c r="Y274" s="28"/>
      <c r="Z274" s="25">
        <v>5.0</v>
      </c>
      <c r="AB274" s="26">
        <v>5.0</v>
      </c>
      <c r="AD274" s="26">
        <v>0.0</v>
      </c>
      <c r="AF274" s="30"/>
      <c r="AH274" s="30"/>
      <c r="AJ274" s="30"/>
      <c r="AK274" s="28"/>
      <c r="AL274" s="60">
        <f t="shared" si="1"/>
        <v>3102.5</v>
      </c>
      <c r="AM274" s="53">
        <f t="shared" si="2"/>
        <v>250</v>
      </c>
      <c r="AN274" s="53">
        <f t="shared" si="3"/>
        <v>0</v>
      </c>
      <c r="AO274" s="53">
        <f t="shared" si="4"/>
        <v>250</v>
      </c>
      <c r="AP274" s="61">
        <f t="shared" si="5"/>
        <v>12.41</v>
      </c>
    </row>
    <row r="275">
      <c r="A275" s="69" t="s">
        <v>31</v>
      </c>
      <c r="B275" s="70">
        <f t="shared" si="6"/>
        <v>45928</v>
      </c>
      <c r="C275" s="71">
        <v>10.0</v>
      </c>
      <c r="D275" s="71" t="s">
        <v>33</v>
      </c>
      <c r="E275" s="73" t="s">
        <v>40</v>
      </c>
      <c r="F275" s="74">
        <v>0.0</v>
      </c>
      <c r="G275" s="75"/>
      <c r="H275" s="76">
        <v>0.0</v>
      </c>
      <c r="I275" s="75"/>
      <c r="J275" s="76">
        <v>0.0</v>
      </c>
      <c r="K275" s="75"/>
      <c r="L275" s="74">
        <v>0.0</v>
      </c>
      <c r="M275" s="75"/>
      <c r="N275" s="76">
        <v>0.0</v>
      </c>
      <c r="O275" s="75"/>
      <c r="P275" s="76">
        <v>0.0</v>
      </c>
      <c r="Q275" s="75"/>
      <c r="R275" s="76">
        <v>0.0</v>
      </c>
      <c r="S275" s="75"/>
      <c r="T275" s="76">
        <v>0.0</v>
      </c>
      <c r="U275" s="75"/>
      <c r="V275" s="76">
        <v>0.0</v>
      </c>
      <c r="W275" s="75"/>
      <c r="X275" s="76">
        <v>0.0</v>
      </c>
      <c r="Y275" s="77"/>
      <c r="Z275" s="74">
        <v>0.0</v>
      </c>
      <c r="AA275" s="75"/>
      <c r="AB275" s="76">
        <v>0.0</v>
      </c>
      <c r="AC275" s="75"/>
      <c r="AD275" s="76">
        <v>0.0</v>
      </c>
      <c r="AE275" s="75"/>
      <c r="AF275" s="78"/>
      <c r="AG275" s="75"/>
      <c r="AH275" s="78"/>
      <c r="AI275" s="75"/>
      <c r="AJ275" s="78"/>
      <c r="AK275" s="77"/>
      <c r="AL275" s="79">
        <f t="shared" si="1"/>
        <v>0</v>
      </c>
      <c r="AM275" s="71">
        <f t="shared" si="2"/>
        <v>0</v>
      </c>
      <c r="AN275" s="71">
        <f t="shared" si="3"/>
        <v>0</v>
      </c>
      <c r="AO275" s="71">
        <f t="shared" si="4"/>
        <v>0</v>
      </c>
      <c r="AP275" s="80" t="str">
        <f t="shared" si="5"/>
        <v/>
      </c>
    </row>
    <row r="276">
      <c r="A276" s="19" t="s">
        <v>23</v>
      </c>
      <c r="B276" s="81">
        <f t="shared" si="6"/>
        <v>45929</v>
      </c>
      <c r="C276" s="21">
        <v>10.0</v>
      </c>
      <c r="D276" s="21" t="s">
        <v>36</v>
      </c>
      <c r="E276" s="82" t="s">
        <v>40</v>
      </c>
      <c r="F276" s="114">
        <v>0.0</v>
      </c>
      <c r="H276" s="115">
        <v>0.0</v>
      </c>
      <c r="J276" s="115">
        <v>0.0</v>
      </c>
      <c r="L276" s="114">
        <v>110.0</v>
      </c>
      <c r="N276" s="115">
        <v>110.0</v>
      </c>
      <c r="P276" s="115">
        <v>0.0</v>
      </c>
      <c r="R276" s="115">
        <v>0.0</v>
      </c>
      <c r="T276" s="115">
        <v>1.0</v>
      </c>
      <c r="V276" s="115">
        <v>1.0</v>
      </c>
      <c r="X276" s="115">
        <v>0.0</v>
      </c>
      <c r="Y276" s="28"/>
      <c r="Z276" s="114">
        <v>22.0</v>
      </c>
      <c r="AB276" s="115">
        <v>22.0</v>
      </c>
      <c r="AD276" s="115">
        <v>0.0</v>
      </c>
      <c r="AF276" s="116"/>
      <c r="AH276" s="116"/>
      <c r="AJ276" s="116"/>
      <c r="AK276" s="28"/>
      <c r="AL276" s="117">
        <f t="shared" si="1"/>
        <v>4041.37</v>
      </c>
      <c r="AM276" s="21">
        <f t="shared" si="2"/>
        <v>264</v>
      </c>
      <c r="AN276" s="21">
        <f t="shared" si="3"/>
        <v>2</v>
      </c>
      <c r="AO276" s="21">
        <f t="shared" si="4"/>
        <v>266</v>
      </c>
      <c r="AP276" s="46">
        <f t="shared" si="5"/>
        <v>15.1931203</v>
      </c>
    </row>
    <row r="277">
      <c r="A277" s="48" t="s">
        <v>26</v>
      </c>
      <c r="B277" s="51">
        <f t="shared" si="6"/>
        <v>45930</v>
      </c>
      <c r="C277" s="53">
        <v>10.0</v>
      </c>
      <c r="D277" s="53" t="s">
        <v>36</v>
      </c>
      <c r="E277" s="23" t="s">
        <v>40</v>
      </c>
      <c r="F277" s="114">
        <v>0.0</v>
      </c>
      <c r="H277" s="115">
        <v>0.0</v>
      </c>
      <c r="J277" s="115">
        <v>0.0</v>
      </c>
      <c r="L277" s="114">
        <v>110.0</v>
      </c>
      <c r="N277" s="115">
        <v>110.0</v>
      </c>
      <c r="P277" s="115">
        <v>0.0</v>
      </c>
      <c r="R277" s="115">
        <v>0.0</v>
      </c>
      <c r="T277" s="115">
        <v>0.0</v>
      </c>
      <c r="V277" s="115">
        <v>0.0</v>
      </c>
      <c r="X277" s="115">
        <v>0.0</v>
      </c>
      <c r="Y277" s="28"/>
      <c r="Z277" s="114">
        <v>22.0</v>
      </c>
      <c r="AB277" s="115">
        <v>22.0</v>
      </c>
      <c r="AD277" s="115">
        <v>0.0</v>
      </c>
      <c r="AF277" s="116"/>
      <c r="AH277" s="116"/>
      <c r="AJ277" s="116"/>
      <c r="AK277" s="28"/>
      <c r="AL277" s="118">
        <f t="shared" si="1"/>
        <v>3276.24</v>
      </c>
      <c r="AM277" s="53">
        <f t="shared" si="2"/>
        <v>264</v>
      </c>
      <c r="AN277" s="53">
        <f t="shared" si="3"/>
        <v>0</v>
      </c>
      <c r="AO277" s="53">
        <f t="shared" si="4"/>
        <v>264</v>
      </c>
      <c r="AP277" s="61">
        <f t="shared" si="5"/>
        <v>12.41</v>
      </c>
    </row>
    <row r="278">
      <c r="A278" s="48" t="s">
        <v>27</v>
      </c>
      <c r="B278" s="51">
        <f t="shared" si="6"/>
        <v>45931</v>
      </c>
      <c r="C278" s="53">
        <v>10.0</v>
      </c>
      <c r="D278" s="53" t="s">
        <v>36</v>
      </c>
      <c r="E278" s="23" t="s">
        <v>40</v>
      </c>
      <c r="F278" s="114">
        <v>0.0</v>
      </c>
      <c r="H278" s="115">
        <v>0.0</v>
      </c>
      <c r="J278" s="115">
        <v>0.0</v>
      </c>
      <c r="L278" s="114">
        <v>110.0</v>
      </c>
      <c r="N278" s="115">
        <v>110.0</v>
      </c>
      <c r="P278" s="115">
        <v>0.0</v>
      </c>
      <c r="R278" s="115">
        <v>0.0</v>
      </c>
      <c r="T278" s="115">
        <v>0.0</v>
      </c>
      <c r="V278" s="115">
        <v>0.0</v>
      </c>
      <c r="X278" s="115">
        <v>0.0</v>
      </c>
      <c r="Y278" s="28"/>
      <c r="Z278" s="114">
        <v>22.0</v>
      </c>
      <c r="AB278" s="115">
        <v>22.0</v>
      </c>
      <c r="AD278" s="115">
        <v>0.0</v>
      </c>
      <c r="AF278" s="116"/>
      <c r="AH278" s="116"/>
      <c r="AJ278" s="116"/>
      <c r="AK278" s="28"/>
      <c r="AL278" s="118">
        <f t="shared" si="1"/>
        <v>3276.24</v>
      </c>
      <c r="AM278" s="53">
        <f t="shared" si="2"/>
        <v>264</v>
      </c>
      <c r="AN278" s="53">
        <f t="shared" si="3"/>
        <v>0</v>
      </c>
      <c r="AO278" s="53">
        <f t="shared" si="4"/>
        <v>264</v>
      </c>
      <c r="AP278" s="61">
        <f t="shared" si="5"/>
        <v>12.41</v>
      </c>
    </row>
    <row r="279">
      <c r="A279" s="48" t="s">
        <v>28</v>
      </c>
      <c r="B279" s="51">
        <f t="shared" si="6"/>
        <v>45932</v>
      </c>
      <c r="C279" s="53">
        <v>10.0</v>
      </c>
      <c r="D279" s="53" t="s">
        <v>36</v>
      </c>
      <c r="E279" s="23" t="s">
        <v>40</v>
      </c>
      <c r="F279" s="114">
        <v>0.0</v>
      </c>
      <c r="H279" s="115">
        <v>0.0</v>
      </c>
      <c r="J279" s="115">
        <v>0.0</v>
      </c>
      <c r="L279" s="114">
        <v>110.0</v>
      </c>
      <c r="N279" s="115">
        <v>110.0</v>
      </c>
      <c r="P279" s="115">
        <v>0.0</v>
      </c>
      <c r="R279" s="115">
        <v>0.0</v>
      </c>
      <c r="T279" s="115">
        <v>0.0</v>
      </c>
      <c r="V279" s="115">
        <v>0.0</v>
      </c>
      <c r="X279" s="115">
        <v>0.0</v>
      </c>
      <c r="Y279" s="28"/>
      <c r="Z279" s="114">
        <v>22.0</v>
      </c>
      <c r="AB279" s="115">
        <v>22.0</v>
      </c>
      <c r="AD279" s="115">
        <v>0.0</v>
      </c>
      <c r="AF279" s="116"/>
      <c r="AH279" s="116"/>
      <c r="AJ279" s="116"/>
      <c r="AK279" s="28"/>
      <c r="AL279" s="118">
        <f t="shared" si="1"/>
        <v>3276.24</v>
      </c>
      <c r="AM279" s="53">
        <f t="shared" si="2"/>
        <v>264</v>
      </c>
      <c r="AN279" s="53">
        <f t="shared" si="3"/>
        <v>0</v>
      </c>
      <c r="AO279" s="53">
        <f t="shared" si="4"/>
        <v>264</v>
      </c>
      <c r="AP279" s="61">
        <f t="shared" si="5"/>
        <v>12.41</v>
      </c>
    </row>
    <row r="280">
      <c r="A280" s="48" t="s">
        <v>29</v>
      </c>
      <c r="B280" s="51">
        <f t="shared" si="6"/>
        <v>45933</v>
      </c>
      <c r="C280" s="53">
        <v>10.0</v>
      </c>
      <c r="D280" s="53" t="s">
        <v>36</v>
      </c>
      <c r="E280" s="23" t="s">
        <v>40</v>
      </c>
      <c r="F280" s="114">
        <v>0.0</v>
      </c>
      <c r="H280" s="115">
        <v>0.0</v>
      </c>
      <c r="J280" s="115">
        <v>0.0</v>
      </c>
      <c r="L280" s="114">
        <v>110.0</v>
      </c>
      <c r="N280" s="115">
        <v>110.0</v>
      </c>
      <c r="P280" s="115">
        <v>0.0</v>
      </c>
      <c r="R280" s="115">
        <v>0.0</v>
      </c>
      <c r="T280" s="115">
        <v>0.0</v>
      </c>
      <c r="V280" s="115">
        <v>0.0</v>
      </c>
      <c r="X280" s="115">
        <v>0.0</v>
      </c>
      <c r="Y280" s="28"/>
      <c r="Z280" s="114">
        <v>22.0</v>
      </c>
      <c r="AB280" s="115">
        <v>22.0</v>
      </c>
      <c r="AD280" s="115">
        <v>0.0</v>
      </c>
      <c r="AF280" s="116"/>
      <c r="AH280" s="116"/>
      <c r="AJ280" s="116"/>
      <c r="AK280" s="28"/>
      <c r="AL280" s="118">
        <f t="shared" si="1"/>
        <v>3276.24</v>
      </c>
      <c r="AM280" s="53">
        <f t="shared" si="2"/>
        <v>264</v>
      </c>
      <c r="AN280" s="53">
        <f t="shared" si="3"/>
        <v>0</v>
      </c>
      <c r="AO280" s="53">
        <f t="shared" si="4"/>
        <v>264</v>
      </c>
      <c r="AP280" s="61">
        <f t="shared" si="5"/>
        <v>12.41</v>
      </c>
    </row>
    <row r="281">
      <c r="A281" s="48" t="s">
        <v>30</v>
      </c>
      <c r="B281" s="51">
        <f t="shared" si="6"/>
        <v>45934</v>
      </c>
      <c r="C281" s="53">
        <v>10.0</v>
      </c>
      <c r="D281" s="53" t="s">
        <v>36</v>
      </c>
      <c r="E281" s="23" t="s">
        <v>40</v>
      </c>
      <c r="F281" s="114">
        <v>0.0</v>
      </c>
      <c r="H281" s="115">
        <v>0.0</v>
      </c>
      <c r="J281" s="115">
        <v>0.0</v>
      </c>
      <c r="L281" s="114">
        <v>110.0</v>
      </c>
      <c r="N281" s="115">
        <v>110.0</v>
      </c>
      <c r="P281" s="115">
        <v>0.0</v>
      </c>
      <c r="R281" s="115">
        <v>0.0</v>
      </c>
      <c r="T281" s="115">
        <v>0.0</v>
      </c>
      <c r="V281" s="115">
        <v>0.0</v>
      </c>
      <c r="X281" s="115">
        <v>0.0</v>
      </c>
      <c r="Y281" s="28"/>
      <c r="Z281" s="114">
        <v>0.0</v>
      </c>
      <c r="AB281" s="115">
        <v>0.0</v>
      </c>
      <c r="AD281" s="115">
        <v>0.0</v>
      </c>
      <c r="AF281" s="116"/>
      <c r="AH281" s="116"/>
      <c r="AJ281" s="116"/>
      <c r="AK281" s="28"/>
      <c r="AL281" s="118">
        <f t="shared" si="1"/>
        <v>2730.2</v>
      </c>
      <c r="AM281" s="53">
        <f t="shared" si="2"/>
        <v>220</v>
      </c>
      <c r="AN281" s="53">
        <f t="shared" si="3"/>
        <v>0</v>
      </c>
      <c r="AO281" s="53">
        <f t="shared" si="4"/>
        <v>220</v>
      </c>
      <c r="AP281" s="61">
        <f t="shared" si="5"/>
        <v>12.41</v>
      </c>
    </row>
    <row r="282">
      <c r="A282" s="69" t="s">
        <v>31</v>
      </c>
      <c r="B282" s="70">
        <f t="shared" si="6"/>
        <v>45935</v>
      </c>
      <c r="C282" s="71">
        <v>10.0</v>
      </c>
      <c r="D282" s="71" t="s">
        <v>36</v>
      </c>
      <c r="E282" s="73" t="s">
        <v>40</v>
      </c>
      <c r="F282" s="119">
        <v>0.0</v>
      </c>
      <c r="G282" s="75"/>
      <c r="H282" s="120">
        <v>0.0</v>
      </c>
      <c r="I282" s="75"/>
      <c r="J282" s="120">
        <v>0.0</v>
      </c>
      <c r="K282" s="75"/>
      <c r="L282" s="119">
        <v>0.0</v>
      </c>
      <c r="M282" s="75"/>
      <c r="N282" s="120">
        <v>0.0</v>
      </c>
      <c r="O282" s="75"/>
      <c r="P282" s="120">
        <v>0.0</v>
      </c>
      <c r="Q282" s="75"/>
      <c r="R282" s="120">
        <v>0.0</v>
      </c>
      <c r="S282" s="75"/>
      <c r="T282" s="120">
        <v>0.0</v>
      </c>
      <c r="U282" s="75"/>
      <c r="V282" s="120">
        <v>0.0</v>
      </c>
      <c r="W282" s="75"/>
      <c r="X282" s="120">
        <v>0.0</v>
      </c>
      <c r="Y282" s="77"/>
      <c r="Z282" s="119">
        <v>0.0</v>
      </c>
      <c r="AA282" s="75"/>
      <c r="AB282" s="120">
        <v>0.0</v>
      </c>
      <c r="AC282" s="75"/>
      <c r="AD282" s="120">
        <v>0.0</v>
      </c>
      <c r="AE282" s="75"/>
      <c r="AF282" s="121"/>
      <c r="AG282" s="75"/>
      <c r="AH282" s="121"/>
      <c r="AI282" s="75"/>
      <c r="AJ282" s="121"/>
      <c r="AK282" s="77"/>
      <c r="AL282" s="122">
        <f t="shared" si="1"/>
        <v>0</v>
      </c>
      <c r="AM282" s="71">
        <f t="shared" si="2"/>
        <v>0</v>
      </c>
      <c r="AN282" s="71">
        <f t="shared" si="3"/>
        <v>0</v>
      </c>
      <c r="AO282" s="71">
        <f t="shared" si="4"/>
        <v>0</v>
      </c>
      <c r="AP282" s="80" t="str">
        <f t="shared" si="5"/>
        <v/>
      </c>
    </row>
    <row r="283">
      <c r="A283" s="19" t="s">
        <v>23</v>
      </c>
      <c r="B283" s="81">
        <f t="shared" si="6"/>
        <v>45936</v>
      </c>
      <c r="C283" s="21">
        <v>11.0</v>
      </c>
      <c r="D283" s="21" t="s">
        <v>24</v>
      </c>
      <c r="E283" s="82" t="s">
        <v>40</v>
      </c>
      <c r="F283" s="25">
        <v>0.0</v>
      </c>
      <c r="H283" s="26">
        <v>0.0</v>
      </c>
      <c r="J283" s="26">
        <v>0.0</v>
      </c>
      <c r="L283" s="25">
        <v>0.0</v>
      </c>
      <c r="N283" s="26">
        <v>0.0</v>
      </c>
      <c r="P283" s="26">
        <v>0.0</v>
      </c>
      <c r="R283" s="26">
        <v>0.0</v>
      </c>
      <c r="T283" s="26">
        <v>1.0</v>
      </c>
      <c r="V283" s="26">
        <v>1.0</v>
      </c>
      <c r="X283" s="26">
        <v>0.0</v>
      </c>
      <c r="Y283" s="28"/>
      <c r="Z283" s="25">
        <v>45.0</v>
      </c>
      <c r="AB283" s="26">
        <v>45.0</v>
      </c>
      <c r="AD283" s="26">
        <v>0.0</v>
      </c>
      <c r="AF283" s="30"/>
      <c r="AH283" s="30"/>
      <c r="AJ283" s="30"/>
      <c r="AK283" s="28"/>
      <c r="AL283" s="39">
        <f t="shared" si="1"/>
        <v>1882.03</v>
      </c>
      <c r="AM283" s="21">
        <f t="shared" si="2"/>
        <v>90</v>
      </c>
      <c r="AN283" s="21">
        <f t="shared" si="3"/>
        <v>2</v>
      </c>
      <c r="AO283" s="21">
        <f t="shared" si="4"/>
        <v>92</v>
      </c>
      <c r="AP283" s="46">
        <f t="shared" si="5"/>
        <v>20.45684783</v>
      </c>
    </row>
    <row r="284">
      <c r="A284" s="48" t="s">
        <v>26</v>
      </c>
      <c r="B284" s="51">
        <f t="shared" si="6"/>
        <v>45937</v>
      </c>
      <c r="C284" s="53">
        <v>11.0</v>
      </c>
      <c r="D284" s="53" t="s">
        <v>24</v>
      </c>
      <c r="E284" s="23" t="s">
        <v>40</v>
      </c>
      <c r="F284" s="25">
        <v>0.0</v>
      </c>
      <c r="H284" s="26">
        <v>0.0</v>
      </c>
      <c r="J284" s="26">
        <v>0.0</v>
      </c>
      <c r="L284" s="25">
        <v>0.0</v>
      </c>
      <c r="N284" s="26">
        <v>0.0</v>
      </c>
      <c r="P284" s="26">
        <v>0.0</v>
      </c>
      <c r="R284" s="26">
        <v>0.0</v>
      </c>
      <c r="T284" s="26">
        <v>0.0</v>
      </c>
      <c r="V284" s="26">
        <v>0.0</v>
      </c>
      <c r="X284" s="26">
        <v>0.0</v>
      </c>
      <c r="Y284" s="28"/>
      <c r="Z284" s="25">
        <v>45.0</v>
      </c>
      <c r="AB284" s="26">
        <v>45.0</v>
      </c>
      <c r="AD284" s="26">
        <v>0.0</v>
      </c>
      <c r="AF284" s="30"/>
      <c r="AH284" s="30"/>
      <c r="AJ284" s="30"/>
      <c r="AK284" s="28"/>
      <c r="AL284" s="60">
        <f t="shared" si="1"/>
        <v>1116.9</v>
      </c>
      <c r="AM284" s="53">
        <f t="shared" si="2"/>
        <v>90</v>
      </c>
      <c r="AN284" s="53">
        <f t="shared" si="3"/>
        <v>0</v>
      </c>
      <c r="AO284" s="53">
        <f t="shared" si="4"/>
        <v>90</v>
      </c>
      <c r="AP284" s="61">
        <f t="shared" si="5"/>
        <v>12.41</v>
      </c>
    </row>
    <row r="285">
      <c r="A285" s="48" t="s">
        <v>27</v>
      </c>
      <c r="B285" s="51">
        <f t="shared" si="6"/>
        <v>45938</v>
      </c>
      <c r="C285" s="53">
        <v>11.0</v>
      </c>
      <c r="D285" s="53" t="s">
        <v>24</v>
      </c>
      <c r="E285" s="23" t="s">
        <v>40</v>
      </c>
      <c r="F285" s="25">
        <v>0.0</v>
      </c>
      <c r="H285" s="26">
        <v>0.0</v>
      </c>
      <c r="J285" s="26">
        <v>0.0</v>
      </c>
      <c r="L285" s="25">
        <v>0.0</v>
      </c>
      <c r="N285" s="26">
        <v>0.0</v>
      </c>
      <c r="P285" s="26">
        <v>0.0</v>
      </c>
      <c r="R285" s="26">
        <v>0.0</v>
      </c>
      <c r="T285" s="26">
        <v>0.0</v>
      </c>
      <c r="V285" s="26">
        <v>0.0</v>
      </c>
      <c r="X285" s="26">
        <v>0.0</v>
      </c>
      <c r="Y285" s="28"/>
      <c r="Z285" s="25">
        <v>45.0</v>
      </c>
      <c r="AB285" s="26">
        <v>45.0</v>
      </c>
      <c r="AD285" s="26">
        <v>0.0</v>
      </c>
      <c r="AF285" s="30"/>
      <c r="AH285" s="30"/>
      <c r="AJ285" s="30"/>
      <c r="AK285" s="28"/>
      <c r="AL285" s="60">
        <f t="shared" si="1"/>
        <v>1116.9</v>
      </c>
      <c r="AM285" s="53">
        <f t="shared" si="2"/>
        <v>90</v>
      </c>
      <c r="AN285" s="53">
        <f t="shared" si="3"/>
        <v>0</v>
      </c>
      <c r="AO285" s="53">
        <f t="shared" si="4"/>
        <v>90</v>
      </c>
      <c r="AP285" s="61">
        <f t="shared" si="5"/>
        <v>12.41</v>
      </c>
    </row>
    <row r="286">
      <c r="A286" s="48" t="s">
        <v>28</v>
      </c>
      <c r="B286" s="51">
        <f t="shared" si="6"/>
        <v>45939</v>
      </c>
      <c r="C286" s="53">
        <v>11.0</v>
      </c>
      <c r="D286" s="53" t="s">
        <v>24</v>
      </c>
      <c r="E286" s="23" t="s">
        <v>40</v>
      </c>
      <c r="F286" s="25">
        <v>0.0</v>
      </c>
      <c r="H286" s="26">
        <v>0.0</v>
      </c>
      <c r="J286" s="26">
        <v>0.0</v>
      </c>
      <c r="L286" s="25">
        <v>0.0</v>
      </c>
      <c r="N286" s="26">
        <v>0.0</v>
      </c>
      <c r="P286" s="26">
        <v>0.0</v>
      </c>
      <c r="R286" s="26">
        <v>0.0</v>
      </c>
      <c r="T286" s="26">
        <v>0.0</v>
      </c>
      <c r="V286" s="26">
        <v>0.0</v>
      </c>
      <c r="X286" s="26">
        <v>0.0</v>
      </c>
      <c r="Y286" s="28"/>
      <c r="Z286" s="25">
        <v>45.0</v>
      </c>
      <c r="AB286" s="26">
        <v>45.0</v>
      </c>
      <c r="AD286" s="26">
        <v>0.0</v>
      </c>
      <c r="AF286" s="30"/>
      <c r="AH286" s="30"/>
      <c r="AJ286" s="30"/>
      <c r="AK286" s="28"/>
      <c r="AL286" s="60">
        <f t="shared" si="1"/>
        <v>1116.9</v>
      </c>
      <c r="AM286" s="53">
        <f t="shared" si="2"/>
        <v>90</v>
      </c>
      <c r="AN286" s="53">
        <f t="shared" si="3"/>
        <v>0</v>
      </c>
      <c r="AO286" s="53">
        <f t="shared" si="4"/>
        <v>90</v>
      </c>
      <c r="AP286" s="61">
        <f t="shared" si="5"/>
        <v>12.41</v>
      </c>
    </row>
    <row r="287">
      <c r="A287" s="48" t="s">
        <v>29</v>
      </c>
      <c r="B287" s="51">
        <f t="shared" si="6"/>
        <v>45940</v>
      </c>
      <c r="C287" s="53">
        <v>11.0</v>
      </c>
      <c r="D287" s="53" t="s">
        <v>24</v>
      </c>
      <c r="E287" s="23" t="s">
        <v>40</v>
      </c>
      <c r="F287" s="25">
        <v>0.0</v>
      </c>
      <c r="H287" s="26">
        <v>0.0</v>
      </c>
      <c r="J287" s="26">
        <v>0.0</v>
      </c>
      <c r="L287" s="25">
        <v>0.0</v>
      </c>
      <c r="N287" s="26">
        <v>0.0</v>
      </c>
      <c r="P287" s="26">
        <v>0.0</v>
      </c>
      <c r="R287" s="26">
        <v>0.0</v>
      </c>
      <c r="T287" s="26">
        <v>0.0</v>
      </c>
      <c r="V287" s="26">
        <v>0.0</v>
      </c>
      <c r="X287" s="26">
        <v>0.0</v>
      </c>
      <c r="Y287" s="28"/>
      <c r="Z287" s="25">
        <v>45.0</v>
      </c>
      <c r="AB287" s="26">
        <v>45.0</v>
      </c>
      <c r="AD287" s="26">
        <v>0.0</v>
      </c>
      <c r="AF287" s="30"/>
      <c r="AH287" s="30"/>
      <c r="AJ287" s="30"/>
      <c r="AK287" s="28"/>
      <c r="AL287" s="60">
        <f t="shared" si="1"/>
        <v>1116.9</v>
      </c>
      <c r="AM287" s="53">
        <f t="shared" si="2"/>
        <v>90</v>
      </c>
      <c r="AN287" s="53">
        <f t="shared" si="3"/>
        <v>0</v>
      </c>
      <c r="AO287" s="53">
        <f t="shared" si="4"/>
        <v>90</v>
      </c>
      <c r="AP287" s="61">
        <f t="shared" si="5"/>
        <v>12.41</v>
      </c>
    </row>
    <row r="288">
      <c r="A288" s="48" t="s">
        <v>30</v>
      </c>
      <c r="B288" s="51">
        <f t="shared" si="6"/>
        <v>45941</v>
      </c>
      <c r="C288" s="53">
        <v>11.0</v>
      </c>
      <c r="D288" s="53" t="s">
        <v>24</v>
      </c>
      <c r="E288" s="23" t="s">
        <v>40</v>
      </c>
      <c r="F288" s="25">
        <v>0.0</v>
      </c>
      <c r="H288" s="26">
        <v>0.0</v>
      </c>
      <c r="J288" s="26">
        <v>0.0</v>
      </c>
      <c r="L288" s="25">
        <v>0.0</v>
      </c>
      <c r="N288" s="26">
        <v>0.0</v>
      </c>
      <c r="P288" s="26">
        <v>0.0</v>
      </c>
      <c r="R288" s="26">
        <v>0.0</v>
      </c>
      <c r="T288" s="26">
        <v>0.0</v>
      </c>
      <c r="V288" s="26">
        <v>0.0</v>
      </c>
      <c r="X288" s="26">
        <v>0.0</v>
      </c>
      <c r="Y288" s="28"/>
      <c r="Z288" s="25">
        <v>0.0</v>
      </c>
      <c r="AB288" s="26">
        <v>0.0</v>
      </c>
      <c r="AD288" s="26">
        <v>0.0</v>
      </c>
      <c r="AF288" s="30"/>
      <c r="AH288" s="30"/>
      <c r="AJ288" s="30"/>
      <c r="AK288" s="28"/>
      <c r="AL288" s="60">
        <f t="shared" si="1"/>
        <v>0</v>
      </c>
      <c r="AM288" s="53">
        <f t="shared" si="2"/>
        <v>0</v>
      </c>
      <c r="AN288" s="53">
        <f t="shared" si="3"/>
        <v>0</v>
      </c>
      <c r="AO288" s="53">
        <f t="shared" si="4"/>
        <v>0</v>
      </c>
      <c r="AP288" s="61" t="str">
        <f t="shared" si="5"/>
        <v/>
      </c>
    </row>
    <row r="289">
      <c r="A289" s="69" t="s">
        <v>31</v>
      </c>
      <c r="B289" s="70">
        <f t="shared" si="6"/>
        <v>45942</v>
      </c>
      <c r="C289" s="71">
        <v>11.0</v>
      </c>
      <c r="D289" s="71" t="s">
        <v>24</v>
      </c>
      <c r="E289" s="73" t="s">
        <v>40</v>
      </c>
      <c r="F289" s="74">
        <v>0.0</v>
      </c>
      <c r="G289" s="75"/>
      <c r="H289" s="76">
        <v>0.0</v>
      </c>
      <c r="I289" s="75"/>
      <c r="J289" s="76">
        <v>0.0</v>
      </c>
      <c r="K289" s="75"/>
      <c r="L289" s="74">
        <v>0.0</v>
      </c>
      <c r="M289" s="75"/>
      <c r="N289" s="76">
        <v>0.0</v>
      </c>
      <c r="O289" s="75"/>
      <c r="P289" s="76">
        <v>0.0</v>
      </c>
      <c r="Q289" s="75"/>
      <c r="R289" s="76">
        <v>0.0</v>
      </c>
      <c r="S289" s="75"/>
      <c r="T289" s="76">
        <v>0.0</v>
      </c>
      <c r="U289" s="75"/>
      <c r="V289" s="76">
        <v>0.0</v>
      </c>
      <c r="W289" s="75"/>
      <c r="X289" s="76">
        <v>0.0</v>
      </c>
      <c r="Y289" s="77"/>
      <c r="Z289" s="74">
        <v>0.0</v>
      </c>
      <c r="AA289" s="75"/>
      <c r="AB289" s="76">
        <v>0.0</v>
      </c>
      <c r="AC289" s="75"/>
      <c r="AD289" s="76">
        <v>0.0</v>
      </c>
      <c r="AE289" s="75"/>
      <c r="AF289" s="78"/>
      <c r="AG289" s="75"/>
      <c r="AH289" s="78"/>
      <c r="AI289" s="75"/>
      <c r="AJ289" s="78"/>
      <c r="AK289" s="77"/>
      <c r="AL289" s="79">
        <f t="shared" si="1"/>
        <v>0</v>
      </c>
      <c r="AM289" s="71">
        <f t="shared" si="2"/>
        <v>0</v>
      </c>
      <c r="AN289" s="71">
        <f t="shared" si="3"/>
        <v>0</v>
      </c>
      <c r="AO289" s="71">
        <f t="shared" si="4"/>
        <v>0</v>
      </c>
      <c r="AP289" s="80" t="str">
        <f t="shared" si="5"/>
        <v/>
      </c>
    </row>
    <row r="290">
      <c r="A290" s="19" t="s">
        <v>23</v>
      </c>
      <c r="B290" s="81">
        <f t="shared" si="6"/>
        <v>45943</v>
      </c>
      <c r="C290" s="21">
        <v>11.0</v>
      </c>
      <c r="D290" s="21" t="s">
        <v>32</v>
      </c>
      <c r="E290" s="82" t="s">
        <v>40</v>
      </c>
      <c r="F290" s="25">
        <v>0.0</v>
      </c>
      <c r="H290" s="26">
        <v>0.0</v>
      </c>
      <c r="J290" s="26">
        <v>0.0</v>
      </c>
      <c r="L290" s="25">
        <v>0.0</v>
      </c>
      <c r="N290" s="26">
        <v>0.0</v>
      </c>
      <c r="P290" s="26">
        <v>0.0</v>
      </c>
      <c r="R290" s="26">
        <v>0.0</v>
      </c>
      <c r="T290" s="26">
        <v>1.0</v>
      </c>
      <c r="V290" s="26">
        <v>1.0</v>
      </c>
      <c r="X290" s="26">
        <v>0.0</v>
      </c>
      <c r="Y290" s="28"/>
      <c r="Z290" s="25">
        <v>45.0</v>
      </c>
      <c r="AB290" s="26">
        <v>45.0</v>
      </c>
      <c r="AD290" s="26">
        <v>0.0</v>
      </c>
      <c r="AF290" s="30"/>
      <c r="AH290" s="30"/>
      <c r="AJ290" s="30"/>
      <c r="AK290" s="28"/>
      <c r="AL290" s="39">
        <f t="shared" si="1"/>
        <v>1882.03</v>
      </c>
      <c r="AM290" s="21">
        <f t="shared" si="2"/>
        <v>90</v>
      </c>
      <c r="AN290" s="21">
        <f t="shared" si="3"/>
        <v>2</v>
      </c>
      <c r="AO290" s="21">
        <f t="shared" si="4"/>
        <v>92</v>
      </c>
      <c r="AP290" s="46">
        <f t="shared" si="5"/>
        <v>20.45684783</v>
      </c>
    </row>
    <row r="291">
      <c r="A291" s="48" t="s">
        <v>26</v>
      </c>
      <c r="B291" s="51">
        <f t="shared" si="6"/>
        <v>45944</v>
      </c>
      <c r="C291" s="53">
        <v>11.0</v>
      </c>
      <c r="D291" s="53" t="s">
        <v>32</v>
      </c>
      <c r="E291" s="23" t="s">
        <v>40</v>
      </c>
      <c r="F291" s="25">
        <v>0.0</v>
      </c>
      <c r="H291" s="26">
        <v>0.0</v>
      </c>
      <c r="J291" s="26">
        <v>0.0</v>
      </c>
      <c r="L291" s="25">
        <v>0.0</v>
      </c>
      <c r="N291" s="26">
        <v>0.0</v>
      </c>
      <c r="P291" s="26">
        <v>0.0</v>
      </c>
      <c r="R291" s="26">
        <v>0.0</v>
      </c>
      <c r="T291" s="26">
        <v>0.0</v>
      </c>
      <c r="V291" s="26">
        <v>0.0</v>
      </c>
      <c r="X291" s="26">
        <v>0.0</v>
      </c>
      <c r="Y291" s="28"/>
      <c r="Z291" s="25">
        <v>45.0</v>
      </c>
      <c r="AB291" s="26">
        <v>45.0</v>
      </c>
      <c r="AD291" s="26">
        <v>0.0</v>
      </c>
      <c r="AF291" s="30"/>
      <c r="AH291" s="30"/>
      <c r="AJ291" s="30"/>
      <c r="AK291" s="28"/>
      <c r="AL291" s="60">
        <f t="shared" si="1"/>
        <v>1116.9</v>
      </c>
      <c r="AM291" s="53">
        <f t="shared" si="2"/>
        <v>90</v>
      </c>
      <c r="AN291" s="53">
        <f t="shared" si="3"/>
        <v>0</v>
      </c>
      <c r="AO291" s="53">
        <f t="shared" si="4"/>
        <v>90</v>
      </c>
      <c r="AP291" s="61">
        <f t="shared" si="5"/>
        <v>12.41</v>
      </c>
    </row>
    <row r="292">
      <c r="A292" s="48" t="s">
        <v>27</v>
      </c>
      <c r="B292" s="51">
        <f t="shared" si="6"/>
        <v>45945</v>
      </c>
      <c r="C292" s="53">
        <v>11.0</v>
      </c>
      <c r="D292" s="53" t="s">
        <v>32</v>
      </c>
      <c r="E292" s="23" t="s">
        <v>40</v>
      </c>
      <c r="F292" s="25">
        <v>0.0</v>
      </c>
      <c r="H292" s="26">
        <v>0.0</v>
      </c>
      <c r="J292" s="26">
        <v>0.0</v>
      </c>
      <c r="L292" s="25">
        <v>0.0</v>
      </c>
      <c r="N292" s="26">
        <v>0.0</v>
      </c>
      <c r="P292" s="26">
        <v>0.0</v>
      </c>
      <c r="R292" s="26">
        <v>0.0</v>
      </c>
      <c r="T292" s="26">
        <v>0.0</v>
      </c>
      <c r="V292" s="26">
        <v>0.0</v>
      </c>
      <c r="X292" s="26">
        <v>0.0</v>
      </c>
      <c r="Y292" s="28"/>
      <c r="Z292" s="25">
        <v>45.0</v>
      </c>
      <c r="AB292" s="26">
        <v>45.0</v>
      </c>
      <c r="AD292" s="26">
        <v>0.0</v>
      </c>
      <c r="AF292" s="30"/>
      <c r="AH292" s="30"/>
      <c r="AJ292" s="30"/>
      <c r="AK292" s="28"/>
      <c r="AL292" s="60">
        <f t="shared" si="1"/>
        <v>1116.9</v>
      </c>
      <c r="AM292" s="53">
        <f t="shared" si="2"/>
        <v>90</v>
      </c>
      <c r="AN292" s="53">
        <f t="shared" si="3"/>
        <v>0</v>
      </c>
      <c r="AO292" s="53">
        <f t="shared" si="4"/>
        <v>90</v>
      </c>
      <c r="AP292" s="61">
        <f t="shared" si="5"/>
        <v>12.41</v>
      </c>
    </row>
    <row r="293">
      <c r="A293" s="48" t="s">
        <v>28</v>
      </c>
      <c r="B293" s="51">
        <f t="shared" si="6"/>
        <v>45946</v>
      </c>
      <c r="C293" s="53">
        <v>11.0</v>
      </c>
      <c r="D293" s="53" t="s">
        <v>32</v>
      </c>
      <c r="E293" s="23" t="s">
        <v>40</v>
      </c>
      <c r="F293" s="25">
        <v>0.0</v>
      </c>
      <c r="H293" s="26">
        <v>0.0</v>
      </c>
      <c r="J293" s="26">
        <v>0.0</v>
      </c>
      <c r="L293" s="25">
        <v>0.0</v>
      </c>
      <c r="N293" s="26">
        <v>0.0</v>
      </c>
      <c r="P293" s="26">
        <v>0.0</v>
      </c>
      <c r="R293" s="26">
        <v>0.0</v>
      </c>
      <c r="T293" s="26">
        <v>0.0</v>
      </c>
      <c r="V293" s="26">
        <v>0.0</v>
      </c>
      <c r="X293" s="26">
        <v>0.0</v>
      </c>
      <c r="Y293" s="28"/>
      <c r="Z293" s="25">
        <v>45.0</v>
      </c>
      <c r="AB293" s="26">
        <v>45.0</v>
      </c>
      <c r="AD293" s="26">
        <v>0.0</v>
      </c>
      <c r="AF293" s="30"/>
      <c r="AH293" s="30"/>
      <c r="AJ293" s="30"/>
      <c r="AK293" s="28"/>
      <c r="AL293" s="60">
        <f t="shared" si="1"/>
        <v>1116.9</v>
      </c>
      <c r="AM293" s="53">
        <f t="shared" si="2"/>
        <v>90</v>
      </c>
      <c r="AN293" s="53">
        <f t="shared" si="3"/>
        <v>0</v>
      </c>
      <c r="AO293" s="53">
        <f t="shared" si="4"/>
        <v>90</v>
      </c>
      <c r="AP293" s="61">
        <f t="shared" si="5"/>
        <v>12.41</v>
      </c>
    </row>
    <row r="294">
      <c r="A294" s="48" t="s">
        <v>29</v>
      </c>
      <c r="B294" s="51">
        <f t="shared" si="6"/>
        <v>45947</v>
      </c>
      <c r="C294" s="53">
        <v>11.0</v>
      </c>
      <c r="D294" s="53" t="s">
        <v>32</v>
      </c>
      <c r="E294" s="23" t="s">
        <v>40</v>
      </c>
      <c r="F294" s="25">
        <v>0.0</v>
      </c>
      <c r="H294" s="26">
        <v>0.0</v>
      </c>
      <c r="J294" s="26">
        <v>0.0</v>
      </c>
      <c r="L294" s="25">
        <v>0.0</v>
      </c>
      <c r="N294" s="26">
        <v>0.0</v>
      </c>
      <c r="P294" s="26">
        <v>0.0</v>
      </c>
      <c r="R294" s="26">
        <v>0.0</v>
      </c>
      <c r="T294" s="26">
        <v>0.0</v>
      </c>
      <c r="V294" s="26">
        <v>0.0</v>
      </c>
      <c r="X294" s="26">
        <v>0.0</v>
      </c>
      <c r="Y294" s="28"/>
      <c r="Z294" s="25">
        <v>45.0</v>
      </c>
      <c r="AB294" s="26">
        <v>45.0</v>
      </c>
      <c r="AD294" s="26">
        <v>0.0</v>
      </c>
      <c r="AF294" s="30"/>
      <c r="AH294" s="30"/>
      <c r="AJ294" s="30"/>
      <c r="AK294" s="28"/>
      <c r="AL294" s="60">
        <f t="shared" si="1"/>
        <v>1116.9</v>
      </c>
      <c r="AM294" s="53">
        <f t="shared" si="2"/>
        <v>90</v>
      </c>
      <c r="AN294" s="53">
        <f t="shared" si="3"/>
        <v>0</v>
      </c>
      <c r="AO294" s="53">
        <f t="shared" si="4"/>
        <v>90</v>
      </c>
      <c r="AP294" s="61">
        <f t="shared" si="5"/>
        <v>12.41</v>
      </c>
    </row>
    <row r="295">
      <c r="A295" s="48" t="s">
        <v>30</v>
      </c>
      <c r="B295" s="51">
        <f t="shared" si="6"/>
        <v>45948</v>
      </c>
      <c r="C295" s="53">
        <v>11.0</v>
      </c>
      <c r="D295" s="53" t="s">
        <v>32</v>
      </c>
      <c r="E295" s="23" t="s">
        <v>40</v>
      </c>
      <c r="F295" s="25">
        <v>0.0</v>
      </c>
      <c r="H295" s="26">
        <v>0.0</v>
      </c>
      <c r="J295" s="26">
        <v>0.0</v>
      </c>
      <c r="L295" s="25">
        <v>0.0</v>
      </c>
      <c r="N295" s="26">
        <v>0.0</v>
      </c>
      <c r="P295" s="26">
        <v>0.0</v>
      </c>
      <c r="R295" s="26">
        <v>0.0</v>
      </c>
      <c r="T295" s="26">
        <v>0.0</v>
      </c>
      <c r="V295" s="26">
        <v>0.0</v>
      </c>
      <c r="X295" s="26">
        <v>0.0</v>
      </c>
      <c r="Y295" s="28"/>
      <c r="Z295" s="25">
        <v>0.0</v>
      </c>
      <c r="AB295" s="26">
        <v>0.0</v>
      </c>
      <c r="AD295" s="26">
        <v>0.0</v>
      </c>
      <c r="AF295" s="30"/>
      <c r="AH295" s="30"/>
      <c r="AJ295" s="30"/>
      <c r="AK295" s="28"/>
      <c r="AL295" s="60">
        <f t="shared" si="1"/>
        <v>0</v>
      </c>
      <c r="AM295" s="53">
        <f t="shared" si="2"/>
        <v>0</v>
      </c>
      <c r="AN295" s="53">
        <f t="shared" si="3"/>
        <v>0</v>
      </c>
      <c r="AO295" s="53">
        <f t="shared" si="4"/>
        <v>0</v>
      </c>
      <c r="AP295" s="61" t="str">
        <f t="shared" si="5"/>
        <v/>
      </c>
    </row>
    <row r="296">
      <c r="A296" s="69" t="s">
        <v>31</v>
      </c>
      <c r="B296" s="70">
        <f t="shared" si="6"/>
        <v>45949</v>
      </c>
      <c r="C296" s="71">
        <v>11.0</v>
      </c>
      <c r="D296" s="71" t="s">
        <v>32</v>
      </c>
      <c r="E296" s="73" t="s">
        <v>40</v>
      </c>
      <c r="F296" s="74">
        <v>0.0</v>
      </c>
      <c r="G296" s="75"/>
      <c r="H296" s="76">
        <v>0.0</v>
      </c>
      <c r="I296" s="75"/>
      <c r="J296" s="76">
        <v>0.0</v>
      </c>
      <c r="K296" s="75"/>
      <c r="L296" s="74">
        <v>0.0</v>
      </c>
      <c r="M296" s="75"/>
      <c r="N296" s="76">
        <v>0.0</v>
      </c>
      <c r="O296" s="75"/>
      <c r="P296" s="76">
        <v>0.0</v>
      </c>
      <c r="Q296" s="75"/>
      <c r="R296" s="76">
        <v>0.0</v>
      </c>
      <c r="S296" s="75"/>
      <c r="T296" s="76">
        <v>0.0</v>
      </c>
      <c r="U296" s="75"/>
      <c r="V296" s="76">
        <v>0.0</v>
      </c>
      <c r="W296" s="75"/>
      <c r="X296" s="76">
        <v>0.0</v>
      </c>
      <c r="Y296" s="77"/>
      <c r="Z296" s="74">
        <v>0.0</v>
      </c>
      <c r="AA296" s="75"/>
      <c r="AB296" s="76">
        <v>0.0</v>
      </c>
      <c r="AC296" s="75"/>
      <c r="AD296" s="76">
        <v>0.0</v>
      </c>
      <c r="AE296" s="75"/>
      <c r="AF296" s="78"/>
      <c r="AG296" s="75"/>
      <c r="AH296" s="78"/>
      <c r="AI296" s="75"/>
      <c r="AJ296" s="78"/>
      <c r="AK296" s="77"/>
      <c r="AL296" s="79">
        <f t="shared" si="1"/>
        <v>0</v>
      </c>
      <c r="AM296" s="71">
        <f t="shared" si="2"/>
        <v>0</v>
      </c>
      <c r="AN296" s="71">
        <f t="shared" si="3"/>
        <v>0</v>
      </c>
      <c r="AO296" s="71">
        <f t="shared" si="4"/>
        <v>0</v>
      </c>
      <c r="AP296" s="80" t="str">
        <f t="shared" si="5"/>
        <v/>
      </c>
    </row>
    <row r="297">
      <c r="A297" s="19" t="s">
        <v>23</v>
      </c>
      <c r="B297" s="81">
        <f t="shared" si="6"/>
        <v>45950</v>
      </c>
      <c r="C297" s="21">
        <v>11.0</v>
      </c>
      <c r="D297" s="21" t="s">
        <v>33</v>
      </c>
      <c r="E297" s="82" t="s">
        <v>40</v>
      </c>
      <c r="F297" s="25">
        <v>0.0</v>
      </c>
      <c r="H297" s="26">
        <v>0.0</v>
      </c>
      <c r="J297" s="26">
        <v>0.0</v>
      </c>
      <c r="L297" s="25">
        <v>40.0</v>
      </c>
      <c r="N297" s="26">
        <v>40.0</v>
      </c>
      <c r="P297" s="26">
        <v>0.0</v>
      </c>
      <c r="R297" s="26">
        <v>0.0</v>
      </c>
      <c r="T297" s="26">
        <v>1.0</v>
      </c>
      <c r="V297" s="26">
        <v>1.0</v>
      </c>
      <c r="X297" s="26">
        <v>0.0</v>
      </c>
      <c r="Y297" s="28"/>
      <c r="Z297" s="25">
        <v>20.0</v>
      </c>
      <c r="AB297" s="26">
        <v>20.0</v>
      </c>
      <c r="AD297" s="26">
        <v>0.0</v>
      </c>
      <c r="AF297" s="30"/>
      <c r="AH297" s="30"/>
      <c r="AJ297" s="30"/>
      <c r="AK297" s="28"/>
      <c r="AL297" s="39">
        <f t="shared" si="1"/>
        <v>2254.33</v>
      </c>
      <c r="AM297" s="21">
        <f t="shared" si="2"/>
        <v>120</v>
      </c>
      <c r="AN297" s="21">
        <f t="shared" si="3"/>
        <v>2</v>
      </c>
      <c r="AO297" s="21">
        <f t="shared" si="4"/>
        <v>122</v>
      </c>
      <c r="AP297" s="46">
        <f t="shared" si="5"/>
        <v>18.47811475</v>
      </c>
    </row>
    <row r="298">
      <c r="A298" s="48" t="s">
        <v>26</v>
      </c>
      <c r="B298" s="51">
        <f t="shared" si="6"/>
        <v>45951</v>
      </c>
      <c r="C298" s="53">
        <v>11.0</v>
      </c>
      <c r="D298" s="53" t="s">
        <v>33</v>
      </c>
      <c r="E298" s="23" t="s">
        <v>40</v>
      </c>
      <c r="F298" s="25">
        <v>0.0</v>
      </c>
      <c r="H298" s="26">
        <v>0.0</v>
      </c>
      <c r="J298" s="26">
        <v>0.0</v>
      </c>
      <c r="L298" s="25">
        <v>40.0</v>
      </c>
      <c r="N298" s="26">
        <v>40.0</v>
      </c>
      <c r="P298" s="26">
        <v>0.0</v>
      </c>
      <c r="R298" s="26">
        <v>0.0</v>
      </c>
      <c r="T298" s="26">
        <v>0.0</v>
      </c>
      <c r="V298" s="26">
        <v>0.0</v>
      </c>
      <c r="X298" s="26">
        <v>0.0</v>
      </c>
      <c r="Y298" s="28"/>
      <c r="Z298" s="25">
        <v>20.0</v>
      </c>
      <c r="AB298" s="26">
        <v>20.0</v>
      </c>
      <c r="AD298" s="26">
        <v>0.0</v>
      </c>
      <c r="AF298" s="30"/>
      <c r="AH298" s="30"/>
      <c r="AJ298" s="30"/>
      <c r="AK298" s="28"/>
      <c r="AL298" s="60">
        <f t="shared" si="1"/>
        <v>1489.2</v>
      </c>
      <c r="AM298" s="53">
        <f t="shared" si="2"/>
        <v>120</v>
      </c>
      <c r="AN298" s="53">
        <f t="shared" si="3"/>
        <v>0</v>
      </c>
      <c r="AO298" s="53">
        <f t="shared" si="4"/>
        <v>120</v>
      </c>
      <c r="AP298" s="61">
        <f t="shared" si="5"/>
        <v>12.41</v>
      </c>
    </row>
    <row r="299">
      <c r="A299" s="48" t="s">
        <v>27</v>
      </c>
      <c r="B299" s="51">
        <f t="shared" si="6"/>
        <v>45952</v>
      </c>
      <c r="C299" s="53">
        <v>11.0</v>
      </c>
      <c r="D299" s="53" t="s">
        <v>33</v>
      </c>
      <c r="E299" s="23" t="s">
        <v>40</v>
      </c>
      <c r="F299" s="25">
        <v>0.0</v>
      </c>
      <c r="H299" s="26">
        <v>0.0</v>
      </c>
      <c r="J299" s="26">
        <v>0.0</v>
      </c>
      <c r="L299" s="25">
        <v>40.0</v>
      </c>
      <c r="N299" s="26">
        <v>40.0</v>
      </c>
      <c r="P299" s="26">
        <v>0.0</v>
      </c>
      <c r="R299" s="26">
        <v>0.0</v>
      </c>
      <c r="T299" s="26">
        <v>0.0</v>
      </c>
      <c r="V299" s="26">
        <v>0.0</v>
      </c>
      <c r="X299" s="26">
        <v>0.0</v>
      </c>
      <c r="Y299" s="28"/>
      <c r="Z299" s="25">
        <v>20.0</v>
      </c>
      <c r="AB299" s="26">
        <v>20.0</v>
      </c>
      <c r="AD299" s="26">
        <v>0.0</v>
      </c>
      <c r="AF299" s="30"/>
      <c r="AH299" s="30"/>
      <c r="AJ299" s="30"/>
      <c r="AK299" s="28"/>
      <c r="AL299" s="60">
        <f t="shared" si="1"/>
        <v>1489.2</v>
      </c>
      <c r="AM299" s="53">
        <f t="shared" si="2"/>
        <v>120</v>
      </c>
      <c r="AN299" s="53">
        <f t="shared" si="3"/>
        <v>0</v>
      </c>
      <c r="AO299" s="53">
        <f t="shared" si="4"/>
        <v>120</v>
      </c>
      <c r="AP299" s="61">
        <f t="shared" si="5"/>
        <v>12.41</v>
      </c>
    </row>
    <row r="300">
      <c r="A300" s="48" t="s">
        <v>28</v>
      </c>
      <c r="B300" s="51">
        <f t="shared" si="6"/>
        <v>45953</v>
      </c>
      <c r="C300" s="53">
        <v>11.0</v>
      </c>
      <c r="D300" s="53" t="s">
        <v>33</v>
      </c>
      <c r="E300" s="23" t="s">
        <v>40</v>
      </c>
      <c r="F300" s="25">
        <v>0.0</v>
      </c>
      <c r="H300" s="26">
        <v>0.0</v>
      </c>
      <c r="J300" s="26">
        <v>0.0</v>
      </c>
      <c r="L300" s="25">
        <v>40.0</v>
      </c>
      <c r="N300" s="26">
        <v>0.0</v>
      </c>
      <c r="P300" s="26">
        <v>0.0</v>
      </c>
      <c r="R300" s="26">
        <v>0.0</v>
      </c>
      <c r="T300" s="26">
        <v>0.0</v>
      </c>
      <c r="V300" s="26">
        <v>0.0</v>
      </c>
      <c r="X300" s="26">
        <v>0.0</v>
      </c>
      <c r="Y300" s="28"/>
      <c r="Z300" s="25">
        <v>20.0</v>
      </c>
      <c r="AB300" s="26">
        <v>20.0</v>
      </c>
      <c r="AD300" s="26">
        <v>0.0</v>
      </c>
      <c r="AF300" s="30"/>
      <c r="AH300" s="30"/>
      <c r="AJ300" s="30"/>
      <c r="AK300" s="28"/>
      <c r="AL300" s="60">
        <f t="shared" si="1"/>
        <v>992.8</v>
      </c>
      <c r="AM300" s="53">
        <f t="shared" si="2"/>
        <v>80</v>
      </c>
      <c r="AN300" s="53">
        <f t="shared" si="3"/>
        <v>0</v>
      </c>
      <c r="AO300" s="53">
        <f t="shared" si="4"/>
        <v>80</v>
      </c>
      <c r="AP300" s="61">
        <f t="shared" si="5"/>
        <v>12.41</v>
      </c>
    </row>
    <row r="301">
      <c r="A301" s="48" t="s">
        <v>29</v>
      </c>
      <c r="B301" s="51">
        <f t="shared" si="6"/>
        <v>45954</v>
      </c>
      <c r="C301" s="53">
        <v>11.0</v>
      </c>
      <c r="D301" s="53" t="s">
        <v>33</v>
      </c>
      <c r="E301" s="23" t="s">
        <v>40</v>
      </c>
      <c r="F301" s="25">
        <v>0.0</v>
      </c>
      <c r="H301" s="26">
        <v>0.0</v>
      </c>
      <c r="J301" s="26">
        <v>0.0</v>
      </c>
      <c r="L301" s="25">
        <v>40.0</v>
      </c>
      <c r="N301" s="26">
        <v>40.0</v>
      </c>
      <c r="P301" s="26">
        <v>0.0</v>
      </c>
      <c r="R301" s="26">
        <v>0.0</v>
      </c>
      <c r="T301" s="26">
        <v>0.0</v>
      </c>
      <c r="V301" s="26">
        <v>0.0</v>
      </c>
      <c r="X301" s="26">
        <v>0.0</v>
      </c>
      <c r="Y301" s="28"/>
      <c r="Z301" s="25">
        <v>20.0</v>
      </c>
      <c r="AB301" s="26">
        <v>20.0</v>
      </c>
      <c r="AD301" s="26">
        <v>0.0</v>
      </c>
      <c r="AF301" s="30"/>
      <c r="AH301" s="30"/>
      <c r="AJ301" s="30"/>
      <c r="AK301" s="28"/>
      <c r="AL301" s="60">
        <f t="shared" si="1"/>
        <v>1489.2</v>
      </c>
      <c r="AM301" s="53">
        <f t="shared" si="2"/>
        <v>120</v>
      </c>
      <c r="AN301" s="53">
        <f t="shared" si="3"/>
        <v>0</v>
      </c>
      <c r="AO301" s="53">
        <f t="shared" si="4"/>
        <v>120</v>
      </c>
      <c r="AP301" s="61">
        <f t="shared" si="5"/>
        <v>12.41</v>
      </c>
    </row>
    <row r="302">
      <c r="A302" s="48" t="s">
        <v>30</v>
      </c>
      <c r="B302" s="51">
        <f t="shared" si="6"/>
        <v>45955</v>
      </c>
      <c r="C302" s="53">
        <v>11.0</v>
      </c>
      <c r="D302" s="53" t="s">
        <v>33</v>
      </c>
      <c r="E302" s="23" t="s">
        <v>40</v>
      </c>
      <c r="F302" s="25">
        <v>0.0</v>
      </c>
      <c r="H302" s="26">
        <v>0.0</v>
      </c>
      <c r="J302" s="26">
        <v>0.0</v>
      </c>
      <c r="L302" s="25">
        <v>40.0</v>
      </c>
      <c r="N302" s="26">
        <v>40.0</v>
      </c>
      <c r="P302" s="26">
        <v>0.0</v>
      </c>
      <c r="R302" s="26">
        <v>0.0</v>
      </c>
      <c r="T302" s="26">
        <v>0.0</v>
      </c>
      <c r="V302" s="26">
        <v>0.0</v>
      </c>
      <c r="X302" s="26">
        <v>0.0</v>
      </c>
      <c r="Y302" s="28"/>
      <c r="Z302" s="25">
        <v>0.0</v>
      </c>
      <c r="AB302" s="26">
        <v>0.0</v>
      </c>
      <c r="AD302" s="26">
        <v>0.0</v>
      </c>
      <c r="AF302" s="30"/>
      <c r="AH302" s="30"/>
      <c r="AJ302" s="30"/>
      <c r="AK302" s="28"/>
      <c r="AL302" s="60">
        <f t="shared" si="1"/>
        <v>992.8</v>
      </c>
      <c r="AM302" s="53">
        <f t="shared" si="2"/>
        <v>80</v>
      </c>
      <c r="AN302" s="53">
        <f t="shared" si="3"/>
        <v>0</v>
      </c>
      <c r="AO302" s="53">
        <f t="shared" si="4"/>
        <v>80</v>
      </c>
      <c r="AP302" s="61">
        <f t="shared" si="5"/>
        <v>12.41</v>
      </c>
    </row>
    <row r="303">
      <c r="A303" s="69" t="s">
        <v>31</v>
      </c>
      <c r="B303" s="70">
        <f t="shared" si="6"/>
        <v>45956</v>
      </c>
      <c r="C303" s="71">
        <v>11.0</v>
      </c>
      <c r="D303" s="71" t="s">
        <v>33</v>
      </c>
      <c r="E303" s="73" t="s">
        <v>40</v>
      </c>
      <c r="F303" s="74">
        <v>0.0</v>
      </c>
      <c r="G303" s="75"/>
      <c r="H303" s="76">
        <v>0.0</v>
      </c>
      <c r="I303" s="75"/>
      <c r="J303" s="76">
        <v>0.0</v>
      </c>
      <c r="K303" s="75"/>
      <c r="L303" s="74">
        <v>0.0</v>
      </c>
      <c r="M303" s="75"/>
      <c r="N303" s="76">
        <v>0.0</v>
      </c>
      <c r="O303" s="75"/>
      <c r="P303" s="76">
        <v>0.0</v>
      </c>
      <c r="Q303" s="75"/>
      <c r="R303" s="76">
        <v>0.0</v>
      </c>
      <c r="S303" s="75"/>
      <c r="T303" s="76">
        <v>0.0</v>
      </c>
      <c r="U303" s="75"/>
      <c r="V303" s="76">
        <v>0.0</v>
      </c>
      <c r="W303" s="75"/>
      <c r="X303" s="76">
        <v>0.0</v>
      </c>
      <c r="Y303" s="77"/>
      <c r="Z303" s="74">
        <v>0.0</v>
      </c>
      <c r="AA303" s="75"/>
      <c r="AB303" s="76">
        <v>0.0</v>
      </c>
      <c r="AC303" s="75"/>
      <c r="AD303" s="76">
        <v>0.0</v>
      </c>
      <c r="AE303" s="75"/>
      <c r="AF303" s="78"/>
      <c r="AG303" s="75"/>
      <c r="AH303" s="78"/>
      <c r="AI303" s="75"/>
      <c r="AJ303" s="78"/>
      <c r="AK303" s="77"/>
      <c r="AL303" s="79">
        <f t="shared" si="1"/>
        <v>0</v>
      </c>
      <c r="AM303" s="71">
        <f t="shared" si="2"/>
        <v>0</v>
      </c>
      <c r="AN303" s="71">
        <f t="shared" si="3"/>
        <v>0</v>
      </c>
      <c r="AO303" s="71">
        <f t="shared" si="4"/>
        <v>0</v>
      </c>
      <c r="AP303" s="80" t="str">
        <f t="shared" si="5"/>
        <v/>
      </c>
    </row>
    <row r="304">
      <c r="A304" s="19" t="s">
        <v>23</v>
      </c>
      <c r="B304" s="81">
        <f t="shared" si="6"/>
        <v>45957</v>
      </c>
      <c r="C304" s="21">
        <v>11.0</v>
      </c>
      <c r="D304" s="21" t="s">
        <v>36</v>
      </c>
      <c r="E304" s="82" t="s">
        <v>40</v>
      </c>
      <c r="F304" s="25">
        <v>0.0</v>
      </c>
      <c r="H304" s="26">
        <v>0.0</v>
      </c>
      <c r="J304" s="26">
        <v>0.0</v>
      </c>
      <c r="L304" s="25">
        <v>50.0</v>
      </c>
      <c r="N304" s="26">
        <v>50.0</v>
      </c>
      <c r="P304" s="26">
        <v>0.0</v>
      </c>
      <c r="R304" s="26">
        <v>0.0</v>
      </c>
      <c r="T304" s="26">
        <v>1.0</v>
      </c>
      <c r="V304" s="26">
        <v>1.0</v>
      </c>
      <c r="X304" s="26">
        <v>0.0</v>
      </c>
      <c r="Y304" s="28"/>
      <c r="Z304" s="25">
        <v>20.0</v>
      </c>
      <c r="AB304" s="26">
        <v>20.0</v>
      </c>
      <c r="AD304" s="26">
        <v>0.0</v>
      </c>
      <c r="AF304" s="30"/>
      <c r="AH304" s="30"/>
      <c r="AJ304" s="30"/>
      <c r="AK304" s="28"/>
      <c r="AL304" s="39">
        <f t="shared" si="1"/>
        <v>2502.53</v>
      </c>
      <c r="AM304" s="21">
        <f t="shared" si="2"/>
        <v>140</v>
      </c>
      <c r="AN304" s="21">
        <f t="shared" si="3"/>
        <v>2</v>
      </c>
      <c r="AO304" s="21">
        <f t="shared" si="4"/>
        <v>142</v>
      </c>
      <c r="AP304" s="46">
        <f t="shared" si="5"/>
        <v>17.6234507</v>
      </c>
    </row>
    <row r="305">
      <c r="A305" s="48" t="s">
        <v>26</v>
      </c>
      <c r="B305" s="51">
        <f t="shared" si="6"/>
        <v>45958</v>
      </c>
      <c r="C305" s="53">
        <v>11.0</v>
      </c>
      <c r="D305" s="53" t="s">
        <v>36</v>
      </c>
      <c r="E305" s="23" t="s">
        <v>40</v>
      </c>
      <c r="F305" s="25">
        <v>0.0</v>
      </c>
      <c r="H305" s="26">
        <v>0.0</v>
      </c>
      <c r="J305" s="26">
        <v>0.0</v>
      </c>
      <c r="L305" s="25">
        <v>50.0</v>
      </c>
      <c r="N305" s="26">
        <v>50.0</v>
      </c>
      <c r="P305" s="26">
        <v>0.0</v>
      </c>
      <c r="R305" s="26">
        <v>0.0</v>
      </c>
      <c r="T305" s="26">
        <v>0.0</v>
      </c>
      <c r="V305" s="26">
        <v>0.0</v>
      </c>
      <c r="X305" s="26">
        <v>0.0</v>
      </c>
      <c r="Y305" s="28"/>
      <c r="Z305" s="25">
        <v>20.0</v>
      </c>
      <c r="AB305" s="26">
        <v>20.0</v>
      </c>
      <c r="AD305" s="26">
        <v>0.0</v>
      </c>
      <c r="AF305" s="30"/>
      <c r="AH305" s="30"/>
      <c r="AJ305" s="30"/>
      <c r="AK305" s="28"/>
      <c r="AL305" s="60">
        <f t="shared" si="1"/>
        <v>1737.4</v>
      </c>
      <c r="AM305" s="53">
        <f t="shared" si="2"/>
        <v>140</v>
      </c>
      <c r="AN305" s="53">
        <f t="shared" si="3"/>
        <v>0</v>
      </c>
      <c r="AO305" s="53">
        <f t="shared" si="4"/>
        <v>140</v>
      </c>
      <c r="AP305" s="61">
        <f t="shared" si="5"/>
        <v>12.41</v>
      </c>
    </row>
    <row r="306">
      <c r="A306" s="48" t="s">
        <v>27</v>
      </c>
      <c r="B306" s="51">
        <f t="shared" si="6"/>
        <v>45959</v>
      </c>
      <c r="C306" s="53">
        <v>11.0</v>
      </c>
      <c r="D306" s="53" t="s">
        <v>36</v>
      </c>
      <c r="E306" s="23" t="s">
        <v>40</v>
      </c>
      <c r="F306" s="25">
        <v>0.0</v>
      </c>
      <c r="H306" s="26">
        <v>0.0</v>
      </c>
      <c r="J306" s="26">
        <v>0.0</v>
      </c>
      <c r="L306" s="25">
        <v>50.0</v>
      </c>
      <c r="N306" s="26">
        <v>50.0</v>
      </c>
      <c r="P306" s="26">
        <v>0.0</v>
      </c>
      <c r="R306" s="26">
        <v>0.0</v>
      </c>
      <c r="T306" s="26">
        <v>0.0</v>
      </c>
      <c r="V306" s="26">
        <v>0.0</v>
      </c>
      <c r="X306" s="26">
        <v>0.0</v>
      </c>
      <c r="Y306" s="28"/>
      <c r="Z306" s="25">
        <v>20.0</v>
      </c>
      <c r="AB306" s="26">
        <v>20.0</v>
      </c>
      <c r="AD306" s="26">
        <v>0.0</v>
      </c>
      <c r="AF306" s="30"/>
      <c r="AH306" s="30"/>
      <c r="AJ306" s="30"/>
      <c r="AK306" s="28"/>
      <c r="AL306" s="60">
        <f t="shared" si="1"/>
        <v>1737.4</v>
      </c>
      <c r="AM306" s="53">
        <f t="shared" si="2"/>
        <v>140</v>
      </c>
      <c r="AN306" s="53">
        <f t="shared" si="3"/>
        <v>0</v>
      </c>
      <c r="AO306" s="53">
        <f t="shared" si="4"/>
        <v>140</v>
      </c>
      <c r="AP306" s="61">
        <f t="shared" si="5"/>
        <v>12.41</v>
      </c>
    </row>
    <row r="307">
      <c r="A307" s="48" t="s">
        <v>28</v>
      </c>
      <c r="B307" s="51">
        <f t="shared" si="6"/>
        <v>45960</v>
      </c>
      <c r="C307" s="53">
        <v>11.0</v>
      </c>
      <c r="D307" s="53" t="s">
        <v>36</v>
      </c>
      <c r="E307" s="23" t="s">
        <v>40</v>
      </c>
      <c r="F307" s="25">
        <v>0.0</v>
      </c>
      <c r="H307" s="26">
        <v>0.0</v>
      </c>
      <c r="J307" s="26">
        <v>0.0</v>
      </c>
      <c r="L307" s="25">
        <v>50.0</v>
      </c>
      <c r="N307" s="26">
        <v>50.0</v>
      </c>
      <c r="P307" s="26">
        <v>0.0</v>
      </c>
      <c r="R307" s="26">
        <v>0.0</v>
      </c>
      <c r="T307" s="26">
        <v>0.0</v>
      </c>
      <c r="V307" s="26">
        <v>0.0</v>
      </c>
      <c r="X307" s="26">
        <v>0.0</v>
      </c>
      <c r="Y307" s="28"/>
      <c r="Z307" s="25">
        <v>20.0</v>
      </c>
      <c r="AB307" s="26">
        <v>20.0</v>
      </c>
      <c r="AD307" s="26">
        <v>0.0</v>
      </c>
      <c r="AF307" s="30"/>
      <c r="AH307" s="30"/>
      <c r="AJ307" s="30"/>
      <c r="AK307" s="28"/>
      <c r="AL307" s="60">
        <f t="shared" si="1"/>
        <v>1737.4</v>
      </c>
      <c r="AM307" s="53">
        <f t="shared" si="2"/>
        <v>140</v>
      </c>
      <c r="AN307" s="53">
        <f t="shared" si="3"/>
        <v>0</v>
      </c>
      <c r="AO307" s="53">
        <f t="shared" si="4"/>
        <v>140</v>
      </c>
      <c r="AP307" s="61">
        <f t="shared" si="5"/>
        <v>12.41</v>
      </c>
    </row>
    <row r="308">
      <c r="A308" s="48" t="s">
        <v>29</v>
      </c>
      <c r="B308" s="51">
        <f t="shared" si="6"/>
        <v>45961</v>
      </c>
      <c r="C308" s="53">
        <v>11.0</v>
      </c>
      <c r="D308" s="53" t="s">
        <v>36</v>
      </c>
      <c r="E308" s="23" t="s">
        <v>40</v>
      </c>
      <c r="F308" s="25">
        <v>0.0</v>
      </c>
      <c r="H308" s="26">
        <v>0.0</v>
      </c>
      <c r="J308" s="26">
        <v>0.0</v>
      </c>
      <c r="L308" s="25">
        <v>50.0</v>
      </c>
      <c r="N308" s="26">
        <v>50.0</v>
      </c>
      <c r="P308" s="26">
        <v>0.0</v>
      </c>
      <c r="R308" s="26">
        <v>0.0</v>
      </c>
      <c r="T308" s="26">
        <v>0.0</v>
      </c>
      <c r="V308" s="26">
        <v>0.0</v>
      </c>
      <c r="X308" s="26">
        <v>0.0</v>
      </c>
      <c r="Y308" s="28"/>
      <c r="Z308" s="25">
        <v>20.0</v>
      </c>
      <c r="AB308" s="26">
        <v>20.0</v>
      </c>
      <c r="AD308" s="26">
        <v>0.0</v>
      </c>
      <c r="AF308" s="30"/>
      <c r="AH308" s="30"/>
      <c r="AJ308" s="30"/>
      <c r="AK308" s="28"/>
      <c r="AL308" s="60">
        <f t="shared" si="1"/>
        <v>1737.4</v>
      </c>
      <c r="AM308" s="53">
        <f t="shared" si="2"/>
        <v>140</v>
      </c>
      <c r="AN308" s="53">
        <f t="shared" si="3"/>
        <v>0</v>
      </c>
      <c r="AO308" s="53">
        <f t="shared" si="4"/>
        <v>140</v>
      </c>
      <c r="AP308" s="61">
        <f t="shared" si="5"/>
        <v>12.41</v>
      </c>
    </row>
    <row r="309">
      <c r="A309" s="48" t="s">
        <v>30</v>
      </c>
      <c r="B309" s="51">
        <f t="shared" si="6"/>
        <v>45962</v>
      </c>
      <c r="C309" s="53">
        <v>11.0</v>
      </c>
      <c r="D309" s="53" t="s">
        <v>36</v>
      </c>
      <c r="E309" s="23" t="s">
        <v>40</v>
      </c>
      <c r="F309" s="25">
        <v>0.0</v>
      </c>
      <c r="H309" s="26">
        <v>0.0</v>
      </c>
      <c r="J309" s="26">
        <v>0.0</v>
      </c>
      <c r="L309" s="25">
        <v>50.0</v>
      </c>
      <c r="N309" s="26">
        <v>50.0</v>
      </c>
      <c r="P309" s="26">
        <v>0.0</v>
      </c>
      <c r="R309" s="26">
        <v>0.0</v>
      </c>
      <c r="T309" s="26">
        <v>0.0</v>
      </c>
      <c r="V309" s="26">
        <v>0.0</v>
      </c>
      <c r="X309" s="26">
        <v>0.0</v>
      </c>
      <c r="Y309" s="28"/>
      <c r="Z309" s="25">
        <v>0.0</v>
      </c>
      <c r="AB309" s="26">
        <v>0.0</v>
      </c>
      <c r="AD309" s="26">
        <v>0.0</v>
      </c>
      <c r="AF309" s="30"/>
      <c r="AH309" s="30"/>
      <c r="AJ309" s="30"/>
      <c r="AK309" s="28"/>
      <c r="AL309" s="60">
        <f t="shared" si="1"/>
        <v>1241</v>
      </c>
      <c r="AM309" s="53">
        <f t="shared" si="2"/>
        <v>100</v>
      </c>
      <c r="AN309" s="53">
        <f t="shared" si="3"/>
        <v>0</v>
      </c>
      <c r="AO309" s="53">
        <f t="shared" si="4"/>
        <v>100</v>
      </c>
      <c r="AP309" s="61">
        <f t="shared" si="5"/>
        <v>12.41</v>
      </c>
    </row>
    <row r="310">
      <c r="A310" s="69" t="s">
        <v>31</v>
      </c>
      <c r="B310" s="70">
        <f t="shared" si="6"/>
        <v>45963</v>
      </c>
      <c r="C310" s="71">
        <v>11.0</v>
      </c>
      <c r="D310" s="71" t="s">
        <v>36</v>
      </c>
      <c r="E310" s="73" t="s">
        <v>40</v>
      </c>
      <c r="F310" s="74">
        <v>0.0</v>
      </c>
      <c r="G310" s="75"/>
      <c r="H310" s="76">
        <v>0.0</v>
      </c>
      <c r="I310" s="75"/>
      <c r="J310" s="76">
        <v>0.0</v>
      </c>
      <c r="K310" s="75"/>
      <c r="L310" s="74">
        <v>0.0</v>
      </c>
      <c r="M310" s="75"/>
      <c r="N310" s="76">
        <v>0.0</v>
      </c>
      <c r="O310" s="75"/>
      <c r="P310" s="76">
        <v>0.0</v>
      </c>
      <c r="Q310" s="75"/>
      <c r="R310" s="76">
        <v>0.0</v>
      </c>
      <c r="S310" s="75"/>
      <c r="T310" s="76">
        <v>0.0</v>
      </c>
      <c r="U310" s="75"/>
      <c r="V310" s="76">
        <v>0.0</v>
      </c>
      <c r="W310" s="75"/>
      <c r="X310" s="76">
        <v>0.0</v>
      </c>
      <c r="Y310" s="77"/>
      <c r="Z310" s="74">
        <v>0.0</v>
      </c>
      <c r="AA310" s="75"/>
      <c r="AB310" s="76">
        <v>0.0</v>
      </c>
      <c r="AC310" s="75"/>
      <c r="AD310" s="76">
        <v>0.0</v>
      </c>
      <c r="AE310" s="75"/>
      <c r="AF310" s="78"/>
      <c r="AG310" s="75"/>
      <c r="AH310" s="78"/>
      <c r="AI310" s="75"/>
      <c r="AJ310" s="78"/>
      <c r="AK310" s="77"/>
      <c r="AL310" s="79">
        <f t="shared" si="1"/>
        <v>0</v>
      </c>
      <c r="AM310" s="71">
        <f t="shared" si="2"/>
        <v>0</v>
      </c>
      <c r="AN310" s="71">
        <f t="shared" si="3"/>
        <v>0</v>
      </c>
      <c r="AO310" s="71">
        <f t="shared" si="4"/>
        <v>0</v>
      </c>
      <c r="AP310" s="80" t="str">
        <f t="shared" si="5"/>
        <v/>
      </c>
    </row>
    <row r="311">
      <c r="A311" s="19" t="s">
        <v>23</v>
      </c>
      <c r="B311" s="81">
        <f t="shared" si="6"/>
        <v>45964</v>
      </c>
      <c r="C311" s="21">
        <v>12.0</v>
      </c>
      <c r="D311" s="21" t="s">
        <v>24</v>
      </c>
      <c r="E311" s="82" t="s">
        <v>40</v>
      </c>
      <c r="F311" s="25">
        <v>0.0</v>
      </c>
      <c r="H311" s="26">
        <v>0.0</v>
      </c>
      <c r="J311" s="26">
        <v>0.0</v>
      </c>
      <c r="L311" s="25">
        <v>50.0</v>
      </c>
      <c r="N311" s="26">
        <v>50.0</v>
      </c>
      <c r="P311" s="26">
        <v>0.0</v>
      </c>
      <c r="R311" s="26">
        <v>0.0</v>
      </c>
      <c r="T311" s="26">
        <v>1.0</v>
      </c>
      <c r="V311" s="26">
        <v>1.0</v>
      </c>
      <c r="X311" s="26">
        <v>0.0</v>
      </c>
      <c r="Y311" s="28"/>
      <c r="Z311" s="25">
        <v>20.0</v>
      </c>
      <c r="AB311" s="26">
        <v>20.0</v>
      </c>
      <c r="AD311" s="26">
        <v>0.0</v>
      </c>
      <c r="AF311" s="30"/>
      <c r="AH311" s="30"/>
      <c r="AJ311" s="30"/>
      <c r="AK311" s="28"/>
      <c r="AL311" s="39">
        <f t="shared" si="1"/>
        <v>2502.53</v>
      </c>
      <c r="AM311" s="21">
        <f t="shared" si="2"/>
        <v>140</v>
      </c>
      <c r="AN311" s="21">
        <f t="shared" si="3"/>
        <v>2</v>
      </c>
      <c r="AO311" s="21">
        <f t="shared" si="4"/>
        <v>142</v>
      </c>
      <c r="AP311" s="46">
        <f t="shared" si="5"/>
        <v>17.6234507</v>
      </c>
    </row>
    <row r="312">
      <c r="A312" s="48" t="s">
        <v>26</v>
      </c>
      <c r="B312" s="51">
        <f t="shared" si="6"/>
        <v>45965</v>
      </c>
      <c r="C312" s="53">
        <v>12.0</v>
      </c>
      <c r="D312" s="53" t="s">
        <v>24</v>
      </c>
      <c r="E312" s="23" t="s">
        <v>40</v>
      </c>
      <c r="F312" s="25">
        <v>0.0</v>
      </c>
      <c r="H312" s="26">
        <v>0.0</v>
      </c>
      <c r="J312" s="26">
        <v>0.0</v>
      </c>
      <c r="L312" s="25">
        <v>50.0</v>
      </c>
      <c r="N312" s="26">
        <v>50.0</v>
      </c>
      <c r="P312" s="26">
        <v>0.0</v>
      </c>
      <c r="R312" s="26">
        <v>0.0</v>
      </c>
      <c r="T312" s="26">
        <v>0.0</v>
      </c>
      <c r="V312" s="26">
        <v>0.0</v>
      </c>
      <c r="X312" s="26">
        <v>0.0</v>
      </c>
      <c r="Y312" s="28"/>
      <c r="Z312" s="25">
        <v>20.0</v>
      </c>
      <c r="AB312" s="26">
        <v>20.0</v>
      </c>
      <c r="AD312" s="26">
        <v>0.0</v>
      </c>
      <c r="AF312" s="30"/>
      <c r="AH312" s="30"/>
      <c r="AJ312" s="30"/>
      <c r="AK312" s="28"/>
      <c r="AL312" s="60">
        <f t="shared" si="1"/>
        <v>1737.4</v>
      </c>
      <c r="AM312" s="53">
        <f t="shared" si="2"/>
        <v>140</v>
      </c>
      <c r="AN312" s="53">
        <f t="shared" si="3"/>
        <v>0</v>
      </c>
      <c r="AO312" s="53">
        <f t="shared" si="4"/>
        <v>140</v>
      </c>
      <c r="AP312" s="61">
        <f t="shared" si="5"/>
        <v>12.41</v>
      </c>
    </row>
    <row r="313">
      <c r="A313" s="48" t="s">
        <v>27</v>
      </c>
      <c r="B313" s="51">
        <f t="shared" si="6"/>
        <v>45966</v>
      </c>
      <c r="C313" s="53">
        <v>12.0</v>
      </c>
      <c r="D313" s="53" t="s">
        <v>24</v>
      </c>
      <c r="E313" s="23" t="s">
        <v>40</v>
      </c>
      <c r="F313" s="25">
        <v>0.0</v>
      </c>
      <c r="H313" s="26">
        <v>0.0</v>
      </c>
      <c r="J313" s="26">
        <v>0.0</v>
      </c>
      <c r="L313" s="25">
        <v>50.0</v>
      </c>
      <c r="N313" s="26">
        <v>50.0</v>
      </c>
      <c r="P313" s="26">
        <v>0.0</v>
      </c>
      <c r="R313" s="26">
        <v>0.0</v>
      </c>
      <c r="T313" s="26">
        <v>0.0</v>
      </c>
      <c r="V313" s="26">
        <v>0.0</v>
      </c>
      <c r="X313" s="26">
        <v>0.0</v>
      </c>
      <c r="Y313" s="28"/>
      <c r="Z313" s="25">
        <v>20.0</v>
      </c>
      <c r="AB313" s="26">
        <v>20.0</v>
      </c>
      <c r="AD313" s="26">
        <v>0.0</v>
      </c>
      <c r="AF313" s="30"/>
      <c r="AH313" s="30"/>
      <c r="AJ313" s="30"/>
      <c r="AK313" s="28"/>
      <c r="AL313" s="60">
        <f t="shared" si="1"/>
        <v>1737.4</v>
      </c>
      <c r="AM313" s="53">
        <f t="shared" si="2"/>
        <v>140</v>
      </c>
      <c r="AN313" s="53">
        <f t="shared" si="3"/>
        <v>0</v>
      </c>
      <c r="AO313" s="53">
        <f t="shared" si="4"/>
        <v>140</v>
      </c>
      <c r="AP313" s="61">
        <f t="shared" si="5"/>
        <v>12.41</v>
      </c>
    </row>
    <row r="314">
      <c r="A314" s="48" t="s">
        <v>28</v>
      </c>
      <c r="B314" s="51">
        <f t="shared" si="6"/>
        <v>45967</v>
      </c>
      <c r="C314" s="53">
        <v>12.0</v>
      </c>
      <c r="D314" s="53" t="s">
        <v>24</v>
      </c>
      <c r="E314" s="23" t="s">
        <v>40</v>
      </c>
      <c r="F314" s="25">
        <v>0.0</v>
      </c>
      <c r="H314" s="26">
        <v>0.0</v>
      </c>
      <c r="J314" s="26">
        <v>0.0</v>
      </c>
      <c r="L314" s="25">
        <v>50.0</v>
      </c>
      <c r="N314" s="26">
        <v>50.0</v>
      </c>
      <c r="P314" s="26">
        <v>0.0</v>
      </c>
      <c r="R314" s="26">
        <v>0.0</v>
      </c>
      <c r="T314" s="26">
        <v>0.0</v>
      </c>
      <c r="V314" s="26">
        <v>0.0</v>
      </c>
      <c r="X314" s="26">
        <v>0.0</v>
      </c>
      <c r="Y314" s="28"/>
      <c r="Z314" s="25">
        <v>20.0</v>
      </c>
      <c r="AB314" s="26">
        <v>20.0</v>
      </c>
      <c r="AD314" s="26">
        <v>0.0</v>
      </c>
      <c r="AF314" s="30"/>
      <c r="AH314" s="30"/>
      <c r="AJ314" s="30"/>
      <c r="AK314" s="28"/>
      <c r="AL314" s="60">
        <f t="shared" si="1"/>
        <v>1737.4</v>
      </c>
      <c r="AM314" s="53">
        <f t="shared" si="2"/>
        <v>140</v>
      </c>
      <c r="AN314" s="53">
        <f t="shared" si="3"/>
        <v>0</v>
      </c>
      <c r="AO314" s="53">
        <f t="shared" si="4"/>
        <v>140</v>
      </c>
      <c r="AP314" s="61">
        <f t="shared" si="5"/>
        <v>12.41</v>
      </c>
    </row>
    <row r="315">
      <c r="A315" s="48" t="s">
        <v>29</v>
      </c>
      <c r="B315" s="51">
        <f t="shared" si="6"/>
        <v>45968</v>
      </c>
      <c r="C315" s="53">
        <v>12.0</v>
      </c>
      <c r="D315" s="53" t="s">
        <v>24</v>
      </c>
      <c r="E315" s="23" t="s">
        <v>40</v>
      </c>
      <c r="F315" s="25">
        <v>0.0</v>
      </c>
      <c r="H315" s="26">
        <v>0.0</v>
      </c>
      <c r="J315" s="26">
        <v>0.0</v>
      </c>
      <c r="L315" s="25">
        <v>50.0</v>
      </c>
      <c r="N315" s="26">
        <v>50.0</v>
      </c>
      <c r="P315" s="26">
        <v>0.0</v>
      </c>
      <c r="R315" s="26">
        <v>0.0</v>
      </c>
      <c r="T315" s="26">
        <v>0.0</v>
      </c>
      <c r="V315" s="26">
        <v>0.0</v>
      </c>
      <c r="X315" s="26">
        <v>0.0</v>
      </c>
      <c r="Y315" s="28"/>
      <c r="Z315" s="25">
        <v>20.0</v>
      </c>
      <c r="AB315" s="26">
        <v>20.0</v>
      </c>
      <c r="AD315" s="26">
        <v>0.0</v>
      </c>
      <c r="AF315" s="30"/>
      <c r="AH315" s="30"/>
      <c r="AJ315" s="30"/>
      <c r="AK315" s="28"/>
      <c r="AL315" s="60">
        <f t="shared" si="1"/>
        <v>1737.4</v>
      </c>
      <c r="AM315" s="53">
        <f t="shared" si="2"/>
        <v>140</v>
      </c>
      <c r="AN315" s="53">
        <f t="shared" si="3"/>
        <v>0</v>
      </c>
      <c r="AO315" s="53">
        <f t="shared" si="4"/>
        <v>140</v>
      </c>
      <c r="AP315" s="61">
        <f t="shared" si="5"/>
        <v>12.41</v>
      </c>
    </row>
    <row r="316">
      <c r="A316" s="48" t="s">
        <v>30</v>
      </c>
      <c r="B316" s="51">
        <f t="shared" si="6"/>
        <v>45969</v>
      </c>
      <c r="C316" s="53">
        <v>12.0</v>
      </c>
      <c r="D316" s="53" t="s">
        <v>24</v>
      </c>
      <c r="E316" s="23" t="s">
        <v>40</v>
      </c>
      <c r="F316" s="25">
        <v>0.0</v>
      </c>
      <c r="H316" s="26">
        <v>0.0</v>
      </c>
      <c r="J316" s="26">
        <v>0.0</v>
      </c>
      <c r="L316" s="25">
        <v>50.0</v>
      </c>
      <c r="N316" s="26">
        <v>50.0</v>
      </c>
      <c r="P316" s="26">
        <v>0.0</v>
      </c>
      <c r="R316" s="26">
        <v>0.0</v>
      </c>
      <c r="T316" s="26">
        <v>0.0</v>
      </c>
      <c r="V316" s="26">
        <v>0.0</v>
      </c>
      <c r="X316" s="26">
        <v>0.0</v>
      </c>
      <c r="Y316" s="28"/>
      <c r="Z316" s="25">
        <v>0.0</v>
      </c>
      <c r="AB316" s="26">
        <v>0.0</v>
      </c>
      <c r="AD316" s="26">
        <v>0.0</v>
      </c>
      <c r="AF316" s="30"/>
      <c r="AH316" s="30"/>
      <c r="AJ316" s="30"/>
      <c r="AK316" s="28"/>
      <c r="AL316" s="60">
        <f t="shared" si="1"/>
        <v>1241</v>
      </c>
      <c r="AM316" s="53">
        <f t="shared" si="2"/>
        <v>100</v>
      </c>
      <c r="AN316" s="53">
        <f t="shared" si="3"/>
        <v>0</v>
      </c>
      <c r="AO316" s="53">
        <f t="shared" si="4"/>
        <v>100</v>
      </c>
      <c r="AP316" s="61">
        <f t="shared" si="5"/>
        <v>12.41</v>
      </c>
    </row>
    <row r="317">
      <c r="A317" s="69" t="s">
        <v>31</v>
      </c>
      <c r="B317" s="70">
        <f t="shared" si="6"/>
        <v>45970</v>
      </c>
      <c r="C317" s="71">
        <v>12.0</v>
      </c>
      <c r="D317" s="71" t="s">
        <v>24</v>
      </c>
      <c r="E317" s="73" t="s">
        <v>40</v>
      </c>
      <c r="F317" s="74">
        <v>0.0</v>
      </c>
      <c r="G317" s="75"/>
      <c r="H317" s="76">
        <v>0.0</v>
      </c>
      <c r="I317" s="75"/>
      <c r="J317" s="76">
        <v>0.0</v>
      </c>
      <c r="K317" s="75"/>
      <c r="L317" s="74">
        <v>0.0</v>
      </c>
      <c r="M317" s="75"/>
      <c r="N317" s="76">
        <v>0.0</v>
      </c>
      <c r="O317" s="75"/>
      <c r="P317" s="76">
        <v>0.0</v>
      </c>
      <c r="Q317" s="75"/>
      <c r="R317" s="76">
        <v>0.0</v>
      </c>
      <c r="S317" s="75"/>
      <c r="T317" s="76">
        <v>0.0</v>
      </c>
      <c r="U317" s="75"/>
      <c r="V317" s="76">
        <v>0.0</v>
      </c>
      <c r="W317" s="75"/>
      <c r="X317" s="76">
        <v>0.0</v>
      </c>
      <c r="Y317" s="77"/>
      <c r="Z317" s="74">
        <v>0.0</v>
      </c>
      <c r="AA317" s="75"/>
      <c r="AB317" s="76">
        <v>0.0</v>
      </c>
      <c r="AC317" s="75"/>
      <c r="AD317" s="76">
        <v>0.0</v>
      </c>
      <c r="AE317" s="75"/>
      <c r="AF317" s="78"/>
      <c r="AG317" s="75"/>
      <c r="AH317" s="78"/>
      <c r="AI317" s="75"/>
      <c r="AJ317" s="78"/>
      <c r="AK317" s="77"/>
      <c r="AL317" s="79">
        <f t="shared" si="1"/>
        <v>0</v>
      </c>
      <c r="AM317" s="71">
        <f t="shared" si="2"/>
        <v>0</v>
      </c>
      <c r="AN317" s="71">
        <f t="shared" si="3"/>
        <v>0</v>
      </c>
      <c r="AO317" s="71">
        <f t="shared" si="4"/>
        <v>0</v>
      </c>
      <c r="AP317" s="80" t="str">
        <f t="shared" si="5"/>
        <v/>
      </c>
    </row>
    <row r="318">
      <c r="A318" s="19" t="s">
        <v>23</v>
      </c>
      <c r="B318" s="81">
        <f t="shared" si="6"/>
        <v>45971</v>
      </c>
      <c r="C318" s="21">
        <v>12.0</v>
      </c>
      <c r="D318" s="21" t="s">
        <v>32</v>
      </c>
      <c r="E318" s="82" t="s">
        <v>40</v>
      </c>
      <c r="F318" s="114">
        <v>0.0</v>
      </c>
      <c r="H318" s="115">
        <v>0.0</v>
      </c>
      <c r="J318" s="115">
        <v>0.0</v>
      </c>
      <c r="L318" s="114">
        <v>40.0</v>
      </c>
      <c r="N318" s="115">
        <v>40.0</v>
      </c>
      <c r="P318" s="115">
        <v>0.0</v>
      </c>
      <c r="R318" s="115">
        <v>0.0</v>
      </c>
      <c r="T318" s="115">
        <v>1.0</v>
      </c>
      <c r="V318" s="115">
        <v>1.0</v>
      </c>
      <c r="X318" s="115">
        <v>0.0</v>
      </c>
      <c r="Y318" s="28"/>
      <c r="Z318" s="114">
        <v>15.0</v>
      </c>
      <c r="AB318" s="115">
        <v>15.0</v>
      </c>
      <c r="AD318" s="115">
        <v>0.0</v>
      </c>
      <c r="AF318" s="116"/>
      <c r="AH318" s="116"/>
      <c r="AJ318" s="116"/>
      <c r="AK318" s="28"/>
      <c r="AL318" s="117">
        <f t="shared" si="1"/>
        <v>2130.23</v>
      </c>
      <c r="AM318" s="21">
        <f t="shared" si="2"/>
        <v>110</v>
      </c>
      <c r="AN318" s="21">
        <f t="shared" si="3"/>
        <v>2</v>
      </c>
      <c r="AO318" s="21">
        <f t="shared" si="4"/>
        <v>112</v>
      </c>
      <c r="AP318" s="46">
        <f t="shared" si="5"/>
        <v>19.01991071</v>
      </c>
    </row>
    <row r="319">
      <c r="A319" s="48" t="s">
        <v>26</v>
      </c>
      <c r="B319" s="51">
        <f t="shared" si="6"/>
        <v>45972</v>
      </c>
      <c r="C319" s="53">
        <v>12.0</v>
      </c>
      <c r="D319" s="53" t="s">
        <v>32</v>
      </c>
      <c r="E319" s="23" t="s">
        <v>40</v>
      </c>
      <c r="F319" s="114">
        <v>0.0</v>
      </c>
      <c r="H319" s="115">
        <v>0.0</v>
      </c>
      <c r="J319" s="115">
        <v>0.0</v>
      </c>
      <c r="L319" s="114">
        <v>40.0</v>
      </c>
      <c r="N319" s="115">
        <v>40.0</v>
      </c>
      <c r="P319" s="115">
        <v>0.0</v>
      </c>
      <c r="R319" s="115">
        <v>0.0</v>
      </c>
      <c r="T319" s="115">
        <v>0.0</v>
      </c>
      <c r="V319" s="115">
        <v>0.0</v>
      </c>
      <c r="X319" s="115">
        <v>0.0</v>
      </c>
      <c r="Y319" s="28"/>
      <c r="Z319" s="114">
        <v>15.0</v>
      </c>
      <c r="AB319" s="115">
        <v>15.0</v>
      </c>
      <c r="AD319" s="115">
        <v>0.0</v>
      </c>
      <c r="AF319" s="116"/>
      <c r="AH319" s="116"/>
      <c r="AJ319" s="116"/>
      <c r="AK319" s="28"/>
      <c r="AL319" s="118">
        <f t="shared" si="1"/>
        <v>1365.1</v>
      </c>
      <c r="AM319" s="53">
        <f t="shared" si="2"/>
        <v>110</v>
      </c>
      <c r="AN319" s="53">
        <f t="shared" si="3"/>
        <v>0</v>
      </c>
      <c r="AO319" s="53">
        <f t="shared" si="4"/>
        <v>110</v>
      </c>
      <c r="AP319" s="61">
        <f t="shared" si="5"/>
        <v>12.41</v>
      </c>
    </row>
    <row r="320">
      <c r="A320" s="48" t="s">
        <v>27</v>
      </c>
      <c r="B320" s="51">
        <f t="shared" si="6"/>
        <v>45973</v>
      </c>
      <c r="C320" s="53">
        <v>12.0</v>
      </c>
      <c r="D320" s="53" t="s">
        <v>32</v>
      </c>
      <c r="E320" s="23" t="s">
        <v>40</v>
      </c>
      <c r="F320" s="114">
        <v>0.0</v>
      </c>
      <c r="H320" s="115">
        <v>0.0</v>
      </c>
      <c r="J320" s="115">
        <v>0.0</v>
      </c>
      <c r="L320" s="114">
        <v>40.0</v>
      </c>
      <c r="N320" s="115">
        <v>40.0</v>
      </c>
      <c r="P320" s="115">
        <v>0.0</v>
      </c>
      <c r="R320" s="115">
        <v>0.0</v>
      </c>
      <c r="T320" s="115">
        <v>0.0</v>
      </c>
      <c r="V320" s="115">
        <v>0.0</v>
      </c>
      <c r="X320" s="115">
        <v>0.0</v>
      </c>
      <c r="Y320" s="28"/>
      <c r="Z320" s="114">
        <v>15.0</v>
      </c>
      <c r="AB320" s="115">
        <v>15.0</v>
      </c>
      <c r="AD320" s="115">
        <v>0.0</v>
      </c>
      <c r="AF320" s="116"/>
      <c r="AH320" s="116"/>
      <c r="AJ320" s="116"/>
      <c r="AK320" s="28"/>
      <c r="AL320" s="118">
        <f t="shared" si="1"/>
        <v>1365.1</v>
      </c>
      <c r="AM320" s="53">
        <f t="shared" si="2"/>
        <v>110</v>
      </c>
      <c r="AN320" s="53">
        <f t="shared" si="3"/>
        <v>0</v>
      </c>
      <c r="AO320" s="53">
        <f t="shared" si="4"/>
        <v>110</v>
      </c>
      <c r="AP320" s="61">
        <f t="shared" si="5"/>
        <v>12.41</v>
      </c>
    </row>
    <row r="321">
      <c r="A321" s="48" t="s">
        <v>28</v>
      </c>
      <c r="B321" s="51">
        <f t="shared" si="6"/>
        <v>45974</v>
      </c>
      <c r="C321" s="53">
        <v>12.0</v>
      </c>
      <c r="D321" s="53" t="s">
        <v>32</v>
      </c>
      <c r="E321" s="23" t="s">
        <v>40</v>
      </c>
      <c r="F321" s="114">
        <v>0.0</v>
      </c>
      <c r="H321" s="115">
        <v>0.0</v>
      </c>
      <c r="J321" s="115">
        <v>0.0</v>
      </c>
      <c r="L321" s="114">
        <v>40.0</v>
      </c>
      <c r="N321" s="115">
        <v>40.0</v>
      </c>
      <c r="P321" s="115">
        <v>0.0</v>
      </c>
      <c r="R321" s="115">
        <v>0.0</v>
      </c>
      <c r="T321" s="115">
        <v>0.0</v>
      </c>
      <c r="V321" s="115">
        <v>0.0</v>
      </c>
      <c r="X321" s="115">
        <v>0.0</v>
      </c>
      <c r="Y321" s="28"/>
      <c r="Z321" s="114">
        <v>15.0</v>
      </c>
      <c r="AB321" s="115">
        <v>15.0</v>
      </c>
      <c r="AD321" s="115">
        <v>0.0</v>
      </c>
      <c r="AF321" s="116"/>
      <c r="AH321" s="116"/>
      <c r="AJ321" s="116"/>
      <c r="AK321" s="28"/>
      <c r="AL321" s="118">
        <f t="shared" si="1"/>
        <v>1365.1</v>
      </c>
      <c r="AM321" s="53">
        <f t="shared" si="2"/>
        <v>110</v>
      </c>
      <c r="AN321" s="53">
        <f t="shared" si="3"/>
        <v>0</v>
      </c>
      <c r="AO321" s="53">
        <f t="shared" si="4"/>
        <v>110</v>
      </c>
      <c r="AP321" s="61">
        <f t="shared" si="5"/>
        <v>12.41</v>
      </c>
    </row>
    <row r="322">
      <c r="A322" s="48" t="s">
        <v>29</v>
      </c>
      <c r="B322" s="51">
        <f t="shared" si="6"/>
        <v>45975</v>
      </c>
      <c r="C322" s="53">
        <v>12.0</v>
      </c>
      <c r="D322" s="53" t="s">
        <v>32</v>
      </c>
      <c r="E322" s="23" t="s">
        <v>40</v>
      </c>
      <c r="F322" s="114">
        <v>0.0</v>
      </c>
      <c r="H322" s="115">
        <v>0.0</v>
      </c>
      <c r="J322" s="115">
        <v>0.0</v>
      </c>
      <c r="L322" s="114">
        <v>40.0</v>
      </c>
      <c r="N322" s="115">
        <v>40.0</v>
      </c>
      <c r="P322" s="115">
        <v>0.0</v>
      </c>
      <c r="R322" s="115">
        <v>0.0</v>
      </c>
      <c r="T322" s="115">
        <v>0.0</v>
      </c>
      <c r="V322" s="115">
        <v>0.0</v>
      </c>
      <c r="X322" s="115">
        <v>0.0</v>
      </c>
      <c r="Y322" s="28"/>
      <c r="Z322" s="114">
        <v>0.0</v>
      </c>
      <c r="AB322" s="115">
        <v>0.0</v>
      </c>
      <c r="AD322" s="115">
        <v>0.0</v>
      </c>
      <c r="AF322" s="116"/>
      <c r="AH322" s="116"/>
      <c r="AJ322" s="116"/>
      <c r="AK322" s="28"/>
      <c r="AL322" s="118">
        <f t="shared" si="1"/>
        <v>992.8</v>
      </c>
      <c r="AM322" s="53">
        <f t="shared" si="2"/>
        <v>80</v>
      </c>
      <c r="AN322" s="53">
        <f t="shared" si="3"/>
        <v>0</v>
      </c>
      <c r="AO322" s="53">
        <f t="shared" si="4"/>
        <v>80</v>
      </c>
      <c r="AP322" s="61">
        <f t="shared" si="5"/>
        <v>12.41</v>
      </c>
    </row>
    <row r="323">
      <c r="A323" s="48" t="s">
        <v>30</v>
      </c>
      <c r="B323" s="51">
        <f t="shared" si="6"/>
        <v>45976</v>
      </c>
      <c r="C323" s="53">
        <v>12.0</v>
      </c>
      <c r="D323" s="53" t="s">
        <v>32</v>
      </c>
      <c r="E323" s="23" t="s">
        <v>40</v>
      </c>
      <c r="F323" s="114">
        <v>0.0</v>
      </c>
      <c r="H323" s="115">
        <v>0.0</v>
      </c>
      <c r="J323" s="115">
        <v>0.0</v>
      </c>
      <c r="L323" s="114">
        <v>0.0</v>
      </c>
      <c r="N323" s="115">
        <v>0.0</v>
      </c>
      <c r="P323" s="115">
        <v>0.0</v>
      </c>
      <c r="R323" s="115">
        <v>0.0</v>
      </c>
      <c r="T323" s="115">
        <v>0.0</v>
      </c>
      <c r="V323" s="115">
        <v>0.0</v>
      </c>
      <c r="X323" s="115">
        <v>0.0</v>
      </c>
      <c r="Y323" s="28"/>
      <c r="Z323" s="114">
        <v>0.0</v>
      </c>
      <c r="AB323" s="115">
        <v>0.0</v>
      </c>
      <c r="AD323" s="115">
        <v>0.0</v>
      </c>
      <c r="AF323" s="116"/>
      <c r="AH323" s="116"/>
      <c r="AJ323" s="116"/>
      <c r="AK323" s="28"/>
      <c r="AL323" s="118">
        <f t="shared" si="1"/>
        <v>0</v>
      </c>
      <c r="AM323" s="53">
        <f t="shared" si="2"/>
        <v>0</v>
      </c>
      <c r="AN323" s="53">
        <f t="shared" si="3"/>
        <v>0</v>
      </c>
      <c r="AO323" s="53">
        <f t="shared" si="4"/>
        <v>0</v>
      </c>
      <c r="AP323" s="61" t="str">
        <f t="shared" si="5"/>
        <v/>
      </c>
    </row>
    <row r="324">
      <c r="A324" s="69" t="s">
        <v>31</v>
      </c>
      <c r="B324" s="70">
        <f t="shared" si="6"/>
        <v>45977</v>
      </c>
      <c r="C324" s="71">
        <v>12.0</v>
      </c>
      <c r="D324" s="71" t="s">
        <v>32</v>
      </c>
      <c r="E324" s="73" t="s">
        <v>40</v>
      </c>
      <c r="F324" s="119">
        <v>0.0</v>
      </c>
      <c r="G324" s="75"/>
      <c r="H324" s="120">
        <v>0.0</v>
      </c>
      <c r="I324" s="75"/>
      <c r="J324" s="120">
        <v>0.0</v>
      </c>
      <c r="K324" s="75"/>
      <c r="L324" s="119">
        <v>0.0</v>
      </c>
      <c r="M324" s="75"/>
      <c r="N324" s="120">
        <v>0.0</v>
      </c>
      <c r="O324" s="75"/>
      <c r="P324" s="120">
        <v>0.0</v>
      </c>
      <c r="Q324" s="75"/>
      <c r="R324" s="120">
        <v>0.0</v>
      </c>
      <c r="S324" s="75"/>
      <c r="T324" s="120">
        <v>0.0</v>
      </c>
      <c r="U324" s="75"/>
      <c r="V324" s="120">
        <v>0.0</v>
      </c>
      <c r="W324" s="75"/>
      <c r="X324" s="120">
        <v>0.0</v>
      </c>
      <c r="Y324" s="77"/>
      <c r="Z324" s="119">
        <v>0.0</v>
      </c>
      <c r="AA324" s="75"/>
      <c r="AB324" s="120">
        <v>0.0</v>
      </c>
      <c r="AC324" s="75"/>
      <c r="AD324" s="120">
        <v>0.0</v>
      </c>
      <c r="AE324" s="75"/>
      <c r="AF324" s="121"/>
      <c r="AG324" s="75"/>
      <c r="AH324" s="121"/>
      <c r="AI324" s="75"/>
      <c r="AJ324" s="121"/>
      <c r="AK324" s="77"/>
      <c r="AL324" s="122">
        <f t="shared" si="1"/>
        <v>0</v>
      </c>
      <c r="AM324" s="71">
        <f t="shared" si="2"/>
        <v>0</v>
      </c>
      <c r="AN324" s="71">
        <f t="shared" si="3"/>
        <v>0</v>
      </c>
      <c r="AO324" s="71">
        <f t="shared" si="4"/>
        <v>0</v>
      </c>
      <c r="AP324" s="80" t="str">
        <f t="shared" si="5"/>
        <v/>
      </c>
    </row>
    <row r="325">
      <c r="A325" s="19" t="s">
        <v>23</v>
      </c>
      <c r="B325" s="81">
        <f t="shared" si="6"/>
        <v>45978</v>
      </c>
      <c r="C325" s="21">
        <v>12.0</v>
      </c>
      <c r="D325" s="21" t="s">
        <v>33</v>
      </c>
      <c r="E325" s="82" t="s">
        <v>25</v>
      </c>
      <c r="F325" s="153"/>
      <c r="H325" s="154"/>
      <c r="J325" s="154"/>
      <c r="L325" s="153"/>
      <c r="N325" s="154"/>
      <c r="P325" s="154"/>
      <c r="R325" s="154"/>
      <c r="T325" s="154"/>
      <c r="V325" s="154"/>
      <c r="X325" s="154"/>
      <c r="Y325" s="28"/>
      <c r="Z325" s="153"/>
      <c r="AB325" s="154"/>
      <c r="AD325" s="154"/>
      <c r="AF325" s="128"/>
      <c r="AH325" s="128"/>
      <c r="AJ325" s="128"/>
      <c r="AK325" s="28"/>
      <c r="AL325" s="129">
        <f t="shared" si="1"/>
        <v>0</v>
      </c>
      <c r="AM325" s="21">
        <f t="shared" si="2"/>
        <v>0</v>
      </c>
      <c r="AN325" s="21">
        <f t="shared" si="3"/>
        <v>0</v>
      </c>
      <c r="AO325" s="21">
        <f t="shared" si="4"/>
        <v>0</v>
      </c>
      <c r="AP325" s="46" t="str">
        <f t="shared" si="5"/>
        <v/>
      </c>
    </row>
    <row r="326">
      <c r="A326" s="48" t="s">
        <v>26</v>
      </c>
      <c r="B326" s="51">
        <f t="shared" si="6"/>
        <v>45979</v>
      </c>
      <c r="C326" s="53">
        <v>12.0</v>
      </c>
      <c r="D326" s="53" t="s">
        <v>33</v>
      </c>
      <c r="E326" s="23" t="s">
        <v>25</v>
      </c>
      <c r="F326" s="153"/>
      <c r="H326" s="154"/>
      <c r="J326" s="154"/>
      <c r="L326" s="153"/>
      <c r="N326" s="154"/>
      <c r="P326" s="154"/>
      <c r="R326" s="154"/>
      <c r="T326" s="154"/>
      <c r="V326" s="154"/>
      <c r="X326" s="154"/>
      <c r="Y326" s="28"/>
      <c r="Z326" s="153"/>
      <c r="AB326" s="154"/>
      <c r="AD326" s="154"/>
      <c r="AF326" s="128"/>
      <c r="AH326" s="128"/>
      <c r="AJ326" s="128"/>
      <c r="AK326" s="28"/>
      <c r="AL326" s="130">
        <f t="shared" si="1"/>
        <v>0</v>
      </c>
      <c r="AM326" s="53">
        <f t="shared" si="2"/>
        <v>0</v>
      </c>
      <c r="AN326" s="53">
        <f t="shared" si="3"/>
        <v>0</v>
      </c>
      <c r="AO326" s="53">
        <f t="shared" si="4"/>
        <v>0</v>
      </c>
      <c r="AP326" s="61" t="str">
        <f t="shared" si="5"/>
        <v/>
      </c>
    </row>
    <row r="327">
      <c r="A327" s="48" t="s">
        <v>27</v>
      </c>
      <c r="B327" s="51">
        <f t="shared" si="6"/>
        <v>45980</v>
      </c>
      <c r="C327" s="53">
        <v>12.0</v>
      </c>
      <c r="D327" s="53" t="s">
        <v>33</v>
      </c>
      <c r="E327" s="23" t="s">
        <v>25</v>
      </c>
      <c r="F327" s="153"/>
      <c r="H327" s="154"/>
      <c r="J327" s="154"/>
      <c r="L327" s="153"/>
      <c r="N327" s="154"/>
      <c r="P327" s="154"/>
      <c r="R327" s="154"/>
      <c r="T327" s="154"/>
      <c r="V327" s="154"/>
      <c r="X327" s="154"/>
      <c r="Y327" s="28"/>
      <c r="Z327" s="153"/>
      <c r="AB327" s="154"/>
      <c r="AD327" s="154"/>
      <c r="AF327" s="128"/>
      <c r="AH327" s="128"/>
      <c r="AJ327" s="128"/>
      <c r="AK327" s="28"/>
      <c r="AL327" s="130">
        <f t="shared" si="1"/>
        <v>0</v>
      </c>
      <c r="AM327" s="53">
        <f t="shared" si="2"/>
        <v>0</v>
      </c>
      <c r="AN327" s="53">
        <f t="shared" si="3"/>
        <v>0</v>
      </c>
      <c r="AO327" s="53">
        <f t="shared" si="4"/>
        <v>0</v>
      </c>
      <c r="AP327" s="61" t="str">
        <f t="shared" si="5"/>
        <v/>
      </c>
    </row>
    <row r="328">
      <c r="A328" s="48" t="s">
        <v>28</v>
      </c>
      <c r="B328" s="51">
        <f t="shared" si="6"/>
        <v>45981</v>
      </c>
      <c r="C328" s="53">
        <v>12.0</v>
      </c>
      <c r="D328" s="53" t="s">
        <v>33</v>
      </c>
      <c r="E328" s="23" t="s">
        <v>25</v>
      </c>
      <c r="F328" s="153"/>
      <c r="H328" s="154"/>
      <c r="J328" s="154"/>
      <c r="L328" s="153"/>
      <c r="N328" s="154"/>
      <c r="P328" s="154"/>
      <c r="R328" s="154"/>
      <c r="T328" s="154"/>
      <c r="V328" s="154"/>
      <c r="X328" s="154"/>
      <c r="Y328" s="28"/>
      <c r="Z328" s="153"/>
      <c r="AB328" s="154"/>
      <c r="AD328" s="154"/>
      <c r="AF328" s="128"/>
      <c r="AH328" s="128"/>
      <c r="AJ328" s="128"/>
      <c r="AK328" s="28"/>
      <c r="AL328" s="130">
        <f t="shared" si="1"/>
        <v>0</v>
      </c>
      <c r="AM328" s="53">
        <f t="shared" si="2"/>
        <v>0</v>
      </c>
      <c r="AN328" s="53">
        <f t="shared" si="3"/>
        <v>0</v>
      </c>
      <c r="AO328" s="53">
        <f t="shared" si="4"/>
        <v>0</v>
      </c>
      <c r="AP328" s="61" t="str">
        <f t="shared" si="5"/>
        <v/>
      </c>
    </row>
    <row r="329">
      <c r="A329" s="48" t="s">
        <v>29</v>
      </c>
      <c r="B329" s="51">
        <f t="shared" si="6"/>
        <v>45982</v>
      </c>
      <c r="C329" s="53">
        <v>12.0</v>
      </c>
      <c r="D329" s="53" t="s">
        <v>33</v>
      </c>
      <c r="E329" s="23" t="s">
        <v>25</v>
      </c>
      <c r="F329" s="153"/>
      <c r="H329" s="154"/>
      <c r="J329" s="154"/>
      <c r="L329" s="153"/>
      <c r="N329" s="154"/>
      <c r="P329" s="154"/>
      <c r="R329" s="154"/>
      <c r="T329" s="154"/>
      <c r="V329" s="154"/>
      <c r="X329" s="154"/>
      <c r="Y329" s="28"/>
      <c r="Z329" s="153"/>
      <c r="AB329" s="154"/>
      <c r="AD329" s="154"/>
      <c r="AF329" s="128"/>
      <c r="AH329" s="128"/>
      <c r="AJ329" s="128"/>
      <c r="AK329" s="28"/>
      <c r="AL329" s="130">
        <f t="shared" si="1"/>
        <v>0</v>
      </c>
      <c r="AM329" s="53">
        <f t="shared" si="2"/>
        <v>0</v>
      </c>
      <c r="AN329" s="53">
        <f t="shared" si="3"/>
        <v>0</v>
      </c>
      <c r="AO329" s="53">
        <f t="shared" si="4"/>
        <v>0</v>
      </c>
      <c r="AP329" s="61" t="str">
        <f t="shared" si="5"/>
        <v/>
      </c>
    </row>
    <row r="330">
      <c r="A330" s="48" t="s">
        <v>30</v>
      </c>
      <c r="B330" s="51">
        <f t="shared" si="6"/>
        <v>45983</v>
      </c>
      <c r="C330" s="53">
        <v>12.0</v>
      </c>
      <c r="D330" s="53" t="s">
        <v>33</v>
      </c>
      <c r="E330" s="23" t="s">
        <v>25</v>
      </c>
      <c r="F330" s="153"/>
      <c r="H330" s="154"/>
      <c r="J330" s="154"/>
      <c r="L330" s="153"/>
      <c r="N330" s="154"/>
      <c r="P330" s="154"/>
      <c r="R330" s="154"/>
      <c r="T330" s="154"/>
      <c r="V330" s="154"/>
      <c r="X330" s="154"/>
      <c r="Y330" s="28"/>
      <c r="Z330" s="153"/>
      <c r="AB330" s="154"/>
      <c r="AD330" s="154"/>
      <c r="AF330" s="128"/>
      <c r="AH330" s="128"/>
      <c r="AJ330" s="128"/>
      <c r="AK330" s="28"/>
      <c r="AL330" s="130">
        <f t="shared" si="1"/>
        <v>0</v>
      </c>
      <c r="AM330" s="53">
        <f t="shared" si="2"/>
        <v>0</v>
      </c>
      <c r="AN330" s="53">
        <f t="shared" si="3"/>
        <v>0</v>
      </c>
      <c r="AO330" s="53">
        <f t="shared" si="4"/>
        <v>0</v>
      </c>
      <c r="AP330" s="61" t="str">
        <f t="shared" si="5"/>
        <v/>
      </c>
    </row>
    <row r="331">
      <c r="A331" s="69" t="s">
        <v>31</v>
      </c>
      <c r="B331" s="70">
        <f t="shared" si="6"/>
        <v>45984</v>
      </c>
      <c r="C331" s="71">
        <v>12.0</v>
      </c>
      <c r="D331" s="71" t="s">
        <v>33</v>
      </c>
      <c r="E331" s="73" t="s">
        <v>25</v>
      </c>
      <c r="F331" s="155"/>
      <c r="G331" s="75"/>
      <c r="H331" s="156"/>
      <c r="I331" s="75"/>
      <c r="J331" s="156"/>
      <c r="K331" s="75"/>
      <c r="L331" s="155"/>
      <c r="M331" s="75"/>
      <c r="N331" s="156"/>
      <c r="O331" s="75"/>
      <c r="P331" s="156"/>
      <c r="Q331" s="75"/>
      <c r="R331" s="156"/>
      <c r="S331" s="75"/>
      <c r="T331" s="156"/>
      <c r="U331" s="75"/>
      <c r="V331" s="156"/>
      <c r="W331" s="75"/>
      <c r="X331" s="156"/>
      <c r="Y331" s="77"/>
      <c r="Z331" s="155"/>
      <c r="AA331" s="75"/>
      <c r="AB331" s="156"/>
      <c r="AC331" s="75"/>
      <c r="AD331" s="156"/>
      <c r="AE331" s="75"/>
      <c r="AF331" s="131"/>
      <c r="AG331" s="75"/>
      <c r="AH331" s="131"/>
      <c r="AI331" s="75"/>
      <c r="AJ331" s="131"/>
      <c r="AK331" s="77"/>
      <c r="AL331" s="134">
        <f t="shared" si="1"/>
        <v>0</v>
      </c>
      <c r="AM331" s="71">
        <f t="shared" si="2"/>
        <v>0</v>
      </c>
      <c r="AN331" s="71">
        <f t="shared" si="3"/>
        <v>0</v>
      </c>
      <c r="AO331" s="71">
        <f t="shared" si="4"/>
        <v>0</v>
      </c>
      <c r="AP331" s="80" t="str">
        <f t="shared" si="5"/>
        <v/>
      </c>
    </row>
    <row r="332">
      <c r="A332" s="19" t="s">
        <v>23</v>
      </c>
      <c r="B332" s="81">
        <f t="shared" si="6"/>
        <v>45985</v>
      </c>
      <c r="C332" s="21">
        <v>12.0</v>
      </c>
      <c r="D332" s="21" t="s">
        <v>36</v>
      </c>
      <c r="E332" s="82" t="s">
        <v>25</v>
      </c>
      <c r="F332" s="153"/>
      <c r="H332" s="154"/>
      <c r="J332" s="154"/>
      <c r="L332" s="153"/>
      <c r="N332" s="154"/>
      <c r="P332" s="154"/>
      <c r="R332" s="154"/>
      <c r="T332" s="154"/>
      <c r="V332" s="154"/>
      <c r="X332" s="154"/>
      <c r="Y332" s="28"/>
      <c r="Z332" s="153"/>
      <c r="AB332" s="154"/>
      <c r="AD332" s="154"/>
      <c r="AF332" s="128"/>
      <c r="AH332" s="128"/>
      <c r="AJ332" s="128"/>
      <c r="AK332" s="28"/>
      <c r="AL332" s="129">
        <f t="shared" si="1"/>
        <v>0</v>
      </c>
      <c r="AM332" s="21">
        <f t="shared" si="2"/>
        <v>0</v>
      </c>
      <c r="AN332" s="21">
        <f t="shared" si="3"/>
        <v>0</v>
      </c>
      <c r="AO332" s="21">
        <f t="shared" si="4"/>
        <v>0</v>
      </c>
      <c r="AP332" s="46" t="str">
        <f t="shared" si="5"/>
        <v/>
      </c>
    </row>
    <row r="333">
      <c r="A333" s="48" t="s">
        <v>26</v>
      </c>
      <c r="B333" s="51">
        <f t="shared" si="6"/>
        <v>45986</v>
      </c>
      <c r="C333" s="53">
        <v>12.0</v>
      </c>
      <c r="D333" s="53" t="s">
        <v>36</v>
      </c>
      <c r="E333" s="23" t="s">
        <v>25</v>
      </c>
      <c r="F333" s="153"/>
      <c r="H333" s="154"/>
      <c r="J333" s="154"/>
      <c r="L333" s="153"/>
      <c r="N333" s="154"/>
      <c r="P333" s="154"/>
      <c r="R333" s="154"/>
      <c r="T333" s="154"/>
      <c r="V333" s="154"/>
      <c r="X333" s="154"/>
      <c r="Y333" s="28"/>
      <c r="Z333" s="153"/>
      <c r="AB333" s="154"/>
      <c r="AD333" s="154"/>
      <c r="AF333" s="128"/>
      <c r="AH333" s="128"/>
      <c r="AJ333" s="128"/>
      <c r="AK333" s="28"/>
      <c r="AL333" s="130">
        <f t="shared" si="1"/>
        <v>0</v>
      </c>
      <c r="AM333" s="53">
        <f t="shared" si="2"/>
        <v>0</v>
      </c>
      <c r="AN333" s="53">
        <f t="shared" si="3"/>
        <v>0</v>
      </c>
      <c r="AO333" s="53">
        <f t="shared" si="4"/>
        <v>0</v>
      </c>
      <c r="AP333" s="61" t="str">
        <f t="shared" si="5"/>
        <v/>
      </c>
    </row>
    <row r="334">
      <c r="A334" s="48" t="s">
        <v>27</v>
      </c>
      <c r="B334" s="51">
        <f t="shared" si="6"/>
        <v>45987</v>
      </c>
      <c r="C334" s="53">
        <v>12.0</v>
      </c>
      <c r="D334" s="53" t="s">
        <v>36</v>
      </c>
      <c r="E334" s="23" t="s">
        <v>25</v>
      </c>
      <c r="F334" s="153"/>
      <c r="H334" s="154"/>
      <c r="J334" s="154"/>
      <c r="L334" s="153"/>
      <c r="N334" s="154"/>
      <c r="P334" s="154"/>
      <c r="R334" s="154"/>
      <c r="T334" s="154"/>
      <c r="V334" s="154"/>
      <c r="X334" s="154"/>
      <c r="Y334" s="28"/>
      <c r="Z334" s="153"/>
      <c r="AB334" s="154"/>
      <c r="AD334" s="154"/>
      <c r="AF334" s="128"/>
      <c r="AH334" s="128"/>
      <c r="AJ334" s="128"/>
      <c r="AK334" s="28"/>
      <c r="AL334" s="130">
        <f t="shared" si="1"/>
        <v>0</v>
      </c>
      <c r="AM334" s="53">
        <f t="shared" si="2"/>
        <v>0</v>
      </c>
      <c r="AN334" s="53">
        <f t="shared" si="3"/>
        <v>0</v>
      </c>
      <c r="AO334" s="53">
        <f t="shared" si="4"/>
        <v>0</v>
      </c>
      <c r="AP334" s="61" t="str">
        <f t="shared" si="5"/>
        <v/>
      </c>
    </row>
    <row r="335">
      <c r="A335" s="48" t="s">
        <v>28</v>
      </c>
      <c r="B335" s="51">
        <f t="shared" si="6"/>
        <v>45988</v>
      </c>
      <c r="C335" s="53">
        <v>12.0</v>
      </c>
      <c r="D335" s="53" t="s">
        <v>36</v>
      </c>
      <c r="E335" s="23" t="s">
        <v>25</v>
      </c>
      <c r="F335" s="153"/>
      <c r="H335" s="154"/>
      <c r="J335" s="154"/>
      <c r="L335" s="153"/>
      <c r="N335" s="154"/>
      <c r="P335" s="154"/>
      <c r="R335" s="154"/>
      <c r="T335" s="154"/>
      <c r="V335" s="154"/>
      <c r="X335" s="154"/>
      <c r="Y335" s="28"/>
      <c r="Z335" s="153"/>
      <c r="AB335" s="154"/>
      <c r="AD335" s="154"/>
      <c r="AF335" s="128"/>
      <c r="AH335" s="128"/>
      <c r="AJ335" s="128"/>
      <c r="AK335" s="28"/>
      <c r="AL335" s="130">
        <f t="shared" si="1"/>
        <v>0</v>
      </c>
      <c r="AM335" s="53">
        <f t="shared" si="2"/>
        <v>0</v>
      </c>
      <c r="AN335" s="53">
        <f t="shared" si="3"/>
        <v>0</v>
      </c>
      <c r="AO335" s="53">
        <f t="shared" si="4"/>
        <v>0</v>
      </c>
      <c r="AP335" s="61" t="str">
        <f t="shared" si="5"/>
        <v/>
      </c>
    </row>
    <row r="336">
      <c r="A336" s="48" t="s">
        <v>29</v>
      </c>
      <c r="B336" s="51">
        <f t="shared" si="6"/>
        <v>45989</v>
      </c>
      <c r="C336" s="53">
        <v>12.0</v>
      </c>
      <c r="D336" s="53" t="s">
        <v>36</v>
      </c>
      <c r="E336" s="23" t="s">
        <v>25</v>
      </c>
      <c r="F336" s="153"/>
      <c r="H336" s="154"/>
      <c r="J336" s="154"/>
      <c r="L336" s="153"/>
      <c r="N336" s="154"/>
      <c r="P336" s="154"/>
      <c r="R336" s="154"/>
      <c r="T336" s="154"/>
      <c r="V336" s="154"/>
      <c r="X336" s="154"/>
      <c r="Y336" s="28"/>
      <c r="Z336" s="153"/>
      <c r="AB336" s="154"/>
      <c r="AD336" s="154"/>
      <c r="AF336" s="128"/>
      <c r="AH336" s="128"/>
      <c r="AJ336" s="128"/>
      <c r="AK336" s="28"/>
      <c r="AL336" s="130">
        <f t="shared" si="1"/>
        <v>0</v>
      </c>
      <c r="AM336" s="53">
        <f t="shared" si="2"/>
        <v>0</v>
      </c>
      <c r="AN336" s="53">
        <f t="shared" si="3"/>
        <v>0</v>
      </c>
      <c r="AO336" s="53">
        <f t="shared" si="4"/>
        <v>0</v>
      </c>
      <c r="AP336" s="61" t="str">
        <f t="shared" si="5"/>
        <v/>
      </c>
    </row>
    <row r="337">
      <c r="A337" s="48" t="s">
        <v>30</v>
      </c>
      <c r="B337" s="51">
        <f t="shared" si="6"/>
        <v>45990</v>
      </c>
      <c r="C337" s="53">
        <v>12.0</v>
      </c>
      <c r="D337" s="53" t="s">
        <v>36</v>
      </c>
      <c r="E337" s="23" t="s">
        <v>25</v>
      </c>
      <c r="F337" s="153"/>
      <c r="H337" s="154"/>
      <c r="J337" s="154"/>
      <c r="L337" s="153"/>
      <c r="N337" s="154"/>
      <c r="P337" s="154"/>
      <c r="R337" s="154"/>
      <c r="T337" s="154"/>
      <c r="V337" s="154"/>
      <c r="X337" s="154"/>
      <c r="Y337" s="28"/>
      <c r="Z337" s="153"/>
      <c r="AB337" s="154"/>
      <c r="AD337" s="154"/>
      <c r="AF337" s="128"/>
      <c r="AH337" s="128"/>
      <c r="AJ337" s="128"/>
      <c r="AK337" s="28"/>
      <c r="AL337" s="130">
        <f t="shared" si="1"/>
        <v>0</v>
      </c>
      <c r="AM337" s="53">
        <f t="shared" si="2"/>
        <v>0</v>
      </c>
      <c r="AN337" s="53">
        <f t="shared" si="3"/>
        <v>0</v>
      </c>
      <c r="AO337" s="53">
        <f t="shared" si="4"/>
        <v>0</v>
      </c>
      <c r="AP337" s="61" t="str">
        <f t="shared" si="5"/>
        <v/>
      </c>
    </row>
    <row r="338">
      <c r="A338" s="69" t="s">
        <v>31</v>
      </c>
      <c r="B338" s="70">
        <f t="shared" si="6"/>
        <v>45991</v>
      </c>
      <c r="C338" s="71">
        <v>12.0</v>
      </c>
      <c r="D338" s="71" t="s">
        <v>36</v>
      </c>
      <c r="E338" s="73" t="s">
        <v>25</v>
      </c>
      <c r="F338" s="155"/>
      <c r="G338" s="75"/>
      <c r="H338" s="156"/>
      <c r="I338" s="75"/>
      <c r="J338" s="156"/>
      <c r="K338" s="75"/>
      <c r="L338" s="155"/>
      <c r="M338" s="75"/>
      <c r="N338" s="156"/>
      <c r="O338" s="75"/>
      <c r="P338" s="156"/>
      <c r="Q338" s="75"/>
      <c r="R338" s="156"/>
      <c r="S338" s="75"/>
      <c r="T338" s="156"/>
      <c r="U338" s="75"/>
      <c r="V338" s="156"/>
      <c r="W338" s="75"/>
      <c r="X338" s="156"/>
      <c r="Y338" s="77"/>
      <c r="Z338" s="155"/>
      <c r="AA338" s="75"/>
      <c r="AB338" s="156"/>
      <c r="AC338" s="75"/>
      <c r="AD338" s="156"/>
      <c r="AE338" s="75"/>
      <c r="AF338" s="131"/>
      <c r="AG338" s="75"/>
      <c r="AH338" s="131"/>
      <c r="AI338" s="75"/>
      <c r="AJ338" s="131"/>
      <c r="AK338" s="77"/>
      <c r="AL338" s="134">
        <f t="shared" si="1"/>
        <v>0</v>
      </c>
      <c r="AM338" s="71">
        <f t="shared" si="2"/>
        <v>0</v>
      </c>
      <c r="AN338" s="71">
        <f t="shared" si="3"/>
        <v>0</v>
      </c>
      <c r="AO338" s="71">
        <f t="shared" si="4"/>
        <v>0</v>
      </c>
      <c r="AP338" s="80" t="str">
        <f t="shared" si="5"/>
        <v/>
      </c>
    </row>
    <row r="339">
      <c r="A339" s="19" t="s">
        <v>23</v>
      </c>
      <c r="B339" s="81">
        <f t="shared" si="6"/>
        <v>45992</v>
      </c>
      <c r="C339" s="21">
        <v>13.0</v>
      </c>
      <c r="D339" s="21" t="s">
        <v>24</v>
      </c>
      <c r="E339" s="82" t="s">
        <v>25</v>
      </c>
      <c r="F339" s="153"/>
      <c r="H339" s="154"/>
      <c r="J339" s="154"/>
      <c r="L339" s="153"/>
      <c r="N339" s="154"/>
      <c r="P339" s="154"/>
      <c r="R339" s="154"/>
      <c r="T339" s="154"/>
      <c r="V339" s="154"/>
      <c r="X339" s="154"/>
      <c r="Y339" s="28"/>
      <c r="Z339" s="153"/>
      <c r="AB339" s="154"/>
      <c r="AD339" s="154"/>
      <c r="AF339" s="128"/>
      <c r="AH339" s="128"/>
      <c r="AJ339" s="128"/>
      <c r="AK339" s="28"/>
      <c r="AL339" s="129">
        <f t="shared" si="1"/>
        <v>0</v>
      </c>
      <c r="AM339" s="21">
        <f t="shared" si="2"/>
        <v>0</v>
      </c>
      <c r="AN339" s="21">
        <f t="shared" si="3"/>
        <v>0</v>
      </c>
      <c r="AO339" s="21">
        <f t="shared" si="4"/>
        <v>0</v>
      </c>
      <c r="AP339" s="46" t="str">
        <f t="shared" si="5"/>
        <v/>
      </c>
    </row>
    <row r="340">
      <c r="A340" s="48" t="s">
        <v>26</v>
      </c>
      <c r="B340" s="51">
        <f t="shared" si="6"/>
        <v>45993</v>
      </c>
      <c r="C340" s="53">
        <v>13.0</v>
      </c>
      <c r="D340" s="53" t="s">
        <v>24</v>
      </c>
      <c r="E340" s="23" t="s">
        <v>25</v>
      </c>
      <c r="F340" s="153"/>
      <c r="H340" s="154"/>
      <c r="J340" s="154"/>
      <c r="L340" s="153"/>
      <c r="N340" s="154"/>
      <c r="P340" s="154"/>
      <c r="R340" s="154"/>
      <c r="T340" s="154"/>
      <c r="V340" s="154"/>
      <c r="X340" s="154"/>
      <c r="Y340" s="28"/>
      <c r="Z340" s="153"/>
      <c r="AB340" s="154"/>
      <c r="AD340" s="154"/>
      <c r="AF340" s="128"/>
      <c r="AH340" s="128"/>
      <c r="AJ340" s="128"/>
      <c r="AK340" s="28"/>
      <c r="AL340" s="130">
        <f t="shared" si="1"/>
        <v>0</v>
      </c>
      <c r="AM340" s="53">
        <f t="shared" si="2"/>
        <v>0</v>
      </c>
      <c r="AN340" s="53">
        <f t="shared" si="3"/>
        <v>0</v>
      </c>
      <c r="AO340" s="53">
        <f t="shared" si="4"/>
        <v>0</v>
      </c>
      <c r="AP340" s="61" t="str">
        <f t="shared" si="5"/>
        <v/>
      </c>
    </row>
    <row r="341">
      <c r="A341" s="48" t="s">
        <v>27</v>
      </c>
      <c r="B341" s="51">
        <f t="shared" si="6"/>
        <v>45994</v>
      </c>
      <c r="C341" s="53">
        <v>13.0</v>
      </c>
      <c r="D341" s="53" t="s">
        <v>24</v>
      </c>
      <c r="E341" s="23" t="s">
        <v>25</v>
      </c>
      <c r="F341" s="153"/>
      <c r="H341" s="154"/>
      <c r="J341" s="154"/>
      <c r="L341" s="153"/>
      <c r="N341" s="154"/>
      <c r="P341" s="154"/>
      <c r="R341" s="154"/>
      <c r="T341" s="154"/>
      <c r="V341" s="154"/>
      <c r="X341" s="154"/>
      <c r="Y341" s="28"/>
      <c r="Z341" s="153"/>
      <c r="AB341" s="154"/>
      <c r="AD341" s="154"/>
      <c r="AF341" s="128"/>
      <c r="AH341" s="128"/>
      <c r="AJ341" s="128"/>
      <c r="AK341" s="28"/>
      <c r="AL341" s="130">
        <f t="shared" si="1"/>
        <v>0</v>
      </c>
      <c r="AM341" s="53">
        <f t="shared" si="2"/>
        <v>0</v>
      </c>
      <c r="AN341" s="53">
        <f t="shared" si="3"/>
        <v>0</v>
      </c>
      <c r="AO341" s="53">
        <f t="shared" si="4"/>
        <v>0</v>
      </c>
      <c r="AP341" s="61" t="str">
        <f t="shared" si="5"/>
        <v/>
      </c>
    </row>
    <row r="342">
      <c r="A342" s="48" t="s">
        <v>28</v>
      </c>
      <c r="B342" s="51">
        <f t="shared" si="6"/>
        <v>45995</v>
      </c>
      <c r="C342" s="53">
        <v>13.0</v>
      </c>
      <c r="D342" s="53" t="s">
        <v>24</v>
      </c>
      <c r="E342" s="23" t="s">
        <v>25</v>
      </c>
      <c r="F342" s="153"/>
      <c r="H342" s="154"/>
      <c r="J342" s="154"/>
      <c r="L342" s="153"/>
      <c r="N342" s="154"/>
      <c r="P342" s="154"/>
      <c r="R342" s="154"/>
      <c r="T342" s="154"/>
      <c r="V342" s="154"/>
      <c r="X342" s="154"/>
      <c r="Y342" s="28"/>
      <c r="Z342" s="153"/>
      <c r="AB342" s="154"/>
      <c r="AD342" s="154"/>
      <c r="AF342" s="128"/>
      <c r="AH342" s="128"/>
      <c r="AJ342" s="128"/>
      <c r="AK342" s="28"/>
      <c r="AL342" s="130">
        <f t="shared" si="1"/>
        <v>0</v>
      </c>
      <c r="AM342" s="53">
        <f t="shared" si="2"/>
        <v>0</v>
      </c>
      <c r="AN342" s="53">
        <f t="shared" si="3"/>
        <v>0</v>
      </c>
      <c r="AO342" s="53">
        <f t="shared" si="4"/>
        <v>0</v>
      </c>
      <c r="AP342" s="61" t="str">
        <f t="shared" si="5"/>
        <v/>
      </c>
    </row>
    <row r="343">
      <c r="A343" s="48" t="s">
        <v>29</v>
      </c>
      <c r="B343" s="51">
        <f t="shared" si="6"/>
        <v>45996</v>
      </c>
      <c r="C343" s="53">
        <v>13.0</v>
      </c>
      <c r="D343" s="53" t="s">
        <v>24</v>
      </c>
      <c r="E343" s="23" t="s">
        <v>25</v>
      </c>
      <c r="F343" s="153"/>
      <c r="H343" s="154"/>
      <c r="J343" s="154"/>
      <c r="L343" s="153"/>
      <c r="N343" s="154"/>
      <c r="P343" s="154"/>
      <c r="R343" s="154"/>
      <c r="T343" s="154"/>
      <c r="V343" s="154"/>
      <c r="X343" s="154"/>
      <c r="Y343" s="28"/>
      <c r="Z343" s="153"/>
      <c r="AB343" s="154"/>
      <c r="AD343" s="154"/>
      <c r="AF343" s="128"/>
      <c r="AH343" s="128"/>
      <c r="AJ343" s="128"/>
      <c r="AK343" s="28"/>
      <c r="AL343" s="130">
        <f t="shared" si="1"/>
        <v>0</v>
      </c>
      <c r="AM343" s="53">
        <f t="shared" si="2"/>
        <v>0</v>
      </c>
      <c r="AN343" s="53">
        <f t="shared" si="3"/>
        <v>0</v>
      </c>
      <c r="AO343" s="53">
        <f t="shared" si="4"/>
        <v>0</v>
      </c>
      <c r="AP343" s="61" t="str">
        <f t="shared" si="5"/>
        <v/>
      </c>
    </row>
    <row r="344">
      <c r="A344" s="48" t="s">
        <v>30</v>
      </c>
      <c r="B344" s="51">
        <f t="shared" si="6"/>
        <v>45997</v>
      </c>
      <c r="C344" s="53">
        <v>13.0</v>
      </c>
      <c r="D344" s="53" t="s">
        <v>24</v>
      </c>
      <c r="E344" s="23" t="s">
        <v>25</v>
      </c>
      <c r="F344" s="153"/>
      <c r="H344" s="154"/>
      <c r="J344" s="154"/>
      <c r="L344" s="153"/>
      <c r="N344" s="154"/>
      <c r="P344" s="154"/>
      <c r="R344" s="154"/>
      <c r="T344" s="154"/>
      <c r="V344" s="154"/>
      <c r="X344" s="154"/>
      <c r="Y344" s="28"/>
      <c r="Z344" s="153"/>
      <c r="AB344" s="154"/>
      <c r="AD344" s="154"/>
      <c r="AF344" s="128"/>
      <c r="AH344" s="128"/>
      <c r="AJ344" s="128"/>
      <c r="AK344" s="28"/>
      <c r="AL344" s="130">
        <f t="shared" si="1"/>
        <v>0</v>
      </c>
      <c r="AM344" s="53">
        <f t="shared" si="2"/>
        <v>0</v>
      </c>
      <c r="AN344" s="53">
        <f t="shared" si="3"/>
        <v>0</v>
      </c>
      <c r="AO344" s="53">
        <f t="shared" si="4"/>
        <v>0</v>
      </c>
      <c r="AP344" s="61" t="str">
        <f t="shared" si="5"/>
        <v/>
      </c>
    </row>
    <row r="345">
      <c r="A345" s="69" t="s">
        <v>31</v>
      </c>
      <c r="B345" s="70">
        <f t="shared" si="6"/>
        <v>45998</v>
      </c>
      <c r="C345" s="71">
        <v>13.0</v>
      </c>
      <c r="D345" s="71" t="s">
        <v>24</v>
      </c>
      <c r="E345" s="73" t="s">
        <v>25</v>
      </c>
      <c r="F345" s="155"/>
      <c r="G345" s="75"/>
      <c r="H345" s="156"/>
      <c r="I345" s="75"/>
      <c r="J345" s="156"/>
      <c r="K345" s="75"/>
      <c r="L345" s="155"/>
      <c r="M345" s="75"/>
      <c r="N345" s="156"/>
      <c r="O345" s="75"/>
      <c r="P345" s="156"/>
      <c r="Q345" s="75"/>
      <c r="R345" s="156"/>
      <c r="S345" s="75"/>
      <c r="T345" s="156"/>
      <c r="U345" s="75"/>
      <c r="V345" s="156"/>
      <c r="W345" s="75"/>
      <c r="X345" s="156"/>
      <c r="Y345" s="77"/>
      <c r="Z345" s="155"/>
      <c r="AA345" s="75"/>
      <c r="AB345" s="156"/>
      <c r="AC345" s="75"/>
      <c r="AD345" s="156"/>
      <c r="AE345" s="75"/>
      <c r="AF345" s="131"/>
      <c r="AG345" s="75"/>
      <c r="AH345" s="131"/>
      <c r="AI345" s="75"/>
      <c r="AJ345" s="131"/>
      <c r="AK345" s="77"/>
      <c r="AL345" s="134">
        <f t="shared" si="1"/>
        <v>0</v>
      </c>
      <c r="AM345" s="71">
        <f t="shared" si="2"/>
        <v>0</v>
      </c>
      <c r="AN345" s="71">
        <f t="shared" si="3"/>
        <v>0</v>
      </c>
      <c r="AO345" s="71">
        <f t="shared" si="4"/>
        <v>0</v>
      </c>
      <c r="AP345" s="80" t="str">
        <f t="shared" si="5"/>
        <v/>
      </c>
    </row>
    <row r="346">
      <c r="A346" s="19" t="s">
        <v>23</v>
      </c>
      <c r="B346" s="81">
        <f t="shared" si="6"/>
        <v>45999</v>
      </c>
      <c r="C346" s="21">
        <v>13.0</v>
      </c>
      <c r="D346" s="21" t="s">
        <v>32</v>
      </c>
      <c r="E346" s="82" t="s">
        <v>25</v>
      </c>
      <c r="F346" s="153"/>
      <c r="H346" s="154"/>
      <c r="J346" s="154"/>
      <c r="L346" s="153"/>
      <c r="N346" s="154"/>
      <c r="P346" s="154"/>
      <c r="R346" s="154"/>
      <c r="T346" s="154"/>
      <c r="V346" s="154"/>
      <c r="X346" s="154"/>
      <c r="Y346" s="28"/>
      <c r="Z346" s="153"/>
      <c r="AB346" s="154"/>
      <c r="AD346" s="154"/>
      <c r="AF346" s="128"/>
      <c r="AH346" s="128"/>
      <c r="AJ346" s="128"/>
      <c r="AK346" s="28"/>
      <c r="AL346" s="129">
        <f t="shared" si="1"/>
        <v>0</v>
      </c>
      <c r="AM346" s="21">
        <f t="shared" si="2"/>
        <v>0</v>
      </c>
      <c r="AN346" s="21">
        <f t="shared" si="3"/>
        <v>0</v>
      </c>
      <c r="AO346" s="21">
        <f t="shared" si="4"/>
        <v>0</v>
      </c>
      <c r="AP346" s="46" t="str">
        <f t="shared" si="5"/>
        <v/>
      </c>
    </row>
    <row r="347">
      <c r="A347" s="48" t="s">
        <v>26</v>
      </c>
      <c r="B347" s="51">
        <f t="shared" si="6"/>
        <v>46000</v>
      </c>
      <c r="C347" s="53">
        <v>13.0</v>
      </c>
      <c r="D347" s="53" t="s">
        <v>32</v>
      </c>
      <c r="E347" s="23" t="s">
        <v>25</v>
      </c>
      <c r="F347" s="153"/>
      <c r="H347" s="154"/>
      <c r="J347" s="154"/>
      <c r="L347" s="153"/>
      <c r="N347" s="154"/>
      <c r="P347" s="154"/>
      <c r="R347" s="154"/>
      <c r="T347" s="154"/>
      <c r="V347" s="154"/>
      <c r="X347" s="154"/>
      <c r="Y347" s="28"/>
      <c r="Z347" s="153"/>
      <c r="AB347" s="154"/>
      <c r="AD347" s="154"/>
      <c r="AF347" s="128"/>
      <c r="AH347" s="128"/>
      <c r="AJ347" s="128"/>
      <c r="AK347" s="28"/>
      <c r="AL347" s="130">
        <f t="shared" si="1"/>
        <v>0</v>
      </c>
      <c r="AM347" s="53">
        <f t="shared" si="2"/>
        <v>0</v>
      </c>
      <c r="AN347" s="53">
        <f t="shared" si="3"/>
        <v>0</v>
      </c>
      <c r="AO347" s="53">
        <f t="shared" si="4"/>
        <v>0</v>
      </c>
      <c r="AP347" s="61" t="str">
        <f t="shared" si="5"/>
        <v/>
      </c>
    </row>
    <row r="348">
      <c r="A348" s="48" t="s">
        <v>27</v>
      </c>
      <c r="B348" s="51">
        <f t="shared" si="6"/>
        <v>46001</v>
      </c>
      <c r="C348" s="53">
        <v>13.0</v>
      </c>
      <c r="D348" s="53" t="s">
        <v>32</v>
      </c>
      <c r="E348" s="23" t="s">
        <v>25</v>
      </c>
      <c r="F348" s="153"/>
      <c r="H348" s="154"/>
      <c r="J348" s="154"/>
      <c r="L348" s="153"/>
      <c r="N348" s="154"/>
      <c r="P348" s="154"/>
      <c r="R348" s="154"/>
      <c r="T348" s="154"/>
      <c r="V348" s="154"/>
      <c r="X348" s="154"/>
      <c r="Y348" s="28"/>
      <c r="Z348" s="153"/>
      <c r="AB348" s="154"/>
      <c r="AD348" s="154"/>
      <c r="AF348" s="128"/>
      <c r="AH348" s="128"/>
      <c r="AJ348" s="128"/>
      <c r="AK348" s="28"/>
      <c r="AL348" s="130">
        <f t="shared" si="1"/>
        <v>0</v>
      </c>
      <c r="AM348" s="53">
        <f t="shared" si="2"/>
        <v>0</v>
      </c>
      <c r="AN348" s="53">
        <f t="shared" si="3"/>
        <v>0</v>
      </c>
      <c r="AO348" s="53">
        <f t="shared" si="4"/>
        <v>0</v>
      </c>
      <c r="AP348" s="61" t="str">
        <f t="shared" si="5"/>
        <v/>
      </c>
    </row>
    <row r="349">
      <c r="A349" s="48" t="s">
        <v>28</v>
      </c>
      <c r="B349" s="51">
        <f t="shared" si="6"/>
        <v>46002</v>
      </c>
      <c r="C349" s="53">
        <v>13.0</v>
      </c>
      <c r="D349" s="53" t="s">
        <v>32</v>
      </c>
      <c r="E349" s="23" t="s">
        <v>25</v>
      </c>
      <c r="F349" s="153"/>
      <c r="H349" s="154"/>
      <c r="J349" s="154"/>
      <c r="L349" s="153"/>
      <c r="N349" s="154"/>
      <c r="P349" s="154"/>
      <c r="R349" s="154"/>
      <c r="T349" s="154"/>
      <c r="V349" s="154"/>
      <c r="X349" s="154"/>
      <c r="Y349" s="28"/>
      <c r="Z349" s="153"/>
      <c r="AB349" s="154"/>
      <c r="AD349" s="154"/>
      <c r="AF349" s="128"/>
      <c r="AH349" s="128"/>
      <c r="AJ349" s="128"/>
      <c r="AK349" s="28"/>
      <c r="AL349" s="130">
        <f t="shared" si="1"/>
        <v>0</v>
      </c>
      <c r="AM349" s="53">
        <f t="shared" si="2"/>
        <v>0</v>
      </c>
      <c r="AN349" s="53">
        <f t="shared" si="3"/>
        <v>0</v>
      </c>
      <c r="AO349" s="53">
        <f t="shared" si="4"/>
        <v>0</v>
      </c>
      <c r="AP349" s="61" t="str">
        <f t="shared" si="5"/>
        <v/>
      </c>
    </row>
    <row r="350">
      <c r="A350" s="48" t="s">
        <v>29</v>
      </c>
      <c r="B350" s="51">
        <f t="shared" si="6"/>
        <v>46003</v>
      </c>
      <c r="C350" s="53">
        <v>13.0</v>
      </c>
      <c r="D350" s="53" t="s">
        <v>32</v>
      </c>
      <c r="E350" s="23" t="s">
        <v>25</v>
      </c>
      <c r="F350" s="153"/>
      <c r="H350" s="154"/>
      <c r="J350" s="154"/>
      <c r="L350" s="153"/>
      <c r="N350" s="154"/>
      <c r="P350" s="154"/>
      <c r="R350" s="154"/>
      <c r="T350" s="154"/>
      <c r="V350" s="154"/>
      <c r="X350" s="154"/>
      <c r="Y350" s="28"/>
      <c r="Z350" s="153"/>
      <c r="AB350" s="154"/>
      <c r="AD350" s="154"/>
      <c r="AF350" s="128"/>
      <c r="AH350" s="128"/>
      <c r="AJ350" s="128"/>
      <c r="AK350" s="28"/>
      <c r="AL350" s="130">
        <f t="shared" si="1"/>
        <v>0</v>
      </c>
      <c r="AM350" s="53">
        <f t="shared" si="2"/>
        <v>0</v>
      </c>
      <c r="AN350" s="53">
        <f t="shared" si="3"/>
        <v>0</v>
      </c>
      <c r="AO350" s="53">
        <f t="shared" si="4"/>
        <v>0</v>
      </c>
      <c r="AP350" s="61" t="str">
        <f t="shared" si="5"/>
        <v/>
      </c>
    </row>
    <row r="351">
      <c r="A351" s="48" t="s">
        <v>30</v>
      </c>
      <c r="B351" s="51">
        <f t="shared" si="6"/>
        <v>46004</v>
      </c>
      <c r="C351" s="53">
        <v>13.0</v>
      </c>
      <c r="D351" s="53" t="s">
        <v>32</v>
      </c>
      <c r="E351" s="23" t="s">
        <v>25</v>
      </c>
      <c r="F351" s="153"/>
      <c r="H351" s="154"/>
      <c r="J351" s="154"/>
      <c r="L351" s="153"/>
      <c r="N351" s="154"/>
      <c r="P351" s="154"/>
      <c r="R351" s="154"/>
      <c r="T351" s="154"/>
      <c r="V351" s="154"/>
      <c r="X351" s="154"/>
      <c r="Y351" s="28"/>
      <c r="Z351" s="153"/>
      <c r="AB351" s="154"/>
      <c r="AD351" s="154"/>
      <c r="AF351" s="128"/>
      <c r="AH351" s="128"/>
      <c r="AJ351" s="128"/>
      <c r="AK351" s="28"/>
      <c r="AL351" s="130">
        <f t="shared" si="1"/>
        <v>0</v>
      </c>
      <c r="AM351" s="53">
        <f t="shared" si="2"/>
        <v>0</v>
      </c>
      <c r="AN351" s="53">
        <f t="shared" si="3"/>
        <v>0</v>
      </c>
      <c r="AO351" s="53">
        <f t="shared" si="4"/>
        <v>0</v>
      </c>
      <c r="AP351" s="61" t="str">
        <f t="shared" si="5"/>
        <v/>
      </c>
    </row>
    <row r="352">
      <c r="A352" s="69" t="s">
        <v>31</v>
      </c>
      <c r="B352" s="70">
        <f t="shared" si="6"/>
        <v>46005</v>
      </c>
      <c r="C352" s="71">
        <v>13.0</v>
      </c>
      <c r="D352" s="71" t="s">
        <v>32</v>
      </c>
      <c r="E352" s="73" t="s">
        <v>25</v>
      </c>
      <c r="F352" s="155"/>
      <c r="G352" s="75"/>
      <c r="H352" s="156"/>
      <c r="I352" s="75"/>
      <c r="J352" s="156"/>
      <c r="K352" s="75"/>
      <c r="L352" s="155"/>
      <c r="M352" s="75"/>
      <c r="N352" s="156"/>
      <c r="O352" s="75"/>
      <c r="P352" s="156"/>
      <c r="Q352" s="75"/>
      <c r="R352" s="156"/>
      <c r="S352" s="75"/>
      <c r="T352" s="156"/>
      <c r="U352" s="75"/>
      <c r="V352" s="156"/>
      <c r="W352" s="75"/>
      <c r="X352" s="156"/>
      <c r="Y352" s="77"/>
      <c r="Z352" s="155"/>
      <c r="AA352" s="75"/>
      <c r="AB352" s="156"/>
      <c r="AC352" s="75"/>
      <c r="AD352" s="156"/>
      <c r="AE352" s="75"/>
      <c r="AF352" s="131"/>
      <c r="AG352" s="75"/>
      <c r="AH352" s="131"/>
      <c r="AI352" s="75"/>
      <c r="AJ352" s="131"/>
      <c r="AK352" s="77"/>
      <c r="AL352" s="134">
        <f t="shared" si="1"/>
        <v>0</v>
      </c>
      <c r="AM352" s="71">
        <f t="shared" si="2"/>
        <v>0</v>
      </c>
      <c r="AN352" s="71">
        <f t="shared" si="3"/>
        <v>0</v>
      </c>
      <c r="AO352" s="71">
        <f t="shared" si="4"/>
        <v>0</v>
      </c>
      <c r="AP352" s="80" t="str">
        <f t="shared" si="5"/>
        <v/>
      </c>
    </row>
    <row r="353">
      <c r="A353" s="19" t="s">
        <v>23</v>
      </c>
      <c r="B353" s="81">
        <f t="shared" si="6"/>
        <v>46006</v>
      </c>
      <c r="C353" s="21">
        <v>13.0</v>
      </c>
      <c r="D353" s="21" t="s">
        <v>33</v>
      </c>
      <c r="E353" s="82" t="s">
        <v>25</v>
      </c>
      <c r="F353" s="153"/>
      <c r="H353" s="154"/>
      <c r="J353" s="154"/>
      <c r="L353" s="153"/>
      <c r="N353" s="154"/>
      <c r="P353" s="154"/>
      <c r="R353" s="154"/>
      <c r="T353" s="154"/>
      <c r="V353" s="154"/>
      <c r="X353" s="154"/>
      <c r="Y353" s="28"/>
      <c r="Z353" s="153"/>
      <c r="AB353" s="154"/>
      <c r="AD353" s="154"/>
      <c r="AF353" s="128"/>
      <c r="AH353" s="128"/>
      <c r="AJ353" s="128"/>
      <c r="AK353" s="28"/>
      <c r="AL353" s="129">
        <f t="shared" si="1"/>
        <v>0</v>
      </c>
      <c r="AM353" s="21">
        <f t="shared" si="2"/>
        <v>0</v>
      </c>
      <c r="AN353" s="21">
        <f t="shared" si="3"/>
        <v>0</v>
      </c>
      <c r="AO353" s="21">
        <f t="shared" si="4"/>
        <v>0</v>
      </c>
      <c r="AP353" s="46" t="str">
        <f t="shared" si="5"/>
        <v/>
      </c>
    </row>
    <row r="354">
      <c r="A354" s="48" t="s">
        <v>26</v>
      </c>
      <c r="B354" s="51">
        <f t="shared" si="6"/>
        <v>46007</v>
      </c>
      <c r="C354" s="53">
        <v>13.0</v>
      </c>
      <c r="D354" s="53" t="s">
        <v>33</v>
      </c>
      <c r="E354" s="23" t="s">
        <v>25</v>
      </c>
      <c r="F354" s="153"/>
      <c r="H354" s="154"/>
      <c r="J354" s="154"/>
      <c r="L354" s="153"/>
      <c r="N354" s="154"/>
      <c r="P354" s="154"/>
      <c r="R354" s="154"/>
      <c r="T354" s="154"/>
      <c r="V354" s="154"/>
      <c r="X354" s="154"/>
      <c r="Y354" s="28"/>
      <c r="Z354" s="153"/>
      <c r="AB354" s="154"/>
      <c r="AD354" s="154"/>
      <c r="AF354" s="128"/>
      <c r="AH354" s="128"/>
      <c r="AJ354" s="128"/>
      <c r="AK354" s="28"/>
      <c r="AL354" s="130">
        <f t="shared" si="1"/>
        <v>0</v>
      </c>
      <c r="AM354" s="53">
        <f t="shared" si="2"/>
        <v>0</v>
      </c>
      <c r="AN354" s="53">
        <f t="shared" si="3"/>
        <v>0</v>
      </c>
      <c r="AO354" s="53">
        <f t="shared" si="4"/>
        <v>0</v>
      </c>
      <c r="AP354" s="61" t="str">
        <f t="shared" si="5"/>
        <v/>
      </c>
    </row>
    <row r="355">
      <c r="A355" s="48" t="s">
        <v>27</v>
      </c>
      <c r="B355" s="51">
        <f t="shared" si="6"/>
        <v>46008</v>
      </c>
      <c r="C355" s="53">
        <v>13.0</v>
      </c>
      <c r="D355" s="53" t="s">
        <v>33</v>
      </c>
      <c r="E355" s="23" t="s">
        <v>25</v>
      </c>
      <c r="F355" s="153"/>
      <c r="H355" s="154"/>
      <c r="J355" s="154"/>
      <c r="L355" s="153"/>
      <c r="N355" s="154"/>
      <c r="P355" s="154"/>
      <c r="R355" s="154"/>
      <c r="T355" s="154"/>
      <c r="V355" s="154"/>
      <c r="X355" s="154"/>
      <c r="Y355" s="28"/>
      <c r="Z355" s="153"/>
      <c r="AB355" s="154"/>
      <c r="AD355" s="154"/>
      <c r="AF355" s="128"/>
      <c r="AH355" s="128"/>
      <c r="AJ355" s="128"/>
      <c r="AK355" s="28"/>
      <c r="AL355" s="130">
        <f t="shared" si="1"/>
        <v>0</v>
      </c>
      <c r="AM355" s="53">
        <f t="shared" si="2"/>
        <v>0</v>
      </c>
      <c r="AN355" s="53">
        <f t="shared" si="3"/>
        <v>0</v>
      </c>
      <c r="AO355" s="53">
        <f t="shared" si="4"/>
        <v>0</v>
      </c>
      <c r="AP355" s="61" t="str">
        <f t="shared" si="5"/>
        <v/>
      </c>
    </row>
    <row r="356">
      <c r="A356" s="48" t="s">
        <v>28</v>
      </c>
      <c r="B356" s="51">
        <f t="shared" si="6"/>
        <v>46009</v>
      </c>
      <c r="C356" s="53">
        <v>13.0</v>
      </c>
      <c r="D356" s="53" t="s">
        <v>33</v>
      </c>
      <c r="E356" s="23" t="s">
        <v>25</v>
      </c>
      <c r="F356" s="153"/>
      <c r="H356" s="154"/>
      <c r="J356" s="154"/>
      <c r="L356" s="153"/>
      <c r="N356" s="154"/>
      <c r="P356" s="154"/>
      <c r="R356" s="154"/>
      <c r="T356" s="154"/>
      <c r="V356" s="154"/>
      <c r="X356" s="154"/>
      <c r="Y356" s="28"/>
      <c r="Z356" s="153"/>
      <c r="AB356" s="154"/>
      <c r="AD356" s="154"/>
      <c r="AF356" s="128"/>
      <c r="AH356" s="128"/>
      <c r="AJ356" s="128"/>
      <c r="AK356" s="28"/>
      <c r="AL356" s="130">
        <f t="shared" si="1"/>
        <v>0</v>
      </c>
      <c r="AM356" s="53">
        <f t="shared" si="2"/>
        <v>0</v>
      </c>
      <c r="AN356" s="53">
        <f t="shared" si="3"/>
        <v>0</v>
      </c>
      <c r="AO356" s="53">
        <f t="shared" si="4"/>
        <v>0</v>
      </c>
      <c r="AP356" s="61" t="str">
        <f t="shared" si="5"/>
        <v/>
      </c>
    </row>
    <row r="357">
      <c r="A357" s="48" t="s">
        <v>29</v>
      </c>
      <c r="B357" s="51">
        <f t="shared" si="6"/>
        <v>46010</v>
      </c>
      <c r="C357" s="53">
        <v>13.0</v>
      </c>
      <c r="D357" s="53" t="s">
        <v>33</v>
      </c>
      <c r="E357" s="23" t="s">
        <v>25</v>
      </c>
      <c r="F357" s="153"/>
      <c r="H357" s="154"/>
      <c r="J357" s="154"/>
      <c r="L357" s="153"/>
      <c r="N357" s="154"/>
      <c r="P357" s="154"/>
      <c r="R357" s="154"/>
      <c r="T357" s="154"/>
      <c r="V357" s="154"/>
      <c r="X357" s="154"/>
      <c r="Y357" s="28"/>
      <c r="Z357" s="153"/>
      <c r="AB357" s="154"/>
      <c r="AD357" s="154"/>
      <c r="AF357" s="128"/>
      <c r="AH357" s="128"/>
      <c r="AJ357" s="128"/>
      <c r="AK357" s="28"/>
      <c r="AL357" s="130">
        <f t="shared" si="1"/>
        <v>0</v>
      </c>
      <c r="AM357" s="53">
        <f t="shared" si="2"/>
        <v>0</v>
      </c>
      <c r="AN357" s="53">
        <f t="shared" si="3"/>
        <v>0</v>
      </c>
      <c r="AO357" s="53">
        <f t="shared" si="4"/>
        <v>0</v>
      </c>
      <c r="AP357" s="61" t="str">
        <f t="shared" si="5"/>
        <v/>
      </c>
    </row>
    <row r="358">
      <c r="A358" s="48" t="s">
        <v>30</v>
      </c>
      <c r="B358" s="51">
        <f t="shared" si="6"/>
        <v>46011</v>
      </c>
      <c r="C358" s="53">
        <v>13.0</v>
      </c>
      <c r="D358" s="53" t="s">
        <v>33</v>
      </c>
      <c r="E358" s="23" t="s">
        <v>25</v>
      </c>
      <c r="F358" s="153"/>
      <c r="H358" s="154"/>
      <c r="J358" s="154"/>
      <c r="L358" s="153"/>
      <c r="N358" s="154"/>
      <c r="P358" s="154"/>
      <c r="R358" s="154"/>
      <c r="T358" s="154"/>
      <c r="V358" s="154"/>
      <c r="X358" s="154"/>
      <c r="Y358" s="28"/>
      <c r="Z358" s="153"/>
      <c r="AB358" s="154"/>
      <c r="AD358" s="154"/>
      <c r="AF358" s="128"/>
      <c r="AH358" s="128"/>
      <c r="AJ358" s="128"/>
      <c r="AK358" s="28"/>
      <c r="AL358" s="130">
        <f t="shared" si="1"/>
        <v>0</v>
      </c>
      <c r="AM358" s="53">
        <f t="shared" si="2"/>
        <v>0</v>
      </c>
      <c r="AN358" s="53">
        <f t="shared" si="3"/>
        <v>0</v>
      </c>
      <c r="AO358" s="53">
        <f t="shared" si="4"/>
        <v>0</v>
      </c>
      <c r="AP358" s="61" t="str">
        <f t="shared" si="5"/>
        <v/>
      </c>
    </row>
    <row r="359">
      <c r="A359" s="69" t="s">
        <v>31</v>
      </c>
      <c r="B359" s="70">
        <f t="shared" si="6"/>
        <v>46012</v>
      </c>
      <c r="C359" s="71">
        <v>13.0</v>
      </c>
      <c r="D359" s="71" t="s">
        <v>33</v>
      </c>
      <c r="E359" s="73" t="s">
        <v>25</v>
      </c>
      <c r="F359" s="155"/>
      <c r="G359" s="75"/>
      <c r="H359" s="156"/>
      <c r="I359" s="75"/>
      <c r="J359" s="156"/>
      <c r="K359" s="75"/>
      <c r="L359" s="155"/>
      <c r="M359" s="75"/>
      <c r="N359" s="156"/>
      <c r="O359" s="75"/>
      <c r="P359" s="156"/>
      <c r="Q359" s="75"/>
      <c r="R359" s="156"/>
      <c r="S359" s="75"/>
      <c r="T359" s="156"/>
      <c r="U359" s="75"/>
      <c r="V359" s="156"/>
      <c r="W359" s="75"/>
      <c r="X359" s="156"/>
      <c r="Y359" s="77"/>
      <c r="Z359" s="155"/>
      <c r="AA359" s="75"/>
      <c r="AB359" s="156"/>
      <c r="AC359" s="75"/>
      <c r="AD359" s="156"/>
      <c r="AE359" s="75"/>
      <c r="AF359" s="131"/>
      <c r="AG359" s="75"/>
      <c r="AH359" s="131"/>
      <c r="AI359" s="75"/>
      <c r="AJ359" s="131"/>
      <c r="AK359" s="77"/>
      <c r="AL359" s="134">
        <f t="shared" si="1"/>
        <v>0</v>
      </c>
      <c r="AM359" s="71">
        <f t="shared" si="2"/>
        <v>0</v>
      </c>
      <c r="AN359" s="71">
        <f t="shared" si="3"/>
        <v>0</v>
      </c>
      <c r="AO359" s="71">
        <f t="shared" si="4"/>
        <v>0</v>
      </c>
      <c r="AP359" s="80" t="str">
        <f t="shared" si="5"/>
        <v/>
      </c>
    </row>
    <row r="360">
      <c r="A360" s="157"/>
      <c r="B360" s="158"/>
      <c r="C360" s="159"/>
      <c r="D360" s="159"/>
      <c r="E360" s="159"/>
      <c r="F360" s="160"/>
      <c r="G360" s="160">
        <f>sum(F3:G359)*G$2</f>
        <v>86698.98</v>
      </c>
      <c r="H360" s="160"/>
      <c r="I360" s="160">
        <f>sum(H3:I359)*I$2</f>
        <v>88535.74</v>
      </c>
      <c r="J360" s="160"/>
      <c r="K360" s="160">
        <f>sum(J3:K359)*K$2</f>
        <v>7483.82</v>
      </c>
      <c r="L360" s="160"/>
      <c r="M360" s="160">
        <f>sum(L3:M359)*M$2</f>
        <v>293248.3</v>
      </c>
      <c r="N360" s="160"/>
      <c r="O360" s="160">
        <f>sum(N3:O359)*O$2</f>
        <v>348237.01</v>
      </c>
      <c r="P360" s="160"/>
      <c r="Q360" s="160">
        <f>sum(P3:Q359)*Q$2</f>
        <v>49143.6</v>
      </c>
      <c r="R360" s="160"/>
      <c r="S360" s="160">
        <f>sum(R3:S359)*S$2</f>
        <v>13311</v>
      </c>
      <c r="T360" s="160"/>
      <c r="U360" s="160">
        <f>sum(T3:U359)*U$2</f>
        <v>22626.02</v>
      </c>
      <c r="V360" s="160"/>
      <c r="W360" s="160">
        <f>sum(V3:W359)*W$2</f>
        <v>12569.96</v>
      </c>
      <c r="X360" s="160"/>
      <c r="Y360" s="160">
        <f>sum(X3:Y359)*Y$2</f>
        <v>12668.4</v>
      </c>
      <c r="Z360" s="160"/>
      <c r="AA360" s="160">
        <f>sum(Z3:AA359)*AA$2</f>
        <v>45569.52</v>
      </c>
      <c r="AB360" s="160"/>
      <c r="AC360" s="160">
        <f>sum(AB3:AC359)*AC$2</f>
        <v>58004.34</v>
      </c>
      <c r="AD360" s="160"/>
      <c r="AE360" s="160">
        <f>sum(AD3:AE359)*AE$2</f>
        <v>148.92</v>
      </c>
      <c r="AF360" s="159"/>
      <c r="AG360" s="159"/>
      <c r="AH360" s="159"/>
      <c r="AI360" s="159"/>
      <c r="AJ360" s="159"/>
      <c r="AK360" s="159"/>
      <c r="AL360" s="158">
        <f t="shared" ref="AL360:AO360" si="7">SUM(AL3:AL359)</f>
        <v>1038245.61</v>
      </c>
      <c r="AM360" s="161">
        <f t="shared" si="7"/>
        <v>78130</v>
      </c>
      <c r="AN360" s="161">
        <f t="shared" si="7"/>
        <v>92</v>
      </c>
      <c r="AO360" s="161">
        <f t="shared" si="7"/>
        <v>78222</v>
      </c>
      <c r="AP360" s="159"/>
    </row>
    <row r="361">
      <c r="A361" s="162"/>
      <c r="B361" s="163"/>
      <c r="C361" s="164"/>
      <c r="D361" s="165"/>
      <c r="E361" s="166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  <c r="AK361" s="164"/>
      <c r="AL361" s="158"/>
      <c r="AM361" s="161"/>
      <c r="AN361" s="161"/>
      <c r="AO361" s="161"/>
      <c r="AP361" s="164"/>
    </row>
    <row r="362">
      <c r="A362" s="167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64"/>
      <c r="AJ362" s="164"/>
      <c r="AK362" s="164"/>
      <c r="AL362" s="164"/>
      <c r="AM362" s="164"/>
      <c r="AN362" s="164"/>
      <c r="AO362" s="164"/>
      <c r="AP362" s="164"/>
    </row>
    <row r="363">
      <c r="A363" s="167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64"/>
      <c r="AJ363" s="164"/>
      <c r="AK363" s="164"/>
      <c r="AL363" s="164"/>
      <c r="AM363" s="164"/>
      <c r="AN363" s="164"/>
      <c r="AO363" s="164"/>
      <c r="AP363" s="164"/>
    </row>
    <row r="364">
      <c r="A364" s="167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64"/>
      <c r="AJ364" s="164"/>
      <c r="AK364" s="164"/>
      <c r="AL364" s="164"/>
      <c r="AM364" s="164"/>
      <c r="AN364" s="164"/>
      <c r="AO364" s="164"/>
      <c r="AP364" s="164"/>
    </row>
    <row r="365">
      <c r="A365" s="167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  <c r="AP365" s="164"/>
    </row>
    <row r="366">
      <c r="A366" s="167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  <c r="AG366" s="164"/>
      <c r="AH366" s="164"/>
      <c r="AI366" s="164"/>
      <c r="AJ366" s="164"/>
      <c r="AK366" s="164"/>
      <c r="AL366" s="164"/>
      <c r="AM366" s="164"/>
      <c r="AN366" s="164"/>
      <c r="AO366" s="164"/>
      <c r="AP366" s="164"/>
    </row>
    <row r="367">
      <c r="A367" s="167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64"/>
      <c r="AJ367" s="164"/>
      <c r="AK367" s="164"/>
      <c r="AL367" s="164"/>
      <c r="AM367" s="164"/>
      <c r="AN367" s="164"/>
      <c r="AO367" s="164"/>
      <c r="AP367" s="164"/>
    </row>
    <row r="368">
      <c r="A368" s="167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  <c r="AE368" s="164"/>
      <c r="AF368" s="164"/>
      <c r="AG368" s="164"/>
      <c r="AH368" s="164"/>
      <c r="AI368" s="164"/>
      <c r="AJ368" s="164"/>
      <c r="AK368" s="164"/>
      <c r="AL368" s="164"/>
      <c r="AM368" s="164"/>
      <c r="AN368" s="164"/>
      <c r="AO368" s="164"/>
      <c r="AP368" s="164"/>
    </row>
    <row r="369">
      <c r="A369" s="167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  <c r="AG369" s="164"/>
      <c r="AH369" s="164"/>
      <c r="AI369" s="164"/>
      <c r="AJ369" s="164"/>
      <c r="AK369" s="164"/>
      <c r="AL369" s="164"/>
      <c r="AM369" s="164"/>
      <c r="AN369" s="164"/>
      <c r="AO369" s="164"/>
      <c r="AP369" s="164"/>
    </row>
    <row r="370">
      <c r="A370" s="167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  <c r="AG370" s="164"/>
      <c r="AH370" s="164"/>
      <c r="AI370" s="164"/>
      <c r="AJ370" s="164"/>
      <c r="AK370" s="164"/>
      <c r="AL370" s="164"/>
      <c r="AM370" s="164"/>
      <c r="AN370" s="164"/>
      <c r="AO370" s="164"/>
      <c r="AP370" s="164"/>
    </row>
    <row r="371">
      <c r="A371" s="167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  <c r="AE371" s="164"/>
      <c r="AF371" s="164"/>
      <c r="AG371" s="164"/>
      <c r="AH371" s="164"/>
      <c r="AI371" s="164"/>
      <c r="AJ371" s="164"/>
      <c r="AK371" s="164"/>
      <c r="AL371" s="164"/>
      <c r="AM371" s="164"/>
      <c r="AN371" s="164"/>
      <c r="AO371" s="164"/>
      <c r="AP371" s="164"/>
    </row>
    <row r="372">
      <c r="A372" s="167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  <c r="AG372" s="164"/>
      <c r="AH372" s="164"/>
      <c r="AI372" s="164"/>
      <c r="AJ372" s="164"/>
      <c r="AK372" s="164"/>
      <c r="AL372" s="164"/>
      <c r="AM372" s="164"/>
      <c r="AN372" s="164"/>
      <c r="AO372" s="164"/>
      <c r="AP372" s="164"/>
    </row>
    <row r="373">
      <c r="A373" s="167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  <c r="AD373" s="164"/>
      <c r="AE373" s="164"/>
      <c r="AF373" s="164"/>
      <c r="AG373" s="164"/>
      <c r="AH373" s="164"/>
      <c r="AI373" s="164"/>
      <c r="AJ373" s="164"/>
      <c r="AK373" s="164"/>
      <c r="AL373" s="164"/>
      <c r="AM373" s="164"/>
      <c r="AN373" s="164"/>
      <c r="AO373" s="164"/>
      <c r="AP373" s="164"/>
    </row>
    <row r="374">
      <c r="A374" s="167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  <c r="AD374" s="164"/>
      <c r="AE374" s="164"/>
      <c r="AF374" s="164"/>
      <c r="AG374" s="164"/>
      <c r="AH374" s="164"/>
      <c r="AI374" s="164"/>
      <c r="AJ374" s="164"/>
      <c r="AK374" s="164"/>
      <c r="AL374" s="164"/>
      <c r="AM374" s="164"/>
      <c r="AN374" s="164"/>
      <c r="AO374" s="164"/>
      <c r="AP374" s="164"/>
    </row>
    <row r="375">
      <c r="A375" s="167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  <c r="AE375" s="164"/>
      <c r="AF375" s="164"/>
      <c r="AG375" s="164"/>
      <c r="AH375" s="164"/>
      <c r="AI375" s="164"/>
      <c r="AJ375" s="164"/>
      <c r="AK375" s="164"/>
      <c r="AL375" s="164"/>
      <c r="AM375" s="164"/>
      <c r="AN375" s="164"/>
      <c r="AO375" s="164"/>
      <c r="AP375" s="164"/>
    </row>
    <row r="376">
      <c r="A376" s="167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  <c r="AD376" s="164"/>
      <c r="AE376" s="164"/>
      <c r="AF376" s="164"/>
      <c r="AG376" s="164"/>
      <c r="AH376" s="164"/>
      <c r="AI376" s="164"/>
      <c r="AJ376" s="164"/>
      <c r="AK376" s="164"/>
      <c r="AL376" s="164"/>
      <c r="AM376" s="164"/>
      <c r="AN376" s="164"/>
      <c r="AO376" s="164"/>
      <c r="AP376" s="164"/>
    </row>
    <row r="377">
      <c r="A377" s="167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  <c r="AD377" s="164"/>
      <c r="AE377" s="164"/>
      <c r="AF377" s="164"/>
      <c r="AG377" s="164"/>
      <c r="AH377" s="164"/>
      <c r="AI377" s="164"/>
      <c r="AJ377" s="164"/>
      <c r="AK377" s="164"/>
      <c r="AL377" s="164"/>
      <c r="AM377" s="164"/>
      <c r="AN377" s="164"/>
      <c r="AO377" s="164"/>
      <c r="AP377" s="164"/>
    </row>
    <row r="378">
      <c r="A378" s="167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  <c r="AD378" s="164"/>
      <c r="AE378" s="164"/>
      <c r="AF378" s="164"/>
      <c r="AG378" s="164"/>
      <c r="AH378" s="164"/>
      <c r="AI378" s="164"/>
      <c r="AJ378" s="164"/>
      <c r="AK378" s="164"/>
      <c r="AL378" s="164"/>
      <c r="AM378" s="164"/>
      <c r="AN378" s="164"/>
      <c r="AO378" s="164"/>
      <c r="AP378" s="164"/>
    </row>
    <row r="379">
      <c r="A379" s="167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  <c r="AE379" s="164"/>
      <c r="AF379" s="164"/>
      <c r="AG379" s="164"/>
      <c r="AH379" s="164"/>
      <c r="AI379" s="164"/>
      <c r="AJ379" s="164"/>
      <c r="AK379" s="164"/>
      <c r="AL379" s="164"/>
      <c r="AM379" s="164"/>
      <c r="AN379" s="164"/>
      <c r="AO379" s="164"/>
      <c r="AP379" s="164"/>
    </row>
    <row r="380">
      <c r="A380" s="167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  <c r="AD380" s="164"/>
      <c r="AE380" s="164"/>
      <c r="AF380" s="164"/>
      <c r="AG380" s="164"/>
      <c r="AH380" s="164"/>
      <c r="AI380" s="164"/>
      <c r="AJ380" s="164"/>
      <c r="AK380" s="164"/>
      <c r="AL380" s="164"/>
      <c r="AM380" s="164"/>
      <c r="AN380" s="164"/>
      <c r="AO380" s="164"/>
      <c r="AP380" s="164"/>
    </row>
    <row r="381">
      <c r="A381" s="167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  <c r="AE381" s="164"/>
      <c r="AF381" s="164"/>
      <c r="AG381" s="164"/>
      <c r="AH381" s="164"/>
      <c r="AI381" s="164"/>
      <c r="AJ381" s="164"/>
      <c r="AK381" s="164"/>
      <c r="AL381" s="164"/>
      <c r="AM381" s="164"/>
      <c r="AN381" s="164"/>
      <c r="AO381" s="164"/>
      <c r="AP381" s="164"/>
    </row>
    <row r="382">
      <c r="A382" s="167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  <c r="AD382" s="164"/>
      <c r="AE382" s="164"/>
      <c r="AF382" s="164"/>
      <c r="AG382" s="164"/>
      <c r="AH382" s="164"/>
      <c r="AI382" s="164"/>
      <c r="AJ382" s="164"/>
      <c r="AK382" s="164"/>
      <c r="AL382" s="164"/>
      <c r="AM382" s="164"/>
      <c r="AN382" s="164"/>
      <c r="AO382" s="164"/>
      <c r="AP382" s="164"/>
    </row>
    <row r="383">
      <c r="A383" s="167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  <c r="AE383" s="164"/>
      <c r="AF383" s="164"/>
      <c r="AG383" s="164"/>
      <c r="AH383" s="164"/>
      <c r="AI383" s="164"/>
      <c r="AJ383" s="164"/>
      <c r="AK383" s="164"/>
      <c r="AL383" s="164"/>
      <c r="AM383" s="164"/>
      <c r="AN383" s="164"/>
      <c r="AO383" s="164"/>
      <c r="AP383" s="164"/>
    </row>
    <row r="384">
      <c r="A384" s="167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  <c r="AD384" s="164"/>
      <c r="AE384" s="164"/>
      <c r="AF384" s="164"/>
      <c r="AG384" s="164"/>
      <c r="AH384" s="164"/>
      <c r="AI384" s="164"/>
      <c r="AJ384" s="164"/>
      <c r="AK384" s="164"/>
      <c r="AL384" s="164"/>
      <c r="AM384" s="164"/>
      <c r="AN384" s="164"/>
      <c r="AO384" s="164"/>
      <c r="AP384" s="164"/>
    </row>
    <row r="385">
      <c r="A385" s="167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  <c r="AE385" s="164"/>
      <c r="AF385" s="164"/>
      <c r="AG385" s="164"/>
      <c r="AH385" s="164"/>
      <c r="AI385" s="164"/>
      <c r="AJ385" s="164"/>
      <c r="AK385" s="164"/>
      <c r="AL385" s="164"/>
      <c r="AM385" s="164"/>
      <c r="AN385" s="164"/>
      <c r="AO385" s="164"/>
      <c r="AP385" s="164"/>
    </row>
    <row r="386">
      <c r="A386" s="167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  <c r="AE386" s="164"/>
      <c r="AF386" s="164"/>
      <c r="AG386" s="164"/>
      <c r="AH386" s="164"/>
      <c r="AI386" s="164"/>
      <c r="AJ386" s="164"/>
      <c r="AK386" s="164"/>
      <c r="AL386" s="164"/>
      <c r="AM386" s="164"/>
      <c r="AN386" s="164"/>
      <c r="AO386" s="164"/>
      <c r="AP386" s="164"/>
    </row>
    <row r="387">
      <c r="A387" s="167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  <c r="AE387" s="164"/>
      <c r="AF387" s="164"/>
      <c r="AG387" s="164"/>
      <c r="AH387" s="164"/>
      <c r="AI387" s="164"/>
      <c r="AJ387" s="164"/>
      <c r="AK387" s="164"/>
      <c r="AL387" s="164"/>
      <c r="AM387" s="164"/>
      <c r="AN387" s="164"/>
      <c r="AO387" s="164"/>
      <c r="AP387" s="164"/>
    </row>
    <row r="388">
      <c r="A388" s="167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  <c r="AE388" s="164"/>
      <c r="AF388" s="164"/>
      <c r="AG388" s="164"/>
      <c r="AH388" s="164"/>
      <c r="AI388" s="164"/>
      <c r="AJ388" s="164"/>
      <c r="AK388" s="164"/>
      <c r="AL388" s="164"/>
      <c r="AM388" s="164"/>
      <c r="AN388" s="164"/>
      <c r="AO388" s="164"/>
      <c r="AP388" s="164"/>
    </row>
    <row r="389">
      <c r="A389" s="167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  <c r="AG389" s="164"/>
      <c r="AH389" s="164"/>
      <c r="AI389" s="164"/>
      <c r="AJ389" s="164"/>
      <c r="AK389" s="164"/>
      <c r="AL389" s="164"/>
      <c r="AM389" s="164"/>
      <c r="AN389" s="164"/>
      <c r="AO389" s="164"/>
      <c r="AP389" s="164"/>
    </row>
    <row r="390">
      <c r="A390" s="167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  <c r="AG390" s="164"/>
      <c r="AH390" s="164"/>
      <c r="AI390" s="164"/>
      <c r="AJ390" s="164"/>
      <c r="AK390" s="164"/>
      <c r="AL390" s="164"/>
      <c r="AM390" s="164"/>
      <c r="AN390" s="164"/>
      <c r="AO390" s="164"/>
      <c r="AP390" s="164"/>
    </row>
    <row r="391">
      <c r="A391" s="167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  <c r="AE391" s="164"/>
      <c r="AF391" s="164"/>
      <c r="AG391" s="164"/>
      <c r="AH391" s="164"/>
      <c r="AI391" s="164"/>
      <c r="AJ391" s="164"/>
      <c r="AK391" s="164"/>
      <c r="AL391" s="164"/>
      <c r="AM391" s="164"/>
      <c r="AN391" s="164"/>
      <c r="AO391" s="164"/>
      <c r="AP391" s="164"/>
    </row>
    <row r="392">
      <c r="A392" s="167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  <c r="AE392" s="164"/>
      <c r="AF392" s="164"/>
      <c r="AG392" s="164"/>
      <c r="AH392" s="164"/>
      <c r="AI392" s="164"/>
      <c r="AJ392" s="164"/>
      <c r="AK392" s="164"/>
      <c r="AL392" s="164"/>
      <c r="AM392" s="164"/>
      <c r="AN392" s="164"/>
      <c r="AO392" s="164"/>
      <c r="AP392" s="164"/>
    </row>
    <row r="393">
      <c r="A393" s="167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  <c r="AE393" s="164"/>
      <c r="AF393" s="164"/>
      <c r="AG393" s="164"/>
      <c r="AH393" s="164"/>
      <c r="AI393" s="164"/>
      <c r="AJ393" s="164"/>
      <c r="AK393" s="164"/>
      <c r="AL393" s="164"/>
      <c r="AM393" s="164"/>
      <c r="AN393" s="164"/>
      <c r="AO393" s="164"/>
      <c r="AP393" s="164"/>
    </row>
    <row r="394">
      <c r="A394" s="167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  <c r="AE394" s="164"/>
      <c r="AF394" s="164"/>
      <c r="AG394" s="164"/>
      <c r="AH394" s="164"/>
      <c r="AI394" s="164"/>
      <c r="AJ394" s="164"/>
      <c r="AK394" s="164"/>
      <c r="AL394" s="164"/>
      <c r="AM394" s="164"/>
      <c r="AN394" s="164"/>
      <c r="AO394" s="164"/>
      <c r="AP394" s="164"/>
    </row>
    <row r="395">
      <c r="A395" s="167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  <c r="AE395" s="164"/>
      <c r="AF395" s="164"/>
      <c r="AG395" s="164"/>
      <c r="AH395" s="164"/>
      <c r="AI395" s="164"/>
      <c r="AJ395" s="164"/>
      <c r="AK395" s="164"/>
      <c r="AL395" s="164"/>
      <c r="AM395" s="164"/>
      <c r="AN395" s="164"/>
      <c r="AO395" s="164"/>
      <c r="AP395" s="164"/>
    </row>
    <row r="396">
      <c r="A396" s="167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  <c r="AE396" s="164"/>
      <c r="AF396" s="164"/>
      <c r="AG396" s="164"/>
      <c r="AH396" s="164"/>
      <c r="AI396" s="164"/>
      <c r="AJ396" s="164"/>
      <c r="AK396" s="164"/>
      <c r="AL396" s="164"/>
      <c r="AM396" s="164"/>
      <c r="AN396" s="164"/>
      <c r="AO396" s="164"/>
      <c r="AP396" s="164"/>
    </row>
    <row r="397">
      <c r="A397" s="167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  <c r="AD397" s="164"/>
      <c r="AE397" s="164"/>
      <c r="AF397" s="164"/>
      <c r="AG397" s="164"/>
      <c r="AH397" s="164"/>
      <c r="AI397" s="164"/>
      <c r="AJ397" s="164"/>
      <c r="AK397" s="164"/>
      <c r="AL397" s="164"/>
      <c r="AM397" s="164"/>
      <c r="AN397" s="164"/>
      <c r="AO397" s="164"/>
      <c r="AP397" s="164"/>
    </row>
    <row r="398">
      <c r="A398" s="167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  <c r="AD398" s="164"/>
      <c r="AE398" s="164"/>
      <c r="AF398" s="164"/>
      <c r="AG398" s="164"/>
      <c r="AH398" s="164"/>
      <c r="AI398" s="164"/>
      <c r="AJ398" s="164"/>
      <c r="AK398" s="164"/>
      <c r="AL398" s="164"/>
      <c r="AM398" s="164"/>
      <c r="AN398" s="164"/>
      <c r="AO398" s="164"/>
      <c r="AP398" s="164"/>
    </row>
    <row r="399">
      <c r="A399" s="167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  <c r="AE399" s="164"/>
      <c r="AF399" s="164"/>
      <c r="AG399" s="164"/>
      <c r="AH399" s="164"/>
      <c r="AI399" s="164"/>
      <c r="AJ399" s="164"/>
      <c r="AK399" s="164"/>
      <c r="AL399" s="164"/>
      <c r="AM399" s="164"/>
      <c r="AN399" s="164"/>
      <c r="AO399" s="164"/>
      <c r="AP399" s="164"/>
    </row>
    <row r="400">
      <c r="A400" s="167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  <c r="AE400" s="164"/>
      <c r="AF400" s="164"/>
      <c r="AG400" s="164"/>
      <c r="AH400" s="164"/>
      <c r="AI400" s="164"/>
      <c r="AJ400" s="164"/>
      <c r="AK400" s="164"/>
      <c r="AL400" s="164"/>
      <c r="AM400" s="164"/>
      <c r="AN400" s="164"/>
      <c r="AO400" s="164"/>
      <c r="AP400" s="164"/>
    </row>
    <row r="401">
      <c r="A401" s="167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  <c r="AE401" s="164"/>
      <c r="AF401" s="164"/>
      <c r="AG401" s="164"/>
      <c r="AH401" s="164"/>
      <c r="AI401" s="164"/>
      <c r="AJ401" s="164"/>
      <c r="AK401" s="164"/>
      <c r="AL401" s="164"/>
      <c r="AM401" s="164"/>
      <c r="AN401" s="164"/>
      <c r="AO401" s="164"/>
      <c r="AP401" s="164"/>
    </row>
    <row r="402">
      <c r="A402" s="167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  <c r="AE402" s="164"/>
      <c r="AF402" s="164"/>
      <c r="AG402" s="164"/>
      <c r="AH402" s="164"/>
      <c r="AI402" s="164"/>
      <c r="AJ402" s="164"/>
      <c r="AK402" s="164"/>
      <c r="AL402" s="164"/>
      <c r="AM402" s="164"/>
      <c r="AN402" s="164"/>
      <c r="AO402" s="164"/>
      <c r="AP402" s="164"/>
    </row>
    <row r="403">
      <c r="A403" s="167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  <c r="AE403" s="164"/>
      <c r="AF403" s="164"/>
      <c r="AG403" s="164"/>
      <c r="AH403" s="164"/>
      <c r="AI403" s="164"/>
      <c r="AJ403" s="164"/>
      <c r="AK403" s="164"/>
      <c r="AL403" s="164"/>
      <c r="AM403" s="164"/>
      <c r="AN403" s="164"/>
      <c r="AO403" s="164"/>
      <c r="AP403" s="164"/>
    </row>
    <row r="404">
      <c r="A404" s="167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  <c r="AE404" s="164"/>
      <c r="AF404" s="164"/>
      <c r="AG404" s="164"/>
      <c r="AH404" s="164"/>
      <c r="AI404" s="164"/>
      <c r="AJ404" s="164"/>
      <c r="AK404" s="164"/>
      <c r="AL404" s="164"/>
      <c r="AM404" s="164"/>
      <c r="AN404" s="164"/>
      <c r="AO404" s="164"/>
      <c r="AP404" s="164"/>
    </row>
    <row r="405">
      <c r="A405" s="167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  <c r="AD405" s="164"/>
      <c r="AE405" s="164"/>
      <c r="AF405" s="164"/>
      <c r="AG405" s="164"/>
      <c r="AH405" s="164"/>
      <c r="AI405" s="164"/>
      <c r="AJ405" s="164"/>
      <c r="AK405" s="164"/>
      <c r="AL405" s="164"/>
      <c r="AM405" s="164"/>
      <c r="AN405" s="164"/>
      <c r="AO405" s="164"/>
      <c r="AP405" s="164"/>
    </row>
    <row r="406">
      <c r="A406" s="167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  <c r="AD406" s="164"/>
      <c r="AE406" s="164"/>
      <c r="AF406" s="164"/>
      <c r="AG406" s="164"/>
      <c r="AH406" s="164"/>
      <c r="AI406" s="164"/>
      <c r="AJ406" s="164"/>
      <c r="AK406" s="164"/>
      <c r="AL406" s="164"/>
      <c r="AM406" s="164"/>
      <c r="AN406" s="164"/>
      <c r="AO406" s="164"/>
      <c r="AP406" s="164"/>
    </row>
    <row r="407">
      <c r="A407" s="167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  <c r="AE407" s="164"/>
      <c r="AF407" s="164"/>
      <c r="AG407" s="164"/>
      <c r="AH407" s="164"/>
      <c r="AI407" s="164"/>
      <c r="AJ407" s="164"/>
      <c r="AK407" s="164"/>
      <c r="AL407" s="164"/>
      <c r="AM407" s="164"/>
      <c r="AN407" s="164"/>
      <c r="AO407" s="164"/>
      <c r="AP407" s="164"/>
    </row>
    <row r="408">
      <c r="A408" s="167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  <c r="AE408" s="164"/>
      <c r="AF408" s="164"/>
      <c r="AG408" s="164"/>
      <c r="AH408" s="164"/>
      <c r="AI408" s="164"/>
      <c r="AJ408" s="164"/>
      <c r="AK408" s="164"/>
      <c r="AL408" s="164"/>
      <c r="AM408" s="164"/>
      <c r="AN408" s="164"/>
      <c r="AO408" s="164"/>
      <c r="AP408" s="164"/>
    </row>
    <row r="409">
      <c r="A409" s="167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  <c r="AE409" s="164"/>
      <c r="AF409" s="164"/>
      <c r="AG409" s="164"/>
      <c r="AH409" s="164"/>
      <c r="AI409" s="164"/>
      <c r="AJ409" s="164"/>
      <c r="AK409" s="164"/>
      <c r="AL409" s="164"/>
      <c r="AM409" s="164"/>
      <c r="AN409" s="164"/>
      <c r="AO409" s="164"/>
      <c r="AP409" s="164"/>
    </row>
    <row r="410">
      <c r="A410" s="167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  <c r="AE410" s="164"/>
      <c r="AF410" s="164"/>
      <c r="AG410" s="164"/>
      <c r="AH410" s="164"/>
      <c r="AI410" s="164"/>
      <c r="AJ410" s="164"/>
      <c r="AK410" s="164"/>
      <c r="AL410" s="164"/>
      <c r="AM410" s="164"/>
      <c r="AN410" s="164"/>
      <c r="AO410" s="164"/>
      <c r="AP410" s="164"/>
    </row>
    <row r="411">
      <c r="A411" s="167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  <c r="AE411" s="164"/>
      <c r="AF411" s="164"/>
      <c r="AG411" s="164"/>
      <c r="AH411" s="164"/>
      <c r="AI411" s="164"/>
      <c r="AJ411" s="164"/>
      <c r="AK411" s="164"/>
      <c r="AL411" s="164"/>
      <c r="AM411" s="164"/>
      <c r="AN411" s="164"/>
      <c r="AO411" s="164"/>
      <c r="AP411" s="164"/>
    </row>
    <row r="412">
      <c r="A412" s="167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  <c r="AE412" s="164"/>
      <c r="AF412" s="164"/>
      <c r="AG412" s="164"/>
      <c r="AH412" s="164"/>
      <c r="AI412" s="164"/>
      <c r="AJ412" s="164"/>
      <c r="AK412" s="164"/>
      <c r="AL412" s="164"/>
      <c r="AM412" s="164"/>
      <c r="AN412" s="164"/>
      <c r="AO412" s="164"/>
      <c r="AP412" s="164"/>
    </row>
    <row r="413">
      <c r="A413" s="167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  <c r="AG413" s="164"/>
      <c r="AH413" s="164"/>
      <c r="AI413" s="164"/>
      <c r="AJ413" s="164"/>
      <c r="AK413" s="164"/>
      <c r="AL413" s="164"/>
      <c r="AM413" s="164"/>
      <c r="AN413" s="164"/>
      <c r="AO413" s="164"/>
      <c r="AP413" s="164"/>
    </row>
    <row r="414">
      <c r="A414" s="167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  <c r="AE414" s="164"/>
      <c r="AF414" s="164"/>
      <c r="AG414" s="164"/>
      <c r="AH414" s="164"/>
      <c r="AI414" s="164"/>
      <c r="AJ414" s="164"/>
      <c r="AK414" s="164"/>
      <c r="AL414" s="164"/>
      <c r="AM414" s="164"/>
      <c r="AN414" s="164"/>
      <c r="AO414" s="164"/>
      <c r="AP414" s="164"/>
    </row>
    <row r="415">
      <c r="A415" s="167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  <c r="AE415" s="164"/>
      <c r="AF415" s="164"/>
      <c r="AG415" s="164"/>
      <c r="AH415" s="164"/>
      <c r="AI415" s="164"/>
      <c r="AJ415" s="164"/>
      <c r="AK415" s="164"/>
      <c r="AL415" s="164"/>
      <c r="AM415" s="164"/>
      <c r="AN415" s="164"/>
      <c r="AO415" s="164"/>
      <c r="AP415" s="164"/>
    </row>
    <row r="416">
      <c r="A416" s="167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  <c r="AE416" s="164"/>
      <c r="AF416" s="164"/>
      <c r="AG416" s="164"/>
      <c r="AH416" s="164"/>
      <c r="AI416" s="164"/>
      <c r="AJ416" s="164"/>
      <c r="AK416" s="164"/>
      <c r="AL416" s="164"/>
      <c r="AM416" s="164"/>
      <c r="AN416" s="164"/>
      <c r="AO416" s="164"/>
      <c r="AP416" s="164"/>
    </row>
    <row r="417">
      <c r="A417" s="167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  <c r="AD417" s="164"/>
      <c r="AE417" s="164"/>
      <c r="AF417" s="164"/>
      <c r="AG417" s="164"/>
      <c r="AH417" s="164"/>
      <c r="AI417" s="164"/>
      <c r="AJ417" s="164"/>
      <c r="AK417" s="164"/>
      <c r="AL417" s="164"/>
      <c r="AM417" s="164"/>
      <c r="AN417" s="164"/>
      <c r="AO417" s="164"/>
      <c r="AP417" s="164"/>
    </row>
    <row r="418">
      <c r="A418" s="167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  <c r="AE418" s="164"/>
      <c r="AF418" s="164"/>
      <c r="AG418" s="164"/>
      <c r="AH418" s="164"/>
      <c r="AI418" s="164"/>
      <c r="AJ418" s="164"/>
      <c r="AK418" s="164"/>
      <c r="AL418" s="164"/>
      <c r="AM418" s="164"/>
      <c r="AN418" s="164"/>
      <c r="AO418" s="164"/>
      <c r="AP418" s="164"/>
    </row>
    <row r="419">
      <c r="A419" s="167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  <c r="AD419" s="164"/>
      <c r="AE419" s="164"/>
      <c r="AF419" s="164"/>
      <c r="AG419" s="164"/>
      <c r="AH419" s="164"/>
      <c r="AI419" s="164"/>
      <c r="AJ419" s="164"/>
      <c r="AK419" s="164"/>
      <c r="AL419" s="164"/>
      <c r="AM419" s="164"/>
      <c r="AN419" s="164"/>
      <c r="AO419" s="164"/>
      <c r="AP419" s="164"/>
    </row>
    <row r="420">
      <c r="A420" s="167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  <c r="AE420" s="164"/>
      <c r="AF420" s="164"/>
      <c r="AG420" s="164"/>
      <c r="AH420" s="164"/>
      <c r="AI420" s="164"/>
      <c r="AJ420" s="164"/>
      <c r="AK420" s="164"/>
      <c r="AL420" s="164"/>
      <c r="AM420" s="164"/>
      <c r="AN420" s="164"/>
      <c r="AO420" s="164"/>
      <c r="AP420" s="164"/>
    </row>
    <row r="421">
      <c r="A421" s="167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  <c r="AE421" s="164"/>
      <c r="AF421" s="164"/>
      <c r="AG421" s="164"/>
      <c r="AH421" s="164"/>
      <c r="AI421" s="164"/>
      <c r="AJ421" s="164"/>
      <c r="AK421" s="164"/>
      <c r="AL421" s="164"/>
      <c r="AM421" s="164"/>
      <c r="AN421" s="164"/>
      <c r="AO421" s="164"/>
      <c r="AP421" s="164"/>
    </row>
    <row r="422">
      <c r="A422" s="167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  <c r="AG422" s="164"/>
      <c r="AH422" s="164"/>
      <c r="AI422" s="164"/>
      <c r="AJ422" s="164"/>
      <c r="AK422" s="164"/>
      <c r="AL422" s="164"/>
      <c r="AM422" s="164"/>
      <c r="AN422" s="164"/>
      <c r="AO422" s="164"/>
      <c r="AP422" s="164"/>
    </row>
    <row r="423">
      <c r="A423" s="167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  <c r="AE423" s="164"/>
      <c r="AF423" s="164"/>
      <c r="AG423" s="164"/>
      <c r="AH423" s="164"/>
      <c r="AI423" s="164"/>
      <c r="AJ423" s="164"/>
      <c r="AK423" s="164"/>
      <c r="AL423" s="164"/>
      <c r="AM423" s="164"/>
      <c r="AN423" s="164"/>
      <c r="AO423" s="164"/>
      <c r="AP423" s="164"/>
    </row>
    <row r="424">
      <c r="A424" s="167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  <c r="AE424" s="164"/>
      <c r="AF424" s="164"/>
      <c r="AG424" s="164"/>
      <c r="AH424" s="164"/>
      <c r="AI424" s="164"/>
      <c r="AJ424" s="164"/>
      <c r="AK424" s="164"/>
      <c r="AL424" s="164"/>
      <c r="AM424" s="164"/>
      <c r="AN424" s="164"/>
      <c r="AO424" s="164"/>
      <c r="AP424" s="164"/>
    </row>
    <row r="425">
      <c r="A425" s="167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  <c r="AE425" s="164"/>
      <c r="AF425" s="164"/>
      <c r="AG425" s="164"/>
      <c r="AH425" s="164"/>
      <c r="AI425" s="164"/>
      <c r="AJ425" s="164"/>
      <c r="AK425" s="164"/>
      <c r="AL425" s="164"/>
      <c r="AM425" s="164"/>
      <c r="AN425" s="164"/>
      <c r="AO425" s="164"/>
      <c r="AP425" s="164"/>
    </row>
    <row r="426">
      <c r="A426" s="167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  <c r="AE426" s="164"/>
      <c r="AF426" s="164"/>
      <c r="AG426" s="164"/>
      <c r="AH426" s="164"/>
      <c r="AI426" s="164"/>
      <c r="AJ426" s="164"/>
      <c r="AK426" s="164"/>
      <c r="AL426" s="164"/>
      <c r="AM426" s="164"/>
      <c r="AN426" s="164"/>
      <c r="AO426" s="164"/>
      <c r="AP426" s="164"/>
    </row>
    <row r="427">
      <c r="A427" s="167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  <c r="AE427" s="164"/>
      <c r="AF427" s="164"/>
      <c r="AG427" s="164"/>
      <c r="AH427" s="164"/>
      <c r="AI427" s="164"/>
      <c r="AJ427" s="164"/>
      <c r="AK427" s="164"/>
      <c r="AL427" s="164"/>
      <c r="AM427" s="164"/>
      <c r="AN427" s="164"/>
      <c r="AO427" s="164"/>
      <c r="AP427" s="164"/>
    </row>
    <row r="428">
      <c r="A428" s="167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  <c r="AE428" s="164"/>
      <c r="AF428" s="164"/>
      <c r="AG428" s="164"/>
      <c r="AH428" s="164"/>
      <c r="AI428" s="164"/>
      <c r="AJ428" s="164"/>
      <c r="AK428" s="164"/>
      <c r="AL428" s="164"/>
      <c r="AM428" s="164"/>
      <c r="AN428" s="164"/>
      <c r="AO428" s="164"/>
      <c r="AP428" s="164"/>
    </row>
    <row r="429">
      <c r="A429" s="167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  <c r="AE429" s="164"/>
      <c r="AF429" s="164"/>
      <c r="AG429" s="164"/>
      <c r="AH429" s="164"/>
      <c r="AI429" s="164"/>
      <c r="AJ429" s="164"/>
      <c r="AK429" s="164"/>
      <c r="AL429" s="164"/>
      <c r="AM429" s="164"/>
      <c r="AN429" s="164"/>
      <c r="AO429" s="164"/>
      <c r="AP429" s="164"/>
    </row>
    <row r="430">
      <c r="A430" s="167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  <c r="AE430" s="164"/>
      <c r="AF430" s="164"/>
      <c r="AG430" s="164"/>
      <c r="AH430" s="164"/>
      <c r="AI430" s="164"/>
      <c r="AJ430" s="164"/>
      <c r="AK430" s="164"/>
      <c r="AL430" s="164"/>
      <c r="AM430" s="164"/>
      <c r="AN430" s="164"/>
      <c r="AO430" s="164"/>
      <c r="AP430" s="164"/>
    </row>
    <row r="431">
      <c r="A431" s="167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  <c r="AE431" s="164"/>
      <c r="AF431" s="164"/>
      <c r="AG431" s="164"/>
      <c r="AH431" s="164"/>
      <c r="AI431" s="164"/>
      <c r="AJ431" s="164"/>
      <c r="AK431" s="164"/>
      <c r="AL431" s="164"/>
      <c r="AM431" s="164"/>
      <c r="AN431" s="164"/>
      <c r="AO431" s="164"/>
      <c r="AP431" s="164"/>
    </row>
    <row r="432">
      <c r="A432" s="167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  <c r="AE432" s="164"/>
      <c r="AF432" s="164"/>
      <c r="AG432" s="164"/>
      <c r="AH432" s="164"/>
      <c r="AI432" s="164"/>
      <c r="AJ432" s="164"/>
      <c r="AK432" s="164"/>
      <c r="AL432" s="164"/>
      <c r="AM432" s="164"/>
      <c r="AN432" s="164"/>
      <c r="AO432" s="164"/>
      <c r="AP432" s="164"/>
    </row>
    <row r="433">
      <c r="A433" s="167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  <c r="AD433" s="164"/>
      <c r="AE433" s="164"/>
      <c r="AF433" s="164"/>
      <c r="AG433" s="164"/>
      <c r="AH433" s="164"/>
      <c r="AI433" s="164"/>
      <c r="AJ433" s="164"/>
      <c r="AK433" s="164"/>
      <c r="AL433" s="164"/>
      <c r="AM433" s="164"/>
      <c r="AN433" s="164"/>
      <c r="AO433" s="164"/>
      <c r="AP433" s="164"/>
    </row>
    <row r="434">
      <c r="A434" s="167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  <c r="AD434" s="164"/>
      <c r="AE434" s="164"/>
      <c r="AF434" s="164"/>
      <c r="AG434" s="164"/>
      <c r="AH434" s="164"/>
      <c r="AI434" s="164"/>
      <c r="AJ434" s="164"/>
      <c r="AK434" s="164"/>
      <c r="AL434" s="164"/>
      <c r="AM434" s="164"/>
      <c r="AN434" s="164"/>
      <c r="AO434" s="164"/>
      <c r="AP434" s="164"/>
    </row>
    <row r="435">
      <c r="A435" s="167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  <c r="AE435" s="164"/>
      <c r="AF435" s="164"/>
      <c r="AG435" s="164"/>
      <c r="AH435" s="164"/>
      <c r="AI435" s="164"/>
      <c r="AJ435" s="164"/>
      <c r="AK435" s="164"/>
      <c r="AL435" s="164"/>
      <c r="AM435" s="164"/>
      <c r="AN435" s="164"/>
      <c r="AO435" s="164"/>
      <c r="AP435" s="164"/>
    </row>
    <row r="436">
      <c r="A436" s="167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  <c r="AD436" s="164"/>
      <c r="AE436" s="164"/>
      <c r="AF436" s="164"/>
      <c r="AG436" s="164"/>
      <c r="AH436" s="164"/>
      <c r="AI436" s="164"/>
      <c r="AJ436" s="164"/>
      <c r="AK436" s="164"/>
      <c r="AL436" s="164"/>
      <c r="AM436" s="164"/>
      <c r="AN436" s="164"/>
      <c r="AO436" s="164"/>
      <c r="AP436" s="164"/>
    </row>
    <row r="437">
      <c r="A437" s="167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  <c r="AE437" s="164"/>
      <c r="AF437" s="164"/>
      <c r="AG437" s="164"/>
      <c r="AH437" s="164"/>
      <c r="AI437" s="164"/>
      <c r="AJ437" s="164"/>
      <c r="AK437" s="164"/>
      <c r="AL437" s="164"/>
      <c r="AM437" s="164"/>
      <c r="AN437" s="164"/>
      <c r="AO437" s="164"/>
      <c r="AP437" s="164"/>
    </row>
    <row r="438">
      <c r="A438" s="167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  <c r="AD438" s="164"/>
      <c r="AE438" s="164"/>
      <c r="AF438" s="164"/>
      <c r="AG438" s="164"/>
      <c r="AH438" s="164"/>
      <c r="AI438" s="164"/>
      <c r="AJ438" s="164"/>
      <c r="AK438" s="164"/>
      <c r="AL438" s="164"/>
      <c r="AM438" s="164"/>
      <c r="AN438" s="164"/>
      <c r="AO438" s="164"/>
      <c r="AP438" s="164"/>
    </row>
    <row r="439">
      <c r="A439" s="167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  <c r="AE439" s="164"/>
      <c r="AF439" s="164"/>
      <c r="AG439" s="164"/>
      <c r="AH439" s="164"/>
      <c r="AI439" s="164"/>
      <c r="AJ439" s="164"/>
      <c r="AK439" s="164"/>
      <c r="AL439" s="164"/>
      <c r="AM439" s="164"/>
      <c r="AN439" s="164"/>
      <c r="AO439" s="164"/>
      <c r="AP439" s="164"/>
    </row>
    <row r="440">
      <c r="A440" s="167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  <c r="AE440" s="164"/>
      <c r="AF440" s="164"/>
      <c r="AG440" s="164"/>
      <c r="AH440" s="164"/>
      <c r="AI440" s="164"/>
      <c r="AJ440" s="164"/>
      <c r="AK440" s="164"/>
      <c r="AL440" s="164"/>
      <c r="AM440" s="164"/>
      <c r="AN440" s="164"/>
      <c r="AO440" s="164"/>
      <c r="AP440" s="164"/>
    </row>
    <row r="441">
      <c r="A441" s="167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  <c r="AE441" s="164"/>
      <c r="AF441" s="164"/>
      <c r="AG441" s="164"/>
      <c r="AH441" s="164"/>
      <c r="AI441" s="164"/>
      <c r="AJ441" s="164"/>
      <c r="AK441" s="164"/>
      <c r="AL441" s="164"/>
      <c r="AM441" s="164"/>
      <c r="AN441" s="164"/>
      <c r="AO441" s="164"/>
      <c r="AP441" s="164"/>
    </row>
    <row r="442">
      <c r="A442" s="167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  <c r="AE442" s="164"/>
      <c r="AF442" s="164"/>
      <c r="AG442" s="164"/>
      <c r="AH442" s="164"/>
      <c r="AI442" s="164"/>
      <c r="AJ442" s="164"/>
      <c r="AK442" s="164"/>
      <c r="AL442" s="164"/>
      <c r="AM442" s="164"/>
      <c r="AN442" s="164"/>
      <c r="AO442" s="164"/>
      <c r="AP442" s="164"/>
    </row>
    <row r="443">
      <c r="A443" s="167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  <c r="AD443" s="164"/>
      <c r="AE443" s="164"/>
      <c r="AF443" s="164"/>
      <c r="AG443" s="164"/>
      <c r="AH443" s="164"/>
      <c r="AI443" s="164"/>
      <c r="AJ443" s="164"/>
      <c r="AK443" s="164"/>
      <c r="AL443" s="164"/>
      <c r="AM443" s="164"/>
      <c r="AN443" s="164"/>
      <c r="AO443" s="164"/>
      <c r="AP443" s="164"/>
    </row>
    <row r="444">
      <c r="A444" s="167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  <c r="AE444" s="164"/>
      <c r="AF444" s="164"/>
      <c r="AG444" s="164"/>
      <c r="AH444" s="164"/>
      <c r="AI444" s="164"/>
      <c r="AJ444" s="164"/>
      <c r="AK444" s="164"/>
      <c r="AL444" s="164"/>
      <c r="AM444" s="164"/>
      <c r="AN444" s="164"/>
      <c r="AO444" s="164"/>
      <c r="AP444" s="164"/>
    </row>
    <row r="445">
      <c r="A445" s="167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  <c r="AE445" s="164"/>
      <c r="AF445" s="164"/>
      <c r="AG445" s="164"/>
      <c r="AH445" s="164"/>
      <c r="AI445" s="164"/>
      <c r="AJ445" s="164"/>
      <c r="AK445" s="164"/>
      <c r="AL445" s="164"/>
      <c r="AM445" s="164"/>
      <c r="AN445" s="164"/>
      <c r="AO445" s="164"/>
      <c r="AP445" s="164"/>
    </row>
    <row r="446">
      <c r="A446" s="167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  <c r="AE446" s="164"/>
      <c r="AF446" s="164"/>
      <c r="AG446" s="164"/>
      <c r="AH446" s="164"/>
      <c r="AI446" s="164"/>
      <c r="AJ446" s="164"/>
      <c r="AK446" s="164"/>
      <c r="AL446" s="164"/>
      <c r="AM446" s="164"/>
      <c r="AN446" s="164"/>
      <c r="AO446" s="164"/>
      <c r="AP446" s="164"/>
    </row>
    <row r="447">
      <c r="A447" s="167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  <c r="AE447" s="164"/>
      <c r="AF447" s="164"/>
      <c r="AG447" s="164"/>
      <c r="AH447" s="164"/>
      <c r="AI447" s="164"/>
      <c r="AJ447" s="164"/>
      <c r="AK447" s="164"/>
      <c r="AL447" s="164"/>
      <c r="AM447" s="164"/>
      <c r="AN447" s="164"/>
      <c r="AO447" s="164"/>
      <c r="AP447" s="164"/>
    </row>
    <row r="448">
      <c r="A448" s="167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  <c r="AE448" s="164"/>
      <c r="AF448" s="164"/>
      <c r="AG448" s="164"/>
      <c r="AH448" s="164"/>
      <c r="AI448" s="164"/>
      <c r="AJ448" s="164"/>
      <c r="AK448" s="164"/>
      <c r="AL448" s="164"/>
      <c r="AM448" s="164"/>
      <c r="AN448" s="164"/>
      <c r="AO448" s="164"/>
      <c r="AP448" s="164"/>
    </row>
    <row r="449">
      <c r="A449" s="167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  <c r="AE449" s="164"/>
      <c r="AF449" s="164"/>
      <c r="AG449" s="164"/>
      <c r="AH449" s="164"/>
      <c r="AI449" s="164"/>
      <c r="AJ449" s="164"/>
      <c r="AK449" s="164"/>
      <c r="AL449" s="164"/>
      <c r="AM449" s="164"/>
      <c r="AN449" s="164"/>
      <c r="AO449" s="164"/>
      <c r="AP449" s="164"/>
    </row>
    <row r="450">
      <c r="A450" s="167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  <c r="AE450" s="164"/>
      <c r="AF450" s="164"/>
      <c r="AG450" s="164"/>
      <c r="AH450" s="164"/>
      <c r="AI450" s="164"/>
      <c r="AJ450" s="164"/>
      <c r="AK450" s="164"/>
      <c r="AL450" s="164"/>
      <c r="AM450" s="164"/>
      <c r="AN450" s="164"/>
      <c r="AO450" s="164"/>
      <c r="AP450" s="164"/>
    </row>
    <row r="451">
      <c r="A451" s="167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  <c r="AE451" s="164"/>
      <c r="AF451" s="164"/>
      <c r="AG451" s="164"/>
      <c r="AH451" s="164"/>
      <c r="AI451" s="164"/>
      <c r="AJ451" s="164"/>
      <c r="AK451" s="164"/>
      <c r="AL451" s="164"/>
      <c r="AM451" s="164"/>
      <c r="AN451" s="164"/>
      <c r="AO451" s="164"/>
      <c r="AP451" s="164"/>
    </row>
    <row r="452">
      <c r="A452" s="167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  <c r="AE452" s="164"/>
      <c r="AF452" s="164"/>
      <c r="AG452" s="164"/>
      <c r="AH452" s="164"/>
      <c r="AI452" s="164"/>
      <c r="AJ452" s="164"/>
      <c r="AK452" s="164"/>
      <c r="AL452" s="164"/>
      <c r="AM452" s="164"/>
      <c r="AN452" s="164"/>
      <c r="AO452" s="164"/>
      <c r="AP452" s="164"/>
    </row>
    <row r="453">
      <c r="A453" s="167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  <c r="AE453" s="164"/>
      <c r="AF453" s="164"/>
      <c r="AG453" s="164"/>
      <c r="AH453" s="164"/>
      <c r="AI453" s="164"/>
      <c r="AJ453" s="164"/>
      <c r="AK453" s="164"/>
      <c r="AL453" s="164"/>
      <c r="AM453" s="164"/>
      <c r="AN453" s="164"/>
      <c r="AO453" s="164"/>
      <c r="AP453" s="164"/>
    </row>
    <row r="454">
      <c r="A454" s="167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  <c r="AE454" s="164"/>
      <c r="AF454" s="164"/>
      <c r="AG454" s="164"/>
      <c r="AH454" s="164"/>
      <c r="AI454" s="164"/>
      <c r="AJ454" s="164"/>
      <c r="AK454" s="164"/>
      <c r="AL454" s="164"/>
      <c r="AM454" s="164"/>
      <c r="AN454" s="164"/>
      <c r="AO454" s="164"/>
      <c r="AP454" s="164"/>
    </row>
    <row r="455">
      <c r="A455" s="167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  <c r="AG455" s="164"/>
      <c r="AH455" s="164"/>
      <c r="AI455" s="164"/>
      <c r="AJ455" s="164"/>
      <c r="AK455" s="164"/>
      <c r="AL455" s="164"/>
      <c r="AM455" s="164"/>
      <c r="AN455" s="164"/>
      <c r="AO455" s="164"/>
      <c r="AP455" s="164"/>
    </row>
    <row r="456">
      <c r="A456" s="167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  <c r="AE456" s="164"/>
      <c r="AF456" s="164"/>
      <c r="AG456" s="164"/>
      <c r="AH456" s="164"/>
      <c r="AI456" s="164"/>
      <c r="AJ456" s="164"/>
      <c r="AK456" s="164"/>
      <c r="AL456" s="164"/>
      <c r="AM456" s="164"/>
      <c r="AN456" s="164"/>
      <c r="AO456" s="164"/>
      <c r="AP456" s="164"/>
    </row>
    <row r="457">
      <c r="A457" s="167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  <c r="AE457" s="164"/>
      <c r="AF457" s="164"/>
      <c r="AG457" s="164"/>
      <c r="AH457" s="164"/>
      <c r="AI457" s="164"/>
      <c r="AJ457" s="164"/>
      <c r="AK457" s="164"/>
      <c r="AL457" s="164"/>
      <c r="AM457" s="164"/>
      <c r="AN457" s="164"/>
      <c r="AO457" s="164"/>
      <c r="AP457" s="164"/>
    </row>
    <row r="458">
      <c r="A458" s="167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  <c r="AE458" s="164"/>
      <c r="AF458" s="164"/>
      <c r="AG458" s="164"/>
      <c r="AH458" s="164"/>
      <c r="AI458" s="164"/>
      <c r="AJ458" s="164"/>
      <c r="AK458" s="164"/>
      <c r="AL458" s="164"/>
      <c r="AM458" s="164"/>
      <c r="AN458" s="164"/>
      <c r="AO458" s="164"/>
      <c r="AP458" s="164"/>
    </row>
    <row r="459">
      <c r="A459" s="167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  <c r="AD459" s="164"/>
      <c r="AE459" s="164"/>
      <c r="AF459" s="164"/>
      <c r="AG459" s="164"/>
      <c r="AH459" s="164"/>
      <c r="AI459" s="164"/>
      <c r="AJ459" s="164"/>
      <c r="AK459" s="164"/>
      <c r="AL459" s="164"/>
      <c r="AM459" s="164"/>
      <c r="AN459" s="164"/>
      <c r="AO459" s="164"/>
      <c r="AP459" s="164"/>
    </row>
    <row r="460">
      <c r="A460" s="167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  <c r="AE460" s="164"/>
      <c r="AF460" s="164"/>
      <c r="AG460" s="164"/>
      <c r="AH460" s="164"/>
      <c r="AI460" s="164"/>
      <c r="AJ460" s="164"/>
      <c r="AK460" s="164"/>
      <c r="AL460" s="164"/>
      <c r="AM460" s="164"/>
      <c r="AN460" s="164"/>
      <c r="AO460" s="164"/>
      <c r="AP460" s="164"/>
    </row>
    <row r="461">
      <c r="A461" s="167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  <c r="AE461" s="164"/>
      <c r="AF461" s="164"/>
      <c r="AG461" s="164"/>
      <c r="AH461" s="164"/>
      <c r="AI461" s="164"/>
      <c r="AJ461" s="164"/>
      <c r="AK461" s="164"/>
      <c r="AL461" s="164"/>
      <c r="AM461" s="164"/>
      <c r="AN461" s="164"/>
      <c r="AO461" s="164"/>
      <c r="AP461" s="164"/>
    </row>
    <row r="462">
      <c r="A462" s="167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  <c r="AE462" s="164"/>
      <c r="AF462" s="164"/>
      <c r="AG462" s="164"/>
      <c r="AH462" s="164"/>
      <c r="AI462" s="164"/>
      <c r="AJ462" s="164"/>
      <c r="AK462" s="164"/>
      <c r="AL462" s="164"/>
      <c r="AM462" s="164"/>
      <c r="AN462" s="164"/>
      <c r="AO462" s="164"/>
      <c r="AP462" s="164"/>
    </row>
    <row r="463">
      <c r="A463" s="167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  <c r="AD463" s="164"/>
      <c r="AE463" s="164"/>
      <c r="AF463" s="164"/>
      <c r="AG463" s="164"/>
      <c r="AH463" s="164"/>
      <c r="AI463" s="164"/>
      <c r="AJ463" s="164"/>
      <c r="AK463" s="164"/>
      <c r="AL463" s="164"/>
      <c r="AM463" s="164"/>
      <c r="AN463" s="164"/>
      <c r="AO463" s="164"/>
      <c r="AP463" s="164"/>
    </row>
    <row r="464">
      <c r="A464" s="167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  <c r="AD464" s="164"/>
      <c r="AE464" s="164"/>
      <c r="AF464" s="164"/>
      <c r="AG464" s="164"/>
      <c r="AH464" s="164"/>
      <c r="AI464" s="164"/>
      <c r="AJ464" s="164"/>
      <c r="AK464" s="164"/>
      <c r="AL464" s="164"/>
      <c r="AM464" s="164"/>
      <c r="AN464" s="164"/>
      <c r="AO464" s="164"/>
      <c r="AP464" s="164"/>
    </row>
    <row r="465">
      <c r="A465" s="167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  <c r="AD465" s="164"/>
      <c r="AE465" s="164"/>
      <c r="AF465" s="164"/>
      <c r="AG465" s="164"/>
      <c r="AH465" s="164"/>
      <c r="AI465" s="164"/>
      <c r="AJ465" s="164"/>
      <c r="AK465" s="164"/>
      <c r="AL465" s="164"/>
      <c r="AM465" s="164"/>
      <c r="AN465" s="164"/>
      <c r="AO465" s="164"/>
      <c r="AP465" s="164"/>
    </row>
    <row r="466">
      <c r="A466" s="167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  <c r="AD466" s="164"/>
      <c r="AE466" s="164"/>
      <c r="AF466" s="164"/>
      <c r="AG466" s="164"/>
      <c r="AH466" s="164"/>
      <c r="AI466" s="164"/>
      <c r="AJ466" s="164"/>
      <c r="AK466" s="164"/>
      <c r="AL466" s="164"/>
      <c r="AM466" s="164"/>
      <c r="AN466" s="164"/>
      <c r="AO466" s="164"/>
      <c r="AP466" s="164"/>
    </row>
    <row r="467">
      <c r="A467" s="167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  <c r="AD467" s="164"/>
      <c r="AE467" s="164"/>
      <c r="AF467" s="164"/>
      <c r="AG467" s="164"/>
      <c r="AH467" s="164"/>
      <c r="AI467" s="164"/>
      <c r="AJ467" s="164"/>
      <c r="AK467" s="164"/>
      <c r="AL467" s="164"/>
      <c r="AM467" s="164"/>
      <c r="AN467" s="164"/>
      <c r="AO467" s="164"/>
      <c r="AP467" s="164"/>
    </row>
    <row r="468">
      <c r="A468" s="167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  <c r="AD468" s="164"/>
      <c r="AE468" s="164"/>
      <c r="AF468" s="164"/>
      <c r="AG468" s="164"/>
      <c r="AH468" s="164"/>
      <c r="AI468" s="164"/>
      <c r="AJ468" s="164"/>
      <c r="AK468" s="164"/>
      <c r="AL468" s="164"/>
      <c r="AM468" s="164"/>
      <c r="AN468" s="164"/>
      <c r="AO468" s="164"/>
      <c r="AP468" s="164"/>
    </row>
    <row r="469">
      <c r="A469" s="167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  <c r="AE469" s="164"/>
      <c r="AF469" s="164"/>
      <c r="AG469" s="164"/>
      <c r="AH469" s="164"/>
      <c r="AI469" s="164"/>
      <c r="AJ469" s="164"/>
      <c r="AK469" s="164"/>
      <c r="AL469" s="164"/>
      <c r="AM469" s="164"/>
      <c r="AN469" s="164"/>
      <c r="AO469" s="164"/>
      <c r="AP469" s="164"/>
    </row>
    <row r="470">
      <c r="A470" s="167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  <c r="AD470" s="164"/>
      <c r="AE470" s="164"/>
      <c r="AF470" s="164"/>
      <c r="AG470" s="164"/>
      <c r="AH470" s="164"/>
      <c r="AI470" s="164"/>
      <c r="AJ470" s="164"/>
      <c r="AK470" s="164"/>
      <c r="AL470" s="164"/>
      <c r="AM470" s="164"/>
      <c r="AN470" s="164"/>
      <c r="AO470" s="164"/>
      <c r="AP470" s="164"/>
    </row>
    <row r="471">
      <c r="A471" s="167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  <c r="AE471" s="164"/>
      <c r="AF471" s="164"/>
      <c r="AG471" s="164"/>
      <c r="AH471" s="164"/>
      <c r="AI471" s="164"/>
      <c r="AJ471" s="164"/>
      <c r="AK471" s="164"/>
      <c r="AL471" s="164"/>
      <c r="AM471" s="164"/>
      <c r="AN471" s="164"/>
      <c r="AO471" s="164"/>
      <c r="AP471" s="164"/>
    </row>
    <row r="472">
      <c r="A472" s="167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  <c r="AD472" s="164"/>
      <c r="AE472" s="164"/>
      <c r="AF472" s="164"/>
      <c r="AG472" s="164"/>
      <c r="AH472" s="164"/>
      <c r="AI472" s="164"/>
      <c r="AJ472" s="164"/>
      <c r="AK472" s="164"/>
      <c r="AL472" s="164"/>
      <c r="AM472" s="164"/>
      <c r="AN472" s="164"/>
      <c r="AO472" s="164"/>
      <c r="AP472" s="164"/>
    </row>
    <row r="473">
      <c r="A473" s="167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  <c r="AD473" s="164"/>
      <c r="AE473" s="164"/>
      <c r="AF473" s="164"/>
      <c r="AG473" s="164"/>
      <c r="AH473" s="164"/>
      <c r="AI473" s="164"/>
      <c r="AJ473" s="164"/>
      <c r="AK473" s="164"/>
      <c r="AL473" s="164"/>
      <c r="AM473" s="164"/>
      <c r="AN473" s="164"/>
      <c r="AO473" s="164"/>
      <c r="AP473" s="164"/>
    </row>
    <row r="474">
      <c r="A474" s="167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  <c r="AD474" s="164"/>
      <c r="AE474" s="164"/>
      <c r="AF474" s="164"/>
      <c r="AG474" s="164"/>
      <c r="AH474" s="164"/>
      <c r="AI474" s="164"/>
      <c r="AJ474" s="164"/>
      <c r="AK474" s="164"/>
      <c r="AL474" s="164"/>
      <c r="AM474" s="164"/>
      <c r="AN474" s="164"/>
      <c r="AO474" s="164"/>
      <c r="AP474" s="164"/>
    </row>
    <row r="475">
      <c r="A475" s="167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  <c r="AD475" s="164"/>
      <c r="AE475" s="164"/>
      <c r="AF475" s="164"/>
      <c r="AG475" s="164"/>
      <c r="AH475" s="164"/>
      <c r="AI475" s="164"/>
      <c r="AJ475" s="164"/>
      <c r="AK475" s="164"/>
      <c r="AL475" s="164"/>
      <c r="AM475" s="164"/>
      <c r="AN475" s="164"/>
      <c r="AO475" s="164"/>
      <c r="AP475" s="164"/>
    </row>
    <row r="476">
      <c r="A476" s="167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  <c r="AE476" s="164"/>
      <c r="AF476" s="164"/>
      <c r="AG476" s="164"/>
      <c r="AH476" s="164"/>
      <c r="AI476" s="164"/>
      <c r="AJ476" s="164"/>
      <c r="AK476" s="164"/>
      <c r="AL476" s="164"/>
      <c r="AM476" s="164"/>
      <c r="AN476" s="164"/>
      <c r="AO476" s="164"/>
      <c r="AP476" s="164"/>
    </row>
    <row r="477">
      <c r="A477" s="167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  <c r="AD477" s="164"/>
      <c r="AE477" s="164"/>
      <c r="AF477" s="164"/>
      <c r="AG477" s="164"/>
      <c r="AH477" s="164"/>
      <c r="AI477" s="164"/>
      <c r="AJ477" s="164"/>
      <c r="AK477" s="164"/>
      <c r="AL477" s="164"/>
      <c r="AM477" s="164"/>
      <c r="AN477" s="164"/>
      <c r="AO477" s="164"/>
      <c r="AP477" s="164"/>
    </row>
    <row r="478">
      <c r="A478" s="167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  <c r="AD478" s="164"/>
      <c r="AE478" s="164"/>
      <c r="AF478" s="164"/>
      <c r="AG478" s="164"/>
      <c r="AH478" s="164"/>
      <c r="AI478" s="164"/>
      <c r="AJ478" s="164"/>
      <c r="AK478" s="164"/>
      <c r="AL478" s="164"/>
      <c r="AM478" s="164"/>
      <c r="AN478" s="164"/>
      <c r="AO478" s="164"/>
      <c r="AP478" s="164"/>
    </row>
    <row r="479">
      <c r="A479" s="167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  <c r="AD479" s="164"/>
      <c r="AE479" s="164"/>
      <c r="AF479" s="164"/>
      <c r="AG479" s="164"/>
      <c r="AH479" s="164"/>
      <c r="AI479" s="164"/>
      <c r="AJ479" s="164"/>
      <c r="AK479" s="164"/>
      <c r="AL479" s="164"/>
      <c r="AM479" s="164"/>
      <c r="AN479" s="164"/>
      <c r="AO479" s="164"/>
      <c r="AP479" s="164"/>
    </row>
    <row r="480">
      <c r="A480" s="167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  <c r="AD480" s="164"/>
      <c r="AE480" s="164"/>
      <c r="AF480" s="164"/>
      <c r="AG480" s="164"/>
      <c r="AH480" s="164"/>
      <c r="AI480" s="164"/>
      <c r="AJ480" s="164"/>
      <c r="AK480" s="164"/>
      <c r="AL480" s="164"/>
      <c r="AM480" s="164"/>
      <c r="AN480" s="164"/>
      <c r="AO480" s="164"/>
      <c r="AP480" s="164"/>
    </row>
    <row r="481">
      <c r="A481" s="167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  <c r="AE481" s="164"/>
      <c r="AF481" s="164"/>
      <c r="AG481" s="164"/>
      <c r="AH481" s="164"/>
      <c r="AI481" s="164"/>
      <c r="AJ481" s="164"/>
      <c r="AK481" s="164"/>
      <c r="AL481" s="164"/>
      <c r="AM481" s="164"/>
      <c r="AN481" s="164"/>
      <c r="AO481" s="164"/>
      <c r="AP481" s="164"/>
    </row>
    <row r="482">
      <c r="A482" s="167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  <c r="AD482" s="164"/>
      <c r="AE482" s="164"/>
      <c r="AF482" s="164"/>
      <c r="AG482" s="164"/>
      <c r="AH482" s="164"/>
      <c r="AI482" s="164"/>
      <c r="AJ482" s="164"/>
      <c r="AK482" s="164"/>
      <c r="AL482" s="164"/>
      <c r="AM482" s="164"/>
      <c r="AN482" s="164"/>
      <c r="AO482" s="164"/>
      <c r="AP482" s="164"/>
    </row>
    <row r="483">
      <c r="A483" s="167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  <c r="AD483" s="164"/>
      <c r="AE483" s="164"/>
      <c r="AF483" s="164"/>
      <c r="AG483" s="164"/>
      <c r="AH483" s="164"/>
      <c r="AI483" s="164"/>
      <c r="AJ483" s="164"/>
      <c r="AK483" s="164"/>
      <c r="AL483" s="164"/>
      <c r="AM483" s="164"/>
      <c r="AN483" s="164"/>
      <c r="AO483" s="164"/>
      <c r="AP483" s="164"/>
    </row>
    <row r="484">
      <c r="A484" s="167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  <c r="AD484" s="164"/>
      <c r="AE484" s="164"/>
      <c r="AF484" s="164"/>
      <c r="AG484" s="164"/>
      <c r="AH484" s="164"/>
      <c r="AI484" s="164"/>
      <c r="AJ484" s="164"/>
      <c r="AK484" s="164"/>
      <c r="AL484" s="164"/>
      <c r="AM484" s="164"/>
      <c r="AN484" s="164"/>
      <c r="AO484" s="164"/>
      <c r="AP484" s="164"/>
    </row>
    <row r="485">
      <c r="A485" s="167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  <c r="AD485" s="164"/>
      <c r="AE485" s="164"/>
      <c r="AF485" s="164"/>
      <c r="AG485" s="164"/>
      <c r="AH485" s="164"/>
      <c r="AI485" s="164"/>
      <c r="AJ485" s="164"/>
      <c r="AK485" s="164"/>
      <c r="AL485" s="164"/>
      <c r="AM485" s="164"/>
      <c r="AN485" s="164"/>
      <c r="AO485" s="164"/>
      <c r="AP485" s="164"/>
    </row>
    <row r="486">
      <c r="A486" s="167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  <c r="AE486" s="164"/>
      <c r="AF486" s="164"/>
      <c r="AG486" s="164"/>
      <c r="AH486" s="164"/>
      <c r="AI486" s="164"/>
      <c r="AJ486" s="164"/>
      <c r="AK486" s="164"/>
      <c r="AL486" s="164"/>
      <c r="AM486" s="164"/>
      <c r="AN486" s="164"/>
      <c r="AO486" s="164"/>
      <c r="AP486" s="164"/>
    </row>
    <row r="487">
      <c r="A487" s="167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  <c r="AD487" s="164"/>
      <c r="AE487" s="164"/>
      <c r="AF487" s="164"/>
      <c r="AG487" s="164"/>
      <c r="AH487" s="164"/>
      <c r="AI487" s="164"/>
      <c r="AJ487" s="164"/>
      <c r="AK487" s="164"/>
      <c r="AL487" s="164"/>
      <c r="AM487" s="164"/>
      <c r="AN487" s="164"/>
      <c r="AO487" s="164"/>
      <c r="AP487" s="164"/>
    </row>
    <row r="488">
      <c r="A488" s="167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  <c r="AD488" s="164"/>
      <c r="AE488" s="164"/>
      <c r="AF488" s="164"/>
      <c r="AG488" s="164"/>
      <c r="AH488" s="164"/>
      <c r="AI488" s="164"/>
      <c r="AJ488" s="164"/>
      <c r="AK488" s="164"/>
      <c r="AL488" s="164"/>
      <c r="AM488" s="164"/>
      <c r="AN488" s="164"/>
      <c r="AO488" s="164"/>
      <c r="AP488" s="164"/>
    </row>
    <row r="489">
      <c r="A489" s="167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  <c r="AD489" s="164"/>
      <c r="AE489" s="164"/>
      <c r="AF489" s="164"/>
      <c r="AG489" s="164"/>
      <c r="AH489" s="164"/>
      <c r="AI489" s="164"/>
      <c r="AJ489" s="164"/>
      <c r="AK489" s="164"/>
      <c r="AL489" s="164"/>
      <c r="AM489" s="164"/>
      <c r="AN489" s="164"/>
      <c r="AO489" s="164"/>
      <c r="AP489" s="164"/>
    </row>
    <row r="490">
      <c r="A490" s="167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  <c r="AD490" s="164"/>
      <c r="AE490" s="164"/>
      <c r="AF490" s="164"/>
      <c r="AG490" s="164"/>
      <c r="AH490" s="164"/>
      <c r="AI490" s="164"/>
      <c r="AJ490" s="164"/>
      <c r="AK490" s="164"/>
      <c r="AL490" s="164"/>
      <c r="AM490" s="164"/>
      <c r="AN490" s="164"/>
      <c r="AO490" s="164"/>
      <c r="AP490" s="164"/>
    </row>
    <row r="491">
      <c r="A491" s="167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  <c r="AE491" s="164"/>
      <c r="AF491" s="164"/>
      <c r="AG491" s="164"/>
      <c r="AH491" s="164"/>
      <c r="AI491" s="164"/>
      <c r="AJ491" s="164"/>
      <c r="AK491" s="164"/>
      <c r="AL491" s="164"/>
      <c r="AM491" s="164"/>
      <c r="AN491" s="164"/>
      <c r="AO491" s="164"/>
      <c r="AP491" s="164"/>
    </row>
    <row r="492">
      <c r="A492" s="167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  <c r="AD492" s="164"/>
      <c r="AE492" s="164"/>
      <c r="AF492" s="164"/>
      <c r="AG492" s="164"/>
      <c r="AH492" s="164"/>
      <c r="AI492" s="164"/>
      <c r="AJ492" s="164"/>
      <c r="AK492" s="164"/>
      <c r="AL492" s="164"/>
      <c r="AM492" s="164"/>
      <c r="AN492" s="164"/>
      <c r="AO492" s="164"/>
      <c r="AP492" s="164"/>
    </row>
    <row r="493">
      <c r="A493" s="167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  <c r="AD493" s="164"/>
      <c r="AE493" s="164"/>
      <c r="AF493" s="164"/>
      <c r="AG493" s="164"/>
      <c r="AH493" s="164"/>
      <c r="AI493" s="164"/>
      <c r="AJ493" s="164"/>
      <c r="AK493" s="164"/>
      <c r="AL493" s="164"/>
      <c r="AM493" s="164"/>
      <c r="AN493" s="164"/>
      <c r="AO493" s="164"/>
      <c r="AP493" s="164"/>
    </row>
    <row r="494">
      <c r="A494" s="167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  <c r="AD494" s="164"/>
      <c r="AE494" s="164"/>
      <c r="AF494" s="164"/>
      <c r="AG494" s="164"/>
      <c r="AH494" s="164"/>
      <c r="AI494" s="164"/>
      <c r="AJ494" s="164"/>
      <c r="AK494" s="164"/>
      <c r="AL494" s="164"/>
      <c r="AM494" s="164"/>
      <c r="AN494" s="164"/>
      <c r="AO494" s="164"/>
      <c r="AP494" s="164"/>
    </row>
    <row r="495">
      <c r="A495" s="167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  <c r="AD495" s="164"/>
      <c r="AE495" s="164"/>
      <c r="AF495" s="164"/>
      <c r="AG495" s="164"/>
      <c r="AH495" s="164"/>
      <c r="AI495" s="164"/>
      <c r="AJ495" s="164"/>
      <c r="AK495" s="164"/>
      <c r="AL495" s="164"/>
      <c r="AM495" s="164"/>
      <c r="AN495" s="164"/>
      <c r="AO495" s="164"/>
      <c r="AP495" s="164"/>
    </row>
    <row r="496">
      <c r="A496" s="167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  <c r="AD496" s="164"/>
      <c r="AE496" s="164"/>
      <c r="AF496" s="164"/>
      <c r="AG496" s="164"/>
      <c r="AH496" s="164"/>
      <c r="AI496" s="164"/>
      <c r="AJ496" s="164"/>
      <c r="AK496" s="164"/>
      <c r="AL496" s="164"/>
      <c r="AM496" s="164"/>
      <c r="AN496" s="164"/>
      <c r="AO496" s="164"/>
      <c r="AP496" s="164"/>
    </row>
    <row r="497">
      <c r="A497" s="167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  <c r="AD497" s="164"/>
      <c r="AE497" s="164"/>
      <c r="AF497" s="164"/>
      <c r="AG497" s="164"/>
      <c r="AH497" s="164"/>
      <c r="AI497" s="164"/>
      <c r="AJ497" s="164"/>
      <c r="AK497" s="164"/>
      <c r="AL497" s="164"/>
      <c r="AM497" s="164"/>
      <c r="AN497" s="164"/>
      <c r="AO497" s="164"/>
      <c r="AP497" s="164"/>
    </row>
    <row r="498">
      <c r="A498" s="167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  <c r="AD498" s="164"/>
      <c r="AE498" s="164"/>
      <c r="AF498" s="164"/>
      <c r="AG498" s="164"/>
      <c r="AH498" s="164"/>
      <c r="AI498" s="164"/>
      <c r="AJ498" s="164"/>
      <c r="AK498" s="164"/>
      <c r="AL498" s="164"/>
      <c r="AM498" s="164"/>
      <c r="AN498" s="164"/>
      <c r="AO498" s="164"/>
      <c r="AP498" s="164"/>
    </row>
    <row r="499">
      <c r="A499" s="167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  <c r="AD499" s="164"/>
      <c r="AE499" s="164"/>
      <c r="AF499" s="164"/>
      <c r="AG499" s="164"/>
      <c r="AH499" s="164"/>
      <c r="AI499" s="164"/>
      <c r="AJ499" s="164"/>
      <c r="AK499" s="164"/>
      <c r="AL499" s="164"/>
      <c r="AM499" s="164"/>
      <c r="AN499" s="164"/>
      <c r="AO499" s="164"/>
      <c r="AP499" s="164"/>
    </row>
    <row r="500">
      <c r="A500" s="167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  <c r="AE500" s="164"/>
      <c r="AF500" s="164"/>
      <c r="AG500" s="164"/>
      <c r="AH500" s="164"/>
      <c r="AI500" s="164"/>
      <c r="AJ500" s="164"/>
      <c r="AK500" s="164"/>
      <c r="AL500" s="164"/>
      <c r="AM500" s="164"/>
      <c r="AN500" s="164"/>
      <c r="AO500" s="164"/>
      <c r="AP500" s="164"/>
    </row>
    <row r="501">
      <c r="A501" s="167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  <c r="AD501" s="164"/>
      <c r="AE501" s="164"/>
      <c r="AF501" s="164"/>
      <c r="AG501" s="164"/>
      <c r="AH501" s="164"/>
      <c r="AI501" s="164"/>
      <c r="AJ501" s="164"/>
      <c r="AK501" s="164"/>
      <c r="AL501" s="164"/>
      <c r="AM501" s="164"/>
      <c r="AN501" s="164"/>
      <c r="AO501" s="164"/>
      <c r="AP501" s="164"/>
    </row>
    <row r="502">
      <c r="A502" s="167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  <c r="AE502" s="164"/>
      <c r="AF502" s="164"/>
      <c r="AG502" s="164"/>
      <c r="AH502" s="164"/>
      <c r="AI502" s="164"/>
      <c r="AJ502" s="164"/>
      <c r="AK502" s="164"/>
      <c r="AL502" s="164"/>
      <c r="AM502" s="164"/>
      <c r="AN502" s="164"/>
      <c r="AO502" s="164"/>
      <c r="AP502" s="164"/>
    </row>
    <row r="503">
      <c r="A503" s="167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  <c r="AD503" s="164"/>
      <c r="AE503" s="164"/>
      <c r="AF503" s="164"/>
      <c r="AG503" s="164"/>
      <c r="AH503" s="164"/>
      <c r="AI503" s="164"/>
      <c r="AJ503" s="164"/>
      <c r="AK503" s="164"/>
      <c r="AL503" s="164"/>
      <c r="AM503" s="164"/>
      <c r="AN503" s="164"/>
      <c r="AO503" s="164"/>
      <c r="AP503" s="164"/>
    </row>
    <row r="504">
      <c r="A504" s="167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  <c r="AE504" s="164"/>
      <c r="AF504" s="164"/>
      <c r="AG504" s="164"/>
      <c r="AH504" s="164"/>
      <c r="AI504" s="164"/>
      <c r="AJ504" s="164"/>
      <c r="AK504" s="164"/>
      <c r="AL504" s="164"/>
      <c r="AM504" s="164"/>
      <c r="AN504" s="164"/>
      <c r="AO504" s="164"/>
      <c r="AP504" s="164"/>
    </row>
    <row r="505">
      <c r="A505" s="167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  <c r="AD505" s="164"/>
      <c r="AE505" s="164"/>
      <c r="AF505" s="164"/>
      <c r="AG505" s="164"/>
      <c r="AH505" s="164"/>
      <c r="AI505" s="164"/>
      <c r="AJ505" s="164"/>
      <c r="AK505" s="164"/>
      <c r="AL505" s="164"/>
      <c r="AM505" s="164"/>
      <c r="AN505" s="164"/>
      <c r="AO505" s="164"/>
      <c r="AP505" s="164"/>
    </row>
    <row r="506">
      <c r="A506" s="167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  <c r="AD506" s="164"/>
      <c r="AE506" s="164"/>
      <c r="AF506" s="164"/>
      <c r="AG506" s="164"/>
      <c r="AH506" s="164"/>
      <c r="AI506" s="164"/>
      <c r="AJ506" s="164"/>
      <c r="AK506" s="164"/>
      <c r="AL506" s="164"/>
      <c r="AM506" s="164"/>
      <c r="AN506" s="164"/>
      <c r="AO506" s="164"/>
      <c r="AP506" s="164"/>
    </row>
    <row r="507">
      <c r="A507" s="167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  <c r="AE507" s="164"/>
      <c r="AF507" s="164"/>
      <c r="AG507" s="164"/>
      <c r="AH507" s="164"/>
      <c r="AI507" s="164"/>
      <c r="AJ507" s="164"/>
      <c r="AK507" s="164"/>
      <c r="AL507" s="164"/>
      <c r="AM507" s="164"/>
      <c r="AN507" s="164"/>
      <c r="AO507" s="164"/>
      <c r="AP507" s="164"/>
    </row>
    <row r="508">
      <c r="A508" s="167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  <c r="AE508" s="164"/>
      <c r="AF508" s="164"/>
      <c r="AG508" s="164"/>
      <c r="AH508" s="164"/>
      <c r="AI508" s="164"/>
      <c r="AJ508" s="164"/>
      <c r="AK508" s="164"/>
      <c r="AL508" s="164"/>
      <c r="AM508" s="164"/>
      <c r="AN508" s="164"/>
      <c r="AO508" s="164"/>
      <c r="AP508" s="164"/>
    </row>
    <row r="509">
      <c r="A509" s="167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  <c r="AD509" s="164"/>
      <c r="AE509" s="164"/>
      <c r="AF509" s="164"/>
      <c r="AG509" s="164"/>
      <c r="AH509" s="164"/>
      <c r="AI509" s="164"/>
      <c r="AJ509" s="164"/>
      <c r="AK509" s="164"/>
      <c r="AL509" s="164"/>
      <c r="AM509" s="164"/>
      <c r="AN509" s="164"/>
      <c r="AO509" s="164"/>
      <c r="AP509" s="164"/>
    </row>
    <row r="510">
      <c r="A510" s="167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  <c r="AD510" s="164"/>
      <c r="AE510" s="164"/>
      <c r="AF510" s="164"/>
      <c r="AG510" s="164"/>
      <c r="AH510" s="164"/>
      <c r="AI510" s="164"/>
      <c r="AJ510" s="164"/>
      <c r="AK510" s="164"/>
      <c r="AL510" s="164"/>
      <c r="AM510" s="164"/>
      <c r="AN510" s="164"/>
      <c r="AO510" s="164"/>
      <c r="AP510" s="164"/>
    </row>
    <row r="511">
      <c r="A511" s="167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  <c r="AD511" s="164"/>
      <c r="AE511" s="164"/>
      <c r="AF511" s="164"/>
      <c r="AG511" s="164"/>
      <c r="AH511" s="164"/>
      <c r="AI511" s="164"/>
      <c r="AJ511" s="164"/>
      <c r="AK511" s="164"/>
      <c r="AL511" s="164"/>
      <c r="AM511" s="164"/>
      <c r="AN511" s="164"/>
      <c r="AO511" s="164"/>
      <c r="AP511" s="164"/>
    </row>
    <row r="512">
      <c r="A512" s="167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  <c r="AE512" s="164"/>
      <c r="AF512" s="164"/>
      <c r="AG512" s="164"/>
      <c r="AH512" s="164"/>
      <c r="AI512" s="164"/>
      <c r="AJ512" s="164"/>
      <c r="AK512" s="164"/>
      <c r="AL512" s="164"/>
      <c r="AM512" s="164"/>
      <c r="AN512" s="164"/>
      <c r="AO512" s="164"/>
      <c r="AP512" s="164"/>
    </row>
    <row r="513">
      <c r="A513" s="167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  <c r="AD513" s="164"/>
      <c r="AE513" s="164"/>
      <c r="AF513" s="164"/>
      <c r="AG513" s="164"/>
      <c r="AH513" s="164"/>
      <c r="AI513" s="164"/>
      <c r="AJ513" s="164"/>
      <c r="AK513" s="164"/>
      <c r="AL513" s="164"/>
      <c r="AM513" s="164"/>
      <c r="AN513" s="164"/>
      <c r="AO513" s="164"/>
      <c r="AP513" s="164"/>
    </row>
    <row r="514">
      <c r="A514" s="167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  <c r="AD514" s="164"/>
      <c r="AE514" s="164"/>
      <c r="AF514" s="164"/>
      <c r="AG514" s="164"/>
      <c r="AH514" s="164"/>
      <c r="AI514" s="164"/>
      <c r="AJ514" s="164"/>
      <c r="AK514" s="164"/>
      <c r="AL514" s="164"/>
      <c r="AM514" s="164"/>
      <c r="AN514" s="164"/>
      <c r="AO514" s="164"/>
      <c r="AP514" s="164"/>
    </row>
    <row r="515">
      <c r="A515" s="167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  <c r="AD515" s="164"/>
      <c r="AE515" s="164"/>
      <c r="AF515" s="164"/>
      <c r="AG515" s="164"/>
      <c r="AH515" s="164"/>
      <c r="AI515" s="164"/>
      <c r="AJ515" s="164"/>
      <c r="AK515" s="164"/>
      <c r="AL515" s="164"/>
      <c r="AM515" s="164"/>
      <c r="AN515" s="164"/>
      <c r="AO515" s="164"/>
      <c r="AP515" s="164"/>
    </row>
    <row r="516">
      <c r="A516" s="167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  <c r="AD516" s="164"/>
      <c r="AE516" s="164"/>
      <c r="AF516" s="164"/>
      <c r="AG516" s="164"/>
      <c r="AH516" s="164"/>
      <c r="AI516" s="164"/>
      <c r="AJ516" s="164"/>
      <c r="AK516" s="164"/>
      <c r="AL516" s="164"/>
      <c r="AM516" s="164"/>
      <c r="AN516" s="164"/>
      <c r="AO516" s="164"/>
      <c r="AP516" s="164"/>
    </row>
    <row r="517">
      <c r="A517" s="167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  <c r="AE517" s="164"/>
      <c r="AF517" s="164"/>
      <c r="AG517" s="164"/>
      <c r="AH517" s="164"/>
      <c r="AI517" s="164"/>
      <c r="AJ517" s="164"/>
      <c r="AK517" s="164"/>
      <c r="AL517" s="164"/>
      <c r="AM517" s="164"/>
      <c r="AN517" s="164"/>
      <c r="AO517" s="164"/>
      <c r="AP517" s="164"/>
    </row>
    <row r="518">
      <c r="A518" s="167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  <c r="AE518" s="164"/>
      <c r="AF518" s="164"/>
      <c r="AG518" s="164"/>
      <c r="AH518" s="164"/>
      <c r="AI518" s="164"/>
      <c r="AJ518" s="164"/>
      <c r="AK518" s="164"/>
      <c r="AL518" s="164"/>
      <c r="AM518" s="164"/>
      <c r="AN518" s="164"/>
      <c r="AO518" s="164"/>
      <c r="AP518" s="164"/>
    </row>
    <row r="519">
      <c r="A519" s="167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  <c r="AE519" s="164"/>
      <c r="AF519" s="164"/>
      <c r="AG519" s="164"/>
      <c r="AH519" s="164"/>
      <c r="AI519" s="164"/>
      <c r="AJ519" s="164"/>
      <c r="AK519" s="164"/>
      <c r="AL519" s="164"/>
      <c r="AM519" s="164"/>
      <c r="AN519" s="164"/>
      <c r="AO519" s="164"/>
      <c r="AP519" s="164"/>
    </row>
    <row r="520">
      <c r="A520" s="167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  <c r="AE520" s="164"/>
      <c r="AF520" s="164"/>
      <c r="AG520" s="164"/>
      <c r="AH520" s="164"/>
      <c r="AI520" s="164"/>
      <c r="AJ520" s="164"/>
      <c r="AK520" s="164"/>
      <c r="AL520" s="164"/>
      <c r="AM520" s="164"/>
      <c r="AN520" s="164"/>
      <c r="AO520" s="164"/>
      <c r="AP520" s="164"/>
    </row>
    <row r="521">
      <c r="A521" s="167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  <c r="AD521" s="164"/>
      <c r="AE521" s="164"/>
      <c r="AF521" s="164"/>
      <c r="AG521" s="164"/>
      <c r="AH521" s="164"/>
      <c r="AI521" s="164"/>
      <c r="AJ521" s="164"/>
      <c r="AK521" s="164"/>
      <c r="AL521" s="164"/>
      <c r="AM521" s="164"/>
      <c r="AN521" s="164"/>
      <c r="AO521" s="164"/>
      <c r="AP521" s="164"/>
    </row>
    <row r="522">
      <c r="A522" s="167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  <c r="AE522" s="164"/>
      <c r="AF522" s="164"/>
      <c r="AG522" s="164"/>
      <c r="AH522" s="164"/>
      <c r="AI522" s="164"/>
      <c r="AJ522" s="164"/>
      <c r="AK522" s="164"/>
      <c r="AL522" s="164"/>
      <c r="AM522" s="164"/>
      <c r="AN522" s="164"/>
      <c r="AO522" s="164"/>
      <c r="AP522" s="164"/>
    </row>
    <row r="523">
      <c r="A523" s="167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  <c r="AE523" s="164"/>
      <c r="AF523" s="164"/>
      <c r="AG523" s="164"/>
      <c r="AH523" s="164"/>
      <c r="AI523" s="164"/>
      <c r="AJ523" s="164"/>
      <c r="AK523" s="164"/>
      <c r="AL523" s="164"/>
      <c r="AM523" s="164"/>
      <c r="AN523" s="164"/>
      <c r="AO523" s="164"/>
      <c r="AP523" s="164"/>
    </row>
    <row r="524">
      <c r="A524" s="167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  <c r="AD524" s="164"/>
      <c r="AE524" s="164"/>
      <c r="AF524" s="164"/>
      <c r="AG524" s="164"/>
      <c r="AH524" s="164"/>
      <c r="AI524" s="164"/>
      <c r="AJ524" s="164"/>
      <c r="AK524" s="164"/>
      <c r="AL524" s="164"/>
      <c r="AM524" s="164"/>
      <c r="AN524" s="164"/>
      <c r="AO524" s="164"/>
      <c r="AP524" s="164"/>
    </row>
    <row r="525">
      <c r="A525" s="167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  <c r="AD525" s="164"/>
      <c r="AE525" s="164"/>
      <c r="AF525" s="164"/>
      <c r="AG525" s="164"/>
      <c r="AH525" s="164"/>
      <c r="AI525" s="164"/>
      <c r="AJ525" s="164"/>
      <c r="AK525" s="164"/>
      <c r="AL525" s="164"/>
      <c r="AM525" s="164"/>
      <c r="AN525" s="164"/>
      <c r="AO525" s="164"/>
      <c r="AP525" s="164"/>
    </row>
    <row r="526">
      <c r="A526" s="167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  <c r="AD526" s="164"/>
      <c r="AE526" s="164"/>
      <c r="AF526" s="164"/>
      <c r="AG526" s="164"/>
      <c r="AH526" s="164"/>
      <c r="AI526" s="164"/>
      <c r="AJ526" s="164"/>
      <c r="AK526" s="164"/>
      <c r="AL526" s="164"/>
      <c r="AM526" s="164"/>
      <c r="AN526" s="164"/>
      <c r="AO526" s="164"/>
      <c r="AP526" s="164"/>
    </row>
    <row r="527">
      <c r="A527" s="167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  <c r="AD527" s="164"/>
      <c r="AE527" s="164"/>
      <c r="AF527" s="164"/>
      <c r="AG527" s="164"/>
      <c r="AH527" s="164"/>
      <c r="AI527" s="164"/>
      <c r="AJ527" s="164"/>
      <c r="AK527" s="164"/>
      <c r="AL527" s="164"/>
      <c r="AM527" s="164"/>
      <c r="AN527" s="164"/>
      <c r="AO527" s="164"/>
      <c r="AP527" s="164"/>
    </row>
    <row r="528">
      <c r="A528" s="167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  <c r="AE528" s="164"/>
      <c r="AF528" s="164"/>
      <c r="AG528" s="164"/>
      <c r="AH528" s="164"/>
      <c r="AI528" s="164"/>
      <c r="AJ528" s="164"/>
      <c r="AK528" s="164"/>
      <c r="AL528" s="164"/>
      <c r="AM528" s="164"/>
      <c r="AN528" s="164"/>
      <c r="AO528" s="164"/>
      <c r="AP528" s="164"/>
    </row>
    <row r="529">
      <c r="A529" s="167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  <c r="AE529" s="164"/>
      <c r="AF529" s="164"/>
      <c r="AG529" s="164"/>
      <c r="AH529" s="164"/>
      <c r="AI529" s="164"/>
      <c r="AJ529" s="164"/>
      <c r="AK529" s="164"/>
      <c r="AL529" s="164"/>
      <c r="AM529" s="164"/>
      <c r="AN529" s="164"/>
      <c r="AO529" s="164"/>
      <c r="AP529" s="164"/>
    </row>
    <row r="530">
      <c r="A530" s="167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  <c r="AD530" s="164"/>
      <c r="AE530" s="164"/>
      <c r="AF530" s="164"/>
      <c r="AG530" s="164"/>
      <c r="AH530" s="164"/>
      <c r="AI530" s="164"/>
      <c r="AJ530" s="164"/>
      <c r="AK530" s="164"/>
      <c r="AL530" s="164"/>
      <c r="AM530" s="164"/>
      <c r="AN530" s="164"/>
      <c r="AO530" s="164"/>
      <c r="AP530" s="164"/>
    </row>
    <row r="531">
      <c r="A531" s="167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  <c r="AE531" s="164"/>
      <c r="AF531" s="164"/>
      <c r="AG531" s="164"/>
      <c r="AH531" s="164"/>
      <c r="AI531" s="164"/>
      <c r="AJ531" s="164"/>
      <c r="AK531" s="164"/>
      <c r="AL531" s="164"/>
      <c r="AM531" s="164"/>
      <c r="AN531" s="164"/>
      <c r="AO531" s="164"/>
      <c r="AP531" s="164"/>
    </row>
    <row r="532">
      <c r="A532" s="167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  <c r="AE532" s="164"/>
      <c r="AF532" s="164"/>
      <c r="AG532" s="164"/>
      <c r="AH532" s="164"/>
      <c r="AI532" s="164"/>
      <c r="AJ532" s="164"/>
      <c r="AK532" s="164"/>
      <c r="AL532" s="164"/>
      <c r="AM532" s="164"/>
      <c r="AN532" s="164"/>
      <c r="AO532" s="164"/>
      <c r="AP532" s="164"/>
    </row>
    <row r="533">
      <c r="A533" s="167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  <c r="AE533" s="164"/>
      <c r="AF533" s="164"/>
      <c r="AG533" s="164"/>
      <c r="AH533" s="164"/>
      <c r="AI533" s="164"/>
      <c r="AJ533" s="164"/>
      <c r="AK533" s="164"/>
      <c r="AL533" s="164"/>
      <c r="AM533" s="164"/>
      <c r="AN533" s="164"/>
      <c r="AO533" s="164"/>
      <c r="AP533" s="164"/>
    </row>
    <row r="534">
      <c r="A534" s="167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  <c r="AE534" s="164"/>
      <c r="AF534" s="164"/>
      <c r="AG534" s="164"/>
      <c r="AH534" s="164"/>
      <c r="AI534" s="164"/>
      <c r="AJ534" s="164"/>
      <c r="AK534" s="164"/>
      <c r="AL534" s="164"/>
      <c r="AM534" s="164"/>
      <c r="AN534" s="164"/>
      <c r="AO534" s="164"/>
      <c r="AP534" s="164"/>
    </row>
    <row r="535">
      <c r="A535" s="167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  <c r="AE535" s="164"/>
      <c r="AF535" s="164"/>
      <c r="AG535" s="164"/>
      <c r="AH535" s="164"/>
      <c r="AI535" s="164"/>
      <c r="AJ535" s="164"/>
      <c r="AK535" s="164"/>
      <c r="AL535" s="164"/>
      <c r="AM535" s="164"/>
      <c r="AN535" s="164"/>
      <c r="AO535" s="164"/>
      <c r="AP535" s="164"/>
    </row>
    <row r="536">
      <c r="A536" s="167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  <c r="AE536" s="164"/>
      <c r="AF536" s="164"/>
      <c r="AG536" s="164"/>
      <c r="AH536" s="164"/>
      <c r="AI536" s="164"/>
      <c r="AJ536" s="164"/>
      <c r="AK536" s="164"/>
      <c r="AL536" s="164"/>
      <c r="AM536" s="164"/>
      <c r="AN536" s="164"/>
      <c r="AO536" s="164"/>
      <c r="AP536" s="164"/>
    </row>
    <row r="537">
      <c r="A537" s="167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  <c r="AE537" s="164"/>
      <c r="AF537" s="164"/>
      <c r="AG537" s="164"/>
      <c r="AH537" s="164"/>
      <c r="AI537" s="164"/>
      <c r="AJ537" s="164"/>
      <c r="AK537" s="164"/>
      <c r="AL537" s="164"/>
      <c r="AM537" s="164"/>
      <c r="AN537" s="164"/>
      <c r="AO537" s="164"/>
      <c r="AP537" s="164"/>
    </row>
    <row r="538">
      <c r="A538" s="167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  <c r="AE538" s="164"/>
      <c r="AF538" s="164"/>
      <c r="AG538" s="164"/>
      <c r="AH538" s="164"/>
      <c r="AI538" s="164"/>
      <c r="AJ538" s="164"/>
      <c r="AK538" s="164"/>
      <c r="AL538" s="164"/>
      <c r="AM538" s="164"/>
      <c r="AN538" s="164"/>
      <c r="AO538" s="164"/>
      <c r="AP538" s="164"/>
    </row>
    <row r="539">
      <c r="A539" s="167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  <c r="AE539" s="164"/>
      <c r="AF539" s="164"/>
      <c r="AG539" s="164"/>
      <c r="AH539" s="164"/>
      <c r="AI539" s="164"/>
      <c r="AJ539" s="164"/>
      <c r="AK539" s="164"/>
      <c r="AL539" s="164"/>
      <c r="AM539" s="164"/>
      <c r="AN539" s="164"/>
      <c r="AO539" s="164"/>
      <c r="AP539" s="164"/>
    </row>
    <row r="540">
      <c r="A540" s="167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  <c r="AE540" s="164"/>
      <c r="AF540" s="164"/>
      <c r="AG540" s="164"/>
      <c r="AH540" s="164"/>
      <c r="AI540" s="164"/>
      <c r="AJ540" s="164"/>
      <c r="AK540" s="164"/>
      <c r="AL540" s="164"/>
      <c r="AM540" s="164"/>
      <c r="AN540" s="164"/>
      <c r="AO540" s="164"/>
      <c r="AP540" s="164"/>
    </row>
    <row r="541">
      <c r="A541" s="167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  <c r="AE541" s="164"/>
      <c r="AF541" s="164"/>
      <c r="AG541" s="164"/>
      <c r="AH541" s="164"/>
      <c r="AI541" s="164"/>
      <c r="AJ541" s="164"/>
      <c r="AK541" s="164"/>
      <c r="AL541" s="164"/>
      <c r="AM541" s="164"/>
      <c r="AN541" s="164"/>
      <c r="AO541" s="164"/>
      <c r="AP541" s="164"/>
    </row>
    <row r="542">
      <c r="A542" s="167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  <c r="AE542" s="164"/>
      <c r="AF542" s="164"/>
      <c r="AG542" s="164"/>
      <c r="AH542" s="164"/>
      <c r="AI542" s="164"/>
      <c r="AJ542" s="164"/>
      <c r="AK542" s="164"/>
      <c r="AL542" s="164"/>
      <c r="AM542" s="164"/>
      <c r="AN542" s="164"/>
      <c r="AO542" s="164"/>
      <c r="AP542" s="164"/>
    </row>
    <row r="543">
      <c r="A543" s="167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  <c r="AE543" s="164"/>
      <c r="AF543" s="164"/>
      <c r="AG543" s="164"/>
      <c r="AH543" s="164"/>
      <c r="AI543" s="164"/>
      <c r="AJ543" s="164"/>
      <c r="AK543" s="164"/>
      <c r="AL543" s="164"/>
      <c r="AM543" s="164"/>
      <c r="AN543" s="164"/>
      <c r="AO543" s="164"/>
      <c r="AP543" s="164"/>
    </row>
    <row r="544">
      <c r="A544" s="167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  <c r="AE544" s="164"/>
      <c r="AF544" s="164"/>
      <c r="AG544" s="164"/>
      <c r="AH544" s="164"/>
      <c r="AI544" s="164"/>
      <c r="AJ544" s="164"/>
      <c r="AK544" s="164"/>
      <c r="AL544" s="164"/>
      <c r="AM544" s="164"/>
      <c r="AN544" s="164"/>
      <c r="AO544" s="164"/>
      <c r="AP544" s="164"/>
    </row>
    <row r="545">
      <c r="A545" s="167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  <c r="AE545" s="164"/>
      <c r="AF545" s="164"/>
      <c r="AG545" s="164"/>
      <c r="AH545" s="164"/>
      <c r="AI545" s="164"/>
      <c r="AJ545" s="164"/>
      <c r="AK545" s="164"/>
      <c r="AL545" s="164"/>
      <c r="AM545" s="164"/>
      <c r="AN545" s="164"/>
      <c r="AO545" s="164"/>
      <c r="AP545" s="164"/>
    </row>
    <row r="546">
      <c r="A546" s="167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  <c r="AE546" s="164"/>
      <c r="AF546" s="164"/>
      <c r="AG546" s="164"/>
      <c r="AH546" s="164"/>
      <c r="AI546" s="164"/>
      <c r="AJ546" s="164"/>
      <c r="AK546" s="164"/>
      <c r="AL546" s="164"/>
      <c r="AM546" s="164"/>
      <c r="AN546" s="164"/>
      <c r="AO546" s="164"/>
      <c r="AP546" s="164"/>
    </row>
    <row r="547">
      <c r="A547" s="167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  <c r="AE547" s="164"/>
      <c r="AF547" s="164"/>
      <c r="AG547" s="164"/>
      <c r="AH547" s="164"/>
      <c r="AI547" s="164"/>
      <c r="AJ547" s="164"/>
      <c r="AK547" s="164"/>
      <c r="AL547" s="164"/>
      <c r="AM547" s="164"/>
      <c r="AN547" s="164"/>
      <c r="AO547" s="164"/>
      <c r="AP547" s="164"/>
    </row>
    <row r="548">
      <c r="A548" s="167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  <c r="AE548" s="164"/>
      <c r="AF548" s="164"/>
      <c r="AG548" s="164"/>
      <c r="AH548" s="164"/>
      <c r="AI548" s="164"/>
      <c r="AJ548" s="164"/>
      <c r="AK548" s="164"/>
      <c r="AL548" s="164"/>
      <c r="AM548" s="164"/>
      <c r="AN548" s="164"/>
      <c r="AO548" s="164"/>
      <c r="AP548" s="164"/>
    </row>
    <row r="549">
      <c r="A549" s="167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  <c r="AD549" s="164"/>
      <c r="AE549" s="164"/>
      <c r="AF549" s="164"/>
      <c r="AG549" s="164"/>
      <c r="AH549" s="164"/>
      <c r="AI549" s="164"/>
      <c r="AJ549" s="164"/>
      <c r="AK549" s="164"/>
      <c r="AL549" s="164"/>
      <c r="AM549" s="164"/>
      <c r="AN549" s="164"/>
      <c r="AO549" s="164"/>
      <c r="AP549" s="164"/>
    </row>
    <row r="550">
      <c r="A550" s="167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  <c r="AD550" s="164"/>
      <c r="AE550" s="164"/>
      <c r="AF550" s="164"/>
      <c r="AG550" s="164"/>
      <c r="AH550" s="164"/>
      <c r="AI550" s="164"/>
      <c r="AJ550" s="164"/>
      <c r="AK550" s="164"/>
      <c r="AL550" s="164"/>
      <c r="AM550" s="164"/>
      <c r="AN550" s="164"/>
      <c r="AO550" s="164"/>
      <c r="AP550" s="164"/>
    </row>
    <row r="551">
      <c r="A551" s="167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  <c r="AE551" s="164"/>
      <c r="AF551" s="164"/>
      <c r="AG551" s="164"/>
      <c r="AH551" s="164"/>
      <c r="AI551" s="164"/>
      <c r="AJ551" s="164"/>
      <c r="AK551" s="164"/>
      <c r="AL551" s="164"/>
      <c r="AM551" s="164"/>
      <c r="AN551" s="164"/>
      <c r="AO551" s="164"/>
      <c r="AP551" s="164"/>
    </row>
    <row r="552">
      <c r="A552" s="167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  <c r="AE552" s="164"/>
      <c r="AF552" s="164"/>
      <c r="AG552" s="164"/>
      <c r="AH552" s="164"/>
      <c r="AI552" s="164"/>
      <c r="AJ552" s="164"/>
      <c r="AK552" s="164"/>
      <c r="AL552" s="164"/>
      <c r="AM552" s="164"/>
      <c r="AN552" s="164"/>
      <c r="AO552" s="164"/>
      <c r="AP552" s="164"/>
    </row>
    <row r="553">
      <c r="A553" s="167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  <c r="AE553" s="164"/>
      <c r="AF553" s="164"/>
      <c r="AG553" s="164"/>
      <c r="AH553" s="164"/>
      <c r="AI553" s="164"/>
      <c r="AJ553" s="164"/>
      <c r="AK553" s="164"/>
      <c r="AL553" s="164"/>
      <c r="AM553" s="164"/>
      <c r="AN553" s="164"/>
      <c r="AO553" s="164"/>
      <c r="AP553" s="164"/>
    </row>
    <row r="554">
      <c r="A554" s="167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  <c r="AE554" s="164"/>
      <c r="AF554" s="164"/>
      <c r="AG554" s="164"/>
      <c r="AH554" s="164"/>
      <c r="AI554" s="164"/>
      <c r="AJ554" s="164"/>
      <c r="AK554" s="164"/>
      <c r="AL554" s="164"/>
      <c r="AM554" s="164"/>
      <c r="AN554" s="164"/>
      <c r="AO554" s="164"/>
      <c r="AP554" s="164"/>
    </row>
    <row r="555">
      <c r="A555" s="167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  <c r="AD555" s="164"/>
      <c r="AE555" s="164"/>
      <c r="AF555" s="164"/>
      <c r="AG555" s="164"/>
      <c r="AH555" s="164"/>
      <c r="AI555" s="164"/>
      <c r="AJ555" s="164"/>
      <c r="AK555" s="164"/>
      <c r="AL555" s="164"/>
      <c r="AM555" s="164"/>
      <c r="AN555" s="164"/>
      <c r="AO555" s="164"/>
      <c r="AP555" s="164"/>
    </row>
    <row r="556">
      <c r="A556" s="167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  <c r="AE556" s="164"/>
      <c r="AF556" s="164"/>
      <c r="AG556" s="164"/>
      <c r="AH556" s="164"/>
      <c r="AI556" s="164"/>
      <c r="AJ556" s="164"/>
      <c r="AK556" s="164"/>
      <c r="AL556" s="164"/>
      <c r="AM556" s="164"/>
      <c r="AN556" s="164"/>
      <c r="AO556" s="164"/>
      <c r="AP556" s="164"/>
    </row>
    <row r="557">
      <c r="A557" s="167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  <c r="AE557" s="164"/>
      <c r="AF557" s="164"/>
      <c r="AG557" s="164"/>
      <c r="AH557" s="164"/>
      <c r="AI557" s="164"/>
      <c r="AJ557" s="164"/>
      <c r="AK557" s="164"/>
      <c r="AL557" s="164"/>
      <c r="AM557" s="164"/>
      <c r="AN557" s="164"/>
      <c r="AO557" s="164"/>
      <c r="AP557" s="164"/>
    </row>
    <row r="558">
      <c r="A558" s="167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  <c r="AE558" s="164"/>
      <c r="AF558" s="164"/>
      <c r="AG558" s="164"/>
      <c r="AH558" s="164"/>
      <c r="AI558" s="164"/>
      <c r="AJ558" s="164"/>
      <c r="AK558" s="164"/>
      <c r="AL558" s="164"/>
      <c r="AM558" s="164"/>
      <c r="AN558" s="164"/>
      <c r="AO558" s="164"/>
      <c r="AP558" s="164"/>
    </row>
    <row r="559">
      <c r="A559" s="167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  <c r="AE559" s="164"/>
      <c r="AF559" s="164"/>
      <c r="AG559" s="164"/>
      <c r="AH559" s="164"/>
      <c r="AI559" s="164"/>
      <c r="AJ559" s="164"/>
      <c r="AK559" s="164"/>
      <c r="AL559" s="164"/>
      <c r="AM559" s="164"/>
      <c r="AN559" s="164"/>
      <c r="AO559" s="164"/>
      <c r="AP559" s="164"/>
    </row>
    <row r="560">
      <c r="A560" s="167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  <c r="AE560" s="164"/>
      <c r="AF560" s="164"/>
      <c r="AG560" s="164"/>
      <c r="AH560" s="164"/>
      <c r="AI560" s="164"/>
      <c r="AJ560" s="164"/>
      <c r="AK560" s="164"/>
      <c r="AL560" s="164"/>
      <c r="AM560" s="164"/>
      <c r="AN560" s="164"/>
      <c r="AO560" s="164"/>
      <c r="AP560" s="164"/>
    </row>
    <row r="561">
      <c r="A561" s="167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  <c r="AE561" s="164"/>
      <c r="AF561" s="164"/>
      <c r="AG561" s="164"/>
      <c r="AH561" s="164"/>
      <c r="AI561" s="164"/>
      <c r="AJ561" s="164"/>
      <c r="AK561" s="164"/>
      <c r="AL561" s="164"/>
      <c r="AM561" s="164"/>
      <c r="AN561" s="164"/>
      <c r="AO561" s="164"/>
      <c r="AP561" s="164"/>
    </row>
    <row r="562">
      <c r="A562" s="167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  <c r="AE562" s="164"/>
      <c r="AF562" s="164"/>
      <c r="AG562" s="164"/>
      <c r="AH562" s="164"/>
      <c r="AI562" s="164"/>
      <c r="AJ562" s="164"/>
      <c r="AK562" s="164"/>
      <c r="AL562" s="164"/>
      <c r="AM562" s="164"/>
      <c r="AN562" s="164"/>
      <c r="AO562" s="164"/>
      <c r="AP562" s="164"/>
    </row>
    <row r="563">
      <c r="A563" s="167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  <c r="AE563" s="164"/>
      <c r="AF563" s="164"/>
      <c r="AG563" s="164"/>
      <c r="AH563" s="164"/>
      <c r="AI563" s="164"/>
      <c r="AJ563" s="164"/>
      <c r="AK563" s="164"/>
      <c r="AL563" s="164"/>
      <c r="AM563" s="164"/>
      <c r="AN563" s="164"/>
      <c r="AO563" s="164"/>
      <c r="AP563" s="164"/>
    </row>
    <row r="564">
      <c r="A564" s="167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  <c r="AE564" s="164"/>
      <c r="AF564" s="164"/>
      <c r="AG564" s="164"/>
      <c r="AH564" s="164"/>
      <c r="AI564" s="164"/>
      <c r="AJ564" s="164"/>
      <c r="AK564" s="164"/>
      <c r="AL564" s="164"/>
      <c r="AM564" s="164"/>
      <c r="AN564" s="164"/>
      <c r="AO564" s="164"/>
      <c r="AP564" s="164"/>
    </row>
    <row r="565">
      <c r="A565" s="167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  <c r="AE565" s="164"/>
      <c r="AF565" s="164"/>
      <c r="AG565" s="164"/>
      <c r="AH565" s="164"/>
      <c r="AI565" s="164"/>
      <c r="AJ565" s="164"/>
      <c r="AK565" s="164"/>
      <c r="AL565" s="164"/>
      <c r="AM565" s="164"/>
      <c r="AN565" s="164"/>
      <c r="AO565" s="164"/>
      <c r="AP565" s="164"/>
    </row>
    <row r="566">
      <c r="A566" s="167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  <c r="AE566" s="164"/>
      <c r="AF566" s="164"/>
      <c r="AG566" s="164"/>
      <c r="AH566" s="164"/>
      <c r="AI566" s="164"/>
      <c r="AJ566" s="164"/>
      <c r="AK566" s="164"/>
      <c r="AL566" s="164"/>
      <c r="AM566" s="164"/>
      <c r="AN566" s="164"/>
      <c r="AO566" s="164"/>
      <c r="AP566" s="164"/>
    </row>
    <row r="567">
      <c r="A567" s="167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  <c r="AE567" s="164"/>
      <c r="AF567" s="164"/>
      <c r="AG567" s="164"/>
      <c r="AH567" s="164"/>
      <c r="AI567" s="164"/>
      <c r="AJ567" s="164"/>
      <c r="AK567" s="164"/>
      <c r="AL567" s="164"/>
      <c r="AM567" s="164"/>
      <c r="AN567" s="164"/>
      <c r="AO567" s="164"/>
      <c r="AP567" s="164"/>
    </row>
    <row r="568">
      <c r="A568" s="167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  <c r="AE568" s="164"/>
      <c r="AF568" s="164"/>
      <c r="AG568" s="164"/>
      <c r="AH568" s="164"/>
      <c r="AI568" s="164"/>
      <c r="AJ568" s="164"/>
      <c r="AK568" s="164"/>
      <c r="AL568" s="164"/>
      <c r="AM568" s="164"/>
      <c r="AN568" s="164"/>
      <c r="AO568" s="164"/>
      <c r="AP568" s="164"/>
    </row>
    <row r="569">
      <c r="A569" s="167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  <c r="AE569" s="164"/>
      <c r="AF569" s="164"/>
      <c r="AG569" s="164"/>
      <c r="AH569" s="164"/>
      <c r="AI569" s="164"/>
      <c r="AJ569" s="164"/>
      <c r="AK569" s="164"/>
      <c r="AL569" s="164"/>
      <c r="AM569" s="164"/>
      <c r="AN569" s="164"/>
      <c r="AO569" s="164"/>
      <c r="AP569" s="164"/>
    </row>
    <row r="570">
      <c r="A570" s="167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  <c r="AE570" s="164"/>
      <c r="AF570" s="164"/>
      <c r="AG570" s="164"/>
      <c r="AH570" s="164"/>
      <c r="AI570" s="164"/>
      <c r="AJ570" s="164"/>
      <c r="AK570" s="164"/>
      <c r="AL570" s="164"/>
      <c r="AM570" s="164"/>
      <c r="AN570" s="164"/>
      <c r="AO570" s="164"/>
      <c r="AP570" s="164"/>
    </row>
    <row r="571">
      <c r="A571" s="167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  <c r="AE571" s="164"/>
      <c r="AF571" s="164"/>
      <c r="AG571" s="164"/>
      <c r="AH571" s="164"/>
      <c r="AI571" s="164"/>
      <c r="AJ571" s="164"/>
      <c r="AK571" s="164"/>
      <c r="AL571" s="164"/>
      <c r="AM571" s="164"/>
      <c r="AN571" s="164"/>
      <c r="AO571" s="164"/>
      <c r="AP571" s="164"/>
    </row>
    <row r="572">
      <c r="A572" s="167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  <c r="AE572" s="164"/>
      <c r="AF572" s="164"/>
      <c r="AG572" s="164"/>
      <c r="AH572" s="164"/>
      <c r="AI572" s="164"/>
      <c r="AJ572" s="164"/>
      <c r="AK572" s="164"/>
      <c r="AL572" s="164"/>
      <c r="AM572" s="164"/>
      <c r="AN572" s="164"/>
      <c r="AO572" s="164"/>
      <c r="AP572" s="164"/>
    </row>
    <row r="573">
      <c r="A573" s="167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  <c r="AE573" s="164"/>
      <c r="AF573" s="164"/>
      <c r="AG573" s="164"/>
      <c r="AH573" s="164"/>
      <c r="AI573" s="164"/>
      <c r="AJ573" s="164"/>
      <c r="AK573" s="164"/>
      <c r="AL573" s="164"/>
      <c r="AM573" s="164"/>
      <c r="AN573" s="164"/>
      <c r="AO573" s="164"/>
      <c r="AP573" s="164"/>
    </row>
    <row r="574">
      <c r="A574" s="167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4"/>
      <c r="AF574" s="164"/>
      <c r="AG574" s="164"/>
      <c r="AH574" s="164"/>
      <c r="AI574" s="164"/>
      <c r="AJ574" s="164"/>
      <c r="AK574" s="164"/>
      <c r="AL574" s="164"/>
      <c r="AM574" s="164"/>
      <c r="AN574" s="164"/>
      <c r="AO574" s="164"/>
      <c r="AP574" s="164"/>
    </row>
    <row r="575">
      <c r="A575" s="167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  <c r="AE575" s="164"/>
      <c r="AF575" s="164"/>
      <c r="AG575" s="164"/>
      <c r="AH575" s="164"/>
      <c r="AI575" s="164"/>
      <c r="AJ575" s="164"/>
      <c r="AK575" s="164"/>
      <c r="AL575" s="164"/>
      <c r="AM575" s="164"/>
      <c r="AN575" s="164"/>
      <c r="AO575" s="164"/>
      <c r="AP575" s="164"/>
    </row>
    <row r="576">
      <c r="A576" s="167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  <c r="AE576" s="164"/>
      <c r="AF576" s="164"/>
      <c r="AG576" s="164"/>
      <c r="AH576" s="164"/>
      <c r="AI576" s="164"/>
      <c r="AJ576" s="164"/>
      <c r="AK576" s="164"/>
      <c r="AL576" s="164"/>
      <c r="AM576" s="164"/>
      <c r="AN576" s="164"/>
      <c r="AO576" s="164"/>
      <c r="AP576" s="164"/>
    </row>
    <row r="577">
      <c r="A577" s="167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  <c r="AE577" s="164"/>
      <c r="AF577" s="164"/>
      <c r="AG577" s="164"/>
      <c r="AH577" s="164"/>
      <c r="AI577" s="164"/>
      <c r="AJ577" s="164"/>
      <c r="AK577" s="164"/>
      <c r="AL577" s="164"/>
      <c r="AM577" s="164"/>
      <c r="AN577" s="164"/>
      <c r="AO577" s="164"/>
      <c r="AP577" s="164"/>
    </row>
    <row r="578">
      <c r="A578" s="167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  <c r="AE578" s="164"/>
      <c r="AF578" s="164"/>
      <c r="AG578" s="164"/>
      <c r="AH578" s="164"/>
      <c r="AI578" s="164"/>
      <c r="AJ578" s="164"/>
      <c r="AK578" s="164"/>
      <c r="AL578" s="164"/>
      <c r="AM578" s="164"/>
      <c r="AN578" s="164"/>
      <c r="AO578" s="164"/>
      <c r="AP578" s="164"/>
    </row>
    <row r="579">
      <c r="A579" s="167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  <c r="AE579" s="164"/>
      <c r="AF579" s="164"/>
      <c r="AG579" s="164"/>
      <c r="AH579" s="164"/>
      <c r="AI579" s="164"/>
      <c r="AJ579" s="164"/>
      <c r="AK579" s="164"/>
      <c r="AL579" s="164"/>
      <c r="AM579" s="164"/>
      <c r="AN579" s="164"/>
      <c r="AO579" s="164"/>
      <c r="AP579" s="164"/>
    </row>
    <row r="580">
      <c r="A580" s="167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  <c r="AE580" s="164"/>
      <c r="AF580" s="164"/>
      <c r="AG580" s="164"/>
      <c r="AH580" s="164"/>
      <c r="AI580" s="164"/>
      <c r="AJ580" s="164"/>
      <c r="AK580" s="164"/>
      <c r="AL580" s="164"/>
      <c r="AM580" s="164"/>
      <c r="AN580" s="164"/>
      <c r="AO580" s="164"/>
      <c r="AP580" s="164"/>
    </row>
    <row r="581">
      <c r="A581" s="167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  <c r="AD581" s="164"/>
      <c r="AE581" s="164"/>
      <c r="AF581" s="164"/>
      <c r="AG581" s="164"/>
      <c r="AH581" s="164"/>
      <c r="AI581" s="164"/>
      <c r="AJ581" s="164"/>
      <c r="AK581" s="164"/>
      <c r="AL581" s="164"/>
      <c r="AM581" s="164"/>
      <c r="AN581" s="164"/>
      <c r="AO581" s="164"/>
      <c r="AP581" s="164"/>
    </row>
    <row r="582">
      <c r="A582" s="167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  <c r="AE582" s="164"/>
      <c r="AF582" s="164"/>
      <c r="AG582" s="164"/>
      <c r="AH582" s="164"/>
      <c r="AI582" s="164"/>
      <c r="AJ582" s="164"/>
      <c r="AK582" s="164"/>
      <c r="AL582" s="164"/>
      <c r="AM582" s="164"/>
      <c r="AN582" s="164"/>
      <c r="AO582" s="164"/>
      <c r="AP582" s="164"/>
    </row>
    <row r="583">
      <c r="A583" s="167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  <c r="AD583" s="164"/>
      <c r="AE583" s="164"/>
      <c r="AF583" s="164"/>
      <c r="AG583" s="164"/>
      <c r="AH583" s="164"/>
      <c r="AI583" s="164"/>
      <c r="AJ583" s="164"/>
      <c r="AK583" s="164"/>
      <c r="AL583" s="164"/>
      <c r="AM583" s="164"/>
      <c r="AN583" s="164"/>
      <c r="AO583" s="164"/>
      <c r="AP583" s="164"/>
    </row>
    <row r="584">
      <c r="A584" s="167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  <c r="AE584" s="164"/>
      <c r="AF584" s="164"/>
      <c r="AG584" s="164"/>
      <c r="AH584" s="164"/>
      <c r="AI584" s="164"/>
      <c r="AJ584" s="164"/>
      <c r="AK584" s="164"/>
      <c r="AL584" s="164"/>
      <c r="AM584" s="164"/>
      <c r="AN584" s="164"/>
      <c r="AO584" s="164"/>
      <c r="AP584" s="164"/>
    </row>
    <row r="585">
      <c r="A585" s="167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  <c r="AD585" s="164"/>
      <c r="AE585" s="164"/>
      <c r="AF585" s="164"/>
      <c r="AG585" s="164"/>
      <c r="AH585" s="164"/>
      <c r="AI585" s="164"/>
      <c r="AJ585" s="164"/>
      <c r="AK585" s="164"/>
      <c r="AL585" s="164"/>
      <c r="AM585" s="164"/>
      <c r="AN585" s="164"/>
      <c r="AO585" s="164"/>
      <c r="AP585" s="164"/>
    </row>
    <row r="586">
      <c r="A586" s="167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  <c r="AE586" s="164"/>
      <c r="AF586" s="164"/>
      <c r="AG586" s="164"/>
      <c r="AH586" s="164"/>
      <c r="AI586" s="164"/>
      <c r="AJ586" s="164"/>
      <c r="AK586" s="164"/>
      <c r="AL586" s="164"/>
      <c r="AM586" s="164"/>
      <c r="AN586" s="164"/>
      <c r="AO586" s="164"/>
      <c r="AP586" s="164"/>
    </row>
    <row r="587">
      <c r="A587" s="167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  <c r="AE587" s="164"/>
      <c r="AF587" s="164"/>
      <c r="AG587" s="164"/>
      <c r="AH587" s="164"/>
      <c r="AI587" s="164"/>
      <c r="AJ587" s="164"/>
      <c r="AK587" s="164"/>
      <c r="AL587" s="164"/>
      <c r="AM587" s="164"/>
      <c r="AN587" s="164"/>
      <c r="AO587" s="164"/>
      <c r="AP587" s="164"/>
    </row>
    <row r="588">
      <c r="A588" s="167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  <c r="AE588" s="164"/>
      <c r="AF588" s="164"/>
      <c r="AG588" s="164"/>
      <c r="AH588" s="164"/>
      <c r="AI588" s="164"/>
      <c r="AJ588" s="164"/>
      <c r="AK588" s="164"/>
      <c r="AL588" s="164"/>
      <c r="AM588" s="164"/>
      <c r="AN588" s="164"/>
      <c r="AO588" s="164"/>
      <c r="AP588" s="164"/>
    </row>
    <row r="589">
      <c r="A589" s="167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  <c r="AE589" s="164"/>
      <c r="AF589" s="164"/>
      <c r="AG589" s="164"/>
      <c r="AH589" s="164"/>
      <c r="AI589" s="164"/>
      <c r="AJ589" s="164"/>
      <c r="AK589" s="164"/>
      <c r="AL589" s="164"/>
      <c r="AM589" s="164"/>
      <c r="AN589" s="164"/>
      <c r="AO589" s="164"/>
      <c r="AP589" s="164"/>
    </row>
    <row r="590">
      <c r="A590" s="167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  <c r="AE590" s="164"/>
      <c r="AF590" s="164"/>
      <c r="AG590" s="164"/>
      <c r="AH590" s="164"/>
      <c r="AI590" s="164"/>
      <c r="AJ590" s="164"/>
      <c r="AK590" s="164"/>
      <c r="AL590" s="164"/>
      <c r="AM590" s="164"/>
      <c r="AN590" s="164"/>
      <c r="AO590" s="164"/>
      <c r="AP590" s="164"/>
    </row>
    <row r="591">
      <c r="A591" s="167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  <c r="AE591" s="164"/>
      <c r="AF591" s="164"/>
      <c r="AG591" s="164"/>
      <c r="AH591" s="164"/>
      <c r="AI591" s="164"/>
      <c r="AJ591" s="164"/>
      <c r="AK591" s="164"/>
      <c r="AL591" s="164"/>
      <c r="AM591" s="164"/>
      <c r="AN591" s="164"/>
      <c r="AO591" s="164"/>
      <c r="AP591" s="164"/>
    </row>
    <row r="592">
      <c r="A592" s="167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  <c r="AE592" s="164"/>
      <c r="AF592" s="164"/>
      <c r="AG592" s="164"/>
      <c r="AH592" s="164"/>
      <c r="AI592" s="164"/>
      <c r="AJ592" s="164"/>
      <c r="AK592" s="164"/>
      <c r="AL592" s="164"/>
      <c r="AM592" s="164"/>
      <c r="AN592" s="164"/>
      <c r="AO592" s="164"/>
      <c r="AP592" s="164"/>
    </row>
    <row r="593">
      <c r="A593" s="167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  <c r="AE593" s="164"/>
      <c r="AF593" s="164"/>
      <c r="AG593" s="164"/>
      <c r="AH593" s="164"/>
      <c r="AI593" s="164"/>
      <c r="AJ593" s="164"/>
      <c r="AK593" s="164"/>
      <c r="AL593" s="164"/>
      <c r="AM593" s="164"/>
      <c r="AN593" s="164"/>
      <c r="AO593" s="164"/>
      <c r="AP593" s="164"/>
    </row>
    <row r="594">
      <c r="A594" s="167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  <c r="AE594" s="164"/>
      <c r="AF594" s="164"/>
      <c r="AG594" s="164"/>
      <c r="AH594" s="164"/>
      <c r="AI594" s="164"/>
      <c r="AJ594" s="164"/>
      <c r="AK594" s="164"/>
      <c r="AL594" s="164"/>
      <c r="AM594" s="164"/>
      <c r="AN594" s="164"/>
      <c r="AO594" s="164"/>
      <c r="AP594" s="164"/>
    </row>
    <row r="595">
      <c r="A595" s="167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  <c r="AE595" s="164"/>
      <c r="AF595" s="164"/>
      <c r="AG595" s="164"/>
      <c r="AH595" s="164"/>
      <c r="AI595" s="164"/>
      <c r="AJ595" s="164"/>
      <c r="AK595" s="164"/>
      <c r="AL595" s="164"/>
      <c r="AM595" s="164"/>
      <c r="AN595" s="164"/>
      <c r="AO595" s="164"/>
      <c r="AP595" s="164"/>
    </row>
    <row r="596">
      <c r="A596" s="167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  <c r="AE596" s="164"/>
      <c r="AF596" s="164"/>
      <c r="AG596" s="164"/>
      <c r="AH596" s="164"/>
      <c r="AI596" s="164"/>
      <c r="AJ596" s="164"/>
      <c r="AK596" s="164"/>
      <c r="AL596" s="164"/>
      <c r="AM596" s="164"/>
      <c r="AN596" s="164"/>
      <c r="AO596" s="164"/>
      <c r="AP596" s="164"/>
    </row>
    <row r="597">
      <c r="A597" s="167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  <c r="AE597" s="164"/>
      <c r="AF597" s="164"/>
      <c r="AG597" s="164"/>
      <c r="AH597" s="164"/>
      <c r="AI597" s="164"/>
      <c r="AJ597" s="164"/>
      <c r="AK597" s="164"/>
      <c r="AL597" s="164"/>
      <c r="AM597" s="164"/>
      <c r="AN597" s="164"/>
      <c r="AO597" s="164"/>
      <c r="AP597" s="164"/>
    </row>
    <row r="598">
      <c r="A598" s="167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  <c r="AE598" s="164"/>
      <c r="AF598" s="164"/>
      <c r="AG598" s="164"/>
      <c r="AH598" s="164"/>
      <c r="AI598" s="164"/>
      <c r="AJ598" s="164"/>
      <c r="AK598" s="164"/>
      <c r="AL598" s="164"/>
      <c r="AM598" s="164"/>
      <c r="AN598" s="164"/>
      <c r="AO598" s="164"/>
      <c r="AP598" s="164"/>
    </row>
    <row r="599">
      <c r="A599" s="167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  <c r="AE599" s="164"/>
      <c r="AF599" s="164"/>
      <c r="AG599" s="164"/>
      <c r="AH599" s="164"/>
      <c r="AI599" s="164"/>
      <c r="AJ599" s="164"/>
      <c r="AK599" s="164"/>
      <c r="AL599" s="164"/>
      <c r="AM599" s="164"/>
      <c r="AN599" s="164"/>
      <c r="AO599" s="164"/>
      <c r="AP599" s="164"/>
    </row>
    <row r="600">
      <c r="A600" s="167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  <c r="AE600" s="164"/>
      <c r="AF600" s="164"/>
      <c r="AG600" s="164"/>
      <c r="AH600" s="164"/>
      <c r="AI600" s="164"/>
      <c r="AJ600" s="164"/>
      <c r="AK600" s="164"/>
      <c r="AL600" s="164"/>
      <c r="AM600" s="164"/>
      <c r="AN600" s="164"/>
      <c r="AO600" s="164"/>
      <c r="AP600" s="164"/>
    </row>
    <row r="601">
      <c r="A601" s="167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  <c r="AE601" s="164"/>
      <c r="AF601" s="164"/>
      <c r="AG601" s="164"/>
      <c r="AH601" s="164"/>
      <c r="AI601" s="164"/>
      <c r="AJ601" s="164"/>
      <c r="AK601" s="164"/>
      <c r="AL601" s="164"/>
      <c r="AM601" s="164"/>
      <c r="AN601" s="164"/>
      <c r="AO601" s="164"/>
      <c r="AP601" s="164"/>
    </row>
    <row r="602">
      <c r="A602" s="167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  <c r="AE602" s="164"/>
      <c r="AF602" s="164"/>
      <c r="AG602" s="164"/>
      <c r="AH602" s="164"/>
      <c r="AI602" s="164"/>
      <c r="AJ602" s="164"/>
      <c r="AK602" s="164"/>
      <c r="AL602" s="164"/>
      <c r="AM602" s="164"/>
      <c r="AN602" s="164"/>
      <c r="AO602" s="164"/>
      <c r="AP602" s="164"/>
    </row>
    <row r="603">
      <c r="A603" s="167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  <c r="AE603" s="164"/>
      <c r="AF603" s="164"/>
      <c r="AG603" s="164"/>
      <c r="AH603" s="164"/>
      <c r="AI603" s="164"/>
      <c r="AJ603" s="164"/>
      <c r="AK603" s="164"/>
      <c r="AL603" s="164"/>
      <c r="AM603" s="164"/>
      <c r="AN603" s="164"/>
      <c r="AO603" s="164"/>
      <c r="AP603" s="164"/>
    </row>
    <row r="604">
      <c r="A604" s="167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  <c r="AE604" s="164"/>
      <c r="AF604" s="164"/>
      <c r="AG604" s="164"/>
      <c r="AH604" s="164"/>
      <c r="AI604" s="164"/>
      <c r="AJ604" s="164"/>
      <c r="AK604" s="164"/>
      <c r="AL604" s="164"/>
      <c r="AM604" s="164"/>
      <c r="AN604" s="164"/>
      <c r="AO604" s="164"/>
      <c r="AP604" s="164"/>
    </row>
    <row r="605">
      <c r="A605" s="167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  <c r="AE605" s="164"/>
      <c r="AF605" s="164"/>
      <c r="AG605" s="164"/>
      <c r="AH605" s="164"/>
      <c r="AI605" s="164"/>
      <c r="AJ605" s="164"/>
      <c r="AK605" s="164"/>
      <c r="AL605" s="164"/>
      <c r="AM605" s="164"/>
      <c r="AN605" s="164"/>
      <c r="AO605" s="164"/>
      <c r="AP605" s="164"/>
    </row>
    <row r="606">
      <c r="A606" s="167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  <c r="AE606" s="164"/>
      <c r="AF606" s="164"/>
      <c r="AG606" s="164"/>
      <c r="AH606" s="164"/>
      <c r="AI606" s="164"/>
      <c r="AJ606" s="164"/>
      <c r="AK606" s="164"/>
      <c r="AL606" s="164"/>
      <c r="AM606" s="164"/>
      <c r="AN606" s="164"/>
      <c r="AO606" s="164"/>
      <c r="AP606" s="164"/>
    </row>
    <row r="607">
      <c r="A607" s="167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  <c r="AE607" s="164"/>
      <c r="AF607" s="164"/>
      <c r="AG607" s="164"/>
      <c r="AH607" s="164"/>
      <c r="AI607" s="164"/>
      <c r="AJ607" s="164"/>
      <c r="AK607" s="164"/>
      <c r="AL607" s="164"/>
      <c r="AM607" s="164"/>
      <c r="AN607" s="164"/>
      <c r="AO607" s="164"/>
      <c r="AP607" s="164"/>
    </row>
    <row r="608">
      <c r="A608" s="167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4"/>
      <c r="AF608" s="164"/>
      <c r="AG608" s="164"/>
      <c r="AH608" s="164"/>
      <c r="AI608" s="164"/>
      <c r="AJ608" s="164"/>
      <c r="AK608" s="164"/>
      <c r="AL608" s="164"/>
      <c r="AM608" s="164"/>
      <c r="AN608" s="164"/>
      <c r="AO608" s="164"/>
      <c r="AP608" s="164"/>
    </row>
    <row r="609">
      <c r="A609" s="167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  <c r="AE609" s="164"/>
      <c r="AF609" s="164"/>
      <c r="AG609" s="164"/>
      <c r="AH609" s="164"/>
      <c r="AI609" s="164"/>
      <c r="AJ609" s="164"/>
      <c r="AK609" s="164"/>
      <c r="AL609" s="164"/>
      <c r="AM609" s="164"/>
      <c r="AN609" s="164"/>
      <c r="AO609" s="164"/>
      <c r="AP609" s="164"/>
    </row>
    <row r="610">
      <c r="A610" s="167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  <c r="AE610" s="164"/>
      <c r="AF610" s="164"/>
      <c r="AG610" s="164"/>
      <c r="AH610" s="164"/>
      <c r="AI610" s="164"/>
      <c r="AJ610" s="164"/>
      <c r="AK610" s="164"/>
      <c r="AL610" s="164"/>
      <c r="AM610" s="164"/>
      <c r="AN610" s="164"/>
      <c r="AO610" s="164"/>
      <c r="AP610" s="164"/>
    </row>
    <row r="611">
      <c r="A611" s="167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  <c r="AE611" s="164"/>
      <c r="AF611" s="164"/>
      <c r="AG611" s="164"/>
      <c r="AH611" s="164"/>
      <c r="AI611" s="164"/>
      <c r="AJ611" s="164"/>
      <c r="AK611" s="164"/>
      <c r="AL611" s="164"/>
      <c r="AM611" s="164"/>
      <c r="AN611" s="164"/>
      <c r="AO611" s="164"/>
      <c r="AP611" s="164"/>
    </row>
    <row r="612">
      <c r="A612" s="167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  <c r="AE612" s="164"/>
      <c r="AF612" s="164"/>
      <c r="AG612" s="164"/>
      <c r="AH612" s="164"/>
      <c r="AI612" s="164"/>
      <c r="AJ612" s="164"/>
      <c r="AK612" s="164"/>
      <c r="AL612" s="164"/>
      <c r="AM612" s="164"/>
      <c r="AN612" s="164"/>
      <c r="AO612" s="164"/>
      <c r="AP612" s="164"/>
    </row>
    <row r="613">
      <c r="A613" s="167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  <c r="AE613" s="164"/>
      <c r="AF613" s="164"/>
      <c r="AG613" s="164"/>
      <c r="AH613" s="164"/>
      <c r="AI613" s="164"/>
      <c r="AJ613" s="164"/>
      <c r="AK613" s="164"/>
      <c r="AL613" s="164"/>
      <c r="AM613" s="164"/>
      <c r="AN613" s="164"/>
      <c r="AO613" s="164"/>
      <c r="AP613" s="164"/>
    </row>
    <row r="614">
      <c r="A614" s="167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  <c r="AE614" s="164"/>
      <c r="AF614" s="164"/>
      <c r="AG614" s="164"/>
      <c r="AH614" s="164"/>
      <c r="AI614" s="164"/>
      <c r="AJ614" s="164"/>
      <c r="AK614" s="164"/>
      <c r="AL614" s="164"/>
      <c r="AM614" s="164"/>
      <c r="AN614" s="164"/>
      <c r="AO614" s="164"/>
      <c r="AP614" s="164"/>
    </row>
    <row r="615">
      <c r="A615" s="167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  <c r="AE615" s="164"/>
      <c r="AF615" s="164"/>
      <c r="AG615" s="164"/>
      <c r="AH615" s="164"/>
      <c r="AI615" s="164"/>
      <c r="AJ615" s="164"/>
      <c r="AK615" s="164"/>
      <c r="AL615" s="164"/>
      <c r="AM615" s="164"/>
      <c r="AN615" s="164"/>
      <c r="AO615" s="164"/>
      <c r="AP615" s="164"/>
    </row>
    <row r="616">
      <c r="A616" s="167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  <c r="AE616" s="164"/>
      <c r="AF616" s="164"/>
      <c r="AG616" s="164"/>
      <c r="AH616" s="164"/>
      <c r="AI616" s="164"/>
      <c r="AJ616" s="164"/>
      <c r="AK616" s="164"/>
      <c r="AL616" s="164"/>
      <c r="AM616" s="164"/>
      <c r="AN616" s="164"/>
      <c r="AO616" s="164"/>
      <c r="AP616" s="164"/>
    </row>
    <row r="617">
      <c r="A617" s="167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  <c r="AE617" s="164"/>
      <c r="AF617" s="164"/>
      <c r="AG617" s="164"/>
      <c r="AH617" s="164"/>
      <c r="AI617" s="164"/>
      <c r="AJ617" s="164"/>
      <c r="AK617" s="164"/>
      <c r="AL617" s="164"/>
      <c r="AM617" s="164"/>
      <c r="AN617" s="164"/>
      <c r="AO617" s="164"/>
      <c r="AP617" s="164"/>
    </row>
    <row r="618">
      <c r="A618" s="167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  <c r="AE618" s="164"/>
      <c r="AF618" s="164"/>
      <c r="AG618" s="164"/>
      <c r="AH618" s="164"/>
      <c r="AI618" s="164"/>
      <c r="AJ618" s="164"/>
      <c r="AK618" s="164"/>
      <c r="AL618" s="164"/>
      <c r="AM618" s="164"/>
      <c r="AN618" s="164"/>
      <c r="AO618" s="164"/>
      <c r="AP618" s="164"/>
    </row>
    <row r="619">
      <c r="A619" s="167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  <c r="AE619" s="164"/>
      <c r="AF619" s="164"/>
      <c r="AG619" s="164"/>
      <c r="AH619" s="164"/>
      <c r="AI619" s="164"/>
      <c r="AJ619" s="164"/>
      <c r="AK619" s="164"/>
      <c r="AL619" s="164"/>
      <c r="AM619" s="164"/>
      <c r="AN619" s="164"/>
      <c r="AO619" s="164"/>
      <c r="AP619" s="164"/>
    </row>
    <row r="620">
      <c r="A620" s="167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  <c r="AD620" s="164"/>
      <c r="AE620" s="164"/>
      <c r="AF620" s="164"/>
      <c r="AG620" s="164"/>
      <c r="AH620" s="164"/>
      <c r="AI620" s="164"/>
      <c r="AJ620" s="164"/>
      <c r="AK620" s="164"/>
      <c r="AL620" s="164"/>
      <c r="AM620" s="164"/>
      <c r="AN620" s="164"/>
      <c r="AO620" s="164"/>
      <c r="AP620" s="164"/>
    </row>
    <row r="621">
      <c r="A621" s="167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  <c r="AE621" s="164"/>
      <c r="AF621" s="164"/>
      <c r="AG621" s="164"/>
      <c r="AH621" s="164"/>
      <c r="AI621" s="164"/>
      <c r="AJ621" s="164"/>
      <c r="AK621" s="164"/>
      <c r="AL621" s="164"/>
      <c r="AM621" s="164"/>
      <c r="AN621" s="164"/>
      <c r="AO621" s="164"/>
      <c r="AP621" s="164"/>
    </row>
    <row r="622">
      <c r="A622" s="167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  <c r="AD622" s="164"/>
      <c r="AE622" s="164"/>
      <c r="AF622" s="164"/>
      <c r="AG622" s="164"/>
      <c r="AH622" s="164"/>
      <c r="AI622" s="164"/>
      <c r="AJ622" s="164"/>
      <c r="AK622" s="164"/>
      <c r="AL622" s="164"/>
      <c r="AM622" s="164"/>
      <c r="AN622" s="164"/>
      <c r="AO622" s="164"/>
      <c r="AP622" s="164"/>
    </row>
    <row r="623">
      <c r="A623" s="167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  <c r="AE623" s="164"/>
      <c r="AF623" s="164"/>
      <c r="AG623" s="164"/>
      <c r="AH623" s="164"/>
      <c r="AI623" s="164"/>
      <c r="AJ623" s="164"/>
      <c r="AK623" s="164"/>
      <c r="AL623" s="164"/>
      <c r="AM623" s="164"/>
      <c r="AN623" s="164"/>
      <c r="AO623" s="164"/>
      <c r="AP623" s="164"/>
    </row>
    <row r="624">
      <c r="A624" s="167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  <c r="AE624" s="164"/>
      <c r="AF624" s="164"/>
      <c r="AG624" s="164"/>
      <c r="AH624" s="164"/>
      <c r="AI624" s="164"/>
      <c r="AJ624" s="164"/>
      <c r="AK624" s="164"/>
      <c r="AL624" s="164"/>
      <c r="AM624" s="164"/>
      <c r="AN624" s="164"/>
      <c r="AO624" s="164"/>
      <c r="AP624" s="164"/>
    </row>
    <row r="625">
      <c r="A625" s="167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  <c r="AE625" s="164"/>
      <c r="AF625" s="164"/>
      <c r="AG625" s="164"/>
      <c r="AH625" s="164"/>
      <c r="AI625" s="164"/>
      <c r="AJ625" s="164"/>
      <c r="AK625" s="164"/>
      <c r="AL625" s="164"/>
      <c r="AM625" s="164"/>
      <c r="AN625" s="164"/>
      <c r="AO625" s="164"/>
      <c r="AP625" s="164"/>
    </row>
    <row r="626">
      <c r="A626" s="167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  <c r="AE626" s="164"/>
      <c r="AF626" s="164"/>
      <c r="AG626" s="164"/>
      <c r="AH626" s="164"/>
      <c r="AI626" s="164"/>
      <c r="AJ626" s="164"/>
      <c r="AK626" s="164"/>
      <c r="AL626" s="164"/>
      <c r="AM626" s="164"/>
      <c r="AN626" s="164"/>
      <c r="AO626" s="164"/>
      <c r="AP626" s="164"/>
    </row>
    <row r="627">
      <c r="A627" s="167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  <c r="AE627" s="164"/>
      <c r="AF627" s="164"/>
      <c r="AG627" s="164"/>
      <c r="AH627" s="164"/>
      <c r="AI627" s="164"/>
      <c r="AJ627" s="164"/>
      <c r="AK627" s="164"/>
      <c r="AL627" s="164"/>
      <c r="AM627" s="164"/>
      <c r="AN627" s="164"/>
      <c r="AO627" s="164"/>
      <c r="AP627" s="164"/>
    </row>
    <row r="628">
      <c r="A628" s="167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  <c r="AE628" s="164"/>
      <c r="AF628" s="164"/>
      <c r="AG628" s="164"/>
      <c r="AH628" s="164"/>
      <c r="AI628" s="164"/>
      <c r="AJ628" s="164"/>
      <c r="AK628" s="164"/>
      <c r="AL628" s="164"/>
      <c r="AM628" s="164"/>
      <c r="AN628" s="164"/>
      <c r="AO628" s="164"/>
      <c r="AP628" s="164"/>
    </row>
    <row r="629">
      <c r="A629" s="167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  <c r="AE629" s="164"/>
      <c r="AF629" s="164"/>
      <c r="AG629" s="164"/>
      <c r="AH629" s="164"/>
      <c r="AI629" s="164"/>
      <c r="AJ629" s="164"/>
      <c r="AK629" s="164"/>
      <c r="AL629" s="164"/>
      <c r="AM629" s="164"/>
      <c r="AN629" s="164"/>
      <c r="AO629" s="164"/>
      <c r="AP629" s="164"/>
    </row>
    <row r="630">
      <c r="A630" s="167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  <c r="AE630" s="164"/>
      <c r="AF630" s="164"/>
      <c r="AG630" s="164"/>
      <c r="AH630" s="164"/>
      <c r="AI630" s="164"/>
      <c r="AJ630" s="164"/>
      <c r="AK630" s="164"/>
      <c r="AL630" s="164"/>
      <c r="AM630" s="164"/>
      <c r="AN630" s="164"/>
      <c r="AO630" s="164"/>
      <c r="AP630" s="164"/>
    </row>
    <row r="631">
      <c r="A631" s="167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  <c r="AE631" s="164"/>
      <c r="AF631" s="164"/>
      <c r="AG631" s="164"/>
      <c r="AH631" s="164"/>
      <c r="AI631" s="164"/>
      <c r="AJ631" s="164"/>
      <c r="AK631" s="164"/>
      <c r="AL631" s="164"/>
      <c r="AM631" s="164"/>
      <c r="AN631" s="164"/>
      <c r="AO631" s="164"/>
      <c r="AP631" s="164"/>
    </row>
    <row r="632">
      <c r="A632" s="167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  <c r="AE632" s="164"/>
      <c r="AF632" s="164"/>
      <c r="AG632" s="164"/>
      <c r="AH632" s="164"/>
      <c r="AI632" s="164"/>
      <c r="AJ632" s="164"/>
      <c r="AK632" s="164"/>
      <c r="AL632" s="164"/>
      <c r="AM632" s="164"/>
      <c r="AN632" s="164"/>
      <c r="AO632" s="164"/>
      <c r="AP632" s="164"/>
    </row>
    <row r="633">
      <c r="A633" s="167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  <c r="AE633" s="164"/>
      <c r="AF633" s="164"/>
      <c r="AG633" s="164"/>
      <c r="AH633" s="164"/>
      <c r="AI633" s="164"/>
      <c r="AJ633" s="164"/>
      <c r="AK633" s="164"/>
      <c r="AL633" s="164"/>
      <c r="AM633" s="164"/>
      <c r="AN633" s="164"/>
      <c r="AO633" s="164"/>
      <c r="AP633" s="164"/>
    </row>
    <row r="634">
      <c r="A634" s="167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  <c r="AE634" s="164"/>
      <c r="AF634" s="164"/>
      <c r="AG634" s="164"/>
      <c r="AH634" s="164"/>
      <c r="AI634" s="164"/>
      <c r="AJ634" s="164"/>
      <c r="AK634" s="164"/>
      <c r="AL634" s="164"/>
      <c r="AM634" s="164"/>
      <c r="AN634" s="164"/>
      <c r="AO634" s="164"/>
      <c r="AP634" s="164"/>
    </row>
    <row r="635">
      <c r="A635" s="167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  <c r="AE635" s="164"/>
      <c r="AF635" s="164"/>
      <c r="AG635" s="164"/>
      <c r="AH635" s="164"/>
      <c r="AI635" s="164"/>
      <c r="AJ635" s="164"/>
      <c r="AK635" s="164"/>
      <c r="AL635" s="164"/>
      <c r="AM635" s="164"/>
      <c r="AN635" s="164"/>
      <c r="AO635" s="164"/>
      <c r="AP635" s="164"/>
    </row>
    <row r="636">
      <c r="A636" s="167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  <c r="AE636" s="164"/>
      <c r="AF636" s="164"/>
      <c r="AG636" s="164"/>
      <c r="AH636" s="164"/>
      <c r="AI636" s="164"/>
      <c r="AJ636" s="164"/>
      <c r="AK636" s="164"/>
      <c r="AL636" s="164"/>
      <c r="AM636" s="164"/>
      <c r="AN636" s="164"/>
      <c r="AO636" s="164"/>
      <c r="AP636" s="164"/>
    </row>
    <row r="637">
      <c r="A637" s="167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  <c r="AE637" s="164"/>
      <c r="AF637" s="164"/>
      <c r="AG637" s="164"/>
      <c r="AH637" s="164"/>
      <c r="AI637" s="164"/>
      <c r="AJ637" s="164"/>
      <c r="AK637" s="164"/>
      <c r="AL637" s="164"/>
      <c r="AM637" s="164"/>
      <c r="AN637" s="164"/>
      <c r="AO637" s="164"/>
      <c r="AP637" s="164"/>
    </row>
    <row r="638">
      <c r="A638" s="167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  <c r="AE638" s="164"/>
      <c r="AF638" s="164"/>
      <c r="AG638" s="164"/>
      <c r="AH638" s="164"/>
      <c r="AI638" s="164"/>
      <c r="AJ638" s="164"/>
      <c r="AK638" s="164"/>
      <c r="AL638" s="164"/>
      <c r="AM638" s="164"/>
      <c r="AN638" s="164"/>
      <c r="AO638" s="164"/>
      <c r="AP638" s="164"/>
    </row>
    <row r="639">
      <c r="A639" s="167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  <c r="AE639" s="164"/>
      <c r="AF639" s="164"/>
      <c r="AG639" s="164"/>
      <c r="AH639" s="164"/>
      <c r="AI639" s="164"/>
      <c r="AJ639" s="164"/>
      <c r="AK639" s="164"/>
      <c r="AL639" s="164"/>
      <c r="AM639" s="164"/>
      <c r="AN639" s="164"/>
      <c r="AO639" s="164"/>
      <c r="AP639" s="164"/>
    </row>
    <row r="640">
      <c r="A640" s="167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  <c r="AE640" s="164"/>
      <c r="AF640" s="164"/>
      <c r="AG640" s="164"/>
      <c r="AH640" s="164"/>
      <c r="AI640" s="164"/>
      <c r="AJ640" s="164"/>
      <c r="AK640" s="164"/>
      <c r="AL640" s="164"/>
      <c r="AM640" s="164"/>
      <c r="AN640" s="164"/>
      <c r="AO640" s="164"/>
      <c r="AP640" s="164"/>
    </row>
    <row r="641">
      <c r="A641" s="167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  <c r="AE641" s="164"/>
      <c r="AF641" s="164"/>
      <c r="AG641" s="164"/>
      <c r="AH641" s="164"/>
      <c r="AI641" s="164"/>
      <c r="AJ641" s="164"/>
      <c r="AK641" s="164"/>
      <c r="AL641" s="164"/>
      <c r="AM641" s="164"/>
      <c r="AN641" s="164"/>
      <c r="AO641" s="164"/>
      <c r="AP641" s="164"/>
    </row>
    <row r="642">
      <c r="A642" s="167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  <c r="AE642" s="164"/>
      <c r="AF642" s="164"/>
      <c r="AG642" s="164"/>
      <c r="AH642" s="164"/>
      <c r="AI642" s="164"/>
      <c r="AJ642" s="164"/>
      <c r="AK642" s="164"/>
      <c r="AL642" s="164"/>
      <c r="AM642" s="164"/>
      <c r="AN642" s="164"/>
      <c r="AO642" s="164"/>
      <c r="AP642" s="164"/>
    </row>
    <row r="643">
      <c r="A643" s="167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  <c r="AE643" s="164"/>
      <c r="AF643" s="164"/>
      <c r="AG643" s="164"/>
      <c r="AH643" s="164"/>
      <c r="AI643" s="164"/>
      <c r="AJ643" s="164"/>
      <c r="AK643" s="164"/>
      <c r="AL643" s="164"/>
      <c r="AM643" s="164"/>
      <c r="AN643" s="164"/>
      <c r="AO643" s="164"/>
      <c r="AP643" s="164"/>
    </row>
    <row r="644">
      <c r="A644" s="167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  <c r="AE644" s="164"/>
      <c r="AF644" s="164"/>
      <c r="AG644" s="164"/>
      <c r="AH644" s="164"/>
      <c r="AI644" s="164"/>
      <c r="AJ644" s="164"/>
      <c r="AK644" s="164"/>
      <c r="AL644" s="164"/>
      <c r="AM644" s="164"/>
      <c r="AN644" s="164"/>
      <c r="AO644" s="164"/>
      <c r="AP644" s="164"/>
    </row>
    <row r="645">
      <c r="A645" s="167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  <c r="AE645" s="164"/>
      <c r="AF645" s="164"/>
      <c r="AG645" s="164"/>
      <c r="AH645" s="164"/>
      <c r="AI645" s="164"/>
      <c r="AJ645" s="164"/>
      <c r="AK645" s="164"/>
      <c r="AL645" s="164"/>
      <c r="AM645" s="164"/>
      <c r="AN645" s="164"/>
      <c r="AO645" s="164"/>
      <c r="AP645" s="164"/>
    </row>
    <row r="646">
      <c r="A646" s="167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  <c r="AE646" s="164"/>
      <c r="AF646" s="164"/>
      <c r="AG646" s="164"/>
      <c r="AH646" s="164"/>
      <c r="AI646" s="164"/>
      <c r="AJ646" s="164"/>
      <c r="AK646" s="164"/>
      <c r="AL646" s="164"/>
      <c r="AM646" s="164"/>
      <c r="AN646" s="164"/>
      <c r="AO646" s="164"/>
      <c r="AP646" s="164"/>
    </row>
    <row r="647">
      <c r="A647" s="167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  <c r="AE647" s="164"/>
      <c r="AF647" s="164"/>
      <c r="AG647" s="164"/>
      <c r="AH647" s="164"/>
      <c r="AI647" s="164"/>
      <c r="AJ647" s="164"/>
      <c r="AK647" s="164"/>
      <c r="AL647" s="164"/>
      <c r="AM647" s="164"/>
      <c r="AN647" s="164"/>
      <c r="AO647" s="164"/>
      <c r="AP647" s="164"/>
    </row>
    <row r="648">
      <c r="A648" s="167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  <c r="AD648" s="164"/>
      <c r="AE648" s="164"/>
      <c r="AF648" s="164"/>
      <c r="AG648" s="164"/>
      <c r="AH648" s="164"/>
      <c r="AI648" s="164"/>
      <c r="AJ648" s="164"/>
      <c r="AK648" s="164"/>
      <c r="AL648" s="164"/>
      <c r="AM648" s="164"/>
      <c r="AN648" s="164"/>
      <c r="AO648" s="164"/>
      <c r="AP648" s="164"/>
    </row>
    <row r="649">
      <c r="A649" s="167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  <c r="AD649" s="164"/>
      <c r="AE649" s="164"/>
      <c r="AF649" s="164"/>
      <c r="AG649" s="164"/>
      <c r="AH649" s="164"/>
      <c r="AI649" s="164"/>
      <c r="AJ649" s="164"/>
      <c r="AK649" s="164"/>
      <c r="AL649" s="164"/>
      <c r="AM649" s="164"/>
      <c r="AN649" s="164"/>
      <c r="AO649" s="164"/>
      <c r="AP649" s="164"/>
    </row>
    <row r="650">
      <c r="A650" s="167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  <c r="AD650" s="164"/>
      <c r="AE650" s="164"/>
      <c r="AF650" s="164"/>
      <c r="AG650" s="164"/>
      <c r="AH650" s="164"/>
      <c r="AI650" s="164"/>
      <c r="AJ650" s="164"/>
      <c r="AK650" s="164"/>
      <c r="AL650" s="164"/>
      <c r="AM650" s="164"/>
      <c r="AN650" s="164"/>
      <c r="AO650" s="164"/>
      <c r="AP650" s="164"/>
    </row>
    <row r="651">
      <c r="A651" s="167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  <c r="AD651" s="164"/>
      <c r="AE651" s="164"/>
      <c r="AF651" s="164"/>
      <c r="AG651" s="164"/>
      <c r="AH651" s="164"/>
      <c r="AI651" s="164"/>
      <c r="AJ651" s="164"/>
      <c r="AK651" s="164"/>
      <c r="AL651" s="164"/>
      <c r="AM651" s="164"/>
      <c r="AN651" s="164"/>
      <c r="AO651" s="164"/>
      <c r="AP651" s="164"/>
    </row>
    <row r="652">
      <c r="A652" s="167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  <c r="AD652" s="164"/>
      <c r="AE652" s="164"/>
      <c r="AF652" s="164"/>
      <c r="AG652" s="164"/>
      <c r="AH652" s="164"/>
      <c r="AI652" s="164"/>
      <c r="AJ652" s="164"/>
      <c r="AK652" s="164"/>
      <c r="AL652" s="164"/>
      <c r="AM652" s="164"/>
      <c r="AN652" s="164"/>
      <c r="AO652" s="164"/>
      <c r="AP652" s="164"/>
    </row>
    <row r="653">
      <c r="A653" s="167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  <c r="AD653" s="164"/>
      <c r="AE653" s="164"/>
      <c r="AF653" s="164"/>
      <c r="AG653" s="164"/>
      <c r="AH653" s="164"/>
      <c r="AI653" s="164"/>
      <c r="AJ653" s="164"/>
      <c r="AK653" s="164"/>
      <c r="AL653" s="164"/>
      <c r="AM653" s="164"/>
      <c r="AN653" s="164"/>
      <c r="AO653" s="164"/>
      <c r="AP653" s="164"/>
    </row>
    <row r="654">
      <c r="A654" s="167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  <c r="AD654" s="164"/>
      <c r="AE654" s="164"/>
      <c r="AF654" s="164"/>
      <c r="AG654" s="164"/>
      <c r="AH654" s="164"/>
      <c r="AI654" s="164"/>
      <c r="AJ654" s="164"/>
      <c r="AK654" s="164"/>
      <c r="AL654" s="164"/>
      <c r="AM654" s="164"/>
      <c r="AN654" s="164"/>
      <c r="AO654" s="164"/>
      <c r="AP654" s="164"/>
    </row>
    <row r="655">
      <c r="A655" s="167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  <c r="AE655" s="164"/>
      <c r="AF655" s="164"/>
      <c r="AG655" s="164"/>
      <c r="AH655" s="164"/>
      <c r="AI655" s="164"/>
      <c r="AJ655" s="164"/>
      <c r="AK655" s="164"/>
      <c r="AL655" s="164"/>
      <c r="AM655" s="164"/>
      <c r="AN655" s="164"/>
      <c r="AO655" s="164"/>
      <c r="AP655" s="164"/>
    </row>
    <row r="656">
      <c r="A656" s="167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  <c r="AD656" s="164"/>
      <c r="AE656" s="164"/>
      <c r="AF656" s="164"/>
      <c r="AG656" s="164"/>
      <c r="AH656" s="164"/>
      <c r="AI656" s="164"/>
      <c r="AJ656" s="164"/>
      <c r="AK656" s="164"/>
      <c r="AL656" s="164"/>
      <c r="AM656" s="164"/>
      <c r="AN656" s="164"/>
      <c r="AO656" s="164"/>
      <c r="AP656" s="164"/>
    </row>
    <row r="657">
      <c r="A657" s="167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  <c r="AD657" s="164"/>
      <c r="AE657" s="164"/>
      <c r="AF657" s="164"/>
      <c r="AG657" s="164"/>
      <c r="AH657" s="164"/>
      <c r="AI657" s="164"/>
      <c r="AJ657" s="164"/>
      <c r="AK657" s="164"/>
      <c r="AL657" s="164"/>
      <c r="AM657" s="164"/>
      <c r="AN657" s="164"/>
      <c r="AO657" s="164"/>
      <c r="AP657" s="164"/>
    </row>
    <row r="658">
      <c r="A658" s="167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  <c r="AE658" s="164"/>
      <c r="AF658" s="164"/>
      <c r="AG658" s="164"/>
      <c r="AH658" s="164"/>
      <c r="AI658" s="164"/>
      <c r="AJ658" s="164"/>
      <c r="AK658" s="164"/>
      <c r="AL658" s="164"/>
      <c r="AM658" s="164"/>
      <c r="AN658" s="164"/>
      <c r="AO658" s="164"/>
      <c r="AP658" s="164"/>
    </row>
    <row r="659">
      <c r="A659" s="167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  <c r="AE659" s="164"/>
      <c r="AF659" s="164"/>
      <c r="AG659" s="164"/>
      <c r="AH659" s="164"/>
      <c r="AI659" s="164"/>
      <c r="AJ659" s="164"/>
      <c r="AK659" s="164"/>
      <c r="AL659" s="164"/>
      <c r="AM659" s="164"/>
      <c r="AN659" s="164"/>
      <c r="AO659" s="164"/>
      <c r="AP659" s="164"/>
    </row>
    <row r="660">
      <c r="A660" s="167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  <c r="AE660" s="164"/>
      <c r="AF660" s="164"/>
      <c r="AG660" s="164"/>
      <c r="AH660" s="164"/>
      <c r="AI660" s="164"/>
      <c r="AJ660" s="164"/>
      <c r="AK660" s="164"/>
      <c r="AL660" s="164"/>
      <c r="AM660" s="164"/>
      <c r="AN660" s="164"/>
      <c r="AO660" s="164"/>
      <c r="AP660" s="164"/>
    </row>
    <row r="661">
      <c r="A661" s="167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  <c r="AE661" s="164"/>
      <c r="AF661" s="164"/>
      <c r="AG661" s="164"/>
      <c r="AH661" s="164"/>
      <c r="AI661" s="164"/>
      <c r="AJ661" s="164"/>
      <c r="AK661" s="164"/>
      <c r="AL661" s="164"/>
      <c r="AM661" s="164"/>
      <c r="AN661" s="164"/>
      <c r="AO661" s="164"/>
      <c r="AP661" s="164"/>
    </row>
    <row r="662">
      <c r="A662" s="167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  <c r="AE662" s="164"/>
      <c r="AF662" s="164"/>
      <c r="AG662" s="164"/>
      <c r="AH662" s="164"/>
      <c r="AI662" s="164"/>
      <c r="AJ662" s="164"/>
      <c r="AK662" s="164"/>
      <c r="AL662" s="164"/>
      <c r="AM662" s="164"/>
      <c r="AN662" s="164"/>
      <c r="AO662" s="164"/>
      <c r="AP662" s="164"/>
    </row>
    <row r="663">
      <c r="A663" s="167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  <c r="AE663" s="164"/>
      <c r="AF663" s="164"/>
      <c r="AG663" s="164"/>
      <c r="AH663" s="164"/>
      <c r="AI663" s="164"/>
      <c r="AJ663" s="164"/>
      <c r="AK663" s="164"/>
      <c r="AL663" s="164"/>
      <c r="AM663" s="164"/>
      <c r="AN663" s="164"/>
      <c r="AO663" s="164"/>
      <c r="AP663" s="164"/>
    </row>
    <row r="664">
      <c r="A664" s="167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  <c r="AE664" s="164"/>
      <c r="AF664" s="164"/>
      <c r="AG664" s="164"/>
      <c r="AH664" s="164"/>
      <c r="AI664" s="164"/>
      <c r="AJ664" s="164"/>
      <c r="AK664" s="164"/>
      <c r="AL664" s="164"/>
      <c r="AM664" s="164"/>
      <c r="AN664" s="164"/>
      <c r="AO664" s="164"/>
      <c r="AP664" s="164"/>
    </row>
    <row r="665">
      <c r="A665" s="167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  <c r="AG665" s="164"/>
      <c r="AH665" s="164"/>
      <c r="AI665" s="164"/>
      <c r="AJ665" s="164"/>
      <c r="AK665" s="164"/>
      <c r="AL665" s="164"/>
      <c r="AM665" s="164"/>
      <c r="AN665" s="164"/>
      <c r="AO665" s="164"/>
      <c r="AP665" s="164"/>
    </row>
    <row r="666">
      <c r="A666" s="167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  <c r="AE666" s="164"/>
      <c r="AF666" s="164"/>
      <c r="AG666" s="164"/>
      <c r="AH666" s="164"/>
      <c r="AI666" s="164"/>
      <c r="AJ666" s="164"/>
      <c r="AK666" s="164"/>
      <c r="AL666" s="164"/>
      <c r="AM666" s="164"/>
      <c r="AN666" s="164"/>
      <c r="AO666" s="164"/>
      <c r="AP666" s="164"/>
    </row>
    <row r="667">
      <c r="A667" s="167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  <c r="AE667" s="164"/>
      <c r="AF667" s="164"/>
      <c r="AG667" s="164"/>
      <c r="AH667" s="164"/>
      <c r="AI667" s="164"/>
      <c r="AJ667" s="164"/>
      <c r="AK667" s="164"/>
      <c r="AL667" s="164"/>
      <c r="AM667" s="164"/>
      <c r="AN667" s="164"/>
      <c r="AO667" s="164"/>
      <c r="AP667" s="164"/>
    </row>
    <row r="668">
      <c r="A668" s="167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  <c r="AE668" s="164"/>
      <c r="AF668" s="164"/>
      <c r="AG668" s="164"/>
      <c r="AH668" s="164"/>
      <c r="AI668" s="164"/>
      <c r="AJ668" s="164"/>
      <c r="AK668" s="164"/>
      <c r="AL668" s="164"/>
      <c r="AM668" s="164"/>
      <c r="AN668" s="164"/>
      <c r="AO668" s="164"/>
      <c r="AP668" s="164"/>
    </row>
    <row r="669">
      <c r="A669" s="167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  <c r="AE669" s="164"/>
      <c r="AF669" s="164"/>
      <c r="AG669" s="164"/>
      <c r="AH669" s="164"/>
      <c r="AI669" s="164"/>
      <c r="AJ669" s="164"/>
      <c r="AK669" s="164"/>
      <c r="AL669" s="164"/>
      <c r="AM669" s="164"/>
      <c r="AN669" s="164"/>
      <c r="AO669" s="164"/>
      <c r="AP669" s="164"/>
    </row>
    <row r="670">
      <c r="A670" s="167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  <c r="AG670" s="164"/>
      <c r="AH670" s="164"/>
      <c r="AI670" s="164"/>
      <c r="AJ670" s="164"/>
      <c r="AK670" s="164"/>
      <c r="AL670" s="164"/>
      <c r="AM670" s="164"/>
      <c r="AN670" s="164"/>
      <c r="AO670" s="164"/>
      <c r="AP670" s="164"/>
    </row>
    <row r="671">
      <c r="A671" s="167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  <c r="AE671" s="164"/>
      <c r="AF671" s="164"/>
      <c r="AG671" s="164"/>
      <c r="AH671" s="164"/>
      <c r="AI671" s="164"/>
      <c r="AJ671" s="164"/>
      <c r="AK671" s="164"/>
      <c r="AL671" s="164"/>
      <c r="AM671" s="164"/>
      <c r="AN671" s="164"/>
      <c r="AO671" s="164"/>
      <c r="AP671" s="164"/>
    </row>
    <row r="672">
      <c r="A672" s="167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  <c r="AE672" s="164"/>
      <c r="AF672" s="164"/>
      <c r="AG672" s="164"/>
      <c r="AH672" s="164"/>
      <c r="AI672" s="164"/>
      <c r="AJ672" s="164"/>
      <c r="AK672" s="164"/>
      <c r="AL672" s="164"/>
      <c r="AM672" s="164"/>
      <c r="AN672" s="164"/>
      <c r="AO672" s="164"/>
      <c r="AP672" s="164"/>
    </row>
    <row r="673">
      <c r="A673" s="167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  <c r="AE673" s="164"/>
      <c r="AF673" s="164"/>
      <c r="AG673" s="164"/>
      <c r="AH673" s="164"/>
      <c r="AI673" s="164"/>
      <c r="AJ673" s="164"/>
      <c r="AK673" s="164"/>
      <c r="AL673" s="164"/>
      <c r="AM673" s="164"/>
      <c r="AN673" s="164"/>
      <c r="AO673" s="164"/>
      <c r="AP673" s="164"/>
    </row>
    <row r="674">
      <c r="A674" s="167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  <c r="AE674" s="164"/>
      <c r="AF674" s="164"/>
      <c r="AG674" s="164"/>
      <c r="AH674" s="164"/>
      <c r="AI674" s="164"/>
      <c r="AJ674" s="164"/>
      <c r="AK674" s="164"/>
      <c r="AL674" s="164"/>
      <c r="AM674" s="164"/>
      <c r="AN674" s="164"/>
      <c r="AO674" s="164"/>
      <c r="AP674" s="164"/>
    </row>
    <row r="675">
      <c r="A675" s="167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  <c r="AE675" s="164"/>
      <c r="AF675" s="164"/>
      <c r="AG675" s="164"/>
      <c r="AH675" s="164"/>
      <c r="AI675" s="164"/>
      <c r="AJ675" s="164"/>
      <c r="AK675" s="164"/>
      <c r="AL675" s="164"/>
      <c r="AM675" s="164"/>
      <c r="AN675" s="164"/>
      <c r="AO675" s="164"/>
      <c r="AP675" s="164"/>
    </row>
    <row r="676">
      <c r="A676" s="167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  <c r="AE676" s="164"/>
      <c r="AF676" s="164"/>
      <c r="AG676" s="164"/>
      <c r="AH676" s="164"/>
      <c r="AI676" s="164"/>
      <c r="AJ676" s="164"/>
      <c r="AK676" s="164"/>
      <c r="AL676" s="164"/>
      <c r="AM676" s="164"/>
      <c r="AN676" s="164"/>
      <c r="AO676" s="164"/>
      <c r="AP676" s="164"/>
    </row>
    <row r="677">
      <c r="A677" s="167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  <c r="AE677" s="164"/>
      <c r="AF677" s="164"/>
      <c r="AG677" s="164"/>
      <c r="AH677" s="164"/>
      <c r="AI677" s="164"/>
      <c r="AJ677" s="164"/>
      <c r="AK677" s="164"/>
      <c r="AL677" s="164"/>
      <c r="AM677" s="164"/>
      <c r="AN677" s="164"/>
      <c r="AO677" s="164"/>
      <c r="AP677" s="164"/>
    </row>
    <row r="678">
      <c r="A678" s="167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  <c r="AE678" s="164"/>
      <c r="AF678" s="164"/>
      <c r="AG678" s="164"/>
      <c r="AH678" s="164"/>
      <c r="AI678" s="164"/>
      <c r="AJ678" s="164"/>
      <c r="AK678" s="164"/>
      <c r="AL678" s="164"/>
      <c r="AM678" s="164"/>
      <c r="AN678" s="164"/>
      <c r="AO678" s="164"/>
      <c r="AP678" s="164"/>
    </row>
    <row r="679">
      <c r="A679" s="167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  <c r="AE679" s="164"/>
      <c r="AF679" s="164"/>
      <c r="AG679" s="164"/>
      <c r="AH679" s="164"/>
      <c r="AI679" s="164"/>
      <c r="AJ679" s="164"/>
      <c r="AK679" s="164"/>
      <c r="AL679" s="164"/>
      <c r="AM679" s="164"/>
      <c r="AN679" s="164"/>
      <c r="AO679" s="164"/>
      <c r="AP679" s="164"/>
    </row>
    <row r="680">
      <c r="A680" s="167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  <c r="AE680" s="164"/>
      <c r="AF680" s="164"/>
      <c r="AG680" s="164"/>
      <c r="AH680" s="164"/>
      <c r="AI680" s="164"/>
      <c r="AJ680" s="164"/>
      <c r="AK680" s="164"/>
      <c r="AL680" s="164"/>
      <c r="AM680" s="164"/>
      <c r="AN680" s="164"/>
      <c r="AO680" s="164"/>
      <c r="AP680" s="164"/>
    </row>
    <row r="681">
      <c r="A681" s="167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  <c r="AE681" s="164"/>
      <c r="AF681" s="164"/>
      <c r="AG681" s="164"/>
      <c r="AH681" s="164"/>
      <c r="AI681" s="164"/>
      <c r="AJ681" s="164"/>
      <c r="AK681" s="164"/>
      <c r="AL681" s="164"/>
      <c r="AM681" s="164"/>
      <c r="AN681" s="164"/>
      <c r="AO681" s="164"/>
      <c r="AP681" s="164"/>
    </row>
    <row r="682">
      <c r="A682" s="167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  <c r="AE682" s="164"/>
      <c r="AF682" s="164"/>
      <c r="AG682" s="164"/>
      <c r="AH682" s="164"/>
      <c r="AI682" s="164"/>
      <c r="AJ682" s="164"/>
      <c r="AK682" s="164"/>
      <c r="AL682" s="164"/>
      <c r="AM682" s="164"/>
      <c r="AN682" s="164"/>
      <c r="AO682" s="164"/>
      <c r="AP682" s="164"/>
    </row>
    <row r="683">
      <c r="A683" s="167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  <c r="AE683" s="164"/>
      <c r="AF683" s="164"/>
      <c r="AG683" s="164"/>
      <c r="AH683" s="164"/>
      <c r="AI683" s="164"/>
      <c r="AJ683" s="164"/>
      <c r="AK683" s="164"/>
      <c r="AL683" s="164"/>
      <c r="AM683" s="164"/>
      <c r="AN683" s="164"/>
      <c r="AO683" s="164"/>
      <c r="AP683" s="164"/>
    </row>
    <row r="684">
      <c r="A684" s="167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  <c r="AE684" s="164"/>
      <c r="AF684" s="164"/>
      <c r="AG684" s="164"/>
      <c r="AH684" s="164"/>
      <c r="AI684" s="164"/>
      <c r="AJ684" s="164"/>
      <c r="AK684" s="164"/>
      <c r="AL684" s="164"/>
      <c r="AM684" s="164"/>
      <c r="AN684" s="164"/>
      <c r="AO684" s="164"/>
      <c r="AP684" s="164"/>
    </row>
    <row r="685">
      <c r="A685" s="167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  <c r="AE685" s="164"/>
      <c r="AF685" s="164"/>
      <c r="AG685" s="164"/>
      <c r="AH685" s="164"/>
      <c r="AI685" s="164"/>
      <c r="AJ685" s="164"/>
      <c r="AK685" s="164"/>
      <c r="AL685" s="164"/>
      <c r="AM685" s="164"/>
      <c r="AN685" s="164"/>
      <c r="AO685" s="164"/>
      <c r="AP685" s="164"/>
    </row>
    <row r="686">
      <c r="A686" s="167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  <c r="AE686" s="164"/>
      <c r="AF686" s="164"/>
      <c r="AG686" s="164"/>
      <c r="AH686" s="164"/>
      <c r="AI686" s="164"/>
      <c r="AJ686" s="164"/>
      <c r="AK686" s="164"/>
      <c r="AL686" s="164"/>
      <c r="AM686" s="164"/>
      <c r="AN686" s="164"/>
      <c r="AO686" s="164"/>
      <c r="AP686" s="164"/>
    </row>
    <row r="687">
      <c r="A687" s="167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  <c r="AE687" s="164"/>
      <c r="AF687" s="164"/>
      <c r="AG687" s="164"/>
      <c r="AH687" s="164"/>
      <c r="AI687" s="164"/>
      <c r="AJ687" s="164"/>
      <c r="AK687" s="164"/>
      <c r="AL687" s="164"/>
      <c r="AM687" s="164"/>
      <c r="AN687" s="164"/>
      <c r="AO687" s="164"/>
      <c r="AP687" s="164"/>
    </row>
    <row r="688">
      <c r="A688" s="167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  <c r="AE688" s="164"/>
      <c r="AF688" s="164"/>
      <c r="AG688" s="164"/>
      <c r="AH688" s="164"/>
      <c r="AI688" s="164"/>
      <c r="AJ688" s="164"/>
      <c r="AK688" s="164"/>
      <c r="AL688" s="164"/>
      <c r="AM688" s="164"/>
      <c r="AN688" s="164"/>
      <c r="AO688" s="164"/>
      <c r="AP688" s="164"/>
    </row>
    <row r="689">
      <c r="A689" s="167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  <c r="AE689" s="164"/>
      <c r="AF689" s="164"/>
      <c r="AG689" s="164"/>
      <c r="AH689" s="164"/>
      <c r="AI689" s="164"/>
      <c r="AJ689" s="164"/>
      <c r="AK689" s="164"/>
      <c r="AL689" s="164"/>
      <c r="AM689" s="164"/>
      <c r="AN689" s="164"/>
      <c r="AO689" s="164"/>
      <c r="AP689" s="164"/>
    </row>
    <row r="690">
      <c r="A690" s="167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  <c r="AE690" s="164"/>
      <c r="AF690" s="164"/>
      <c r="AG690" s="164"/>
      <c r="AH690" s="164"/>
      <c r="AI690" s="164"/>
      <c r="AJ690" s="164"/>
      <c r="AK690" s="164"/>
      <c r="AL690" s="164"/>
      <c r="AM690" s="164"/>
      <c r="AN690" s="164"/>
      <c r="AO690" s="164"/>
      <c r="AP690" s="164"/>
    </row>
    <row r="691">
      <c r="A691" s="167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  <c r="AE691" s="164"/>
      <c r="AF691" s="164"/>
      <c r="AG691" s="164"/>
      <c r="AH691" s="164"/>
      <c r="AI691" s="164"/>
      <c r="AJ691" s="164"/>
      <c r="AK691" s="164"/>
      <c r="AL691" s="164"/>
      <c r="AM691" s="164"/>
      <c r="AN691" s="164"/>
      <c r="AO691" s="164"/>
      <c r="AP691" s="164"/>
    </row>
    <row r="692">
      <c r="A692" s="167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  <c r="AG692" s="164"/>
      <c r="AH692" s="164"/>
      <c r="AI692" s="164"/>
      <c r="AJ692" s="164"/>
      <c r="AK692" s="164"/>
      <c r="AL692" s="164"/>
      <c r="AM692" s="164"/>
      <c r="AN692" s="164"/>
      <c r="AO692" s="164"/>
      <c r="AP692" s="164"/>
    </row>
    <row r="693">
      <c r="A693" s="167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  <c r="AE693" s="164"/>
      <c r="AF693" s="164"/>
      <c r="AG693" s="164"/>
      <c r="AH693" s="164"/>
      <c r="AI693" s="164"/>
      <c r="AJ693" s="164"/>
      <c r="AK693" s="164"/>
      <c r="AL693" s="164"/>
      <c r="AM693" s="164"/>
      <c r="AN693" s="164"/>
      <c r="AO693" s="164"/>
      <c r="AP693" s="164"/>
    </row>
    <row r="694">
      <c r="A694" s="167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  <c r="AG694" s="164"/>
      <c r="AH694" s="164"/>
      <c r="AI694" s="164"/>
      <c r="AJ694" s="164"/>
      <c r="AK694" s="164"/>
      <c r="AL694" s="164"/>
      <c r="AM694" s="164"/>
      <c r="AN694" s="164"/>
      <c r="AO694" s="164"/>
      <c r="AP694" s="164"/>
    </row>
    <row r="695">
      <c r="A695" s="167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4"/>
      <c r="AI695" s="164"/>
      <c r="AJ695" s="164"/>
      <c r="AK695" s="164"/>
      <c r="AL695" s="164"/>
      <c r="AM695" s="164"/>
      <c r="AN695" s="164"/>
      <c r="AO695" s="164"/>
      <c r="AP695" s="164"/>
    </row>
    <row r="696">
      <c r="A696" s="167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  <c r="AG696" s="164"/>
      <c r="AH696" s="164"/>
      <c r="AI696" s="164"/>
      <c r="AJ696" s="164"/>
      <c r="AK696" s="164"/>
      <c r="AL696" s="164"/>
      <c r="AM696" s="164"/>
      <c r="AN696" s="164"/>
      <c r="AO696" s="164"/>
      <c r="AP696" s="164"/>
    </row>
    <row r="697">
      <c r="A697" s="167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  <c r="AE697" s="164"/>
      <c r="AF697" s="164"/>
      <c r="AG697" s="164"/>
      <c r="AH697" s="164"/>
      <c r="AI697" s="164"/>
      <c r="AJ697" s="164"/>
      <c r="AK697" s="164"/>
      <c r="AL697" s="164"/>
      <c r="AM697" s="164"/>
      <c r="AN697" s="164"/>
      <c r="AO697" s="164"/>
      <c r="AP697" s="164"/>
    </row>
    <row r="698">
      <c r="A698" s="167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  <c r="AE698" s="164"/>
      <c r="AF698" s="164"/>
      <c r="AG698" s="164"/>
      <c r="AH698" s="164"/>
      <c r="AI698" s="164"/>
      <c r="AJ698" s="164"/>
      <c r="AK698" s="164"/>
      <c r="AL698" s="164"/>
      <c r="AM698" s="164"/>
      <c r="AN698" s="164"/>
      <c r="AO698" s="164"/>
      <c r="AP698" s="164"/>
    </row>
    <row r="699">
      <c r="A699" s="167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  <c r="AE699" s="164"/>
      <c r="AF699" s="164"/>
      <c r="AG699" s="164"/>
      <c r="AH699" s="164"/>
      <c r="AI699" s="164"/>
      <c r="AJ699" s="164"/>
      <c r="AK699" s="164"/>
      <c r="AL699" s="164"/>
      <c r="AM699" s="164"/>
      <c r="AN699" s="164"/>
      <c r="AO699" s="164"/>
      <c r="AP699" s="164"/>
    </row>
    <row r="700">
      <c r="A700" s="167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  <c r="AE700" s="164"/>
      <c r="AF700" s="164"/>
      <c r="AG700" s="164"/>
      <c r="AH700" s="164"/>
      <c r="AI700" s="164"/>
      <c r="AJ700" s="164"/>
      <c r="AK700" s="164"/>
      <c r="AL700" s="164"/>
      <c r="AM700" s="164"/>
      <c r="AN700" s="164"/>
      <c r="AO700" s="164"/>
      <c r="AP700" s="164"/>
    </row>
    <row r="701">
      <c r="A701" s="167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  <c r="AG701" s="164"/>
      <c r="AH701" s="164"/>
      <c r="AI701" s="164"/>
      <c r="AJ701" s="164"/>
      <c r="AK701" s="164"/>
      <c r="AL701" s="164"/>
      <c r="AM701" s="164"/>
      <c r="AN701" s="164"/>
      <c r="AO701" s="164"/>
      <c r="AP701" s="164"/>
    </row>
    <row r="702">
      <c r="A702" s="167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  <c r="AE702" s="164"/>
      <c r="AF702" s="164"/>
      <c r="AG702" s="164"/>
      <c r="AH702" s="164"/>
      <c r="AI702" s="164"/>
      <c r="AJ702" s="164"/>
      <c r="AK702" s="164"/>
      <c r="AL702" s="164"/>
      <c r="AM702" s="164"/>
      <c r="AN702" s="164"/>
      <c r="AO702" s="164"/>
      <c r="AP702" s="164"/>
    </row>
    <row r="703">
      <c r="A703" s="167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  <c r="AE703" s="164"/>
      <c r="AF703" s="164"/>
      <c r="AG703" s="164"/>
      <c r="AH703" s="164"/>
      <c r="AI703" s="164"/>
      <c r="AJ703" s="164"/>
      <c r="AK703" s="164"/>
      <c r="AL703" s="164"/>
      <c r="AM703" s="164"/>
      <c r="AN703" s="164"/>
      <c r="AO703" s="164"/>
      <c r="AP703" s="164"/>
    </row>
    <row r="704">
      <c r="A704" s="167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  <c r="AE704" s="164"/>
      <c r="AF704" s="164"/>
      <c r="AG704" s="164"/>
      <c r="AH704" s="164"/>
      <c r="AI704" s="164"/>
      <c r="AJ704" s="164"/>
      <c r="AK704" s="164"/>
      <c r="AL704" s="164"/>
      <c r="AM704" s="164"/>
      <c r="AN704" s="164"/>
      <c r="AO704" s="164"/>
      <c r="AP704" s="164"/>
    </row>
    <row r="705">
      <c r="A705" s="167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  <c r="AE705" s="164"/>
      <c r="AF705" s="164"/>
      <c r="AG705" s="164"/>
      <c r="AH705" s="164"/>
      <c r="AI705" s="164"/>
      <c r="AJ705" s="164"/>
      <c r="AK705" s="164"/>
      <c r="AL705" s="164"/>
      <c r="AM705" s="164"/>
      <c r="AN705" s="164"/>
      <c r="AO705" s="164"/>
      <c r="AP705" s="164"/>
    </row>
    <row r="706">
      <c r="A706" s="167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  <c r="AG706" s="164"/>
      <c r="AH706" s="164"/>
      <c r="AI706" s="164"/>
      <c r="AJ706" s="164"/>
      <c r="AK706" s="164"/>
      <c r="AL706" s="164"/>
      <c r="AM706" s="164"/>
      <c r="AN706" s="164"/>
      <c r="AO706" s="164"/>
      <c r="AP706" s="164"/>
    </row>
    <row r="707">
      <c r="A707" s="167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  <c r="AE707" s="164"/>
      <c r="AF707" s="164"/>
      <c r="AG707" s="164"/>
      <c r="AH707" s="164"/>
      <c r="AI707" s="164"/>
      <c r="AJ707" s="164"/>
      <c r="AK707" s="164"/>
      <c r="AL707" s="164"/>
      <c r="AM707" s="164"/>
      <c r="AN707" s="164"/>
      <c r="AO707" s="164"/>
      <c r="AP707" s="164"/>
    </row>
    <row r="708">
      <c r="A708" s="167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  <c r="AE708" s="164"/>
      <c r="AF708" s="164"/>
      <c r="AG708" s="164"/>
      <c r="AH708" s="164"/>
      <c r="AI708" s="164"/>
      <c r="AJ708" s="164"/>
      <c r="AK708" s="164"/>
      <c r="AL708" s="164"/>
      <c r="AM708" s="164"/>
      <c r="AN708" s="164"/>
      <c r="AO708" s="164"/>
      <c r="AP708" s="164"/>
    </row>
    <row r="709">
      <c r="A709" s="167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  <c r="AE709" s="164"/>
      <c r="AF709" s="164"/>
      <c r="AG709" s="164"/>
      <c r="AH709" s="164"/>
      <c r="AI709" s="164"/>
      <c r="AJ709" s="164"/>
      <c r="AK709" s="164"/>
      <c r="AL709" s="164"/>
      <c r="AM709" s="164"/>
      <c r="AN709" s="164"/>
      <c r="AO709" s="164"/>
      <c r="AP709" s="164"/>
    </row>
    <row r="710">
      <c r="A710" s="167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  <c r="AE710" s="164"/>
      <c r="AF710" s="164"/>
      <c r="AG710" s="164"/>
      <c r="AH710" s="164"/>
      <c r="AI710" s="164"/>
      <c r="AJ710" s="164"/>
      <c r="AK710" s="164"/>
      <c r="AL710" s="164"/>
      <c r="AM710" s="164"/>
      <c r="AN710" s="164"/>
      <c r="AO710" s="164"/>
      <c r="AP710" s="164"/>
    </row>
    <row r="711">
      <c r="A711" s="167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  <c r="AE711" s="164"/>
      <c r="AF711" s="164"/>
      <c r="AG711" s="164"/>
      <c r="AH711" s="164"/>
      <c r="AI711" s="164"/>
      <c r="AJ711" s="164"/>
      <c r="AK711" s="164"/>
      <c r="AL711" s="164"/>
      <c r="AM711" s="164"/>
      <c r="AN711" s="164"/>
      <c r="AO711" s="164"/>
      <c r="AP711" s="164"/>
    </row>
    <row r="712">
      <c r="A712" s="167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  <c r="AE712" s="164"/>
      <c r="AF712" s="164"/>
      <c r="AG712" s="164"/>
      <c r="AH712" s="164"/>
      <c r="AI712" s="164"/>
      <c r="AJ712" s="164"/>
      <c r="AK712" s="164"/>
      <c r="AL712" s="164"/>
      <c r="AM712" s="164"/>
      <c r="AN712" s="164"/>
      <c r="AO712" s="164"/>
      <c r="AP712" s="164"/>
    </row>
    <row r="713">
      <c r="A713" s="167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  <c r="AE713" s="164"/>
      <c r="AF713" s="164"/>
      <c r="AG713" s="164"/>
      <c r="AH713" s="164"/>
      <c r="AI713" s="164"/>
      <c r="AJ713" s="164"/>
      <c r="AK713" s="164"/>
      <c r="AL713" s="164"/>
      <c r="AM713" s="164"/>
      <c r="AN713" s="164"/>
      <c r="AO713" s="164"/>
      <c r="AP713" s="164"/>
    </row>
    <row r="714">
      <c r="A714" s="167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  <c r="AE714" s="164"/>
      <c r="AF714" s="164"/>
      <c r="AG714" s="164"/>
      <c r="AH714" s="164"/>
      <c r="AI714" s="164"/>
      <c r="AJ714" s="164"/>
      <c r="AK714" s="164"/>
      <c r="AL714" s="164"/>
      <c r="AM714" s="164"/>
      <c r="AN714" s="164"/>
      <c r="AO714" s="164"/>
      <c r="AP714" s="164"/>
    </row>
    <row r="715">
      <c r="A715" s="167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  <c r="AE715" s="164"/>
      <c r="AF715" s="164"/>
      <c r="AG715" s="164"/>
      <c r="AH715" s="164"/>
      <c r="AI715" s="164"/>
      <c r="AJ715" s="164"/>
      <c r="AK715" s="164"/>
      <c r="AL715" s="164"/>
      <c r="AM715" s="164"/>
      <c r="AN715" s="164"/>
      <c r="AO715" s="164"/>
      <c r="AP715" s="164"/>
    </row>
    <row r="716">
      <c r="A716" s="167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  <c r="AE716" s="164"/>
      <c r="AF716" s="164"/>
      <c r="AG716" s="164"/>
      <c r="AH716" s="164"/>
      <c r="AI716" s="164"/>
      <c r="AJ716" s="164"/>
      <c r="AK716" s="164"/>
      <c r="AL716" s="164"/>
      <c r="AM716" s="164"/>
      <c r="AN716" s="164"/>
      <c r="AO716" s="164"/>
      <c r="AP716" s="164"/>
    </row>
    <row r="717">
      <c r="A717" s="167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  <c r="AE717" s="164"/>
      <c r="AF717" s="164"/>
      <c r="AG717" s="164"/>
      <c r="AH717" s="164"/>
      <c r="AI717" s="164"/>
      <c r="AJ717" s="164"/>
      <c r="AK717" s="164"/>
      <c r="AL717" s="164"/>
      <c r="AM717" s="164"/>
      <c r="AN717" s="164"/>
      <c r="AO717" s="164"/>
      <c r="AP717" s="164"/>
    </row>
    <row r="718">
      <c r="A718" s="167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  <c r="AE718" s="164"/>
      <c r="AF718" s="164"/>
      <c r="AG718" s="164"/>
      <c r="AH718" s="164"/>
      <c r="AI718" s="164"/>
      <c r="AJ718" s="164"/>
      <c r="AK718" s="164"/>
      <c r="AL718" s="164"/>
      <c r="AM718" s="164"/>
      <c r="AN718" s="164"/>
      <c r="AO718" s="164"/>
      <c r="AP718" s="164"/>
    </row>
    <row r="719">
      <c r="A719" s="167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  <c r="AD719" s="164"/>
      <c r="AE719" s="164"/>
      <c r="AF719" s="164"/>
      <c r="AG719" s="164"/>
      <c r="AH719" s="164"/>
      <c r="AI719" s="164"/>
      <c r="AJ719" s="164"/>
      <c r="AK719" s="164"/>
      <c r="AL719" s="164"/>
      <c r="AM719" s="164"/>
      <c r="AN719" s="164"/>
      <c r="AO719" s="164"/>
      <c r="AP719" s="164"/>
    </row>
    <row r="720">
      <c r="A720" s="167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  <c r="AE720" s="164"/>
      <c r="AF720" s="164"/>
      <c r="AG720" s="164"/>
      <c r="AH720" s="164"/>
      <c r="AI720" s="164"/>
      <c r="AJ720" s="164"/>
      <c r="AK720" s="164"/>
      <c r="AL720" s="164"/>
      <c r="AM720" s="164"/>
      <c r="AN720" s="164"/>
      <c r="AO720" s="164"/>
      <c r="AP720" s="164"/>
    </row>
    <row r="721">
      <c r="A721" s="167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  <c r="AD721" s="164"/>
      <c r="AE721" s="164"/>
      <c r="AF721" s="164"/>
      <c r="AG721" s="164"/>
      <c r="AH721" s="164"/>
      <c r="AI721" s="164"/>
      <c r="AJ721" s="164"/>
      <c r="AK721" s="164"/>
      <c r="AL721" s="164"/>
      <c r="AM721" s="164"/>
      <c r="AN721" s="164"/>
      <c r="AO721" s="164"/>
      <c r="AP721" s="164"/>
    </row>
    <row r="722">
      <c r="A722" s="167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  <c r="AD722" s="164"/>
      <c r="AE722" s="164"/>
      <c r="AF722" s="164"/>
      <c r="AG722" s="164"/>
      <c r="AH722" s="164"/>
      <c r="AI722" s="164"/>
      <c r="AJ722" s="164"/>
      <c r="AK722" s="164"/>
      <c r="AL722" s="164"/>
      <c r="AM722" s="164"/>
      <c r="AN722" s="164"/>
      <c r="AO722" s="164"/>
      <c r="AP722" s="164"/>
    </row>
    <row r="723">
      <c r="A723" s="167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  <c r="AD723" s="164"/>
      <c r="AE723" s="164"/>
      <c r="AF723" s="164"/>
      <c r="AG723" s="164"/>
      <c r="AH723" s="164"/>
      <c r="AI723" s="164"/>
      <c r="AJ723" s="164"/>
      <c r="AK723" s="164"/>
      <c r="AL723" s="164"/>
      <c r="AM723" s="164"/>
      <c r="AN723" s="164"/>
      <c r="AO723" s="164"/>
      <c r="AP723" s="164"/>
    </row>
    <row r="724">
      <c r="A724" s="167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  <c r="AE724" s="164"/>
      <c r="AF724" s="164"/>
      <c r="AG724" s="164"/>
      <c r="AH724" s="164"/>
      <c r="AI724" s="164"/>
      <c r="AJ724" s="164"/>
      <c r="AK724" s="164"/>
      <c r="AL724" s="164"/>
      <c r="AM724" s="164"/>
      <c r="AN724" s="164"/>
      <c r="AO724" s="164"/>
      <c r="AP724" s="164"/>
    </row>
    <row r="725">
      <c r="A725" s="167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  <c r="AD725" s="164"/>
      <c r="AE725" s="164"/>
      <c r="AF725" s="164"/>
      <c r="AG725" s="164"/>
      <c r="AH725" s="164"/>
      <c r="AI725" s="164"/>
      <c r="AJ725" s="164"/>
      <c r="AK725" s="164"/>
      <c r="AL725" s="164"/>
      <c r="AM725" s="164"/>
      <c r="AN725" s="164"/>
      <c r="AO725" s="164"/>
      <c r="AP725" s="164"/>
    </row>
    <row r="726">
      <c r="A726" s="167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  <c r="AD726" s="164"/>
      <c r="AE726" s="164"/>
      <c r="AF726" s="164"/>
      <c r="AG726" s="164"/>
      <c r="AH726" s="164"/>
      <c r="AI726" s="164"/>
      <c r="AJ726" s="164"/>
      <c r="AK726" s="164"/>
      <c r="AL726" s="164"/>
      <c r="AM726" s="164"/>
      <c r="AN726" s="164"/>
      <c r="AO726" s="164"/>
      <c r="AP726" s="164"/>
    </row>
    <row r="727">
      <c r="A727" s="167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  <c r="AD727" s="164"/>
      <c r="AE727" s="164"/>
      <c r="AF727" s="164"/>
      <c r="AG727" s="164"/>
      <c r="AH727" s="164"/>
      <c r="AI727" s="164"/>
      <c r="AJ727" s="164"/>
      <c r="AK727" s="164"/>
      <c r="AL727" s="164"/>
      <c r="AM727" s="164"/>
      <c r="AN727" s="164"/>
      <c r="AO727" s="164"/>
      <c r="AP727" s="164"/>
    </row>
    <row r="728">
      <c r="A728" s="167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  <c r="AE728" s="164"/>
      <c r="AF728" s="164"/>
      <c r="AG728" s="164"/>
      <c r="AH728" s="164"/>
      <c r="AI728" s="164"/>
      <c r="AJ728" s="164"/>
      <c r="AK728" s="164"/>
      <c r="AL728" s="164"/>
      <c r="AM728" s="164"/>
      <c r="AN728" s="164"/>
      <c r="AO728" s="164"/>
      <c r="AP728" s="164"/>
    </row>
    <row r="729">
      <c r="A729" s="167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  <c r="AD729" s="164"/>
      <c r="AE729" s="164"/>
      <c r="AF729" s="164"/>
      <c r="AG729" s="164"/>
      <c r="AH729" s="164"/>
      <c r="AI729" s="164"/>
      <c r="AJ729" s="164"/>
      <c r="AK729" s="164"/>
      <c r="AL729" s="164"/>
      <c r="AM729" s="164"/>
      <c r="AN729" s="164"/>
      <c r="AO729" s="164"/>
      <c r="AP729" s="164"/>
    </row>
    <row r="730">
      <c r="A730" s="167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  <c r="AD730" s="164"/>
      <c r="AE730" s="164"/>
      <c r="AF730" s="164"/>
      <c r="AG730" s="164"/>
      <c r="AH730" s="164"/>
      <c r="AI730" s="164"/>
      <c r="AJ730" s="164"/>
      <c r="AK730" s="164"/>
      <c r="AL730" s="164"/>
      <c r="AM730" s="164"/>
      <c r="AN730" s="164"/>
      <c r="AO730" s="164"/>
      <c r="AP730" s="164"/>
    </row>
    <row r="731">
      <c r="A731" s="167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  <c r="AD731" s="164"/>
      <c r="AE731" s="164"/>
      <c r="AF731" s="164"/>
      <c r="AG731" s="164"/>
      <c r="AH731" s="164"/>
      <c r="AI731" s="164"/>
      <c r="AJ731" s="164"/>
      <c r="AK731" s="164"/>
      <c r="AL731" s="164"/>
      <c r="AM731" s="164"/>
      <c r="AN731" s="164"/>
      <c r="AO731" s="164"/>
      <c r="AP731" s="164"/>
    </row>
    <row r="732">
      <c r="A732" s="167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  <c r="AE732" s="164"/>
      <c r="AF732" s="164"/>
      <c r="AG732" s="164"/>
      <c r="AH732" s="164"/>
      <c r="AI732" s="164"/>
      <c r="AJ732" s="164"/>
      <c r="AK732" s="164"/>
      <c r="AL732" s="164"/>
      <c r="AM732" s="164"/>
      <c r="AN732" s="164"/>
      <c r="AO732" s="164"/>
      <c r="AP732" s="164"/>
    </row>
    <row r="733">
      <c r="A733" s="167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  <c r="AD733" s="164"/>
      <c r="AE733" s="164"/>
      <c r="AF733" s="164"/>
      <c r="AG733" s="164"/>
      <c r="AH733" s="164"/>
      <c r="AI733" s="164"/>
      <c r="AJ733" s="164"/>
      <c r="AK733" s="164"/>
      <c r="AL733" s="164"/>
      <c r="AM733" s="164"/>
      <c r="AN733" s="164"/>
      <c r="AO733" s="164"/>
      <c r="AP733" s="164"/>
    </row>
    <row r="734">
      <c r="A734" s="167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  <c r="AD734" s="164"/>
      <c r="AE734" s="164"/>
      <c r="AF734" s="164"/>
      <c r="AG734" s="164"/>
      <c r="AH734" s="164"/>
      <c r="AI734" s="164"/>
      <c r="AJ734" s="164"/>
      <c r="AK734" s="164"/>
      <c r="AL734" s="164"/>
      <c r="AM734" s="164"/>
      <c r="AN734" s="164"/>
      <c r="AO734" s="164"/>
      <c r="AP734" s="164"/>
    </row>
    <row r="735">
      <c r="A735" s="167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  <c r="AD735" s="164"/>
      <c r="AE735" s="164"/>
      <c r="AF735" s="164"/>
      <c r="AG735" s="164"/>
      <c r="AH735" s="164"/>
      <c r="AI735" s="164"/>
      <c r="AJ735" s="164"/>
      <c r="AK735" s="164"/>
      <c r="AL735" s="164"/>
      <c r="AM735" s="164"/>
      <c r="AN735" s="164"/>
      <c r="AO735" s="164"/>
      <c r="AP735" s="164"/>
    </row>
    <row r="736">
      <c r="A736" s="167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  <c r="AE736" s="164"/>
      <c r="AF736" s="164"/>
      <c r="AG736" s="164"/>
      <c r="AH736" s="164"/>
      <c r="AI736" s="164"/>
      <c r="AJ736" s="164"/>
      <c r="AK736" s="164"/>
      <c r="AL736" s="164"/>
      <c r="AM736" s="164"/>
      <c r="AN736" s="164"/>
      <c r="AO736" s="164"/>
      <c r="AP736" s="164"/>
    </row>
    <row r="737">
      <c r="A737" s="167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  <c r="AD737" s="164"/>
      <c r="AE737" s="164"/>
      <c r="AF737" s="164"/>
      <c r="AG737" s="164"/>
      <c r="AH737" s="164"/>
      <c r="AI737" s="164"/>
      <c r="AJ737" s="164"/>
      <c r="AK737" s="164"/>
      <c r="AL737" s="164"/>
      <c r="AM737" s="164"/>
      <c r="AN737" s="164"/>
      <c r="AO737" s="164"/>
      <c r="AP737" s="164"/>
    </row>
    <row r="738">
      <c r="A738" s="167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  <c r="AD738" s="164"/>
      <c r="AE738" s="164"/>
      <c r="AF738" s="164"/>
      <c r="AG738" s="164"/>
      <c r="AH738" s="164"/>
      <c r="AI738" s="164"/>
      <c r="AJ738" s="164"/>
      <c r="AK738" s="164"/>
      <c r="AL738" s="164"/>
      <c r="AM738" s="164"/>
      <c r="AN738" s="164"/>
      <c r="AO738" s="164"/>
      <c r="AP738" s="164"/>
    </row>
    <row r="739">
      <c r="A739" s="167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  <c r="AD739" s="164"/>
      <c r="AE739" s="164"/>
      <c r="AF739" s="164"/>
      <c r="AG739" s="164"/>
      <c r="AH739" s="164"/>
      <c r="AI739" s="164"/>
      <c r="AJ739" s="164"/>
      <c r="AK739" s="164"/>
      <c r="AL739" s="164"/>
      <c r="AM739" s="164"/>
      <c r="AN739" s="164"/>
      <c r="AO739" s="164"/>
      <c r="AP739" s="164"/>
    </row>
    <row r="740">
      <c r="A740" s="167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  <c r="AD740" s="164"/>
      <c r="AE740" s="164"/>
      <c r="AF740" s="164"/>
      <c r="AG740" s="164"/>
      <c r="AH740" s="164"/>
      <c r="AI740" s="164"/>
      <c r="AJ740" s="164"/>
      <c r="AK740" s="164"/>
      <c r="AL740" s="164"/>
      <c r="AM740" s="164"/>
      <c r="AN740" s="164"/>
      <c r="AO740" s="164"/>
      <c r="AP740" s="164"/>
    </row>
    <row r="741">
      <c r="A741" s="167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  <c r="AD741" s="164"/>
      <c r="AE741" s="164"/>
      <c r="AF741" s="164"/>
      <c r="AG741" s="164"/>
      <c r="AH741" s="164"/>
      <c r="AI741" s="164"/>
      <c r="AJ741" s="164"/>
      <c r="AK741" s="164"/>
      <c r="AL741" s="164"/>
      <c r="AM741" s="164"/>
      <c r="AN741" s="164"/>
      <c r="AO741" s="164"/>
      <c r="AP741" s="164"/>
    </row>
    <row r="742">
      <c r="A742" s="167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  <c r="AE742" s="164"/>
      <c r="AF742" s="164"/>
      <c r="AG742" s="164"/>
      <c r="AH742" s="164"/>
      <c r="AI742" s="164"/>
      <c r="AJ742" s="164"/>
      <c r="AK742" s="164"/>
      <c r="AL742" s="164"/>
      <c r="AM742" s="164"/>
      <c r="AN742" s="164"/>
      <c r="AO742" s="164"/>
      <c r="AP742" s="164"/>
    </row>
    <row r="743">
      <c r="A743" s="167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  <c r="AD743" s="164"/>
      <c r="AE743" s="164"/>
      <c r="AF743" s="164"/>
      <c r="AG743" s="164"/>
      <c r="AH743" s="164"/>
      <c r="AI743" s="164"/>
      <c r="AJ743" s="164"/>
      <c r="AK743" s="164"/>
      <c r="AL743" s="164"/>
      <c r="AM743" s="164"/>
      <c r="AN743" s="164"/>
      <c r="AO743" s="164"/>
      <c r="AP743" s="164"/>
    </row>
    <row r="744">
      <c r="A744" s="167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  <c r="AD744" s="164"/>
      <c r="AE744" s="164"/>
      <c r="AF744" s="164"/>
      <c r="AG744" s="164"/>
      <c r="AH744" s="164"/>
      <c r="AI744" s="164"/>
      <c r="AJ744" s="164"/>
      <c r="AK744" s="164"/>
      <c r="AL744" s="164"/>
      <c r="AM744" s="164"/>
      <c r="AN744" s="164"/>
      <c r="AO744" s="164"/>
      <c r="AP744" s="164"/>
    </row>
    <row r="745">
      <c r="A745" s="167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  <c r="AE745" s="164"/>
      <c r="AF745" s="164"/>
      <c r="AG745" s="164"/>
      <c r="AH745" s="164"/>
      <c r="AI745" s="164"/>
      <c r="AJ745" s="164"/>
      <c r="AK745" s="164"/>
      <c r="AL745" s="164"/>
      <c r="AM745" s="164"/>
      <c r="AN745" s="164"/>
      <c r="AO745" s="164"/>
      <c r="AP745" s="164"/>
    </row>
    <row r="746">
      <c r="A746" s="167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  <c r="AE746" s="164"/>
      <c r="AF746" s="164"/>
      <c r="AG746" s="164"/>
      <c r="AH746" s="164"/>
      <c r="AI746" s="164"/>
      <c r="AJ746" s="164"/>
      <c r="AK746" s="164"/>
      <c r="AL746" s="164"/>
      <c r="AM746" s="164"/>
      <c r="AN746" s="164"/>
      <c r="AO746" s="164"/>
      <c r="AP746" s="164"/>
    </row>
    <row r="747">
      <c r="A747" s="167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  <c r="AE747" s="164"/>
      <c r="AF747" s="164"/>
      <c r="AG747" s="164"/>
      <c r="AH747" s="164"/>
      <c r="AI747" s="164"/>
      <c r="AJ747" s="164"/>
      <c r="AK747" s="164"/>
      <c r="AL747" s="164"/>
      <c r="AM747" s="164"/>
      <c r="AN747" s="164"/>
      <c r="AO747" s="164"/>
      <c r="AP747" s="164"/>
    </row>
    <row r="748">
      <c r="A748" s="167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  <c r="AE748" s="164"/>
      <c r="AF748" s="164"/>
      <c r="AG748" s="164"/>
      <c r="AH748" s="164"/>
      <c r="AI748" s="164"/>
      <c r="AJ748" s="164"/>
      <c r="AK748" s="164"/>
      <c r="AL748" s="164"/>
      <c r="AM748" s="164"/>
      <c r="AN748" s="164"/>
      <c r="AO748" s="164"/>
      <c r="AP748" s="164"/>
    </row>
    <row r="749">
      <c r="A749" s="167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  <c r="AE749" s="164"/>
      <c r="AF749" s="164"/>
      <c r="AG749" s="164"/>
      <c r="AH749" s="164"/>
      <c r="AI749" s="164"/>
      <c r="AJ749" s="164"/>
      <c r="AK749" s="164"/>
      <c r="AL749" s="164"/>
      <c r="AM749" s="164"/>
      <c r="AN749" s="164"/>
      <c r="AO749" s="164"/>
      <c r="AP749" s="164"/>
    </row>
    <row r="750">
      <c r="A750" s="167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  <c r="AE750" s="164"/>
      <c r="AF750" s="164"/>
      <c r="AG750" s="164"/>
      <c r="AH750" s="164"/>
      <c r="AI750" s="164"/>
      <c r="AJ750" s="164"/>
      <c r="AK750" s="164"/>
      <c r="AL750" s="164"/>
      <c r="AM750" s="164"/>
      <c r="AN750" s="164"/>
      <c r="AO750" s="164"/>
      <c r="AP750" s="164"/>
    </row>
    <row r="751">
      <c r="A751" s="167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  <c r="AE751" s="164"/>
      <c r="AF751" s="164"/>
      <c r="AG751" s="164"/>
      <c r="AH751" s="164"/>
      <c r="AI751" s="164"/>
      <c r="AJ751" s="164"/>
      <c r="AK751" s="164"/>
      <c r="AL751" s="164"/>
      <c r="AM751" s="164"/>
      <c r="AN751" s="164"/>
      <c r="AO751" s="164"/>
      <c r="AP751" s="164"/>
    </row>
    <row r="752">
      <c r="A752" s="167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  <c r="AE752" s="164"/>
      <c r="AF752" s="164"/>
      <c r="AG752" s="164"/>
      <c r="AH752" s="164"/>
      <c r="AI752" s="164"/>
      <c r="AJ752" s="164"/>
      <c r="AK752" s="164"/>
      <c r="AL752" s="164"/>
      <c r="AM752" s="164"/>
      <c r="AN752" s="164"/>
      <c r="AO752" s="164"/>
      <c r="AP752" s="164"/>
    </row>
    <row r="753">
      <c r="A753" s="167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  <c r="AE753" s="164"/>
      <c r="AF753" s="164"/>
      <c r="AG753" s="164"/>
      <c r="AH753" s="164"/>
      <c r="AI753" s="164"/>
      <c r="AJ753" s="164"/>
      <c r="AK753" s="164"/>
      <c r="AL753" s="164"/>
      <c r="AM753" s="164"/>
      <c r="AN753" s="164"/>
      <c r="AO753" s="164"/>
      <c r="AP753" s="164"/>
    </row>
    <row r="754">
      <c r="A754" s="167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  <c r="AD754" s="164"/>
      <c r="AE754" s="164"/>
      <c r="AF754" s="164"/>
      <c r="AG754" s="164"/>
      <c r="AH754" s="164"/>
      <c r="AI754" s="164"/>
      <c r="AJ754" s="164"/>
      <c r="AK754" s="164"/>
      <c r="AL754" s="164"/>
      <c r="AM754" s="164"/>
      <c r="AN754" s="164"/>
      <c r="AO754" s="164"/>
      <c r="AP754" s="164"/>
    </row>
    <row r="755">
      <c r="A755" s="167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  <c r="AD755" s="164"/>
      <c r="AE755" s="164"/>
      <c r="AF755" s="164"/>
      <c r="AG755" s="164"/>
      <c r="AH755" s="164"/>
      <c r="AI755" s="164"/>
      <c r="AJ755" s="164"/>
      <c r="AK755" s="164"/>
      <c r="AL755" s="164"/>
      <c r="AM755" s="164"/>
      <c r="AN755" s="164"/>
      <c r="AO755" s="164"/>
      <c r="AP755" s="164"/>
    </row>
    <row r="756">
      <c r="A756" s="167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  <c r="AD756" s="164"/>
      <c r="AE756" s="164"/>
      <c r="AF756" s="164"/>
      <c r="AG756" s="164"/>
      <c r="AH756" s="164"/>
      <c r="AI756" s="164"/>
      <c r="AJ756" s="164"/>
      <c r="AK756" s="164"/>
      <c r="AL756" s="164"/>
      <c r="AM756" s="164"/>
      <c r="AN756" s="164"/>
      <c r="AO756" s="164"/>
      <c r="AP756" s="164"/>
    </row>
    <row r="757">
      <c r="A757" s="167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  <c r="AE757" s="164"/>
      <c r="AF757" s="164"/>
      <c r="AG757" s="164"/>
      <c r="AH757" s="164"/>
      <c r="AI757" s="164"/>
      <c r="AJ757" s="164"/>
      <c r="AK757" s="164"/>
      <c r="AL757" s="164"/>
      <c r="AM757" s="164"/>
      <c r="AN757" s="164"/>
      <c r="AO757" s="164"/>
      <c r="AP757" s="164"/>
    </row>
    <row r="758">
      <c r="A758" s="167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  <c r="AE758" s="164"/>
      <c r="AF758" s="164"/>
      <c r="AG758" s="164"/>
      <c r="AH758" s="164"/>
      <c r="AI758" s="164"/>
      <c r="AJ758" s="164"/>
      <c r="AK758" s="164"/>
      <c r="AL758" s="164"/>
      <c r="AM758" s="164"/>
      <c r="AN758" s="164"/>
      <c r="AO758" s="164"/>
      <c r="AP758" s="164"/>
    </row>
    <row r="759">
      <c r="A759" s="167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  <c r="AE759" s="164"/>
      <c r="AF759" s="164"/>
      <c r="AG759" s="164"/>
      <c r="AH759" s="164"/>
      <c r="AI759" s="164"/>
      <c r="AJ759" s="164"/>
      <c r="AK759" s="164"/>
      <c r="AL759" s="164"/>
      <c r="AM759" s="164"/>
      <c r="AN759" s="164"/>
      <c r="AO759" s="164"/>
      <c r="AP759" s="164"/>
    </row>
    <row r="760">
      <c r="A760" s="167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  <c r="AE760" s="164"/>
      <c r="AF760" s="164"/>
      <c r="AG760" s="164"/>
      <c r="AH760" s="164"/>
      <c r="AI760" s="164"/>
      <c r="AJ760" s="164"/>
      <c r="AK760" s="164"/>
      <c r="AL760" s="164"/>
      <c r="AM760" s="164"/>
      <c r="AN760" s="164"/>
      <c r="AO760" s="164"/>
      <c r="AP760" s="164"/>
    </row>
    <row r="761">
      <c r="A761" s="167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  <c r="AE761" s="164"/>
      <c r="AF761" s="164"/>
      <c r="AG761" s="164"/>
      <c r="AH761" s="164"/>
      <c r="AI761" s="164"/>
      <c r="AJ761" s="164"/>
      <c r="AK761" s="164"/>
      <c r="AL761" s="164"/>
      <c r="AM761" s="164"/>
      <c r="AN761" s="164"/>
      <c r="AO761" s="164"/>
      <c r="AP761" s="164"/>
    </row>
    <row r="762">
      <c r="A762" s="167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  <c r="AE762" s="164"/>
      <c r="AF762" s="164"/>
      <c r="AG762" s="164"/>
      <c r="AH762" s="164"/>
      <c r="AI762" s="164"/>
      <c r="AJ762" s="164"/>
      <c r="AK762" s="164"/>
      <c r="AL762" s="164"/>
      <c r="AM762" s="164"/>
      <c r="AN762" s="164"/>
      <c r="AO762" s="164"/>
      <c r="AP762" s="164"/>
    </row>
    <row r="763">
      <c r="A763" s="167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  <c r="AE763" s="164"/>
      <c r="AF763" s="164"/>
      <c r="AG763" s="164"/>
      <c r="AH763" s="164"/>
      <c r="AI763" s="164"/>
      <c r="AJ763" s="164"/>
      <c r="AK763" s="164"/>
      <c r="AL763" s="164"/>
      <c r="AM763" s="164"/>
      <c r="AN763" s="164"/>
      <c r="AO763" s="164"/>
      <c r="AP763" s="164"/>
    </row>
    <row r="764">
      <c r="A764" s="167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  <c r="AE764" s="164"/>
      <c r="AF764" s="164"/>
      <c r="AG764" s="164"/>
      <c r="AH764" s="164"/>
      <c r="AI764" s="164"/>
      <c r="AJ764" s="164"/>
      <c r="AK764" s="164"/>
      <c r="AL764" s="164"/>
      <c r="AM764" s="164"/>
      <c r="AN764" s="164"/>
      <c r="AO764" s="164"/>
      <c r="AP764" s="164"/>
    </row>
    <row r="765">
      <c r="A765" s="167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  <c r="AE765" s="164"/>
      <c r="AF765" s="164"/>
      <c r="AG765" s="164"/>
      <c r="AH765" s="164"/>
      <c r="AI765" s="164"/>
      <c r="AJ765" s="164"/>
      <c r="AK765" s="164"/>
      <c r="AL765" s="164"/>
      <c r="AM765" s="164"/>
      <c r="AN765" s="164"/>
      <c r="AO765" s="164"/>
      <c r="AP765" s="164"/>
    </row>
    <row r="766">
      <c r="A766" s="167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  <c r="AE766" s="164"/>
      <c r="AF766" s="164"/>
      <c r="AG766" s="164"/>
      <c r="AH766" s="164"/>
      <c r="AI766" s="164"/>
      <c r="AJ766" s="164"/>
      <c r="AK766" s="164"/>
      <c r="AL766" s="164"/>
      <c r="AM766" s="164"/>
      <c r="AN766" s="164"/>
      <c r="AO766" s="164"/>
      <c r="AP766" s="164"/>
    </row>
    <row r="767">
      <c r="A767" s="167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  <c r="AE767" s="164"/>
      <c r="AF767" s="164"/>
      <c r="AG767" s="164"/>
      <c r="AH767" s="164"/>
      <c r="AI767" s="164"/>
      <c r="AJ767" s="164"/>
      <c r="AK767" s="164"/>
      <c r="AL767" s="164"/>
      <c r="AM767" s="164"/>
      <c r="AN767" s="164"/>
      <c r="AO767" s="164"/>
      <c r="AP767" s="164"/>
    </row>
    <row r="768">
      <c r="A768" s="167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  <c r="AE768" s="164"/>
      <c r="AF768" s="164"/>
      <c r="AG768" s="164"/>
      <c r="AH768" s="164"/>
      <c r="AI768" s="164"/>
      <c r="AJ768" s="164"/>
      <c r="AK768" s="164"/>
      <c r="AL768" s="164"/>
      <c r="AM768" s="164"/>
      <c r="AN768" s="164"/>
      <c r="AO768" s="164"/>
      <c r="AP768" s="164"/>
    </row>
    <row r="769">
      <c r="A769" s="167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  <c r="AE769" s="164"/>
      <c r="AF769" s="164"/>
      <c r="AG769" s="164"/>
      <c r="AH769" s="164"/>
      <c r="AI769" s="164"/>
      <c r="AJ769" s="164"/>
      <c r="AK769" s="164"/>
      <c r="AL769" s="164"/>
      <c r="AM769" s="164"/>
      <c r="AN769" s="164"/>
      <c r="AO769" s="164"/>
      <c r="AP769" s="164"/>
    </row>
    <row r="770">
      <c r="A770" s="167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  <c r="AE770" s="164"/>
      <c r="AF770" s="164"/>
      <c r="AG770" s="164"/>
      <c r="AH770" s="164"/>
      <c r="AI770" s="164"/>
      <c r="AJ770" s="164"/>
      <c r="AK770" s="164"/>
      <c r="AL770" s="164"/>
      <c r="AM770" s="164"/>
      <c r="AN770" s="164"/>
      <c r="AO770" s="164"/>
      <c r="AP770" s="164"/>
    </row>
    <row r="771">
      <c r="A771" s="167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  <c r="AE771" s="164"/>
      <c r="AF771" s="164"/>
      <c r="AG771" s="164"/>
      <c r="AH771" s="164"/>
      <c r="AI771" s="164"/>
      <c r="AJ771" s="164"/>
      <c r="AK771" s="164"/>
      <c r="AL771" s="164"/>
      <c r="AM771" s="164"/>
      <c r="AN771" s="164"/>
      <c r="AO771" s="164"/>
      <c r="AP771" s="164"/>
    </row>
    <row r="772">
      <c r="A772" s="167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  <c r="AE772" s="164"/>
      <c r="AF772" s="164"/>
      <c r="AG772" s="164"/>
      <c r="AH772" s="164"/>
      <c r="AI772" s="164"/>
      <c r="AJ772" s="164"/>
      <c r="AK772" s="164"/>
      <c r="AL772" s="164"/>
      <c r="AM772" s="164"/>
      <c r="AN772" s="164"/>
      <c r="AO772" s="164"/>
      <c r="AP772" s="164"/>
    </row>
    <row r="773">
      <c r="A773" s="167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  <c r="AE773" s="164"/>
      <c r="AF773" s="164"/>
      <c r="AG773" s="164"/>
      <c r="AH773" s="164"/>
      <c r="AI773" s="164"/>
      <c r="AJ773" s="164"/>
      <c r="AK773" s="164"/>
      <c r="AL773" s="164"/>
      <c r="AM773" s="164"/>
      <c r="AN773" s="164"/>
      <c r="AO773" s="164"/>
      <c r="AP773" s="164"/>
    </row>
    <row r="774">
      <c r="A774" s="167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  <c r="AE774" s="164"/>
      <c r="AF774" s="164"/>
      <c r="AG774" s="164"/>
      <c r="AH774" s="164"/>
      <c r="AI774" s="164"/>
      <c r="AJ774" s="164"/>
      <c r="AK774" s="164"/>
      <c r="AL774" s="164"/>
      <c r="AM774" s="164"/>
      <c r="AN774" s="164"/>
      <c r="AO774" s="164"/>
      <c r="AP774" s="164"/>
    </row>
    <row r="775">
      <c r="A775" s="167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  <c r="AE775" s="164"/>
      <c r="AF775" s="164"/>
      <c r="AG775" s="164"/>
      <c r="AH775" s="164"/>
      <c r="AI775" s="164"/>
      <c r="AJ775" s="164"/>
      <c r="AK775" s="164"/>
      <c r="AL775" s="164"/>
      <c r="AM775" s="164"/>
      <c r="AN775" s="164"/>
      <c r="AO775" s="164"/>
      <c r="AP775" s="164"/>
    </row>
    <row r="776">
      <c r="A776" s="167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  <c r="AE776" s="164"/>
      <c r="AF776" s="164"/>
      <c r="AG776" s="164"/>
      <c r="AH776" s="164"/>
      <c r="AI776" s="164"/>
      <c r="AJ776" s="164"/>
      <c r="AK776" s="164"/>
      <c r="AL776" s="164"/>
      <c r="AM776" s="164"/>
      <c r="AN776" s="164"/>
      <c r="AO776" s="164"/>
      <c r="AP776" s="164"/>
    </row>
    <row r="777">
      <c r="A777" s="167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  <c r="AG777" s="164"/>
      <c r="AH777" s="164"/>
      <c r="AI777" s="164"/>
      <c r="AJ777" s="164"/>
      <c r="AK777" s="164"/>
      <c r="AL777" s="164"/>
      <c r="AM777" s="164"/>
      <c r="AN777" s="164"/>
      <c r="AO777" s="164"/>
      <c r="AP777" s="164"/>
    </row>
    <row r="778">
      <c r="A778" s="167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  <c r="AE778" s="164"/>
      <c r="AF778" s="164"/>
      <c r="AG778" s="164"/>
      <c r="AH778" s="164"/>
      <c r="AI778" s="164"/>
      <c r="AJ778" s="164"/>
      <c r="AK778" s="164"/>
      <c r="AL778" s="164"/>
      <c r="AM778" s="164"/>
      <c r="AN778" s="164"/>
      <c r="AO778" s="164"/>
      <c r="AP778" s="164"/>
    </row>
    <row r="779">
      <c r="A779" s="167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  <c r="AE779" s="164"/>
      <c r="AF779" s="164"/>
      <c r="AG779" s="164"/>
      <c r="AH779" s="164"/>
      <c r="AI779" s="164"/>
      <c r="AJ779" s="164"/>
      <c r="AK779" s="164"/>
      <c r="AL779" s="164"/>
      <c r="AM779" s="164"/>
      <c r="AN779" s="164"/>
      <c r="AO779" s="164"/>
      <c r="AP779" s="164"/>
    </row>
    <row r="780">
      <c r="A780" s="167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  <c r="AD780" s="164"/>
      <c r="AE780" s="164"/>
      <c r="AF780" s="164"/>
      <c r="AG780" s="164"/>
      <c r="AH780" s="164"/>
      <c r="AI780" s="164"/>
      <c r="AJ780" s="164"/>
      <c r="AK780" s="164"/>
      <c r="AL780" s="164"/>
      <c r="AM780" s="164"/>
      <c r="AN780" s="164"/>
      <c r="AO780" s="164"/>
      <c r="AP780" s="164"/>
    </row>
    <row r="781">
      <c r="A781" s="167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  <c r="AD781" s="164"/>
      <c r="AE781" s="164"/>
      <c r="AF781" s="164"/>
      <c r="AG781" s="164"/>
      <c r="AH781" s="164"/>
      <c r="AI781" s="164"/>
      <c r="AJ781" s="164"/>
      <c r="AK781" s="164"/>
      <c r="AL781" s="164"/>
      <c r="AM781" s="164"/>
      <c r="AN781" s="164"/>
      <c r="AO781" s="164"/>
      <c r="AP781" s="164"/>
    </row>
    <row r="782">
      <c r="A782" s="167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  <c r="AE782" s="164"/>
      <c r="AF782" s="164"/>
      <c r="AG782" s="164"/>
      <c r="AH782" s="164"/>
      <c r="AI782" s="164"/>
      <c r="AJ782" s="164"/>
      <c r="AK782" s="164"/>
      <c r="AL782" s="164"/>
      <c r="AM782" s="164"/>
      <c r="AN782" s="164"/>
      <c r="AO782" s="164"/>
      <c r="AP782" s="164"/>
    </row>
    <row r="783">
      <c r="A783" s="167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  <c r="AD783" s="164"/>
      <c r="AE783" s="164"/>
      <c r="AF783" s="164"/>
      <c r="AG783" s="164"/>
      <c r="AH783" s="164"/>
      <c r="AI783" s="164"/>
      <c r="AJ783" s="164"/>
      <c r="AK783" s="164"/>
      <c r="AL783" s="164"/>
      <c r="AM783" s="164"/>
      <c r="AN783" s="164"/>
      <c r="AO783" s="164"/>
      <c r="AP783" s="164"/>
    </row>
    <row r="784">
      <c r="A784" s="167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  <c r="AD784" s="164"/>
      <c r="AE784" s="164"/>
      <c r="AF784" s="164"/>
      <c r="AG784" s="164"/>
      <c r="AH784" s="164"/>
      <c r="AI784" s="164"/>
      <c r="AJ784" s="164"/>
      <c r="AK784" s="164"/>
      <c r="AL784" s="164"/>
      <c r="AM784" s="164"/>
      <c r="AN784" s="164"/>
      <c r="AO784" s="164"/>
      <c r="AP784" s="164"/>
    </row>
    <row r="785">
      <c r="A785" s="167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  <c r="AD785" s="164"/>
      <c r="AE785" s="164"/>
      <c r="AF785" s="164"/>
      <c r="AG785" s="164"/>
      <c r="AH785" s="164"/>
      <c r="AI785" s="164"/>
      <c r="AJ785" s="164"/>
      <c r="AK785" s="164"/>
      <c r="AL785" s="164"/>
      <c r="AM785" s="164"/>
      <c r="AN785" s="164"/>
      <c r="AO785" s="164"/>
      <c r="AP785" s="164"/>
    </row>
    <row r="786">
      <c r="A786" s="167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  <c r="AD786" s="164"/>
      <c r="AE786" s="164"/>
      <c r="AF786" s="164"/>
      <c r="AG786" s="164"/>
      <c r="AH786" s="164"/>
      <c r="AI786" s="164"/>
      <c r="AJ786" s="164"/>
      <c r="AK786" s="164"/>
      <c r="AL786" s="164"/>
      <c r="AM786" s="164"/>
      <c r="AN786" s="164"/>
      <c r="AO786" s="164"/>
      <c r="AP786" s="164"/>
    </row>
    <row r="787">
      <c r="A787" s="167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  <c r="AE787" s="164"/>
      <c r="AF787" s="164"/>
      <c r="AG787" s="164"/>
      <c r="AH787" s="164"/>
      <c r="AI787" s="164"/>
      <c r="AJ787" s="164"/>
      <c r="AK787" s="164"/>
      <c r="AL787" s="164"/>
      <c r="AM787" s="164"/>
      <c r="AN787" s="164"/>
      <c r="AO787" s="164"/>
      <c r="AP787" s="164"/>
    </row>
    <row r="788">
      <c r="A788" s="167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  <c r="AD788" s="164"/>
      <c r="AE788" s="164"/>
      <c r="AF788" s="164"/>
      <c r="AG788" s="164"/>
      <c r="AH788" s="164"/>
      <c r="AI788" s="164"/>
      <c r="AJ788" s="164"/>
      <c r="AK788" s="164"/>
      <c r="AL788" s="164"/>
      <c r="AM788" s="164"/>
      <c r="AN788" s="164"/>
      <c r="AO788" s="164"/>
      <c r="AP788" s="164"/>
    </row>
    <row r="789">
      <c r="A789" s="167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  <c r="AD789" s="164"/>
      <c r="AE789" s="164"/>
      <c r="AF789" s="164"/>
      <c r="AG789" s="164"/>
      <c r="AH789" s="164"/>
      <c r="AI789" s="164"/>
      <c r="AJ789" s="164"/>
      <c r="AK789" s="164"/>
      <c r="AL789" s="164"/>
      <c r="AM789" s="164"/>
      <c r="AN789" s="164"/>
      <c r="AO789" s="164"/>
      <c r="AP789" s="164"/>
    </row>
    <row r="790">
      <c r="A790" s="167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  <c r="AD790" s="164"/>
      <c r="AE790" s="164"/>
      <c r="AF790" s="164"/>
      <c r="AG790" s="164"/>
      <c r="AH790" s="164"/>
      <c r="AI790" s="164"/>
      <c r="AJ790" s="164"/>
      <c r="AK790" s="164"/>
      <c r="AL790" s="164"/>
      <c r="AM790" s="164"/>
      <c r="AN790" s="164"/>
      <c r="AO790" s="164"/>
      <c r="AP790" s="164"/>
    </row>
    <row r="791">
      <c r="A791" s="167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  <c r="AD791" s="164"/>
      <c r="AE791" s="164"/>
      <c r="AF791" s="164"/>
      <c r="AG791" s="164"/>
      <c r="AH791" s="164"/>
      <c r="AI791" s="164"/>
      <c r="AJ791" s="164"/>
      <c r="AK791" s="164"/>
      <c r="AL791" s="164"/>
      <c r="AM791" s="164"/>
      <c r="AN791" s="164"/>
      <c r="AO791" s="164"/>
      <c r="AP791" s="164"/>
    </row>
    <row r="792">
      <c r="A792" s="167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  <c r="AE792" s="164"/>
      <c r="AF792" s="164"/>
      <c r="AG792" s="164"/>
      <c r="AH792" s="164"/>
      <c r="AI792" s="164"/>
      <c r="AJ792" s="164"/>
      <c r="AK792" s="164"/>
      <c r="AL792" s="164"/>
      <c r="AM792" s="164"/>
      <c r="AN792" s="164"/>
      <c r="AO792" s="164"/>
      <c r="AP792" s="164"/>
    </row>
    <row r="793">
      <c r="A793" s="167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  <c r="AD793" s="164"/>
      <c r="AE793" s="164"/>
      <c r="AF793" s="164"/>
      <c r="AG793" s="164"/>
      <c r="AH793" s="164"/>
      <c r="AI793" s="164"/>
      <c r="AJ793" s="164"/>
      <c r="AK793" s="164"/>
      <c r="AL793" s="164"/>
      <c r="AM793" s="164"/>
      <c r="AN793" s="164"/>
      <c r="AO793" s="164"/>
      <c r="AP793" s="164"/>
    </row>
    <row r="794">
      <c r="A794" s="167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  <c r="AD794" s="164"/>
      <c r="AE794" s="164"/>
      <c r="AF794" s="164"/>
      <c r="AG794" s="164"/>
      <c r="AH794" s="164"/>
      <c r="AI794" s="164"/>
      <c r="AJ794" s="164"/>
      <c r="AK794" s="164"/>
      <c r="AL794" s="164"/>
      <c r="AM794" s="164"/>
      <c r="AN794" s="164"/>
      <c r="AO794" s="164"/>
      <c r="AP794" s="164"/>
    </row>
    <row r="795">
      <c r="A795" s="167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  <c r="AD795" s="164"/>
      <c r="AE795" s="164"/>
      <c r="AF795" s="164"/>
      <c r="AG795" s="164"/>
      <c r="AH795" s="164"/>
      <c r="AI795" s="164"/>
      <c r="AJ795" s="164"/>
      <c r="AK795" s="164"/>
      <c r="AL795" s="164"/>
      <c r="AM795" s="164"/>
      <c r="AN795" s="164"/>
      <c r="AO795" s="164"/>
      <c r="AP795" s="164"/>
    </row>
    <row r="796">
      <c r="A796" s="167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  <c r="AD796" s="164"/>
      <c r="AE796" s="164"/>
      <c r="AF796" s="164"/>
      <c r="AG796" s="164"/>
      <c r="AH796" s="164"/>
      <c r="AI796" s="164"/>
      <c r="AJ796" s="164"/>
      <c r="AK796" s="164"/>
      <c r="AL796" s="164"/>
      <c r="AM796" s="164"/>
      <c r="AN796" s="164"/>
      <c r="AO796" s="164"/>
      <c r="AP796" s="164"/>
    </row>
    <row r="797">
      <c r="A797" s="167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  <c r="AE797" s="164"/>
      <c r="AF797" s="164"/>
      <c r="AG797" s="164"/>
      <c r="AH797" s="164"/>
      <c r="AI797" s="164"/>
      <c r="AJ797" s="164"/>
      <c r="AK797" s="164"/>
      <c r="AL797" s="164"/>
      <c r="AM797" s="164"/>
      <c r="AN797" s="164"/>
      <c r="AO797" s="164"/>
      <c r="AP797" s="164"/>
    </row>
    <row r="798">
      <c r="A798" s="167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  <c r="AD798" s="164"/>
      <c r="AE798" s="164"/>
      <c r="AF798" s="164"/>
      <c r="AG798" s="164"/>
      <c r="AH798" s="164"/>
      <c r="AI798" s="164"/>
      <c r="AJ798" s="164"/>
      <c r="AK798" s="164"/>
      <c r="AL798" s="164"/>
      <c r="AM798" s="164"/>
      <c r="AN798" s="164"/>
      <c r="AO798" s="164"/>
      <c r="AP798" s="164"/>
    </row>
    <row r="799">
      <c r="A799" s="167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  <c r="AD799" s="164"/>
      <c r="AE799" s="164"/>
      <c r="AF799" s="164"/>
      <c r="AG799" s="164"/>
      <c r="AH799" s="164"/>
      <c r="AI799" s="164"/>
      <c r="AJ799" s="164"/>
      <c r="AK799" s="164"/>
      <c r="AL799" s="164"/>
      <c r="AM799" s="164"/>
      <c r="AN799" s="164"/>
      <c r="AO799" s="164"/>
      <c r="AP799" s="164"/>
    </row>
    <row r="800">
      <c r="A800" s="167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  <c r="AD800" s="164"/>
      <c r="AE800" s="164"/>
      <c r="AF800" s="164"/>
      <c r="AG800" s="164"/>
      <c r="AH800" s="164"/>
      <c r="AI800" s="164"/>
      <c r="AJ800" s="164"/>
      <c r="AK800" s="164"/>
      <c r="AL800" s="164"/>
      <c r="AM800" s="164"/>
      <c r="AN800" s="164"/>
      <c r="AO800" s="164"/>
      <c r="AP800" s="164"/>
    </row>
    <row r="801">
      <c r="A801" s="167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  <c r="AD801" s="164"/>
      <c r="AE801" s="164"/>
      <c r="AF801" s="164"/>
      <c r="AG801" s="164"/>
      <c r="AH801" s="164"/>
      <c r="AI801" s="164"/>
      <c r="AJ801" s="164"/>
      <c r="AK801" s="164"/>
      <c r="AL801" s="164"/>
      <c r="AM801" s="164"/>
      <c r="AN801" s="164"/>
      <c r="AO801" s="164"/>
      <c r="AP801" s="164"/>
    </row>
    <row r="802">
      <c r="A802" s="167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  <c r="AD802" s="164"/>
      <c r="AE802" s="164"/>
      <c r="AF802" s="164"/>
      <c r="AG802" s="164"/>
      <c r="AH802" s="164"/>
      <c r="AI802" s="164"/>
      <c r="AJ802" s="164"/>
      <c r="AK802" s="164"/>
      <c r="AL802" s="164"/>
      <c r="AM802" s="164"/>
      <c r="AN802" s="164"/>
      <c r="AO802" s="164"/>
      <c r="AP802" s="164"/>
    </row>
    <row r="803">
      <c r="A803" s="167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  <c r="AD803" s="164"/>
      <c r="AE803" s="164"/>
      <c r="AF803" s="164"/>
      <c r="AG803" s="164"/>
      <c r="AH803" s="164"/>
      <c r="AI803" s="164"/>
      <c r="AJ803" s="164"/>
      <c r="AK803" s="164"/>
      <c r="AL803" s="164"/>
      <c r="AM803" s="164"/>
      <c r="AN803" s="164"/>
      <c r="AO803" s="164"/>
      <c r="AP803" s="164"/>
    </row>
    <row r="804">
      <c r="A804" s="167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  <c r="AD804" s="164"/>
      <c r="AE804" s="164"/>
      <c r="AF804" s="164"/>
      <c r="AG804" s="164"/>
      <c r="AH804" s="164"/>
      <c r="AI804" s="164"/>
      <c r="AJ804" s="164"/>
      <c r="AK804" s="164"/>
      <c r="AL804" s="164"/>
      <c r="AM804" s="164"/>
      <c r="AN804" s="164"/>
      <c r="AO804" s="164"/>
      <c r="AP804" s="164"/>
    </row>
    <row r="805">
      <c r="A805" s="167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  <c r="AD805" s="164"/>
      <c r="AE805" s="164"/>
      <c r="AF805" s="164"/>
      <c r="AG805" s="164"/>
      <c r="AH805" s="164"/>
      <c r="AI805" s="164"/>
      <c r="AJ805" s="164"/>
      <c r="AK805" s="164"/>
      <c r="AL805" s="164"/>
      <c r="AM805" s="164"/>
      <c r="AN805" s="164"/>
      <c r="AO805" s="164"/>
      <c r="AP805" s="164"/>
    </row>
    <row r="806">
      <c r="A806" s="167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  <c r="AD806" s="164"/>
      <c r="AE806" s="164"/>
      <c r="AF806" s="164"/>
      <c r="AG806" s="164"/>
      <c r="AH806" s="164"/>
      <c r="AI806" s="164"/>
      <c r="AJ806" s="164"/>
      <c r="AK806" s="164"/>
      <c r="AL806" s="164"/>
      <c r="AM806" s="164"/>
      <c r="AN806" s="164"/>
      <c r="AO806" s="164"/>
      <c r="AP806" s="164"/>
    </row>
    <row r="807">
      <c r="A807" s="167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  <c r="AD807" s="164"/>
      <c r="AE807" s="164"/>
      <c r="AF807" s="164"/>
      <c r="AG807" s="164"/>
      <c r="AH807" s="164"/>
      <c r="AI807" s="164"/>
      <c r="AJ807" s="164"/>
      <c r="AK807" s="164"/>
      <c r="AL807" s="164"/>
      <c r="AM807" s="164"/>
      <c r="AN807" s="164"/>
      <c r="AO807" s="164"/>
      <c r="AP807" s="164"/>
    </row>
    <row r="808">
      <c r="A808" s="167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  <c r="AD808" s="164"/>
      <c r="AE808" s="164"/>
      <c r="AF808" s="164"/>
      <c r="AG808" s="164"/>
      <c r="AH808" s="164"/>
      <c r="AI808" s="164"/>
      <c r="AJ808" s="164"/>
      <c r="AK808" s="164"/>
      <c r="AL808" s="164"/>
      <c r="AM808" s="164"/>
      <c r="AN808" s="164"/>
      <c r="AO808" s="164"/>
      <c r="AP808" s="164"/>
    </row>
    <row r="809">
      <c r="A809" s="167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  <c r="AD809" s="164"/>
      <c r="AE809" s="164"/>
      <c r="AF809" s="164"/>
      <c r="AG809" s="164"/>
      <c r="AH809" s="164"/>
      <c r="AI809" s="164"/>
      <c r="AJ809" s="164"/>
      <c r="AK809" s="164"/>
      <c r="AL809" s="164"/>
      <c r="AM809" s="164"/>
      <c r="AN809" s="164"/>
      <c r="AO809" s="164"/>
      <c r="AP809" s="164"/>
    </row>
    <row r="810">
      <c r="A810" s="167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  <c r="AD810" s="164"/>
      <c r="AE810" s="164"/>
      <c r="AF810" s="164"/>
      <c r="AG810" s="164"/>
      <c r="AH810" s="164"/>
      <c r="AI810" s="164"/>
      <c r="AJ810" s="164"/>
      <c r="AK810" s="164"/>
      <c r="AL810" s="164"/>
      <c r="AM810" s="164"/>
      <c r="AN810" s="164"/>
      <c r="AO810" s="164"/>
      <c r="AP810" s="164"/>
    </row>
    <row r="811">
      <c r="A811" s="167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  <c r="AD811" s="164"/>
      <c r="AE811" s="164"/>
      <c r="AF811" s="164"/>
      <c r="AG811" s="164"/>
      <c r="AH811" s="164"/>
      <c r="AI811" s="164"/>
      <c r="AJ811" s="164"/>
      <c r="AK811" s="164"/>
      <c r="AL811" s="164"/>
      <c r="AM811" s="164"/>
      <c r="AN811" s="164"/>
      <c r="AO811" s="164"/>
      <c r="AP811" s="164"/>
    </row>
    <row r="812">
      <c r="A812" s="167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  <c r="AD812" s="164"/>
      <c r="AE812" s="164"/>
      <c r="AF812" s="164"/>
      <c r="AG812" s="164"/>
      <c r="AH812" s="164"/>
      <c r="AI812" s="164"/>
      <c r="AJ812" s="164"/>
      <c r="AK812" s="164"/>
      <c r="AL812" s="164"/>
      <c r="AM812" s="164"/>
      <c r="AN812" s="164"/>
      <c r="AO812" s="164"/>
      <c r="AP812" s="164"/>
    </row>
    <row r="813">
      <c r="A813" s="167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  <c r="AE813" s="164"/>
      <c r="AF813" s="164"/>
      <c r="AG813" s="164"/>
      <c r="AH813" s="164"/>
      <c r="AI813" s="164"/>
      <c r="AJ813" s="164"/>
      <c r="AK813" s="164"/>
      <c r="AL813" s="164"/>
      <c r="AM813" s="164"/>
      <c r="AN813" s="164"/>
      <c r="AO813" s="164"/>
      <c r="AP813" s="164"/>
    </row>
    <row r="814">
      <c r="A814" s="167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  <c r="AD814" s="164"/>
      <c r="AE814" s="164"/>
      <c r="AF814" s="164"/>
      <c r="AG814" s="164"/>
      <c r="AH814" s="164"/>
      <c r="AI814" s="164"/>
      <c r="AJ814" s="164"/>
      <c r="AK814" s="164"/>
      <c r="AL814" s="164"/>
      <c r="AM814" s="164"/>
      <c r="AN814" s="164"/>
      <c r="AO814" s="164"/>
      <c r="AP814" s="164"/>
    </row>
    <row r="815">
      <c r="A815" s="167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  <c r="AD815" s="164"/>
      <c r="AE815" s="164"/>
      <c r="AF815" s="164"/>
      <c r="AG815" s="164"/>
      <c r="AH815" s="164"/>
      <c r="AI815" s="164"/>
      <c r="AJ815" s="164"/>
      <c r="AK815" s="164"/>
      <c r="AL815" s="164"/>
      <c r="AM815" s="164"/>
      <c r="AN815" s="164"/>
      <c r="AO815" s="164"/>
      <c r="AP815" s="164"/>
    </row>
    <row r="816">
      <c r="A816" s="167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  <c r="AD816" s="164"/>
      <c r="AE816" s="164"/>
      <c r="AF816" s="164"/>
      <c r="AG816" s="164"/>
      <c r="AH816" s="164"/>
      <c r="AI816" s="164"/>
      <c r="AJ816" s="164"/>
      <c r="AK816" s="164"/>
      <c r="AL816" s="164"/>
      <c r="AM816" s="164"/>
      <c r="AN816" s="164"/>
      <c r="AO816" s="164"/>
      <c r="AP816" s="164"/>
    </row>
    <row r="817">
      <c r="A817" s="167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  <c r="AD817" s="164"/>
      <c r="AE817" s="164"/>
      <c r="AF817" s="164"/>
      <c r="AG817" s="164"/>
      <c r="AH817" s="164"/>
      <c r="AI817" s="164"/>
      <c r="AJ817" s="164"/>
      <c r="AK817" s="164"/>
      <c r="AL817" s="164"/>
      <c r="AM817" s="164"/>
      <c r="AN817" s="164"/>
      <c r="AO817" s="164"/>
      <c r="AP817" s="164"/>
    </row>
    <row r="818">
      <c r="A818" s="167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  <c r="AD818" s="164"/>
      <c r="AE818" s="164"/>
      <c r="AF818" s="164"/>
      <c r="AG818" s="164"/>
      <c r="AH818" s="164"/>
      <c r="AI818" s="164"/>
      <c r="AJ818" s="164"/>
      <c r="AK818" s="164"/>
      <c r="AL818" s="164"/>
      <c r="AM818" s="164"/>
      <c r="AN818" s="164"/>
      <c r="AO818" s="164"/>
      <c r="AP818" s="164"/>
    </row>
    <row r="819">
      <c r="A819" s="167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  <c r="AD819" s="164"/>
      <c r="AE819" s="164"/>
      <c r="AF819" s="164"/>
      <c r="AG819" s="164"/>
      <c r="AH819" s="164"/>
      <c r="AI819" s="164"/>
      <c r="AJ819" s="164"/>
      <c r="AK819" s="164"/>
      <c r="AL819" s="164"/>
      <c r="AM819" s="164"/>
      <c r="AN819" s="164"/>
      <c r="AO819" s="164"/>
      <c r="AP819" s="164"/>
    </row>
    <row r="820">
      <c r="A820" s="167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  <c r="AD820" s="164"/>
      <c r="AE820" s="164"/>
      <c r="AF820" s="164"/>
      <c r="AG820" s="164"/>
      <c r="AH820" s="164"/>
      <c r="AI820" s="164"/>
      <c r="AJ820" s="164"/>
      <c r="AK820" s="164"/>
      <c r="AL820" s="164"/>
      <c r="AM820" s="164"/>
      <c r="AN820" s="164"/>
      <c r="AO820" s="164"/>
      <c r="AP820" s="164"/>
    </row>
    <row r="821">
      <c r="A821" s="167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  <c r="AD821" s="164"/>
      <c r="AE821" s="164"/>
      <c r="AF821" s="164"/>
      <c r="AG821" s="164"/>
      <c r="AH821" s="164"/>
      <c r="AI821" s="164"/>
      <c r="AJ821" s="164"/>
      <c r="AK821" s="164"/>
      <c r="AL821" s="164"/>
      <c r="AM821" s="164"/>
      <c r="AN821" s="164"/>
      <c r="AO821" s="164"/>
      <c r="AP821" s="164"/>
    </row>
    <row r="822">
      <c r="A822" s="167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  <c r="AD822" s="164"/>
      <c r="AE822" s="164"/>
      <c r="AF822" s="164"/>
      <c r="AG822" s="164"/>
      <c r="AH822" s="164"/>
      <c r="AI822" s="164"/>
      <c r="AJ822" s="164"/>
      <c r="AK822" s="164"/>
      <c r="AL822" s="164"/>
      <c r="AM822" s="164"/>
      <c r="AN822" s="164"/>
      <c r="AO822" s="164"/>
      <c r="AP822" s="164"/>
    </row>
    <row r="823">
      <c r="A823" s="167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  <c r="AD823" s="164"/>
      <c r="AE823" s="164"/>
      <c r="AF823" s="164"/>
      <c r="AG823" s="164"/>
      <c r="AH823" s="164"/>
      <c r="AI823" s="164"/>
      <c r="AJ823" s="164"/>
      <c r="AK823" s="164"/>
      <c r="AL823" s="164"/>
      <c r="AM823" s="164"/>
      <c r="AN823" s="164"/>
      <c r="AO823" s="164"/>
      <c r="AP823" s="164"/>
    </row>
    <row r="824">
      <c r="A824" s="167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  <c r="AD824" s="164"/>
      <c r="AE824" s="164"/>
      <c r="AF824" s="164"/>
      <c r="AG824" s="164"/>
      <c r="AH824" s="164"/>
      <c r="AI824" s="164"/>
      <c r="AJ824" s="164"/>
      <c r="AK824" s="164"/>
      <c r="AL824" s="164"/>
      <c r="AM824" s="164"/>
      <c r="AN824" s="164"/>
      <c r="AO824" s="164"/>
      <c r="AP824" s="164"/>
    </row>
    <row r="825">
      <c r="A825" s="167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  <c r="AD825" s="164"/>
      <c r="AE825" s="164"/>
      <c r="AF825" s="164"/>
      <c r="AG825" s="164"/>
      <c r="AH825" s="164"/>
      <c r="AI825" s="164"/>
      <c r="AJ825" s="164"/>
      <c r="AK825" s="164"/>
      <c r="AL825" s="164"/>
      <c r="AM825" s="164"/>
      <c r="AN825" s="164"/>
      <c r="AO825" s="164"/>
      <c r="AP825" s="164"/>
    </row>
    <row r="826">
      <c r="A826" s="167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  <c r="AD826" s="164"/>
      <c r="AE826" s="164"/>
      <c r="AF826" s="164"/>
      <c r="AG826" s="164"/>
      <c r="AH826" s="164"/>
      <c r="AI826" s="164"/>
      <c r="AJ826" s="164"/>
      <c r="AK826" s="164"/>
      <c r="AL826" s="164"/>
      <c r="AM826" s="164"/>
      <c r="AN826" s="164"/>
      <c r="AO826" s="164"/>
      <c r="AP826" s="164"/>
    </row>
    <row r="827">
      <c r="A827" s="167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  <c r="AD827" s="164"/>
      <c r="AE827" s="164"/>
      <c r="AF827" s="164"/>
      <c r="AG827" s="164"/>
      <c r="AH827" s="164"/>
      <c r="AI827" s="164"/>
      <c r="AJ827" s="164"/>
      <c r="AK827" s="164"/>
      <c r="AL827" s="164"/>
      <c r="AM827" s="164"/>
      <c r="AN827" s="164"/>
      <c r="AO827" s="164"/>
      <c r="AP827" s="164"/>
    </row>
    <row r="828">
      <c r="A828" s="167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  <c r="AD828" s="164"/>
      <c r="AE828" s="164"/>
      <c r="AF828" s="164"/>
      <c r="AG828" s="164"/>
      <c r="AH828" s="164"/>
      <c r="AI828" s="164"/>
      <c r="AJ828" s="164"/>
      <c r="AK828" s="164"/>
      <c r="AL828" s="164"/>
      <c r="AM828" s="164"/>
      <c r="AN828" s="164"/>
      <c r="AO828" s="164"/>
      <c r="AP828" s="164"/>
    </row>
    <row r="829">
      <c r="A829" s="167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  <c r="AD829" s="164"/>
      <c r="AE829" s="164"/>
      <c r="AF829" s="164"/>
      <c r="AG829" s="164"/>
      <c r="AH829" s="164"/>
      <c r="AI829" s="164"/>
      <c r="AJ829" s="164"/>
      <c r="AK829" s="164"/>
      <c r="AL829" s="164"/>
      <c r="AM829" s="164"/>
      <c r="AN829" s="164"/>
      <c r="AO829" s="164"/>
      <c r="AP829" s="164"/>
    </row>
    <row r="830">
      <c r="A830" s="167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  <c r="AD830" s="164"/>
      <c r="AE830" s="164"/>
      <c r="AF830" s="164"/>
      <c r="AG830" s="164"/>
      <c r="AH830" s="164"/>
      <c r="AI830" s="164"/>
      <c r="AJ830" s="164"/>
      <c r="AK830" s="164"/>
      <c r="AL830" s="164"/>
      <c r="AM830" s="164"/>
      <c r="AN830" s="164"/>
      <c r="AO830" s="164"/>
      <c r="AP830" s="164"/>
    </row>
    <row r="831">
      <c r="A831" s="167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  <c r="AD831" s="164"/>
      <c r="AE831" s="164"/>
      <c r="AF831" s="164"/>
      <c r="AG831" s="164"/>
      <c r="AH831" s="164"/>
      <c r="AI831" s="164"/>
      <c r="AJ831" s="164"/>
      <c r="AK831" s="164"/>
      <c r="AL831" s="164"/>
      <c r="AM831" s="164"/>
      <c r="AN831" s="164"/>
      <c r="AO831" s="164"/>
      <c r="AP831" s="164"/>
    </row>
    <row r="832">
      <c r="A832" s="167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  <c r="AD832" s="164"/>
      <c r="AE832" s="164"/>
      <c r="AF832" s="164"/>
      <c r="AG832" s="164"/>
      <c r="AH832" s="164"/>
      <c r="AI832" s="164"/>
      <c r="AJ832" s="164"/>
      <c r="AK832" s="164"/>
      <c r="AL832" s="164"/>
      <c r="AM832" s="164"/>
      <c r="AN832" s="164"/>
      <c r="AO832" s="164"/>
      <c r="AP832" s="164"/>
    </row>
    <row r="833">
      <c r="A833" s="167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  <c r="AE833" s="164"/>
      <c r="AF833" s="164"/>
      <c r="AG833" s="164"/>
      <c r="AH833" s="164"/>
      <c r="AI833" s="164"/>
      <c r="AJ833" s="164"/>
      <c r="AK833" s="164"/>
      <c r="AL833" s="164"/>
      <c r="AM833" s="164"/>
      <c r="AN833" s="164"/>
      <c r="AO833" s="164"/>
      <c r="AP833" s="164"/>
    </row>
    <row r="834">
      <c r="A834" s="167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  <c r="AD834" s="164"/>
      <c r="AE834" s="164"/>
      <c r="AF834" s="164"/>
      <c r="AG834" s="164"/>
      <c r="AH834" s="164"/>
      <c r="AI834" s="164"/>
      <c r="AJ834" s="164"/>
      <c r="AK834" s="164"/>
      <c r="AL834" s="164"/>
      <c r="AM834" s="164"/>
      <c r="AN834" s="164"/>
      <c r="AO834" s="164"/>
      <c r="AP834" s="164"/>
    </row>
    <row r="835">
      <c r="A835" s="167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  <c r="AD835" s="164"/>
      <c r="AE835" s="164"/>
      <c r="AF835" s="164"/>
      <c r="AG835" s="164"/>
      <c r="AH835" s="164"/>
      <c r="AI835" s="164"/>
      <c r="AJ835" s="164"/>
      <c r="AK835" s="164"/>
      <c r="AL835" s="164"/>
      <c r="AM835" s="164"/>
      <c r="AN835" s="164"/>
      <c r="AO835" s="164"/>
      <c r="AP835" s="164"/>
    </row>
    <row r="836">
      <c r="A836" s="167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  <c r="AD836" s="164"/>
      <c r="AE836" s="164"/>
      <c r="AF836" s="164"/>
      <c r="AG836" s="164"/>
      <c r="AH836" s="164"/>
      <c r="AI836" s="164"/>
      <c r="AJ836" s="164"/>
      <c r="AK836" s="164"/>
      <c r="AL836" s="164"/>
      <c r="AM836" s="164"/>
      <c r="AN836" s="164"/>
      <c r="AO836" s="164"/>
      <c r="AP836" s="164"/>
    </row>
    <row r="837">
      <c r="A837" s="167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  <c r="AD837" s="164"/>
      <c r="AE837" s="164"/>
      <c r="AF837" s="164"/>
      <c r="AG837" s="164"/>
      <c r="AH837" s="164"/>
      <c r="AI837" s="164"/>
      <c r="AJ837" s="164"/>
      <c r="AK837" s="164"/>
      <c r="AL837" s="164"/>
      <c r="AM837" s="164"/>
      <c r="AN837" s="164"/>
      <c r="AO837" s="164"/>
      <c r="AP837" s="164"/>
    </row>
    <row r="838">
      <c r="A838" s="167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  <c r="AD838" s="164"/>
      <c r="AE838" s="164"/>
      <c r="AF838" s="164"/>
      <c r="AG838" s="164"/>
      <c r="AH838" s="164"/>
      <c r="AI838" s="164"/>
      <c r="AJ838" s="164"/>
      <c r="AK838" s="164"/>
      <c r="AL838" s="164"/>
      <c r="AM838" s="164"/>
      <c r="AN838" s="164"/>
      <c r="AO838" s="164"/>
      <c r="AP838" s="164"/>
    </row>
    <row r="839">
      <c r="A839" s="167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  <c r="AD839" s="164"/>
      <c r="AE839" s="164"/>
      <c r="AF839" s="164"/>
      <c r="AG839" s="164"/>
      <c r="AH839" s="164"/>
      <c r="AI839" s="164"/>
      <c r="AJ839" s="164"/>
      <c r="AK839" s="164"/>
      <c r="AL839" s="164"/>
      <c r="AM839" s="164"/>
      <c r="AN839" s="164"/>
      <c r="AO839" s="164"/>
      <c r="AP839" s="164"/>
    </row>
    <row r="840">
      <c r="A840" s="167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  <c r="AD840" s="164"/>
      <c r="AE840" s="164"/>
      <c r="AF840" s="164"/>
      <c r="AG840" s="164"/>
      <c r="AH840" s="164"/>
      <c r="AI840" s="164"/>
      <c r="AJ840" s="164"/>
      <c r="AK840" s="164"/>
      <c r="AL840" s="164"/>
      <c r="AM840" s="164"/>
      <c r="AN840" s="164"/>
      <c r="AO840" s="164"/>
      <c r="AP840" s="164"/>
    </row>
    <row r="841">
      <c r="A841" s="167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  <c r="AD841" s="164"/>
      <c r="AE841" s="164"/>
      <c r="AF841" s="164"/>
      <c r="AG841" s="164"/>
      <c r="AH841" s="164"/>
      <c r="AI841" s="164"/>
      <c r="AJ841" s="164"/>
      <c r="AK841" s="164"/>
      <c r="AL841" s="164"/>
      <c r="AM841" s="164"/>
      <c r="AN841" s="164"/>
      <c r="AO841" s="164"/>
      <c r="AP841" s="164"/>
    </row>
    <row r="842">
      <c r="A842" s="167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  <c r="AD842" s="164"/>
      <c r="AE842" s="164"/>
      <c r="AF842" s="164"/>
      <c r="AG842" s="164"/>
      <c r="AH842" s="164"/>
      <c r="AI842" s="164"/>
      <c r="AJ842" s="164"/>
      <c r="AK842" s="164"/>
      <c r="AL842" s="164"/>
      <c r="AM842" s="164"/>
      <c r="AN842" s="164"/>
      <c r="AO842" s="164"/>
      <c r="AP842" s="164"/>
    </row>
    <row r="843">
      <c r="A843" s="167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  <c r="AE843" s="164"/>
      <c r="AF843" s="164"/>
      <c r="AG843" s="164"/>
      <c r="AH843" s="164"/>
      <c r="AI843" s="164"/>
      <c r="AJ843" s="164"/>
      <c r="AK843" s="164"/>
      <c r="AL843" s="164"/>
      <c r="AM843" s="164"/>
      <c r="AN843" s="164"/>
      <c r="AO843" s="164"/>
      <c r="AP843" s="164"/>
    </row>
    <row r="844">
      <c r="A844" s="167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  <c r="AD844" s="164"/>
      <c r="AE844" s="164"/>
      <c r="AF844" s="164"/>
      <c r="AG844" s="164"/>
      <c r="AH844" s="164"/>
      <c r="AI844" s="164"/>
      <c r="AJ844" s="164"/>
      <c r="AK844" s="164"/>
      <c r="AL844" s="164"/>
      <c r="AM844" s="164"/>
      <c r="AN844" s="164"/>
      <c r="AO844" s="164"/>
      <c r="AP844" s="164"/>
    </row>
    <row r="845">
      <c r="A845" s="167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  <c r="AD845" s="164"/>
      <c r="AE845" s="164"/>
      <c r="AF845" s="164"/>
      <c r="AG845" s="164"/>
      <c r="AH845" s="164"/>
      <c r="AI845" s="164"/>
      <c r="AJ845" s="164"/>
      <c r="AK845" s="164"/>
      <c r="AL845" s="164"/>
      <c r="AM845" s="164"/>
      <c r="AN845" s="164"/>
      <c r="AO845" s="164"/>
      <c r="AP845" s="164"/>
    </row>
    <row r="846">
      <c r="A846" s="167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  <c r="AD846" s="164"/>
      <c r="AE846" s="164"/>
      <c r="AF846" s="164"/>
      <c r="AG846" s="164"/>
      <c r="AH846" s="164"/>
      <c r="AI846" s="164"/>
      <c r="AJ846" s="164"/>
      <c r="AK846" s="164"/>
      <c r="AL846" s="164"/>
      <c r="AM846" s="164"/>
      <c r="AN846" s="164"/>
      <c r="AO846" s="164"/>
      <c r="AP846" s="164"/>
    </row>
    <row r="847">
      <c r="A847" s="167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  <c r="AD847" s="164"/>
      <c r="AE847" s="164"/>
      <c r="AF847" s="164"/>
      <c r="AG847" s="164"/>
      <c r="AH847" s="164"/>
      <c r="AI847" s="164"/>
      <c r="AJ847" s="164"/>
      <c r="AK847" s="164"/>
      <c r="AL847" s="164"/>
      <c r="AM847" s="164"/>
      <c r="AN847" s="164"/>
      <c r="AO847" s="164"/>
      <c r="AP847" s="164"/>
    </row>
    <row r="848">
      <c r="A848" s="167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  <c r="AD848" s="164"/>
      <c r="AE848" s="164"/>
      <c r="AF848" s="164"/>
      <c r="AG848" s="164"/>
      <c r="AH848" s="164"/>
      <c r="AI848" s="164"/>
      <c r="AJ848" s="164"/>
      <c r="AK848" s="164"/>
      <c r="AL848" s="164"/>
      <c r="AM848" s="164"/>
      <c r="AN848" s="164"/>
      <c r="AO848" s="164"/>
      <c r="AP848" s="164"/>
    </row>
    <row r="849">
      <c r="A849" s="167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  <c r="AD849" s="164"/>
      <c r="AE849" s="164"/>
      <c r="AF849" s="164"/>
      <c r="AG849" s="164"/>
      <c r="AH849" s="164"/>
      <c r="AI849" s="164"/>
      <c r="AJ849" s="164"/>
      <c r="AK849" s="164"/>
      <c r="AL849" s="164"/>
      <c r="AM849" s="164"/>
      <c r="AN849" s="164"/>
      <c r="AO849" s="164"/>
      <c r="AP849" s="164"/>
    </row>
    <row r="850">
      <c r="A850" s="167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  <c r="AD850" s="164"/>
      <c r="AE850" s="164"/>
      <c r="AF850" s="164"/>
      <c r="AG850" s="164"/>
      <c r="AH850" s="164"/>
      <c r="AI850" s="164"/>
      <c r="AJ850" s="164"/>
      <c r="AK850" s="164"/>
      <c r="AL850" s="164"/>
      <c r="AM850" s="164"/>
      <c r="AN850" s="164"/>
      <c r="AO850" s="164"/>
      <c r="AP850" s="164"/>
    </row>
    <row r="851">
      <c r="A851" s="167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  <c r="AD851" s="164"/>
      <c r="AE851" s="164"/>
      <c r="AF851" s="164"/>
      <c r="AG851" s="164"/>
      <c r="AH851" s="164"/>
      <c r="AI851" s="164"/>
      <c r="AJ851" s="164"/>
      <c r="AK851" s="164"/>
      <c r="AL851" s="164"/>
      <c r="AM851" s="164"/>
      <c r="AN851" s="164"/>
      <c r="AO851" s="164"/>
      <c r="AP851" s="164"/>
    </row>
    <row r="852">
      <c r="A852" s="167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  <c r="AD852" s="164"/>
      <c r="AE852" s="164"/>
      <c r="AF852" s="164"/>
      <c r="AG852" s="164"/>
      <c r="AH852" s="164"/>
      <c r="AI852" s="164"/>
      <c r="AJ852" s="164"/>
      <c r="AK852" s="164"/>
      <c r="AL852" s="164"/>
      <c r="AM852" s="164"/>
      <c r="AN852" s="164"/>
      <c r="AO852" s="164"/>
      <c r="AP852" s="164"/>
    </row>
    <row r="853">
      <c r="A853" s="167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  <c r="AD853" s="164"/>
      <c r="AE853" s="164"/>
      <c r="AF853" s="164"/>
      <c r="AG853" s="164"/>
      <c r="AH853" s="164"/>
      <c r="AI853" s="164"/>
      <c r="AJ853" s="164"/>
      <c r="AK853" s="164"/>
      <c r="AL853" s="164"/>
      <c r="AM853" s="164"/>
      <c r="AN853" s="164"/>
      <c r="AO853" s="164"/>
      <c r="AP853" s="164"/>
    </row>
    <row r="854">
      <c r="A854" s="167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  <c r="AD854" s="164"/>
      <c r="AE854" s="164"/>
      <c r="AF854" s="164"/>
      <c r="AG854" s="164"/>
      <c r="AH854" s="164"/>
      <c r="AI854" s="164"/>
      <c r="AJ854" s="164"/>
      <c r="AK854" s="164"/>
      <c r="AL854" s="164"/>
      <c r="AM854" s="164"/>
      <c r="AN854" s="164"/>
      <c r="AO854" s="164"/>
      <c r="AP854" s="164"/>
    </row>
    <row r="855">
      <c r="A855" s="167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  <c r="AD855" s="164"/>
      <c r="AE855" s="164"/>
      <c r="AF855" s="164"/>
      <c r="AG855" s="164"/>
      <c r="AH855" s="164"/>
      <c r="AI855" s="164"/>
      <c r="AJ855" s="164"/>
      <c r="AK855" s="164"/>
      <c r="AL855" s="164"/>
      <c r="AM855" s="164"/>
      <c r="AN855" s="164"/>
      <c r="AO855" s="164"/>
      <c r="AP855" s="164"/>
    </row>
    <row r="856">
      <c r="A856" s="167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  <c r="AD856" s="164"/>
      <c r="AE856" s="164"/>
      <c r="AF856" s="164"/>
      <c r="AG856" s="164"/>
      <c r="AH856" s="164"/>
      <c r="AI856" s="164"/>
      <c r="AJ856" s="164"/>
      <c r="AK856" s="164"/>
      <c r="AL856" s="164"/>
      <c r="AM856" s="164"/>
      <c r="AN856" s="164"/>
      <c r="AO856" s="164"/>
      <c r="AP856" s="164"/>
    </row>
    <row r="857">
      <c r="A857" s="167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  <c r="AD857" s="164"/>
      <c r="AE857" s="164"/>
      <c r="AF857" s="164"/>
      <c r="AG857" s="164"/>
      <c r="AH857" s="164"/>
      <c r="AI857" s="164"/>
      <c r="AJ857" s="164"/>
      <c r="AK857" s="164"/>
      <c r="AL857" s="164"/>
      <c r="AM857" s="164"/>
      <c r="AN857" s="164"/>
      <c r="AO857" s="164"/>
      <c r="AP857" s="164"/>
    </row>
    <row r="858">
      <c r="A858" s="167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  <c r="AD858" s="164"/>
      <c r="AE858" s="164"/>
      <c r="AF858" s="164"/>
      <c r="AG858" s="164"/>
      <c r="AH858" s="164"/>
      <c r="AI858" s="164"/>
      <c r="AJ858" s="164"/>
      <c r="AK858" s="164"/>
      <c r="AL858" s="164"/>
      <c r="AM858" s="164"/>
      <c r="AN858" s="164"/>
      <c r="AO858" s="164"/>
      <c r="AP858" s="164"/>
    </row>
    <row r="859">
      <c r="A859" s="167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  <c r="AD859" s="164"/>
      <c r="AE859" s="164"/>
      <c r="AF859" s="164"/>
      <c r="AG859" s="164"/>
      <c r="AH859" s="164"/>
      <c r="AI859" s="164"/>
      <c r="AJ859" s="164"/>
      <c r="AK859" s="164"/>
      <c r="AL859" s="164"/>
      <c r="AM859" s="164"/>
      <c r="AN859" s="164"/>
      <c r="AO859" s="164"/>
      <c r="AP859" s="164"/>
    </row>
    <row r="860">
      <c r="A860" s="167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  <c r="AD860" s="164"/>
      <c r="AE860" s="164"/>
      <c r="AF860" s="164"/>
      <c r="AG860" s="164"/>
      <c r="AH860" s="164"/>
      <c r="AI860" s="164"/>
      <c r="AJ860" s="164"/>
      <c r="AK860" s="164"/>
      <c r="AL860" s="164"/>
      <c r="AM860" s="164"/>
      <c r="AN860" s="164"/>
      <c r="AO860" s="164"/>
      <c r="AP860" s="164"/>
    </row>
    <row r="861">
      <c r="A861" s="167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  <c r="AD861" s="164"/>
      <c r="AE861" s="164"/>
      <c r="AF861" s="164"/>
      <c r="AG861" s="164"/>
      <c r="AH861" s="164"/>
      <c r="AI861" s="164"/>
      <c r="AJ861" s="164"/>
      <c r="AK861" s="164"/>
      <c r="AL861" s="164"/>
      <c r="AM861" s="164"/>
      <c r="AN861" s="164"/>
      <c r="AO861" s="164"/>
      <c r="AP861" s="164"/>
    </row>
    <row r="862">
      <c r="A862" s="167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  <c r="AD862" s="164"/>
      <c r="AE862" s="164"/>
      <c r="AF862" s="164"/>
      <c r="AG862" s="164"/>
      <c r="AH862" s="164"/>
      <c r="AI862" s="164"/>
      <c r="AJ862" s="164"/>
      <c r="AK862" s="164"/>
      <c r="AL862" s="164"/>
      <c r="AM862" s="164"/>
      <c r="AN862" s="164"/>
      <c r="AO862" s="164"/>
      <c r="AP862" s="164"/>
    </row>
    <row r="863">
      <c r="A863" s="167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  <c r="AD863" s="164"/>
      <c r="AE863" s="164"/>
      <c r="AF863" s="164"/>
      <c r="AG863" s="164"/>
      <c r="AH863" s="164"/>
      <c r="AI863" s="164"/>
      <c r="AJ863" s="164"/>
      <c r="AK863" s="164"/>
      <c r="AL863" s="164"/>
      <c r="AM863" s="164"/>
      <c r="AN863" s="164"/>
      <c r="AO863" s="164"/>
      <c r="AP863" s="164"/>
    </row>
    <row r="864">
      <c r="A864" s="167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  <c r="AD864" s="164"/>
      <c r="AE864" s="164"/>
      <c r="AF864" s="164"/>
      <c r="AG864" s="164"/>
      <c r="AH864" s="164"/>
      <c r="AI864" s="164"/>
      <c r="AJ864" s="164"/>
      <c r="AK864" s="164"/>
      <c r="AL864" s="164"/>
      <c r="AM864" s="164"/>
      <c r="AN864" s="164"/>
      <c r="AO864" s="164"/>
      <c r="AP864" s="164"/>
    </row>
    <row r="865">
      <c r="A865" s="167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  <c r="AD865" s="164"/>
      <c r="AE865" s="164"/>
      <c r="AF865" s="164"/>
      <c r="AG865" s="164"/>
      <c r="AH865" s="164"/>
      <c r="AI865" s="164"/>
      <c r="AJ865" s="164"/>
      <c r="AK865" s="164"/>
      <c r="AL865" s="164"/>
      <c r="AM865" s="164"/>
      <c r="AN865" s="164"/>
      <c r="AO865" s="164"/>
      <c r="AP865" s="164"/>
    </row>
    <row r="866">
      <c r="A866" s="167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  <c r="AD866" s="164"/>
      <c r="AE866" s="164"/>
      <c r="AF866" s="164"/>
      <c r="AG866" s="164"/>
      <c r="AH866" s="164"/>
      <c r="AI866" s="164"/>
      <c r="AJ866" s="164"/>
      <c r="AK866" s="164"/>
      <c r="AL866" s="164"/>
      <c r="AM866" s="164"/>
      <c r="AN866" s="164"/>
      <c r="AO866" s="164"/>
      <c r="AP866" s="164"/>
    </row>
    <row r="867">
      <c r="A867" s="167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  <c r="AD867" s="164"/>
      <c r="AE867" s="164"/>
      <c r="AF867" s="164"/>
      <c r="AG867" s="164"/>
      <c r="AH867" s="164"/>
      <c r="AI867" s="164"/>
      <c r="AJ867" s="164"/>
      <c r="AK867" s="164"/>
      <c r="AL867" s="164"/>
      <c r="AM867" s="164"/>
      <c r="AN867" s="164"/>
      <c r="AO867" s="164"/>
      <c r="AP867" s="164"/>
    </row>
    <row r="868">
      <c r="A868" s="167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  <c r="AD868" s="164"/>
      <c r="AE868" s="164"/>
      <c r="AF868" s="164"/>
      <c r="AG868" s="164"/>
      <c r="AH868" s="164"/>
      <c r="AI868" s="164"/>
      <c r="AJ868" s="164"/>
      <c r="AK868" s="164"/>
      <c r="AL868" s="164"/>
      <c r="AM868" s="164"/>
      <c r="AN868" s="164"/>
      <c r="AO868" s="164"/>
      <c r="AP868" s="164"/>
    </row>
    <row r="869">
      <c r="A869" s="167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  <c r="AD869" s="164"/>
      <c r="AE869" s="164"/>
      <c r="AF869" s="164"/>
      <c r="AG869" s="164"/>
      <c r="AH869" s="164"/>
      <c r="AI869" s="164"/>
      <c r="AJ869" s="164"/>
      <c r="AK869" s="164"/>
      <c r="AL869" s="164"/>
      <c r="AM869" s="164"/>
      <c r="AN869" s="164"/>
      <c r="AO869" s="164"/>
      <c r="AP869" s="164"/>
    </row>
    <row r="870">
      <c r="A870" s="167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  <c r="AD870" s="164"/>
      <c r="AE870" s="164"/>
      <c r="AF870" s="164"/>
      <c r="AG870" s="164"/>
      <c r="AH870" s="164"/>
      <c r="AI870" s="164"/>
      <c r="AJ870" s="164"/>
      <c r="AK870" s="164"/>
      <c r="AL870" s="164"/>
      <c r="AM870" s="164"/>
      <c r="AN870" s="164"/>
      <c r="AO870" s="164"/>
      <c r="AP870" s="164"/>
    </row>
    <row r="871">
      <c r="A871" s="167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  <c r="AD871" s="164"/>
      <c r="AE871" s="164"/>
      <c r="AF871" s="164"/>
      <c r="AG871" s="164"/>
      <c r="AH871" s="164"/>
      <c r="AI871" s="164"/>
      <c r="AJ871" s="164"/>
      <c r="AK871" s="164"/>
      <c r="AL871" s="164"/>
      <c r="AM871" s="164"/>
      <c r="AN871" s="164"/>
      <c r="AO871" s="164"/>
      <c r="AP871" s="164"/>
    </row>
    <row r="872">
      <c r="A872" s="167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  <c r="AD872" s="164"/>
      <c r="AE872" s="164"/>
      <c r="AF872" s="164"/>
      <c r="AG872" s="164"/>
      <c r="AH872" s="164"/>
      <c r="AI872" s="164"/>
      <c r="AJ872" s="164"/>
      <c r="AK872" s="164"/>
      <c r="AL872" s="164"/>
      <c r="AM872" s="164"/>
      <c r="AN872" s="164"/>
      <c r="AO872" s="164"/>
      <c r="AP872" s="164"/>
    </row>
    <row r="873">
      <c r="A873" s="167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  <c r="AD873" s="164"/>
      <c r="AE873" s="164"/>
      <c r="AF873" s="164"/>
      <c r="AG873" s="164"/>
      <c r="AH873" s="164"/>
      <c r="AI873" s="164"/>
      <c r="AJ873" s="164"/>
      <c r="AK873" s="164"/>
      <c r="AL873" s="164"/>
      <c r="AM873" s="164"/>
      <c r="AN873" s="164"/>
      <c r="AO873" s="164"/>
      <c r="AP873" s="164"/>
    </row>
    <row r="874">
      <c r="A874" s="167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  <c r="AD874" s="164"/>
      <c r="AE874" s="164"/>
      <c r="AF874" s="164"/>
      <c r="AG874" s="164"/>
      <c r="AH874" s="164"/>
      <c r="AI874" s="164"/>
      <c r="AJ874" s="164"/>
      <c r="AK874" s="164"/>
      <c r="AL874" s="164"/>
      <c r="AM874" s="164"/>
      <c r="AN874" s="164"/>
      <c r="AO874" s="164"/>
      <c r="AP874" s="164"/>
    </row>
    <row r="875">
      <c r="A875" s="167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  <c r="AD875" s="164"/>
      <c r="AE875" s="164"/>
      <c r="AF875" s="164"/>
      <c r="AG875" s="164"/>
      <c r="AH875" s="164"/>
      <c r="AI875" s="164"/>
      <c r="AJ875" s="164"/>
      <c r="AK875" s="164"/>
      <c r="AL875" s="164"/>
      <c r="AM875" s="164"/>
      <c r="AN875" s="164"/>
      <c r="AO875" s="164"/>
      <c r="AP875" s="164"/>
    </row>
    <row r="876">
      <c r="A876" s="167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  <c r="AD876" s="164"/>
      <c r="AE876" s="164"/>
      <c r="AF876" s="164"/>
      <c r="AG876" s="164"/>
      <c r="AH876" s="164"/>
      <c r="AI876" s="164"/>
      <c r="AJ876" s="164"/>
      <c r="AK876" s="164"/>
      <c r="AL876" s="164"/>
      <c r="AM876" s="164"/>
      <c r="AN876" s="164"/>
      <c r="AO876" s="164"/>
      <c r="AP876" s="164"/>
    </row>
    <row r="877">
      <c r="A877" s="167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  <c r="AD877" s="164"/>
      <c r="AE877" s="164"/>
      <c r="AF877" s="164"/>
      <c r="AG877" s="164"/>
      <c r="AH877" s="164"/>
      <c r="AI877" s="164"/>
      <c r="AJ877" s="164"/>
      <c r="AK877" s="164"/>
      <c r="AL877" s="164"/>
      <c r="AM877" s="164"/>
      <c r="AN877" s="164"/>
      <c r="AO877" s="164"/>
      <c r="AP877" s="164"/>
    </row>
    <row r="878">
      <c r="A878" s="167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  <c r="AD878" s="164"/>
      <c r="AE878" s="164"/>
      <c r="AF878" s="164"/>
      <c r="AG878" s="164"/>
      <c r="AH878" s="164"/>
      <c r="AI878" s="164"/>
      <c r="AJ878" s="164"/>
      <c r="AK878" s="164"/>
      <c r="AL878" s="164"/>
      <c r="AM878" s="164"/>
      <c r="AN878" s="164"/>
      <c r="AO878" s="164"/>
      <c r="AP878" s="164"/>
    </row>
    <row r="879">
      <c r="A879" s="167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  <c r="AD879" s="164"/>
      <c r="AE879" s="164"/>
      <c r="AF879" s="164"/>
      <c r="AG879" s="164"/>
      <c r="AH879" s="164"/>
      <c r="AI879" s="164"/>
      <c r="AJ879" s="164"/>
      <c r="AK879" s="164"/>
      <c r="AL879" s="164"/>
      <c r="AM879" s="164"/>
      <c r="AN879" s="164"/>
      <c r="AO879" s="164"/>
      <c r="AP879" s="164"/>
    </row>
    <row r="880">
      <c r="A880" s="167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  <c r="AD880" s="164"/>
      <c r="AE880" s="164"/>
      <c r="AF880" s="164"/>
      <c r="AG880" s="164"/>
      <c r="AH880" s="164"/>
      <c r="AI880" s="164"/>
      <c r="AJ880" s="164"/>
      <c r="AK880" s="164"/>
      <c r="AL880" s="164"/>
      <c r="AM880" s="164"/>
      <c r="AN880" s="164"/>
      <c r="AO880" s="164"/>
      <c r="AP880" s="164"/>
    </row>
    <row r="881">
      <c r="A881" s="167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  <c r="AD881" s="164"/>
      <c r="AE881" s="164"/>
      <c r="AF881" s="164"/>
      <c r="AG881" s="164"/>
      <c r="AH881" s="164"/>
      <c r="AI881" s="164"/>
      <c r="AJ881" s="164"/>
      <c r="AK881" s="164"/>
      <c r="AL881" s="164"/>
      <c r="AM881" s="164"/>
      <c r="AN881" s="164"/>
      <c r="AO881" s="164"/>
      <c r="AP881" s="164"/>
    </row>
    <row r="882">
      <c r="A882" s="167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  <c r="AD882" s="164"/>
      <c r="AE882" s="164"/>
      <c r="AF882" s="164"/>
      <c r="AG882" s="164"/>
      <c r="AH882" s="164"/>
      <c r="AI882" s="164"/>
      <c r="AJ882" s="164"/>
      <c r="AK882" s="164"/>
      <c r="AL882" s="164"/>
      <c r="AM882" s="164"/>
      <c r="AN882" s="164"/>
      <c r="AO882" s="164"/>
      <c r="AP882" s="164"/>
    </row>
    <row r="883">
      <c r="A883" s="167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  <c r="AD883" s="164"/>
      <c r="AE883" s="164"/>
      <c r="AF883" s="164"/>
      <c r="AG883" s="164"/>
      <c r="AH883" s="164"/>
      <c r="AI883" s="164"/>
      <c r="AJ883" s="164"/>
      <c r="AK883" s="164"/>
      <c r="AL883" s="164"/>
      <c r="AM883" s="164"/>
      <c r="AN883" s="164"/>
      <c r="AO883" s="164"/>
      <c r="AP883" s="164"/>
    </row>
    <row r="884">
      <c r="A884" s="167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  <c r="AD884" s="164"/>
      <c r="AE884" s="164"/>
      <c r="AF884" s="164"/>
      <c r="AG884" s="164"/>
      <c r="AH884" s="164"/>
      <c r="AI884" s="164"/>
      <c r="AJ884" s="164"/>
      <c r="AK884" s="164"/>
      <c r="AL884" s="164"/>
      <c r="AM884" s="164"/>
      <c r="AN884" s="164"/>
      <c r="AO884" s="164"/>
      <c r="AP884" s="164"/>
    </row>
    <row r="885">
      <c r="A885" s="167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  <c r="AD885" s="164"/>
      <c r="AE885" s="164"/>
      <c r="AF885" s="164"/>
      <c r="AG885" s="164"/>
      <c r="AH885" s="164"/>
      <c r="AI885" s="164"/>
      <c r="AJ885" s="164"/>
      <c r="AK885" s="164"/>
      <c r="AL885" s="164"/>
      <c r="AM885" s="164"/>
      <c r="AN885" s="164"/>
      <c r="AO885" s="164"/>
      <c r="AP885" s="164"/>
    </row>
    <row r="886">
      <c r="A886" s="167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  <c r="AD886" s="164"/>
      <c r="AE886" s="164"/>
      <c r="AF886" s="164"/>
      <c r="AG886" s="164"/>
      <c r="AH886" s="164"/>
      <c r="AI886" s="164"/>
      <c r="AJ886" s="164"/>
      <c r="AK886" s="164"/>
      <c r="AL886" s="164"/>
      <c r="AM886" s="164"/>
      <c r="AN886" s="164"/>
      <c r="AO886" s="164"/>
      <c r="AP886" s="164"/>
    </row>
    <row r="887">
      <c r="A887" s="167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  <c r="AD887" s="164"/>
      <c r="AE887" s="164"/>
      <c r="AF887" s="164"/>
      <c r="AG887" s="164"/>
      <c r="AH887" s="164"/>
      <c r="AI887" s="164"/>
      <c r="AJ887" s="164"/>
      <c r="AK887" s="164"/>
      <c r="AL887" s="164"/>
      <c r="AM887" s="164"/>
      <c r="AN887" s="164"/>
      <c r="AO887" s="164"/>
      <c r="AP887" s="164"/>
    </row>
    <row r="888">
      <c r="A888" s="167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  <c r="AD888" s="164"/>
      <c r="AE888" s="164"/>
      <c r="AF888" s="164"/>
      <c r="AG888" s="164"/>
      <c r="AH888" s="164"/>
      <c r="AI888" s="164"/>
      <c r="AJ888" s="164"/>
      <c r="AK888" s="164"/>
      <c r="AL888" s="164"/>
      <c r="AM888" s="164"/>
      <c r="AN888" s="164"/>
      <c r="AO888" s="164"/>
      <c r="AP888" s="164"/>
    </row>
    <row r="889">
      <c r="A889" s="167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  <c r="AD889" s="164"/>
      <c r="AE889" s="164"/>
      <c r="AF889" s="164"/>
      <c r="AG889" s="164"/>
      <c r="AH889" s="164"/>
      <c r="AI889" s="164"/>
      <c r="AJ889" s="164"/>
      <c r="AK889" s="164"/>
      <c r="AL889" s="164"/>
      <c r="AM889" s="164"/>
      <c r="AN889" s="164"/>
      <c r="AO889" s="164"/>
      <c r="AP889" s="164"/>
    </row>
    <row r="890">
      <c r="A890" s="167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  <c r="AD890" s="164"/>
      <c r="AE890" s="164"/>
      <c r="AF890" s="164"/>
      <c r="AG890" s="164"/>
      <c r="AH890" s="164"/>
      <c r="AI890" s="164"/>
      <c r="AJ890" s="164"/>
      <c r="AK890" s="164"/>
      <c r="AL890" s="164"/>
      <c r="AM890" s="164"/>
      <c r="AN890" s="164"/>
      <c r="AO890" s="164"/>
      <c r="AP890" s="164"/>
    </row>
    <row r="891">
      <c r="A891" s="167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  <c r="AD891" s="164"/>
      <c r="AE891" s="164"/>
      <c r="AF891" s="164"/>
      <c r="AG891" s="164"/>
      <c r="AH891" s="164"/>
      <c r="AI891" s="164"/>
      <c r="AJ891" s="164"/>
      <c r="AK891" s="164"/>
      <c r="AL891" s="164"/>
      <c r="AM891" s="164"/>
      <c r="AN891" s="164"/>
      <c r="AO891" s="164"/>
      <c r="AP891" s="164"/>
    </row>
    <row r="892">
      <c r="A892" s="167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  <c r="AD892" s="164"/>
      <c r="AE892" s="164"/>
      <c r="AF892" s="164"/>
      <c r="AG892" s="164"/>
      <c r="AH892" s="164"/>
      <c r="AI892" s="164"/>
      <c r="AJ892" s="164"/>
      <c r="AK892" s="164"/>
      <c r="AL892" s="164"/>
      <c r="AM892" s="164"/>
      <c r="AN892" s="164"/>
      <c r="AO892" s="164"/>
      <c r="AP892" s="164"/>
    </row>
    <row r="893">
      <c r="A893" s="167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  <c r="AD893" s="164"/>
      <c r="AE893" s="164"/>
      <c r="AF893" s="164"/>
      <c r="AG893" s="164"/>
      <c r="AH893" s="164"/>
      <c r="AI893" s="164"/>
      <c r="AJ893" s="164"/>
      <c r="AK893" s="164"/>
      <c r="AL893" s="164"/>
      <c r="AM893" s="164"/>
      <c r="AN893" s="164"/>
      <c r="AO893" s="164"/>
      <c r="AP893" s="164"/>
    </row>
    <row r="894">
      <c r="A894" s="167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  <c r="AD894" s="164"/>
      <c r="AE894" s="164"/>
      <c r="AF894" s="164"/>
      <c r="AG894" s="164"/>
      <c r="AH894" s="164"/>
      <c r="AI894" s="164"/>
      <c r="AJ894" s="164"/>
      <c r="AK894" s="164"/>
      <c r="AL894" s="164"/>
      <c r="AM894" s="164"/>
      <c r="AN894" s="164"/>
      <c r="AO894" s="164"/>
      <c r="AP894" s="164"/>
    </row>
    <row r="895">
      <c r="A895" s="167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  <c r="AD895" s="164"/>
      <c r="AE895" s="164"/>
      <c r="AF895" s="164"/>
      <c r="AG895" s="164"/>
      <c r="AH895" s="164"/>
      <c r="AI895" s="164"/>
      <c r="AJ895" s="164"/>
      <c r="AK895" s="164"/>
      <c r="AL895" s="164"/>
      <c r="AM895" s="164"/>
      <c r="AN895" s="164"/>
      <c r="AO895" s="164"/>
      <c r="AP895" s="164"/>
    </row>
    <row r="896">
      <c r="A896" s="167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  <c r="AD896" s="164"/>
      <c r="AE896" s="164"/>
      <c r="AF896" s="164"/>
      <c r="AG896" s="164"/>
      <c r="AH896" s="164"/>
      <c r="AI896" s="164"/>
      <c r="AJ896" s="164"/>
      <c r="AK896" s="164"/>
      <c r="AL896" s="164"/>
      <c r="AM896" s="164"/>
      <c r="AN896" s="164"/>
      <c r="AO896" s="164"/>
      <c r="AP896" s="164"/>
    </row>
    <row r="897">
      <c r="A897" s="167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  <c r="AD897" s="164"/>
      <c r="AE897" s="164"/>
      <c r="AF897" s="164"/>
      <c r="AG897" s="164"/>
      <c r="AH897" s="164"/>
      <c r="AI897" s="164"/>
      <c r="AJ897" s="164"/>
      <c r="AK897" s="164"/>
      <c r="AL897" s="164"/>
      <c r="AM897" s="164"/>
      <c r="AN897" s="164"/>
      <c r="AO897" s="164"/>
      <c r="AP897" s="164"/>
    </row>
    <row r="898">
      <c r="A898" s="167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  <c r="AD898" s="164"/>
      <c r="AE898" s="164"/>
      <c r="AF898" s="164"/>
      <c r="AG898" s="164"/>
      <c r="AH898" s="164"/>
      <c r="AI898" s="164"/>
      <c r="AJ898" s="164"/>
      <c r="AK898" s="164"/>
      <c r="AL898" s="164"/>
      <c r="AM898" s="164"/>
      <c r="AN898" s="164"/>
      <c r="AO898" s="164"/>
      <c r="AP898" s="164"/>
    </row>
    <row r="899">
      <c r="A899" s="167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  <c r="AD899" s="164"/>
      <c r="AE899" s="164"/>
      <c r="AF899" s="164"/>
      <c r="AG899" s="164"/>
      <c r="AH899" s="164"/>
      <c r="AI899" s="164"/>
      <c r="AJ899" s="164"/>
      <c r="AK899" s="164"/>
      <c r="AL899" s="164"/>
      <c r="AM899" s="164"/>
      <c r="AN899" s="164"/>
      <c r="AO899" s="164"/>
      <c r="AP899" s="164"/>
    </row>
    <row r="900">
      <c r="A900" s="167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  <c r="AD900" s="164"/>
      <c r="AE900" s="164"/>
      <c r="AF900" s="164"/>
      <c r="AG900" s="164"/>
      <c r="AH900" s="164"/>
      <c r="AI900" s="164"/>
      <c r="AJ900" s="164"/>
      <c r="AK900" s="164"/>
      <c r="AL900" s="164"/>
      <c r="AM900" s="164"/>
      <c r="AN900" s="164"/>
      <c r="AO900" s="164"/>
      <c r="AP900" s="164"/>
    </row>
    <row r="901">
      <c r="A901" s="167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  <c r="AD901" s="164"/>
      <c r="AE901" s="164"/>
      <c r="AF901" s="164"/>
      <c r="AG901" s="164"/>
      <c r="AH901" s="164"/>
      <c r="AI901" s="164"/>
      <c r="AJ901" s="164"/>
      <c r="AK901" s="164"/>
      <c r="AL901" s="164"/>
      <c r="AM901" s="164"/>
      <c r="AN901" s="164"/>
      <c r="AO901" s="164"/>
      <c r="AP901" s="164"/>
    </row>
    <row r="902">
      <c r="A902" s="167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  <c r="AD902" s="164"/>
      <c r="AE902" s="164"/>
      <c r="AF902" s="164"/>
      <c r="AG902" s="164"/>
      <c r="AH902" s="164"/>
      <c r="AI902" s="164"/>
      <c r="AJ902" s="164"/>
      <c r="AK902" s="164"/>
      <c r="AL902" s="164"/>
      <c r="AM902" s="164"/>
      <c r="AN902" s="164"/>
      <c r="AO902" s="164"/>
      <c r="AP902" s="164"/>
    </row>
    <row r="903">
      <c r="A903" s="167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  <c r="AD903" s="164"/>
      <c r="AE903" s="164"/>
      <c r="AF903" s="164"/>
      <c r="AG903" s="164"/>
      <c r="AH903" s="164"/>
      <c r="AI903" s="164"/>
      <c r="AJ903" s="164"/>
      <c r="AK903" s="164"/>
      <c r="AL903" s="164"/>
      <c r="AM903" s="164"/>
      <c r="AN903" s="164"/>
      <c r="AO903" s="164"/>
      <c r="AP903" s="164"/>
    </row>
    <row r="904">
      <c r="A904" s="167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  <c r="AD904" s="164"/>
      <c r="AE904" s="164"/>
      <c r="AF904" s="164"/>
      <c r="AG904" s="164"/>
      <c r="AH904" s="164"/>
      <c r="AI904" s="164"/>
      <c r="AJ904" s="164"/>
      <c r="AK904" s="164"/>
      <c r="AL904" s="164"/>
      <c r="AM904" s="164"/>
      <c r="AN904" s="164"/>
      <c r="AO904" s="164"/>
      <c r="AP904" s="164"/>
    </row>
    <row r="905">
      <c r="A905" s="167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  <c r="AD905" s="164"/>
      <c r="AE905" s="164"/>
      <c r="AF905" s="164"/>
      <c r="AG905" s="164"/>
      <c r="AH905" s="164"/>
      <c r="AI905" s="164"/>
      <c r="AJ905" s="164"/>
      <c r="AK905" s="164"/>
      <c r="AL905" s="164"/>
      <c r="AM905" s="164"/>
      <c r="AN905" s="164"/>
      <c r="AO905" s="164"/>
      <c r="AP905" s="164"/>
    </row>
    <row r="906">
      <c r="A906" s="167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  <c r="AD906" s="164"/>
      <c r="AE906" s="164"/>
      <c r="AF906" s="164"/>
      <c r="AG906" s="164"/>
      <c r="AH906" s="164"/>
      <c r="AI906" s="164"/>
      <c r="AJ906" s="164"/>
      <c r="AK906" s="164"/>
      <c r="AL906" s="164"/>
      <c r="AM906" s="164"/>
      <c r="AN906" s="164"/>
      <c r="AO906" s="164"/>
      <c r="AP906" s="164"/>
    </row>
    <row r="907">
      <c r="A907" s="167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  <c r="AD907" s="164"/>
      <c r="AE907" s="164"/>
      <c r="AF907" s="164"/>
      <c r="AG907" s="164"/>
      <c r="AH907" s="164"/>
      <c r="AI907" s="164"/>
      <c r="AJ907" s="164"/>
      <c r="AK907" s="164"/>
      <c r="AL907" s="164"/>
      <c r="AM907" s="164"/>
      <c r="AN907" s="164"/>
      <c r="AO907" s="164"/>
      <c r="AP907" s="164"/>
    </row>
    <row r="908">
      <c r="A908" s="167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  <c r="AD908" s="164"/>
      <c r="AE908" s="164"/>
      <c r="AF908" s="164"/>
      <c r="AG908" s="164"/>
      <c r="AH908" s="164"/>
      <c r="AI908" s="164"/>
      <c r="AJ908" s="164"/>
      <c r="AK908" s="164"/>
      <c r="AL908" s="164"/>
      <c r="AM908" s="164"/>
      <c r="AN908" s="164"/>
      <c r="AO908" s="164"/>
      <c r="AP908" s="164"/>
    </row>
    <row r="909">
      <c r="A909" s="167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  <c r="AD909" s="164"/>
      <c r="AE909" s="164"/>
      <c r="AF909" s="164"/>
      <c r="AG909" s="164"/>
      <c r="AH909" s="164"/>
      <c r="AI909" s="164"/>
      <c r="AJ909" s="164"/>
      <c r="AK909" s="164"/>
      <c r="AL909" s="164"/>
      <c r="AM909" s="164"/>
      <c r="AN909" s="164"/>
      <c r="AO909" s="164"/>
      <c r="AP909" s="164"/>
    </row>
    <row r="910">
      <c r="A910" s="167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  <c r="AD910" s="164"/>
      <c r="AE910" s="164"/>
      <c r="AF910" s="164"/>
      <c r="AG910" s="164"/>
      <c r="AH910" s="164"/>
      <c r="AI910" s="164"/>
      <c r="AJ910" s="164"/>
      <c r="AK910" s="164"/>
      <c r="AL910" s="164"/>
      <c r="AM910" s="164"/>
      <c r="AN910" s="164"/>
      <c r="AO910" s="164"/>
      <c r="AP910" s="164"/>
    </row>
    <row r="911">
      <c r="A911" s="167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  <c r="AD911" s="164"/>
      <c r="AE911" s="164"/>
      <c r="AF911" s="164"/>
      <c r="AG911" s="164"/>
      <c r="AH911" s="164"/>
      <c r="AI911" s="164"/>
      <c r="AJ911" s="164"/>
      <c r="AK911" s="164"/>
      <c r="AL911" s="164"/>
      <c r="AM911" s="164"/>
      <c r="AN911" s="164"/>
      <c r="AO911" s="164"/>
      <c r="AP911" s="164"/>
    </row>
    <row r="912">
      <c r="A912" s="167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  <c r="AD912" s="164"/>
      <c r="AE912" s="164"/>
      <c r="AF912" s="164"/>
      <c r="AG912" s="164"/>
      <c r="AH912" s="164"/>
      <c r="AI912" s="164"/>
      <c r="AJ912" s="164"/>
      <c r="AK912" s="164"/>
      <c r="AL912" s="164"/>
      <c r="AM912" s="164"/>
      <c r="AN912" s="164"/>
      <c r="AO912" s="164"/>
      <c r="AP912" s="164"/>
    </row>
    <row r="913">
      <c r="A913" s="167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  <c r="AD913" s="164"/>
      <c r="AE913" s="164"/>
      <c r="AF913" s="164"/>
      <c r="AG913" s="164"/>
      <c r="AH913" s="164"/>
      <c r="AI913" s="164"/>
      <c r="AJ913" s="164"/>
      <c r="AK913" s="164"/>
      <c r="AL913" s="164"/>
      <c r="AM913" s="164"/>
      <c r="AN913" s="164"/>
      <c r="AO913" s="164"/>
      <c r="AP913" s="164"/>
    </row>
    <row r="914">
      <c r="A914" s="167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  <c r="AD914" s="164"/>
      <c r="AE914" s="164"/>
      <c r="AF914" s="164"/>
      <c r="AG914" s="164"/>
      <c r="AH914" s="164"/>
      <c r="AI914" s="164"/>
      <c r="AJ914" s="164"/>
      <c r="AK914" s="164"/>
      <c r="AL914" s="164"/>
      <c r="AM914" s="164"/>
      <c r="AN914" s="164"/>
      <c r="AO914" s="164"/>
      <c r="AP914" s="164"/>
    </row>
    <row r="915">
      <c r="A915" s="167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  <c r="AD915" s="164"/>
      <c r="AE915" s="164"/>
      <c r="AF915" s="164"/>
      <c r="AG915" s="164"/>
      <c r="AH915" s="164"/>
      <c r="AI915" s="164"/>
      <c r="AJ915" s="164"/>
      <c r="AK915" s="164"/>
      <c r="AL915" s="164"/>
      <c r="AM915" s="164"/>
      <c r="AN915" s="164"/>
      <c r="AO915" s="164"/>
      <c r="AP915" s="164"/>
    </row>
    <row r="916">
      <c r="A916" s="167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  <c r="AD916" s="164"/>
      <c r="AE916" s="164"/>
      <c r="AF916" s="164"/>
      <c r="AG916" s="164"/>
      <c r="AH916" s="164"/>
      <c r="AI916" s="164"/>
      <c r="AJ916" s="164"/>
      <c r="AK916" s="164"/>
      <c r="AL916" s="164"/>
      <c r="AM916" s="164"/>
      <c r="AN916" s="164"/>
      <c r="AO916" s="164"/>
      <c r="AP916" s="164"/>
    </row>
    <row r="917">
      <c r="A917" s="167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  <c r="AD917" s="164"/>
      <c r="AE917" s="164"/>
      <c r="AF917" s="164"/>
      <c r="AG917" s="164"/>
      <c r="AH917" s="164"/>
      <c r="AI917" s="164"/>
      <c r="AJ917" s="164"/>
      <c r="AK917" s="164"/>
      <c r="AL917" s="164"/>
      <c r="AM917" s="164"/>
      <c r="AN917" s="164"/>
      <c r="AO917" s="164"/>
      <c r="AP917" s="164"/>
    </row>
    <row r="918">
      <c r="A918" s="167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  <c r="AD918" s="164"/>
      <c r="AE918" s="164"/>
      <c r="AF918" s="164"/>
      <c r="AG918" s="164"/>
      <c r="AH918" s="164"/>
      <c r="AI918" s="164"/>
      <c r="AJ918" s="164"/>
      <c r="AK918" s="164"/>
      <c r="AL918" s="164"/>
      <c r="AM918" s="164"/>
      <c r="AN918" s="164"/>
      <c r="AO918" s="164"/>
      <c r="AP918" s="164"/>
    </row>
    <row r="919">
      <c r="A919" s="167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  <c r="AD919" s="164"/>
      <c r="AE919" s="164"/>
      <c r="AF919" s="164"/>
      <c r="AG919" s="164"/>
      <c r="AH919" s="164"/>
      <c r="AI919" s="164"/>
      <c r="AJ919" s="164"/>
      <c r="AK919" s="164"/>
      <c r="AL919" s="164"/>
      <c r="AM919" s="164"/>
      <c r="AN919" s="164"/>
      <c r="AO919" s="164"/>
      <c r="AP919" s="164"/>
    </row>
    <row r="920">
      <c r="A920" s="167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  <c r="AD920" s="164"/>
      <c r="AE920" s="164"/>
      <c r="AF920" s="164"/>
      <c r="AG920" s="164"/>
      <c r="AH920" s="164"/>
      <c r="AI920" s="164"/>
      <c r="AJ920" s="164"/>
      <c r="AK920" s="164"/>
      <c r="AL920" s="164"/>
      <c r="AM920" s="164"/>
      <c r="AN920" s="164"/>
      <c r="AO920" s="164"/>
      <c r="AP920" s="164"/>
    </row>
    <row r="921">
      <c r="A921" s="167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  <c r="AD921" s="164"/>
      <c r="AE921" s="164"/>
      <c r="AF921" s="164"/>
      <c r="AG921" s="164"/>
      <c r="AH921" s="164"/>
      <c r="AI921" s="164"/>
      <c r="AJ921" s="164"/>
      <c r="AK921" s="164"/>
      <c r="AL921" s="164"/>
      <c r="AM921" s="164"/>
      <c r="AN921" s="164"/>
      <c r="AO921" s="164"/>
      <c r="AP921" s="164"/>
    </row>
    <row r="922">
      <c r="A922" s="167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  <c r="AD922" s="164"/>
      <c r="AE922" s="164"/>
      <c r="AF922" s="164"/>
      <c r="AG922" s="164"/>
      <c r="AH922" s="164"/>
      <c r="AI922" s="164"/>
      <c r="AJ922" s="164"/>
      <c r="AK922" s="164"/>
      <c r="AL922" s="164"/>
      <c r="AM922" s="164"/>
      <c r="AN922" s="164"/>
      <c r="AO922" s="164"/>
      <c r="AP922" s="164"/>
    </row>
    <row r="923">
      <c r="A923" s="167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  <c r="AD923" s="164"/>
      <c r="AE923" s="164"/>
      <c r="AF923" s="164"/>
      <c r="AG923" s="164"/>
      <c r="AH923" s="164"/>
      <c r="AI923" s="164"/>
      <c r="AJ923" s="164"/>
      <c r="AK923" s="164"/>
      <c r="AL923" s="164"/>
      <c r="AM923" s="164"/>
      <c r="AN923" s="164"/>
      <c r="AO923" s="164"/>
      <c r="AP923" s="164"/>
    </row>
    <row r="924">
      <c r="A924" s="167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  <c r="AD924" s="164"/>
      <c r="AE924" s="164"/>
      <c r="AF924" s="164"/>
      <c r="AG924" s="164"/>
      <c r="AH924" s="164"/>
      <c r="AI924" s="164"/>
      <c r="AJ924" s="164"/>
      <c r="AK924" s="164"/>
      <c r="AL924" s="164"/>
      <c r="AM924" s="164"/>
      <c r="AN924" s="164"/>
      <c r="AO924" s="164"/>
      <c r="AP924" s="164"/>
    </row>
    <row r="925">
      <c r="A925" s="167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  <c r="AD925" s="164"/>
      <c r="AE925" s="164"/>
      <c r="AF925" s="164"/>
      <c r="AG925" s="164"/>
      <c r="AH925" s="164"/>
      <c r="AI925" s="164"/>
      <c r="AJ925" s="164"/>
      <c r="AK925" s="164"/>
      <c r="AL925" s="164"/>
      <c r="AM925" s="164"/>
      <c r="AN925" s="164"/>
      <c r="AO925" s="164"/>
      <c r="AP925" s="164"/>
    </row>
    <row r="926">
      <c r="A926" s="167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  <c r="AD926" s="164"/>
      <c r="AE926" s="164"/>
      <c r="AF926" s="164"/>
      <c r="AG926" s="164"/>
      <c r="AH926" s="164"/>
      <c r="AI926" s="164"/>
      <c r="AJ926" s="164"/>
      <c r="AK926" s="164"/>
      <c r="AL926" s="164"/>
      <c r="AM926" s="164"/>
      <c r="AN926" s="164"/>
      <c r="AO926" s="164"/>
      <c r="AP926" s="164"/>
    </row>
    <row r="927">
      <c r="A927" s="167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  <c r="AD927" s="164"/>
      <c r="AE927" s="164"/>
      <c r="AF927" s="164"/>
      <c r="AG927" s="164"/>
      <c r="AH927" s="164"/>
      <c r="AI927" s="164"/>
      <c r="AJ927" s="164"/>
      <c r="AK927" s="164"/>
      <c r="AL927" s="164"/>
      <c r="AM927" s="164"/>
      <c r="AN927" s="164"/>
      <c r="AO927" s="164"/>
      <c r="AP927" s="164"/>
    </row>
    <row r="928">
      <c r="A928" s="167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  <c r="AD928" s="164"/>
      <c r="AE928" s="164"/>
      <c r="AF928" s="164"/>
      <c r="AG928" s="164"/>
      <c r="AH928" s="164"/>
      <c r="AI928" s="164"/>
      <c r="AJ928" s="164"/>
      <c r="AK928" s="164"/>
      <c r="AL928" s="164"/>
      <c r="AM928" s="164"/>
      <c r="AN928" s="164"/>
      <c r="AO928" s="164"/>
      <c r="AP928" s="164"/>
    </row>
    <row r="929">
      <c r="A929" s="167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  <c r="AD929" s="164"/>
      <c r="AE929" s="164"/>
      <c r="AF929" s="164"/>
      <c r="AG929" s="164"/>
      <c r="AH929" s="164"/>
      <c r="AI929" s="164"/>
      <c r="AJ929" s="164"/>
      <c r="AK929" s="164"/>
      <c r="AL929" s="164"/>
      <c r="AM929" s="164"/>
      <c r="AN929" s="164"/>
      <c r="AO929" s="164"/>
      <c r="AP929" s="164"/>
    </row>
    <row r="930">
      <c r="A930" s="167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  <c r="AD930" s="164"/>
      <c r="AE930" s="164"/>
      <c r="AF930" s="164"/>
      <c r="AG930" s="164"/>
      <c r="AH930" s="164"/>
      <c r="AI930" s="164"/>
      <c r="AJ930" s="164"/>
      <c r="AK930" s="164"/>
      <c r="AL930" s="164"/>
      <c r="AM930" s="164"/>
      <c r="AN930" s="164"/>
      <c r="AO930" s="164"/>
      <c r="AP930" s="164"/>
    </row>
    <row r="931">
      <c r="A931" s="167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  <c r="AD931" s="164"/>
      <c r="AE931" s="164"/>
      <c r="AF931" s="164"/>
      <c r="AG931" s="164"/>
      <c r="AH931" s="164"/>
      <c r="AI931" s="164"/>
      <c r="AJ931" s="164"/>
      <c r="AK931" s="164"/>
      <c r="AL931" s="164"/>
      <c r="AM931" s="164"/>
      <c r="AN931" s="164"/>
      <c r="AO931" s="164"/>
      <c r="AP931" s="164"/>
    </row>
    <row r="932">
      <c r="A932" s="167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  <c r="AD932" s="164"/>
      <c r="AE932" s="164"/>
      <c r="AF932" s="164"/>
      <c r="AG932" s="164"/>
      <c r="AH932" s="164"/>
      <c r="AI932" s="164"/>
      <c r="AJ932" s="164"/>
      <c r="AK932" s="164"/>
      <c r="AL932" s="164"/>
      <c r="AM932" s="164"/>
      <c r="AN932" s="164"/>
      <c r="AO932" s="164"/>
      <c r="AP932" s="164"/>
    </row>
    <row r="933">
      <c r="A933" s="167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  <c r="AD933" s="164"/>
      <c r="AE933" s="164"/>
      <c r="AF933" s="164"/>
      <c r="AG933" s="164"/>
      <c r="AH933" s="164"/>
      <c r="AI933" s="164"/>
      <c r="AJ933" s="164"/>
      <c r="AK933" s="164"/>
      <c r="AL933" s="164"/>
      <c r="AM933" s="164"/>
      <c r="AN933" s="164"/>
      <c r="AO933" s="164"/>
      <c r="AP933" s="164"/>
    </row>
    <row r="934">
      <c r="A934" s="167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  <c r="AD934" s="164"/>
      <c r="AE934" s="164"/>
      <c r="AF934" s="164"/>
      <c r="AG934" s="164"/>
      <c r="AH934" s="164"/>
      <c r="AI934" s="164"/>
      <c r="AJ934" s="164"/>
      <c r="AK934" s="164"/>
      <c r="AL934" s="164"/>
      <c r="AM934" s="164"/>
      <c r="AN934" s="164"/>
      <c r="AO934" s="164"/>
      <c r="AP934" s="164"/>
    </row>
    <row r="935">
      <c r="A935" s="167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  <c r="AD935" s="164"/>
      <c r="AE935" s="164"/>
      <c r="AF935" s="164"/>
      <c r="AG935" s="164"/>
      <c r="AH935" s="164"/>
      <c r="AI935" s="164"/>
      <c r="AJ935" s="164"/>
      <c r="AK935" s="164"/>
      <c r="AL935" s="164"/>
      <c r="AM935" s="164"/>
      <c r="AN935" s="164"/>
      <c r="AO935" s="164"/>
      <c r="AP935" s="164"/>
    </row>
    <row r="936">
      <c r="A936" s="167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  <c r="AD936" s="164"/>
      <c r="AE936" s="164"/>
      <c r="AF936" s="164"/>
      <c r="AG936" s="164"/>
      <c r="AH936" s="164"/>
      <c r="AI936" s="164"/>
      <c r="AJ936" s="164"/>
      <c r="AK936" s="164"/>
      <c r="AL936" s="164"/>
      <c r="AM936" s="164"/>
      <c r="AN936" s="164"/>
      <c r="AO936" s="164"/>
      <c r="AP936" s="164"/>
    </row>
    <row r="937">
      <c r="A937" s="167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  <c r="AE937" s="164"/>
      <c r="AF937" s="164"/>
      <c r="AG937" s="164"/>
      <c r="AH937" s="164"/>
      <c r="AI937" s="164"/>
      <c r="AJ937" s="164"/>
      <c r="AK937" s="164"/>
      <c r="AL937" s="164"/>
      <c r="AM937" s="164"/>
      <c r="AN937" s="164"/>
      <c r="AO937" s="164"/>
      <c r="AP937" s="164"/>
    </row>
    <row r="938">
      <c r="A938" s="167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  <c r="AD938" s="164"/>
      <c r="AE938" s="164"/>
      <c r="AF938" s="164"/>
      <c r="AG938" s="164"/>
      <c r="AH938" s="164"/>
      <c r="AI938" s="164"/>
      <c r="AJ938" s="164"/>
      <c r="AK938" s="164"/>
      <c r="AL938" s="164"/>
      <c r="AM938" s="164"/>
      <c r="AN938" s="164"/>
      <c r="AO938" s="164"/>
      <c r="AP938" s="164"/>
    </row>
  </sheetData>
  <mergeCells count="5717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3:AE3"/>
    <mergeCell ref="AF3:AG3"/>
    <mergeCell ref="AD4:AE4"/>
    <mergeCell ref="AF4:AG4"/>
    <mergeCell ref="AH3:AI3"/>
    <mergeCell ref="AJ3:AK3"/>
    <mergeCell ref="AH4:AI4"/>
    <mergeCell ref="AJ4:AK4"/>
    <mergeCell ref="A1:E1"/>
    <mergeCell ref="F1:K1"/>
    <mergeCell ref="L1:Y1"/>
    <mergeCell ref="Z1:AK1"/>
    <mergeCell ref="AL1:AP1"/>
    <mergeCell ref="F3:G3"/>
    <mergeCell ref="H3:I3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X5:Y5"/>
    <mergeCell ref="Z5:AA5"/>
    <mergeCell ref="AB5:AC5"/>
    <mergeCell ref="AD5:AE5"/>
    <mergeCell ref="AF5:AG5"/>
    <mergeCell ref="AH5:AI5"/>
    <mergeCell ref="AJ5:AK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AF6:AG6"/>
    <mergeCell ref="AH6:AI6"/>
    <mergeCell ref="AJ6:AK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F7:G7"/>
    <mergeCell ref="H7:I7"/>
    <mergeCell ref="J7:K7"/>
    <mergeCell ref="L7:M7"/>
    <mergeCell ref="N7:O7"/>
    <mergeCell ref="P7:Q7"/>
    <mergeCell ref="R7:S7"/>
    <mergeCell ref="AH10:AI10"/>
    <mergeCell ref="AJ10:AK10"/>
    <mergeCell ref="T10:U10"/>
    <mergeCell ref="V10:W10"/>
    <mergeCell ref="X10:Y10"/>
    <mergeCell ref="Z10:AA10"/>
    <mergeCell ref="AB10:AC10"/>
    <mergeCell ref="AD10:AE10"/>
    <mergeCell ref="AF10:AG10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F8:G8"/>
    <mergeCell ref="H8:I8"/>
    <mergeCell ref="J8:K8"/>
    <mergeCell ref="L8:M8"/>
    <mergeCell ref="N8:O8"/>
    <mergeCell ref="P8:Q8"/>
    <mergeCell ref="R8:S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F10:G10"/>
    <mergeCell ref="H10:I10"/>
    <mergeCell ref="J10:K10"/>
    <mergeCell ref="L10:M10"/>
    <mergeCell ref="N10:O10"/>
    <mergeCell ref="P10:Q10"/>
    <mergeCell ref="R10:S10"/>
    <mergeCell ref="AH13:AI13"/>
    <mergeCell ref="AJ13:AK13"/>
    <mergeCell ref="T13:U13"/>
    <mergeCell ref="V13:W13"/>
    <mergeCell ref="X13:Y13"/>
    <mergeCell ref="Z13:AA13"/>
    <mergeCell ref="AB13:AC13"/>
    <mergeCell ref="AD13:AE13"/>
    <mergeCell ref="AF13:AG13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8:AI28"/>
    <mergeCell ref="AJ28:AK28"/>
    <mergeCell ref="T28:U28"/>
    <mergeCell ref="V28:W28"/>
    <mergeCell ref="X28:Y28"/>
    <mergeCell ref="Z28:AA28"/>
    <mergeCell ref="AB28:AC28"/>
    <mergeCell ref="AD28:AE28"/>
    <mergeCell ref="AF28:AG28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AH31:AI31"/>
    <mergeCell ref="AJ31:AK31"/>
    <mergeCell ref="T31:U31"/>
    <mergeCell ref="V31:W31"/>
    <mergeCell ref="X31:Y31"/>
    <mergeCell ref="Z31:AA31"/>
    <mergeCell ref="AB31:AC31"/>
    <mergeCell ref="AD31:AE31"/>
    <mergeCell ref="AF31:AG31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7:AI37"/>
    <mergeCell ref="AJ37:AK37"/>
    <mergeCell ref="T37:U37"/>
    <mergeCell ref="V37:W37"/>
    <mergeCell ref="X37:Y37"/>
    <mergeCell ref="Z37:AA37"/>
    <mergeCell ref="AB37:AC37"/>
    <mergeCell ref="AD37:AE37"/>
    <mergeCell ref="AF37:AG37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F37:G37"/>
    <mergeCell ref="H37:I37"/>
    <mergeCell ref="J37:K37"/>
    <mergeCell ref="L37:M37"/>
    <mergeCell ref="N37:O37"/>
    <mergeCell ref="P37:Q37"/>
    <mergeCell ref="R37:S37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6:AI46"/>
    <mergeCell ref="AJ46:AK46"/>
    <mergeCell ref="T46:U46"/>
    <mergeCell ref="V46:W46"/>
    <mergeCell ref="X46:Y46"/>
    <mergeCell ref="Z46:AA46"/>
    <mergeCell ref="AB46:AC46"/>
    <mergeCell ref="AD46:AE46"/>
    <mergeCell ref="AF46:AG46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AH49:AI49"/>
    <mergeCell ref="AJ49:AK49"/>
    <mergeCell ref="T49:U49"/>
    <mergeCell ref="V49:W49"/>
    <mergeCell ref="X49:Y49"/>
    <mergeCell ref="Z49:AA49"/>
    <mergeCell ref="AB49:AC49"/>
    <mergeCell ref="AD49:AE49"/>
    <mergeCell ref="AF49:AG49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5:AI55"/>
    <mergeCell ref="AJ55:AK55"/>
    <mergeCell ref="T55:U55"/>
    <mergeCell ref="V55:W55"/>
    <mergeCell ref="X55:Y55"/>
    <mergeCell ref="Z55:AA55"/>
    <mergeCell ref="AB55:AC55"/>
    <mergeCell ref="AD55:AE55"/>
    <mergeCell ref="AF55:AG55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  <mergeCell ref="AH58:AI58"/>
    <mergeCell ref="AJ58:AK58"/>
    <mergeCell ref="T58:U58"/>
    <mergeCell ref="V58:W58"/>
    <mergeCell ref="X58:Y58"/>
    <mergeCell ref="Z58:AA58"/>
    <mergeCell ref="AB58:AC58"/>
    <mergeCell ref="AD58:AE58"/>
    <mergeCell ref="AF58:AG58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60:AI60"/>
    <mergeCell ref="AJ60:AK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F62:G62"/>
    <mergeCell ref="H62:I62"/>
    <mergeCell ref="J62:K62"/>
    <mergeCell ref="L62:M62"/>
    <mergeCell ref="N62:O62"/>
    <mergeCell ref="P62:Q62"/>
    <mergeCell ref="R62:S62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F64:G64"/>
    <mergeCell ref="H64:I64"/>
    <mergeCell ref="J64:K64"/>
    <mergeCell ref="L64:M64"/>
    <mergeCell ref="N64:O64"/>
    <mergeCell ref="P64:Q64"/>
    <mergeCell ref="R64:S64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F71:G71"/>
    <mergeCell ref="H71:I71"/>
    <mergeCell ref="J71:K71"/>
    <mergeCell ref="L71:M71"/>
    <mergeCell ref="N71:O71"/>
    <mergeCell ref="P71:Q71"/>
    <mergeCell ref="R71:S71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F73:G73"/>
    <mergeCell ref="H73:I73"/>
    <mergeCell ref="J73:K73"/>
    <mergeCell ref="L73:M73"/>
    <mergeCell ref="N73:O73"/>
    <mergeCell ref="P73:Q73"/>
    <mergeCell ref="R73:S73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F80:G80"/>
    <mergeCell ref="H80:I80"/>
    <mergeCell ref="J80:K80"/>
    <mergeCell ref="L80:M80"/>
    <mergeCell ref="N80:O80"/>
    <mergeCell ref="P80:Q80"/>
    <mergeCell ref="R80:S80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F82:G82"/>
    <mergeCell ref="H82:I82"/>
    <mergeCell ref="J82:K82"/>
    <mergeCell ref="L82:M82"/>
    <mergeCell ref="N82:O82"/>
    <mergeCell ref="P82:Q82"/>
    <mergeCell ref="R82:S82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F89:G89"/>
    <mergeCell ref="H89:I89"/>
    <mergeCell ref="J89:K89"/>
    <mergeCell ref="L89:M89"/>
    <mergeCell ref="N89:O89"/>
    <mergeCell ref="P89:Q89"/>
    <mergeCell ref="R89:S89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F91:G91"/>
    <mergeCell ref="H91:I91"/>
    <mergeCell ref="J91:K91"/>
    <mergeCell ref="L91:M91"/>
    <mergeCell ref="N91:O91"/>
    <mergeCell ref="P91:Q91"/>
    <mergeCell ref="R91:S91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F98:G98"/>
    <mergeCell ref="H98:I98"/>
    <mergeCell ref="J98:K98"/>
    <mergeCell ref="L98:M98"/>
    <mergeCell ref="N98:O98"/>
    <mergeCell ref="P98:Q98"/>
    <mergeCell ref="R98:S98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F100:G100"/>
    <mergeCell ref="H100:I100"/>
    <mergeCell ref="J100:K100"/>
    <mergeCell ref="L100:M100"/>
    <mergeCell ref="N100:O100"/>
    <mergeCell ref="P100:Q100"/>
    <mergeCell ref="R100:S100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F107:G107"/>
    <mergeCell ref="H107:I107"/>
    <mergeCell ref="J107:K107"/>
    <mergeCell ref="L107:M107"/>
    <mergeCell ref="N107:O107"/>
    <mergeCell ref="P107:Q107"/>
    <mergeCell ref="R107:S107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F109:G109"/>
    <mergeCell ref="H109:I109"/>
    <mergeCell ref="J109:K109"/>
    <mergeCell ref="L109:M109"/>
    <mergeCell ref="N109:O109"/>
    <mergeCell ref="P109:Q109"/>
    <mergeCell ref="R109:S109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F116:G116"/>
    <mergeCell ref="H116:I116"/>
    <mergeCell ref="J116:K116"/>
    <mergeCell ref="L116:M116"/>
    <mergeCell ref="N116:O116"/>
    <mergeCell ref="P116:Q116"/>
    <mergeCell ref="R116:S116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F118:G118"/>
    <mergeCell ref="H118:I118"/>
    <mergeCell ref="J118:K118"/>
    <mergeCell ref="L118:M118"/>
    <mergeCell ref="N118:O118"/>
    <mergeCell ref="P118:Q118"/>
    <mergeCell ref="R118:S118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F125:G125"/>
    <mergeCell ref="H125:I125"/>
    <mergeCell ref="J125:K125"/>
    <mergeCell ref="L125:M125"/>
    <mergeCell ref="N125:O125"/>
    <mergeCell ref="P125:Q125"/>
    <mergeCell ref="R125:S125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F127:G127"/>
    <mergeCell ref="H127:I127"/>
    <mergeCell ref="J127:K127"/>
    <mergeCell ref="L127:M127"/>
    <mergeCell ref="N127:O127"/>
    <mergeCell ref="P127:Q127"/>
    <mergeCell ref="R127:S127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F134:G134"/>
    <mergeCell ref="H134:I134"/>
    <mergeCell ref="J134:K134"/>
    <mergeCell ref="L134:M134"/>
    <mergeCell ref="N134:O134"/>
    <mergeCell ref="P134:Q134"/>
    <mergeCell ref="R134:S134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F136:G136"/>
    <mergeCell ref="H136:I136"/>
    <mergeCell ref="J136:K136"/>
    <mergeCell ref="L136:M136"/>
    <mergeCell ref="N136:O136"/>
    <mergeCell ref="P136:Q136"/>
    <mergeCell ref="R136:S136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F143:G143"/>
    <mergeCell ref="H143:I143"/>
    <mergeCell ref="J143:K143"/>
    <mergeCell ref="L143:M143"/>
    <mergeCell ref="N143:O143"/>
    <mergeCell ref="P143:Q143"/>
    <mergeCell ref="R143:S143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F145:G145"/>
    <mergeCell ref="H145:I145"/>
    <mergeCell ref="J145:K145"/>
    <mergeCell ref="L145:M145"/>
    <mergeCell ref="N145:O145"/>
    <mergeCell ref="P145:Q145"/>
    <mergeCell ref="R145:S145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F152:G152"/>
    <mergeCell ref="H152:I152"/>
    <mergeCell ref="J152:K152"/>
    <mergeCell ref="L152:M152"/>
    <mergeCell ref="N152:O152"/>
    <mergeCell ref="P152:Q152"/>
    <mergeCell ref="R152:S152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F154:G154"/>
    <mergeCell ref="H154:I154"/>
    <mergeCell ref="J154:K154"/>
    <mergeCell ref="L154:M154"/>
    <mergeCell ref="N154:O154"/>
    <mergeCell ref="P154:Q154"/>
    <mergeCell ref="R154:S154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F161:G161"/>
    <mergeCell ref="H161:I161"/>
    <mergeCell ref="J161:K161"/>
    <mergeCell ref="L161:M161"/>
    <mergeCell ref="N161:O161"/>
    <mergeCell ref="P161:Q161"/>
    <mergeCell ref="R161:S161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F163:G163"/>
    <mergeCell ref="H163:I163"/>
    <mergeCell ref="J163:K163"/>
    <mergeCell ref="L163:M163"/>
    <mergeCell ref="N163:O163"/>
    <mergeCell ref="P163:Q163"/>
    <mergeCell ref="R163:S163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F166:G166"/>
    <mergeCell ref="H166:I166"/>
    <mergeCell ref="J166:K166"/>
    <mergeCell ref="L166:M166"/>
    <mergeCell ref="N166:O166"/>
    <mergeCell ref="P166:Q166"/>
    <mergeCell ref="R166:S166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F314:G314"/>
    <mergeCell ref="H314:I314"/>
    <mergeCell ref="J314:K314"/>
    <mergeCell ref="L314:M314"/>
    <mergeCell ref="N314:O314"/>
    <mergeCell ref="P314:Q314"/>
    <mergeCell ref="R314:S314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F316:G316"/>
    <mergeCell ref="H316:I316"/>
    <mergeCell ref="J316:K316"/>
    <mergeCell ref="L316:M316"/>
    <mergeCell ref="N316:O316"/>
    <mergeCell ref="P316:Q316"/>
    <mergeCell ref="R316:S316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F323:G323"/>
    <mergeCell ref="H323:I323"/>
    <mergeCell ref="J323:K323"/>
    <mergeCell ref="L323:M323"/>
    <mergeCell ref="N323:O323"/>
    <mergeCell ref="P323:Q323"/>
    <mergeCell ref="R323:S323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F325:G325"/>
    <mergeCell ref="H325:I325"/>
    <mergeCell ref="J325:K325"/>
    <mergeCell ref="L325:M325"/>
    <mergeCell ref="N325:O325"/>
    <mergeCell ref="P325:Q325"/>
    <mergeCell ref="R325:S325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F332:G332"/>
    <mergeCell ref="H332:I332"/>
    <mergeCell ref="J332:K332"/>
    <mergeCell ref="L332:M332"/>
    <mergeCell ref="N332:O332"/>
    <mergeCell ref="P332:Q332"/>
    <mergeCell ref="R332:S332"/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F334:G334"/>
    <mergeCell ref="H334:I334"/>
    <mergeCell ref="J334:K334"/>
    <mergeCell ref="L334:M334"/>
    <mergeCell ref="N334:O334"/>
    <mergeCell ref="P334:Q334"/>
    <mergeCell ref="R334:S334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5:AI15"/>
    <mergeCell ref="AJ15:AK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9:AI19"/>
    <mergeCell ref="AJ19:AK19"/>
    <mergeCell ref="T19:U19"/>
    <mergeCell ref="V19:W19"/>
    <mergeCell ref="X19:Y19"/>
    <mergeCell ref="Z19:AA19"/>
    <mergeCell ref="AB19:AC19"/>
    <mergeCell ref="AD19:AE19"/>
    <mergeCell ref="AF19:AG19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F17:G17"/>
    <mergeCell ref="H17:I17"/>
    <mergeCell ref="J17:K17"/>
    <mergeCell ref="L17:M17"/>
    <mergeCell ref="N17:O17"/>
    <mergeCell ref="P17:Q17"/>
    <mergeCell ref="R17:S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F19:G19"/>
    <mergeCell ref="H19:I19"/>
    <mergeCell ref="J19:K19"/>
    <mergeCell ref="L19:M19"/>
    <mergeCell ref="N19:O19"/>
    <mergeCell ref="P19:Q19"/>
    <mergeCell ref="R19:S19"/>
    <mergeCell ref="AH22:AI22"/>
    <mergeCell ref="AJ22:AK22"/>
    <mergeCell ref="T22:U22"/>
    <mergeCell ref="V22:W22"/>
    <mergeCell ref="X22:Y22"/>
    <mergeCell ref="Z22:AA22"/>
    <mergeCell ref="AB22:AC22"/>
    <mergeCell ref="AD22:AE22"/>
    <mergeCell ref="AF22:AG22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F341:G341"/>
    <mergeCell ref="H341:I341"/>
    <mergeCell ref="J341:K341"/>
    <mergeCell ref="L341:M341"/>
    <mergeCell ref="N341:O341"/>
    <mergeCell ref="P341:Q341"/>
    <mergeCell ref="R341:S341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F343:G343"/>
    <mergeCell ref="H343:I343"/>
    <mergeCell ref="J343:K343"/>
    <mergeCell ref="L343:M343"/>
    <mergeCell ref="N343:O343"/>
    <mergeCell ref="P343:Q343"/>
    <mergeCell ref="R343:S343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F350:G350"/>
    <mergeCell ref="H350:I350"/>
    <mergeCell ref="J350:K350"/>
    <mergeCell ref="L350:M350"/>
    <mergeCell ref="N350:O350"/>
    <mergeCell ref="P350:Q350"/>
    <mergeCell ref="R350:S350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F352:G352"/>
    <mergeCell ref="H352:I352"/>
    <mergeCell ref="J352:K352"/>
    <mergeCell ref="L352:M352"/>
    <mergeCell ref="N352:O352"/>
    <mergeCell ref="P352:Q352"/>
    <mergeCell ref="R352:S352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F355:G355"/>
    <mergeCell ref="H355:I355"/>
    <mergeCell ref="J355:K355"/>
    <mergeCell ref="L355:M355"/>
    <mergeCell ref="N355:O355"/>
    <mergeCell ref="P355:Q355"/>
    <mergeCell ref="R355:S355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F170:G170"/>
    <mergeCell ref="H170:I170"/>
    <mergeCell ref="J170:K170"/>
    <mergeCell ref="L170:M170"/>
    <mergeCell ref="N170:O170"/>
    <mergeCell ref="P170:Q170"/>
    <mergeCell ref="R170:S170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F172:G172"/>
    <mergeCell ref="H172:I172"/>
    <mergeCell ref="J172:K172"/>
    <mergeCell ref="L172:M172"/>
    <mergeCell ref="N172:O172"/>
    <mergeCell ref="P172:Q172"/>
    <mergeCell ref="R172:S172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F179:G179"/>
    <mergeCell ref="H179:I179"/>
    <mergeCell ref="J179:K179"/>
    <mergeCell ref="L179:M179"/>
    <mergeCell ref="N179:O179"/>
    <mergeCell ref="P179:Q179"/>
    <mergeCell ref="R179:S179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F181:G181"/>
    <mergeCell ref="H181:I181"/>
    <mergeCell ref="J181:K181"/>
    <mergeCell ref="L181:M181"/>
    <mergeCell ref="N181:O181"/>
    <mergeCell ref="P181:Q181"/>
    <mergeCell ref="R181:S181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F188:G188"/>
    <mergeCell ref="H188:I188"/>
    <mergeCell ref="J188:K188"/>
    <mergeCell ref="L188:M188"/>
    <mergeCell ref="N188:O188"/>
    <mergeCell ref="P188:Q188"/>
    <mergeCell ref="R188:S188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F190:G190"/>
    <mergeCell ref="H190:I190"/>
    <mergeCell ref="J190:K190"/>
    <mergeCell ref="L190:M190"/>
    <mergeCell ref="N190:O190"/>
    <mergeCell ref="P190:Q190"/>
    <mergeCell ref="R190:S190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F197:G197"/>
    <mergeCell ref="H197:I197"/>
    <mergeCell ref="J197:K197"/>
    <mergeCell ref="L197:M197"/>
    <mergeCell ref="N197:O197"/>
    <mergeCell ref="P197:Q197"/>
    <mergeCell ref="R197:S197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F199:G199"/>
    <mergeCell ref="H199:I199"/>
    <mergeCell ref="J199:K199"/>
    <mergeCell ref="L199:M199"/>
    <mergeCell ref="N199:O199"/>
    <mergeCell ref="P199:Q199"/>
    <mergeCell ref="R199:S199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F206:G206"/>
    <mergeCell ref="H206:I206"/>
    <mergeCell ref="J206:K206"/>
    <mergeCell ref="L206:M206"/>
    <mergeCell ref="N206:O206"/>
    <mergeCell ref="P206:Q206"/>
    <mergeCell ref="R206:S206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F208:G208"/>
    <mergeCell ref="H208:I208"/>
    <mergeCell ref="J208:K208"/>
    <mergeCell ref="L208:M208"/>
    <mergeCell ref="N208:O208"/>
    <mergeCell ref="P208:Q208"/>
    <mergeCell ref="R208:S208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F215:G215"/>
    <mergeCell ref="H215:I215"/>
    <mergeCell ref="J215:K215"/>
    <mergeCell ref="L215:M215"/>
    <mergeCell ref="N215:O215"/>
    <mergeCell ref="P215:Q215"/>
    <mergeCell ref="R215:S215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F217:G217"/>
    <mergeCell ref="H217:I217"/>
    <mergeCell ref="J217:K217"/>
    <mergeCell ref="L217:M217"/>
    <mergeCell ref="N217:O217"/>
    <mergeCell ref="P217:Q217"/>
    <mergeCell ref="R217:S217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F224:G224"/>
    <mergeCell ref="H224:I224"/>
    <mergeCell ref="J224:K224"/>
    <mergeCell ref="L224:M224"/>
    <mergeCell ref="N224:O224"/>
    <mergeCell ref="P224:Q224"/>
    <mergeCell ref="R224:S224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F226:G226"/>
    <mergeCell ref="H226:I226"/>
    <mergeCell ref="J226:K226"/>
    <mergeCell ref="L226:M226"/>
    <mergeCell ref="N226:O226"/>
    <mergeCell ref="P226:Q226"/>
    <mergeCell ref="R226:S226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F233:G233"/>
    <mergeCell ref="H233:I233"/>
    <mergeCell ref="J233:K233"/>
    <mergeCell ref="L233:M233"/>
    <mergeCell ref="N233:O233"/>
    <mergeCell ref="P233:Q233"/>
    <mergeCell ref="R233:S233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F235:G235"/>
    <mergeCell ref="H235:I235"/>
    <mergeCell ref="J235:K235"/>
    <mergeCell ref="L235:M235"/>
    <mergeCell ref="N235:O235"/>
    <mergeCell ref="P235:Q235"/>
    <mergeCell ref="R235:S235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F242:G242"/>
    <mergeCell ref="H242:I242"/>
    <mergeCell ref="J242:K242"/>
    <mergeCell ref="L242:M242"/>
    <mergeCell ref="N242:O242"/>
    <mergeCell ref="P242:Q242"/>
    <mergeCell ref="R242:S242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F251:G251"/>
    <mergeCell ref="H251:I251"/>
    <mergeCell ref="J251:K251"/>
    <mergeCell ref="L251:M251"/>
    <mergeCell ref="N251:O251"/>
    <mergeCell ref="P251:Q251"/>
    <mergeCell ref="R251:S251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F253:G253"/>
    <mergeCell ref="H253:I253"/>
    <mergeCell ref="J253:K253"/>
    <mergeCell ref="L253:M253"/>
    <mergeCell ref="N253:O253"/>
    <mergeCell ref="P253:Q253"/>
    <mergeCell ref="R253:S253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F260:G260"/>
    <mergeCell ref="H260:I260"/>
    <mergeCell ref="J260:K260"/>
    <mergeCell ref="L260:M260"/>
    <mergeCell ref="N260:O260"/>
    <mergeCell ref="P260:Q260"/>
    <mergeCell ref="R260:S260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F262:G262"/>
    <mergeCell ref="H262:I262"/>
    <mergeCell ref="J262:K262"/>
    <mergeCell ref="L262:M262"/>
    <mergeCell ref="N262:O262"/>
    <mergeCell ref="P262:Q262"/>
    <mergeCell ref="R262:S262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F269:G269"/>
    <mergeCell ref="H269:I269"/>
    <mergeCell ref="J269:K269"/>
    <mergeCell ref="L269:M269"/>
    <mergeCell ref="N269:O269"/>
    <mergeCell ref="P269:Q269"/>
    <mergeCell ref="R269:S269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F271:G271"/>
    <mergeCell ref="H271:I271"/>
    <mergeCell ref="J271:K271"/>
    <mergeCell ref="L271:M271"/>
    <mergeCell ref="N271:O271"/>
    <mergeCell ref="P271:Q271"/>
    <mergeCell ref="R271:S271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F278:G278"/>
    <mergeCell ref="H278:I278"/>
    <mergeCell ref="J278:K278"/>
    <mergeCell ref="L278:M278"/>
    <mergeCell ref="N278:O278"/>
    <mergeCell ref="P278:Q278"/>
    <mergeCell ref="R278:S278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F280:G280"/>
    <mergeCell ref="H280:I280"/>
    <mergeCell ref="J280:K280"/>
    <mergeCell ref="L280:M280"/>
    <mergeCell ref="N280:O280"/>
    <mergeCell ref="P280:Q280"/>
    <mergeCell ref="R280:S280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F287:G287"/>
    <mergeCell ref="H287:I287"/>
    <mergeCell ref="J287:K287"/>
    <mergeCell ref="L287:M287"/>
    <mergeCell ref="N287:O287"/>
    <mergeCell ref="P287:Q287"/>
    <mergeCell ref="R287:S287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F289:G289"/>
    <mergeCell ref="H289:I289"/>
    <mergeCell ref="J289:K289"/>
    <mergeCell ref="L289:M289"/>
    <mergeCell ref="N289:O289"/>
    <mergeCell ref="P289:Q289"/>
    <mergeCell ref="R289:S289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F296:G296"/>
    <mergeCell ref="H296:I296"/>
    <mergeCell ref="J296:K296"/>
    <mergeCell ref="L296:M296"/>
    <mergeCell ref="N296:O296"/>
    <mergeCell ref="P296:Q296"/>
    <mergeCell ref="R296:S296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F298:G298"/>
    <mergeCell ref="H298:I298"/>
    <mergeCell ref="J298:K298"/>
    <mergeCell ref="L298:M298"/>
    <mergeCell ref="N298:O298"/>
    <mergeCell ref="P298:Q298"/>
    <mergeCell ref="R298:S298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F305:G305"/>
    <mergeCell ref="H305:I305"/>
    <mergeCell ref="J305:K305"/>
    <mergeCell ref="L305:M305"/>
    <mergeCell ref="N305:O305"/>
    <mergeCell ref="P305:Q305"/>
    <mergeCell ref="R305:S305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F307:G307"/>
    <mergeCell ref="H307:I307"/>
    <mergeCell ref="J307:K307"/>
    <mergeCell ref="L307:M307"/>
    <mergeCell ref="N307:O307"/>
    <mergeCell ref="P307:Q307"/>
    <mergeCell ref="R307:S307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</mergeCells>
  <printOptions/>
  <pageMargins bottom="0.75" footer="0.0" header="0.0" left="0.7" right="0.7" top="0.75"/>
  <pageSetup orientation="landscape"/>
  <drawing r:id="rId2"/>
  <legacyDrawing r:id="rId3"/>
</worksheet>
</file>